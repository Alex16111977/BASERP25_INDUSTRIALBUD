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Август_2025\Данные\Производство\"/>
    </mc:Choice>
  </mc:AlternateContent>
  <xr:revisionPtr revIDLastSave="0" documentId="8_{812A0751-D678-47F5-84EB-70C9B97AE704}" xr6:coauthVersionLast="45" xr6:coauthVersionMax="45" xr10:uidLastSave="{00000000-0000-0000-0000-000000000000}"/>
  <bookViews>
    <workbookView xWindow="-120" yWindow="-120" windowWidth="29040" windowHeight="15990" tabRatio="801" firstSheet="2" activeTab="2" xr2:uid="{00000000-000D-0000-FFFF-FFFF00000000}"/>
  </bookViews>
  <sheets>
    <sheet name="Лист2" sheetId="30" state="hidden" r:id="rId1"/>
    <sheet name="Лист1" sheetId="29" state="hidden" r:id="rId2"/>
    <sheet name="Табель цех 16 по 30 серпня" sheetId="34" r:id="rId3"/>
    <sheet name="Цо" sheetId="38" r:id="rId4"/>
    <sheet name="ИТР" sheetId="55" r:id="rId5"/>
    <sheet name="IRS" sheetId="54" r:id="rId6"/>
    <sheet name="Катеринополь" sheetId="41" r:id="rId7"/>
    <sheet name="Червоний хрест" sheetId="47" r:id="rId8"/>
    <sheet name="ООН 2025" sheetId="44" r:id="rId9"/>
    <sheet name="Кернел" sheetId="45" r:id="rId10"/>
    <sheet name="Глобино Мк" sheetId="52" r:id="rId11"/>
    <sheet name="МД Франківськ" sheetId="53" r:id="rId12"/>
    <sheet name="Распределени" sheetId="23" state="hidden" r:id="rId13"/>
    <sheet name="Загальна по роботам" sheetId="17" state="hidden" r:id="rId14"/>
    <sheet name="1С Крушинка" sheetId="19" state="hidden" r:id="rId15"/>
    <sheet name="1С цех" sheetId="21" state="hidden" r:id="rId16"/>
  </sheets>
  <externalReferences>
    <externalReference r:id="rId17"/>
  </externalReferences>
  <definedNames>
    <definedName name="_xlnm._FilterDatabase" localSheetId="1" hidden="1">Лист1!$B$2:$J$46</definedName>
    <definedName name="_xlnm._FilterDatabase" localSheetId="0" hidden="1">Лист2!$A$1:$I$250</definedName>
    <definedName name="_xlnm._FilterDatabase" localSheetId="12" hidden="1">Распределени!$A$1:$Q$27</definedName>
    <definedName name="_xlnm._FilterDatabase" localSheetId="2" hidden="1">'Табель цех 16 по 30 серпня'!$A$1:$AJ$75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8" i="34" l="1"/>
  <c r="AI77" i="34"/>
  <c r="AH77" i="34"/>
  <c r="AG77" i="34"/>
  <c r="AF77" i="34"/>
  <c r="AE77" i="34"/>
  <c r="AD77" i="34"/>
  <c r="AC77" i="34"/>
  <c r="AB77" i="34"/>
  <c r="AA77" i="34"/>
  <c r="Z77" i="34"/>
  <c r="Y77" i="34"/>
  <c r="X77" i="34"/>
  <c r="AJ77" i="34"/>
  <c r="AJ4" i="34" l="1"/>
  <c r="AJ5" i="34"/>
  <c r="AJ6" i="34"/>
  <c r="AJ7" i="34"/>
  <c r="AJ8" i="34"/>
  <c r="AJ9" i="34"/>
  <c r="AJ10" i="34"/>
  <c r="AJ11" i="34"/>
  <c r="AJ12" i="34"/>
  <c r="AJ13" i="34"/>
  <c r="AJ14" i="34"/>
  <c r="AJ15" i="34"/>
  <c r="AJ16" i="34"/>
  <c r="AJ17" i="34"/>
  <c r="AJ18" i="34"/>
  <c r="AJ19" i="34"/>
  <c r="AJ20" i="34"/>
  <c r="AJ21" i="34"/>
  <c r="AK21" i="34" s="1"/>
  <c r="AJ22" i="34"/>
  <c r="AJ23" i="34"/>
  <c r="AJ24" i="34"/>
  <c r="AJ25" i="34"/>
  <c r="AJ26" i="34"/>
  <c r="AJ27" i="34"/>
  <c r="AJ28" i="34"/>
  <c r="AJ29" i="34"/>
  <c r="AK29" i="34" s="1"/>
  <c r="AJ30" i="34"/>
  <c r="AJ31" i="34"/>
  <c r="AJ32" i="34"/>
  <c r="AJ33" i="34"/>
  <c r="AJ34" i="34"/>
  <c r="AJ35" i="34"/>
  <c r="AJ36" i="34"/>
  <c r="AJ37" i="34"/>
  <c r="AJ38" i="34"/>
  <c r="AJ39" i="34"/>
  <c r="AJ40" i="34"/>
  <c r="AJ41" i="34"/>
  <c r="AJ42" i="34"/>
  <c r="AJ43" i="34"/>
  <c r="AJ44" i="34"/>
  <c r="AJ45" i="34"/>
  <c r="AK45" i="34" s="1"/>
  <c r="AJ46" i="34"/>
  <c r="AK46" i="34" s="1"/>
  <c r="AJ47" i="34"/>
  <c r="AJ48" i="34"/>
  <c r="AK48" i="34" s="1"/>
  <c r="AJ49" i="34"/>
  <c r="AK49" i="34" s="1"/>
  <c r="AJ50" i="34"/>
  <c r="AJ51" i="34"/>
  <c r="AJ52" i="34"/>
  <c r="AJ53" i="34"/>
  <c r="AJ54" i="34"/>
  <c r="AJ55" i="34"/>
  <c r="AK55" i="34" s="1"/>
  <c r="AJ56" i="34"/>
  <c r="AJ57" i="34"/>
  <c r="AJ58" i="34"/>
  <c r="AJ59" i="34"/>
  <c r="AJ60" i="34"/>
  <c r="AJ61" i="34"/>
  <c r="AJ62" i="34"/>
  <c r="AJ63" i="34"/>
  <c r="AJ64" i="34"/>
  <c r="AJ65" i="34"/>
  <c r="AJ66" i="34"/>
  <c r="AK66" i="34" s="1"/>
  <c r="AJ67" i="34"/>
  <c r="AK67" i="34" s="1"/>
  <c r="AJ68" i="34"/>
  <c r="AK68" i="34" s="1"/>
  <c r="AJ69" i="34"/>
  <c r="AK69" i="34" s="1"/>
  <c r="AJ70" i="34"/>
  <c r="AK70" i="34" s="1"/>
  <c r="AJ71" i="34"/>
  <c r="AK71" i="34" s="1"/>
  <c r="AJ72" i="34"/>
  <c r="AK72" i="34" s="1"/>
  <c r="AJ73" i="34"/>
  <c r="AK73" i="34" s="1"/>
  <c r="AJ74" i="34"/>
  <c r="AK74" i="34" s="1"/>
  <c r="AJ75" i="34"/>
  <c r="AK75" i="34" s="1"/>
  <c r="AJ3" i="34"/>
  <c r="AI75" i="34"/>
  <c r="AH75" i="34"/>
  <c r="AG75" i="34"/>
  <c r="AF75" i="34"/>
  <c r="AE75" i="34"/>
  <c r="AD75" i="34"/>
  <c r="AC75" i="34"/>
  <c r="AB75" i="34"/>
  <c r="AA75" i="34"/>
  <c r="Z75" i="34"/>
  <c r="Y75" i="34"/>
  <c r="AI74" i="34"/>
  <c r="AH74" i="34"/>
  <c r="AG74" i="34"/>
  <c r="AF74" i="34"/>
  <c r="AE74" i="34"/>
  <c r="AD74" i="34"/>
  <c r="AC74" i="34"/>
  <c r="AB74" i="34"/>
  <c r="AA74" i="34"/>
  <c r="Z74" i="34"/>
  <c r="Y74" i="34"/>
  <c r="AI73" i="34"/>
  <c r="AH73" i="34"/>
  <c r="AG73" i="34"/>
  <c r="AF73" i="34"/>
  <c r="AE73" i="34"/>
  <c r="AD73" i="34"/>
  <c r="AC73" i="34"/>
  <c r="AB73" i="34"/>
  <c r="AA73" i="34"/>
  <c r="Z73" i="34"/>
  <c r="Y73" i="34"/>
  <c r="AI72" i="34"/>
  <c r="AH72" i="34"/>
  <c r="AG72" i="34"/>
  <c r="AF72" i="34"/>
  <c r="AE72" i="34"/>
  <c r="AD72" i="34"/>
  <c r="AC72" i="34"/>
  <c r="AB72" i="34"/>
  <c r="AA72" i="34"/>
  <c r="Z72" i="34"/>
  <c r="Y72" i="34"/>
  <c r="AI71" i="34"/>
  <c r="AH71" i="34"/>
  <c r="AG71" i="34"/>
  <c r="AF71" i="34"/>
  <c r="AE71" i="34"/>
  <c r="AD71" i="34"/>
  <c r="AC71" i="34"/>
  <c r="AB71" i="34"/>
  <c r="AA71" i="34"/>
  <c r="Z71" i="34"/>
  <c r="Y71" i="34"/>
  <c r="AI70" i="34"/>
  <c r="AH70" i="34"/>
  <c r="AG70" i="34"/>
  <c r="AF70" i="34"/>
  <c r="AE70" i="34"/>
  <c r="AD70" i="34"/>
  <c r="AC70" i="34"/>
  <c r="AB70" i="34"/>
  <c r="AA70" i="34"/>
  <c r="Z70" i="34"/>
  <c r="Y70" i="34"/>
  <c r="AI69" i="34"/>
  <c r="AH69" i="34"/>
  <c r="AG69" i="34"/>
  <c r="AF69" i="34"/>
  <c r="AE69" i="34"/>
  <c r="AD69" i="34"/>
  <c r="AC69" i="34"/>
  <c r="AB69" i="34"/>
  <c r="AA69" i="34"/>
  <c r="Z69" i="34"/>
  <c r="Y69" i="34"/>
  <c r="AI68" i="34"/>
  <c r="AH68" i="34"/>
  <c r="AG68" i="34"/>
  <c r="AF68" i="34"/>
  <c r="AE68" i="34"/>
  <c r="AD68" i="34"/>
  <c r="AC68" i="34"/>
  <c r="AB68" i="34"/>
  <c r="AA68" i="34"/>
  <c r="Z68" i="34"/>
  <c r="Y68" i="34"/>
  <c r="AI67" i="34"/>
  <c r="AH67" i="34"/>
  <c r="AG67" i="34"/>
  <c r="AF67" i="34"/>
  <c r="AE67" i="34"/>
  <c r="AD67" i="34"/>
  <c r="AC67" i="34"/>
  <c r="AB67" i="34"/>
  <c r="AA67" i="34"/>
  <c r="Z67" i="34"/>
  <c r="Y67" i="34"/>
  <c r="AI66" i="34"/>
  <c r="AH66" i="34"/>
  <c r="AG66" i="34"/>
  <c r="AF66" i="34"/>
  <c r="AE66" i="34"/>
  <c r="AD66" i="34"/>
  <c r="AC66" i="34"/>
  <c r="AB66" i="34"/>
  <c r="AA66" i="34"/>
  <c r="Z66" i="34"/>
  <c r="Y66" i="34"/>
  <c r="AI65" i="34"/>
  <c r="AH65" i="34"/>
  <c r="AG65" i="34"/>
  <c r="AF65" i="34"/>
  <c r="AE65" i="34"/>
  <c r="AD65" i="34"/>
  <c r="AC65" i="34"/>
  <c r="AB65" i="34"/>
  <c r="AA65" i="34"/>
  <c r="Z65" i="34"/>
  <c r="Y65" i="34"/>
  <c r="AI64" i="34"/>
  <c r="AH64" i="34"/>
  <c r="AG64" i="34"/>
  <c r="AF64" i="34"/>
  <c r="AE64" i="34"/>
  <c r="AD64" i="34"/>
  <c r="AC64" i="34"/>
  <c r="AB64" i="34"/>
  <c r="AA64" i="34"/>
  <c r="Z64" i="34"/>
  <c r="Y64" i="34"/>
  <c r="AI63" i="34"/>
  <c r="AH63" i="34"/>
  <c r="AG63" i="34"/>
  <c r="AF63" i="34"/>
  <c r="AE63" i="34"/>
  <c r="AD63" i="34"/>
  <c r="AC63" i="34"/>
  <c r="AB63" i="34"/>
  <c r="AA63" i="34"/>
  <c r="Z63" i="34"/>
  <c r="Y63" i="34"/>
  <c r="AI62" i="34"/>
  <c r="AH62" i="34"/>
  <c r="AG62" i="34"/>
  <c r="AF62" i="34"/>
  <c r="AE62" i="34"/>
  <c r="AD62" i="34"/>
  <c r="AC62" i="34"/>
  <c r="AB62" i="34"/>
  <c r="AA62" i="34"/>
  <c r="Z62" i="34"/>
  <c r="Y62" i="34"/>
  <c r="AI61" i="34"/>
  <c r="AH61" i="34"/>
  <c r="AG61" i="34"/>
  <c r="AF61" i="34"/>
  <c r="AE61" i="34"/>
  <c r="AD61" i="34"/>
  <c r="AC61" i="34"/>
  <c r="AB61" i="34"/>
  <c r="AA61" i="34"/>
  <c r="Z61" i="34"/>
  <c r="Y61" i="34"/>
  <c r="AI60" i="34"/>
  <c r="AH60" i="34"/>
  <c r="AG60" i="34"/>
  <c r="AF60" i="34"/>
  <c r="AE60" i="34"/>
  <c r="AD60" i="34"/>
  <c r="AC60" i="34"/>
  <c r="AB60" i="34"/>
  <c r="AA60" i="34"/>
  <c r="Z60" i="34"/>
  <c r="Y60" i="34"/>
  <c r="AI59" i="34"/>
  <c r="AH59" i="34"/>
  <c r="AG59" i="34"/>
  <c r="AF59" i="34"/>
  <c r="AE59" i="34"/>
  <c r="AD59" i="34"/>
  <c r="AC59" i="34"/>
  <c r="AB59" i="34"/>
  <c r="AA59" i="34"/>
  <c r="Z59" i="34"/>
  <c r="Y59" i="34"/>
  <c r="AK58" i="34"/>
  <c r="AI58" i="34"/>
  <c r="AH58" i="34"/>
  <c r="AG58" i="34"/>
  <c r="AF58" i="34"/>
  <c r="AE58" i="34"/>
  <c r="AD58" i="34"/>
  <c r="AC58" i="34"/>
  <c r="AB58" i="34"/>
  <c r="AA58" i="34"/>
  <c r="Z58" i="34"/>
  <c r="Y58" i="34"/>
  <c r="AI57" i="34"/>
  <c r="AH57" i="34"/>
  <c r="AG57" i="34"/>
  <c r="AF57" i="34"/>
  <c r="AE57" i="34"/>
  <c r="AD57" i="34"/>
  <c r="AC57" i="34"/>
  <c r="AB57" i="34"/>
  <c r="AA57" i="34"/>
  <c r="Z57" i="34"/>
  <c r="Y57" i="34"/>
  <c r="AI56" i="34"/>
  <c r="AH56" i="34"/>
  <c r="AG56" i="34"/>
  <c r="AF56" i="34"/>
  <c r="AE56" i="34"/>
  <c r="AD56" i="34"/>
  <c r="AC56" i="34"/>
  <c r="AB56" i="34"/>
  <c r="AA56" i="34"/>
  <c r="Z56" i="34"/>
  <c r="Y56" i="34"/>
  <c r="AI55" i="34"/>
  <c r="AH55" i="34"/>
  <c r="AG55" i="34"/>
  <c r="AF55" i="34"/>
  <c r="AE55" i="34"/>
  <c r="AD55" i="34"/>
  <c r="AC55" i="34"/>
  <c r="AB55" i="34"/>
  <c r="AA55" i="34"/>
  <c r="Z55" i="34"/>
  <c r="Y55" i="34"/>
  <c r="AI54" i="34"/>
  <c r="AH54" i="34"/>
  <c r="AG54" i="34"/>
  <c r="AF54" i="34"/>
  <c r="AE54" i="34"/>
  <c r="AD54" i="34"/>
  <c r="AC54" i="34"/>
  <c r="AB54" i="34"/>
  <c r="AA54" i="34"/>
  <c r="Z54" i="34"/>
  <c r="Y54" i="34"/>
  <c r="AI53" i="34"/>
  <c r="AH53" i="34"/>
  <c r="AG53" i="34"/>
  <c r="AF53" i="34"/>
  <c r="AE53" i="34"/>
  <c r="AD53" i="34"/>
  <c r="AC53" i="34"/>
  <c r="AB53" i="34"/>
  <c r="AA53" i="34"/>
  <c r="Z53" i="34"/>
  <c r="Y53" i="34"/>
  <c r="AI52" i="34"/>
  <c r="AH52" i="34"/>
  <c r="AG52" i="34"/>
  <c r="AF52" i="34"/>
  <c r="AE52" i="34"/>
  <c r="AD52" i="34"/>
  <c r="AC52" i="34"/>
  <c r="AB52" i="34"/>
  <c r="AA52" i="34"/>
  <c r="Z52" i="34"/>
  <c r="Y52" i="34"/>
  <c r="AI51" i="34"/>
  <c r="AH51" i="34"/>
  <c r="AG51" i="34"/>
  <c r="AF51" i="34"/>
  <c r="AE51" i="34"/>
  <c r="AD51" i="34"/>
  <c r="AC51" i="34"/>
  <c r="AB51" i="34"/>
  <c r="AA51" i="34"/>
  <c r="Z51" i="34"/>
  <c r="Y51" i="34"/>
  <c r="AI50" i="34"/>
  <c r="AH50" i="34"/>
  <c r="AG50" i="34"/>
  <c r="AF50" i="34"/>
  <c r="AE50" i="34"/>
  <c r="AD50" i="34"/>
  <c r="AC50" i="34"/>
  <c r="AB50" i="34"/>
  <c r="AA50" i="34"/>
  <c r="Z50" i="34"/>
  <c r="Y50" i="34"/>
  <c r="AI49" i="34"/>
  <c r="AH49" i="34"/>
  <c r="AG49" i="34"/>
  <c r="AF49" i="34"/>
  <c r="AE49" i="34"/>
  <c r="AD49" i="34"/>
  <c r="AC49" i="34"/>
  <c r="AB49" i="34"/>
  <c r="AA49" i="34"/>
  <c r="Z49" i="34"/>
  <c r="Y49" i="34"/>
  <c r="AI48" i="34"/>
  <c r="AH48" i="34"/>
  <c r="AG48" i="34"/>
  <c r="AF48" i="34"/>
  <c r="AE48" i="34"/>
  <c r="AD48" i="34"/>
  <c r="AC48" i="34"/>
  <c r="AB48" i="34"/>
  <c r="AA48" i="34"/>
  <c r="Z48" i="34"/>
  <c r="Y48" i="34"/>
  <c r="AK47" i="34"/>
  <c r="AI47" i="34"/>
  <c r="AH47" i="34"/>
  <c r="AG47" i="34"/>
  <c r="AF47" i="34"/>
  <c r="AE47" i="34"/>
  <c r="AD47" i="34"/>
  <c r="AC47" i="34"/>
  <c r="AB47" i="34"/>
  <c r="AA47" i="34"/>
  <c r="Z47" i="34"/>
  <c r="Y47" i="34"/>
  <c r="AI46" i="34"/>
  <c r="AH46" i="34"/>
  <c r="AG46" i="34"/>
  <c r="AF46" i="34"/>
  <c r="AE46" i="34"/>
  <c r="AD46" i="34"/>
  <c r="AC46" i="34"/>
  <c r="AB46" i="34"/>
  <c r="AA46" i="34"/>
  <c r="Z46" i="34"/>
  <c r="Y46" i="34"/>
  <c r="AI45" i="34"/>
  <c r="AH45" i="34"/>
  <c r="AG45" i="34"/>
  <c r="AF45" i="34"/>
  <c r="AE45" i="34"/>
  <c r="AD45" i="34"/>
  <c r="AC45" i="34"/>
  <c r="AB45" i="34"/>
  <c r="AA45" i="34"/>
  <c r="Z45" i="34"/>
  <c r="Y45" i="34"/>
  <c r="AI44" i="34"/>
  <c r="AH44" i="34"/>
  <c r="AG44" i="34"/>
  <c r="AF44" i="34"/>
  <c r="AE44" i="34"/>
  <c r="AD44" i="34"/>
  <c r="AC44" i="34"/>
  <c r="AB44" i="34"/>
  <c r="AA44" i="34"/>
  <c r="Z44" i="34"/>
  <c r="Y44" i="34"/>
  <c r="AK43" i="34"/>
  <c r="AI43" i="34"/>
  <c r="AH43" i="34"/>
  <c r="AG43" i="34"/>
  <c r="AF43" i="34"/>
  <c r="AE43" i="34"/>
  <c r="AD43" i="34"/>
  <c r="AC43" i="34"/>
  <c r="AB43" i="34"/>
  <c r="AA43" i="34"/>
  <c r="Z43" i="34"/>
  <c r="Y43" i="34"/>
  <c r="AI42" i="34"/>
  <c r="AH42" i="34"/>
  <c r="AG42" i="34"/>
  <c r="AF42" i="34"/>
  <c r="AE42" i="34"/>
  <c r="AD42" i="34"/>
  <c r="AC42" i="34"/>
  <c r="AB42" i="34"/>
  <c r="AA42" i="34"/>
  <c r="Z42" i="34"/>
  <c r="Y42" i="34"/>
  <c r="AK41" i="34"/>
  <c r="AI41" i="34"/>
  <c r="AH41" i="34"/>
  <c r="AG41" i="34"/>
  <c r="AF41" i="34"/>
  <c r="AE41" i="34"/>
  <c r="AD41" i="34"/>
  <c r="AC41" i="34"/>
  <c r="AB41" i="34"/>
  <c r="AA41" i="34"/>
  <c r="Z41" i="34"/>
  <c r="Y41" i="34"/>
  <c r="AI40" i="34"/>
  <c r="AH40" i="34"/>
  <c r="AG40" i="34"/>
  <c r="AF40" i="34"/>
  <c r="AE40" i="34"/>
  <c r="AD40" i="34"/>
  <c r="AC40" i="34"/>
  <c r="AB40" i="34"/>
  <c r="AA40" i="34"/>
  <c r="Z40" i="34"/>
  <c r="Y40" i="34"/>
  <c r="AI39" i="34"/>
  <c r="AH39" i="34"/>
  <c r="AG39" i="34"/>
  <c r="AF39" i="34"/>
  <c r="AE39" i="34"/>
  <c r="AD39" i="34"/>
  <c r="AC39" i="34"/>
  <c r="AB39" i="34"/>
  <c r="AA39" i="34"/>
  <c r="Z39" i="34"/>
  <c r="Y39" i="34"/>
  <c r="AI38" i="34"/>
  <c r="AH38" i="34"/>
  <c r="AG38" i="34"/>
  <c r="AF38" i="34"/>
  <c r="AE38" i="34"/>
  <c r="AD38" i="34"/>
  <c r="AC38" i="34"/>
  <c r="AB38" i="34"/>
  <c r="AA38" i="34"/>
  <c r="Z38" i="34"/>
  <c r="Y38" i="34"/>
  <c r="AI37" i="34"/>
  <c r="AH37" i="34"/>
  <c r="AG37" i="34"/>
  <c r="AF37" i="34"/>
  <c r="AE37" i="34"/>
  <c r="AD37" i="34"/>
  <c r="AC37" i="34"/>
  <c r="AB37" i="34"/>
  <c r="AA37" i="34"/>
  <c r="Z37" i="34"/>
  <c r="Y37" i="34"/>
  <c r="AI36" i="34"/>
  <c r="AH36" i="34"/>
  <c r="AG36" i="34"/>
  <c r="AF36" i="34"/>
  <c r="AE36" i="34"/>
  <c r="AD36" i="34"/>
  <c r="AC36" i="34"/>
  <c r="AB36" i="34"/>
  <c r="AA36" i="34"/>
  <c r="Z36" i="34"/>
  <c r="Y36" i="34"/>
  <c r="AI35" i="34"/>
  <c r="AH35" i="34"/>
  <c r="AG35" i="34"/>
  <c r="AF35" i="34"/>
  <c r="AE35" i="34"/>
  <c r="AD35" i="34"/>
  <c r="AC35" i="34"/>
  <c r="AB35" i="34"/>
  <c r="AA35" i="34"/>
  <c r="Z35" i="34"/>
  <c r="Y35" i="34"/>
  <c r="AI34" i="34"/>
  <c r="AH34" i="34"/>
  <c r="AG34" i="34"/>
  <c r="AF34" i="34"/>
  <c r="AE34" i="34"/>
  <c r="AD34" i="34"/>
  <c r="AC34" i="34"/>
  <c r="AB34" i="34"/>
  <c r="AA34" i="34"/>
  <c r="Z34" i="34"/>
  <c r="Y34" i="34"/>
  <c r="AI33" i="34"/>
  <c r="AH33" i="34"/>
  <c r="AG33" i="34"/>
  <c r="AF33" i="34"/>
  <c r="AE33" i="34"/>
  <c r="AD33" i="34"/>
  <c r="AC33" i="34"/>
  <c r="AB33" i="34"/>
  <c r="AA33" i="34"/>
  <c r="Z33" i="34"/>
  <c r="Y33" i="34"/>
  <c r="AK32" i="34"/>
  <c r="AI32" i="34"/>
  <c r="AH32" i="34"/>
  <c r="AG32" i="34"/>
  <c r="AF32" i="34"/>
  <c r="AE32" i="34"/>
  <c r="AD32" i="34"/>
  <c r="AC32" i="34"/>
  <c r="AB32" i="34"/>
  <c r="AA32" i="34"/>
  <c r="Z32" i="34"/>
  <c r="Y32" i="34"/>
  <c r="AI31" i="34"/>
  <c r="AH31" i="34"/>
  <c r="AG31" i="34"/>
  <c r="AF31" i="34"/>
  <c r="AE31" i="34"/>
  <c r="AD31" i="34"/>
  <c r="AC31" i="34"/>
  <c r="AB31" i="34"/>
  <c r="AA31" i="34"/>
  <c r="Z31" i="34"/>
  <c r="Y31" i="34"/>
  <c r="AK30" i="34"/>
  <c r="AI30" i="34"/>
  <c r="AH30" i="34"/>
  <c r="AG30" i="34"/>
  <c r="AF30" i="34"/>
  <c r="AE30" i="34"/>
  <c r="AD30" i="34"/>
  <c r="AC30" i="34"/>
  <c r="AB30" i="34"/>
  <c r="AA30" i="34"/>
  <c r="Z30" i="34"/>
  <c r="Y30" i="34"/>
  <c r="AI29" i="34"/>
  <c r="AH29" i="34"/>
  <c r="AG29" i="34"/>
  <c r="AF29" i="34"/>
  <c r="AE29" i="34"/>
  <c r="AD29" i="34"/>
  <c r="AC29" i="34"/>
  <c r="AB29" i="34"/>
  <c r="AA29" i="34"/>
  <c r="Z29" i="34"/>
  <c r="Y29" i="34"/>
  <c r="AI28" i="34"/>
  <c r="AH28" i="34"/>
  <c r="AG28" i="34"/>
  <c r="AF28" i="34"/>
  <c r="AE28" i="34"/>
  <c r="AD28" i="34"/>
  <c r="AC28" i="34"/>
  <c r="AB28" i="34"/>
  <c r="AA28" i="34"/>
  <c r="Z28" i="34"/>
  <c r="Y28" i="34"/>
  <c r="AI27" i="34"/>
  <c r="AH27" i="34"/>
  <c r="AG27" i="34"/>
  <c r="AF27" i="34"/>
  <c r="AE27" i="34"/>
  <c r="AD27" i="34"/>
  <c r="AC27" i="34"/>
  <c r="AB27" i="34"/>
  <c r="AA27" i="34"/>
  <c r="Z27" i="34"/>
  <c r="Y27" i="34"/>
  <c r="AI26" i="34"/>
  <c r="AH26" i="34"/>
  <c r="AG26" i="34"/>
  <c r="AF26" i="34"/>
  <c r="AE26" i="34"/>
  <c r="AD26" i="34"/>
  <c r="AC26" i="34"/>
  <c r="AB26" i="34"/>
  <c r="AA26" i="34"/>
  <c r="Z26" i="34"/>
  <c r="Y26" i="34"/>
  <c r="AI25" i="34"/>
  <c r="AH25" i="34"/>
  <c r="AG25" i="34"/>
  <c r="AF25" i="34"/>
  <c r="AE25" i="34"/>
  <c r="AD25" i="34"/>
  <c r="AC25" i="34"/>
  <c r="AB25" i="34"/>
  <c r="AA25" i="34"/>
  <c r="Z25" i="34"/>
  <c r="Y25" i="34"/>
  <c r="AI24" i="34"/>
  <c r="AH24" i="34"/>
  <c r="AG24" i="34"/>
  <c r="AF24" i="34"/>
  <c r="AE24" i="34"/>
  <c r="AD24" i="34"/>
  <c r="AC24" i="34"/>
  <c r="AB24" i="34"/>
  <c r="AA24" i="34"/>
  <c r="Z24" i="34"/>
  <c r="Y24" i="34"/>
  <c r="AI23" i="34"/>
  <c r="AH23" i="34"/>
  <c r="AG23" i="34"/>
  <c r="AF23" i="34"/>
  <c r="AE23" i="34"/>
  <c r="AD23" i="34"/>
  <c r="AC23" i="34"/>
  <c r="AB23" i="34"/>
  <c r="AA23" i="34"/>
  <c r="Z23" i="34"/>
  <c r="Y23" i="34"/>
  <c r="AI22" i="34"/>
  <c r="AH22" i="34"/>
  <c r="AG22" i="34"/>
  <c r="AF22" i="34"/>
  <c r="AE22" i="34"/>
  <c r="AD22" i="34"/>
  <c r="AC22" i="34"/>
  <c r="AB22" i="34"/>
  <c r="AA22" i="34"/>
  <c r="Z22" i="34"/>
  <c r="Y22" i="34"/>
  <c r="AI21" i="34"/>
  <c r="AH21" i="34"/>
  <c r="AG21" i="34"/>
  <c r="AF21" i="34"/>
  <c r="AE21" i="34"/>
  <c r="AD21" i="34"/>
  <c r="AC21" i="34"/>
  <c r="AB21" i="34"/>
  <c r="AA21" i="34"/>
  <c r="Z21" i="34"/>
  <c r="Y21" i="34"/>
  <c r="AI20" i="34"/>
  <c r="AH20" i="34"/>
  <c r="AG20" i="34"/>
  <c r="AF20" i="34"/>
  <c r="AE20" i="34"/>
  <c r="AD20" i="34"/>
  <c r="AC20" i="34"/>
  <c r="AB20" i="34"/>
  <c r="AA20" i="34"/>
  <c r="Z20" i="34"/>
  <c r="Y20" i="34"/>
  <c r="AK19" i="34"/>
  <c r="AI19" i="34"/>
  <c r="AH19" i="34"/>
  <c r="AG19" i="34"/>
  <c r="AF19" i="34"/>
  <c r="AE19" i="34"/>
  <c r="AD19" i="34"/>
  <c r="AC19" i="34"/>
  <c r="AB19" i="34"/>
  <c r="AA19" i="34"/>
  <c r="Z19" i="34"/>
  <c r="Y19" i="34"/>
  <c r="AI18" i="34"/>
  <c r="AH18" i="34"/>
  <c r="AG18" i="34"/>
  <c r="AF18" i="34"/>
  <c r="AE18" i="34"/>
  <c r="AD18" i="34"/>
  <c r="AC18" i="34"/>
  <c r="AB18" i="34"/>
  <c r="AA18" i="34"/>
  <c r="Z18" i="34"/>
  <c r="Y18" i="34"/>
  <c r="AK17" i="34"/>
  <c r="AI17" i="34"/>
  <c r="AH17" i="34"/>
  <c r="AG17" i="34"/>
  <c r="AF17" i="34"/>
  <c r="AE17" i="34"/>
  <c r="AD17" i="34"/>
  <c r="AC17" i="34"/>
  <c r="AB17" i="34"/>
  <c r="AA17" i="34"/>
  <c r="Z17" i="34"/>
  <c r="Y17" i="34"/>
  <c r="AI16" i="34"/>
  <c r="AH16" i="34"/>
  <c r="AG16" i="34"/>
  <c r="AF16" i="34"/>
  <c r="AE16" i="34"/>
  <c r="AD16" i="34"/>
  <c r="AC16" i="34"/>
  <c r="AB16" i="34"/>
  <c r="AA16" i="34"/>
  <c r="Z16" i="34"/>
  <c r="Y16" i="34"/>
  <c r="AK15" i="34"/>
  <c r="AI15" i="34"/>
  <c r="AH15" i="34"/>
  <c r="AG15" i="34"/>
  <c r="AF15" i="34"/>
  <c r="AE15" i="34"/>
  <c r="AD15" i="34"/>
  <c r="AC15" i="34"/>
  <c r="AB15" i="34"/>
  <c r="AA15" i="34"/>
  <c r="Z15" i="34"/>
  <c r="Y15" i="34"/>
  <c r="AI14" i="34"/>
  <c r="AH14" i="34"/>
  <c r="AG14" i="34"/>
  <c r="AF14" i="34"/>
  <c r="AE14" i="34"/>
  <c r="AD14" i="34"/>
  <c r="AC14" i="34"/>
  <c r="AB14" i="34"/>
  <c r="AA14" i="34"/>
  <c r="Z14" i="34"/>
  <c r="Y14" i="34"/>
  <c r="AI13" i="34"/>
  <c r="AH13" i="34"/>
  <c r="AG13" i="34"/>
  <c r="AF13" i="34"/>
  <c r="AE13" i="34"/>
  <c r="AD13" i="34"/>
  <c r="AC13" i="34"/>
  <c r="AB13" i="34"/>
  <c r="AA13" i="34"/>
  <c r="Z13" i="34"/>
  <c r="Y13" i="34"/>
  <c r="AI12" i="34"/>
  <c r="AH12" i="34"/>
  <c r="AG12" i="34"/>
  <c r="AF12" i="34"/>
  <c r="AE12" i="34"/>
  <c r="AD12" i="34"/>
  <c r="AC12" i="34"/>
  <c r="AB12" i="34"/>
  <c r="AA12" i="34"/>
  <c r="Z12" i="34"/>
  <c r="Y12" i="34"/>
  <c r="AI11" i="34"/>
  <c r="AH11" i="34"/>
  <c r="AG11" i="34"/>
  <c r="AF11" i="34"/>
  <c r="AE11" i="34"/>
  <c r="AD11" i="34"/>
  <c r="AC11" i="34"/>
  <c r="AB11" i="34"/>
  <c r="AA11" i="34"/>
  <c r="Z11" i="34"/>
  <c r="Y11" i="34"/>
  <c r="AI10" i="34"/>
  <c r="AH10" i="34"/>
  <c r="AG10" i="34"/>
  <c r="AF10" i="34"/>
  <c r="AE10" i="34"/>
  <c r="AD10" i="34"/>
  <c r="AC10" i="34"/>
  <c r="AB10" i="34"/>
  <c r="AA10" i="34"/>
  <c r="Z10" i="34"/>
  <c r="Y10" i="34"/>
  <c r="AI9" i="34"/>
  <c r="AH9" i="34"/>
  <c r="AG9" i="34"/>
  <c r="AF9" i="34"/>
  <c r="AE9" i="34"/>
  <c r="AD9" i="34"/>
  <c r="AC9" i="34"/>
  <c r="AB9" i="34"/>
  <c r="AA9" i="34"/>
  <c r="Z9" i="34"/>
  <c r="Y9" i="34"/>
  <c r="AI8" i="34"/>
  <c r="AH8" i="34"/>
  <c r="AG8" i="34"/>
  <c r="AF8" i="34"/>
  <c r="AE8" i="34"/>
  <c r="AD8" i="34"/>
  <c r="AC8" i="34"/>
  <c r="AB8" i="34"/>
  <c r="AA8" i="34"/>
  <c r="Z8" i="34"/>
  <c r="Y8" i="34"/>
  <c r="AI7" i="34"/>
  <c r="AH7" i="34"/>
  <c r="AG7" i="34"/>
  <c r="AF7" i="34"/>
  <c r="AE7" i="34"/>
  <c r="AD7" i="34"/>
  <c r="AC7" i="34"/>
  <c r="AB7" i="34"/>
  <c r="AA7" i="34"/>
  <c r="Z7" i="34"/>
  <c r="Y7" i="34"/>
  <c r="AK6" i="34"/>
  <c r="AI6" i="34"/>
  <c r="AH6" i="34"/>
  <c r="AG6" i="34"/>
  <c r="AF6" i="34"/>
  <c r="AE6" i="34"/>
  <c r="AD6" i="34"/>
  <c r="AC6" i="34"/>
  <c r="AB6" i="34"/>
  <c r="AA6" i="34"/>
  <c r="Z6" i="34"/>
  <c r="Y6" i="34"/>
  <c r="AI5" i="34"/>
  <c r="AH5" i="34"/>
  <c r="AG5" i="34"/>
  <c r="AF5" i="34"/>
  <c r="AE5" i="34"/>
  <c r="AD5" i="34"/>
  <c r="AC5" i="34"/>
  <c r="AB5" i="34"/>
  <c r="AA5" i="34"/>
  <c r="Z5" i="34"/>
  <c r="Y5" i="34"/>
  <c r="AK4" i="34"/>
  <c r="AI4" i="34"/>
  <c r="AH4" i="34"/>
  <c r="AG4" i="34"/>
  <c r="AF4" i="34"/>
  <c r="AE4" i="34"/>
  <c r="AD4" i="34"/>
  <c r="AC4" i="34"/>
  <c r="AB4" i="34"/>
  <c r="AA4" i="34"/>
  <c r="Z4" i="34"/>
  <c r="Y4" i="34"/>
  <c r="AI3" i="34"/>
  <c r="AH3" i="34"/>
  <c r="AG3" i="34"/>
  <c r="AF3" i="34"/>
  <c r="AE3" i="34"/>
  <c r="AD3" i="34"/>
  <c r="AC3" i="34"/>
  <c r="AB3" i="34"/>
  <c r="AA3" i="34"/>
  <c r="Z3" i="34"/>
  <c r="Y3" i="34"/>
  <c r="AJ2" i="34"/>
  <c r="AK2" i="34" s="1"/>
  <c r="AI2" i="34"/>
  <c r="AH2" i="34"/>
  <c r="AG2" i="34"/>
  <c r="AF2" i="34"/>
  <c r="AE2" i="34"/>
  <c r="AD2" i="34"/>
  <c r="AC2" i="34"/>
  <c r="AB2" i="34"/>
  <c r="AA2" i="34"/>
  <c r="Z2" i="34"/>
  <c r="Y2" i="34"/>
  <c r="X75" i="34"/>
  <c r="X74" i="34"/>
  <c r="X73" i="34"/>
  <c r="X72" i="34"/>
  <c r="X71" i="34"/>
  <c r="X70" i="34"/>
  <c r="X69" i="34"/>
  <c r="X68" i="34"/>
  <c r="X67" i="34"/>
  <c r="X66" i="34"/>
  <c r="X65" i="34"/>
  <c r="X64" i="34"/>
  <c r="AK64" i="34" s="1"/>
  <c r="X63" i="34"/>
  <c r="AK63" i="34" s="1"/>
  <c r="X62" i="34"/>
  <c r="AK62" i="34" s="1"/>
  <c r="X61" i="34"/>
  <c r="AK61" i="34" s="1"/>
  <c r="X60" i="34"/>
  <c r="X59" i="34"/>
  <c r="AK59" i="34" s="1"/>
  <c r="X58" i="34"/>
  <c r="X57" i="34"/>
  <c r="X56" i="34"/>
  <c r="X55" i="34"/>
  <c r="X54" i="34"/>
  <c r="X53" i="34"/>
  <c r="X52" i="34"/>
  <c r="X51" i="34"/>
  <c r="X50" i="34"/>
  <c r="X49" i="34"/>
  <c r="X48" i="34"/>
  <c r="X47" i="34"/>
  <c r="X46" i="34"/>
  <c r="X45" i="34"/>
  <c r="X44" i="34"/>
  <c r="X43" i="34"/>
  <c r="X42" i="34"/>
  <c r="X41" i="34"/>
  <c r="X40" i="34"/>
  <c r="X39" i="34"/>
  <c r="X38" i="34"/>
  <c r="AK38" i="34" s="1"/>
  <c r="X37" i="34"/>
  <c r="AK37" i="34" s="1"/>
  <c r="X36" i="34"/>
  <c r="AK36" i="34" s="1"/>
  <c r="X35" i="34"/>
  <c r="AK35" i="34" s="1"/>
  <c r="X34" i="34"/>
  <c r="X33" i="34"/>
  <c r="AK33" i="34" s="1"/>
  <c r="X32" i="34"/>
  <c r="X31" i="34"/>
  <c r="X30" i="34"/>
  <c r="X29" i="34"/>
  <c r="X28" i="34"/>
  <c r="X27" i="34"/>
  <c r="X26" i="34"/>
  <c r="X25" i="34"/>
  <c r="X24" i="34"/>
  <c r="X23" i="34"/>
  <c r="X22" i="34"/>
  <c r="X21" i="34"/>
  <c r="X20" i="34"/>
  <c r="X19" i="34"/>
  <c r="X18" i="34"/>
  <c r="X17" i="34"/>
  <c r="X16" i="34"/>
  <c r="X15" i="34"/>
  <c r="X14" i="34"/>
  <c r="AK14" i="34" s="1"/>
  <c r="X13" i="34"/>
  <c r="X12" i="34"/>
  <c r="AK12" i="34" s="1"/>
  <c r="X11" i="34"/>
  <c r="AK11" i="34" s="1"/>
  <c r="X10" i="34"/>
  <c r="AK10" i="34" s="1"/>
  <c r="X9" i="34"/>
  <c r="AK9" i="34" s="1"/>
  <c r="X8" i="34"/>
  <c r="X7" i="34"/>
  <c r="AK7" i="34" s="1"/>
  <c r="X6" i="34"/>
  <c r="X5" i="34"/>
  <c r="X4" i="34"/>
  <c r="X3" i="34"/>
  <c r="X2" i="34"/>
  <c r="AK3" i="34"/>
  <c r="AK5" i="34"/>
  <c r="AK16" i="34"/>
  <c r="AK18" i="34"/>
  <c r="AK20" i="34"/>
  <c r="AK22" i="34"/>
  <c r="AK23" i="34"/>
  <c r="AK42" i="34"/>
  <c r="AK44" i="34"/>
  <c r="AK56" i="34"/>
  <c r="AK57" i="34"/>
  <c r="AK31" i="34"/>
  <c r="H4" i="34"/>
  <c r="H5" i="34"/>
  <c r="H30" i="34"/>
  <c r="H31" i="34"/>
  <c r="H56" i="34"/>
  <c r="H57" i="34"/>
  <c r="G3" i="34"/>
  <c r="G4" i="34"/>
  <c r="G5" i="34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56" i="34"/>
  <c r="G57" i="34"/>
  <c r="G58" i="34"/>
  <c r="G59" i="34"/>
  <c r="G60" i="34"/>
  <c r="G61" i="34"/>
  <c r="G62" i="34"/>
  <c r="G63" i="34"/>
  <c r="G64" i="34"/>
  <c r="G65" i="34"/>
  <c r="G66" i="34"/>
  <c r="G67" i="34"/>
  <c r="G68" i="34"/>
  <c r="G69" i="34"/>
  <c r="G70" i="34"/>
  <c r="G71" i="34"/>
  <c r="G72" i="34"/>
  <c r="G73" i="34"/>
  <c r="G74" i="34"/>
  <c r="F3" i="34"/>
  <c r="H3" i="34" s="1"/>
  <c r="F4" i="34"/>
  <c r="F5" i="34"/>
  <c r="F6" i="34"/>
  <c r="H6" i="34" s="1"/>
  <c r="F7" i="34"/>
  <c r="H7" i="34" s="1"/>
  <c r="F8" i="34"/>
  <c r="H8" i="34" s="1"/>
  <c r="F9" i="34"/>
  <c r="H9" i="34" s="1"/>
  <c r="F10" i="34"/>
  <c r="H10" i="34" s="1"/>
  <c r="F11" i="34"/>
  <c r="H11" i="34" s="1"/>
  <c r="F12" i="34"/>
  <c r="H12" i="34" s="1"/>
  <c r="F13" i="34"/>
  <c r="H13" i="34" s="1"/>
  <c r="F14" i="34"/>
  <c r="H14" i="34" s="1"/>
  <c r="F15" i="34"/>
  <c r="H15" i="34" s="1"/>
  <c r="F16" i="34"/>
  <c r="H16" i="34" s="1"/>
  <c r="F17" i="34"/>
  <c r="H17" i="34" s="1"/>
  <c r="F18" i="34"/>
  <c r="H18" i="34" s="1"/>
  <c r="F19" i="34"/>
  <c r="H19" i="34" s="1"/>
  <c r="F20" i="34"/>
  <c r="H20" i="34" s="1"/>
  <c r="F21" i="34"/>
  <c r="H21" i="34" s="1"/>
  <c r="F22" i="34"/>
  <c r="H22" i="34" s="1"/>
  <c r="F23" i="34"/>
  <c r="H23" i="34" s="1"/>
  <c r="F24" i="34"/>
  <c r="H24" i="34" s="1"/>
  <c r="F25" i="34"/>
  <c r="H25" i="34" s="1"/>
  <c r="F26" i="34"/>
  <c r="H26" i="34" s="1"/>
  <c r="F27" i="34"/>
  <c r="H27" i="34" s="1"/>
  <c r="F28" i="34"/>
  <c r="H28" i="34" s="1"/>
  <c r="F29" i="34"/>
  <c r="H29" i="34" s="1"/>
  <c r="F30" i="34"/>
  <c r="F31" i="34"/>
  <c r="F32" i="34"/>
  <c r="H32" i="34" s="1"/>
  <c r="F33" i="34"/>
  <c r="H33" i="34" s="1"/>
  <c r="F34" i="34"/>
  <c r="H34" i="34" s="1"/>
  <c r="F35" i="34"/>
  <c r="H35" i="34" s="1"/>
  <c r="F36" i="34"/>
  <c r="H36" i="34" s="1"/>
  <c r="F37" i="34"/>
  <c r="H37" i="34" s="1"/>
  <c r="F38" i="34"/>
  <c r="H38" i="34" s="1"/>
  <c r="F39" i="34"/>
  <c r="H39" i="34" s="1"/>
  <c r="F40" i="34"/>
  <c r="H40" i="34" s="1"/>
  <c r="F41" i="34"/>
  <c r="H41" i="34" s="1"/>
  <c r="F42" i="34"/>
  <c r="H42" i="34" s="1"/>
  <c r="F43" i="34"/>
  <c r="H43" i="34" s="1"/>
  <c r="F44" i="34"/>
  <c r="H44" i="34" s="1"/>
  <c r="F45" i="34"/>
  <c r="H45" i="34" s="1"/>
  <c r="F46" i="34"/>
  <c r="H46" i="34" s="1"/>
  <c r="F47" i="34"/>
  <c r="H47" i="34" s="1"/>
  <c r="F48" i="34"/>
  <c r="H48" i="34" s="1"/>
  <c r="F49" i="34"/>
  <c r="H49" i="34" s="1"/>
  <c r="F50" i="34"/>
  <c r="H50" i="34" s="1"/>
  <c r="F51" i="34"/>
  <c r="H51" i="34" s="1"/>
  <c r="F52" i="34"/>
  <c r="H52" i="34" s="1"/>
  <c r="F53" i="34"/>
  <c r="H53" i="34" s="1"/>
  <c r="F54" i="34"/>
  <c r="H54" i="34" s="1"/>
  <c r="F55" i="34"/>
  <c r="H55" i="34" s="1"/>
  <c r="F56" i="34"/>
  <c r="F57" i="34"/>
  <c r="F58" i="34"/>
  <c r="H58" i="34" s="1"/>
  <c r="F59" i="34"/>
  <c r="H59" i="34" s="1"/>
  <c r="F60" i="34"/>
  <c r="H60" i="34" s="1"/>
  <c r="F61" i="34"/>
  <c r="H61" i="34" s="1"/>
  <c r="F62" i="34"/>
  <c r="H62" i="34" s="1"/>
  <c r="F63" i="34"/>
  <c r="H63" i="34" s="1"/>
  <c r="F64" i="34"/>
  <c r="H64" i="34" s="1"/>
  <c r="F65" i="34"/>
  <c r="H65" i="34" s="1"/>
  <c r="F66" i="34"/>
  <c r="H66" i="34" s="1"/>
  <c r="F67" i="34"/>
  <c r="H67" i="34" s="1"/>
  <c r="F68" i="34"/>
  <c r="H68" i="34" s="1"/>
  <c r="F69" i="34"/>
  <c r="H69" i="34" s="1"/>
  <c r="F70" i="34"/>
  <c r="H70" i="34" s="1"/>
  <c r="F71" i="34"/>
  <c r="H71" i="34" s="1"/>
  <c r="F72" i="34"/>
  <c r="H72" i="34" s="1"/>
  <c r="F73" i="34"/>
  <c r="H73" i="34" s="1"/>
  <c r="F74" i="34"/>
  <c r="H74" i="34" s="1"/>
  <c r="F2" i="34"/>
  <c r="H2" i="34" s="1"/>
  <c r="AK50" i="34" l="1"/>
  <c r="AK25" i="34"/>
  <c r="AK51" i="34"/>
  <c r="AK53" i="34"/>
  <c r="AK27" i="34"/>
  <c r="AK40" i="34"/>
  <c r="AK54" i="34"/>
  <c r="AK28" i="34"/>
  <c r="AK34" i="34"/>
  <c r="AK39" i="34"/>
  <c r="AK13" i="34"/>
  <c r="AK8" i="34"/>
  <c r="AK65" i="34"/>
  <c r="AK24" i="34"/>
  <c r="AK60" i="34"/>
  <c r="AK26" i="34"/>
  <c r="AK52" i="34"/>
  <c r="AJ76" i="34"/>
  <c r="L3" i="34"/>
  <c r="L4" i="34"/>
  <c r="L5" i="34"/>
  <c r="L6" i="34"/>
  <c r="L7" i="34"/>
  <c r="L8" i="34"/>
  <c r="L9" i="34"/>
  <c r="L10" i="34"/>
  <c r="L11" i="34"/>
  <c r="L12" i="34"/>
  <c r="L13" i="34"/>
  <c r="L14" i="34"/>
  <c r="L15" i="34"/>
  <c r="L16" i="34"/>
  <c r="L17" i="34"/>
  <c r="L18" i="34"/>
  <c r="L19" i="34"/>
  <c r="L20" i="34"/>
  <c r="L21" i="34"/>
  <c r="L22" i="34"/>
  <c r="L23" i="34"/>
  <c r="L24" i="34"/>
  <c r="L25" i="34"/>
  <c r="L26" i="34"/>
  <c r="L27" i="34"/>
  <c r="L28" i="34"/>
  <c r="L29" i="34"/>
  <c r="L30" i="34"/>
  <c r="L31" i="34"/>
  <c r="L32" i="34"/>
  <c r="L33" i="34"/>
  <c r="L34" i="34"/>
  <c r="L35" i="34"/>
  <c r="L36" i="34"/>
  <c r="L37" i="34"/>
  <c r="L38" i="34"/>
  <c r="L39" i="34"/>
  <c r="L40" i="34"/>
  <c r="L41" i="34"/>
  <c r="L42" i="34"/>
  <c r="L43" i="34"/>
  <c r="L44" i="34"/>
  <c r="L45" i="34"/>
  <c r="L46" i="34"/>
  <c r="L47" i="34"/>
  <c r="L48" i="34"/>
  <c r="L49" i="34"/>
  <c r="L50" i="34"/>
  <c r="L51" i="34"/>
  <c r="L52" i="34"/>
  <c r="L53" i="34"/>
  <c r="L54" i="34"/>
  <c r="L55" i="34"/>
  <c r="L56" i="34"/>
  <c r="L57" i="34"/>
  <c r="L58" i="34"/>
  <c r="L59" i="34"/>
  <c r="L60" i="34"/>
  <c r="L61" i="34"/>
  <c r="L62" i="34"/>
  <c r="L63" i="34"/>
  <c r="L64" i="34"/>
  <c r="L65" i="34"/>
  <c r="L66" i="34"/>
  <c r="L67" i="34"/>
  <c r="L68" i="34"/>
  <c r="L69" i="34"/>
  <c r="L70" i="34"/>
  <c r="L71" i="34"/>
  <c r="L72" i="34"/>
  <c r="L73" i="34"/>
  <c r="L74" i="34"/>
  <c r="L75" i="34"/>
  <c r="L2" i="34"/>
  <c r="K3" i="34"/>
  <c r="K4" i="34"/>
  <c r="K5" i="34"/>
  <c r="K6" i="34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2" i="34"/>
  <c r="V3" i="34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3" i="34"/>
  <c r="V34" i="34"/>
  <c r="V35" i="34"/>
  <c r="V36" i="34"/>
  <c r="V37" i="34"/>
  <c r="V38" i="34"/>
  <c r="V39" i="34"/>
  <c r="V40" i="34"/>
  <c r="V41" i="34"/>
  <c r="V42" i="34"/>
  <c r="V43" i="34"/>
  <c r="V44" i="34"/>
  <c r="V45" i="34"/>
  <c r="V46" i="34"/>
  <c r="V47" i="34"/>
  <c r="V48" i="34"/>
  <c r="V49" i="34"/>
  <c r="V50" i="34"/>
  <c r="V51" i="34"/>
  <c r="V52" i="34"/>
  <c r="V53" i="34"/>
  <c r="V54" i="34"/>
  <c r="V55" i="34"/>
  <c r="V56" i="34"/>
  <c r="V57" i="34"/>
  <c r="V58" i="34"/>
  <c r="V59" i="34"/>
  <c r="V60" i="34"/>
  <c r="V61" i="34"/>
  <c r="V62" i="34"/>
  <c r="V63" i="34"/>
  <c r="V64" i="34"/>
  <c r="V65" i="34"/>
  <c r="V66" i="34"/>
  <c r="V67" i="34"/>
  <c r="V68" i="34"/>
  <c r="V69" i="34"/>
  <c r="V70" i="34"/>
  <c r="V71" i="34"/>
  <c r="V72" i="34"/>
  <c r="V73" i="34"/>
  <c r="V74" i="34"/>
  <c r="V75" i="34"/>
  <c r="V2" i="34"/>
  <c r="U3" i="34"/>
  <c r="U4" i="34"/>
  <c r="U5" i="34"/>
  <c r="U6" i="34"/>
  <c r="U7" i="34"/>
  <c r="U8" i="34"/>
  <c r="U9" i="34"/>
  <c r="U10" i="34"/>
  <c r="U11" i="34"/>
  <c r="U12" i="34"/>
  <c r="U13" i="34"/>
  <c r="U14" i="34"/>
  <c r="U15" i="34"/>
  <c r="U16" i="34"/>
  <c r="U17" i="34"/>
  <c r="U18" i="34"/>
  <c r="U19" i="34"/>
  <c r="U20" i="34"/>
  <c r="U21" i="34"/>
  <c r="U22" i="34"/>
  <c r="U23" i="34"/>
  <c r="U24" i="34"/>
  <c r="U25" i="34"/>
  <c r="U26" i="34"/>
  <c r="U27" i="34"/>
  <c r="U28" i="34"/>
  <c r="U29" i="34"/>
  <c r="U30" i="34"/>
  <c r="U31" i="34"/>
  <c r="U32" i="34"/>
  <c r="U33" i="34"/>
  <c r="U34" i="34"/>
  <c r="U35" i="34"/>
  <c r="U36" i="34"/>
  <c r="U37" i="34"/>
  <c r="U38" i="34"/>
  <c r="U39" i="34"/>
  <c r="U40" i="34"/>
  <c r="U41" i="34"/>
  <c r="U42" i="34"/>
  <c r="U43" i="34"/>
  <c r="U44" i="34"/>
  <c r="U45" i="34"/>
  <c r="U46" i="34"/>
  <c r="U47" i="34"/>
  <c r="U48" i="34"/>
  <c r="U49" i="34"/>
  <c r="U50" i="34"/>
  <c r="U51" i="34"/>
  <c r="U52" i="34"/>
  <c r="U53" i="34"/>
  <c r="U54" i="34"/>
  <c r="U55" i="34"/>
  <c r="U56" i="34"/>
  <c r="U57" i="34"/>
  <c r="U58" i="34"/>
  <c r="U59" i="34"/>
  <c r="U60" i="34"/>
  <c r="U61" i="34"/>
  <c r="U62" i="34"/>
  <c r="U63" i="34"/>
  <c r="U64" i="34"/>
  <c r="U65" i="34"/>
  <c r="U66" i="34"/>
  <c r="U67" i="34"/>
  <c r="U68" i="34"/>
  <c r="U69" i="34"/>
  <c r="U70" i="34"/>
  <c r="U71" i="34"/>
  <c r="U72" i="34"/>
  <c r="U73" i="34"/>
  <c r="U74" i="34"/>
  <c r="U75" i="34"/>
  <c r="U2" i="34"/>
  <c r="T3" i="34"/>
  <c r="T4" i="34"/>
  <c r="T5" i="34"/>
  <c r="T6" i="34"/>
  <c r="T7" i="34"/>
  <c r="T8" i="34"/>
  <c r="T9" i="34"/>
  <c r="T10" i="34"/>
  <c r="T11" i="34"/>
  <c r="T12" i="34"/>
  <c r="T13" i="34"/>
  <c r="T14" i="34"/>
  <c r="T15" i="34"/>
  <c r="T16" i="34"/>
  <c r="T17" i="34"/>
  <c r="T18" i="34"/>
  <c r="T19" i="34"/>
  <c r="T20" i="34"/>
  <c r="T21" i="34"/>
  <c r="T22" i="34"/>
  <c r="T23" i="34"/>
  <c r="T24" i="34"/>
  <c r="T25" i="34"/>
  <c r="T26" i="34"/>
  <c r="T27" i="34"/>
  <c r="T28" i="34"/>
  <c r="T29" i="34"/>
  <c r="T30" i="34"/>
  <c r="T31" i="34"/>
  <c r="T32" i="34"/>
  <c r="T33" i="34"/>
  <c r="T34" i="34"/>
  <c r="T35" i="34"/>
  <c r="T36" i="34"/>
  <c r="T37" i="34"/>
  <c r="T38" i="34"/>
  <c r="T39" i="34"/>
  <c r="T40" i="34"/>
  <c r="T41" i="34"/>
  <c r="T42" i="34"/>
  <c r="T43" i="34"/>
  <c r="T44" i="34"/>
  <c r="T45" i="34"/>
  <c r="T46" i="34"/>
  <c r="T47" i="34"/>
  <c r="T48" i="34"/>
  <c r="T49" i="34"/>
  <c r="T50" i="34"/>
  <c r="T51" i="34"/>
  <c r="T52" i="34"/>
  <c r="T53" i="34"/>
  <c r="T54" i="34"/>
  <c r="T55" i="34"/>
  <c r="T56" i="34"/>
  <c r="T57" i="34"/>
  <c r="T58" i="34"/>
  <c r="T59" i="34"/>
  <c r="T60" i="34"/>
  <c r="T61" i="34"/>
  <c r="T62" i="34"/>
  <c r="T63" i="34"/>
  <c r="T64" i="34"/>
  <c r="T65" i="34"/>
  <c r="T66" i="34"/>
  <c r="T67" i="34"/>
  <c r="T68" i="34"/>
  <c r="T69" i="34"/>
  <c r="T70" i="34"/>
  <c r="T71" i="34"/>
  <c r="T72" i="34"/>
  <c r="T73" i="34"/>
  <c r="T74" i="34"/>
  <c r="T75" i="34"/>
  <c r="T2" i="34"/>
  <c r="R3" i="34"/>
  <c r="R4" i="34"/>
  <c r="R5" i="34"/>
  <c r="R6" i="34"/>
  <c r="R7" i="34"/>
  <c r="R8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R29" i="34"/>
  <c r="R30" i="34"/>
  <c r="R31" i="34"/>
  <c r="R32" i="34"/>
  <c r="R33" i="34"/>
  <c r="R34" i="34"/>
  <c r="R35" i="34"/>
  <c r="R36" i="34"/>
  <c r="R37" i="34"/>
  <c r="R38" i="34"/>
  <c r="R39" i="34"/>
  <c r="R40" i="34"/>
  <c r="R41" i="34"/>
  <c r="R42" i="34"/>
  <c r="R43" i="34"/>
  <c r="R44" i="34"/>
  <c r="R45" i="34"/>
  <c r="R46" i="34"/>
  <c r="R47" i="34"/>
  <c r="R48" i="34"/>
  <c r="R49" i="34"/>
  <c r="R50" i="34"/>
  <c r="R51" i="34"/>
  <c r="R52" i="34"/>
  <c r="R53" i="34"/>
  <c r="R54" i="34"/>
  <c r="R55" i="34"/>
  <c r="R56" i="34"/>
  <c r="R57" i="34"/>
  <c r="R58" i="34"/>
  <c r="R59" i="34"/>
  <c r="R60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2" i="34"/>
  <c r="Q3" i="34"/>
  <c r="Q4" i="34"/>
  <c r="Q5" i="34"/>
  <c r="Q6" i="34"/>
  <c r="Q7" i="34"/>
  <c r="Q8" i="34"/>
  <c r="Q9" i="34"/>
  <c r="Q10" i="34"/>
  <c r="Q11" i="34"/>
  <c r="Q12" i="34"/>
  <c r="Q13" i="34"/>
  <c r="Q14" i="34"/>
  <c r="Q15" i="34"/>
  <c r="Q16" i="34"/>
  <c r="Q17" i="34"/>
  <c r="Q18" i="34"/>
  <c r="Q19" i="34"/>
  <c r="Q20" i="34"/>
  <c r="Q21" i="34"/>
  <c r="Q22" i="34"/>
  <c r="Q23" i="34"/>
  <c r="Q24" i="34"/>
  <c r="Q25" i="34"/>
  <c r="Q26" i="34"/>
  <c r="Q27" i="34"/>
  <c r="Q28" i="34"/>
  <c r="Q29" i="34"/>
  <c r="Q30" i="34"/>
  <c r="Q31" i="34"/>
  <c r="Q32" i="34"/>
  <c r="Q33" i="34"/>
  <c r="Q34" i="34"/>
  <c r="Q35" i="34"/>
  <c r="Q36" i="34"/>
  <c r="Q37" i="34"/>
  <c r="Q38" i="34"/>
  <c r="Q39" i="34"/>
  <c r="Q40" i="34"/>
  <c r="Q41" i="34"/>
  <c r="Q42" i="34"/>
  <c r="Q43" i="34"/>
  <c r="Q44" i="34"/>
  <c r="Q45" i="34"/>
  <c r="Q46" i="34"/>
  <c r="Q47" i="34"/>
  <c r="Q48" i="34"/>
  <c r="Q49" i="34"/>
  <c r="Q50" i="34"/>
  <c r="Q51" i="34"/>
  <c r="Q52" i="34"/>
  <c r="Q53" i="34"/>
  <c r="Q54" i="34"/>
  <c r="Q55" i="34"/>
  <c r="Q56" i="34"/>
  <c r="Q57" i="34"/>
  <c r="Q58" i="34"/>
  <c r="Q59" i="34"/>
  <c r="Q60" i="34"/>
  <c r="Q61" i="34"/>
  <c r="Q62" i="34"/>
  <c r="Q63" i="34"/>
  <c r="Q64" i="34"/>
  <c r="Q65" i="34"/>
  <c r="Q66" i="34"/>
  <c r="Q67" i="34"/>
  <c r="Q68" i="34"/>
  <c r="Q69" i="34"/>
  <c r="Q70" i="34"/>
  <c r="Q71" i="34"/>
  <c r="Q72" i="34"/>
  <c r="Q73" i="34"/>
  <c r="Q74" i="34"/>
  <c r="Q75" i="34"/>
  <c r="Q2" i="34"/>
  <c r="N3" i="34"/>
  <c r="N4" i="34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2" i="34"/>
  <c r="M3" i="34"/>
  <c r="M4" i="34"/>
  <c r="M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22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39" i="34"/>
  <c r="M40" i="34"/>
  <c r="M41" i="34"/>
  <c r="M42" i="34"/>
  <c r="M43" i="34"/>
  <c r="M44" i="34"/>
  <c r="M45" i="34"/>
  <c r="M46" i="34"/>
  <c r="M47" i="34"/>
  <c r="M48" i="34"/>
  <c r="M49" i="34"/>
  <c r="M50" i="34"/>
  <c r="M51" i="34"/>
  <c r="M52" i="34"/>
  <c r="M53" i="34"/>
  <c r="M54" i="34"/>
  <c r="M55" i="34"/>
  <c r="M56" i="34"/>
  <c r="M57" i="34"/>
  <c r="M58" i="34"/>
  <c r="M59" i="34"/>
  <c r="M60" i="34"/>
  <c r="M61" i="34"/>
  <c r="M62" i="34"/>
  <c r="M63" i="34"/>
  <c r="M64" i="34"/>
  <c r="M65" i="34"/>
  <c r="M66" i="34"/>
  <c r="M67" i="34"/>
  <c r="M68" i="34"/>
  <c r="M69" i="34"/>
  <c r="M70" i="34"/>
  <c r="M71" i="34"/>
  <c r="M72" i="34"/>
  <c r="M73" i="34"/>
  <c r="M74" i="34"/>
  <c r="M75" i="34"/>
  <c r="W75" i="34" s="1"/>
  <c r="M2" i="34"/>
  <c r="C78" i="34" l="1"/>
  <c r="I70" i="34"/>
  <c r="W70" i="34" s="1"/>
  <c r="I67" i="34"/>
  <c r="W67" i="34" s="1"/>
  <c r="I66" i="34"/>
  <c r="W66" i="34" s="1"/>
  <c r="I65" i="34"/>
  <c r="W65" i="34" s="1"/>
  <c r="I63" i="34"/>
  <c r="W63" i="34" s="1"/>
  <c r="I59" i="34"/>
  <c r="W59" i="34" s="1"/>
  <c r="I56" i="34"/>
  <c r="W56" i="34" s="1"/>
  <c r="I30" i="34"/>
  <c r="W30" i="34" s="1"/>
  <c r="I13" i="34"/>
  <c r="W13" i="34" s="1"/>
  <c r="I6" i="34"/>
  <c r="W6" i="34" s="1"/>
  <c r="I3" i="34"/>
  <c r="W3" i="34" s="1"/>
  <c r="S3" i="53"/>
  <c r="S4" i="53"/>
  <c r="S5" i="53"/>
  <c r="S6" i="53"/>
  <c r="S7" i="53"/>
  <c r="S8" i="53"/>
  <c r="S9" i="53"/>
  <c r="S10" i="53"/>
  <c r="S11" i="53"/>
  <c r="S12" i="53"/>
  <c r="S13" i="53"/>
  <c r="S14" i="53"/>
  <c r="S15" i="53"/>
  <c r="S16" i="53"/>
  <c r="S17" i="53"/>
  <c r="S18" i="53"/>
  <c r="S19" i="53"/>
  <c r="S20" i="53"/>
  <c r="S21" i="53"/>
  <c r="S22" i="53"/>
  <c r="S23" i="53"/>
  <c r="S24" i="53"/>
  <c r="S25" i="53"/>
  <c r="S26" i="53"/>
  <c r="S27" i="53"/>
  <c r="S28" i="53"/>
  <c r="S29" i="53"/>
  <c r="S30" i="53"/>
  <c r="S31" i="53"/>
  <c r="S32" i="53"/>
  <c r="S33" i="53"/>
  <c r="S34" i="53"/>
  <c r="S35" i="53"/>
  <c r="S36" i="53"/>
  <c r="S37" i="53"/>
  <c r="S38" i="53"/>
  <c r="S39" i="53"/>
  <c r="S40" i="53"/>
  <c r="S41" i="53"/>
  <c r="S42" i="53"/>
  <c r="S43" i="53"/>
  <c r="S44" i="53"/>
  <c r="S45" i="53"/>
  <c r="S46" i="53"/>
  <c r="S47" i="53"/>
  <c r="S48" i="53"/>
  <c r="S49" i="53"/>
  <c r="S50" i="53"/>
  <c r="S51" i="53"/>
  <c r="S52" i="53"/>
  <c r="S53" i="53"/>
  <c r="S54" i="53"/>
  <c r="S55" i="53"/>
  <c r="S56" i="53"/>
  <c r="S57" i="53"/>
  <c r="S58" i="53"/>
  <c r="S59" i="53"/>
  <c r="S60" i="53"/>
  <c r="S61" i="53"/>
  <c r="S62" i="53"/>
  <c r="S63" i="53"/>
  <c r="S64" i="53"/>
  <c r="S65" i="53"/>
  <c r="S66" i="53"/>
  <c r="S67" i="53"/>
  <c r="S68" i="53"/>
  <c r="S69" i="53"/>
  <c r="S70" i="53"/>
  <c r="I73" i="34" s="1"/>
  <c r="W73" i="34" s="1"/>
  <c r="S71" i="53"/>
  <c r="S72" i="53"/>
  <c r="S2" i="53"/>
  <c r="S3" i="52"/>
  <c r="S4" i="52"/>
  <c r="S5" i="52"/>
  <c r="S6" i="52"/>
  <c r="S7" i="52"/>
  <c r="S8" i="52"/>
  <c r="S9" i="52"/>
  <c r="S10" i="52"/>
  <c r="S11" i="52"/>
  <c r="S12" i="52"/>
  <c r="S13" i="52"/>
  <c r="S14" i="52"/>
  <c r="S15" i="52"/>
  <c r="S16" i="52"/>
  <c r="S17" i="52"/>
  <c r="S18" i="52"/>
  <c r="S19" i="52"/>
  <c r="S20" i="52"/>
  <c r="S21" i="52"/>
  <c r="S22" i="52"/>
  <c r="S23" i="52"/>
  <c r="S24" i="52"/>
  <c r="S25" i="52"/>
  <c r="S26" i="52"/>
  <c r="S27" i="52"/>
  <c r="S28" i="52"/>
  <c r="S29" i="52"/>
  <c r="S30" i="52"/>
  <c r="S31" i="52"/>
  <c r="S32" i="52"/>
  <c r="S33" i="52"/>
  <c r="S34" i="52"/>
  <c r="S35" i="52"/>
  <c r="S36" i="52"/>
  <c r="S37" i="52"/>
  <c r="S38" i="52"/>
  <c r="S39" i="52"/>
  <c r="S40" i="52"/>
  <c r="S41" i="52"/>
  <c r="S42" i="52"/>
  <c r="S43" i="52"/>
  <c r="S44" i="52"/>
  <c r="S45" i="52"/>
  <c r="S46" i="52"/>
  <c r="S47" i="52"/>
  <c r="S48" i="52"/>
  <c r="S49" i="52"/>
  <c r="S50" i="52"/>
  <c r="S51" i="52"/>
  <c r="S52" i="52"/>
  <c r="S53" i="52"/>
  <c r="S54" i="52"/>
  <c r="S55" i="52"/>
  <c r="S56" i="52"/>
  <c r="S57" i="52"/>
  <c r="S58" i="52"/>
  <c r="S59" i="52"/>
  <c r="S60" i="52"/>
  <c r="S61" i="52"/>
  <c r="S62" i="52"/>
  <c r="S63" i="52"/>
  <c r="S64" i="52"/>
  <c r="S65" i="52"/>
  <c r="S66" i="52"/>
  <c r="S67" i="52"/>
  <c r="S68" i="52"/>
  <c r="S69" i="52"/>
  <c r="S70" i="52"/>
  <c r="S71" i="52"/>
  <c r="S72" i="52"/>
  <c r="S2" i="52"/>
  <c r="S3" i="45"/>
  <c r="S4" i="45"/>
  <c r="I7" i="34" s="1"/>
  <c r="W7" i="34" s="1"/>
  <c r="S5" i="45"/>
  <c r="S6" i="45"/>
  <c r="S7" i="45"/>
  <c r="S8" i="45"/>
  <c r="S9" i="45"/>
  <c r="S10" i="45"/>
  <c r="S11" i="45"/>
  <c r="S12" i="45"/>
  <c r="S13" i="45"/>
  <c r="S14" i="45"/>
  <c r="S15" i="45"/>
  <c r="S16" i="45"/>
  <c r="S17" i="45"/>
  <c r="S18" i="45"/>
  <c r="S19" i="45"/>
  <c r="S20" i="45"/>
  <c r="S21" i="45"/>
  <c r="S22" i="45"/>
  <c r="S23" i="45"/>
  <c r="S24" i="45"/>
  <c r="S25" i="45"/>
  <c r="S26" i="45"/>
  <c r="S27" i="45"/>
  <c r="S28" i="45"/>
  <c r="S29" i="45"/>
  <c r="S30" i="45"/>
  <c r="I33" i="34" s="1"/>
  <c r="W33" i="34" s="1"/>
  <c r="S31" i="45"/>
  <c r="S32" i="45"/>
  <c r="S33" i="45"/>
  <c r="S34" i="45"/>
  <c r="S35" i="45"/>
  <c r="S36" i="45"/>
  <c r="S37" i="45"/>
  <c r="S38" i="45"/>
  <c r="S39" i="45"/>
  <c r="S40" i="45"/>
  <c r="S41" i="45"/>
  <c r="S42" i="45"/>
  <c r="S43" i="45"/>
  <c r="S44" i="45"/>
  <c r="S45" i="45"/>
  <c r="S46" i="45"/>
  <c r="S47" i="45"/>
  <c r="S48" i="45"/>
  <c r="S49" i="45"/>
  <c r="S50" i="45"/>
  <c r="S51" i="45"/>
  <c r="S52" i="45"/>
  <c r="S53" i="45"/>
  <c r="S54" i="45"/>
  <c r="S55" i="45"/>
  <c r="S56" i="45"/>
  <c r="S57" i="45"/>
  <c r="S58" i="45"/>
  <c r="S59" i="45"/>
  <c r="S60" i="45"/>
  <c r="S61" i="45"/>
  <c r="S62" i="45"/>
  <c r="S63" i="45"/>
  <c r="S64" i="45"/>
  <c r="S65" i="45"/>
  <c r="S66" i="45"/>
  <c r="S67" i="45"/>
  <c r="S68" i="45"/>
  <c r="S69" i="45"/>
  <c r="S70" i="45"/>
  <c r="S71" i="45"/>
  <c r="S72" i="45"/>
  <c r="S2" i="45"/>
  <c r="S3" i="44"/>
  <c r="S4" i="44"/>
  <c r="S5" i="44"/>
  <c r="S6" i="44"/>
  <c r="S7" i="44"/>
  <c r="S8" i="44"/>
  <c r="S9" i="44"/>
  <c r="S10" i="44"/>
  <c r="S11" i="44"/>
  <c r="I14" i="34" s="1"/>
  <c r="W14" i="34" s="1"/>
  <c r="S12" i="44"/>
  <c r="S13" i="44"/>
  <c r="S14" i="44"/>
  <c r="S15" i="44"/>
  <c r="S16" i="44"/>
  <c r="S17" i="44"/>
  <c r="S18" i="44"/>
  <c r="S19" i="44"/>
  <c r="S20" i="44"/>
  <c r="S21" i="44"/>
  <c r="S22" i="44"/>
  <c r="S23" i="44"/>
  <c r="S24" i="44"/>
  <c r="S25" i="44"/>
  <c r="S26" i="44"/>
  <c r="S27" i="44"/>
  <c r="S28" i="44"/>
  <c r="S29" i="44"/>
  <c r="S30" i="44"/>
  <c r="S31" i="44"/>
  <c r="S32" i="44"/>
  <c r="S33" i="44"/>
  <c r="S34" i="44"/>
  <c r="S35" i="44"/>
  <c r="S36" i="44"/>
  <c r="S37" i="44"/>
  <c r="I40" i="34" s="1"/>
  <c r="W40" i="34" s="1"/>
  <c r="S38" i="44"/>
  <c r="S39" i="44"/>
  <c r="S40" i="44"/>
  <c r="S41" i="44"/>
  <c r="S42" i="44"/>
  <c r="S43" i="44"/>
  <c r="S44" i="44"/>
  <c r="S45" i="44"/>
  <c r="S46" i="44"/>
  <c r="S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2" i="44"/>
  <c r="I5" i="34" s="1"/>
  <c r="W5" i="34" s="1"/>
  <c r="S3" i="47"/>
  <c r="S4" i="47"/>
  <c r="S5" i="47"/>
  <c r="S6" i="47"/>
  <c r="S7" i="47"/>
  <c r="S8" i="47"/>
  <c r="S9" i="47"/>
  <c r="S10" i="47"/>
  <c r="S11" i="47"/>
  <c r="S12" i="47"/>
  <c r="S13" i="47"/>
  <c r="S14" i="47"/>
  <c r="S15" i="47"/>
  <c r="S16" i="47"/>
  <c r="S17" i="47"/>
  <c r="S18" i="47"/>
  <c r="S19" i="47"/>
  <c r="S20" i="47"/>
  <c r="S21" i="47"/>
  <c r="S22" i="47"/>
  <c r="S23" i="47"/>
  <c r="S24" i="47"/>
  <c r="S25" i="47"/>
  <c r="S26" i="47"/>
  <c r="S27" i="47"/>
  <c r="S28" i="47"/>
  <c r="I31" i="34" s="1"/>
  <c r="W31" i="34" s="1"/>
  <c r="S29" i="47"/>
  <c r="S30" i="47"/>
  <c r="S31" i="47"/>
  <c r="S32" i="47"/>
  <c r="S33" i="47"/>
  <c r="S34" i="47"/>
  <c r="S35" i="47"/>
  <c r="S36" i="47"/>
  <c r="S37" i="47"/>
  <c r="S38" i="47"/>
  <c r="S39" i="47"/>
  <c r="S40" i="47"/>
  <c r="S41" i="47"/>
  <c r="S42" i="47"/>
  <c r="S43" i="47"/>
  <c r="S44" i="47"/>
  <c r="S45" i="47"/>
  <c r="S46" i="47"/>
  <c r="S47" i="47"/>
  <c r="S48" i="47"/>
  <c r="S49" i="47"/>
  <c r="S50" i="47"/>
  <c r="S51" i="47"/>
  <c r="S52" i="47"/>
  <c r="S53" i="47"/>
  <c r="S54" i="47"/>
  <c r="I57" i="34" s="1"/>
  <c r="W57" i="34" s="1"/>
  <c r="S55" i="47"/>
  <c r="S56" i="47"/>
  <c r="S57" i="47"/>
  <c r="S58" i="47"/>
  <c r="S59" i="47"/>
  <c r="S60" i="47"/>
  <c r="S61" i="47"/>
  <c r="S62" i="47"/>
  <c r="S63" i="47"/>
  <c r="S64" i="47"/>
  <c r="S65" i="47"/>
  <c r="S66" i="47"/>
  <c r="S67" i="47"/>
  <c r="S68" i="47"/>
  <c r="S69" i="47"/>
  <c r="S70" i="47"/>
  <c r="S71" i="47"/>
  <c r="S72" i="47"/>
  <c r="S2" i="47"/>
  <c r="S3" i="41"/>
  <c r="S4" i="41"/>
  <c r="S5" i="41"/>
  <c r="S6" i="41"/>
  <c r="S7" i="41"/>
  <c r="S8" i="41"/>
  <c r="I11" i="34" s="1"/>
  <c r="W11" i="34" s="1"/>
  <c r="S9" i="41"/>
  <c r="S10" i="41"/>
  <c r="S11" i="41"/>
  <c r="S12" i="41"/>
  <c r="S13" i="41"/>
  <c r="S14" i="41"/>
  <c r="S15" i="41"/>
  <c r="S16" i="41"/>
  <c r="S17" i="41"/>
  <c r="S18" i="41"/>
  <c r="S19" i="41"/>
  <c r="S20" i="41"/>
  <c r="S21" i="41"/>
  <c r="S22" i="41"/>
  <c r="S23" i="41"/>
  <c r="S24" i="41"/>
  <c r="S25" i="41"/>
  <c r="S26" i="41"/>
  <c r="S27" i="41"/>
  <c r="S28" i="41"/>
  <c r="S29" i="41"/>
  <c r="I32" i="34" s="1"/>
  <c r="W32" i="34" s="1"/>
  <c r="S30" i="41"/>
  <c r="S31" i="41"/>
  <c r="S32" i="41"/>
  <c r="S33" i="41"/>
  <c r="S34" i="41"/>
  <c r="I37" i="34" s="1"/>
  <c r="W37" i="34" s="1"/>
  <c r="S35" i="41"/>
  <c r="S36" i="41"/>
  <c r="S37" i="41"/>
  <c r="S38" i="41"/>
  <c r="S39" i="41"/>
  <c r="S40" i="41"/>
  <c r="S41" i="41"/>
  <c r="S42" i="41"/>
  <c r="S43" i="41"/>
  <c r="S44" i="41"/>
  <c r="S45" i="41"/>
  <c r="S46" i="41"/>
  <c r="S47" i="41"/>
  <c r="S48" i="41"/>
  <c r="S49" i="41"/>
  <c r="S50" i="41"/>
  <c r="S51" i="41"/>
  <c r="S52" i="41"/>
  <c r="S53" i="41"/>
  <c r="S54" i="41"/>
  <c r="S55" i="41"/>
  <c r="I58" i="34" s="1"/>
  <c r="W58" i="34" s="1"/>
  <c r="S56" i="41"/>
  <c r="S57" i="41"/>
  <c r="S58" i="41"/>
  <c r="S59" i="41"/>
  <c r="S60" i="41"/>
  <c r="S61" i="41"/>
  <c r="S62" i="41"/>
  <c r="S63" i="41"/>
  <c r="S64" i="41"/>
  <c r="S65" i="41"/>
  <c r="S66" i="41"/>
  <c r="S67" i="41"/>
  <c r="S68" i="41"/>
  <c r="S69" i="41"/>
  <c r="S70" i="41"/>
  <c r="S71" i="41"/>
  <c r="S72" i="41"/>
  <c r="S2" i="41"/>
  <c r="S3" i="54"/>
  <c r="S4" i="54"/>
  <c r="S5" i="54"/>
  <c r="S6" i="54"/>
  <c r="S7" i="54"/>
  <c r="S8" i="54"/>
  <c r="S9" i="54"/>
  <c r="I12" i="34" s="1"/>
  <c r="W12" i="34" s="1"/>
  <c r="S10" i="54"/>
  <c r="S11" i="54"/>
  <c r="S12" i="54"/>
  <c r="S13" i="54"/>
  <c r="S14" i="54"/>
  <c r="S15" i="54"/>
  <c r="S16" i="54"/>
  <c r="S17" i="54"/>
  <c r="S18" i="54"/>
  <c r="S19" i="54"/>
  <c r="S20" i="54"/>
  <c r="S21" i="54"/>
  <c r="S22" i="54"/>
  <c r="S23" i="54"/>
  <c r="S24" i="54"/>
  <c r="S25" i="54"/>
  <c r="S26" i="54"/>
  <c r="S27" i="54"/>
  <c r="S28" i="54"/>
  <c r="S29" i="54"/>
  <c r="S30" i="54"/>
  <c r="S31" i="54"/>
  <c r="S32" i="54"/>
  <c r="S33" i="54"/>
  <c r="S34" i="54"/>
  <c r="S35" i="54"/>
  <c r="I38" i="34" s="1"/>
  <c r="W38" i="34" s="1"/>
  <c r="S36" i="54"/>
  <c r="I39" i="34" s="1"/>
  <c r="W39" i="34" s="1"/>
  <c r="S37" i="54"/>
  <c r="S38" i="54"/>
  <c r="S39" i="54"/>
  <c r="S40" i="54"/>
  <c r="S41" i="54"/>
  <c r="S42" i="54"/>
  <c r="S43" i="54"/>
  <c r="S44" i="54"/>
  <c r="S45" i="54"/>
  <c r="S46" i="54"/>
  <c r="S47" i="54"/>
  <c r="S48" i="54"/>
  <c r="S49" i="54"/>
  <c r="S50" i="54"/>
  <c r="S51" i="54"/>
  <c r="S52" i="54"/>
  <c r="S53" i="54"/>
  <c r="S54" i="54"/>
  <c r="S55" i="54"/>
  <c r="S56" i="54"/>
  <c r="S57" i="54"/>
  <c r="S58" i="54"/>
  <c r="S59" i="54"/>
  <c r="S60" i="54"/>
  <c r="S61" i="54"/>
  <c r="I64" i="34" s="1"/>
  <c r="W64" i="34" s="1"/>
  <c r="S62" i="54"/>
  <c r="S63" i="54"/>
  <c r="S64" i="54"/>
  <c r="S65" i="54"/>
  <c r="S66" i="54"/>
  <c r="S67" i="54"/>
  <c r="S68" i="54"/>
  <c r="S69" i="54"/>
  <c r="S70" i="54"/>
  <c r="S71" i="54"/>
  <c r="S72" i="54"/>
  <c r="S2" i="54"/>
  <c r="AI3" i="38"/>
  <c r="AI4" i="38"/>
  <c r="AI5" i="38"/>
  <c r="I8" i="34" s="1"/>
  <c r="W8" i="34" s="1"/>
  <c r="AI6" i="38"/>
  <c r="I9" i="34" s="1"/>
  <c r="W9" i="34" s="1"/>
  <c r="AI7" i="38"/>
  <c r="I10" i="34" s="1"/>
  <c r="W10" i="34" s="1"/>
  <c r="AI8" i="38"/>
  <c r="AI9" i="38"/>
  <c r="AI10" i="38"/>
  <c r="AI11" i="38"/>
  <c r="AI12" i="38"/>
  <c r="I15" i="34" s="1"/>
  <c r="W15" i="34" s="1"/>
  <c r="AI13" i="38"/>
  <c r="I16" i="34" s="1"/>
  <c r="W16" i="34" s="1"/>
  <c r="AI14" i="38"/>
  <c r="I17" i="34" s="1"/>
  <c r="W17" i="34" s="1"/>
  <c r="AI15" i="38"/>
  <c r="I18" i="34" s="1"/>
  <c r="W18" i="34" s="1"/>
  <c r="AI16" i="38"/>
  <c r="I19" i="34" s="1"/>
  <c r="W19" i="34" s="1"/>
  <c r="AI17" i="38"/>
  <c r="I20" i="34" s="1"/>
  <c r="W20" i="34" s="1"/>
  <c r="AI18" i="38"/>
  <c r="I21" i="34" s="1"/>
  <c r="W21" i="34" s="1"/>
  <c r="AI19" i="38"/>
  <c r="I22" i="34" s="1"/>
  <c r="W22" i="34" s="1"/>
  <c r="AI20" i="38"/>
  <c r="I23" i="34" s="1"/>
  <c r="W23" i="34" s="1"/>
  <c r="AI21" i="38"/>
  <c r="I24" i="34" s="1"/>
  <c r="W24" i="34" s="1"/>
  <c r="AI22" i="38"/>
  <c r="I25" i="34" s="1"/>
  <c r="W25" i="34" s="1"/>
  <c r="AI23" i="38"/>
  <c r="I26" i="34" s="1"/>
  <c r="W26" i="34" s="1"/>
  <c r="AI24" i="38"/>
  <c r="I27" i="34" s="1"/>
  <c r="W27" i="34" s="1"/>
  <c r="AI25" i="38"/>
  <c r="I28" i="34" s="1"/>
  <c r="W28" i="34" s="1"/>
  <c r="AI26" i="38"/>
  <c r="I29" i="34" s="1"/>
  <c r="W29" i="34" s="1"/>
  <c r="AI27" i="38"/>
  <c r="AI28" i="38"/>
  <c r="AI29" i="38"/>
  <c r="AI30" i="38"/>
  <c r="AI31" i="38"/>
  <c r="I34" i="34" s="1"/>
  <c r="W34" i="34" s="1"/>
  <c r="AI32" i="38"/>
  <c r="I35" i="34" s="1"/>
  <c r="W35" i="34" s="1"/>
  <c r="AI33" i="38"/>
  <c r="I36" i="34" s="1"/>
  <c r="W36" i="34" s="1"/>
  <c r="AI34" i="38"/>
  <c r="AI35" i="38"/>
  <c r="AI36" i="38"/>
  <c r="AI37" i="38"/>
  <c r="AI38" i="38"/>
  <c r="I41" i="34" s="1"/>
  <c r="W41" i="34" s="1"/>
  <c r="AI39" i="38"/>
  <c r="I42" i="34" s="1"/>
  <c r="W42" i="34" s="1"/>
  <c r="AI40" i="38"/>
  <c r="I43" i="34" s="1"/>
  <c r="W43" i="34" s="1"/>
  <c r="AI41" i="38"/>
  <c r="I44" i="34" s="1"/>
  <c r="W44" i="34" s="1"/>
  <c r="AI42" i="38"/>
  <c r="I45" i="34" s="1"/>
  <c r="W45" i="34" s="1"/>
  <c r="AI43" i="38"/>
  <c r="I46" i="34" s="1"/>
  <c r="W46" i="34" s="1"/>
  <c r="AI44" i="38"/>
  <c r="I47" i="34" s="1"/>
  <c r="W47" i="34" s="1"/>
  <c r="AI45" i="38"/>
  <c r="I48" i="34" s="1"/>
  <c r="W48" i="34" s="1"/>
  <c r="AI46" i="38"/>
  <c r="I49" i="34" s="1"/>
  <c r="W49" i="34" s="1"/>
  <c r="AI47" i="38"/>
  <c r="I50" i="34" s="1"/>
  <c r="W50" i="34" s="1"/>
  <c r="AI48" i="38"/>
  <c r="I51" i="34" s="1"/>
  <c r="W51" i="34" s="1"/>
  <c r="AI49" i="38"/>
  <c r="I52" i="34" s="1"/>
  <c r="W52" i="34" s="1"/>
  <c r="AI50" i="38"/>
  <c r="I53" i="34" s="1"/>
  <c r="W53" i="34" s="1"/>
  <c r="AI51" i="38"/>
  <c r="I54" i="34" s="1"/>
  <c r="W54" i="34" s="1"/>
  <c r="AI52" i="38"/>
  <c r="I55" i="34" s="1"/>
  <c r="W55" i="34" s="1"/>
  <c r="AI53" i="38"/>
  <c r="AI54" i="38"/>
  <c r="AI55" i="38"/>
  <c r="AI56" i="38"/>
  <c r="AI57" i="38"/>
  <c r="I60" i="34" s="1"/>
  <c r="W60" i="34" s="1"/>
  <c r="AI58" i="38"/>
  <c r="I61" i="34" s="1"/>
  <c r="W61" i="34" s="1"/>
  <c r="AI59" i="38"/>
  <c r="I62" i="34" s="1"/>
  <c r="W62" i="34" s="1"/>
  <c r="AI60" i="38"/>
  <c r="AI61" i="38"/>
  <c r="AI62" i="38"/>
  <c r="AI63" i="38"/>
  <c r="AI64" i="38"/>
  <c r="AI65" i="38"/>
  <c r="I68" i="34" s="1"/>
  <c r="W68" i="34" s="1"/>
  <c r="AI66" i="38"/>
  <c r="I69" i="34" s="1"/>
  <c r="W69" i="34" s="1"/>
  <c r="AI67" i="38"/>
  <c r="AI68" i="38"/>
  <c r="I71" i="34" s="1"/>
  <c r="W71" i="34" s="1"/>
  <c r="AI69" i="38"/>
  <c r="I72" i="34" s="1"/>
  <c r="W72" i="34" s="1"/>
  <c r="AI70" i="38"/>
  <c r="AI71" i="38"/>
  <c r="I74" i="34" s="1"/>
  <c r="W74" i="34" s="1"/>
  <c r="AI2" i="38"/>
  <c r="S3" i="55"/>
  <c r="S4" i="55"/>
  <c r="I4" i="34" s="1"/>
  <c r="W4" i="34" s="1"/>
  <c r="S2" i="55"/>
  <c r="I2" i="34" s="1"/>
  <c r="W2" i="34" s="1"/>
  <c r="E74" i="34" l="1"/>
  <c r="D78" i="34"/>
  <c r="E2" i="34" l="1"/>
  <c r="E72" i="34" l="1"/>
  <c r="E73" i="34"/>
  <c r="E71" i="34" l="1"/>
  <c r="E70" i="34" l="1"/>
  <c r="E3" i="34"/>
  <c r="E67" i="34" l="1"/>
  <c r="E68" i="34"/>
  <c r="E69" i="34"/>
  <c r="E62" i="34" l="1"/>
  <c r="E63" i="34"/>
  <c r="E64" i="34"/>
  <c r="E65" i="34"/>
  <c r="E66" i="34"/>
  <c r="E5" i="34" l="1"/>
  <c r="E6" i="34"/>
  <c r="E7" i="34"/>
  <c r="E8" i="34"/>
  <c r="E9" i="34"/>
  <c r="E10" i="34"/>
  <c r="E11" i="34"/>
  <c r="E12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5" i="34"/>
  <c r="E36" i="34"/>
  <c r="E37" i="34"/>
  <c r="E38" i="34"/>
  <c r="E39" i="34"/>
  <c r="E40" i="34"/>
  <c r="E41" i="34"/>
  <c r="E42" i="34"/>
  <c r="E43" i="34"/>
  <c r="E44" i="34"/>
  <c r="E45" i="34"/>
  <c r="E46" i="34"/>
  <c r="E47" i="34"/>
  <c r="E48" i="34"/>
  <c r="E49" i="34"/>
  <c r="E50" i="34"/>
  <c r="E51" i="34"/>
  <c r="E52" i="34"/>
  <c r="E53" i="34"/>
  <c r="E54" i="34"/>
  <c r="E55" i="34"/>
  <c r="E56" i="34"/>
  <c r="E57" i="34"/>
  <c r="E58" i="34"/>
  <c r="E59" i="34"/>
  <c r="E60" i="34"/>
  <c r="E61" i="34"/>
  <c r="E4" i="34"/>
  <c r="K45" i="29" l="1"/>
  <c r="K44" i="29"/>
  <c r="K42" i="29"/>
  <c r="K41" i="29"/>
  <c r="K40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3" i="29"/>
  <c r="K12" i="29"/>
  <c r="K11" i="29"/>
  <c r="K10" i="29"/>
  <c r="K9" i="29"/>
  <c r="K8" i="29"/>
  <c r="K5" i="29"/>
  <c r="K4" i="29"/>
  <c r="I40" i="29" l="1"/>
  <c r="H40" i="29" s="1"/>
  <c r="I16" i="29"/>
  <c r="H16" i="29" s="1"/>
  <c r="I45" i="29"/>
  <c r="H45" i="29" s="1"/>
  <c r="I21" i="29"/>
  <c r="H21" i="29" s="1"/>
  <c r="I44" i="29"/>
  <c r="H44" i="29" s="1"/>
  <c r="I43" i="29"/>
  <c r="H43" i="29" s="1"/>
  <c r="I42" i="29"/>
  <c r="H42" i="29" s="1"/>
  <c r="I41" i="29"/>
  <c r="H41" i="29" s="1"/>
  <c r="I39" i="29"/>
  <c r="H39" i="29" s="1"/>
  <c r="I38" i="29"/>
  <c r="H38" i="29" s="1"/>
  <c r="I37" i="29"/>
  <c r="H37" i="29" s="1"/>
  <c r="I36" i="29"/>
  <c r="H36" i="29" s="1"/>
  <c r="I35" i="29"/>
  <c r="H35" i="29" s="1"/>
  <c r="I34" i="29"/>
  <c r="H34" i="29" s="1"/>
  <c r="I33" i="29"/>
  <c r="H33" i="29" s="1"/>
  <c r="I32" i="29"/>
  <c r="H32" i="29" s="1"/>
  <c r="I31" i="29"/>
  <c r="H31" i="29" s="1"/>
  <c r="I30" i="29"/>
  <c r="H30" i="29" s="1"/>
  <c r="I29" i="29"/>
  <c r="H29" i="29" s="1"/>
  <c r="I28" i="29"/>
  <c r="H28" i="29" s="1"/>
  <c r="I27" i="29"/>
  <c r="H27" i="29" s="1"/>
  <c r="I26" i="29"/>
  <c r="H26" i="29" s="1"/>
  <c r="I25" i="29"/>
  <c r="H25" i="29" s="1"/>
  <c r="I24" i="29"/>
  <c r="H24" i="29" s="1"/>
  <c r="I23" i="29"/>
  <c r="H23" i="29" s="1"/>
  <c r="I22" i="29"/>
  <c r="H22" i="29" s="1"/>
  <c r="I20" i="29"/>
  <c r="H20" i="29" s="1"/>
  <c r="I19" i="29"/>
  <c r="H19" i="29" s="1"/>
  <c r="I18" i="29"/>
  <c r="H18" i="29" s="1"/>
  <c r="I17" i="29"/>
  <c r="H17" i="29" s="1"/>
  <c r="I15" i="29"/>
  <c r="H15" i="29" s="1"/>
  <c r="I14" i="29"/>
  <c r="H14" i="29" s="1"/>
  <c r="I13" i="29"/>
  <c r="H13" i="29" s="1"/>
  <c r="I12" i="29"/>
  <c r="H12" i="29" s="1"/>
  <c r="I11" i="29"/>
  <c r="H11" i="29" s="1"/>
  <c r="I10" i="29"/>
  <c r="H10" i="29" s="1"/>
  <c r="I9" i="29"/>
  <c r="H9" i="29" s="1"/>
  <c r="I8" i="29"/>
  <c r="H8" i="29" s="1"/>
  <c r="I7" i="29"/>
  <c r="H7" i="29" s="1"/>
  <c r="I6" i="29"/>
  <c r="H6" i="29" s="1"/>
  <c r="I5" i="29"/>
  <c r="H5" i="29" s="1"/>
  <c r="I4" i="29"/>
  <c r="I3" i="29"/>
  <c r="H3" i="29" l="1"/>
  <c r="H4" i="29"/>
  <c r="T16" i="23" l="1"/>
  <c r="AE26" i="23" l="1"/>
  <c r="AE24" i="23"/>
  <c r="AE23" i="23"/>
  <c r="AE22" i="23"/>
  <c r="AE19" i="23"/>
  <c r="AE18" i="23"/>
  <c r="AE17" i="23"/>
  <c r="AE14" i="23"/>
  <c r="AE13" i="23"/>
  <c r="AE12" i="23"/>
  <c r="AE11" i="23"/>
  <c r="AE10" i="23"/>
  <c r="AE9" i="23"/>
  <c r="AE7" i="23"/>
  <c r="AE6" i="23"/>
  <c r="AE5" i="23"/>
  <c r="AE4" i="23"/>
  <c r="AE3" i="23"/>
  <c r="AE2" i="23"/>
  <c r="AC26" i="23"/>
  <c r="AC25" i="23"/>
  <c r="AC24" i="23"/>
  <c r="AC23" i="23"/>
  <c r="AC22" i="23"/>
  <c r="AC21" i="23"/>
  <c r="AC20" i="23"/>
  <c r="AC19" i="23"/>
  <c r="AC18" i="23"/>
  <c r="AC17" i="23"/>
  <c r="AC16" i="23"/>
  <c r="AC15" i="23"/>
  <c r="AC14" i="23"/>
  <c r="AC13" i="23"/>
  <c r="AC10" i="23"/>
  <c r="AC9" i="23"/>
  <c r="AC8" i="23"/>
  <c r="AC7" i="23"/>
  <c r="AC6" i="23"/>
  <c r="AC5" i="23"/>
  <c r="AC4" i="23"/>
  <c r="AC3" i="23"/>
  <c r="AC2" i="23"/>
  <c r="AA26" i="23"/>
  <c r="AA25" i="23"/>
  <c r="AA24" i="23"/>
  <c r="AA23" i="23"/>
  <c r="AA22" i="23"/>
  <c r="AA21" i="23"/>
  <c r="AA20" i="23"/>
  <c r="AA18" i="23"/>
  <c r="AA17" i="23"/>
  <c r="AA16" i="23"/>
  <c r="AA15" i="23"/>
  <c r="AA14" i="23"/>
  <c r="AA13" i="23"/>
  <c r="AA12" i="23"/>
  <c r="AA10" i="23"/>
  <c r="AA9" i="23"/>
  <c r="AA8" i="23"/>
  <c r="AA7" i="23"/>
  <c r="AA6" i="23"/>
  <c r="AA5" i="23"/>
  <c r="AA3" i="23"/>
  <c r="Y26" i="23"/>
  <c r="Y25" i="23"/>
  <c r="Y24" i="23"/>
  <c r="Y23" i="23"/>
  <c r="Y22" i="23"/>
  <c r="Y19" i="23"/>
  <c r="Y17" i="23"/>
  <c r="Y16" i="23"/>
  <c r="Y14" i="23"/>
  <c r="Y11" i="23"/>
  <c r="Y10" i="23"/>
  <c r="Y9" i="23"/>
  <c r="Y7" i="23"/>
  <c r="Y6" i="23"/>
  <c r="Y5" i="23"/>
  <c r="Y3" i="23"/>
  <c r="W26" i="23"/>
  <c r="W25" i="23"/>
  <c r="W23" i="23"/>
  <c r="W22" i="23"/>
  <c r="W21" i="23"/>
  <c r="W20" i="23"/>
  <c r="W18" i="23"/>
  <c r="W17" i="23"/>
  <c r="W14" i="23"/>
  <c r="W13" i="23"/>
  <c r="W4" i="23"/>
  <c r="W3" i="23"/>
  <c r="U26" i="23"/>
  <c r="U24" i="23"/>
  <c r="U19" i="23"/>
  <c r="U16" i="23"/>
  <c r="U15" i="23"/>
  <c r="U11" i="23"/>
  <c r="U10" i="23"/>
  <c r="U8" i="23"/>
  <c r="U4" i="23"/>
  <c r="U3" i="23"/>
  <c r="U2" i="23"/>
  <c r="T25" i="23"/>
  <c r="U25" i="23" s="1"/>
  <c r="AD25" i="23"/>
  <c r="AE25" i="23" s="1"/>
  <c r="V24" i="23"/>
  <c r="W24" i="23" s="1"/>
  <c r="T23" i="23"/>
  <c r="U23" i="23" s="1"/>
  <c r="T22" i="23"/>
  <c r="U22" i="23" s="1"/>
  <c r="AD21" i="23"/>
  <c r="AE21" i="23" s="1"/>
  <c r="X21" i="23"/>
  <c r="Y21" i="23" s="1"/>
  <c r="T21" i="23"/>
  <c r="U21" i="23" s="1"/>
  <c r="X20" i="23"/>
  <c r="Y20" i="23" s="1"/>
  <c r="AD20" i="23"/>
  <c r="AE20" i="23" s="1"/>
  <c r="T20" i="23"/>
  <c r="U20" i="23" s="1"/>
  <c r="Z19" i="23"/>
  <c r="AA19" i="23" s="1"/>
  <c r="V19" i="23"/>
  <c r="W19" i="23" s="1"/>
  <c r="X18" i="23"/>
  <c r="Y18" i="23" s="1"/>
  <c r="T18" i="23"/>
  <c r="U18" i="23" s="1"/>
  <c r="AE16" i="23"/>
  <c r="T17" i="23"/>
  <c r="U17" i="23" s="1"/>
  <c r="V16" i="23"/>
  <c r="W16" i="23" s="1"/>
  <c r="X15" i="23"/>
  <c r="Y15" i="23" s="1"/>
  <c r="AD15" i="23"/>
  <c r="AE15" i="23" s="1"/>
  <c r="V15" i="23"/>
  <c r="W15" i="23" s="1"/>
  <c r="T14" i="23"/>
  <c r="U14" i="23" s="1"/>
  <c r="T13" i="23"/>
  <c r="U13" i="23" s="1"/>
  <c r="X13" i="23"/>
  <c r="Y13" i="23" s="1"/>
  <c r="X12" i="23"/>
  <c r="Y12" i="23" s="1"/>
  <c r="T12" i="23"/>
  <c r="U12" i="23" s="1"/>
  <c r="AB12" i="23"/>
  <c r="AC12" i="23" s="1"/>
  <c r="V12" i="23"/>
  <c r="W12" i="23" s="1"/>
  <c r="Z11" i="23"/>
  <c r="AA11" i="23" s="1"/>
  <c r="AB11" i="23"/>
  <c r="AC11" i="23" s="1"/>
  <c r="V11" i="23"/>
  <c r="W11" i="23" s="1"/>
  <c r="V10" i="23"/>
  <c r="W10" i="23" s="1"/>
  <c r="V9" i="23"/>
  <c r="W9" i="23" s="1"/>
  <c r="T9" i="23"/>
  <c r="U9" i="23" s="1"/>
  <c r="X8" i="23"/>
  <c r="Y8" i="23" s="1"/>
  <c r="AD8" i="23"/>
  <c r="V8" i="23"/>
  <c r="W8" i="23" s="1"/>
  <c r="T7" i="23"/>
  <c r="U7" i="23" s="1"/>
  <c r="V7" i="23"/>
  <c r="W7" i="23" s="1"/>
  <c r="V6" i="23"/>
  <c r="W6" i="23" s="1"/>
  <c r="T6" i="23"/>
  <c r="U6" i="23" s="1"/>
  <c r="V5" i="23"/>
  <c r="W5" i="23" s="1"/>
  <c r="T5" i="23"/>
  <c r="U5" i="23" s="1"/>
  <c r="Z4" i="23"/>
  <c r="AA4" i="23" s="1"/>
  <c r="X4" i="23"/>
  <c r="Y4" i="23" s="1"/>
  <c r="X2" i="23"/>
  <c r="Y2" i="23" s="1"/>
  <c r="Z2" i="23"/>
  <c r="AA2" i="23" s="1"/>
  <c r="V2" i="23"/>
  <c r="W2" i="23" s="1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3" i="23"/>
  <c r="AF3" i="23" s="1"/>
  <c r="R2" i="23"/>
  <c r="AF17" i="23" l="1"/>
  <c r="AD27" i="23"/>
  <c r="AF25" i="23"/>
  <c r="AA27" i="23"/>
  <c r="Y27" i="23"/>
  <c r="AC27" i="23"/>
  <c r="AE8" i="23"/>
  <c r="AE27" i="23" s="1"/>
  <c r="R27" i="23"/>
  <c r="AF22" i="23"/>
  <c r="W27" i="23"/>
  <c r="U27" i="23"/>
  <c r="AF24" i="23"/>
  <c r="AF23" i="23"/>
  <c r="AF16" i="23"/>
  <c r="X27" i="23"/>
  <c r="AF5" i="23"/>
  <c r="AF11" i="23"/>
  <c r="AF21" i="23"/>
  <c r="AF4" i="23"/>
  <c r="AF7" i="23"/>
  <c r="AF9" i="23"/>
  <c r="AB27" i="23"/>
  <c r="AF20" i="23"/>
  <c r="AF14" i="23"/>
  <c r="AF18" i="23"/>
  <c r="AF2" i="23"/>
  <c r="AF13" i="23"/>
  <c r="AF6" i="23"/>
  <c r="AF10" i="23"/>
  <c r="Z27" i="23"/>
  <c r="V27" i="23"/>
  <c r="AF8" i="23"/>
  <c r="T27" i="23"/>
  <c r="AF19" i="23"/>
  <c r="R1" i="23"/>
  <c r="AF15" i="23"/>
  <c r="AF12" i="23"/>
  <c r="AF27" i="23" l="1"/>
  <c r="AD1" i="17"/>
  <c r="T1" i="17"/>
  <c r="V1" i="17"/>
  <c r="X1" i="17"/>
  <c r="Z1" i="17"/>
  <c r="AB1" i="17"/>
  <c r="R25" i="17"/>
  <c r="T25" i="17" s="1"/>
  <c r="R24" i="17"/>
  <c r="V24" i="17" s="1"/>
  <c r="R23" i="17"/>
  <c r="T23" i="17" s="1"/>
  <c r="R22" i="17"/>
  <c r="X22" i="17" s="1"/>
  <c r="R21" i="17"/>
  <c r="V21" i="17" s="1"/>
  <c r="R20" i="17"/>
  <c r="V20" i="17" s="1"/>
  <c r="R19" i="17"/>
  <c r="V19" i="17" s="1"/>
  <c r="R18" i="17"/>
  <c r="V18" i="17" s="1"/>
  <c r="R17" i="17"/>
  <c r="T17" i="17" s="1"/>
  <c r="R16" i="17"/>
  <c r="V16" i="17" s="1"/>
  <c r="R15" i="17"/>
  <c r="V15" i="17" s="1"/>
  <c r="R14" i="17"/>
  <c r="V14" i="17" s="1"/>
  <c r="R13" i="17"/>
  <c r="T13" i="17" s="1"/>
  <c r="R12" i="17"/>
  <c r="T12" i="17" s="1"/>
  <c r="R11" i="17"/>
  <c r="X11" i="17" s="1"/>
  <c r="R10" i="17"/>
  <c r="V10" i="17" s="1"/>
  <c r="R9" i="17"/>
  <c r="V9" i="17" s="1"/>
  <c r="R8" i="17"/>
  <c r="V8" i="17" s="1"/>
  <c r="R7" i="17"/>
  <c r="V7" i="17" s="1"/>
  <c r="R6" i="17"/>
  <c r="V6" i="17" s="1"/>
  <c r="R5" i="17"/>
  <c r="V5" i="17" s="1"/>
  <c r="R4" i="17"/>
  <c r="X4" i="17" s="1"/>
  <c r="R3" i="17"/>
  <c r="T3" i="17" s="1"/>
  <c r="R2" i="17"/>
  <c r="X2" i="17" s="1"/>
  <c r="AD20" i="17" l="1"/>
  <c r="AD2" i="17"/>
  <c r="AD4" i="17"/>
  <c r="AD10" i="17"/>
  <c r="AD12" i="17"/>
  <c r="AD18" i="17"/>
  <c r="AD11" i="17"/>
  <c r="AD19" i="17"/>
  <c r="AD5" i="17"/>
  <c r="AD13" i="17"/>
  <c r="AD21" i="17"/>
  <c r="AD6" i="17"/>
  <c r="AD14" i="17"/>
  <c r="AD22" i="17"/>
  <c r="AD7" i="17"/>
  <c r="AD15" i="17"/>
  <c r="AD23" i="17"/>
  <c r="AD8" i="17"/>
  <c r="AD16" i="17"/>
  <c r="AD24" i="17"/>
  <c r="AD9" i="17"/>
  <c r="AD17" i="17"/>
  <c r="AD25" i="17"/>
  <c r="AB15" i="17"/>
  <c r="AB4" i="17"/>
  <c r="AB16" i="17"/>
  <c r="AB5" i="17"/>
  <c r="AB17" i="17"/>
  <c r="AB6" i="17"/>
  <c r="AB18" i="17"/>
  <c r="AB3" i="17"/>
  <c r="AB7" i="17"/>
  <c r="AB19" i="17"/>
  <c r="AB20" i="17"/>
  <c r="AB9" i="17"/>
  <c r="AB21" i="17"/>
  <c r="AB10" i="17"/>
  <c r="AB22" i="17"/>
  <c r="AB11" i="17"/>
  <c r="AB23" i="17"/>
  <c r="AB12" i="17"/>
  <c r="AB24" i="17"/>
  <c r="AB13" i="17"/>
  <c r="AB2" i="17"/>
  <c r="AB14" i="17"/>
  <c r="Z5" i="17"/>
  <c r="Z16" i="17"/>
  <c r="Z6" i="17"/>
  <c r="Z18" i="17"/>
  <c r="Z4" i="17"/>
  <c r="Z7" i="17"/>
  <c r="Z19" i="17"/>
  <c r="Z8" i="17"/>
  <c r="Z20" i="17"/>
  <c r="Z21" i="17"/>
  <c r="Z10" i="17"/>
  <c r="Z22" i="17"/>
  <c r="Z11" i="17"/>
  <c r="Z23" i="17"/>
  <c r="Z15" i="17"/>
  <c r="Z24" i="17"/>
  <c r="Z3" i="17"/>
  <c r="Z13" i="17"/>
  <c r="Z2" i="17"/>
  <c r="Z14" i="17"/>
  <c r="X15" i="17"/>
  <c r="X16" i="17"/>
  <c r="X17" i="17"/>
  <c r="X6" i="17"/>
  <c r="X7" i="17"/>
  <c r="X8" i="17"/>
  <c r="X9" i="17"/>
  <c r="X12" i="17"/>
  <c r="X13" i="17"/>
  <c r="X25" i="17"/>
  <c r="X3" i="17"/>
  <c r="X14" i="17"/>
  <c r="V3" i="17"/>
  <c r="V13" i="17"/>
  <c r="V25" i="17"/>
  <c r="AE13" i="17"/>
  <c r="AI13" i="17" s="1"/>
  <c r="S21" i="17"/>
  <c r="T21" i="17" s="1"/>
  <c r="W21" i="17"/>
  <c r="X21" i="17" s="1"/>
  <c r="U2" i="17"/>
  <c r="V2" i="17" s="1"/>
  <c r="Q3" i="21" l="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" i="21"/>
  <c r="AE24" i="17"/>
  <c r="AI24" i="17" s="1"/>
  <c r="S22" i="17"/>
  <c r="T22" i="17" s="1"/>
  <c r="AE21" i="17"/>
  <c r="AI21" i="17" s="1"/>
  <c r="U4" i="17"/>
  <c r="V4" i="17" s="1"/>
  <c r="W23" i="17"/>
  <c r="X23" i="17" s="1"/>
  <c r="AE23" i="17"/>
  <c r="AI23" i="17" s="1"/>
  <c r="U22" i="17"/>
  <c r="V22" i="17" s="1"/>
  <c r="AE22" i="17"/>
  <c r="AI22" i="17" s="1"/>
  <c r="S19" i="17"/>
  <c r="T19" i="17" s="1"/>
  <c r="AE19" i="17"/>
  <c r="AI19" i="17" s="1"/>
  <c r="AE15" i="17"/>
  <c r="AI15" i="17" s="1"/>
  <c r="AE7" i="17"/>
  <c r="AI7" i="17" s="1"/>
  <c r="AE6" i="17"/>
  <c r="AI6" i="17" s="1"/>
  <c r="AE5" i="17"/>
  <c r="AI5" i="17" s="1"/>
  <c r="AE4" i="17"/>
  <c r="AI4" i="17" s="1"/>
  <c r="Q3" i="19"/>
  <c r="Q4" i="19"/>
  <c r="Q5" i="19"/>
  <c r="Q6" i="19"/>
  <c r="Q7" i="19"/>
  <c r="Q8" i="19"/>
  <c r="Q9" i="19"/>
  <c r="Q10" i="19"/>
  <c r="Q11" i="19"/>
  <c r="Q12" i="19"/>
  <c r="Q13" i="19"/>
  <c r="Q14" i="19"/>
  <c r="Q2" i="19"/>
  <c r="AA25" i="17"/>
  <c r="AB25" i="17" s="1"/>
  <c r="Y25" i="17"/>
  <c r="Z25" i="17" s="1"/>
  <c r="Y12" i="17"/>
  <c r="Z12" i="17" s="1"/>
  <c r="S9" i="17"/>
  <c r="T9" i="17" s="1"/>
  <c r="Y9" i="17"/>
  <c r="Z9" i="17" s="1"/>
  <c r="Q26" i="21" l="1"/>
  <c r="AE26" i="17"/>
  <c r="S24" i="17"/>
  <c r="T24" i="17" s="1"/>
  <c r="W24" i="17"/>
  <c r="X24" i="17" s="1"/>
  <c r="U23" i="17"/>
  <c r="V23" i="17" s="1"/>
  <c r="S20" i="17"/>
  <c r="T20" i="17" s="1"/>
  <c r="W20" i="17"/>
  <c r="X20" i="17" s="1"/>
  <c r="W19" i="17"/>
  <c r="X19" i="17" s="1"/>
  <c r="S18" i="17"/>
  <c r="T18" i="17" s="1"/>
  <c r="W18" i="17"/>
  <c r="X18" i="17" s="1"/>
  <c r="Y17" i="17"/>
  <c r="U17" i="17"/>
  <c r="V17" i="17" s="1"/>
  <c r="S16" i="17"/>
  <c r="T16" i="17" s="1"/>
  <c r="S15" i="17"/>
  <c r="T15" i="17" s="1"/>
  <c r="S14" i="17"/>
  <c r="T14" i="17" s="1"/>
  <c r="U12" i="17"/>
  <c r="V12" i="17" s="1"/>
  <c r="S11" i="17"/>
  <c r="T11" i="17" s="1"/>
  <c r="U11" i="17"/>
  <c r="V11" i="17" s="1"/>
  <c r="W10" i="17"/>
  <c r="X10" i="17" s="1"/>
  <c r="S10" i="17"/>
  <c r="T10" i="17" s="1"/>
  <c r="AA8" i="17"/>
  <c r="S8" i="17"/>
  <c r="T8" i="17" s="1"/>
  <c r="S7" i="17"/>
  <c r="T7" i="17" s="1"/>
  <c r="S6" i="17"/>
  <c r="T6" i="17" s="1"/>
  <c r="W5" i="17"/>
  <c r="X5" i="17" s="1"/>
  <c r="S5" i="17"/>
  <c r="T5" i="17" s="1"/>
  <c r="S4" i="17"/>
  <c r="T4" i="17" s="1"/>
  <c r="AC3" i="17"/>
  <c r="S2" i="17"/>
  <c r="T2" i="17" s="1"/>
  <c r="Q3" i="17"/>
  <c r="AF3" i="17" s="1"/>
  <c r="Q4" i="17"/>
  <c r="Q5" i="17"/>
  <c r="Q6" i="17"/>
  <c r="Q7" i="17"/>
  <c r="Q8" i="17"/>
  <c r="Q9" i="17"/>
  <c r="AF9" i="17" s="1"/>
  <c r="Q10" i="17"/>
  <c r="Q11" i="17"/>
  <c r="Q12" i="17"/>
  <c r="Q13" i="17"/>
  <c r="AF13" i="17" s="1"/>
  <c r="Q14" i="17"/>
  <c r="Q15" i="17"/>
  <c r="Q16" i="17"/>
  <c r="Q17" i="17"/>
  <c r="Q18" i="17"/>
  <c r="Q19" i="17"/>
  <c r="Q20" i="17"/>
  <c r="Q21" i="17"/>
  <c r="AF21" i="17" s="1"/>
  <c r="Q22" i="17"/>
  <c r="AF22" i="17" s="1"/>
  <c r="Q23" i="17"/>
  <c r="Q24" i="17"/>
  <c r="Q25" i="17"/>
  <c r="AF25" i="17" s="1"/>
  <c r="Q2" i="17"/>
  <c r="AF4" i="17" l="1"/>
  <c r="AF2" i="17"/>
  <c r="AF20" i="17"/>
  <c r="AF24" i="17"/>
  <c r="AF15" i="17"/>
  <c r="AF23" i="17"/>
  <c r="AF19" i="17"/>
  <c r="AF14" i="17"/>
  <c r="AC26" i="17"/>
  <c r="AD3" i="17"/>
  <c r="AD26" i="17" s="1"/>
  <c r="AA26" i="17"/>
  <c r="AB8" i="17"/>
  <c r="AB26" i="17" s="1"/>
  <c r="AF12" i="17"/>
  <c r="Y26" i="17"/>
  <c r="Z17" i="17"/>
  <c r="Z26" i="17" s="1"/>
  <c r="V26" i="17"/>
  <c r="X26" i="17"/>
  <c r="T26" i="17"/>
  <c r="AF5" i="17"/>
  <c r="AF7" i="17"/>
  <c r="AF16" i="17"/>
  <c r="AF6" i="17"/>
  <c r="U26" i="17"/>
  <c r="AF18" i="17"/>
  <c r="AF11" i="17"/>
  <c r="AF10" i="17"/>
  <c r="W26" i="17"/>
  <c r="Q26" i="17"/>
  <c r="S26" i="17"/>
  <c r="AF17" i="17" l="1"/>
  <c r="AF8" i="17"/>
  <c r="R26" i="17"/>
  <c r="U27" i="17" s="1"/>
  <c r="AA27" i="17" l="1"/>
  <c r="AB28" i="17" s="1"/>
  <c r="AB29" i="17" s="1"/>
  <c r="Y27" i="17"/>
  <c r="Z28" i="17" s="1"/>
  <c r="Z29" i="17" s="1"/>
  <c r="S27" i="17"/>
  <c r="T28" i="17" s="1"/>
  <c r="T29" i="17" s="1"/>
  <c r="W27" i="17"/>
  <c r="X28" i="17" s="1"/>
  <c r="X29" i="17" s="1"/>
  <c r="V28" i="17"/>
  <c r="V29" i="17" s="1"/>
  <c r="U28" i="17"/>
  <c r="U29" i="17" s="1"/>
  <c r="AA28" i="17" l="1"/>
  <c r="AA29" i="17" s="1"/>
  <c r="Y28" i="17"/>
  <c r="Y29" i="17" s="1"/>
  <c r="W28" i="17"/>
  <c r="W29" i="17" s="1"/>
  <c r="S28" i="17"/>
  <c r="S29" i="17" s="1"/>
  <c r="E13" i="34"/>
  <c r="E78" i="34" l="1"/>
  <c r="G78" i="34" l="1"/>
  <c r="H77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o.hrytsenko</author>
  </authors>
  <commentList>
    <comment ref="D2" authorId="0" shapeId="0" xr:uid="{BF52D151-E19B-416C-970F-9DAE156FF27D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зв. ІС = 22109,81
ІБ = 15785,00</t>
        </r>
      </text>
    </comment>
    <comment ref="D3" authorId="0" shapeId="0" xr:uid="{64F91D79-4561-42E3-91FE-23897F1B5F8C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ІБ  =  8286,67
</t>
        </r>
      </text>
    </comment>
    <comment ref="D21" authorId="0" shapeId="0" xr:uid="{13A5B7C5-EFDD-4F84-B8D0-A9DFDF4F3197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ІБ = 9350,01</t>
        </r>
      </text>
    </comment>
    <comment ref="D24" authorId="0" shapeId="0" xr:uid="{BF40C000-B597-4B69-98D7-ADFB726DAB3D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ІБ = 8286,67</t>
        </r>
      </text>
    </comment>
    <comment ref="D26" authorId="0" shapeId="0" xr:uid="{4FCDF67D-6771-48CE-BD63-9A3BB5A80452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ІБ  =  9350,01
</t>
        </r>
      </text>
    </comment>
    <comment ref="D29" authorId="0" shapeId="0" xr:uid="{A6A68DAB-804E-41D1-9188-014150EDE4CB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ІБ  =  2750,00
</t>
        </r>
      </text>
    </comment>
    <comment ref="D36" authorId="0" shapeId="0" xr:uid="{86DDF4D1-CBA3-4CF2-907D-9E592DB97A8A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ІБ = 9350,01</t>
        </r>
      </text>
    </comment>
    <comment ref="D41" authorId="0" shapeId="0" xr:uid="{C6C06C71-7080-418A-BC2A-2511CC2953BC}">
      <text>
        <r>
          <rPr>
            <b/>
            <sz val="9"/>
            <color indexed="81"/>
            <rFont val="Tahoma"/>
            <family val="2"/>
            <charset val="204"/>
          </rPr>
          <t>o.hrytsenko:</t>
        </r>
        <r>
          <rPr>
            <sz val="9"/>
            <color indexed="81"/>
            <rFont val="Tahoma"/>
            <family val="2"/>
            <charset val="204"/>
          </rPr>
          <t xml:space="preserve">
зп ІС = 3739,99
розрах. = 2274,84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2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204"/>
          </rPr>
          <t>admin:</t>
        </r>
        <r>
          <rPr>
            <sz val="9"/>
            <color indexed="81"/>
            <rFont val="Tahoma"/>
            <family val="2"/>
            <charset val="204"/>
          </rPr>
          <t xml:space="preserve">
НЕ було</t>
        </r>
      </text>
    </comment>
  </commentList>
</comments>
</file>

<file path=xl/sharedStrings.xml><?xml version="1.0" encoding="utf-8"?>
<sst xmlns="http://schemas.openxmlformats.org/spreadsheetml/2006/main" count="3594" uniqueCount="689">
  <si>
    <t>ставка</t>
  </si>
  <si>
    <t>N</t>
  </si>
  <si>
    <t>Всего часов</t>
  </si>
  <si>
    <t>Бабіленко Микола Олександрович</t>
  </si>
  <si>
    <t xml:space="preserve">Корнієнко Станіслав Володимирович </t>
  </si>
  <si>
    <t>Масливець Ігор Валерійович</t>
  </si>
  <si>
    <t>Сотрудник</t>
  </si>
  <si>
    <t>Костенко Костянтин Юрійович</t>
  </si>
  <si>
    <t>Відпрацьовано годин</t>
  </si>
  <si>
    <t>Поліщук Олександр</t>
  </si>
  <si>
    <t>Багацький Вадим Геннадійович</t>
  </si>
  <si>
    <t>Васильєв Віталій Юрійович</t>
  </si>
  <si>
    <t>Григоренко Олександр Миколайович</t>
  </si>
  <si>
    <t>Григор'єв Микола Андрійович</t>
  </si>
  <si>
    <t>Григор'єв Михайло Андрійович</t>
  </si>
  <si>
    <t>Іванов Олексій Вікторович</t>
  </si>
  <si>
    <t>Іскрицький Денис Русланович</t>
  </si>
  <si>
    <t>Пономаренко Віталій Вікторович</t>
  </si>
  <si>
    <t>Пономаренко Олександр Вікторович</t>
  </si>
  <si>
    <t>Власенко В'ячеслав Валентинович</t>
  </si>
  <si>
    <t>Пилипчук Олександр Анатолійович</t>
  </si>
  <si>
    <t>Понуркін Євген Григорович</t>
  </si>
  <si>
    <t>Паламарчук Вячеслав</t>
  </si>
  <si>
    <t>Дегтяр Влад</t>
  </si>
  <si>
    <t>8</t>
  </si>
  <si>
    <t>9</t>
  </si>
  <si>
    <t>11</t>
  </si>
  <si>
    <t>Багацький Вадим</t>
  </si>
  <si>
    <t>Васильєв Віталій</t>
  </si>
  <si>
    <t>Григоренко Олександр</t>
  </si>
  <si>
    <t>Григор'єв Микола</t>
  </si>
  <si>
    <t>Григор'єв Михайло</t>
  </si>
  <si>
    <t>Іванов Олексій</t>
  </si>
  <si>
    <t>Іскрицький Д.С.</t>
  </si>
  <si>
    <t>Корнієнко Віталій Олегович</t>
  </si>
  <si>
    <t>Пономаренко Віталій</t>
  </si>
  <si>
    <t xml:space="preserve">Пономаренко Олександр </t>
  </si>
  <si>
    <t>Пономарьов Микола Вікторович</t>
  </si>
  <si>
    <t>Скрипник Олександр Павлович</t>
  </si>
  <si>
    <t>Власенко В'ячеслав</t>
  </si>
  <si>
    <t>Пилипчук Олександр</t>
  </si>
  <si>
    <t>Скрипник Сергій</t>
  </si>
  <si>
    <t>Поліщук Олександр</t>
  </si>
  <si>
    <t>Паламарчук Вячеслав Володимирович</t>
  </si>
  <si>
    <t>Діхтяр Владислав</t>
  </si>
  <si>
    <t xml:space="preserve">Щербак Петро Іванович 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</si>
  <si>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</si>
  <si>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</si>
  <si>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</si>
  <si>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</si>
  <si>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</si>
  <si>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</si>
  <si>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</si>
  <si>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</si>
  <si>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</si>
  <si>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</si>
  <si>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</si>
  <si>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</si>
  <si>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</si>
  <si>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</si>
  <si>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1</t>
  </si>
  <si>
    <t>2</t>
  </si>
  <si>
    <t>3</t>
  </si>
  <si>
    <t>4</t>
  </si>
  <si>
    <t>10</t>
  </si>
  <si>
    <t>12</t>
  </si>
  <si>
    <t>13</t>
  </si>
  <si>
    <t>14</t>
  </si>
  <si>
    <t>Крушинка</t>
  </si>
  <si>
    <t>Піддони</t>
  </si>
  <si>
    <t>Кутики монтаж</t>
  </si>
  <si>
    <t>Огородження</t>
  </si>
  <si>
    <t>Ремонт кран балки</t>
  </si>
  <si>
    <t>ИТР</t>
  </si>
  <si>
    <t>Битовка</t>
  </si>
  <si>
    <t>Всего грн</t>
  </si>
  <si>
    <t>&lt;Объект не найден&gt; (3998:a204000c299fb27811ea175b1c8d2e0a)</t>
  </si>
  <si>
    <t>Поліщук Олександр Олександрович</t>
  </si>
  <si>
    <t>Діхтяр Владислав Олександрович</t>
  </si>
  <si>
    <t>За 19.02.24 Табель заповнен не правильно, треба виправити</t>
  </si>
  <si>
    <t>Скрипник Сергій Павлович</t>
  </si>
  <si>
    <t>Ставка</t>
  </si>
  <si>
    <t>Крушинка на листе</t>
  </si>
  <si>
    <t>5</t>
  </si>
  <si>
    <t>6</t>
  </si>
  <si>
    <t>7</t>
  </si>
  <si>
    <t>15</t>
  </si>
  <si>
    <t>Тужиков Валерій Владиславович</t>
  </si>
  <si>
    <t>1-15 березня</t>
  </si>
  <si>
    <t>Огорожа Підгірці</t>
  </si>
  <si>
    <t>Піддони Металургбуд</t>
  </si>
  <si>
    <t>Ніжин ЖК</t>
  </si>
  <si>
    <t>Будинки ООН</t>
  </si>
  <si>
    <t>Битовка Ніжин</t>
  </si>
  <si>
    <t>Цехові роботи</t>
  </si>
  <si>
    <t>Сівов Євген Миколайович</t>
  </si>
  <si>
    <t>Нестерук Сергій Петрович</t>
  </si>
  <si>
    <t>Кіфор Юрій Михайлович</t>
  </si>
  <si>
    <t>Петренко Микола Григорович</t>
  </si>
  <si>
    <t>Рубленко Микола Іванович</t>
  </si>
  <si>
    <t>Работник (основное назначение)</t>
  </si>
  <si>
    <t>Период взаиморасчетов</t>
  </si>
  <si>
    <t>Счет учета</t>
  </si>
  <si>
    <t>Сумма</t>
  </si>
  <si>
    <t>Сумма (окр.)</t>
  </si>
  <si>
    <t xml:space="preserve">Аксенчіков Сергій Олександрович </t>
  </si>
  <si>
    <t>01.07.2024</t>
  </si>
  <si>
    <t xml:space="preserve">Стецюк Тетяна Леонідівна </t>
  </si>
  <si>
    <t>Тужиков Валерій Владиславович (осн.)</t>
  </si>
  <si>
    <t xml:space="preserve">Тужиков Юрій Владиславович </t>
  </si>
  <si>
    <t xml:space="preserve">Федорчук Денис Сергійович </t>
  </si>
  <si>
    <t xml:space="preserve">Чілібін Микола Євгенович </t>
  </si>
  <si>
    <t xml:space="preserve">Чуб Владислав Володимирович </t>
  </si>
  <si>
    <t>Итого:</t>
  </si>
  <si>
    <t>Бреус Віталій Григорович</t>
  </si>
  <si>
    <t>Бутенко Матвій Анатолійович</t>
  </si>
  <si>
    <t>Гриценко Олександр Вікторович</t>
  </si>
  <si>
    <t>Грушко Лариса Вікторівна</t>
  </si>
  <si>
    <t>Админ</t>
  </si>
  <si>
    <t>Код (Таб. №)</t>
  </si>
  <si>
    <t>Наименование</t>
  </si>
  <si>
    <t>Код по ДРФО</t>
  </si>
  <si>
    <t>Вид договора</t>
  </si>
  <si>
    <t>Вид занятости</t>
  </si>
  <si>
    <t>Подразделение организации</t>
  </si>
  <si>
    <t>Должность организации</t>
  </si>
  <si>
    <t>Дата приема</t>
  </si>
  <si>
    <t>Оренда авто</t>
  </si>
  <si>
    <t>д000000007</t>
  </si>
  <si>
    <t>Воронцов Олександр Володимирович (оренда авто)</t>
  </si>
  <si>
    <t>Договор подряда (выполнение работ, оказание услуг)</t>
  </si>
  <si>
    <t>д000000023</t>
  </si>
  <si>
    <t>Гавриченко Тетяна Василівна (оренда авто)</t>
  </si>
  <si>
    <t>д000000010</t>
  </si>
  <si>
    <t>Гриценко Олександр Вікторович (оренда авто)</t>
  </si>
  <si>
    <t>д000000001</t>
  </si>
  <si>
    <t>Гриценко Сергій Миколайович  (дг.)</t>
  </si>
  <si>
    <t>д000000013</t>
  </si>
  <si>
    <t>Гриценко Сергій Миколайович (оренда авто)</t>
  </si>
  <si>
    <t>д000000019</t>
  </si>
  <si>
    <t>Гуняга Олег Володимирович (оренда авто)</t>
  </si>
  <si>
    <t>д000000008</t>
  </si>
  <si>
    <t>Манжула Максим Анатолійович (оренда авто)</t>
  </si>
  <si>
    <t>д000000014</t>
  </si>
  <si>
    <t>Огоновський Дмитро Анатолійович (оренда авто)</t>
  </si>
  <si>
    <t>д000000015</t>
  </si>
  <si>
    <t>Потьомко Михайло Володимирович (оренда авто)</t>
  </si>
  <si>
    <t>д000000016</t>
  </si>
  <si>
    <t>Сикал Павло Анатолійович (оренда авто)</t>
  </si>
  <si>
    <t>д000000012</t>
  </si>
  <si>
    <t>Старіков Сергій Вікторович (оренда авто)</t>
  </si>
  <si>
    <t>д000000020</t>
  </si>
  <si>
    <t>Шевченко Євген Анатолійович (оренда авто)</t>
  </si>
  <si>
    <t>д000000009</t>
  </si>
  <si>
    <t>Ширшов Олександр Леонідович (оренда авто)</t>
  </si>
  <si>
    <t xml:space="preserve">Адаменко Віталій Вікторович </t>
  </si>
  <si>
    <t>Трудовой договор</t>
  </si>
  <si>
    <t>Основное место работы</t>
  </si>
  <si>
    <t>Виробничий (Цех металоконструкцій)</t>
  </si>
  <si>
    <t>Монтажник будівельний</t>
  </si>
  <si>
    <t>05.10.2022</t>
  </si>
  <si>
    <t>Адміністративний відділ</t>
  </si>
  <si>
    <t>Майстер будівельних та монтажних робіт</t>
  </si>
  <si>
    <t>01.07.2022</t>
  </si>
  <si>
    <t>Аксенчіков Сергій Олександрович (оренда авто)</t>
  </si>
  <si>
    <t xml:space="preserve">Александров Артем Анатолійович </t>
  </si>
  <si>
    <t>Діловод</t>
  </si>
  <si>
    <t>25.09.2018</t>
  </si>
  <si>
    <t xml:space="preserve">Александров Денис Анатолійович </t>
  </si>
  <si>
    <t>Помічник економіста</t>
  </si>
  <si>
    <t>01.02.2021</t>
  </si>
  <si>
    <t xml:space="preserve">Александрова Жанна Валентинівна </t>
  </si>
  <si>
    <t>Прибиральник службових приміщень</t>
  </si>
  <si>
    <t>01.07.2020</t>
  </si>
  <si>
    <t xml:space="preserve">Антонович Тетяна Сергіївна </t>
  </si>
  <si>
    <t>Директор фінансовий</t>
  </si>
  <si>
    <t>22.12.2022</t>
  </si>
  <si>
    <t>Антонович Тетяна Сергіївна (сум.)</t>
  </si>
  <si>
    <t>Внешнее совместительство</t>
  </si>
  <si>
    <t>26.05.2023</t>
  </si>
  <si>
    <t xml:space="preserve">Аулова Маргарита Володимирівна </t>
  </si>
  <si>
    <t>Головний бухгалтер</t>
  </si>
  <si>
    <t>01.04.2024</t>
  </si>
  <si>
    <t>Аулова Маргарита Володимирівна (осн.)</t>
  </si>
  <si>
    <t>27.03.2024</t>
  </si>
  <si>
    <t xml:space="preserve">Ахмедов Тавакгюль Сардар огли </t>
  </si>
  <si>
    <t>Виробничий (Ладижин-3)</t>
  </si>
  <si>
    <t>Маляр</t>
  </si>
  <si>
    <t>08.09.2023</t>
  </si>
  <si>
    <t xml:space="preserve">Бабіленко Микола Олександрович </t>
  </si>
  <si>
    <t>Слюсар із складання металевих конструкцій</t>
  </si>
  <si>
    <t>01.12.2022</t>
  </si>
  <si>
    <t xml:space="preserve">Багацький Вадим Геннадійович </t>
  </si>
  <si>
    <t>Електрозварник ручного зварювання</t>
  </si>
  <si>
    <t>05.08.2022</t>
  </si>
  <si>
    <t xml:space="preserve">Безкоровайний Дмитро Миколайович </t>
  </si>
  <si>
    <t>Виробничий (Підгірці)</t>
  </si>
  <si>
    <t>Водій автотранспортних засобів</t>
  </si>
  <si>
    <t>04.02.2022</t>
  </si>
  <si>
    <t xml:space="preserve">Білоусов Євген Вікторович </t>
  </si>
  <si>
    <t>Виробничий (Старокостянтинів)</t>
  </si>
  <si>
    <t>Арматурник (будівельні, монтажні й ремонтно-будівельні роботи)</t>
  </si>
  <si>
    <t>01.02.2019</t>
  </si>
  <si>
    <t>д000000006</t>
  </si>
  <si>
    <t xml:space="preserve">Бічковський Максим Петрович </t>
  </si>
  <si>
    <t xml:space="preserve">Блоха Євген Валерійович </t>
  </si>
  <si>
    <t>Бетоняр</t>
  </si>
  <si>
    <t>27.09.2022</t>
  </si>
  <si>
    <t xml:space="preserve">Богданюк Дмитро Леонтійович </t>
  </si>
  <si>
    <t>Інженер з проєктно-кошторисної роботи</t>
  </si>
  <si>
    <t>02.11.2023</t>
  </si>
  <si>
    <t xml:space="preserve">Богун Олена Миколаївна </t>
  </si>
  <si>
    <t>Виробничій цех</t>
  </si>
  <si>
    <t>Лаборант</t>
  </si>
  <si>
    <t>02.07.2024</t>
  </si>
  <si>
    <t xml:space="preserve">Божков Валерій Вікторович </t>
  </si>
  <si>
    <t>Виробничий (Крушинка)</t>
  </si>
  <si>
    <t>19.12.2023</t>
  </si>
  <si>
    <t>Бокоч Галина Михайлівна (осн.)</t>
  </si>
  <si>
    <t>24.11.2023</t>
  </si>
  <si>
    <t xml:space="preserve">Болох Володимир Васильович </t>
  </si>
  <si>
    <t>Машиніст крана автомобільного</t>
  </si>
  <si>
    <t>03.08.2020</t>
  </si>
  <si>
    <t xml:space="preserve">Борецька Людмила Сергіївна </t>
  </si>
  <si>
    <t xml:space="preserve">Економіст </t>
  </si>
  <si>
    <t>08.04.2019</t>
  </si>
  <si>
    <t xml:space="preserve">Борисенко Олексій Миколайович </t>
  </si>
  <si>
    <t>01.11.2022</t>
  </si>
  <si>
    <t xml:space="preserve">Бреус Віталій Григорович </t>
  </si>
  <si>
    <t>Менеджер (управитель) з постачання</t>
  </si>
  <si>
    <t>18.07.2023</t>
  </si>
  <si>
    <t xml:space="preserve">Буднік Євгеній Костянтинович </t>
  </si>
  <si>
    <t xml:space="preserve">Монтажник з монтажу сталевих та залізобетонних конструкцій </t>
  </si>
  <si>
    <t>02.08.2023</t>
  </si>
  <si>
    <t xml:space="preserve">Буднік Костянтин Вікторович </t>
  </si>
  <si>
    <t>21.06.2023</t>
  </si>
  <si>
    <t xml:space="preserve">Бунтило Віталій Іванович </t>
  </si>
  <si>
    <t>18.03.2021</t>
  </si>
  <si>
    <t xml:space="preserve">Бутенко Матвій Анатолійович </t>
  </si>
  <si>
    <t>Бутенко Матвій Анатолійович (сум.)</t>
  </si>
  <si>
    <t>Завідувач складу</t>
  </si>
  <si>
    <t>10.01.2023</t>
  </si>
  <si>
    <t xml:space="preserve">Буша Володимир Володимирович </t>
  </si>
  <si>
    <t>Виробничий (Ніжин-3)</t>
  </si>
  <si>
    <t>Виконавець робіт</t>
  </si>
  <si>
    <t>20.12.2023</t>
  </si>
  <si>
    <t xml:space="preserve">Васильєв Віталій Юрійович </t>
  </si>
  <si>
    <t>Столяр</t>
  </si>
  <si>
    <t>01.08.2023</t>
  </si>
  <si>
    <t xml:space="preserve">Величковський Дмитро Володимирович </t>
  </si>
  <si>
    <t>15.12.2023</t>
  </si>
  <si>
    <t xml:space="preserve">Веніцька Оксана Михайлівна </t>
  </si>
  <si>
    <t>10.01.2024</t>
  </si>
  <si>
    <t xml:space="preserve">Вірко Євген Григорович </t>
  </si>
  <si>
    <t>Виробничий (Ретал)</t>
  </si>
  <si>
    <t>15.08.2022</t>
  </si>
  <si>
    <t xml:space="preserve">Власенко В'ячеслав Валентинович </t>
  </si>
  <si>
    <t xml:space="preserve">Воронова Яна Ігорівна </t>
  </si>
  <si>
    <t>02.05.2024</t>
  </si>
  <si>
    <t xml:space="preserve">ВОРОНЦОВ ОЛЕКСАНДР ВОЛОДИМИРОВИЧ </t>
  </si>
  <si>
    <t>Директор</t>
  </si>
  <si>
    <t>05.12.2017</t>
  </si>
  <si>
    <t>Воронцов Олександр Володимирович (сум.)</t>
  </si>
  <si>
    <t>01.01.2018</t>
  </si>
  <si>
    <t>Воронцова Анна Валеріївна (сум.)</t>
  </si>
  <si>
    <t>08.03.2023</t>
  </si>
  <si>
    <t xml:space="preserve">Гавриченко Олександр Борисович </t>
  </si>
  <si>
    <t>01.02.2023</t>
  </si>
  <si>
    <t xml:space="preserve">Гайворонський Владислав Вікторович </t>
  </si>
  <si>
    <t>25.10.2022</t>
  </si>
  <si>
    <t xml:space="preserve">Гайдай Віктор Григорович </t>
  </si>
  <si>
    <t xml:space="preserve">Геворкян Вануш Геворгович </t>
  </si>
  <si>
    <t>Виробничий (Придніпровський ОЕЗ)</t>
  </si>
  <si>
    <t>20.01.2022</t>
  </si>
  <si>
    <t xml:space="preserve">Гладун Дмитро Михайлович </t>
  </si>
  <si>
    <t>16.11.2022</t>
  </si>
  <si>
    <t xml:space="preserve">Глузд Дмитро Михайлович </t>
  </si>
  <si>
    <t>Начальник вiддiлу матерiально-технiчного постачання</t>
  </si>
  <si>
    <t>31.07.2023</t>
  </si>
  <si>
    <t xml:space="preserve">Голіков Сергій Анатолійович </t>
  </si>
  <si>
    <t>Виробничий (ООН)</t>
  </si>
  <si>
    <t xml:space="preserve">Голуб Ігор Леонідович </t>
  </si>
  <si>
    <t>Транспортний відділ</t>
  </si>
  <si>
    <t>09.04.2024</t>
  </si>
  <si>
    <t xml:space="preserve">Гончар Ольга Анатоліївна </t>
  </si>
  <si>
    <t>Бухгалтер</t>
  </si>
  <si>
    <t>20.11.2023</t>
  </si>
  <si>
    <t>04.12.2023</t>
  </si>
  <si>
    <t xml:space="preserve">Гончаренко Анатолій Олексійович </t>
  </si>
  <si>
    <t>09.08.2019</t>
  </si>
  <si>
    <t xml:space="preserve">Горбачова Лариса Борисівна </t>
  </si>
  <si>
    <t>15.02.2024</t>
  </si>
  <si>
    <t xml:space="preserve">Горєлов Микита Євгенович </t>
  </si>
  <si>
    <t>22.07.2024</t>
  </si>
  <si>
    <t xml:space="preserve">Горячий Іван Васильович </t>
  </si>
  <si>
    <t>Тракторист</t>
  </si>
  <si>
    <t>17.11.2020</t>
  </si>
  <si>
    <t xml:space="preserve">Гребенюк Олександр Миколайович </t>
  </si>
  <si>
    <t>19.06.2024</t>
  </si>
  <si>
    <t xml:space="preserve">Григоренко Олександр Миколайович </t>
  </si>
  <si>
    <t xml:space="preserve">Григор'єв Микола Андрійович </t>
  </si>
  <si>
    <t>25.07.2024</t>
  </si>
  <si>
    <t xml:space="preserve">Григор'єв Михайло Андрійович </t>
  </si>
  <si>
    <t>18.06.2024</t>
  </si>
  <si>
    <t xml:space="preserve">Гринько Дмитро Дмитрович </t>
  </si>
  <si>
    <t>10.04.2020</t>
  </si>
  <si>
    <t xml:space="preserve">Гриценко Олександр Вікторович </t>
  </si>
  <si>
    <t>Гриценко Олександр Вікторович (сум.)</t>
  </si>
  <si>
    <t>Головний інженер</t>
  </si>
  <si>
    <t xml:space="preserve">Гриценко Сергій Миколайович </t>
  </si>
  <si>
    <t>Менеджер(управитель)у сфері оренди машин та устаткування</t>
  </si>
  <si>
    <t>Гриценко Сергій Миколайович (сум.)</t>
  </si>
  <si>
    <t>Менеджер(управитель)у сфері аренди машин та устаткування</t>
  </si>
  <si>
    <t>01.06.2023</t>
  </si>
  <si>
    <t xml:space="preserve">Грицик Іван Юрійович </t>
  </si>
  <si>
    <t>16.05.2024</t>
  </si>
  <si>
    <t xml:space="preserve">Грушко Лариса Вікторівна </t>
  </si>
  <si>
    <t>Інженер з контролю якості</t>
  </si>
  <si>
    <t>17.07.2024</t>
  </si>
  <si>
    <t xml:space="preserve">Губенко Володимир Данилович </t>
  </si>
  <si>
    <t>03.06.2024</t>
  </si>
  <si>
    <t xml:space="preserve">Деренко Василь Іванович </t>
  </si>
  <si>
    <t>Виробничий (Глобино)</t>
  </si>
  <si>
    <t>Інженер  з охорони праці</t>
  </si>
  <si>
    <t>20.06.2024</t>
  </si>
  <si>
    <t xml:space="preserve">Дехтяр Владислав Олександрович </t>
  </si>
  <si>
    <t>Електрозварник на автоматичних та напівавтоматичних машинах</t>
  </si>
  <si>
    <t>01.03.2024</t>
  </si>
  <si>
    <t xml:space="preserve">Дзьома Артем Васильович </t>
  </si>
  <si>
    <t>Електрогазозварник</t>
  </si>
  <si>
    <t>05.11.2020</t>
  </si>
  <si>
    <t xml:space="preserve">Доброновський Віталій Владиславович </t>
  </si>
  <si>
    <t>03.05.2023</t>
  </si>
  <si>
    <t>Дреманович Єгор Олегович (осн.)</t>
  </si>
  <si>
    <t>18.03.2024</t>
  </si>
  <si>
    <t xml:space="preserve">Дреманович Олег Станіславович </t>
  </si>
  <si>
    <t xml:space="preserve">Дучук Микола Федорович </t>
  </si>
  <si>
    <t>Машиніст крана (кранівник)</t>
  </si>
  <si>
    <t>28.11.2023</t>
  </si>
  <si>
    <t xml:space="preserve">Дяченко  Анна Володимирівна </t>
  </si>
  <si>
    <t>Менеджер (управитель) з адміністративної діяльності</t>
  </si>
  <si>
    <t>03.10.2019</t>
  </si>
  <si>
    <t xml:space="preserve">Єрпульова Марія Артемівна </t>
  </si>
  <si>
    <t>Комірник</t>
  </si>
  <si>
    <t>14.02.2022</t>
  </si>
  <si>
    <t xml:space="preserve">Желтяков Ігор Юрійович </t>
  </si>
  <si>
    <t>09.07.2024</t>
  </si>
  <si>
    <t xml:space="preserve">Жовтобрюх Вадим Олександрович </t>
  </si>
  <si>
    <t>Геодезист</t>
  </si>
  <si>
    <t xml:space="preserve">Жорж Олександр Сергійович </t>
  </si>
  <si>
    <t>Керівник проєктів та програм</t>
  </si>
  <si>
    <t>15.11.2021</t>
  </si>
  <si>
    <t>д000000011</t>
  </si>
  <si>
    <t>Жорж Олександр Сергійович (оренда авто)</t>
  </si>
  <si>
    <t xml:space="preserve">Завіша Ігор Степанович </t>
  </si>
  <si>
    <t>01.05.2024</t>
  </si>
  <si>
    <t>Заєць Олексій Олександрович</t>
  </si>
  <si>
    <t>Менеджер (управитель) з логістики</t>
  </si>
  <si>
    <t>26.01.2024</t>
  </si>
  <si>
    <t xml:space="preserve">Здоровик Олександр Олександрович </t>
  </si>
  <si>
    <t>Машиніст екскаватора</t>
  </si>
  <si>
    <t xml:space="preserve">Зеленков Антон Михайлович </t>
  </si>
  <si>
    <t>20.09.2022</t>
  </si>
  <si>
    <t xml:space="preserve">Зоря Руслан Леонідович </t>
  </si>
  <si>
    <t xml:space="preserve">Зубов Олександр В'ячеславович </t>
  </si>
  <si>
    <t>01.09.2020</t>
  </si>
  <si>
    <t xml:space="preserve">Іванов Олексій Вікторович </t>
  </si>
  <si>
    <t xml:space="preserve">Іскрицький Денис Русланович </t>
  </si>
  <si>
    <t>10.08.2022</t>
  </si>
  <si>
    <t xml:space="preserve">Карбунар Ярослав Дмитрович </t>
  </si>
  <si>
    <t>08.04.2020</t>
  </si>
  <si>
    <t xml:space="preserve">Карпенко Михайло Григорович </t>
  </si>
  <si>
    <t>23.04.2024</t>
  </si>
  <si>
    <t xml:space="preserve">Катеринчук Сергій Володимирович </t>
  </si>
  <si>
    <t xml:space="preserve">Кісіль Євген Вікторович </t>
  </si>
  <si>
    <t xml:space="preserve">Кіфор Юрій Михайлович </t>
  </si>
  <si>
    <t xml:space="preserve">Клименко Олександр Сергійович </t>
  </si>
  <si>
    <t xml:space="preserve">Климович Олена Олександрівна </t>
  </si>
  <si>
    <t>22.07.2022</t>
  </si>
  <si>
    <t xml:space="preserve">Ковальов Ілля Миколайович </t>
  </si>
  <si>
    <t>01.06.2024</t>
  </si>
  <si>
    <t xml:space="preserve">Ковальчук Валентин Вікторович </t>
  </si>
  <si>
    <t xml:space="preserve">Козєєв Роман Сергійович </t>
  </si>
  <si>
    <t>Виробничий Турбіна2</t>
  </si>
  <si>
    <t>08.05.2020</t>
  </si>
  <si>
    <t xml:space="preserve">Комінко Ольга Михайлівна </t>
  </si>
  <si>
    <t>17.06.2024</t>
  </si>
  <si>
    <t xml:space="preserve">Комлак Олексій Володимирович </t>
  </si>
  <si>
    <t>01.02.2024</t>
  </si>
  <si>
    <t xml:space="preserve">Кондрич Ольга Іванівна </t>
  </si>
  <si>
    <t>12.07.2024</t>
  </si>
  <si>
    <t xml:space="preserve">Коніщев Борис Володимирович </t>
  </si>
  <si>
    <t>28.08.2023</t>
  </si>
  <si>
    <t xml:space="preserve">Коніщев Вячеслав Володимирович </t>
  </si>
  <si>
    <t xml:space="preserve">Корнієнко Віталій Олегович </t>
  </si>
  <si>
    <t>10.07.2023</t>
  </si>
  <si>
    <t xml:space="preserve">Косік Юрій Анатолійович </t>
  </si>
  <si>
    <t>01.07.2021</t>
  </si>
  <si>
    <t xml:space="preserve">Костенко Костянтин Юрійович </t>
  </si>
  <si>
    <t xml:space="preserve">Кочкін Руслан Вікторович </t>
  </si>
  <si>
    <t>22.09.2022</t>
  </si>
  <si>
    <t xml:space="preserve">Кравченко Олексій Григорович </t>
  </si>
  <si>
    <t xml:space="preserve">Крапивний Олег Васильович </t>
  </si>
  <si>
    <t>06.06.2024</t>
  </si>
  <si>
    <t xml:space="preserve">Краснокутський Олександр Володимирович </t>
  </si>
  <si>
    <t xml:space="preserve">Кругляк Віктор Вікторович </t>
  </si>
  <si>
    <t>05.05.2021</t>
  </si>
  <si>
    <t xml:space="preserve">Кудряшов Іван Павлович </t>
  </si>
  <si>
    <t>Технік-електрик</t>
  </si>
  <si>
    <t>03.01.2024</t>
  </si>
  <si>
    <t xml:space="preserve">Кухар Сергій Михайлович </t>
  </si>
  <si>
    <t xml:space="preserve">Кушнір Тарас Анатолійович </t>
  </si>
  <si>
    <t>Начальник зміни</t>
  </si>
  <si>
    <t>17.11.2023</t>
  </si>
  <si>
    <t xml:space="preserve">Лисенко Артем Ігорович </t>
  </si>
  <si>
    <t xml:space="preserve">Лисенко Ігор Сергійович </t>
  </si>
  <si>
    <t xml:space="preserve">Лобода Руслан Володимирович </t>
  </si>
  <si>
    <t>05.06.2024</t>
  </si>
  <si>
    <t xml:space="preserve">Лохматов Анатолій Станіславович </t>
  </si>
  <si>
    <t>20.09.2023</t>
  </si>
  <si>
    <t xml:space="preserve">Ляшко Сергій Миколайович </t>
  </si>
  <si>
    <t>10.02.2024</t>
  </si>
  <si>
    <t xml:space="preserve">Манжула Максим Анатолійович  </t>
  </si>
  <si>
    <t>Директор виконавчий</t>
  </si>
  <si>
    <t xml:space="preserve">Манжула Максим Анатолійович </t>
  </si>
  <si>
    <t>06.08.2022</t>
  </si>
  <si>
    <t xml:space="preserve">Марков Олександр Михайлович </t>
  </si>
  <si>
    <t xml:space="preserve">Марков Олексій Віталійович </t>
  </si>
  <si>
    <t xml:space="preserve">Масливець Ігор Валерійович </t>
  </si>
  <si>
    <t>Підсобний робочий</t>
  </si>
  <si>
    <t xml:space="preserve">Матейченко Володимир Іванович </t>
  </si>
  <si>
    <t xml:space="preserve">Мацанек В'ячеслав Дмитрович </t>
  </si>
  <si>
    <t xml:space="preserve">Мегера Степан Григорович </t>
  </si>
  <si>
    <t xml:space="preserve">Мельник Святослав Євгенович </t>
  </si>
  <si>
    <t>25.05.2023</t>
  </si>
  <si>
    <t>25.06.2024</t>
  </si>
  <si>
    <t xml:space="preserve">Мельниченко Максим Вікторович </t>
  </si>
  <si>
    <t xml:space="preserve">Микуленко Василь Сергійович </t>
  </si>
  <si>
    <t xml:space="preserve">Минаєв Володимир Васильович </t>
  </si>
  <si>
    <t xml:space="preserve">Миронова Ганна Іванівна </t>
  </si>
  <si>
    <t>Казначей</t>
  </si>
  <si>
    <t>22.05.2023</t>
  </si>
  <si>
    <t xml:space="preserve">Місюрко Валерій Васильович </t>
  </si>
  <si>
    <t>09.03.2021</t>
  </si>
  <si>
    <t xml:space="preserve">Міщенко Анатолій Анатолійович </t>
  </si>
  <si>
    <t>04.01.2024</t>
  </si>
  <si>
    <t xml:space="preserve">Мороз Віталій Миколайович </t>
  </si>
  <si>
    <t>24.01.2023</t>
  </si>
  <si>
    <t xml:space="preserve">Нагірний Андрій Володимирович </t>
  </si>
  <si>
    <t>Оператор складальної машини</t>
  </si>
  <si>
    <t xml:space="preserve">Нерезенко Євгеній Віктоорович </t>
  </si>
  <si>
    <t>16.02.2024</t>
  </si>
  <si>
    <t xml:space="preserve">Нестерук Сергій Петрович </t>
  </si>
  <si>
    <t xml:space="preserve">Новицька Оксана Богданівна </t>
  </si>
  <si>
    <t>04.06.2024</t>
  </si>
  <si>
    <t xml:space="preserve">Овсянніков Микола Васильович </t>
  </si>
  <si>
    <t>12.06.2024</t>
  </si>
  <si>
    <t xml:space="preserve">Огірчук Інна Валеріївна </t>
  </si>
  <si>
    <t>Керівник виробничо-технiчного  вiддiлу</t>
  </si>
  <si>
    <t>01.06.2021</t>
  </si>
  <si>
    <t xml:space="preserve">Огоновський Дмитро Анатолійович </t>
  </si>
  <si>
    <t>28.07.2021</t>
  </si>
  <si>
    <t xml:space="preserve">Олійник Валерій Миколайович </t>
  </si>
  <si>
    <t>29.03.2021</t>
  </si>
  <si>
    <t>д000000017</t>
  </si>
  <si>
    <t>Олійник Валерій Миколайович (оренда авто)</t>
  </si>
  <si>
    <t xml:space="preserve">Павленко Владислав Володимирович </t>
  </si>
  <si>
    <t>01.09.2023</t>
  </si>
  <si>
    <t xml:space="preserve">Павленко Володимир Федорович </t>
  </si>
  <si>
    <t xml:space="preserve">Павлов Олег Євгенович </t>
  </si>
  <si>
    <t>Завідувач господарством</t>
  </si>
  <si>
    <t>23.11.2018</t>
  </si>
  <si>
    <t xml:space="preserve">Паламарчук Віталій Олександрович </t>
  </si>
  <si>
    <t>04.10.2023</t>
  </si>
  <si>
    <t xml:space="preserve">Паламарчук Вячеслав Володимирович </t>
  </si>
  <si>
    <t>22.12.2023</t>
  </si>
  <si>
    <t>Пальчик Олена Валентинівна</t>
  </si>
  <si>
    <t>01.10.2023</t>
  </si>
  <si>
    <t xml:space="preserve">Парнєва Олена Вікторівна </t>
  </si>
  <si>
    <t>09.02.2024</t>
  </si>
  <si>
    <t>д000000004</t>
  </si>
  <si>
    <t xml:space="preserve">Пасічник Андрій Сергійович </t>
  </si>
  <si>
    <t xml:space="preserve">Пасічник Оксана Петрівна </t>
  </si>
  <si>
    <t>10.04.2024</t>
  </si>
  <si>
    <t xml:space="preserve">Петрашенко Ярослав Євгенович </t>
  </si>
  <si>
    <t>18.04.2024</t>
  </si>
  <si>
    <t xml:space="preserve">Пилипчук Олександр Анатолійович </t>
  </si>
  <si>
    <t xml:space="preserve">Поліщук Олександр Олександрович </t>
  </si>
  <si>
    <t>18.12.2023</t>
  </si>
  <si>
    <t xml:space="preserve">Пономаренко Віталій Вікторович </t>
  </si>
  <si>
    <t>02.11.2022</t>
  </si>
  <si>
    <t xml:space="preserve">Пономаренко Олександр Вікторович </t>
  </si>
  <si>
    <t>Майстер зміни</t>
  </si>
  <si>
    <t>07.09.2022</t>
  </si>
  <si>
    <t xml:space="preserve">Пономарьов Микола Вікторович </t>
  </si>
  <si>
    <t xml:space="preserve">Понуркін Євген Григорович </t>
  </si>
  <si>
    <t xml:space="preserve">Попов Дмитро Михайлович </t>
  </si>
  <si>
    <t xml:space="preserve">Приходько Владислав Віталійович </t>
  </si>
  <si>
    <t xml:space="preserve">Рижак Андрій Ярославович </t>
  </si>
  <si>
    <t>Механік виробництва</t>
  </si>
  <si>
    <t>23.11.2023</t>
  </si>
  <si>
    <t xml:space="preserve">Рубан Світлана Євгенівна </t>
  </si>
  <si>
    <t>Юрисконсульт</t>
  </si>
  <si>
    <t>30.01.2024</t>
  </si>
  <si>
    <t xml:space="preserve">Рубленко Микола Іванович </t>
  </si>
  <si>
    <t>01.08.2024</t>
  </si>
  <si>
    <t>д000000005</t>
  </si>
  <si>
    <t xml:space="preserve">Савастюк Максим Валерійович </t>
  </si>
  <si>
    <t xml:space="preserve">Савранский Іван Володимирович </t>
  </si>
  <si>
    <t>Водій навантажувача</t>
  </si>
  <si>
    <t xml:space="preserve">Савченко Максим Олександрович </t>
  </si>
  <si>
    <t xml:space="preserve">Салін Віталій Володимирович </t>
  </si>
  <si>
    <t xml:space="preserve">Самойленко Віктор Миколайович </t>
  </si>
  <si>
    <t>04.09.2023</t>
  </si>
  <si>
    <t xml:space="preserve">Санін Богдан Юрійович </t>
  </si>
  <si>
    <t xml:space="preserve">Селівончик Ігор Петрович </t>
  </si>
  <si>
    <t>13.12.2023</t>
  </si>
  <si>
    <t xml:space="preserve">Семенченко Роман Олександрович </t>
  </si>
  <si>
    <t>17.08.2022</t>
  </si>
  <si>
    <t>Сидоренко Володимир Миколайович (сум.)</t>
  </si>
  <si>
    <t>Виробничий  (Глухів)</t>
  </si>
  <si>
    <t xml:space="preserve">Сикал Павло Анатолійович </t>
  </si>
  <si>
    <t>23.09.2022</t>
  </si>
  <si>
    <t xml:space="preserve">Сівов Євген Миколайович </t>
  </si>
  <si>
    <t xml:space="preserve">Сідов Володимир Анатолійович </t>
  </si>
  <si>
    <t>20.10.2021</t>
  </si>
  <si>
    <t xml:space="preserve">Сірий Олександр Васильович </t>
  </si>
  <si>
    <t xml:space="preserve">Скоц Сергій Іванович </t>
  </si>
  <si>
    <t xml:space="preserve">Скрипник Олександр Павлович </t>
  </si>
  <si>
    <t>05.09.2022</t>
  </si>
  <si>
    <t xml:space="preserve">Скрипник Сергій Павлович </t>
  </si>
  <si>
    <t xml:space="preserve">Сніжко Юрій Тимофійович </t>
  </si>
  <si>
    <t>21.05.2024</t>
  </si>
  <si>
    <t xml:space="preserve">Сова Віталій Сергійович </t>
  </si>
  <si>
    <t xml:space="preserve">Соколенко Тарас Вікторович </t>
  </si>
  <si>
    <t>НС765693</t>
  </si>
  <si>
    <t>18.10.2023</t>
  </si>
  <si>
    <t xml:space="preserve">Соколов Олександр Сергійович </t>
  </si>
  <si>
    <t>24.08.2022</t>
  </si>
  <si>
    <t xml:space="preserve">Соломоненко Олексій Юрійович </t>
  </si>
  <si>
    <t xml:space="preserve">Старіков Сергій Вікторович </t>
  </si>
  <si>
    <t>Директор по будівництву</t>
  </si>
  <si>
    <t>01.12.2017</t>
  </si>
  <si>
    <t xml:space="preserve">Стеблянко Ігор Юрійович </t>
  </si>
  <si>
    <t>Головний економіст</t>
  </si>
  <si>
    <t>02.01.2023</t>
  </si>
  <si>
    <t xml:space="preserve">Стефанюк Марія Юріївна </t>
  </si>
  <si>
    <t>Менеджер (управитель) з персоналу</t>
  </si>
  <si>
    <t>13.09.2023</t>
  </si>
  <si>
    <t xml:space="preserve">Стонога Олександр Сергійович </t>
  </si>
  <si>
    <t xml:space="preserve">Супрун Олександр Вікторович </t>
  </si>
  <si>
    <t>20.04.2023</t>
  </si>
  <si>
    <t xml:space="preserve">Сухін Олександр Олександрович </t>
  </si>
  <si>
    <t>Щедро_Флекситанки</t>
  </si>
  <si>
    <t>20.10.2023</t>
  </si>
  <si>
    <t xml:space="preserve">Терещенко Арсен Валерійович </t>
  </si>
  <si>
    <t>20.02.2023</t>
  </si>
  <si>
    <t xml:space="preserve">Томченко Олег Миколайович </t>
  </si>
  <si>
    <t xml:space="preserve">Трохимчук Олександр Олександрович </t>
  </si>
  <si>
    <t>Налагоджувальник технологічного устаткування</t>
  </si>
  <si>
    <t xml:space="preserve">Трубилко Володимир Трохимович </t>
  </si>
  <si>
    <t>09.01.2024</t>
  </si>
  <si>
    <t>12.03.2024</t>
  </si>
  <si>
    <t>18.07.2024</t>
  </si>
  <si>
    <t xml:space="preserve">Тютліков Віталій Олександрович </t>
  </si>
  <si>
    <t xml:space="preserve">Федорова Ганна Олександрівна </t>
  </si>
  <si>
    <t>08.12.2021</t>
  </si>
  <si>
    <t>24.07.2024</t>
  </si>
  <si>
    <t xml:space="preserve">Фещак Богдан Васильович </t>
  </si>
  <si>
    <t xml:space="preserve">Філь Тетяна Василівна </t>
  </si>
  <si>
    <t xml:space="preserve">Філянович Юрій Володимирович </t>
  </si>
  <si>
    <t>24.05.2021</t>
  </si>
  <si>
    <t xml:space="preserve">Фост Юрій Володимирович </t>
  </si>
  <si>
    <t xml:space="preserve">Хлань Олена Вікторівна </t>
  </si>
  <si>
    <t>Заступник головного бухгалтера</t>
  </si>
  <si>
    <t>12.01.2023</t>
  </si>
  <si>
    <t>д000000022</t>
  </si>
  <si>
    <t>Хоменко Марія Іванівна (оренда авто)</t>
  </si>
  <si>
    <t xml:space="preserve">Хомич Олександр Віталійович </t>
  </si>
  <si>
    <t>07.04.2023</t>
  </si>
  <si>
    <t xml:space="preserve">Хурсін Тарас Євгенійович </t>
  </si>
  <si>
    <t>Начальник дільниці</t>
  </si>
  <si>
    <t>д000000018</t>
  </si>
  <si>
    <t>Хурсін Тарас Євгенійович (оренда авто)</t>
  </si>
  <si>
    <t xml:space="preserve">Чайкін Олександр Віталійович </t>
  </si>
  <si>
    <t xml:space="preserve">Чередниченко Олександр Миколайович </t>
  </si>
  <si>
    <t>16.05.2018</t>
  </si>
  <si>
    <t xml:space="preserve">Чешко Сергій Анатолійович </t>
  </si>
  <si>
    <t>09.09.2022</t>
  </si>
  <si>
    <t>03.10.2023</t>
  </si>
  <si>
    <t>Кур'єр</t>
  </si>
  <si>
    <t>04.04.2024</t>
  </si>
  <si>
    <t xml:space="preserve">Шамоян Агмад Даватевич </t>
  </si>
  <si>
    <t>05.09.2023</t>
  </si>
  <si>
    <t xml:space="preserve">Шевченко Євген Анатолійович </t>
  </si>
  <si>
    <t>21.09.2022</t>
  </si>
  <si>
    <t xml:space="preserve">Шестаковський Юрій Олексійович </t>
  </si>
  <si>
    <t xml:space="preserve">Шинкаренко Олег Павлович </t>
  </si>
  <si>
    <t>Начальник юридичного відділу</t>
  </si>
  <si>
    <t>19.03.2024</t>
  </si>
  <si>
    <t xml:space="preserve">Шишкіна Людмила Григорівна </t>
  </si>
  <si>
    <t>17.05.2024</t>
  </si>
  <si>
    <t xml:space="preserve">Шкраб Олександр Анатолійович </t>
  </si>
  <si>
    <t>13.12.2022</t>
  </si>
  <si>
    <t>Шкурат Ігор Миколайович (осн.)</t>
  </si>
  <si>
    <t>Шкурат Ігор Миколайович (сум.)</t>
  </si>
  <si>
    <t xml:space="preserve">Шкурат Ігор Миколайович (сум.) </t>
  </si>
  <si>
    <t xml:space="preserve">Шостак Жанета Германівна </t>
  </si>
  <si>
    <t>10.03.2023</t>
  </si>
  <si>
    <t xml:space="preserve">Штиченко Олександр Володимирович </t>
  </si>
  <si>
    <t>д000000021</t>
  </si>
  <si>
    <t>Штиченко Олександр Володимирович (оренда авто)</t>
  </si>
  <si>
    <t>Електрик цеху</t>
  </si>
  <si>
    <t>11.01.2024</t>
  </si>
  <si>
    <t xml:space="preserve">Якубовський Василь Григорович </t>
  </si>
  <si>
    <t>12.08.2022</t>
  </si>
  <si>
    <t xml:space="preserve">Яровий Ростислав Петрович </t>
  </si>
  <si>
    <t>Серебренніков Володимир Олександрович</t>
  </si>
  <si>
    <t>Чешко Сергій Анатолійович</t>
  </si>
  <si>
    <t>Шавкун Максим Анатолійович</t>
  </si>
  <si>
    <t>Чуйко Олег Олегович</t>
  </si>
  <si>
    <t>Форманюк Руслан Леонідович</t>
  </si>
  <si>
    <t>Салюк Дмитро Андрійович</t>
  </si>
  <si>
    <t>Міненко Олександр Андрійович</t>
  </si>
  <si>
    <t>Салій Дмитро Миколайович</t>
  </si>
  <si>
    <t>Різніченко Олег Олександрович</t>
  </si>
  <si>
    <t>Рогозовець Андрій Вікторович</t>
  </si>
  <si>
    <t>Зубахін Сергій Александрович</t>
  </si>
  <si>
    <t>Рубленко Євген Миколайович</t>
  </si>
  <si>
    <t>Нерезенко Євгеній Віктоорович</t>
  </si>
  <si>
    <t>Момот Олексій Миколайович</t>
  </si>
  <si>
    <t>Старков Кирило Юрійович</t>
  </si>
  <si>
    <t>Батрак Віктор Володимирович</t>
  </si>
  <si>
    <t>Бондаренко Іван Олександрович</t>
  </si>
  <si>
    <t>Онучак Віктор Іванович</t>
  </si>
  <si>
    <t>Токарук Петро Михайлович</t>
  </si>
  <si>
    <t>Підлісний Володимир Сергійович</t>
  </si>
  <si>
    <t>Григоренко Ілля Олександрович</t>
  </si>
  <si>
    <t>Зінченко Дмитро Володимирович</t>
  </si>
  <si>
    <t xml:space="preserve">Гребінник Олексій Васильович </t>
  </si>
  <si>
    <t>Іванова Світлана Юріївна</t>
  </si>
  <si>
    <t>Ізюмець Олександр Евгенович</t>
  </si>
  <si>
    <t>Маркевич Ігор Ігорьович</t>
  </si>
  <si>
    <t>Самогородський Ігор Віталійович</t>
  </si>
  <si>
    <t>Дехтяр Владислав Олександрович</t>
  </si>
  <si>
    <t>Раменюк Віталій Сергійович</t>
  </si>
  <si>
    <t>Ісайкіна Тетяна Іванівна</t>
  </si>
  <si>
    <t>Кривка Руслан Олександрович</t>
  </si>
  <si>
    <t>Гусаков Роман Давидович</t>
  </si>
  <si>
    <t>Гусаков Давид Давидович</t>
  </si>
  <si>
    <t>Тужиков Артем Денисович</t>
  </si>
  <si>
    <t xml:space="preserve"> до виплати</t>
  </si>
  <si>
    <t>Ластовка Андрій Михайлович</t>
  </si>
  <si>
    <t>Рубленко Ярослав Михайлович</t>
  </si>
  <si>
    <t>Левченко Вадим Анатолійович</t>
  </si>
  <si>
    <t>Козленко Максим В’ячеславович</t>
  </si>
  <si>
    <t>Шомін Вадим Сергійович</t>
  </si>
  <si>
    <t>Удержание за обеды на объекте</t>
  </si>
  <si>
    <t xml:space="preserve">Козленко Єгор Максимович </t>
  </si>
  <si>
    <t>Глібико Денис Володимирович</t>
  </si>
  <si>
    <t>Деркс Сергій Анатолійович</t>
  </si>
  <si>
    <t xml:space="preserve">Маковецький Юрій Миколайович </t>
  </si>
  <si>
    <t>Масливець Ярослав Ігорович</t>
  </si>
  <si>
    <t xml:space="preserve">Германчук Сергій Сергійович </t>
  </si>
  <si>
    <t>Григорьєв Микола Андрійович</t>
  </si>
  <si>
    <t>Дзюба Едуард Іванович</t>
  </si>
  <si>
    <t>Туркевич Дмитро Миколайович</t>
  </si>
  <si>
    <t xml:space="preserve">Петров Михайло Олександрович </t>
  </si>
  <si>
    <t xml:space="preserve">Кобяковский Іван Олександрович </t>
  </si>
  <si>
    <t>30</t>
  </si>
  <si>
    <t>31</t>
  </si>
  <si>
    <t>Авжабаров Олексій Володимирович</t>
  </si>
  <si>
    <t>0</t>
  </si>
  <si>
    <t>виплати на картку за період 16-31.08.25</t>
  </si>
  <si>
    <t xml:space="preserve">ЗП  16-31.08.25 </t>
  </si>
  <si>
    <t>Сальдо на -15.08.2025</t>
  </si>
  <si>
    <t>Сальдо на 31.08.2025</t>
  </si>
  <si>
    <t>ЦО</t>
  </si>
  <si>
    <t>IRS</t>
  </si>
  <si>
    <t>катеринопіль</t>
  </si>
  <si>
    <t>мк нежин</t>
  </si>
  <si>
    <t>МД ВООЗ ЕМС</t>
  </si>
  <si>
    <t>ООН 2025</t>
  </si>
  <si>
    <t>червоний хрест</t>
  </si>
  <si>
    <t>укрнафта</t>
  </si>
  <si>
    <t>кернел</t>
  </si>
  <si>
    <t>глобино</t>
  </si>
  <si>
    <t>франківськ</t>
  </si>
  <si>
    <t>перевірка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</si>
</sst>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0"/>
    <numFmt numFmtId="165" formatCode="#,##0.0"/>
    <numFmt numFmtId="166" formatCode="_-* #,##0_₴_-;\-* #,##0_₴_-;_-* &quot;-&quot;_₴_-;_-@_-"/>
    <numFmt numFmtId="167" formatCode="_-* #,##0.00_₴_-;\-* #,##0.00_₴_-;_-* &quot;-&quot;??_₴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</font>
    <font>
      <b/>
      <sz val="12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1"/>
      <color indexed="63"/>
      <name val="Arial"/>
      <family val="2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63"/>
      <name val="Arial"/>
      <family val="2"/>
      <charset val="204"/>
    </font>
    <font>
      <b/>
      <sz val="11"/>
      <color indexed="63"/>
      <name val="Arial"/>
      <family val="2"/>
      <charset val="204"/>
    </font>
    <font>
      <sz val="12"/>
      <color theme="1"/>
      <name val="Calibri"/>
      <family val="2"/>
      <scheme val="minor"/>
    </font>
    <font>
      <sz val="12"/>
      <color indexed="63"/>
      <name val="Arial"/>
      <family val="2"/>
      <charset val="204"/>
    </font>
    <font>
      <sz val="12"/>
      <color indexed="63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indexed="24"/>
      <name val="Arial"/>
      <family val="2"/>
      <charset val="204"/>
    </font>
    <font>
      <sz val="11"/>
      <color rgb="FFFF0000"/>
      <name val="Arial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63"/>
      <name val="Arial"/>
      <family val="2"/>
      <charset val="204"/>
    </font>
    <font>
      <sz val="8"/>
      <color rgb="FFFF0000"/>
      <name val="Arial"/>
      <family val="2"/>
    </font>
    <font>
      <sz val="8"/>
      <color indexed="59"/>
      <name val="Arial"/>
      <family val="2"/>
    </font>
    <font>
      <b/>
      <sz val="8"/>
      <color indexed="59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63"/>
      <name val="Arial"/>
      <family val="2"/>
      <charset val="204"/>
    </font>
    <font>
      <sz val="8"/>
      <name val="Arial"/>
      <family val="2"/>
      <charset val="204"/>
    </font>
    <font>
      <b/>
      <sz val="12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0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indexed="63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/>
      <diagonal/>
    </border>
    <border>
      <left style="thin">
        <color indexed="26"/>
      </left>
      <right style="thin">
        <color indexed="26"/>
      </right>
      <top/>
      <bottom style="thin">
        <color indexed="2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8">
    <xf numFmtId="0" fontId="0" fillId="0" borderId="0"/>
    <xf numFmtId="0" fontId="6" fillId="0" borderId="0"/>
    <xf numFmtId="0" fontId="7" fillId="0" borderId="0"/>
    <xf numFmtId="0" fontId="9" fillId="0" borderId="0"/>
    <xf numFmtId="0" fontId="11" fillId="0" borderId="0"/>
    <xf numFmtId="0" fontId="6" fillId="0" borderId="0"/>
    <xf numFmtId="0" fontId="3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1" fillId="0" borderId="0"/>
    <xf numFmtId="0" fontId="6" fillId="0" borderId="0"/>
    <xf numFmtId="0" fontId="33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23">
    <xf numFmtId="0" fontId="0" fillId="0" borderId="0" xfId="0"/>
    <xf numFmtId="0" fontId="12" fillId="0" borderId="0" xfId="0" applyFont="1"/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0" xfId="0" applyFont="1"/>
    <xf numFmtId="1" fontId="12" fillId="0" borderId="0" xfId="0" applyNumberFormat="1" applyFont="1"/>
    <xf numFmtId="1" fontId="10" fillId="3" borderId="7" xfId="8" applyNumberFormat="1" applyFont="1" applyFill="1" applyBorder="1" applyAlignment="1">
      <alignment horizontal="right" vertical="top"/>
    </xf>
    <xf numFmtId="0" fontId="10" fillId="3" borderId="7" xfId="8" applyFont="1" applyFill="1" applyBorder="1" applyAlignment="1">
      <alignment horizontal="left" vertical="top"/>
    </xf>
    <xf numFmtId="0" fontId="10" fillId="3" borderId="7" xfId="8" applyFont="1" applyFill="1" applyBorder="1" applyAlignment="1">
      <alignment horizontal="center" vertical="center"/>
    </xf>
    <xf numFmtId="0" fontId="14" fillId="3" borderId="7" xfId="8" applyFont="1" applyFill="1" applyBorder="1" applyAlignment="1">
      <alignment horizontal="center" vertical="center" wrapText="1"/>
    </xf>
    <xf numFmtId="0" fontId="14" fillId="3" borderId="8" xfId="8" applyFont="1" applyFill="1" applyBorder="1" applyAlignment="1">
      <alignment horizontal="center" vertical="center" wrapText="1"/>
    </xf>
    <xf numFmtId="1" fontId="10" fillId="3" borderId="8" xfId="8" applyNumberFormat="1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 wrapText="1"/>
    </xf>
    <xf numFmtId="0" fontId="10" fillId="4" borderId="7" xfId="8" applyFont="1" applyFill="1" applyBorder="1" applyAlignment="1">
      <alignment horizontal="center" vertical="center"/>
    </xf>
    <xf numFmtId="0" fontId="14" fillId="5" borderId="1" xfId="8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0" fontId="10" fillId="5" borderId="7" xfId="8" applyFont="1" applyFill="1" applyBorder="1" applyAlignment="1">
      <alignment horizontal="center" vertical="center"/>
    </xf>
    <xf numFmtId="0" fontId="14" fillId="7" borderId="1" xfId="8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/>
    </xf>
    <xf numFmtId="0" fontId="10" fillId="7" borderId="7" xfId="8" applyFont="1" applyFill="1" applyBorder="1" applyAlignment="1">
      <alignment horizontal="center" vertical="center"/>
    </xf>
    <xf numFmtId="0" fontId="14" fillId="6" borderId="1" xfId="8" applyFont="1" applyFill="1" applyBorder="1" applyAlignment="1">
      <alignment horizontal="center" vertical="center" wrapText="1"/>
    </xf>
    <xf numFmtId="0" fontId="10" fillId="6" borderId="7" xfId="8" applyFont="1" applyFill="1" applyBorder="1" applyAlignment="1">
      <alignment horizontal="center" vertical="center"/>
    </xf>
    <xf numFmtId="0" fontId="14" fillId="2" borderId="1" xfId="8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left" vertical="top"/>
    </xf>
    <xf numFmtId="0" fontId="20" fillId="8" borderId="10" xfId="0" applyFont="1" applyFill="1" applyBorder="1" applyAlignment="1">
      <alignment horizontal="left" vertical="top"/>
    </xf>
    <xf numFmtId="1" fontId="10" fillId="3" borderId="1" xfId="0" applyNumberFormat="1" applyFont="1" applyFill="1" applyBorder="1" applyAlignment="1">
      <alignment horizontal="right" vertical="top"/>
    </xf>
    <xf numFmtId="0" fontId="10" fillId="3" borderId="1" xfId="0" applyFont="1" applyFill="1" applyBorder="1" applyAlignment="1">
      <alignment horizontal="left" vertical="top"/>
    </xf>
    <xf numFmtId="1" fontId="10" fillId="3" borderId="11" xfId="0" applyNumberFormat="1" applyFont="1" applyFill="1" applyBorder="1" applyAlignment="1">
      <alignment horizontal="right" vertical="top"/>
    </xf>
    <xf numFmtId="1" fontId="20" fillId="8" borderId="10" xfId="0" applyNumberFormat="1" applyFont="1" applyFill="1" applyBorder="1" applyAlignment="1">
      <alignment horizontal="right" vertical="top"/>
    </xf>
    <xf numFmtId="0" fontId="20" fillId="8" borderId="12" xfId="0" applyFont="1" applyFill="1" applyBorder="1" applyAlignment="1">
      <alignment horizontal="left" vertical="top"/>
    </xf>
    <xf numFmtId="0" fontId="20" fillId="8" borderId="13" xfId="0" applyFont="1" applyFill="1" applyBorder="1" applyAlignment="1">
      <alignment horizontal="left" vertical="top"/>
    </xf>
    <xf numFmtId="0" fontId="10" fillId="2" borderId="7" xfId="8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21" fillId="7" borderId="7" xfId="8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top"/>
    </xf>
    <xf numFmtId="0" fontId="10" fillId="3" borderId="14" xfId="0" applyFont="1" applyFill="1" applyBorder="1" applyAlignment="1">
      <alignment horizontal="left" vertical="top"/>
    </xf>
    <xf numFmtId="0" fontId="16" fillId="3" borderId="7" xfId="9" applyFont="1" applyFill="1" applyBorder="1" applyAlignment="1">
      <alignment horizontal="left" vertical="top"/>
    </xf>
    <xf numFmtId="1" fontId="17" fillId="3" borderId="7" xfId="9" applyNumberFormat="1" applyFont="1" applyFill="1" applyBorder="1" applyAlignment="1">
      <alignment horizontal="right" vertical="top"/>
    </xf>
    <xf numFmtId="0" fontId="16" fillId="3" borderId="8" xfId="9" applyFont="1" applyFill="1" applyBorder="1" applyAlignment="1">
      <alignment horizontal="left" vertical="top"/>
    </xf>
    <xf numFmtId="0" fontId="17" fillId="3" borderId="8" xfId="9" applyFont="1" applyFill="1" applyBorder="1" applyAlignment="1">
      <alignment horizontal="left" vertical="top"/>
    </xf>
    <xf numFmtId="0" fontId="16" fillId="3" borderId="1" xfId="9" applyFont="1" applyFill="1" applyBorder="1" applyAlignment="1">
      <alignment horizontal="center" vertical="center"/>
    </xf>
    <xf numFmtId="0" fontId="17" fillId="3" borderId="1" xfId="9" applyFont="1" applyFill="1" applyBorder="1" applyAlignment="1">
      <alignment horizontal="center" vertical="center"/>
    </xf>
    <xf numFmtId="1" fontId="17" fillId="3" borderId="1" xfId="9" applyNumberFormat="1" applyFont="1" applyFill="1" applyBorder="1" applyAlignment="1">
      <alignment horizontal="center" vertical="center"/>
    </xf>
    <xf numFmtId="3" fontId="16" fillId="3" borderId="1" xfId="9" applyNumberFormat="1" applyFont="1" applyFill="1" applyBorder="1" applyAlignment="1">
      <alignment horizontal="center" vertical="center"/>
    </xf>
    <xf numFmtId="14" fontId="16" fillId="3" borderId="1" xfId="9" applyNumberFormat="1" applyFont="1" applyFill="1" applyBorder="1" applyAlignment="1">
      <alignment horizontal="center" vertical="center" textRotation="90"/>
    </xf>
    <xf numFmtId="0" fontId="25" fillId="0" borderId="0" xfId="0" applyFont="1"/>
    <xf numFmtId="1" fontId="12" fillId="4" borderId="0" xfId="0" applyNumberFormat="1" applyFont="1" applyFill="1"/>
    <xf numFmtId="0" fontId="12" fillId="0" borderId="0" xfId="0" applyFont="1" applyAlignment="1">
      <alignment horizontal="left"/>
    </xf>
    <xf numFmtId="0" fontId="12" fillId="4" borderId="0" xfId="0" applyFont="1" applyFill="1"/>
    <xf numFmtId="0" fontId="12" fillId="4" borderId="0" xfId="0" applyFont="1" applyFill="1" applyAlignment="1">
      <alignment horizontal="left"/>
    </xf>
    <xf numFmtId="0" fontId="25" fillId="4" borderId="0" xfId="0" applyFont="1" applyFill="1"/>
    <xf numFmtId="0" fontId="13" fillId="3" borderId="16" xfId="8" applyFont="1" applyFill="1" applyBorder="1" applyAlignment="1">
      <alignment horizontal="left" vertical="top"/>
    </xf>
    <xf numFmtId="0" fontId="13" fillId="3" borderId="16" xfId="8" applyFont="1" applyFill="1" applyBorder="1" applyAlignment="1">
      <alignment horizontal="center" vertical="center"/>
    </xf>
    <xf numFmtId="3" fontId="13" fillId="3" borderId="17" xfId="8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1" fontId="10" fillId="3" borderId="18" xfId="8" applyNumberFormat="1" applyFont="1" applyFill="1" applyBorder="1" applyAlignment="1">
      <alignment horizontal="right" vertical="top"/>
    </xf>
    <xf numFmtId="0" fontId="10" fillId="3" borderId="18" xfId="8" applyFont="1" applyFill="1" applyBorder="1" applyAlignment="1">
      <alignment horizontal="left" vertical="top"/>
    </xf>
    <xf numFmtId="0" fontId="10" fillId="3" borderId="18" xfId="8" applyFont="1" applyFill="1" applyBorder="1" applyAlignment="1">
      <alignment horizontal="center" vertical="center"/>
    </xf>
    <xf numFmtId="1" fontId="10" fillId="3" borderId="19" xfId="8" applyNumberFormat="1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/>
    </xf>
    <xf numFmtId="0" fontId="12" fillId="4" borderId="20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14" fillId="3" borderId="21" xfId="8" applyFont="1" applyFill="1" applyBorder="1" applyAlignment="1">
      <alignment horizontal="center" vertical="center" wrapText="1"/>
    </xf>
    <xf numFmtId="1" fontId="10" fillId="3" borderId="22" xfId="8" applyNumberFormat="1" applyFont="1" applyFill="1" applyBorder="1" applyAlignment="1">
      <alignment horizontal="center" vertical="center"/>
    </xf>
    <xf numFmtId="3" fontId="13" fillId="3" borderId="23" xfId="8" applyNumberFormat="1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/>
    </xf>
    <xf numFmtId="3" fontId="8" fillId="2" borderId="5" xfId="0" applyNumberFormat="1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3" fontId="8" fillId="7" borderId="5" xfId="0" applyNumberFormat="1" applyFont="1" applyFill="1" applyBorder="1" applyAlignment="1">
      <alignment horizontal="center"/>
    </xf>
    <xf numFmtId="3" fontId="8" fillId="5" borderId="5" xfId="0" applyNumberFormat="1" applyFont="1" applyFill="1" applyBorder="1" applyAlignment="1">
      <alignment horizontal="center"/>
    </xf>
    <xf numFmtId="3" fontId="8" fillId="4" borderId="9" xfId="0" applyNumberFormat="1" applyFont="1" applyFill="1" applyBorder="1" applyAlignment="1">
      <alignment horizontal="center"/>
    </xf>
    <xf numFmtId="1" fontId="10" fillId="3" borderId="25" xfId="8" applyNumberFormat="1" applyFont="1" applyFill="1" applyBorder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4" borderId="0" xfId="0" applyNumberFormat="1" applyFont="1" applyFill="1" applyAlignment="1">
      <alignment horizontal="center"/>
    </xf>
    <xf numFmtId="3" fontId="12" fillId="0" borderId="0" xfId="0" applyNumberFormat="1" applyFont="1" applyAlignment="1">
      <alignment horizontal="center"/>
    </xf>
    <xf numFmtId="3" fontId="12" fillId="4" borderId="0" xfId="0" applyNumberFormat="1" applyFont="1" applyFill="1" applyAlignment="1">
      <alignment horizontal="center"/>
    </xf>
    <xf numFmtId="3" fontId="8" fillId="0" borderId="0" xfId="0" applyNumberFormat="1" applyFont="1" applyAlignment="1">
      <alignment horizontal="center"/>
    </xf>
    <xf numFmtId="10" fontId="12" fillId="4" borderId="0" xfId="0" applyNumberFormat="1" applyFont="1" applyFill="1" applyAlignment="1">
      <alignment horizontal="center"/>
    </xf>
    <xf numFmtId="3" fontId="12" fillId="4" borderId="6" xfId="0" applyNumberFormat="1" applyFont="1" applyFill="1" applyBorder="1" applyAlignment="1">
      <alignment horizontal="center"/>
    </xf>
    <xf numFmtId="3" fontId="12" fillId="5" borderId="2" xfId="0" applyNumberFormat="1" applyFont="1" applyFill="1" applyBorder="1" applyAlignment="1">
      <alignment horizontal="center"/>
    </xf>
    <xf numFmtId="10" fontId="12" fillId="7" borderId="1" xfId="0" applyNumberFormat="1" applyFont="1" applyFill="1" applyBorder="1" applyAlignment="1">
      <alignment horizontal="center"/>
    </xf>
    <xf numFmtId="1" fontId="12" fillId="7" borderId="1" xfId="0" applyNumberFormat="1" applyFont="1" applyFill="1" applyBorder="1" applyAlignment="1">
      <alignment horizontal="center"/>
    </xf>
    <xf numFmtId="3" fontId="12" fillId="7" borderId="1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26" fillId="3" borderId="7" xfId="10" applyFont="1" applyFill="1" applyBorder="1" applyAlignment="1">
      <alignment horizontal="left" vertical="top"/>
    </xf>
    <xf numFmtId="0" fontId="2" fillId="0" borderId="0" xfId="11"/>
    <xf numFmtId="1" fontId="19" fillId="3" borderId="7" xfId="10" applyNumberFormat="1" applyFont="1" applyFill="1" applyBorder="1" applyAlignment="1">
      <alignment horizontal="right" vertical="top"/>
    </xf>
    <xf numFmtId="0" fontId="19" fillId="3" borderId="7" xfId="10" applyFont="1" applyFill="1" applyBorder="1" applyAlignment="1">
      <alignment horizontal="left" vertical="top"/>
    </xf>
    <xf numFmtId="0" fontId="6" fillId="6" borderId="7" xfId="10" applyFill="1" applyBorder="1" applyAlignment="1">
      <alignment horizontal="left" vertical="top"/>
    </xf>
    <xf numFmtId="0" fontId="19" fillId="6" borderId="7" xfId="10" applyFont="1" applyFill="1" applyBorder="1" applyAlignment="1">
      <alignment horizontal="left" vertical="top"/>
    </xf>
    <xf numFmtId="0" fontId="19" fillId="10" borderId="7" xfId="10" applyFont="1" applyFill="1" applyBorder="1" applyAlignment="1">
      <alignment horizontal="left" vertical="top"/>
    </xf>
    <xf numFmtId="0" fontId="19" fillId="5" borderId="7" xfId="10" applyFont="1" applyFill="1" applyBorder="1" applyAlignment="1">
      <alignment horizontal="left" vertical="top"/>
    </xf>
    <xf numFmtId="0" fontId="19" fillId="4" borderId="7" xfId="10" applyFont="1" applyFill="1" applyBorder="1" applyAlignment="1">
      <alignment horizontal="left" vertical="top"/>
    </xf>
    <xf numFmtId="0" fontId="19" fillId="2" borderId="7" xfId="10" applyFont="1" applyFill="1" applyBorder="1" applyAlignment="1">
      <alignment horizontal="left" vertical="top"/>
    </xf>
    <xf numFmtId="0" fontId="19" fillId="11" borderId="7" xfId="10" applyFont="1" applyFill="1" applyBorder="1" applyAlignment="1">
      <alignment horizontal="left" vertical="top"/>
    </xf>
    <xf numFmtId="0" fontId="19" fillId="12" borderId="7" xfId="10" applyFont="1" applyFill="1" applyBorder="1" applyAlignment="1">
      <alignment horizontal="left" vertical="top"/>
    </xf>
    <xf numFmtId="0" fontId="19" fillId="13" borderId="7" xfId="10" applyFont="1" applyFill="1" applyBorder="1" applyAlignment="1">
      <alignment horizontal="left" vertical="top"/>
    </xf>
    <xf numFmtId="0" fontId="19" fillId="0" borderId="7" xfId="10" applyFont="1" applyBorder="1" applyAlignment="1">
      <alignment horizontal="left" vertical="top"/>
    </xf>
    <xf numFmtId="0" fontId="26" fillId="3" borderId="4" xfId="10" applyFont="1" applyFill="1" applyBorder="1" applyAlignment="1">
      <alignment horizontal="left" vertical="top"/>
    </xf>
    <xf numFmtId="0" fontId="6" fillId="0" borderId="0" xfId="10"/>
    <xf numFmtId="0" fontId="6" fillId="0" borderId="1" xfId="10" applyBorder="1"/>
    <xf numFmtId="0" fontId="7" fillId="4" borderId="1" xfId="10" applyFont="1" applyFill="1" applyBorder="1"/>
    <xf numFmtId="0" fontId="27" fillId="0" borderId="0" xfId="10" applyFont="1"/>
    <xf numFmtId="0" fontId="6" fillId="6" borderId="1" xfId="10" applyFill="1" applyBorder="1"/>
    <xf numFmtId="0" fontId="2" fillId="5" borderId="1" xfId="11" applyFill="1" applyBorder="1"/>
    <xf numFmtId="0" fontId="2" fillId="10" borderId="1" xfId="11" applyFill="1" applyBorder="1"/>
    <xf numFmtId="0" fontId="2" fillId="12" borderId="1" xfId="11" applyFill="1" applyBorder="1"/>
    <xf numFmtId="0" fontId="2" fillId="13" borderId="1" xfId="11" applyFill="1" applyBorder="1"/>
    <xf numFmtId="0" fontId="8" fillId="0" borderId="0" xfId="11" applyFont="1"/>
    <xf numFmtId="0" fontId="2" fillId="13" borderId="0" xfId="11" applyFill="1"/>
    <xf numFmtId="0" fontId="18" fillId="3" borderId="7" xfId="10" applyFont="1" applyFill="1" applyBorder="1" applyAlignment="1">
      <alignment horizontal="left" vertical="top"/>
    </xf>
    <xf numFmtId="1" fontId="5" fillId="2" borderId="1" xfId="1" applyNumberFormat="1" applyFont="1" applyFill="1" applyBorder="1" applyAlignment="1">
      <alignment horizontal="center" vertical="center" wrapText="1"/>
    </xf>
    <xf numFmtId="0" fontId="28" fillId="3" borderId="26" xfId="10" applyFont="1" applyFill="1" applyBorder="1" applyAlignment="1">
      <alignment horizontal="left" vertical="top"/>
    </xf>
    <xf numFmtId="0" fontId="29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right" vertical="top"/>
    </xf>
    <xf numFmtId="0" fontId="30" fillId="3" borderId="26" xfId="10" applyFont="1" applyFill="1" applyBorder="1" applyAlignment="1">
      <alignment horizontal="left" vertical="top"/>
    </xf>
    <xf numFmtId="1" fontId="30" fillId="3" borderId="26" xfId="10" applyNumberFormat="1" applyFont="1" applyFill="1" applyBorder="1" applyAlignment="1">
      <alignment horizontal="left" vertical="top"/>
    </xf>
    <xf numFmtId="4" fontId="31" fillId="3" borderId="26" xfId="10" applyNumberFormat="1" applyFont="1" applyFill="1" applyBorder="1" applyAlignment="1">
      <alignment horizontal="right" vertical="top"/>
    </xf>
    <xf numFmtId="0" fontId="31" fillId="3" borderId="26" xfId="10" applyFont="1" applyFill="1" applyBorder="1" applyAlignment="1">
      <alignment horizontal="left" vertical="top"/>
    </xf>
    <xf numFmtId="2" fontId="31" fillId="3" borderId="26" xfId="10" applyNumberFormat="1" applyFont="1" applyFill="1" applyBorder="1" applyAlignment="1">
      <alignment horizontal="right" vertical="top"/>
    </xf>
    <xf numFmtId="0" fontId="28" fillId="3" borderId="26" xfId="10" applyFont="1" applyFill="1" applyBorder="1" applyAlignment="1">
      <alignment horizontal="right" vertical="top"/>
    </xf>
    <xf numFmtId="4" fontId="29" fillId="3" borderId="26" xfId="10" applyNumberFormat="1" applyFont="1" applyFill="1" applyBorder="1" applyAlignment="1">
      <alignment horizontal="right" vertical="top"/>
    </xf>
    <xf numFmtId="0" fontId="29" fillId="3" borderId="26" xfId="10" applyFont="1" applyFill="1" applyBorder="1" applyAlignment="1">
      <alignment horizontal="right" vertical="top"/>
    </xf>
    <xf numFmtId="0" fontId="0" fillId="4" borderId="0" xfId="0" applyFill="1"/>
    <xf numFmtId="0" fontId="28" fillId="3" borderId="26" xfId="13" applyFont="1" applyFill="1" applyBorder="1" applyAlignment="1">
      <alignment horizontal="left" vertical="top"/>
    </xf>
    <xf numFmtId="0" fontId="30" fillId="3" borderId="26" xfId="13" applyFont="1" applyFill="1" applyBorder="1" applyAlignment="1">
      <alignment horizontal="left" vertical="top"/>
    </xf>
    <xf numFmtId="164" fontId="30" fillId="3" borderId="26" xfId="13" applyNumberFormat="1" applyFont="1" applyFill="1" applyBorder="1" applyAlignment="1">
      <alignment horizontal="left" vertical="top"/>
    </xf>
    <xf numFmtId="1" fontId="30" fillId="3" borderId="26" xfId="13" applyNumberFormat="1" applyFont="1" applyFill="1" applyBorder="1" applyAlignment="1">
      <alignment horizontal="left" vertical="top"/>
    </xf>
    <xf numFmtId="4" fontId="32" fillId="3" borderId="1" xfId="5" applyNumberFormat="1" applyFont="1" applyFill="1" applyBorder="1" applyAlignment="1">
      <alignment horizontal="center" vertical="top"/>
    </xf>
    <xf numFmtId="0" fontId="34" fillId="14" borderId="28" xfId="0" applyFont="1" applyFill="1" applyBorder="1" applyAlignment="1">
      <alignment horizontal="center" vertical="center" wrapText="1"/>
    </xf>
    <xf numFmtId="4" fontId="34" fillId="14" borderId="1" xfId="5" applyNumberFormat="1" applyFont="1" applyFill="1" applyBorder="1" applyAlignment="1">
      <alignment horizontal="center" vertical="top"/>
    </xf>
    <xf numFmtId="0" fontId="35" fillId="14" borderId="0" xfId="0" applyFont="1" applyFill="1" applyAlignment="1">
      <alignment horizontal="center"/>
    </xf>
    <xf numFmtId="0" fontId="6" fillId="0" borderId="0" xfId="16"/>
    <xf numFmtId="1" fontId="19" fillId="3" borderId="7" xfId="16" applyNumberFormat="1" applyFont="1" applyFill="1" applyBorder="1" applyAlignment="1">
      <alignment horizontal="right" vertical="top"/>
    </xf>
    <xf numFmtId="0" fontId="19" fillId="3" borderId="7" xfId="16" applyNumberFormat="1" applyFont="1" applyFill="1" applyBorder="1" applyAlignment="1">
      <alignment horizontal="left" vertical="top"/>
    </xf>
    <xf numFmtId="1" fontId="19" fillId="3" borderId="7" xfId="17" applyNumberFormat="1" applyFont="1" applyFill="1" applyBorder="1" applyAlignment="1">
      <alignment horizontal="right" vertical="top"/>
    </xf>
    <xf numFmtId="0" fontId="19" fillId="3" borderId="7" xfId="17" applyNumberFormat="1" applyFont="1" applyFill="1" applyBorder="1" applyAlignment="1">
      <alignment horizontal="left" vertical="top"/>
    </xf>
    <xf numFmtId="0" fontId="6" fillId="0" borderId="0" xfId="17"/>
    <xf numFmtId="4" fontId="32" fillId="3" borderId="3" xfId="5" applyNumberFormat="1" applyFont="1" applyFill="1" applyBorder="1" applyAlignment="1">
      <alignment horizontal="center" vertical="top"/>
    </xf>
    <xf numFmtId="1" fontId="19" fillId="3" borderId="7" xfId="18" applyNumberFormat="1" applyFont="1" applyFill="1" applyBorder="1" applyAlignment="1">
      <alignment horizontal="right" vertical="top"/>
    </xf>
    <xf numFmtId="0" fontId="19" fillId="3" borderId="7" xfId="18" applyNumberFormat="1" applyFont="1" applyFill="1" applyBorder="1" applyAlignment="1">
      <alignment horizontal="left" vertical="top"/>
    </xf>
    <xf numFmtId="1" fontId="19" fillId="3" borderId="7" xfId="19" applyNumberFormat="1" applyFont="1" applyFill="1" applyBorder="1" applyAlignment="1">
      <alignment horizontal="right" vertical="top"/>
    </xf>
    <xf numFmtId="0" fontId="19" fillId="3" borderId="7" xfId="19" applyNumberFormat="1" applyFont="1" applyFill="1" applyBorder="1" applyAlignment="1">
      <alignment horizontal="left" vertical="top"/>
    </xf>
    <xf numFmtId="1" fontId="5" fillId="2" borderId="5" xfId="1" applyNumberFormat="1" applyFont="1" applyFill="1" applyBorder="1" applyAlignment="1">
      <alignment horizontal="center" vertical="center" wrapText="1"/>
    </xf>
    <xf numFmtId="1" fontId="19" fillId="3" borderId="7" xfId="20" applyNumberFormat="1" applyFont="1" applyFill="1" applyBorder="1" applyAlignment="1">
      <alignment horizontal="right" vertical="top"/>
    </xf>
    <xf numFmtId="0" fontId="19" fillId="3" borderId="7" xfId="20" applyNumberFormat="1" applyFont="1" applyFill="1" applyBorder="1" applyAlignment="1">
      <alignment horizontal="left" vertical="top"/>
    </xf>
    <xf numFmtId="0" fontId="19" fillId="3" borderId="4" xfId="16" applyNumberFormat="1" applyFont="1" applyFill="1" applyBorder="1" applyAlignment="1">
      <alignment horizontal="left" vertical="top"/>
    </xf>
    <xf numFmtId="0" fontId="19" fillId="3" borderId="1" xfId="16" applyNumberFormat="1" applyFont="1" applyFill="1" applyBorder="1" applyAlignment="1">
      <alignment horizontal="left" vertical="top"/>
    </xf>
    <xf numFmtId="1" fontId="0" fillId="0" borderId="0" xfId="0" applyNumberFormat="1"/>
    <xf numFmtId="4" fontId="4" fillId="2" borderId="3" xfId="0" applyNumberFormat="1" applyFont="1" applyFill="1" applyBorder="1" applyAlignment="1">
      <alignment horizontal="center" vertical="center" wrapText="1"/>
    </xf>
    <xf numFmtId="4" fontId="12" fillId="0" borderId="0" xfId="0" applyNumberFormat="1" applyFont="1" applyAlignment="1">
      <alignment horizontal="center"/>
    </xf>
    <xf numFmtId="0" fontId="18" fillId="3" borderId="7" xfId="16" applyNumberFormat="1" applyFont="1" applyFill="1" applyBorder="1" applyAlignment="1">
      <alignment horizontal="left" vertical="top"/>
    </xf>
    <xf numFmtId="0" fontId="19" fillId="3" borderId="7" xfId="21" applyNumberFormat="1" applyFont="1" applyFill="1" applyBorder="1" applyAlignment="1">
      <alignment horizontal="left" vertical="top"/>
    </xf>
    <xf numFmtId="0" fontId="37" fillId="3" borderId="7" xfId="22" applyNumberFormat="1" applyFont="1" applyFill="1" applyBorder="1" applyAlignment="1">
      <alignment horizontal="left" vertical="top"/>
    </xf>
    <xf numFmtId="1" fontId="19" fillId="3" borderId="7" xfId="23" applyNumberFormat="1" applyFont="1" applyFill="1" applyBorder="1" applyAlignment="1">
      <alignment horizontal="right" vertical="top"/>
    </xf>
    <xf numFmtId="0" fontId="19" fillId="3" borderId="7" xfId="23" applyNumberFormat="1" applyFont="1" applyFill="1" applyBorder="1" applyAlignment="1">
      <alignment horizontal="left" vertical="top"/>
    </xf>
    <xf numFmtId="0" fontId="37" fillId="3" borderId="7" xfId="20" applyNumberFormat="1" applyFont="1" applyFill="1" applyBorder="1" applyAlignment="1">
      <alignment horizontal="left" vertical="top"/>
    </xf>
    <xf numFmtId="0" fontId="37" fillId="3" borderId="7" xfId="17" applyNumberFormat="1" applyFont="1" applyFill="1" applyBorder="1" applyAlignment="1">
      <alignment horizontal="left" vertical="top"/>
    </xf>
    <xf numFmtId="0" fontId="37" fillId="3" borderId="7" xfId="16" applyNumberFormat="1" applyFont="1" applyFill="1" applyBorder="1" applyAlignment="1">
      <alignment horizontal="left" vertical="top"/>
    </xf>
    <xf numFmtId="0" fontId="37" fillId="3" borderId="7" xfId="19" applyNumberFormat="1" applyFont="1" applyFill="1" applyBorder="1" applyAlignment="1">
      <alignment horizontal="left" vertical="top"/>
    </xf>
    <xf numFmtId="0" fontId="37" fillId="3" borderId="7" xfId="18" applyNumberFormat="1" applyFont="1" applyFill="1" applyBorder="1" applyAlignment="1">
      <alignment horizontal="left" vertical="top"/>
    </xf>
    <xf numFmtId="1" fontId="19" fillId="3" borderId="8" xfId="16" applyNumberFormat="1" applyFont="1" applyFill="1" applyBorder="1" applyAlignment="1">
      <alignment horizontal="right" vertical="top"/>
    </xf>
    <xf numFmtId="0" fontId="19" fillId="3" borderId="3" xfId="16" applyNumberFormat="1" applyFont="1" applyFill="1" applyBorder="1" applyAlignment="1">
      <alignment horizontal="left" vertical="top"/>
    </xf>
    <xf numFmtId="4" fontId="12" fillId="0" borderId="1" xfId="0" applyNumberFormat="1" applyFont="1" applyBorder="1" applyAlignment="1">
      <alignment horizontal="center"/>
    </xf>
    <xf numFmtId="165" fontId="37" fillId="3" borderId="7" xfId="18" applyNumberFormat="1" applyFont="1" applyFill="1" applyBorder="1" applyAlignment="1">
      <alignment horizontal="right" vertical="top"/>
    </xf>
    <xf numFmtId="165" fontId="37" fillId="3" borderId="7" xfId="19" applyNumberFormat="1" applyFont="1" applyFill="1" applyBorder="1" applyAlignment="1">
      <alignment horizontal="right" vertical="top"/>
    </xf>
    <xf numFmtId="1" fontId="19" fillId="3" borderId="7" xfId="24" applyNumberFormat="1" applyFont="1" applyFill="1" applyBorder="1" applyAlignment="1">
      <alignment horizontal="right" vertical="top"/>
    </xf>
    <xf numFmtId="0" fontId="19" fillId="3" borderId="7" xfId="24" applyNumberFormat="1" applyFont="1" applyFill="1" applyBorder="1" applyAlignment="1">
      <alignment horizontal="left" vertical="top"/>
    </xf>
    <xf numFmtId="1" fontId="19" fillId="3" borderId="7" xfId="25" applyNumberFormat="1" applyFont="1" applyFill="1" applyBorder="1" applyAlignment="1">
      <alignment horizontal="right" vertical="top"/>
    </xf>
    <xf numFmtId="0" fontId="19" fillId="3" borderId="7" xfId="25" applyNumberFormat="1" applyFont="1" applyFill="1" applyBorder="1" applyAlignment="1">
      <alignment horizontal="left" vertical="top"/>
    </xf>
    <xf numFmtId="4" fontId="13" fillId="3" borderId="27" xfId="5" applyNumberFormat="1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6" fillId="3" borderId="7" xfId="19" applyNumberFormat="1" applyFont="1" applyFill="1" applyBorder="1" applyAlignment="1">
      <alignment horizontal="center" vertical="center"/>
    </xf>
    <xf numFmtId="4" fontId="5" fillId="0" borderId="3" xfId="5" applyNumberFormat="1" applyFont="1" applyFill="1" applyBorder="1" applyAlignment="1">
      <alignment horizontal="center" vertical="top"/>
    </xf>
    <xf numFmtId="1" fontId="19" fillId="15" borderId="7" xfId="17" applyNumberFormat="1" applyFont="1" applyFill="1" applyBorder="1" applyAlignment="1">
      <alignment horizontal="right" vertical="top"/>
    </xf>
    <xf numFmtId="0" fontId="19" fillId="15" borderId="7" xfId="16" applyNumberFormat="1" applyFont="1" applyFill="1" applyBorder="1" applyAlignment="1">
      <alignment horizontal="left" vertical="top"/>
    </xf>
    <xf numFmtId="4" fontId="32" fillId="15" borderId="1" xfId="5" applyNumberFormat="1" applyFont="1" applyFill="1" applyBorder="1" applyAlignment="1">
      <alignment horizontal="center" vertical="top"/>
    </xf>
    <xf numFmtId="4" fontId="34" fillId="15" borderId="1" xfId="5" applyNumberFormat="1" applyFont="1" applyFill="1" applyBorder="1" applyAlignment="1">
      <alignment horizontal="center" vertical="top"/>
    </xf>
    <xf numFmtId="1" fontId="5" fillId="15" borderId="1" xfId="1" applyNumberFormat="1" applyFont="1" applyFill="1" applyBorder="1" applyAlignment="1">
      <alignment horizontal="center" vertical="center" wrapText="1"/>
    </xf>
    <xf numFmtId="0" fontId="17" fillId="15" borderId="1" xfId="9" applyFont="1" applyFill="1" applyBorder="1" applyAlignment="1">
      <alignment horizontal="center" vertical="center"/>
    </xf>
    <xf numFmtId="0" fontId="12" fillId="15" borderId="0" xfId="0" applyFont="1" applyFill="1"/>
    <xf numFmtId="4" fontId="38" fillId="0" borderId="0" xfId="0" applyNumberFormat="1" applyFont="1" applyAlignment="1">
      <alignment horizontal="center"/>
    </xf>
    <xf numFmtId="4" fontId="35" fillId="14" borderId="3" xfId="0" applyNumberFormat="1" applyFont="1" applyFill="1" applyBorder="1" applyAlignment="1">
      <alignment horizontal="center"/>
    </xf>
    <xf numFmtId="4" fontId="35" fillId="14" borderId="0" xfId="0" applyNumberFormat="1" applyFont="1" applyFill="1" applyAlignment="1">
      <alignment horizontal="center"/>
    </xf>
    <xf numFmtId="0" fontId="39" fillId="3" borderId="7" xfId="18" applyNumberFormat="1" applyFont="1" applyFill="1" applyBorder="1" applyAlignment="1">
      <alignment horizontal="left" vertical="top"/>
    </xf>
    <xf numFmtId="0" fontId="39" fillId="3" borderId="7" xfId="19" applyNumberFormat="1" applyFont="1" applyFill="1" applyBorder="1" applyAlignment="1">
      <alignment horizontal="left" vertical="top"/>
    </xf>
    <xf numFmtId="0" fontId="39" fillId="3" borderId="7" xfId="16" applyNumberFormat="1" applyFont="1" applyFill="1" applyBorder="1" applyAlignment="1">
      <alignment horizontal="left" vertical="top"/>
    </xf>
    <xf numFmtId="0" fontId="39" fillId="3" borderId="7" xfId="20" applyNumberFormat="1" applyFont="1" applyFill="1" applyBorder="1" applyAlignment="1">
      <alignment horizontal="left" vertical="top"/>
    </xf>
    <xf numFmtId="0" fontId="39" fillId="3" borderId="7" xfId="23" applyNumberFormat="1" applyFont="1" applyFill="1" applyBorder="1" applyAlignment="1">
      <alignment horizontal="left" vertical="top"/>
    </xf>
    <xf numFmtId="0" fontId="39" fillId="3" borderId="7" xfId="24" applyNumberFormat="1" applyFont="1" applyFill="1" applyBorder="1" applyAlignment="1">
      <alignment horizontal="left" vertical="top"/>
    </xf>
    <xf numFmtId="0" fontId="39" fillId="3" borderId="7" xfId="25" applyNumberFormat="1" applyFont="1" applyFill="1" applyBorder="1" applyAlignment="1">
      <alignment horizontal="left" vertical="top"/>
    </xf>
    <xf numFmtId="165" fontId="39" fillId="3" borderId="7" xfId="25" applyNumberFormat="1" applyFont="1" applyFill="1" applyBorder="1" applyAlignment="1">
      <alignment horizontal="right" vertical="top"/>
    </xf>
    <xf numFmtId="0" fontId="39" fillId="3" borderId="7" xfId="17" applyNumberFormat="1" applyFont="1" applyFill="1" applyBorder="1" applyAlignment="1">
      <alignment horizontal="left" vertical="top"/>
    </xf>
    <xf numFmtId="0" fontId="39" fillId="3" borderId="7" xfId="26" applyNumberFormat="1" applyFont="1" applyFill="1" applyBorder="1" applyAlignment="1">
      <alignment horizontal="left" vertical="top"/>
    </xf>
    <xf numFmtId="1" fontId="19" fillId="3" borderId="7" xfId="26" applyNumberFormat="1" applyFont="1" applyFill="1" applyBorder="1" applyAlignment="1">
      <alignment horizontal="right" vertical="top"/>
    </xf>
    <xf numFmtId="0" fontId="19" fillId="3" borderId="7" xfId="26" applyNumberFormat="1" applyFont="1" applyFill="1" applyBorder="1" applyAlignment="1">
      <alignment horizontal="left" vertical="top"/>
    </xf>
    <xf numFmtId="0" fontId="39" fillId="3" borderId="7" xfId="27" applyNumberFormat="1" applyFont="1" applyFill="1" applyBorder="1" applyAlignment="1">
      <alignment horizontal="left" vertical="top"/>
    </xf>
    <xf numFmtId="1" fontId="19" fillId="3" borderId="7" xfId="27" applyNumberFormat="1" applyFont="1" applyFill="1" applyBorder="1" applyAlignment="1">
      <alignment horizontal="right" vertical="top"/>
    </xf>
    <xf numFmtId="0" fontId="19" fillId="3" borderId="7" xfId="27" applyNumberFormat="1" applyFont="1" applyFill="1" applyBorder="1" applyAlignment="1">
      <alignment horizontal="left" vertical="top"/>
    </xf>
    <xf numFmtId="0" fontId="12" fillId="0" borderId="0" xfId="0" applyFont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/>
    </xf>
    <xf numFmtId="1" fontId="12" fillId="15" borderId="0" xfId="0" applyNumberFormat="1" applyFont="1" applyFill="1"/>
    <xf numFmtId="166" fontId="12" fillId="0" borderId="0" xfId="0" applyNumberFormat="1" applyFont="1"/>
    <xf numFmtId="0" fontId="4" fillId="2" borderId="0" xfId="0" applyFont="1" applyFill="1" applyBorder="1" applyAlignment="1">
      <alignment horizontal="center" vertical="center" wrapText="1"/>
    </xf>
    <xf numFmtId="0" fontId="17" fillId="15" borderId="0" xfId="9" applyFont="1" applyFill="1" applyBorder="1" applyAlignment="1">
      <alignment horizontal="center" vertical="center"/>
    </xf>
    <xf numFmtId="0" fontId="17" fillId="3" borderId="0" xfId="9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7" fontId="12" fillId="15" borderId="0" xfId="0" applyNumberFormat="1" applyFont="1" applyFill="1"/>
  </cellXfs>
  <cellStyles count="28">
    <cellStyle name="Обычный" xfId="0" builtinId="0"/>
    <cellStyle name="Обычный 11" xfId="7" xr:uid="{00000000-0005-0000-0000-000001000000}"/>
    <cellStyle name="Обычный 2" xfId="2" xr:uid="{00000000-0005-0000-0000-000002000000}"/>
    <cellStyle name="Обычный 2 3" xfId="6" xr:uid="{00000000-0005-0000-0000-000003000000}"/>
    <cellStyle name="Обычный 3" xfId="3" xr:uid="{00000000-0005-0000-0000-000004000000}"/>
    <cellStyle name="Обычный 4" xfId="4" xr:uid="{00000000-0005-0000-0000-000005000000}"/>
    <cellStyle name="Обычный 4 2" xfId="15" xr:uid="{00000000-0005-0000-0000-000006000000}"/>
    <cellStyle name="Обычный 5" xfId="11" xr:uid="{00000000-0005-0000-0000-000007000000}"/>
    <cellStyle name="Обычный 6" xfId="12" xr:uid="{00000000-0005-0000-0000-000008000000}"/>
    <cellStyle name="Обычный 7" xfId="14" xr:uid="{00000000-0005-0000-0000-000009000000}"/>
    <cellStyle name="Обычный_1С 16-29.02.24" xfId="8" xr:uid="{00000000-0005-0000-0000-00000A000000}"/>
    <cellStyle name="Обычный_1С цех" xfId="9" xr:uid="{00000000-0005-0000-0000-00000B000000}"/>
    <cellStyle name="Обычный_IRS" xfId="25" xr:uid="{00000000-0005-0000-0000-00000C000000}"/>
    <cellStyle name="Обычный_Глобино Мк" xfId="23" xr:uid="{00000000-0005-0000-0000-00000D000000}"/>
    <cellStyle name="Обычный_ИТР" xfId="27" xr:uid="{00000000-0005-0000-0000-00000E000000}"/>
    <cellStyle name="Обычный_Катеринополь" xfId="16" xr:uid="{00000000-0005-0000-0000-00000F000000}"/>
    <cellStyle name="Обычный_Кернел" xfId="19" xr:uid="{00000000-0005-0000-0000-000010000000}"/>
    <cellStyle name="Обычный_Лист1" xfId="10" xr:uid="{00000000-0005-0000-0000-000011000000}"/>
    <cellStyle name="Обычный_Лист2" xfId="13" xr:uid="{00000000-0005-0000-0000-000012000000}"/>
    <cellStyle name="Обычный_МД Франківськ" xfId="24" xr:uid="{00000000-0005-0000-0000-000013000000}"/>
    <cellStyle name="Обычный_Мк нежин" xfId="21" xr:uid="{00000000-0005-0000-0000-000014000000}"/>
    <cellStyle name="Обычный_МХП франківськ" xfId="22" xr:uid="{00000000-0005-0000-0000-000015000000}"/>
    <cellStyle name="Обычный_ООН" xfId="18" xr:uid="{00000000-0005-0000-0000-000016000000}"/>
    <cellStyle name="Обычный_ООН 2025" xfId="26" xr:uid="{00000000-0005-0000-0000-000017000000}"/>
    <cellStyle name="Обычный_Табель 16-30" xfId="5" xr:uid="{00000000-0005-0000-0000-000018000000}"/>
    <cellStyle name="Обычный_Табель МД" xfId="1" xr:uid="{00000000-0005-0000-0000-000019000000}"/>
    <cellStyle name="Обычный_Цо" xfId="17" xr:uid="{00000000-0005-0000-0000-00001A000000}"/>
    <cellStyle name="Обычный_Червоний хрест" xfId="20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fo/AppData/Roaming/1C/1cv8/39dcb949-fca1-4ac6-9677-74e7b089cf3d/5788f89f-43fe-4b1f-9427-27e69224d327/App/&#1047;&#1055;%20%20&#1042;&#1110;&#1076;&#1086;&#1084;&#1110;&#1089;&#1090;&#1100;%20%20&#1094;&#1077;&#1093;%20&#1079;%201%20%20&#1087;&#1086;%2015%20&#1089;&#1077;&#1088;&#1087;&#1085;&#1103;%20&#1056;&#1040;&#1057;&#1055;&#1056;&#1045;&#1044;&#1045;&#105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1"/>
      <sheetName val="Табель цех 1 по 15 серпня"/>
      <sheetName val="Цо"/>
      <sheetName val="ИТР"/>
      <sheetName val="IRS"/>
      <sheetName val="Катеринополь"/>
      <sheetName val="Червоний хрест"/>
      <sheetName val="ООН 2025"/>
      <sheetName val="Кернел"/>
      <sheetName val="Глобино Мк"/>
      <sheetName val="МД Франківськ"/>
      <sheetName val="Распределени"/>
      <sheetName val="Загальна по роботам"/>
      <sheetName val="1С Крушинка"/>
      <sheetName val="1С цех"/>
    </sheetNames>
    <sheetDataSet>
      <sheetData sheetId="0"/>
      <sheetData sheetId="1"/>
      <sheetData sheetId="2">
        <row r="1">
          <cell r="B1" t="str">
            <v>Сотрудник</v>
          </cell>
          <cell r="H1" t="str">
            <v>Сальдо на 15.08.2025</v>
          </cell>
        </row>
        <row r="2">
          <cell r="B2" t="str">
            <v>Скрипник Сергій Павлович</v>
          </cell>
          <cell r="H2">
            <v>-18.75</v>
          </cell>
        </row>
        <row r="3">
          <cell r="B3" t="str">
            <v>Пономаренко Віталій Вікторович</v>
          </cell>
          <cell r="H3">
            <v>-50.850000000005821</v>
          </cell>
        </row>
        <row r="4">
          <cell r="B4" t="str">
            <v>Власенко В'ячеслав Валентинович</v>
          </cell>
          <cell r="H4">
            <v>-55.900000000001455</v>
          </cell>
        </row>
        <row r="5">
          <cell r="B5" t="str">
            <v>Багацький Вадим Геннадійович</v>
          </cell>
          <cell r="H5">
            <v>102.23999999999978</v>
          </cell>
        </row>
        <row r="6">
          <cell r="B6" t="str">
            <v>Васильєв Віталій Юрійович</v>
          </cell>
          <cell r="H6">
            <v>69.25</v>
          </cell>
        </row>
        <row r="7">
          <cell r="B7" t="str">
            <v>Григоренко Олександр Миколайович</v>
          </cell>
          <cell r="H7">
            <v>-30.760000000002037</v>
          </cell>
        </row>
        <row r="8">
          <cell r="B8" t="str">
            <v>Григорьєв Микола Андрійович</v>
          </cell>
          <cell r="H8">
            <v>-11.749999999998181</v>
          </cell>
        </row>
        <row r="9">
          <cell r="B9" t="str">
            <v>Григор'єв Михайло Андрійович</v>
          </cell>
          <cell r="H9">
            <v>-96.849999999996726</v>
          </cell>
        </row>
        <row r="10">
          <cell r="B10" t="str">
            <v>Іванов Олексій Вікторович</v>
          </cell>
          <cell r="H10">
            <v>48.559999999995853</v>
          </cell>
        </row>
        <row r="11">
          <cell r="B11" t="str">
            <v>Іскрицький Денис Русланович</v>
          </cell>
          <cell r="H11">
            <v>-13.260000000002037</v>
          </cell>
        </row>
        <row r="12">
          <cell r="B12" t="str">
            <v xml:space="preserve">Корнієнко Станіслав Володимирович </v>
          </cell>
          <cell r="H12">
            <v>-37.970000000001164</v>
          </cell>
        </row>
        <row r="13">
          <cell r="B13" t="str">
            <v>Масливець Ігор Валерійович</v>
          </cell>
          <cell r="H13">
            <v>51.940000000004147</v>
          </cell>
        </row>
        <row r="14">
          <cell r="B14" t="str">
            <v>Скрипник Олександр Павлович</v>
          </cell>
          <cell r="H14">
            <v>-8.0100000000002183</v>
          </cell>
        </row>
        <row r="15">
          <cell r="B15" t="str">
            <v>Паламарчук Вячеслав Володимирович</v>
          </cell>
          <cell r="H15">
            <v>-69.620000000002619</v>
          </cell>
        </row>
        <row r="16">
          <cell r="B16" t="str">
            <v>Дехтяр Владислав Олександрович</v>
          </cell>
          <cell r="H16">
            <v>8.2199999999938882</v>
          </cell>
        </row>
        <row r="17">
          <cell r="B17" t="str">
            <v>Тужиков Валерій Владиславович</v>
          </cell>
          <cell r="H17">
            <v>31.739999999997963</v>
          </cell>
        </row>
        <row r="18">
          <cell r="B18" t="str">
            <v>Сівов Євген Миколайович</v>
          </cell>
          <cell r="H18">
            <v>4.7600000000020373</v>
          </cell>
        </row>
        <row r="19">
          <cell r="B19" t="str">
            <v>Кіфор Юрій Михайлович</v>
          </cell>
          <cell r="H19">
            <v>1.4899999999997817</v>
          </cell>
        </row>
        <row r="20">
          <cell r="B20" t="str">
            <v>Нестерук Сергій Петрович</v>
          </cell>
          <cell r="H20">
            <v>38.039999999998145</v>
          </cell>
        </row>
        <row r="21">
          <cell r="B21" t="str">
            <v>Петренко Микола Григорович</v>
          </cell>
          <cell r="H21">
            <v>-66.479999999995925</v>
          </cell>
        </row>
        <row r="22">
          <cell r="B22" t="str">
            <v>Рубленко Микола Іванович</v>
          </cell>
          <cell r="H22">
            <v>-48.510000000000218</v>
          </cell>
        </row>
        <row r="23">
          <cell r="B23" t="str">
            <v>Серебренніков Володимир Олександрович</v>
          </cell>
          <cell r="H23">
            <v>87.520000000002256</v>
          </cell>
        </row>
        <row r="24">
          <cell r="B24" t="str">
            <v>Чешко Сергій Анатолійович</v>
          </cell>
          <cell r="H24">
            <v>39.830000000001746</v>
          </cell>
        </row>
        <row r="25">
          <cell r="B25" t="str">
            <v>Нерезенко Євгеній Віктоорович</v>
          </cell>
          <cell r="H25">
            <v>-14.010000000002037</v>
          </cell>
        </row>
        <row r="26">
          <cell r="B26" t="str">
            <v>Шавкун Максим Анатолійович</v>
          </cell>
          <cell r="H26">
            <v>-99.25</v>
          </cell>
        </row>
        <row r="27">
          <cell r="B27" t="str">
            <v>Чуйко Олег Олегович</v>
          </cell>
          <cell r="H27">
            <v>1.9899999999997817</v>
          </cell>
        </row>
        <row r="28">
          <cell r="B28" t="str">
            <v>Салюк Дмитро Андрійович</v>
          </cell>
          <cell r="H28">
            <v>-130</v>
          </cell>
        </row>
        <row r="29">
          <cell r="B29" t="str">
            <v xml:space="preserve">Маковецький Юрій Миколайович </v>
          </cell>
          <cell r="H29">
            <v>47.320000000003347</v>
          </cell>
        </row>
        <row r="30">
          <cell r="B30" t="str">
            <v>Міненко Олександр Андрійович</v>
          </cell>
          <cell r="H30">
            <v>0</v>
          </cell>
        </row>
        <row r="31">
          <cell r="B31" t="str">
            <v>Салій Дмитро Миколайович</v>
          </cell>
          <cell r="H31">
            <v>0</v>
          </cell>
        </row>
        <row r="32">
          <cell r="B32" t="str">
            <v>Різніченко Олег Олександрович</v>
          </cell>
          <cell r="H32">
            <v>-80</v>
          </cell>
        </row>
        <row r="33">
          <cell r="B33" t="str">
            <v>Рогозовець Андрій Вікторович</v>
          </cell>
          <cell r="H33">
            <v>51.989999999997963</v>
          </cell>
        </row>
        <row r="34">
          <cell r="B34" t="str">
            <v>Старков Кирило Юрійович</v>
          </cell>
          <cell r="H34">
            <v>0</v>
          </cell>
        </row>
        <row r="35">
          <cell r="B35" t="str">
            <v>Зубахін Сергій Александрович</v>
          </cell>
          <cell r="H35">
            <v>0</v>
          </cell>
        </row>
        <row r="36">
          <cell r="B36" t="str">
            <v>Корнієнко Віталій Олегович</v>
          </cell>
          <cell r="H36">
            <v>-29.790000000000873</v>
          </cell>
        </row>
        <row r="37">
          <cell r="B37" t="str">
            <v>Рубленко Євген Миколайович</v>
          </cell>
          <cell r="H37">
            <v>-50</v>
          </cell>
        </row>
        <row r="38">
          <cell r="B38" t="str">
            <v>Форманюк Руслан Леонідович</v>
          </cell>
          <cell r="H38">
            <v>-180</v>
          </cell>
        </row>
        <row r="39">
          <cell r="B39" t="str">
            <v xml:space="preserve">Щербак Петро Іванович </v>
          </cell>
          <cell r="H39">
            <v>-100</v>
          </cell>
        </row>
        <row r="40">
          <cell r="B40" t="str">
            <v>Онучак Віктор Іванович</v>
          </cell>
          <cell r="H40">
            <v>31.989999999999782</v>
          </cell>
        </row>
        <row r="41">
          <cell r="B41" t="str">
            <v>Кривка Руслан Олександрович</v>
          </cell>
          <cell r="H41">
            <v>41.239999999997963</v>
          </cell>
        </row>
        <row r="42">
          <cell r="B42" t="str">
            <v>Батрак Віктор Володимирович</v>
          </cell>
          <cell r="H42">
            <v>-79.020000000002256</v>
          </cell>
        </row>
        <row r="43">
          <cell r="B43" t="str">
            <v>Бондаренко Іван Олександрович</v>
          </cell>
          <cell r="H43">
            <v>45.989999999997963</v>
          </cell>
        </row>
        <row r="44">
          <cell r="B44" t="str">
            <v>Токарук Петро Михайлович</v>
          </cell>
          <cell r="H44">
            <v>-68.010000000000218</v>
          </cell>
        </row>
        <row r="45">
          <cell r="B45" t="str">
            <v>Підлісний Володимир Сергійович</v>
          </cell>
          <cell r="H45">
            <v>-50</v>
          </cell>
        </row>
        <row r="46">
          <cell r="B46" t="str">
            <v>Григоренко Ілля Олександрович</v>
          </cell>
          <cell r="H46">
            <v>65.599999999999454</v>
          </cell>
        </row>
        <row r="47">
          <cell r="B47" t="str">
            <v>Зінченко Дмитро Володимирович</v>
          </cell>
          <cell r="H47">
            <v>-150</v>
          </cell>
        </row>
        <row r="48">
          <cell r="B48" t="str">
            <v>Момот Олексій Миколайович</v>
          </cell>
          <cell r="H48">
            <v>-62.51999999999498</v>
          </cell>
        </row>
        <row r="49">
          <cell r="B49" t="str">
            <v xml:space="preserve">Гребінник Олексій Васильович </v>
          </cell>
          <cell r="H49">
            <v>-100</v>
          </cell>
        </row>
        <row r="50">
          <cell r="B50" t="str">
            <v>Ізюмець Олександр Евгенович</v>
          </cell>
          <cell r="H50">
            <v>-50</v>
          </cell>
        </row>
        <row r="51">
          <cell r="B51" t="str">
            <v>Маркевич Ігор Ігорьович</v>
          </cell>
          <cell r="H51">
            <v>-100</v>
          </cell>
        </row>
        <row r="52">
          <cell r="B52" t="str">
            <v>Раменюк Віталій Сергійович</v>
          </cell>
          <cell r="H52">
            <v>26.439999999995052</v>
          </cell>
        </row>
        <row r="53">
          <cell r="B53" t="str">
            <v>Самогородський Ігор Віталійович</v>
          </cell>
          <cell r="H53">
            <v>-100</v>
          </cell>
        </row>
        <row r="54">
          <cell r="B54" t="str">
            <v>Іванова Світлана Юріївна</v>
          </cell>
          <cell r="H54">
            <v>31.989999999999782</v>
          </cell>
        </row>
        <row r="55">
          <cell r="B55" t="str">
            <v>Ісайкіна Тетяна Іванівна</v>
          </cell>
          <cell r="H55">
            <v>-50</v>
          </cell>
        </row>
        <row r="56">
          <cell r="B56" t="str">
            <v>Деркс Сергій Анатолійович</v>
          </cell>
          <cell r="H56">
            <v>-100</v>
          </cell>
        </row>
        <row r="57">
          <cell r="B57" t="str">
            <v>Гусаков Роман Давидович</v>
          </cell>
          <cell r="H57">
            <v>-50</v>
          </cell>
        </row>
        <row r="58">
          <cell r="B58" t="str">
            <v>Гусаков Давид Давидович</v>
          </cell>
          <cell r="H58">
            <v>-150</v>
          </cell>
        </row>
        <row r="59">
          <cell r="B59" t="str">
            <v>Тужиков Артем Денисович</v>
          </cell>
          <cell r="H59">
            <v>-50</v>
          </cell>
        </row>
        <row r="60">
          <cell r="B60" t="str">
            <v>Ластовка Андрій Михайлович</v>
          </cell>
          <cell r="H60">
            <v>0</v>
          </cell>
        </row>
        <row r="61">
          <cell r="B61" t="str">
            <v>Рубленко Ярослав Михайлович</v>
          </cell>
          <cell r="H61">
            <v>-150</v>
          </cell>
        </row>
        <row r="62">
          <cell r="B62" t="str">
            <v>Левченко Вадим Анатолійович</v>
          </cell>
          <cell r="H62">
            <v>-100</v>
          </cell>
        </row>
        <row r="63">
          <cell r="B63" t="str">
            <v>Козленко Максим В’ячеславович</v>
          </cell>
          <cell r="H63">
            <v>-100</v>
          </cell>
        </row>
        <row r="64">
          <cell r="B64" t="str">
            <v>Шомін Вадим Сергійович</v>
          </cell>
          <cell r="H64">
            <v>-150</v>
          </cell>
        </row>
        <row r="65">
          <cell r="B65" t="str">
            <v xml:space="preserve">Козленко Єгор Максимович </v>
          </cell>
          <cell r="H65">
            <v>-100</v>
          </cell>
        </row>
        <row r="66">
          <cell r="B66" t="str">
            <v>Глібико Денис Володимирович</v>
          </cell>
          <cell r="H66">
            <v>-50</v>
          </cell>
        </row>
        <row r="67">
          <cell r="B67" t="str">
            <v>Пилипчук Олександр Анатолійович</v>
          </cell>
          <cell r="H67">
            <v>-33.029999999998836</v>
          </cell>
        </row>
        <row r="68">
          <cell r="B68" t="str">
            <v>Масливець Ярослав Ігорович</v>
          </cell>
          <cell r="H68">
            <v>-50</v>
          </cell>
        </row>
        <row r="69">
          <cell r="B69" t="str">
            <v xml:space="preserve">Германчук Сергій Сергійович </v>
          </cell>
          <cell r="H69">
            <v>-50</v>
          </cell>
        </row>
        <row r="70">
          <cell r="B70" t="str">
            <v>Дзюба Едуард Іванович</v>
          </cell>
          <cell r="H70">
            <v>35.989999999999782</v>
          </cell>
        </row>
        <row r="71">
          <cell r="B71" t="str">
            <v>Туркевич Дмитро Миколайович</v>
          </cell>
          <cell r="H71">
            <v>-100</v>
          </cell>
        </row>
        <row r="72">
          <cell r="B72" t="str">
            <v xml:space="preserve">Петров Михайло Олександрович </v>
          </cell>
          <cell r="H72">
            <v>0</v>
          </cell>
        </row>
        <row r="73">
          <cell r="B73" t="str">
            <v xml:space="preserve">Кобяковский Іван Олександрович </v>
          </cell>
          <cell r="H73">
            <v>0</v>
          </cell>
        </row>
        <row r="77">
          <cell r="H77">
            <v>-2244.7100000000119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 filterMode="1"/>
  <dimension ref="A1:I250"/>
  <sheetViews>
    <sheetView workbookViewId="0">
      <selection activeCell="D122" sqref="D122"/>
    </sheetView>
  </sheetViews>
  <sheetFormatPr defaultRowHeight="15" x14ac:dyDescent="0.25"/>
  <cols>
    <col min="3" max="3" width="36.42578125" bestFit="1" customWidth="1"/>
    <col min="4" max="4" width="10.140625" bestFit="1" customWidth="1"/>
    <col min="5" max="5" width="37.5703125" bestFit="1" customWidth="1"/>
  </cols>
  <sheetData>
    <row r="1" spans="1:9" x14ac:dyDescent="0.25">
      <c r="A1" s="138"/>
      <c r="B1" s="138" t="s">
        <v>119</v>
      </c>
      <c r="C1" s="138" t="s">
        <v>120</v>
      </c>
      <c r="D1" s="138" t="s">
        <v>121</v>
      </c>
      <c r="E1" s="138" t="s">
        <v>122</v>
      </c>
      <c r="F1" s="138" t="s">
        <v>123</v>
      </c>
      <c r="G1" s="138" t="s">
        <v>124</v>
      </c>
      <c r="H1" s="138" t="s">
        <v>125</v>
      </c>
      <c r="I1" s="138" t="s">
        <v>126</v>
      </c>
    </row>
    <row r="2" spans="1:9" hidden="1" x14ac:dyDescent="0.25">
      <c r="A2" s="139"/>
      <c r="B2" s="140">
        <v>1</v>
      </c>
      <c r="C2" s="139" t="s">
        <v>127</v>
      </c>
      <c r="D2" s="139"/>
      <c r="E2" s="139"/>
      <c r="F2" s="139"/>
      <c r="G2" s="139"/>
      <c r="H2" s="139"/>
      <c r="I2" s="139"/>
    </row>
    <row r="3" spans="1:9" hidden="1" x14ac:dyDescent="0.25">
      <c r="A3" s="139"/>
      <c r="B3" s="139" t="s">
        <v>128</v>
      </c>
      <c r="C3" s="139" t="s">
        <v>129</v>
      </c>
      <c r="D3" s="141">
        <v>3244112838</v>
      </c>
      <c r="E3" s="139" t="s">
        <v>130</v>
      </c>
      <c r="F3" s="139"/>
      <c r="G3" s="139"/>
      <c r="H3" s="139"/>
      <c r="I3" s="139"/>
    </row>
    <row r="4" spans="1:9" hidden="1" x14ac:dyDescent="0.25">
      <c r="A4" s="139"/>
      <c r="B4" s="139" t="s">
        <v>131</v>
      </c>
      <c r="C4" s="139" t="s">
        <v>132</v>
      </c>
      <c r="D4" s="141">
        <v>2890614789</v>
      </c>
      <c r="E4" s="139" t="s">
        <v>130</v>
      </c>
      <c r="F4" s="139"/>
      <c r="G4" s="139"/>
      <c r="H4" s="139"/>
      <c r="I4" s="139"/>
    </row>
    <row r="5" spans="1:9" hidden="1" x14ac:dyDescent="0.25">
      <c r="A5" s="139"/>
      <c r="B5" s="139" t="s">
        <v>133</v>
      </c>
      <c r="C5" s="139" t="s">
        <v>134</v>
      </c>
      <c r="D5" s="141">
        <v>2751711415</v>
      </c>
      <c r="E5" s="139" t="s">
        <v>130</v>
      </c>
      <c r="F5" s="139"/>
      <c r="G5" s="139"/>
      <c r="H5" s="139"/>
      <c r="I5" s="139"/>
    </row>
    <row r="6" spans="1:9" hidden="1" x14ac:dyDescent="0.25">
      <c r="A6" s="139"/>
      <c r="B6" s="139" t="s">
        <v>135</v>
      </c>
      <c r="C6" s="139" t="s">
        <v>136</v>
      </c>
      <c r="D6" s="141">
        <v>3382914593</v>
      </c>
      <c r="E6" s="139" t="s">
        <v>130</v>
      </c>
      <c r="F6" s="139"/>
      <c r="G6" s="139"/>
      <c r="H6" s="139"/>
      <c r="I6" s="139"/>
    </row>
    <row r="7" spans="1:9" hidden="1" x14ac:dyDescent="0.25">
      <c r="A7" s="139"/>
      <c r="B7" s="139" t="s">
        <v>137</v>
      </c>
      <c r="C7" s="139" t="s">
        <v>138</v>
      </c>
      <c r="D7" s="141">
        <v>3382914593</v>
      </c>
      <c r="E7" s="139" t="s">
        <v>130</v>
      </c>
      <c r="F7" s="139"/>
      <c r="G7" s="139"/>
      <c r="H7" s="139"/>
      <c r="I7" s="139"/>
    </row>
    <row r="8" spans="1:9" hidden="1" x14ac:dyDescent="0.25">
      <c r="A8" s="139"/>
      <c r="B8" s="139" t="s">
        <v>139</v>
      </c>
      <c r="C8" s="139" t="s">
        <v>140</v>
      </c>
      <c r="D8" s="141">
        <v>2711822114</v>
      </c>
      <c r="E8" s="139" t="s">
        <v>130</v>
      </c>
      <c r="F8" s="139"/>
      <c r="G8" s="139"/>
      <c r="H8" s="139"/>
      <c r="I8" s="139"/>
    </row>
    <row r="9" spans="1:9" hidden="1" x14ac:dyDescent="0.25">
      <c r="A9" s="139"/>
      <c r="B9" s="139" t="s">
        <v>141</v>
      </c>
      <c r="C9" s="139" t="s">
        <v>142</v>
      </c>
      <c r="D9" s="141">
        <v>3281710375</v>
      </c>
      <c r="E9" s="139" t="s">
        <v>130</v>
      </c>
      <c r="F9" s="139"/>
      <c r="G9" s="139"/>
      <c r="H9" s="139"/>
      <c r="I9" s="139"/>
    </row>
    <row r="10" spans="1:9" hidden="1" x14ac:dyDescent="0.25">
      <c r="A10" s="139"/>
      <c r="B10" s="139" t="s">
        <v>143</v>
      </c>
      <c r="C10" s="139" t="s">
        <v>144</v>
      </c>
      <c r="D10" s="141">
        <v>2866215672</v>
      </c>
      <c r="E10" s="139" t="s">
        <v>130</v>
      </c>
      <c r="F10" s="139"/>
      <c r="G10" s="139"/>
      <c r="H10" s="139"/>
      <c r="I10" s="139"/>
    </row>
    <row r="11" spans="1:9" hidden="1" x14ac:dyDescent="0.25">
      <c r="A11" s="139"/>
      <c r="B11" s="139" t="s">
        <v>145</v>
      </c>
      <c r="C11" s="139" t="s">
        <v>146</v>
      </c>
      <c r="D11" s="141">
        <v>3575508457</v>
      </c>
      <c r="E11" s="139" t="s">
        <v>130</v>
      </c>
      <c r="F11" s="139"/>
      <c r="G11" s="139"/>
      <c r="H11" s="139"/>
      <c r="I11" s="139"/>
    </row>
    <row r="12" spans="1:9" hidden="1" x14ac:dyDescent="0.25">
      <c r="A12" s="139"/>
      <c r="B12" s="139" t="s">
        <v>147</v>
      </c>
      <c r="C12" s="139" t="s">
        <v>148</v>
      </c>
      <c r="D12" s="141">
        <v>3306506991</v>
      </c>
      <c r="E12" s="139" t="s">
        <v>130</v>
      </c>
      <c r="F12" s="139"/>
      <c r="G12" s="139"/>
      <c r="H12" s="139"/>
      <c r="I12" s="139"/>
    </row>
    <row r="13" spans="1:9" hidden="1" x14ac:dyDescent="0.25">
      <c r="A13" s="139"/>
      <c r="B13" s="139" t="s">
        <v>149</v>
      </c>
      <c r="C13" s="139" t="s">
        <v>150</v>
      </c>
      <c r="D13" s="141">
        <v>2899410750</v>
      </c>
      <c r="E13" s="139" t="s">
        <v>130</v>
      </c>
      <c r="F13" s="139"/>
      <c r="G13" s="139"/>
      <c r="H13" s="139"/>
      <c r="I13" s="139"/>
    </row>
    <row r="14" spans="1:9" hidden="1" x14ac:dyDescent="0.25">
      <c r="A14" s="139"/>
      <c r="B14" s="139" t="s">
        <v>151</v>
      </c>
      <c r="C14" s="139" t="s">
        <v>152</v>
      </c>
      <c r="D14" s="141">
        <v>3194113635</v>
      </c>
      <c r="E14" s="139" t="s">
        <v>130</v>
      </c>
      <c r="F14" s="139"/>
      <c r="G14" s="139"/>
      <c r="H14" s="139"/>
      <c r="I14" s="139"/>
    </row>
    <row r="15" spans="1:9" hidden="1" x14ac:dyDescent="0.25">
      <c r="A15" s="139"/>
      <c r="B15" s="139" t="s">
        <v>153</v>
      </c>
      <c r="C15" s="139" t="s">
        <v>154</v>
      </c>
      <c r="D15" s="141">
        <v>2234022693</v>
      </c>
      <c r="E15" s="139" t="s">
        <v>130</v>
      </c>
      <c r="F15" s="139"/>
      <c r="G15" s="139"/>
      <c r="H15" s="139"/>
      <c r="I15" s="139"/>
    </row>
    <row r="16" spans="1:9" hidden="1" x14ac:dyDescent="0.25">
      <c r="A16" s="139"/>
      <c r="B16" s="140">
        <v>23</v>
      </c>
      <c r="C16" s="139" t="s">
        <v>155</v>
      </c>
      <c r="D16" s="141">
        <v>3153900053</v>
      </c>
      <c r="E16" s="139" t="s">
        <v>156</v>
      </c>
      <c r="F16" s="139" t="s">
        <v>157</v>
      </c>
      <c r="G16" s="139" t="s">
        <v>158</v>
      </c>
      <c r="H16" s="139" t="s">
        <v>159</v>
      </c>
      <c r="I16" s="139" t="s">
        <v>160</v>
      </c>
    </row>
    <row r="17" spans="1:9" hidden="1" x14ac:dyDescent="0.25">
      <c r="A17" s="139"/>
      <c r="B17" s="140">
        <v>4</v>
      </c>
      <c r="C17" s="139" t="s">
        <v>105</v>
      </c>
      <c r="D17" s="141">
        <v>3457309598</v>
      </c>
      <c r="E17" s="139" t="s">
        <v>156</v>
      </c>
      <c r="F17" s="139" t="s">
        <v>157</v>
      </c>
      <c r="G17" s="139" t="s">
        <v>161</v>
      </c>
      <c r="H17" s="139" t="s">
        <v>162</v>
      </c>
      <c r="I17" s="139" t="s">
        <v>163</v>
      </c>
    </row>
    <row r="18" spans="1:9" hidden="1" x14ac:dyDescent="0.25">
      <c r="A18" s="139"/>
      <c r="B18" s="139" t="s">
        <v>135</v>
      </c>
      <c r="C18" s="139" t="s">
        <v>164</v>
      </c>
      <c r="D18" s="141">
        <v>3457309598</v>
      </c>
      <c r="E18" s="139" t="s">
        <v>130</v>
      </c>
      <c r="F18" s="139"/>
      <c r="G18" s="139"/>
      <c r="H18" s="139"/>
      <c r="I18" s="139"/>
    </row>
    <row r="19" spans="1:9" hidden="1" x14ac:dyDescent="0.25">
      <c r="A19" s="139"/>
      <c r="B19" s="140">
        <v>48</v>
      </c>
      <c r="C19" s="139" t="s">
        <v>165</v>
      </c>
      <c r="D19" s="141">
        <v>2618119132</v>
      </c>
      <c r="E19" s="139" t="s">
        <v>156</v>
      </c>
      <c r="F19" s="139" t="s">
        <v>157</v>
      </c>
      <c r="G19" s="139" t="s">
        <v>161</v>
      </c>
      <c r="H19" s="139" t="s">
        <v>166</v>
      </c>
      <c r="I19" s="139" t="s">
        <v>167</v>
      </c>
    </row>
    <row r="20" spans="1:9" hidden="1" x14ac:dyDescent="0.25">
      <c r="A20" s="139"/>
      <c r="B20" s="140">
        <v>203</v>
      </c>
      <c r="C20" s="139" t="s">
        <v>168</v>
      </c>
      <c r="D20" s="141">
        <v>2765913876</v>
      </c>
      <c r="E20" s="139" t="s">
        <v>156</v>
      </c>
      <c r="F20" s="139" t="s">
        <v>157</v>
      </c>
      <c r="G20" s="139" t="s">
        <v>161</v>
      </c>
      <c r="H20" s="139" t="s">
        <v>169</v>
      </c>
      <c r="I20" s="139" t="s">
        <v>170</v>
      </c>
    </row>
    <row r="21" spans="1:9" hidden="1" x14ac:dyDescent="0.25">
      <c r="A21" s="139"/>
      <c r="B21" s="140">
        <v>156</v>
      </c>
      <c r="C21" s="139" t="s">
        <v>171</v>
      </c>
      <c r="D21" s="141">
        <v>2693717247</v>
      </c>
      <c r="E21" s="139" t="s">
        <v>156</v>
      </c>
      <c r="F21" s="139" t="s">
        <v>157</v>
      </c>
      <c r="G21" s="139" t="s">
        <v>161</v>
      </c>
      <c r="H21" s="139" t="s">
        <v>172</v>
      </c>
      <c r="I21" s="139" t="s">
        <v>173</v>
      </c>
    </row>
    <row r="22" spans="1:9" hidden="1" x14ac:dyDescent="0.25">
      <c r="A22" s="139"/>
      <c r="B22" s="141">
        <v>2289516770</v>
      </c>
      <c r="C22" s="139" t="s">
        <v>174</v>
      </c>
      <c r="D22" s="141">
        <v>2894801342</v>
      </c>
      <c r="E22" s="139" t="s">
        <v>156</v>
      </c>
      <c r="F22" s="139" t="s">
        <v>157</v>
      </c>
      <c r="G22" s="139" t="s">
        <v>161</v>
      </c>
      <c r="H22" s="139" t="s">
        <v>175</v>
      </c>
      <c r="I22" s="139" t="s">
        <v>176</v>
      </c>
    </row>
    <row r="23" spans="1:9" hidden="1" x14ac:dyDescent="0.25">
      <c r="A23" s="139"/>
      <c r="B23" s="140">
        <v>16</v>
      </c>
      <c r="C23" s="139" t="s">
        <v>177</v>
      </c>
      <c r="D23" s="141">
        <v>2894801342</v>
      </c>
      <c r="E23" s="139" t="s">
        <v>156</v>
      </c>
      <c r="F23" s="139" t="s">
        <v>178</v>
      </c>
      <c r="G23" s="139" t="s">
        <v>161</v>
      </c>
      <c r="H23" s="139" t="s">
        <v>175</v>
      </c>
      <c r="I23" s="139" t="s">
        <v>179</v>
      </c>
    </row>
    <row r="24" spans="1:9" hidden="1" x14ac:dyDescent="0.25">
      <c r="A24" s="139"/>
      <c r="B24" s="140">
        <v>17</v>
      </c>
      <c r="C24" s="139" t="s">
        <v>180</v>
      </c>
      <c r="D24" s="141">
        <v>3036417408</v>
      </c>
      <c r="E24" s="139" t="s">
        <v>156</v>
      </c>
      <c r="F24" s="139" t="s">
        <v>178</v>
      </c>
      <c r="G24" s="139" t="s">
        <v>161</v>
      </c>
      <c r="H24" s="139" t="s">
        <v>181</v>
      </c>
      <c r="I24" s="139" t="s">
        <v>182</v>
      </c>
    </row>
    <row r="25" spans="1:9" hidden="1" x14ac:dyDescent="0.25">
      <c r="A25" s="139"/>
      <c r="B25" s="141">
        <v>2289516882</v>
      </c>
      <c r="C25" s="139" t="s">
        <v>183</v>
      </c>
      <c r="D25" s="141">
        <v>3036417408</v>
      </c>
      <c r="E25" s="139" t="s">
        <v>156</v>
      </c>
      <c r="F25" s="139" t="s">
        <v>157</v>
      </c>
      <c r="G25" s="139" t="s">
        <v>161</v>
      </c>
      <c r="H25" s="139" t="s">
        <v>181</v>
      </c>
      <c r="I25" s="139" t="s">
        <v>184</v>
      </c>
    </row>
    <row r="26" spans="1:9" hidden="1" x14ac:dyDescent="0.25">
      <c r="A26" s="139"/>
      <c r="B26" s="141">
        <v>2289516833</v>
      </c>
      <c r="C26" s="139" t="s">
        <v>185</v>
      </c>
      <c r="D26" s="141">
        <v>2358421934</v>
      </c>
      <c r="E26" s="139" t="s">
        <v>156</v>
      </c>
      <c r="F26" s="139" t="s">
        <v>157</v>
      </c>
      <c r="G26" s="139" t="s">
        <v>186</v>
      </c>
      <c r="H26" s="139" t="s">
        <v>187</v>
      </c>
      <c r="I26" s="139" t="s">
        <v>188</v>
      </c>
    </row>
    <row r="27" spans="1:9" hidden="1" x14ac:dyDescent="0.25">
      <c r="A27" s="139"/>
      <c r="B27" s="140">
        <v>37</v>
      </c>
      <c r="C27" s="139" t="s">
        <v>189</v>
      </c>
      <c r="D27" s="141">
        <v>2564424513</v>
      </c>
      <c r="E27" s="139" t="s">
        <v>156</v>
      </c>
      <c r="F27" s="139" t="s">
        <v>157</v>
      </c>
      <c r="G27" s="139" t="s">
        <v>158</v>
      </c>
      <c r="H27" s="139" t="s">
        <v>190</v>
      </c>
      <c r="I27" s="139" t="s">
        <v>191</v>
      </c>
    </row>
    <row r="28" spans="1:9" hidden="1" x14ac:dyDescent="0.25">
      <c r="A28" s="139"/>
      <c r="B28" s="140">
        <v>11</v>
      </c>
      <c r="C28" s="139" t="s">
        <v>192</v>
      </c>
      <c r="D28" s="141">
        <v>3247506159</v>
      </c>
      <c r="E28" s="139" t="s">
        <v>156</v>
      </c>
      <c r="F28" s="139" t="s">
        <v>157</v>
      </c>
      <c r="G28" s="139" t="s">
        <v>158</v>
      </c>
      <c r="H28" s="139" t="s">
        <v>193</v>
      </c>
      <c r="I28" s="139" t="s">
        <v>194</v>
      </c>
    </row>
    <row r="29" spans="1:9" hidden="1" x14ac:dyDescent="0.25">
      <c r="A29" s="139"/>
      <c r="B29" s="141">
        <v>2289516701</v>
      </c>
      <c r="C29" s="139" t="s">
        <v>195</v>
      </c>
      <c r="D29" s="141">
        <v>3358009052</v>
      </c>
      <c r="E29" s="139" t="s">
        <v>156</v>
      </c>
      <c r="F29" s="139" t="s">
        <v>157</v>
      </c>
      <c r="G29" s="139" t="s">
        <v>196</v>
      </c>
      <c r="H29" s="139" t="s">
        <v>197</v>
      </c>
      <c r="I29" s="139" t="s">
        <v>198</v>
      </c>
    </row>
    <row r="30" spans="1:9" hidden="1" x14ac:dyDescent="0.25">
      <c r="A30" s="139"/>
      <c r="B30" s="140">
        <v>62</v>
      </c>
      <c r="C30" s="139" t="s">
        <v>199</v>
      </c>
      <c r="D30" s="141">
        <v>3421002151</v>
      </c>
      <c r="E30" s="139" t="s">
        <v>156</v>
      </c>
      <c r="F30" s="139" t="s">
        <v>157</v>
      </c>
      <c r="G30" s="139" t="s">
        <v>200</v>
      </c>
      <c r="H30" s="139" t="s">
        <v>201</v>
      </c>
      <c r="I30" s="139" t="s">
        <v>202</v>
      </c>
    </row>
    <row r="31" spans="1:9" hidden="1" x14ac:dyDescent="0.25">
      <c r="A31" s="139"/>
      <c r="B31" s="139" t="s">
        <v>203</v>
      </c>
      <c r="C31" s="139" t="s">
        <v>204</v>
      </c>
      <c r="D31" s="141">
        <v>2922419813</v>
      </c>
      <c r="E31" s="139" t="s">
        <v>130</v>
      </c>
      <c r="F31" s="139"/>
      <c r="G31" s="139"/>
      <c r="H31" s="139"/>
      <c r="I31" s="139"/>
    </row>
    <row r="32" spans="1:9" hidden="1" x14ac:dyDescent="0.25">
      <c r="A32" s="139"/>
      <c r="B32" s="141">
        <v>2289516746</v>
      </c>
      <c r="C32" s="139" t="s">
        <v>205</v>
      </c>
      <c r="D32" s="141">
        <v>2919308010</v>
      </c>
      <c r="E32" s="139" t="s">
        <v>156</v>
      </c>
      <c r="F32" s="139" t="s">
        <v>157</v>
      </c>
      <c r="G32" s="139" t="s">
        <v>200</v>
      </c>
      <c r="H32" s="139" t="s">
        <v>206</v>
      </c>
      <c r="I32" s="139" t="s">
        <v>207</v>
      </c>
    </row>
    <row r="33" spans="1:9" hidden="1" x14ac:dyDescent="0.25">
      <c r="A33" s="139"/>
      <c r="B33" s="141">
        <v>2289516849</v>
      </c>
      <c r="C33" s="139" t="s">
        <v>208</v>
      </c>
      <c r="D33" s="141">
        <v>3036408418</v>
      </c>
      <c r="E33" s="139" t="s">
        <v>156</v>
      </c>
      <c r="F33" s="139" t="s">
        <v>157</v>
      </c>
      <c r="G33" s="139" t="s">
        <v>161</v>
      </c>
      <c r="H33" s="139" t="s">
        <v>209</v>
      </c>
      <c r="I33" s="139" t="s">
        <v>210</v>
      </c>
    </row>
    <row r="34" spans="1:9" hidden="1" x14ac:dyDescent="0.25">
      <c r="A34" s="139"/>
      <c r="B34" s="140">
        <v>19</v>
      </c>
      <c r="C34" s="139" t="s">
        <v>211</v>
      </c>
      <c r="D34" s="141">
        <v>3813305164</v>
      </c>
      <c r="E34" s="139" t="s">
        <v>156</v>
      </c>
      <c r="F34" s="139" t="s">
        <v>157</v>
      </c>
      <c r="G34" s="139" t="s">
        <v>212</v>
      </c>
      <c r="H34" s="139" t="s">
        <v>213</v>
      </c>
      <c r="I34" s="139" t="s">
        <v>214</v>
      </c>
    </row>
    <row r="35" spans="1:9" hidden="1" x14ac:dyDescent="0.25">
      <c r="A35" s="139"/>
      <c r="B35" s="141">
        <v>2289516863</v>
      </c>
      <c r="C35" s="139" t="s">
        <v>215</v>
      </c>
      <c r="D35" s="141">
        <v>2753702532</v>
      </c>
      <c r="E35" s="139" t="s">
        <v>156</v>
      </c>
      <c r="F35" s="139" t="s">
        <v>157</v>
      </c>
      <c r="G35" s="139" t="s">
        <v>216</v>
      </c>
      <c r="H35" s="139" t="s">
        <v>197</v>
      </c>
      <c r="I35" s="139" t="s">
        <v>217</v>
      </c>
    </row>
    <row r="36" spans="1:9" hidden="1" x14ac:dyDescent="0.25">
      <c r="A36" s="139"/>
      <c r="B36" s="140">
        <v>46</v>
      </c>
      <c r="C36" s="139" t="s">
        <v>218</v>
      </c>
      <c r="D36" s="141">
        <v>3018718189</v>
      </c>
      <c r="E36" s="139" t="s">
        <v>156</v>
      </c>
      <c r="F36" s="139" t="s">
        <v>157</v>
      </c>
      <c r="G36" s="139" t="s">
        <v>161</v>
      </c>
      <c r="H36" s="139" t="s">
        <v>166</v>
      </c>
      <c r="I36" s="139" t="s">
        <v>219</v>
      </c>
    </row>
    <row r="37" spans="1:9" hidden="1" x14ac:dyDescent="0.25">
      <c r="A37" s="139"/>
      <c r="B37" s="140">
        <v>157</v>
      </c>
      <c r="C37" s="139" t="s">
        <v>220</v>
      </c>
      <c r="D37" s="141">
        <v>2794610037</v>
      </c>
      <c r="E37" s="139" t="s">
        <v>156</v>
      </c>
      <c r="F37" s="139" t="s">
        <v>157</v>
      </c>
      <c r="G37" s="139" t="s">
        <v>200</v>
      </c>
      <c r="H37" s="139" t="s">
        <v>221</v>
      </c>
      <c r="I37" s="139" t="s">
        <v>222</v>
      </c>
    </row>
    <row r="38" spans="1:9" hidden="1" x14ac:dyDescent="0.25">
      <c r="A38" s="139"/>
      <c r="B38" s="140">
        <v>71</v>
      </c>
      <c r="C38" s="139" t="s">
        <v>223</v>
      </c>
      <c r="D38" s="141">
        <v>3280710149</v>
      </c>
      <c r="E38" s="139" t="s">
        <v>156</v>
      </c>
      <c r="F38" s="139" t="s">
        <v>157</v>
      </c>
      <c r="G38" s="139" t="s">
        <v>161</v>
      </c>
      <c r="H38" s="139" t="s">
        <v>224</v>
      </c>
      <c r="I38" s="139" t="s">
        <v>225</v>
      </c>
    </row>
    <row r="39" spans="1:9" hidden="1" x14ac:dyDescent="0.25">
      <c r="A39" s="139"/>
      <c r="B39" s="141">
        <v>2289516756</v>
      </c>
      <c r="C39" s="139" t="s">
        <v>226</v>
      </c>
      <c r="D39" s="141">
        <v>2957816213</v>
      </c>
      <c r="E39" s="139" t="s">
        <v>156</v>
      </c>
      <c r="F39" s="139" t="s">
        <v>157</v>
      </c>
      <c r="G39" s="139" t="s">
        <v>216</v>
      </c>
      <c r="H39" s="139" t="s">
        <v>221</v>
      </c>
      <c r="I39" s="139" t="s">
        <v>227</v>
      </c>
    </row>
    <row r="40" spans="1:9" hidden="1" x14ac:dyDescent="0.25">
      <c r="A40" s="139"/>
      <c r="B40" s="140">
        <v>49</v>
      </c>
      <c r="C40" s="139" t="s">
        <v>228</v>
      </c>
      <c r="D40" s="141">
        <v>3143007035</v>
      </c>
      <c r="E40" s="139" t="s">
        <v>156</v>
      </c>
      <c r="F40" s="139" t="s">
        <v>157</v>
      </c>
      <c r="G40" s="139" t="s">
        <v>161</v>
      </c>
      <c r="H40" s="139" t="s">
        <v>229</v>
      </c>
      <c r="I40" s="139" t="s">
        <v>230</v>
      </c>
    </row>
    <row r="41" spans="1:9" hidden="1" x14ac:dyDescent="0.25">
      <c r="A41" s="139"/>
      <c r="B41" s="141">
        <v>2289516819</v>
      </c>
      <c r="C41" s="139" t="s">
        <v>231</v>
      </c>
      <c r="D41" s="141">
        <v>3834606498</v>
      </c>
      <c r="E41" s="139" t="s">
        <v>156</v>
      </c>
      <c r="F41" s="139" t="s">
        <v>157</v>
      </c>
      <c r="G41" s="139" t="s">
        <v>216</v>
      </c>
      <c r="H41" s="139" t="s">
        <v>232</v>
      </c>
      <c r="I41" s="139" t="s">
        <v>233</v>
      </c>
    </row>
    <row r="42" spans="1:9" hidden="1" x14ac:dyDescent="0.25">
      <c r="A42" s="139"/>
      <c r="B42" s="141">
        <v>2289516804</v>
      </c>
      <c r="C42" s="139" t="s">
        <v>234</v>
      </c>
      <c r="D42" s="141">
        <v>2857318359</v>
      </c>
      <c r="E42" s="139" t="s">
        <v>156</v>
      </c>
      <c r="F42" s="139" t="s">
        <v>157</v>
      </c>
      <c r="G42" s="139" t="s">
        <v>216</v>
      </c>
      <c r="H42" s="139" t="s">
        <v>232</v>
      </c>
      <c r="I42" s="139" t="s">
        <v>235</v>
      </c>
    </row>
    <row r="43" spans="1:9" hidden="1" x14ac:dyDescent="0.25">
      <c r="A43" s="139"/>
      <c r="B43" s="140">
        <v>217</v>
      </c>
      <c r="C43" s="139" t="s">
        <v>236</v>
      </c>
      <c r="D43" s="141">
        <v>3000412772</v>
      </c>
      <c r="E43" s="139" t="s">
        <v>156</v>
      </c>
      <c r="F43" s="139" t="s">
        <v>157</v>
      </c>
      <c r="G43" s="139" t="s">
        <v>200</v>
      </c>
      <c r="H43" s="139" t="s">
        <v>197</v>
      </c>
      <c r="I43" s="139" t="s">
        <v>237</v>
      </c>
    </row>
    <row r="44" spans="1:9" hidden="1" x14ac:dyDescent="0.25">
      <c r="A44" s="139"/>
      <c r="B44" s="140">
        <v>3</v>
      </c>
      <c r="C44" s="139" t="s">
        <v>238</v>
      </c>
      <c r="D44" s="141">
        <v>3552110973</v>
      </c>
      <c r="E44" s="139" t="s">
        <v>156</v>
      </c>
      <c r="F44" s="139" t="s">
        <v>157</v>
      </c>
      <c r="G44" s="139" t="s">
        <v>161</v>
      </c>
      <c r="H44" s="139" t="s">
        <v>209</v>
      </c>
      <c r="I44" s="139" t="s">
        <v>163</v>
      </c>
    </row>
    <row r="45" spans="1:9" hidden="1" x14ac:dyDescent="0.25">
      <c r="A45" s="139"/>
      <c r="B45" s="141">
        <v>2289516774</v>
      </c>
      <c r="C45" s="139" t="s">
        <v>239</v>
      </c>
      <c r="D45" s="141">
        <v>3552110973</v>
      </c>
      <c r="E45" s="139" t="s">
        <v>156</v>
      </c>
      <c r="F45" s="139" t="s">
        <v>178</v>
      </c>
      <c r="G45" s="139" t="s">
        <v>161</v>
      </c>
      <c r="H45" s="139" t="s">
        <v>240</v>
      </c>
      <c r="I45" s="139" t="s">
        <v>241</v>
      </c>
    </row>
    <row r="46" spans="1:9" hidden="1" x14ac:dyDescent="0.25">
      <c r="A46" s="139"/>
      <c r="B46" s="141">
        <v>2289516864</v>
      </c>
      <c r="C46" s="139" t="s">
        <v>242</v>
      </c>
      <c r="D46" s="141">
        <v>2888011632</v>
      </c>
      <c r="E46" s="139" t="s">
        <v>156</v>
      </c>
      <c r="F46" s="139" t="s">
        <v>157</v>
      </c>
      <c r="G46" s="139" t="s">
        <v>243</v>
      </c>
      <c r="H46" s="139" t="s">
        <v>244</v>
      </c>
      <c r="I46" s="139" t="s">
        <v>245</v>
      </c>
    </row>
    <row r="47" spans="1:9" hidden="1" x14ac:dyDescent="0.25">
      <c r="A47" s="139"/>
      <c r="B47" s="140">
        <v>51</v>
      </c>
      <c r="C47" s="139" t="s">
        <v>246</v>
      </c>
      <c r="D47" s="141">
        <v>3746304158</v>
      </c>
      <c r="E47" s="139" t="s">
        <v>156</v>
      </c>
      <c r="F47" s="139" t="s">
        <v>157</v>
      </c>
      <c r="G47" s="139" t="s">
        <v>158</v>
      </c>
      <c r="H47" s="139" t="s">
        <v>247</v>
      </c>
      <c r="I47" s="139" t="s">
        <v>248</v>
      </c>
    </row>
    <row r="48" spans="1:9" hidden="1" x14ac:dyDescent="0.25">
      <c r="A48" s="139"/>
      <c r="B48" s="141">
        <v>2289516860</v>
      </c>
      <c r="C48" s="139" t="s">
        <v>249</v>
      </c>
      <c r="D48" s="141">
        <v>2671913196</v>
      </c>
      <c r="E48" s="139" t="s">
        <v>156</v>
      </c>
      <c r="F48" s="139" t="s">
        <v>157</v>
      </c>
      <c r="G48" s="139" t="s">
        <v>216</v>
      </c>
      <c r="H48" s="139" t="s">
        <v>244</v>
      </c>
      <c r="I48" s="139" t="s">
        <v>250</v>
      </c>
    </row>
    <row r="49" spans="1:9" hidden="1" x14ac:dyDescent="0.25">
      <c r="A49" s="139"/>
      <c r="B49" s="140">
        <v>8</v>
      </c>
      <c r="C49" s="139" t="s">
        <v>251</v>
      </c>
      <c r="D49" s="141">
        <v>3165400965</v>
      </c>
      <c r="E49" s="139" t="s">
        <v>156</v>
      </c>
      <c r="F49" s="139" t="s">
        <v>157</v>
      </c>
      <c r="G49" s="139" t="s">
        <v>161</v>
      </c>
      <c r="H49" s="139" t="s">
        <v>181</v>
      </c>
      <c r="I49" s="139" t="s">
        <v>252</v>
      </c>
    </row>
    <row r="50" spans="1:9" hidden="1" x14ac:dyDescent="0.25">
      <c r="A50" s="139"/>
      <c r="B50" s="141">
        <v>2289516714</v>
      </c>
      <c r="C50" s="139" t="s">
        <v>253</v>
      </c>
      <c r="D50" s="141">
        <v>3352110459</v>
      </c>
      <c r="E50" s="139" t="s">
        <v>156</v>
      </c>
      <c r="F50" s="139" t="s">
        <v>157</v>
      </c>
      <c r="G50" s="139" t="s">
        <v>254</v>
      </c>
      <c r="H50" s="139" t="s">
        <v>193</v>
      </c>
      <c r="I50" s="139" t="s">
        <v>255</v>
      </c>
    </row>
    <row r="51" spans="1:9" hidden="1" x14ac:dyDescent="0.25">
      <c r="A51" s="139"/>
      <c r="B51" s="140">
        <v>44</v>
      </c>
      <c r="C51" s="139" t="s">
        <v>256</v>
      </c>
      <c r="D51" s="141">
        <v>2831710277</v>
      </c>
      <c r="E51" s="139" t="s">
        <v>156</v>
      </c>
      <c r="F51" s="139" t="s">
        <v>157</v>
      </c>
      <c r="G51" s="139" t="s">
        <v>158</v>
      </c>
      <c r="H51" s="139" t="s">
        <v>190</v>
      </c>
      <c r="I51" s="139" t="s">
        <v>191</v>
      </c>
    </row>
    <row r="52" spans="1:9" hidden="1" x14ac:dyDescent="0.25">
      <c r="A52" s="139"/>
      <c r="B52" s="141">
        <v>2289516891</v>
      </c>
      <c r="C52" s="139" t="s">
        <v>257</v>
      </c>
      <c r="D52" s="141">
        <v>3644802549</v>
      </c>
      <c r="E52" s="139" t="s">
        <v>156</v>
      </c>
      <c r="F52" s="139" t="s">
        <v>157</v>
      </c>
      <c r="G52" s="139" t="s">
        <v>161</v>
      </c>
      <c r="H52" s="139" t="s">
        <v>229</v>
      </c>
      <c r="I52" s="139" t="s">
        <v>258</v>
      </c>
    </row>
    <row r="53" spans="1:9" hidden="1" x14ac:dyDescent="0.25">
      <c r="A53" s="139"/>
      <c r="B53" s="140">
        <v>21</v>
      </c>
      <c r="C53" s="139" t="s">
        <v>259</v>
      </c>
      <c r="D53" s="141">
        <v>3244112838</v>
      </c>
      <c r="E53" s="139" t="s">
        <v>156</v>
      </c>
      <c r="F53" s="139" t="s">
        <v>157</v>
      </c>
      <c r="G53" s="139" t="s">
        <v>161</v>
      </c>
      <c r="H53" s="139" t="s">
        <v>260</v>
      </c>
      <c r="I53" s="139" t="s">
        <v>261</v>
      </c>
    </row>
    <row r="54" spans="1:9" hidden="1" x14ac:dyDescent="0.25">
      <c r="A54" s="139"/>
      <c r="B54" s="140">
        <v>5</v>
      </c>
      <c r="C54" s="139" t="s">
        <v>262</v>
      </c>
      <c r="D54" s="141">
        <v>3244112838</v>
      </c>
      <c r="E54" s="139" t="s">
        <v>156</v>
      </c>
      <c r="F54" s="139" t="s">
        <v>178</v>
      </c>
      <c r="G54" s="139" t="s">
        <v>161</v>
      </c>
      <c r="H54" s="139" t="s">
        <v>260</v>
      </c>
      <c r="I54" s="139" t="s">
        <v>263</v>
      </c>
    </row>
    <row r="55" spans="1:9" hidden="1" x14ac:dyDescent="0.25">
      <c r="A55" s="139"/>
      <c r="B55" s="140">
        <v>1</v>
      </c>
      <c r="C55" s="139" t="s">
        <v>264</v>
      </c>
      <c r="D55" s="141">
        <v>3209513925</v>
      </c>
      <c r="E55" s="139" t="s">
        <v>156</v>
      </c>
      <c r="F55" s="139" t="s">
        <v>178</v>
      </c>
      <c r="G55" s="139" t="s">
        <v>161</v>
      </c>
      <c r="H55" s="139" t="s">
        <v>260</v>
      </c>
      <c r="I55" s="139" t="s">
        <v>265</v>
      </c>
    </row>
    <row r="56" spans="1:9" hidden="1" x14ac:dyDescent="0.25">
      <c r="A56" s="139"/>
      <c r="B56" s="141">
        <v>2289516780</v>
      </c>
      <c r="C56" s="139" t="s">
        <v>266</v>
      </c>
      <c r="D56" s="141">
        <v>2865402633</v>
      </c>
      <c r="E56" s="139" t="s">
        <v>156</v>
      </c>
      <c r="F56" s="139" t="s">
        <v>157</v>
      </c>
      <c r="G56" s="139" t="s">
        <v>186</v>
      </c>
      <c r="H56" s="139" t="s">
        <v>244</v>
      </c>
      <c r="I56" s="139" t="s">
        <v>267</v>
      </c>
    </row>
    <row r="57" spans="1:9" hidden="1" x14ac:dyDescent="0.25">
      <c r="A57" s="139"/>
      <c r="B57" s="141">
        <v>2289516750</v>
      </c>
      <c r="C57" s="139" t="s">
        <v>268</v>
      </c>
      <c r="D57" s="141">
        <v>3624204536</v>
      </c>
      <c r="E57" s="139" t="s">
        <v>156</v>
      </c>
      <c r="F57" s="139" t="s">
        <v>157</v>
      </c>
      <c r="G57" s="139" t="s">
        <v>254</v>
      </c>
      <c r="H57" s="139" t="s">
        <v>187</v>
      </c>
      <c r="I57" s="139" t="s">
        <v>269</v>
      </c>
    </row>
    <row r="58" spans="1:9" hidden="1" x14ac:dyDescent="0.25">
      <c r="A58" s="139"/>
      <c r="B58" s="141">
        <v>2289516773</v>
      </c>
      <c r="C58" s="139" t="s">
        <v>270</v>
      </c>
      <c r="D58" s="141">
        <v>2623706617</v>
      </c>
      <c r="E58" s="139" t="s">
        <v>156</v>
      </c>
      <c r="F58" s="139" t="s">
        <v>157</v>
      </c>
      <c r="G58" s="139"/>
      <c r="H58" s="139"/>
      <c r="I58" s="139"/>
    </row>
    <row r="59" spans="1:9" hidden="1" x14ac:dyDescent="0.25">
      <c r="A59" s="139"/>
      <c r="B59" s="141">
        <v>2289516696</v>
      </c>
      <c r="C59" s="139" t="s">
        <v>271</v>
      </c>
      <c r="D59" s="141">
        <v>3173022999</v>
      </c>
      <c r="E59" s="139" t="s">
        <v>156</v>
      </c>
      <c r="F59" s="139" t="s">
        <v>157</v>
      </c>
      <c r="G59" s="139" t="s">
        <v>272</v>
      </c>
      <c r="H59" s="139" t="s">
        <v>187</v>
      </c>
      <c r="I59" s="139" t="s">
        <v>273</v>
      </c>
    </row>
    <row r="60" spans="1:9" hidden="1" x14ac:dyDescent="0.25">
      <c r="A60" s="139"/>
      <c r="B60" s="141">
        <v>2289516759</v>
      </c>
      <c r="C60" s="139" t="s">
        <v>274</v>
      </c>
      <c r="D60" s="141">
        <v>3188300613</v>
      </c>
      <c r="E60" s="139" t="s">
        <v>156</v>
      </c>
      <c r="F60" s="139" t="s">
        <v>157</v>
      </c>
      <c r="G60" s="139" t="s">
        <v>243</v>
      </c>
      <c r="H60" s="139" t="s">
        <v>206</v>
      </c>
      <c r="I60" s="139" t="s">
        <v>275</v>
      </c>
    </row>
    <row r="61" spans="1:9" hidden="1" x14ac:dyDescent="0.25">
      <c r="A61" s="139"/>
      <c r="B61" s="141">
        <v>2289516816</v>
      </c>
      <c r="C61" s="139" t="s">
        <v>276</v>
      </c>
      <c r="D61" s="141">
        <v>3255109619</v>
      </c>
      <c r="E61" s="139" t="s">
        <v>156</v>
      </c>
      <c r="F61" s="139" t="s">
        <v>157</v>
      </c>
      <c r="G61" s="139" t="s">
        <v>161</v>
      </c>
      <c r="H61" s="139" t="s">
        <v>277</v>
      </c>
      <c r="I61" s="139" t="s">
        <v>278</v>
      </c>
    </row>
    <row r="62" spans="1:9" hidden="1" x14ac:dyDescent="0.25">
      <c r="A62" s="139"/>
      <c r="B62" s="141">
        <v>2289516817</v>
      </c>
      <c r="C62" s="139" t="s">
        <v>279</v>
      </c>
      <c r="D62" s="141">
        <v>2985420914</v>
      </c>
      <c r="E62" s="139" t="s">
        <v>156</v>
      </c>
      <c r="F62" s="139" t="s">
        <v>157</v>
      </c>
      <c r="G62" s="139" t="s">
        <v>280</v>
      </c>
      <c r="H62" s="139" t="s">
        <v>232</v>
      </c>
      <c r="I62" s="139" t="s">
        <v>233</v>
      </c>
    </row>
    <row r="63" spans="1:9" hidden="1" x14ac:dyDescent="0.25">
      <c r="A63" s="139"/>
      <c r="B63" s="140">
        <v>50</v>
      </c>
      <c r="C63" s="139" t="s">
        <v>281</v>
      </c>
      <c r="D63" s="141">
        <v>2273121637</v>
      </c>
      <c r="E63" s="139" t="s">
        <v>156</v>
      </c>
      <c r="F63" s="139" t="s">
        <v>157</v>
      </c>
      <c r="G63" s="139" t="s">
        <v>282</v>
      </c>
      <c r="H63" s="139" t="s">
        <v>197</v>
      </c>
      <c r="I63" s="139" t="s">
        <v>283</v>
      </c>
    </row>
    <row r="64" spans="1:9" hidden="1" x14ac:dyDescent="0.25">
      <c r="A64" s="139"/>
      <c r="B64" s="141">
        <v>2289516854</v>
      </c>
      <c r="C64" s="139" t="s">
        <v>284</v>
      </c>
      <c r="D64" s="141">
        <v>2470006146</v>
      </c>
      <c r="E64" s="139" t="s">
        <v>156</v>
      </c>
      <c r="F64" s="139" t="s">
        <v>157</v>
      </c>
      <c r="G64" s="139" t="s">
        <v>161</v>
      </c>
      <c r="H64" s="139" t="s">
        <v>285</v>
      </c>
      <c r="I64" s="139" t="s">
        <v>286</v>
      </c>
    </row>
    <row r="65" spans="1:9" hidden="1" x14ac:dyDescent="0.25">
      <c r="A65" s="139"/>
      <c r="B65" s="140">
        <v>57</v>
      </c>
      <c r="C65" s="139" t="s">
        <v>284</v>
      </c>
      <c r="D65" s="141">
        <v>2470006146</v>
      </c>
      <c r="E65" s="139" t="s">
        <v>156</v>
      </c>
      <c r="F65" s="139" t="s">
        <v>178</v>
      </c>
      <c r="G65" s="139" t="s">
        <v>161</v>
      </c>
      <c r="H65" s="139" t="s">
        <v>285</v>
      </c>
      <c r="I65" s="139" t="s">
        <v>287</v>
      </c>
    </row>
    <row r="66" spans="1:9" hidden="1" x14ac:dyDescent="0.25">
      <c r="A66" s="139"/>
      <c r="B66" s="140">
        <v>100</v>
      </c>
      <c r="C66" s="139" t="s">
        <v>288</v>
      </c>
      <c r="D66" s="141">
        <v>3302818011</v>
      </c>
      <c r="E66" s="139" t="s">
        <v>156</v>
      </c>
      <c r="F66" s="139" t="s">
        <v>157</v>
      </c>
      <c r="G66" s="139" t="s">
        <v>200</v>
      </c>
      <c r="H66" s="139" t="s">
        <v>232</v>
      </c>
      <c r="I66" s="139" t="s">
        <v>289</v>
      </c>
    </row>
    <row r="67" spans="1:9" hidden="1" x14ac:dyDescent="0.25">
      <c r="A67" s="139"/>
      <c r="B67" s="141">
        <v>2289516876</v>
      </c>
      <c r="C67" s="139" t="s">
        <v>290</v>
      </c>
      <c r="D67" s="141">
        <v>3016814180</v>
      </c>
      <c r="E67" s="139" t="s">
        <v>156</v>
      </c>
      <c r="F67" s="139" t="s">
        <v>157</v>
      </c>
      <c r="G67" s="139" t="s">
        <v>161</v>
      </c>
      <c r="H67" s="139" t="s">
        <v>209</v>
      </c>
      <c r="I67" s="139" t="s">
        <v>291</v>
      </c>
    </row>
    <row r="68" spans="1:9" hidden="1" x14ac:dyDescent="0.25">
      <c r="A68" s="139"/>
      <c r="B68" s="140">
        <v>75</v>
      </c>
      <c r="C68" s="139" t="s">
        <v>292</v>
      </c>
      <c r="D68" s="141">
        <v>3596200395</v>
      </c>
      <c r="E68" s="139" t="s">
        <v>156</v>
      </c>
      <c r="F68" s="139" t="s">
        <v>157</v>
      </c>
      <c r="G68" s="139" t="s">
        <v>158</v>
      </c>
      <c r="H68" s="139" t="s">
        <v>193</v>
      </c>
      <c r="I68" s="139" t="s">
        <v>293</v>
      </c>
    </row>
    <row r="69" spans="1:9" hidden="1" x14ac:dyDescent="0.25">
      <c r="A69" s="139"/>
      <c r="B69" s="140">
        <v>189</v>
      </c>
      <c r="C69" s="139" t="s">
        <v>294</v>
      </c>
      <c r="D69" s="141">
        <v>3013807931</v>
      </c>
      <c r="E69" s="139" t="s">
        <v>156</v>
      </c>
      <c r="F69" s="139" t="s">
        <v>157</v>
      </c>
      <c r="G69" s="139" t="s">
        <v>272</v>
      </c>
      <c r="H69" s="139" t="s">
        <v>295</v>
      </c>
      <c r="I69" s="139" t="s">
        <v>296</v>
      </c>
    </row>
    <row r="70" spans="1:9" hidden="1" x14ac:dyDescent="0.25">
      <c r="A70" s="139"/>
      <c r="B70" s="141">
        <v>2289516901</v>
      </c>
      <c r="C70" s="139" t="s">
        <v>297</v>
      </c>
      <c r="D70" s="141">
        <v>2375803431</v>
      </c>
      <c r="E70" s="139" t="s">
        <v>156</v>
      </c>
      <c r="F70" s="139" t="s">
        <v>157</v>
      </c>
      <c r="G70" s="139" t="s">
        <v>216</v>
      </c>
      <c r="H70" s="139" t="s">
        <v>295</v>
      </c>
      <c r="I70" s="139" t="s">
        <v>298</v>
      </c>
    </row>
    <row r="71" spans="1:9" hidden="1" x14ac:dyDescent="0.25">
      <c r="A71" s="139"/>
      <c r="B71" s="140">
        <v>38</v>
      </c>
      <c r="C71" s="139" t="s">
        <v>299</v>
      </c>
      <c r="D71" s="141">
        <v>2436600937</v>
      </c>
      <c r="E71" s="139" t="s">
        <v>156</v>
      </c>
      <c r="F71" s="139" t="s">
        <v>157</v>
      </c>
      <c r="G71" s="139" t="s">
        <v>158</v>
      </c>
      <c r="H71" s="139" t="s">
        <v>159</v>
      </c>
      <c r="I71" s="139" t="s">
        <v>191</v>
      </c>
    </row>
    <row r="72" spans="1:9" hidden="1" x14ac:dyDescent="0.25">
      <c r="A72" s="139"/>
      <c r="B72" s="140">
        <v>65</v>
      </c>
      <c r="C72" s="139" t="s">
        <v>300</v>
      </c>
      <c r="D72" s="141">
        <v>3422005391</v>
      </c>
      <c r="E72" s="139" t="s">
        <v>156</v>
      </c>
      <c r="F72" s="139" t="s">
        <v>157</v>
      </c>
      <c r="G72" s="139" t="s">
        <v>158</v>
      </c>
      <c r="H72" s="139" t="s">
        <v>193</v>
      </c>
      <c r="I72" s="139" t="s">
        <v>301</v>
      </c>
    </row>
    <row r="73" spans="1:9" hidden="1" x14ac:dyDescent="0.25">
      <c r="A73" s="139"/>
      <c r="B73" s="140">
        <v>66</v>
      </c>
      <c r="C73" s="139" t="s">
        <v>302</v>
      </c>
      <c r="D73" s="141">
        <v>3720407672</v>
      </c>
      <c r="E73" s="139" t="s">
        <v>156</v>
      </c>
      <c r="F73" s="139" t="s">
        <v>157</v>
      </c>
      <c r="G73" s="139" t="s">
        <v>158</v>
      </c>
      <c r="H73" s="139" t="s">
        <v>159</v>
      </c>
      <c r="I73" s="139" t="s">
        <v>303</v>
      </c>
    </row>
    <row r="74" spans="1:9" hidden="1" x14ac:dyDescent="0.25">
      <c r="A74" s="139"/>
      <c r="B74" s="140">
        <v>140</v>
      </c>
      <c r="C74" s="139" t="s">
        <v>304</v>
      </c>
      <c r="D74" s="141">
        <v>3357614594</v>
      </c>
      <c r="E74" s="139" t="s">
        <v>156</v>
      </c>
      <c r="F74" s="139" t="s">
        <v>157</v>
      </c>
      <c r="G74" s="139" t="s">
        <v>200</v>
      </c>
      <c r="H74" s="139" t="s">
        <v>197</v>
      </c>
      <c r="I74" s="139" t="s">
        <v>305</v>
      </c>
    </row>
    <row r="75" spans="1:9" hidden="1" x14ac:dyDescent="0.25">
      <c r="A75" s="139"/>
      <c r="B75" s="140">
        <v>2</v>
      </c>
      <c r="C75" s="139" t="s">
        <v>306</v>
      </c>
      <c r="D75" s="141">
        <v>2751711415</v>
      </c>
      <c r="E75" s="139" t="s">
        <v>156</v>
      </c>
      <c r="F75" s="139" t="s">
        <v>157</v>
      </c>
      <c r="G75" s="139" t="s">
        <v>161</v>
      </c>
      <c r="H75" s="139" t="s">
        <v>260</v>
      </c>
      <c r="I75" s="139" t="s">
        <v>163</v>
      </c>
    </row>
    <row r="76" spans="1:9" hidden="1" x14ac:dyDescent="0.25">
      <c r="A76" s="139"/>
      <c r="B76" s="140">
        <v>129</v>
      </c>
      <c r="C76" s="139" t="s">
        <v>307</v>
      </c>
      <c r="D76" s="141">
        <v>2751711415</v>
      </c>
      <c r="E76" s="139" t="s">
        <v>156</v>
      </c>
      <c r="F76" s="139" t="s">
        <v>178</v>
      </c>
      <c r="G76" s="139" t="s">
        <v>161</v>
      </c>
      <c r="H76" s="139" t="s">
        <v>308</v>
      </c>
      <c r="I76" s="139" t="s">
        <v>163</v>
      </c>
    </row>
    <row r="77" spans="1:9" hidden="1" x14ac:dyDescent="0.25">
      <c r="A77" s="139"/>
      <c r="B77" s="140">
        <v>4</v>
      </c>
      <c r="C77" s="139" t="s">
        <v>309</v>
      </c>
      <c r="D77" s="141">
        <v>3382914593</v>
      </c>
      <c r="E77" s="139" t="s">
        <v>156</v>
      </c>
      <c r="F77" s="139" t="s">
        <v>157</v>
      </c>
      <c r="G77" s="139" t="s">
        <v>161</v>
      </c>
      <c r="H77" s="139" t="s">
        <v>310</v>
      </c>
      <c r="I77" s="139" t="s">
        <v>163</v>
      </c>
    </row>
    <row r="78" spans="1:9" hidden="1" x14ac:dyDescent="0.25">
      <c r="A78" s="139"/>
      <c r="B78" s="140">
        <v>15</v>
      </c>
      <c r="C78" s="139" t="s">
        <v>311</v>
      </c>
      <c r="D78" s="141">
        <v>3382914593</v>
      </c>
      <c r="E78" s="139" t="s">
        <v>156</v>
      </c>
      <c r="F78" s="139" t="s">
        <v>178</v>
      </c>
      <c r="G78" s="139" t="s">
        <v>161</v>
      </c>
      <c r="H78" s="139" t="s">
        <v>312</v>
      </c>
      <c r="I78" s="139" t="s">
        <v>179</v>
      </c>
    </row>
    <row r="79" spans="1:9" hidden="1" x14ac:dyDescent="0.25">
      <c r="A79" s="139"/>
      <c r="B79" s="141">
        <v>2289516801</v>
      </c>
      <c r="C79" s="139" t="s">
        <v>311</v>
      </c>
      <c r="D79" s="141">
        <v>3382914593</v>
      </c>
      <c r="E79" s="139" t="s">
        <v>156</v>
      </c>
      <c r="F79" s="139" t="s">
        <v>178</v>
      </c>
      <c r="G79" s="139" t="s">
        <v>161</v>
      </c>
      <c r="H79" s="139" t="s">
        <v>312</v>
      </c>
      <c r="I79" s="139" t="s">
        <v>313</v>
      </c>
    </row>
    <row r="80" spans="1:9" hidden="1" x14ac:dyDescent="0.25">
      <c r="A80" s="139"/>
      <c r="B80" s="141">
        <v>2289516889</v>
      </c>
      <c r="C80" s="139" t="s">
        <v>314</v>
      </c>
      <c r="D80" s="141">
        <v>2397610210</v>
      </c>
      <c r="E80" s="139" t="s">
        <v>156</v>
      </c>
      <c r="F80" s="139" t="s">
        <v>157</v>
      </c>
      <c r="G80" s="139" t="s">
        <v>216</v>
      </c>
      <c r="H80" s="139" t="s">
        <v>221</v>
      </c>
      <c r="I80" s="139" t="s">
        <v>315</v>
      </c>
    </row>
    <row r="81" spans="1:9" hidden="1" x14ac:dyDescent="0.25">
      <c r="A81" s="139"/>
      <c r="B81" s="140">
        <v>72</v>
      </c>
      <c r="C81" s="139" t="s">
        <v>316</v>
      </c>
      <c r="D81" s="141">
        <v>2719405689</v>
      </c>
      <c r="E81" s="139" t="s">
        <v>156</v>
      </c>
      <c r="F81" s="139" t="s">
        <v>157</v>
      </c>
      <c r="G81" s="139" t="s">
        <v>161</v>
      </c>
      <c r="H81" s="139" t="s">
        <v>317</v>
      </c>
      <c r="I81" s="139" t="s">
        <v>318</v>
      </c>
    </row>
    <row r="82" spans="1:9" hidden="1" x14ac:dyDescent="0.25">
      <c r="A82" s="139"/>
      <c r="B82" s="141">
        <v>2289516897</v>
      </c>
      <c r="C82" s="139" t="s">
        <v>319</v>
      </c>
      <c r="D82" s="141">
        <v>3467806092</v>
      </c>
      <c r="E82" s="139" t="s">
        <v>156</v>
      </c>
      <c r="F82" s="139" t="s">
        <v>157</v>
      </c>
      <c r="G82" s="139" t="s">
        <v>161</v>
      </c>
      <c r="H82" s="139" t="s">
        <v>285</v>
      </c>
      <c r="I82" s="139" t="s">
        <v>320</v>
      </c>
    </row>
    <row r="83" spans="1:9" hidden="1" x14ac:dyDescent="0.25">
      <c r="A83" s="139"/>
      <c r="B83" s="141">
        <v>2289516902</v>
      </c>
      <c r="C83" s="139" t="s">
        <v>321</v>
      </c>
      <c r="D83" s="141">
        <v>2461207992</v>
      </c>
      <c r="E83" s="139" t="s">
        <v>156</v>
      </c>
      <c r="F83" s="139" t="s">
        <v>157</v>
      </c>
      <c r="G83" s="139" t="s">
        <v>322</v>
      </c>
      <c r="H83" s="139" t="s">
        <v>323</v>
      </c>
      <c r="I83" s="139" t="s">
        <v>324</v>
      </c>
    </row>
    <row r="84" spans="1:9" hidden="1" x14ac:dyDescent="0.25">
      <c r="A84" s="139"/>
      <c r="B84" s="140">
        <v>62</v>
      </c>
      <c r="C84" s="139" t="s">
        <v>325</v>
      </c>
      <c r="D84" s="141">
        <v>3374502899</v>
      </c>
      <c r="E84" s="139" t="s">
        <v>156</v>
      </c>
      <c r="F84" s="139" t="s">
        <v>157</v>
      </c>
      <c r="G84" s="139" t="s">
        <v>158</v>
      </c>
      <c r="H84" s="139" t="s">
        <v>326</v>
      </c>
      <c r="I84" s="139" t="s">
        <v>327</v>
      </c>
    </row>
    <row r="85" spans="1:9" hidden="1" x14ac:dyDescent="0.25">
      <c r="A85" s="139"/>
      <c r="B85" s="140">
        <v>183</v>
      </c>
      <c r="C85" s="139" t="s">
        <v>328</v>
      </c>
      <c r="D85" s="141">
        <v>3445102618</v>
      </c>
      <c r="E85" s="139" t="s">
        <v>156</v>
      </c>
      <c r="F85" s="139" t="s">
        <v>157</v>
      </c>
      <c r="G85" s="139" t="s">
        <v>158</v>
      </c>
      <c r="H85" s="139" t="s">
        <v>329</v>
      </c>
      <c r="I85" s="139" t="s">
        <v>330</v>
      </c>
    </row>
    <row r="86" spans="1:9" hidden="1" x14ac:dyDescent="0.25">
      <c r="A86" s="139"/>
      <c r="B86" s="141">
        <v>2289516791</v>
      </c>
      <c r="C86" s="139" t="s">
        <v>331</v>
      </c>
      <c r="D86" s="141">
        <v>3118615738</v>
      </c>
      <c r="E86" s="139" t="s">
        <v>156</v>
      </c>
      <c r="F86" s="139" t="s">
        <v>157</v>
      </c>
      <c r="G86" s="139" t="s">
        <v>216</v>
      </c>
      <c r="H86" s="139" t="s">
        <v>232</v>
      </c>
      <c r="I86" s="139" t="s">
        <v>332</v>
      </c>
    </row>
    <row r="87" spans="1:9" hidden="1" x14ac:dyDescent="0.25">
      <c r="A87" s="139"/>
      <c r="B87" s="141">
        <v>2289516880</v>
      </c>
      <c r="C87" s="139" t="s">
        <v>333</v>
      </c>
      <c r="D87" s="141">
        <v>3744403051</v>
      </c>
      <c r="E87" s="139" t="s">
        <v>156</v>
      </c>
      <c r="F87" s="139" t="s">
        <v>157</v>
      </c>
      <c r="G87" s="139" t="s">
        <v>243</v>
      </c>
      <c r="H87" s="139" t="s">
        <v>206</v>
      </c>
      <c r="I87" s="139" t="s">
        <v>334</v>
      </c>
    </row>
    <row r="88" spans="1:9" hidden="1" x14ac:dyDescent="0.25">
      <c r="A88" s="139"/>
      <c r="B88" s="141">
        <v>2289516892</v>
      </c>
      <c r="C88" s="139" t="s">
        <v>335</v>
      </c>
      <c r="D88" s="141">
        <v>2893009237</v>
      </c>
      <c r="E88" s="139" t="s">
        <v>156</v>
      </c>
      <c r="F88" s="139" t="s">
        <v>157</v>
      </c>
      <c r="G88" s="139" t="s">
        <v>243</v>
      </c>
      <c r="H88" s="139" t="s">
        <v>206</v>
      </c>
      <c r="I88" s="139" t="s">
        <v>315</v>
      </c>
    </row>
    <row r="89" spans="1:9" hidden="1" x14ac:dyDescent="0.25">
      <c r="A89" s="139"/>
      <c r="B89" s="141">
        <v>2289516856</v>
      </c>
      <c r="C89" s="139" t="s">
        <v>336</v>
      </c>
      <c r="D89" s="141">
        <v>1939019075</v>
      </c>
      <c r="E89" s="139" t="s">
        <v>156</v>
      </c>
      <c r="F89" s="139" t="s">
        <v>178</v>
      </c>
      <c r="G89" s="139" t="s">
        <v>196</v>
      </c>
      <c r="H89" s="139" t="s">
        <v>337</v>
      </c>
      <c r="I89" s="139" t="s">
        <v>338</v>
      </c>
    </row>
    <row r="90" spans="1:9" hidden="1" x14ac:dyDescent="0.25">
      <c r="A90" s="139"/>
      <c r="B90" s="140">
        <v>108</v>
      </c>
      <c r="C90" s="139" t="s">
        <v>339</v>
      </c>
      <c r="D90" s="141">
        <v>2871014384</v>
      </c>
      <c r="E90" s="139" t="s">
        <v>156</v>
      </c>
      <c r="F90" s="139" t="s">
        <v>157</v>
      </c>
      <c r="G90" s="139" t="s">
        <v>161</v>
      </c>
      <c r="H90" s="139" t="s">
        <v>340</v>
      </c>
      <c r="I90" s="139" t="s">
        <v>341</v>
      </c>
    </row>
    <row r="91" spans="1:9" hidden="1" x14ac:dyDescent="0.25">
      <c r="A91" s="139"/>
      <c r="B91" s="141">
        <v>2289516705</v>
      </c>
      <c r="C91" s="139" t="s">
        <v>342</v>
      </c>
      <c r="D91" s="141">
        <v>3397508065</v>
      </c>
      <c r="E91" s="139" t="s">
        <v>156</v>
      </c>
      <c r="F91" s="139" t="s">
        <v>157</v>
      </c>
      <c r="G91" s="139" t="s">
        <v>161</v>
      </c>
      <c r="H91" s="139" t="s">
        <v>343</v>
      </c>
      <c r="I91" s="139" t="s">
        <v>344</v>
      </c>
    </row>
    <row r="92" spans="1:9" hidden="1" x14ac:dyDescent="0.25">
      <c r="A92" s="139"/>
      <c r="B92" s="140">
        <v>70</v>
      </c>
      <c r="C92" s="139" t="s">
        <v>345</v>
      </c>
      <c r="D92" s="141">
        <v>2637303953</v>
      </c>
      <c r="E92" s="139" t="s">
        <v>156</v>
      </c>
      <c r="F92" s="139" t="s">
        <v>157</v>
      </c>
      <c r="G92" s="139" t="s">
        <v>158</v>
      </c>
      <c r="H92" s="139" t="s">
        <v>193</v>
      </c>
      <c r="I92" s="139" t="s">
        <v>346</v>
      </c>
    </row>
    <row r="93" spans="1:9" hidden="1" x14ac:dyDescent="0.25">
      <c r="A93" s="139"/>
      <c r="B93" s="141">
        <v>2289516896</v>
      </c>
      <c r="C93" s="139" t="s">
        <v>347</v>
      </c>
      <c r="D93" s="141">
        <v>3336104191</v>
      </c>
      <c r="E93" s="139" t="s">
        <v>156</v>
      </c>
      <c r="F93" s="139" t="s">
        <v>157</v>
      </c>
      <c r="G93" s="139" t="s">
        <v>216</v>
      </c>
      <c r="H93" s="139" t="s">
        <v>348</v>
      </c>
      <c r="I93" s="139" t="s">
        <v>320</v>
      </c>
    </row>
    <row r="94" spans="1:9" hidden="1" x14ac:dyDescent="0.25">
      <c r="A94" s="139"/>
      <c r="B94" s="140">
        <v>274</v>
      </c>
      <c r="C94" s="139" t="s">
        <v>349</v>
      </c>
      <c r="D94" s="141">
        <v>3207413416</v>
      </c>
      <c r="E94" s="139" t="s">
        <v>156</v>
      </c>
      <c r="F94" s="139" t="s">
        <v>157</v>
      </c>
      <c r="G94" s="139" t="s">
        <v>161</v>
      </c>
      <c r="H94" s="139" t="s">
        <v>350</v>
      </c>
      <c r="I94" s="139" t="s">
        <v>351</v>
      </c>
    </row>
    <row r="95" spans="1:9" hidden="1" x14ac:dyDescent="0.25">
      <c r="A95" s="139"/>
      <c r="B95" s="139" t="s">
        <v>352</v>
      </c>
      <c r="C95" s="139" t="s">
        <v>353</v>
      </c>
      <c r="D95" s="141">
        <v>3207413416</v>
      </c>
      <c r="E95" s="139" t="s">
        <v>130</v>
      </c>
      <c r="F95" s="139"/>
      <c r="G95" s="139"/>
      <c r="H95" s="139"/>
      <c r="I95" s="139"/>
    </row>
    <row r="96" spans="1:9" hidden="1" x14ac:dyDescent="0.25">
      <c r="A96" s="139"/>
      <c r="B96" s="140">
        <v>12</v>
      </c>
      <c r="C96" s="139" t="s">
        <v>354</v>
      </c>
      <c r="D96" s="141">
        <v>3694604010</v>
      </c>
      <c r="E96" s="139" t="s">
        <v>156</v>
      </c>
      <c r="F96" s="139" t="s">
        <v>157</v>
      </c>
      <c r="G96" s="139" t="s">
        <v>212</v>
      </c>
      <c r="H96" s="139" t="s">
        <v>213</v>
      </c>
      <c r="I96" s="139" t="s">
        <v>355</v>
      </c>
    </row>
    <row r="97" spans="1:9" hidden="1" x14ac:dyDescent="0.25">
      <c r="A97" s="139"/>
      <c r="B97" s="140">
        <v>48</v>
      </c>
      <c r="C97" s="139" t="s">
        <v>356</v>
      </c>
      <c r="D97" s="141">
        <v>2958309437</v>
      </c>
      <c r="E97" s="139" t="s">
        <v>156</v>
      </c>
      <c r="F97" s="139" t="s">
        <v>157</v>
      </c>
      <c r="G97" s="139" t="s">
        <v>161</v>
      </c>
      <c r="H97" s="139" t="s">
        <v>357</v>
      </c>
      <c r="I97" s="139" t="s">
        <v>358</v>
      </c>
    </row>
    <row r="98" spans="1:9" hidden="1" x14ac:dyDescent="0.25">
      <c r="A98" s="139"/>
      <c r="B98" s="141">
        <v>2289516883</v>
      </c>
      <c r="C98" s="139" t="s">
        <v>359</v>
      </c>
      <c r="D98" s="141">
        <v>3601207735</v>
      </c>
      <c r="E98" s="139" t="s">
        <v>156</v>
      </c>
      <c r="F98" s="139" t="s">
        <v>157</v>
      </c>
      <c r="G98" s="139" t="s">
        <v>243</v>
      </c>
      <c r="H98" s="139" t="s">
        <v>360</v>
      </c>
      <c r="I98" s="139" t="s">
        <v>182</v>
      </c>
    </row>
    <row r="99" spans="1:9" hidden="1" x14ac:dyDescent="0.25">
      <c r="A99" s="139"/>
      <c r="B99" s="141">
        <v>2289516735</v>
      </c>
      <c r="C99" s="139" t="s">
        <v>361</v>
      </c>
      <c r="D99" s="141">
        <v>3053422190</v>
      </c>
      <c r="E99" s="139" t="s">
        <v>156</v>
      </c>
      <c r="F99" s="139" t="s">
        <v>157</v>
      </c>
      <c r="G99" s="139" t="s">
        <v>161</v>
      </c>
      <c r="H99" s="139" t="s">
        <v>229</v>
      </c>
      <c r="I99" s="139" t="s">
        <v>362</v>
      </c>
    </row>
    <row r="100" spans="1:9" hidden="1" x14ac:dyDescent="0.25">
      <c r="A100" s="139"/>
      <c r="B100" s="140">
        <v>197</v>
      </c>
      <c r="C100" s="139" t="s">
        <v>363</v>
      </c>
      <c r="D100" s="141">
        <v>3293018293</v>
      </c>
      <c r="E100" s="139" t="s">
        <v>156</v>
      </c>
      <c r="F100" s="139" t="s">
        <v>157</v>
      </c>
      <c r="G100" s="139"/>
      <c r="H100" s="139"/>
      <c r="I100" s="139"/>
    </row>
    <row r="101" spans="1:9" hidden="1" x14ac:dyDescent="0.25">
      <c r="A101" s="139"/>
      <c r="B101" s="140">
        <v>162</v>
      </c>
      <c r="C101" s="139" t="s">
        <v>364</v>
      </c>
      <c r="D101" s="141">
        <v>3119810293</v>
      </c>
      <c r="E101" s="139" t="s">
        <v>156</v>
      </c>
      <c r="F101" s="139" t="s">
        <v>157</v>
      </c>
      <c r="G101" s="139" t="s">
        <v>243</v>
      </c>
      <c r="H101" s="139" t="s">
        <v>206</v>
      </c>
      <c r="I101" s="139" t="s">
        <v>365</v>
      </c>
    </row>
    <row r="102" spans="1:9" hidden="1" x14ac:dyDescent="0.25">
      <c r="A102" s="139"/>
      <c r="B102" s="140">
        <v>42</v>
      </c>
      <c r="C102" s="139" t="s">
        <v>366</v>
      </c>
      <c r="D102" s="141">
        <v>3705902230</v>
      </c>
      <c r="E102" s="139" t="s">
        <v>156</v>
      </c>
      <c r="F102" s="139" t="s">
        <v>157</v>
      </c>
      <c r="G102" s="139" t="s">
        <v>158</v>
      </c>
      <c r="H102" s="139" t="s">
        <v>190</v>
      </c>
      <c r="I102" s="139" t="s">
        <v>191</v>
      </c>
    </row>
    <row r="103" spans="1:9" hidden="1" x14ac:dyDescent="0.25">
      <c r="A103" s="139"/>
      <c r="B103" s="140">
        <v>8</v>
      </c>
      <c r="C103" s="139" t="s">
        <v>367</v>
      </c>
      <c r="D103" s="141">
        <v>3779110293</v>
      </c>
      <c r="E103" s="139" t="s">
        <v>156</v>
      </c>
      <c r="F103" s="139" t="s">
        <v>157</v>
      </c>
      <c r="G103" s="139" t="s">
        <v>158</v>
      </c>
      <c r="H103" s="139" t="s">
        <v>326</v>
      </c>
      <c r="I103" s="139" t="s">
        <v>368</v>
      </c>
    </row>
    <row r="104" spans="1:9" hidden="1" x14ac:dyDescent="0.25">
      <c r="A104" s="139"/>
      <c r="B104" s="140">
        <v>137</v>
      </c>
      <c r="C104" s="139" t="s">
        <v>369</v>
      </c>
      <c r="D104" s="141">
        <v>3166313137</v>
      </c>
      <c r="E104" s="139" t="s">
        <v>156</v>
      </c>
      <c r="F104" s="139" t="s">
        <v>157</v>
      </c>
      <c r="G104" s="139" t="s">
        <v>200</v>
      </c>
      <c r="H104" s="139" t="s">
        <v>360</v>
      </c>
      <c r="I104" s="139" t="s">
        <v>370</v>
      </c>
    </row>
    <row r="105" spans="1:9" hidden="1" x14ac:dyDescent="0.25">
      <c r="A105" s="139"/>
      <c r="B105" s="141">
        <v>2289516888</v>
      </c>
      <c r="C105" s="139" t="s">
        <v>371</v>
      </c>
      <c r="D105" s="141">
        <v>2492508275</v>
      </c>
      <c r="E105" s="139" t="s">
        <v>156</v>
      </c>
      <c r="F105" s="139" t="s">
        <v>157</v>
      </c>
      <c r="G105" s="139" t="s">
        <v>216</v>
      </c>
      <c r="H105" s="139" t="s">
        <v>221</v>
      </c>
      <c r="I105" s="139" t="s">
        <v>372</v>
      </c>
    </row>
    <row r="106" spans="1:9" hidden="1" x14ac:dyDescent="0.25">
      <c r="A106" s="139"/>
      <c r="B106" s="141">
        <v>2289516890</v>
      </c>
      <c r="C106" s="139" t="s">
        <v>373</v>
      </c>
      <c r="D106" s="141">
        <v>2345601097</v>
      </c>
      <c r="E106" s="139" t="s">
        <v>156</v>
      </c>
      <c r="F106" s="139" t="s">
        <v>178</v>
      </c>
      <c r="G106" s="139" t="s">
        <v>243</v>
      </c>
      <c r="H106" s="139" t="s">
        <v>337</v>
      </c>
      <c r="I106" s="139" t="s">
        <v>258</v>
      </c>
    </row>
    <row r="107" spans="1:9" hidden="1" x14ac:dyDescent="0.25">
      <c r="A107" s="139"/>
      <c r="B107" s="141">
        <v>2289516878</v>
      </c>
      <c r="C107" s="139" t="s">
        <v>374</v>
      </c>
      <c r="D107" s="141">
        <v>3568405559</v>
      </c>
      <c r="E107" s="139" t="s">
        <v>156</v>
      </c>
      <c r="F107" s="139" t="s">
        <v>157</v>
      </c>
      <c r="G107" s="139" t="s">
        <v>216</v>
      </c>
      <c r="H107" s="139" t="s">
        <v>348</v>
      </c>
      <c r="I107" s="139" t="s">
        <v>327</v>
      </c>
    </row>
    <row r="108" spans="1:9" hidden="1" x14ac:dyDescent="0.25">
      <c r="A108" s="139"/>
      <c r="B108" s="140">
        <v>68</v>
      </c>
      <c r="C108" s="139" t="s">
        <v>375</v>
      </c>
      <c r="D108" s="141">
        <v>2521518612</v>
      </c>
      <c r="E108" s="139" t="s">
        <v>156</v>
      </c>
      <c r="F108" s="139" t="s">
        <v>157</v>
      </c>
      <c r="G108" s="139" t="s">
        <v>158</v>
      </c>
      <c r="H108" s="139" t="s">
        <v>159</v>
      </c>
      <c r="I108" s="139" t="s">
        <v>214</v>
      </c>
    </row>
    <row r="109" spans="1:9" hidden="1" x14ac:dyDescent="0.25">
      <c r="A109" s="139"/>
      <c r="B109" s="141">
        <v>2289516697</v>
      </c>
      <c r="C109" s="139" t="s">
        <v>376</v>
      </c>
      <c r="D109" s="141">
        <v>3073110819</v>
      </c>
      <c r="E109" s="139" t="s">
        <v>156</v>
      </c>
      <c r="F109" s="139" t="s">
        <v>157</v>
      </c>
      <c r="G109" s="139" t="s">
        <v>272</v>
      </c>
      <c r="H109" s="139" t="s">
        <v>187</v>
      </c>
      <c r="I109" s="139" t="s">
        <v>273</v>
      </c>
    </row>
    <row r="110" spans="1:9" hidden="1" x14ac:dyDescent="0.25">
      <c r="A110" s="139"/>
      <c r="B110" s="141">
        <v>2289516708</v>
      </c>
      <c r="C110" s="139" t="s">
        <v>377</v>
      </c>
      <c r="D110" s="141">
        <v>3503711344</v>
      </c>
      <c r="E110" s="139" t="s">
        <v>156</v>
      </c>
      <c r="F110" s="139" t="s">
        <v>157</v>
      </c>
      <c r="G110" s="139" t="s">
        <v>161</v>
      </c>
      <c r="H110" s="139" t="s">
        <v>285</v>
      </c>
      <c r="I110" s="139" t="s">
        <v>378</v>
      </c>
    </row>
    <row r="111" spans="1:9" hidden="1" x14ac:dyDescent="0.25">
      <c r="A111" s="139"/>
      <c r="B111" s="141">
        <v>2289516895</v>
      </c>
      <c r="C111" s="139" t="s">
        <v>379</v>
      </c>
      <c r="D111" s="141">
        <v>3220619518</v>
      </c>
      <c r="E111" s="139" t="s">
        <v>156</v>
      </c>
      <c r="F111" s="139" t="s">
        <v>157</v>
      </c>
      <c r="G111" s="139" t="s">
        <v>216</v>
      </c>
      <c r="H111" s="139" t="s">
        <v>244</v>
      </c>
      <c r="I111" s="139" t="s">
        <v>380</v>
      </c>
    </row>
    <row r="112" spans="1:9" hidden="1" x14ac:dyDescent="0.25">
      <c r="A112" s="139"/>
      <c r="B112" s="141">
        <v>2289516703</v>
      </c>
      <c r="C112" s="139" t="s">
        <v>381</v>
      </c>
      <c r="D112" s="141">
        <v>3132604831</v>
      </c>
      <c r="E112" s="139" t="s">
        <v>156</v>
      </c>
      <c r="F112" s="139" t="s">
        <v>157</v>
      </c>
      <c r="G112" s="139" t="s">
        <v>216</v>
      </c>
      <c r="H112" s="139" t="s">
        <v>295</v>
      </c>
      <c r="I112" s="139" t="s">
        <v>198</v>
      </c>
    </row>
    <row r="113" spans="1:9" hidden="1" x14ac:dyDescent="0.25">
      <c r="A113" s="139"/>
      <c r="B113" s="140">
        <v>147</v>
      </c>
      <c r="C113" s="139" t="s">
        <v>382</v>
      </c>
      <c r="D113" s="141">
        <v>3012604857</v>
      </c>
      <c r="E113" s="139" t="s">
        <v>156</v>
      </c>
      <c r="F113" s="139" t="s">
        <v>157</v>
      </c>
      <c r="G113" s="139" t="s">
        <v>383</v>
      </c>
      <c r="H113" s="139" t="s">
        <v>162</v>
      </c>
      <c r="I113" s="139" t="s">
        <v>384</v>
      </c>
    </row>
    <row r="114" spans="1:9" hidden="1" x14ac:dyDescent="0.25">
      <c r="A114" s="139"/>
      <c r="B114" s="140">
        <v>16</v>
      </c>
      <c r="C114" s="139" t="s">
        <v>385</v>
      </c>
      <c r="D114" s="141">
        <v>3382504985</v>
      </c>
      <c r="E114" s="139" t="s">
        <v>156</v>
      </c>
      <c r="F114" s="139" t="s">
        <v>157</v>
      </c>
      <c r="G114" s="139" t="s">
        <v>212</v>
      </c>
      <c r="H114" s="139" t="s">
        <v>213</v>
      </c>
      <c r="I114" s="139" t="s">
        <v>386</v>
      </c>
    </row>
    <row r="115" spans="1:9" hidden="1" x14ac:dyDescent="0.25">
      <c r="A115" s="139"/>
      <c r="B115" s="141">
        <v>2289516872</v>
      </c>
      <c r="C115" s="139" t="s">
        <v>387</v>
      </c>
      <c r="D115" s="141">
        <v>3045613635</v>
      </c>
      <c r="E115" s="139" t="s">
        <v>156</v>
      </c>
      <c r="F115" s="139" t="s">
        <v>157</v>
      </c>
      <c r="G115" s="139" t="s">
        <v>216</v>
      </c>
      <c r="H115" s="139" t="s">
        <v>348</v>
      </c>
      <c r="I115" s="139" t="s">
        <v>388</v>
      </c>
    </row>
    <row r="116" spans="1:9" hidden="1" x14ac:dyDescent="0.25">
      <c r="A116" s="139"/>
      <c r="B116" s="140">
        <v>22</v>
      </c>
      <c r="C116" s="139" t="s">
        <v>389</v>
      </c>
      <c r="D116" s="141">
        <v>3672909960</v>
      </c>
      <c r="E116" s="139" t="s">
        <v>156</v>
      </c>
      <c r="F116" s="139" t="s">
        <v>157</v>
      </c>
      <c r="G116" s="139" t="s">
        <v>212</v>
      </c>
      <c r="H116" s="139" t="s">
        <v>213</v>
      </c>
      <c r="I116" s="139" t="s">
        <v>390</v>
      </c>
    </row>
    <row r="117" spans="1:9" hidden="1" x14ac:dyDescent="0.25">
      <c r="A117" s="139"/>
      <c r="B117" s="141">
        <v>2289516824</v>
      </c>
      <c r="C117" s="139" t="s">
        <v>391</v>
      </c>
      <c r="D117" s="141">
        <v>3339117352</v>
      </c>
      <c r="E117" s="139" t="s">
        <v>156</v>
      </c>
      <c r="F117" s="139" t="s">
        <v>157</v>
      </c>
      <c r="G117" s="139" t="s">
        <v>216</v>
      </c>
      <c r="H117" s="139" t="s">
        <v>206</v>
      </c>
      <c r="I117" s="139" t="s">
        <v>392</v>
      </c>
    </row>
    <row r="118" spans="1:9" hidden="1" x14ac:dyDescent="0.25">
      <c r="A118" s="139"/>
      <c r="B118" s="141">
        <v>2289516825</v>
      </c>
      <c r="C118" s="139" t="s">
        <v>393</v>
      </c>
      <c r="D118" s="141">
        <v>3414715392</v>
      </c>
      <c r="E118" s="139" t="s">
        <v>156</v>
      </c>
      <c r="F118" s="139" t="s">
        <v>157</v>
      </c>
      <c r="G118" s="139" t="s">
        <v>216</v>
      </c>
      <c r="H118" s="139" t="s">
        <v>206</v>
      </c>
      <c r="I118" s="139" t="s">
        <v>392</v>
      </c>
    </row>
    <row r="119" spans="1:9" hidden="1" x14ac:dyDescent="0.25">
      <c r="A119" s="139"/>
      <c r="B119" s="140">
        <v>29</v>
      </c>
      <c r="C119" s="139" t="s">
        <v>394</v>
      </c>
      <c r="D119" s="141">
        <v>3204901230</v>
      </c>
      <c r="E119" s="139" t="s">
        <v>156</v>
      </c>
      <c r="F119" s="139" t="s">
        <v>157</v>
      </c>
      <c r="G119" s="139" t="s">
        <v>158</v>
      </c>
      <c r="H119" s="139" t="s">
        <v>159</v>
      </c>
      <c r="I119" s="139" t="s">
        <v>160</v>
      </c>
    </row>
    <row r="120" spans="1:9" hidden="1" x14ac:dyDescent="0.25">
      <c r="A120" s="139"/>
      <c r="B120" s="140">
        <v>48</v>
      </c>
      <c r="C120" s="139" t="s">
        <v>4</v>
      </c>
      <c r="D120" s="141">
        <v>2579305831</v>
      </c>
      <c r="E120" s="139" t="s">
        <v>156</v>
      </c>
      <c r="F120" s="139" t="s">
        <v>157</v>
      </c>
      <c r="G120" s="139" t="s">
        <v>158</v>
      </c>
      <c r="H120" s="139" t="s">
        <v>159</v>
      </c>
      <c r="I120" s="139" t="s">
        <v>395</v>
      </c>
    </row>
    <row r="121" spans="1:9" hidden="1" x14ac:dyDescent="0.25">
      <c r="A121" s="139"/>
      <c r="B121" s="140">
        <v>240</v>
      </c>
      <c r="C121" s="139" t="s">
        <v>396</v>
      </c>
      <c r="D121" s="141">
        <v>2852918337</v>
      </c>
      <c r="E121" s="139" t="s">
        <v>156</v>
      </c>
      <c r="F121" s="139" t="s">
        <v>157</v>
      </c>
      <c r="G121" s="139" t="s">
        <v>200</v>
      </c>
      <c r="H121" s="139" t="s">
        <v>295</v>
      </c>
      <c r="I121" s="139" t="s">
        <v>397</v>
      </c>
    </row>
    <row r="122" spans="1:9" x14ac:dyDescent="0.25">
      <c r="A122" s="139"/>
      <c r="B122" s="140">
        <v>6</v>
      </c>
      <c r="C122" s="139" t="s">
        <v>398</v>
      </c>
      <c r="D122" s="141">
        <v>3294913815</v>
      </c>
      <c r="E122" s="139" t="s">
        <v>156</v>
      </c>
      <c r="F122" s="139" t="s">
        <v>157</v>
      </c>
      <c r="G122" s="139" t="s">
        <v>158</v>
      </c>
      <c r="H122" s="139" t="s">
        <v>190</v>
      </c>
      <c r="I122" s="139" t="s">
        <v>368</v>
      </c>
    </row>
    <row r="123" spans="1:9" hidden="1" x14ac:dyDescent="0.25">
      <c r="A123" s="139"/>
      <c r="B123" s="141">
        <v>2289516743</v>
      </c>
      <c r="C123" s="139" t="s">
        <v>399</v>
      </c>
      <c r="D123" s="141">
        <v>3217713834</v>
      </c>
      <c r="E123" s="139" t="s">
        <v>156</v>
      </c>
      <c r="F123" s="139" t="s">
        <v>157</v>
      </c>
      <c r="G123" s="139" t="s">
        <v>272</v>
      </c>
      <c r="H123" s="139" t="s">
        <v>187</v>
      </c>
      <c r="I123" s="139" t="s">
        <v>400</v>
      </c>
    </row>
    <row r="124" spans="1:9" hidden="1" x14ac:dyDescent="0.25">
      <c r="A124" s="139"/>
      <c r="B124" s="141">
        <v>2289516852</v>
      </c>
      <c r="C124" s="139" t="s">
        <v>401</v>
      </c>
      <c r="D124" s="141">
        <v>2163809691</v>
      </c>
      <c r="E124" s="139" t="s">
        <v>156</v>
      </c>
      <c r="F124" s="139" t="s">
        <v>178</v>
      </c>
      <c r="G124" s="139" t="s">
        <v>200</v>
      </c>
      <c r="H124" s="139" t="s">
        <v>337</v>
      </c>
      <c r="I124" s="139" t="s">
        <v>286</v>
      </c>
    </row>
    <row r="125" spans="1:9" hidden="1" x14ac:dyDescent="0.25">
      <c r="A125" s="139"/>
      <c r="B125" s="141">
        <v>2289516899</v>
      </c>
      <c r="C125" s="139" t="s">
        <v>402</v>
      </c>
      <c r="D125" s="141">
        <v>3027202792</v>
      </c>
      <c r="E125" s="139" t="s">
        <v>156</v>
      </c>
      <c r="F125" s="139" t="s">
        <v>157</v>
      </c>
      <c r="G125" s="139" t="s">
        <v>243</v>
      </c>
      <c r="H125" s="139" t="s">
        <v>343</v>
      </c>
      <c r="I125" s="139" t="s">
        <v>403</v>
      </c>
    </row>
    <row r="126" spans="1:9" hidden="1" x14ac:dyDescent="0.25">
      <c r="A126" s="139"/>
      <c r="B126" s="141">
        <v>2289516794</v>
      </c>
      <c r="C126" s="139" t="s">
        <v>404</v>
      </c>
      <c r="D126" s="141">
        <v>3099210416</v>
      </c>
      <c r="E126" s="139" t="s">
        <v>156</v>
      </c>
      <c r="F126" s="139" t="s">
        <v>157</v>
      </c>
      <c r="G126" s="139" t="s">
        <v>280</v>
      </c>
      <c r="H126" s="139" t="s">
        <v>232</v>
      </c>
      <c r="I126" s="139" t="s">
        <v>332</v>
      </c>
    </row>
    <row r="127" spans="1:9" hidden="1" x14ac:dyDescent="0.25">
      <c r="A127" s="139"/>
      <c r="B127" s="140">
        <v>225</v>
      </c>
      <c r="C127" s="139" t="s">
        <v>405</v>
      </c>
      <c r="D127" s="141">
        <v>3029300631</v>
      </c>
      <c r="E127" s="139" t="s">
        <v>156</v>
      </c>
      <c r="F127" s="139" t="s">
        <v>157</v>
      </c>
      <c r="G127" s="139" t="s">
        <v>216</v>
      </c>
      <c r="H127" s="139" t="s">
        <v>201</v>
      </c>
      <c r="I127" s="139" t="s">
        <v>406</v>
      </c>
    </row>
    <row r="128" spans="1:9" hidden="1" x14ac:dyDescent="0.25">
      <c r="A128" s="139"/>
      <c r="B128" s="140">
        <v>7</v>
      </c>
      <c r="C128" s="139" t="s">
        <v>407</v>
      </c>
      <c r="D128" s="141">
        <v>2794601018</v>
      </c>
      <c r="E128" s="139" t="s">
        <v>156</v>
      </c>
      <c r="F128" s="139" t="s">
        <v>178</v>
      </c>
      <c r="G128" s="139" t="s">
        <v>212</v>
      </c>
      <c r="H128" s="139" t="s">
        <v>408</v>
      </c>
      <c r="I128" s="139" t="s">
        <v>409</v>
      </c>
    </row>
    <row r="129" spans="1:9" hidden="1" x14ac:dyDescent="0.25">
      <c r="A129" s="139"/>
      <c r="B129" s="141">
        <v>2289516871</v>
      </c>
      <c r="C129" s="139" t="s">
        <v>410</v>
      </c>
      <c r="D129" s="141">
        <v>3244915916</v>
      </c>
      <c r="E129" s="139" t="s">
        <v>156</v>
      </c>
      <c r="F129" s="139" t="s">
        <v>157</v>
      </c>
      <c r="G129" s="139" t="s">
        <v>161</v>
      </c>
      <c r="H129" s="139" t="s">
        <v>229</v>
      </c>
      <c r="I129" s="139" t="s">
        <v>388</v>
      </c>
    </row>
    <row r="130" spans="1:9" hidden="1" x14ac:dyDescent="0.25">
      <c r="A130" s="139"/>
      <c r="B130" s="140">
        <v>3</v>
      </c>
      <c r="C130" s="139" t="s">
        <v>411</v>
      </c>
      <c r="D130" s="141">
        <v>3458003578</v>
      </c>
      <c r="E130" s="139" t="s">
        <v>156</v>
      </c>
      <c r="F130" s="139" t="s">
        <v>157</v>
      </c>
      <c r="G130" s="139" t="s">
        <v>212</v>
      </c>
      <c r="H130" s="139" t="s">
        <v>412</v>
      </c>
      <c r="I130" s="139" t="s">
        <v>413</v>
      </c>
    </row>
    <row r="131" spans="1:9" hidden="1" x14ac:dyDescent="0.25">
      <c r="A131" s="139"/>
      <c r="B131" s="140">
        <v>18</v>
      </c>
      <c r="C131" s="139" t="s">
        <v>411</v>
      </c>
      <c r="D131" s="141">
        <v>3458003578</v>
      </c>
      <c r="E131" s="139" t="s">
        <v>156</v>
      </c>
      <c r="F131" s="139" t="s">
        <v>178</v>
      </c>
      <c r="G131" s="139"/>
      <c r="H131" s="139"/>
      <c r="I131" s="139"/>
    </row>
    <row r="132" spans="1:9" hidden="1" x14ac:dyDescent="0.25">
      <c r="A132" s="139"/>
      <c r="B132" s="141">
        <v>2289516737</v>
      </c>
      <c r="C132" s="139" t="s">
        <v>414</v>
      </c>
      <c r="D132" s="141">
        <v>3662602531</v>
      </c>
      <c r="E132" s="139" t="s">
        <v>156</v>
      </c>
      <c r="F132" s="139" t="s">
        <v>157</v>
      </c>
      <c r="G132" s="139" t="s">
        <v>243</v>
      </c>
      <c r="H132" s="139" t="s">
        <v>206</v>
      </c>
      <c r="I132" s="139" t="s">
        <v>362</v>
      </c>
    </row>
    <row r="133" spans="1:9" hidden="1" x14ac:dyDescent="0.25">
      <c r="A133" s="139"/>
      <c r="B133" s="141">
        <v>2289516893</v>
      </c>
      <c r="C133" s="139" t="s">
        <v>415</v>
      </c>
      <c r="D133" s="141">
        <v>2855420394</v>
      </c>
      <c r="E133" s="139" t="s">
        <v>156</v>
      </c>
      <c r="F133" s="139" t="s">
        <v>157</v>
      </c>
      <c r="G133" s="139" t="s">
        <v>243</v>
      </c>
      <c r="H133" s="139" t="s">
        <v>206</v>
      </c>
      <c r="I133" s="139" t="s">
        <v>315</v>
      </c>
    </row>
    <row r="134" spans="1:9" hidden="1" x14ac:dyDescent="0.25">
      <c r="A134" s="139"/>
      <c r="B134" s="141">
        <v>2289516898</v>
      </c>
      <c r="C134" s="139" t="s">
        <v>416</v>
      </c>
      <c r="D134" s="141">
        <v>2777600676</v>
      </c>
      <c r="E134" s="139" t="s">
        <v>156</v>
      </c>
      <c r="F134" s="139" t="s">
        <v>157</v>
      </c>
      <c r="G134" s="139" t="s">
        <v>243</v>
      </c>
      <c r="H134" s="139" t="s">
        <v>206</v>
      </c>
      <c r="I134" s="139" t="s">
        <v>417</v>
      </c>
    </row>
    <row r="135" spans="1:9" hidden="1" x14ac:dyDescent="0.25">
      <c r="A135" s="139"/>
      <c r="B135" s="141">
        <v>2289516837</v>
      </c>
      <c r="C135" s="139" t="s">
        <v>418</v>
      </c>
      <c r="D135" s="141">
        <v>3108202652</v>
      </c>
      <c r="E135" s="139" t="s">
        <v>156</v>
      </c>
      <c r="F135" s="139" t="s">
        <v>157</v>
      </c>
      <c r="G135" s="139" t="s">
        <v>243</v>
      </c>
      <c r="H135" s="139" t="s">
        <v>206</v>
      </c>
      <c r="I135" s="139" t="s">
        <v>419</v>
      </c>
    </row>
    <row r="136" spans="1:9" hidden="1" x14ac:dyDescent="0.25">
      <c r="A136" s="139"/>
      <c r="B136" s="141">
        <v>2289516873</v>
      </c>
      <c r="C136" s="139" t="s">
        <v>420</v>
      </c>
      <c r="D136" s="141">
        <v>2850902050</v>
      </c>
      <c r="E136" s="139" t="s">
        <v>156</v>
      </c>
      <c r="F136" s="139" t="s">
        <v>157</v>
      </c>
      <c r="G136" s="139" t="s">
        <v>216</v>
      </c>
      <c r="H136" s="139" t="s">
        <v>360</v>
      </c>
      <c r="I136" s="139" t="s">
        <v>421</v>
      </c>
    </row>
    <row r="137" spans="1:9" hidden="1" x14ac:dyDescent="0.25">
      <c r="A137" s="139"/>
      <c r="B137" s="141">
        <v>2289516802</v>
      </c>
      <c r="C137" s="139" t="s">
        <v>422</v>
      </c>
      <c r="D137" s="141">
        <v>3281710375</v>
      </c>
      <c r="E137" s="139" t="s">
        <v>156</v>
      </c>
      <c r="F137" s="139" t="s">
        <v>178</v>
      </c>
      <c r="G137" s="139" t="s">
        <v>161</v>
      </c>
      <c r="H137" s="139" t="s">
        <v>423</v>
      </c>
      <c r="I137" s="139" t="s">
        <v>313</v>
      </c>
    </row>
    <row r="138" spans="1:9" hidden="1" x14ac:dyDescent="0.25">
      <c r="A138" s="139"/>
      <c r="B138" s="140">
        <v>12</v>
      </c>
      <c r="C138" s="139" t="s">
        <v>424</v>
      </c>
      <c r="D138" s="141">
        <v>3281710375</v>
      </c>
      <c r="E138" s="139" t="s">
        <v>156</v>
      </c>
      <c r="F138" s="139" t="s">
        <v>157</v>
      </c>
      <c r="G138" s="139" t="s">
        <v>161</v>
      </c>
      <c r="H138" s="139" t="s">
        <v>260</v>
      </c>
      <c r="I138" s="139" t="s">
        <v>425</v>
      </c>
    </row>
    <row r="139" spans="1:9" hidden="1" x14ac:dyDescent="0.25">
      <c r="A139" s="139"/>
      <c r="B139" s="141">
        <v>2289516874</v>
      </c>
      <c r="C139" s="139" t="s">
        <v>426</v>
      </c>
      <c r="D139" s="141">
        <v>2572519716</v>
      </c>
      <c r="E139" s="139" t="s">
        <v>156</v>
      </c>
      <c r="F139" s="139" t="s">
        <v>157</v>
      </c>
      <c r="G139" s="139" t="s">
        <v>216</v>
      </c>
      <c r="H139" s="139" t="s">
        <v>244</v>
      </c>
      <c r="I139" s="139" t="s">
        <v>291</v>
      </c>
    </row>
    <row r="140" spans="1:9" hidden="1" x14ac:dyDescent="0.25">
      <c r="A140" s="139"/>
      <c r="B140" s="141">
        <v>2289516836</v>
      </c>
      <c r="C140" s="139" t="s">
        <v>427</v>
      </c>
      <c r="D140" s="141">
        <v>2773311771</v>
      </c>
      <c r="E140" s="139" t="s">
        <v>156</v>
      </c>
      <c r="F140" s="139" t="s">
        <v>157</v>
      </c>
      <c r="G140" s="139" t="s">
        <v>216</v>
      </c>
      <c r="H140" s="139" t="s">
        <v>206</v>
      </c>
      <c r="I140" s="139" t="s">
        <v>419</v>
      </c>
    </row>
    <row r="141" spans="1:9" hidden="1" x14ac:dyDescent="0.25">
      <c r="A141" s="139"/>
      <c r="B141" s="140">
        <v>27</v>
      </c>
      <c r="C141" s="139" t="s">
        <v>428</v>
      </c>
      <c r="D141" s="141">
        <v>2880313812</v>
      </c>
      <c r="E141" s="139" t="s">
        <v>156</v>
      </c>
      <c r="F141" s="139" t="s">
        <v>157</v>
      </c>
      <c r="G141" s="139" t="s">
        <v>158</v>
      </c>
      <c r="H141" s="139" t="s">
        <v>429</v>
      </c>
      <c r="I141" s="139" t="s">
        <v>160</v>
      </c>
    </row>
    <row r="142" spans="1:9" hidden="1" x14ac:dyDescent="0.25">
      <c r="A142" s="139"/>
      <c r="B142" s="141">
        <v>2289516879</v>
      </c>
      <c r="C142" s="139" t="s">
        <v>430</v>
      </c>
      <c r="D142" s="141">
        <v>2783317959</v>
      </c>
      <c r="E142" s="139" t="s">
        <v>156</v>
      </c>
      <c r="F142" s="139" t="s">
        <v>157</v>
      </c>
      <c r="G142" s="139" t="s">
        <v>243</v>
      </c>
      <c r="H142" s="139" t="s">
        <v>206</v>
      </c>
      <c r="I142" s="139" t="s">
        <v>334</v>
      </c>
    </row>
    <row r="143" spans="1:9" hidden="1" x14ac:dyDescent="0.25">
      <c r="A143" s="139"/>
      <c r="B143" s="141">
        <v>2289516853</v>
      </c>
      <c r="C143" s="139" t="s">
        <v>431</v>
      </c>
      <c r="D143" s="141">
        <v>2034207638</v>
      </c>
      <c r="E143" s="139" t="s">
        <v>156</v>
      </c>
      <c r="F143" s="139" t="s">
        <v>157</v>
      </c>
      <c r="G143" s="139" t="s">
        <v>216</v>
      </c>
      <c r="H143" s="139" t="s">
        <v>429</v>
      </c>
      <c r="I143" s="139" t="s">
        <v>286</v>
      </c>
    </row>
    <row r="144" spans="1:9" hidden="1" x14ac:dyDescent="0.25">
      <c r="A144" s="139"/>
      <c r="B144" s="140">
        <v>5</v>
      </c>
      <c r="C144" s="139" t="s">
        <v>432</v>
      </c>
      <c r="D144" s="141">
        <v>3076001111</v>
      </c>
      <c r="E144" s="139" t="s">
        <v>156</v>
      </c>
      <c r="F144" s="139" t="s">
        <v>178</v>
      </c>
      <c r="G144" s="139" t="s">
        <v>212</v>
      </c>
      <c r="H144" s="139" t="s">
        <v>408</v>
      </c>
      <c r="I144" s="139" t="s">
        <v>413</v>
      </c>
    </row>
    <row r="145" spans="1:9" hidden="1" x14ac:dyDescent="0.25">
      <c r="A145" s="139"/>
      <c r="B145" s="140">
        <v>1</v>
      </c>
      <c r="C145" s="139" t="s">
        <v>433</v>
      </c>
      <c r="D145" s="141">
        <v>3446605399</v>
      </c>
      <c r="E145" s="139" t="s">
        <v>156</v>
      </c>
      <c r="F145" s="139" t="s">
        <v>157</v>
      </c>
      <c r="G145" s="139" t="s">
        <v>161</v>
      </c>
      <c r="H145" s="139" t="s">
        <v>260</v>
      </c>
      <c r="I145" s="139" t="s">
        <v>434</v>
      </c>
    </row>
    <row r="146" spans="1:9" hidden="1" x14ac:dyDescent="0.25">
      <c r="A146" s="139"/>
      <c r="B146" s="140">
        <v>17</v>
      </c>
      <c r="C146" s="139" t="s">
        <v>433</v>
      </c>
      <c r="D146" s="141">
        <v>3446605399</v>
      </c>
      <c r="E146" s="139" t="s">
        <v>156</v>
      </c>
      <c r="F146" s="139" t="s">
        <v>178</v>
      </c>
      <c r="G146" s="139" t="s">
        <v>161</v>
      </c>
      <c r="H146" s="139" t="s">
        <v>260</v>
      </c>
      <c r="I146" s="139" t="s">
        <v>435</v>
      </c>
    </row>
    <row r="147" spans="1:9" hidden="1" x14ac:dyDescent="0.25">
      <c r="A147" s="139"/>
      <c r="B147" s="140">
        <v>41</v>
      </c>
      <c r="C147" s="139" t="s">
        <v>436</v>
      </c>
      <c r="D147" s="141">
        <v>3348501613</v>
      </c>
      <c r="E147" s="139" t="s">
        <v>156</v>
      </c>
      <c r="F147" s="139" t="s">
        <v>157</v>
      </c>
      <c r="G147" s="139" t="s">
        <v>158</v>
      </c>
      <c r="H147" s="139" t="s">
        <v>159</v>
      </c>
      <c r="I147" s="139" t="s">
        <v>191</v>
      </c>
    </row>
    <row r="148" spans="1:9" hidden="1" x14ac:dyDescent="0.25">
      <c r="A148" s="139"/>
      <c r="B148" s="141">
        <v>2289516792</v>
      </c>
      <c r="C148" s="139" t="s">
        <v>437</v>
      </c>
      <c r="D148" s="141">
        <v>3350503939</v>
      </c>
      <c r="E148" s="139" t="s">
        <v>156</v>
      </c>
      <c r="F148" s="139" t="s">
        <v>157</v>
      </c>
      <c r="G148" s="139" t="s">
        <v>216</v>
      </c>
      <c r="H148" s="139" t="s">
        <v>232</v>
      </c>
      <c r="I148" s="139" t="s">
        <v>332</v>
      </c>
    </row>
    <row r="149" spans="1:9" hidden="1" x14ac:dyDescent="0.25">
      <c r="A149" s="139"/>
      <c r="B149" s="140">
        <v>241</v>
      </c>
      <c r="C149" s="139" t="s">
        <v>438</v>
      </c>
      <c r="D149" s="141">
        <v>3584102292</v>
      </c>
      <c r="E149" s="139" t="s">
        <v>156</v>
      </c>
      <c r="F149" s="139" t="s">
        <v>157</v>
      </c>
      <c r="G149" s="139" t="s">
        <v>200</v>
      </c>
      <c r="H149" s="139" t="s">
        <v>206</v>
      </c>
      <c r="I149" s="139" t="s">
        <v>397</v>
      </c>
    </row>
    <row r="150" spans="1:9" hidden="1" x14ac:dyDescent="0.25">
      <c r="A150" s="139"/>
      <c r="B150" s="141">
        <v>2289516798</v>
      </c>
      <c r="C150" s="139" t="s">
        <v>439</v>
      </c>
      <c r="D150" s="141">
        <v>3008703064</v>
      </c>
      <c r="E150" s="139" t="s">
        <v>156</v>
      </c>
      <c r="F150" s="139" t="s">
        <v>157</v>
      </c>
      <c r="G150" s="139" t="s">
        <v>161</v>
      </c>
      <c r="H150" s="139" t="s">
        <v>440</v>
      </c>
      <c r="I150" s="139" t="s">
        <v>441</v>
      </c>
    </row>
    <row r="151" spans="1:9" hidden="1" x14ac:dyDescent="0.25">
      <c r="A151" s="139"/>
      <c r="B151" s="140">
        <v>213</v>
      </c>
      <c r="C151" s="139" t="s">
        <v>442</v>
      </c>
      <c r="D151" s="141">
        <v>2906022797</v>
      </c>
      <c r="E151" s="139" t="s">
        <v>156</v>
      </c>
      <c r="F151" s="139" t="s">
        <v>157</v>
      </c>
      <c r="G151" s="139" t="s">
        <v>254</v>
      </c>
      <c r="H151" s="139" t="s">
        <v>295</v>
      </c>
      <c r="I151" s="139" t="s">
        <v>443</v>
      </c>
    </row>
    <row r="152" spans="1:9" hidden="1" x14ac:dyDescent="0.25">
      <c r="A152" s="139"/>
      <c r="B152" s="141">
        <v>2289516865</v>
      </c>
      <c r="C152" s="139" t="s">
        <v>444</v>
      </c>
      <c r="D152" s="141">
        <v>2894822956</v>
      </c>
      <c r="E152" s="139" t="s">
        <v>156</v>
      </c>
      <c r="F152" s="139" t="s">
        <v>157</v>
      </c>
      <c r="G152" s="139" t="s">
        <v>383</v>
      </c>
      <c r="H152" s="139" t="s">
        <v>244</v>
      </c>
      <c r="I152" s="139" t="s">
        <v>445</v>
      </c>
    </row>
    <row r="153" spans="1:9" hidden="1" x14ac:dyDescent="0.25">
      <c r="A153" s="139"/>
      <c r="B153" s="140">
        <v>47</v>
      </c>
      <c r="C153" s="139" t="s">
        <v>446</v>
      </c>
      <c r="D153" s="141">
        <v>3216804294</v>
      </c>
      <c r="E153" s="139" t="s">
        <v>156</v>
      </c>
      <c r="F153" s="139" t="s">
        <v>157</v>
      </c>
      <c r="G153" s="139" t="s">
        <v>158</v>
      </c>
      <c r="H153" s="139" t="s">
        <v>193</v>
      </c>
      <c r="I153" s="139" t="s">
        <v>447</v>
      </c>
    </row>
    <row r="154" spans="1:9" hidden="1" x14ac:dyDescent="0.25">
      <c r="A154" s="139"/>
      <c r="B154" s="140">
        <v>11</v>
      </c>
      <c r="C154" s="139" t="s">
        <v>448</v>
      </c>
      <c r="D154" s="141">
        <v>2987302398</v>
      </c>
      <c r="E154" s="139" t="s">
        <v>156</v>
      </c>
      <c r="F154" s="139" t="s">
        <v>157</v>
      </c>
      <c r="G154" s="139" t="s">
        <v>212</v>
      </c>
      <c r="H154" s="139" t="s">
        <v>449</v>
      </c>
      <c r="I154" s="139" t="s">
        <v>355</v>
      </c>
    </row>
    <row r="155" spans="1:9" hidden="1" x14ac:dyDescent="0.25">
      <c r="A155" s="139"/>
      <c r="B155" s="141">
        <v>2289516875</v>
      </c>
      <c r="C155" s="139" t="s">
        <v>450</v>
      </c>
      <c r="D155" s="141">
        <v>3283921595</v>
      </c>
      <c r="E155" s="139" t="s">
        <v>156</v>
      </c>
      <c r="F155" s="139" t="s">
        <v>157</v>
      </c>
      <c r="G155" s="139" t="s">
        <v>200</v>
      </c>
      <c r="H155" s="139" t="s">
        <v>232</v>
      </c>
      <c r="I155" s="139" t="s">
        <v>451</v>
      </c>
    </row>
    <row r="156" spans="1:9" hidden="1" x14ac:dyDescent="0.25">
      <c r="A156" s="139"/>
      <c r="B156" s="140">
        <v>69</v>
      </c>
      <c r="C156" s="139" t="s">
        <v>452</v>
      </c>
      <c r="D156" s="141">
        <v>3283102618</v>
      </c>
      <c r="E156" s="139" t="s">
        <v>156</v>
      </c>
      <c r="F156" s="139" t="s">
        <v>157</v>
      </c>
      <c r="G156" s="139" t="s">
        <v>158</v>
      </c>
      <c r="H156" s="139" t="s">
        <v>193</v>
      </c>
      <c r="I156" s="139" t="s">
        <v>214</v>
      </c>
    </row>
    <row r="157" spans="1:9" hidden="1" x14ac:dyDescent="0.25">
      <c r="A157" s="139"/>
      <c r="B157" s="140">
        <v>14</v>
      </c>
      <c r="C157" s="139" t="s">
        <v>453</v>
      </c>
      <c r="D157" s="141">
        <v>2822813708</v>
      </c>
      <c r="E157" s="139" t="s">
        <v>156</v>
      </c>
      <c r="F157" s="139" t="s">
        <v>157</v>
      </c>
      <c r="G157" s="139" t="s">
        <v>212</v>
      </c>
      <c r="H157" s="139" t="s">
        <v>429</v>
      </c>
      <c r="I157" s="139" t="s">
        <v>454</v>
      </c>
    </row>
    <row r="158" spans="1:9" hidden="1" x14ac:dyDescent="0.25">
      <c r="A158" s="139"/>
      <c r="B158" s="141">
        <v>2289516900</v>
      </c>
      <c r="C158" s="139" t="s">
        <v>455</v>
      </c>
      <c r="D158" s="141">
        <v>3138000212</v>
      </c>
      <c r="E158" s="139" t="s">
        <v>156</v>
      </c>
      <c r="F158" s="139" t="s">
        <v>157</v>
      </c>
      <c r="G158" s="139" t="s">
        <v>243</v>
      </c>
      <c r="H158" s="139" t="s">
        <v>206</v>
      </c>
      <c r="I158" s="139" t="s">
        <v>456</v>
      </c>
    </row>
    <row r="159" spans="1:9" hidden="1" x14ac:dyDescent="0.25">
      <c r="A159" s="139"/>
      <c r="B159" s="140">
        <v>236</v>
      </c>
      <c r="C159" s="139" t="s">
        <v>457</v>
      </c>
      <c r="D159" s="141">
        <v>3399209246</v>
      </c>
      <c r="E159" s="139" t="s">
        <v>156</v>
      </c>
      <c r="F159" s="139" t="s">
        <v>157</v>
      </c>
      <c r="G159" s="139" t="s">
        <v>161</v>
      </c>
      <c r="H159" s="139" t="s">
        <v>458</v>
      </c>
      <c r="I159" s="139" t="s">
        <v>459</v>
      </c>
    </row>
    <row r="160" spans="1:9" hidden="1" x14ac:dyDescent="0.25">
      <c r="A160" s="139"/>
      <c r="B160" s="140">
        <v>246</v>
      </c>
      <c r="C160" s="139" t="s">
        <v>460</v>
      </c>
      <c r="D160" s="141">
        <v>2866215672</v>
      </c>
      <c r="E160" s="139" t="s">
        <v>156</v>
      </c>
      <c r="F160" s="139" t="s">
        <v>157</v>
      </c>
      <c r="G160" s="139" t="s">
        <v>243</v>
      </c>
      <c r="H160" s="139" t="s">
        <v>350</v>
      </c>
      <c r="I160" s="139" t="s">
        <v>461</v>
      </c>
    </row>
    <row r="161" spans="1:9" hidden="1" x14ac:dyDescent="0.25">
      <c r="A161" s="139"/>
      <c r="B161" s="140">
        <v>218</v>
      </c>
      <c r="C161" s="139" t="s">
        <v>462</v>
      </c>
      <c r="D161" s="141">
        <v>2559518617</v>
      </c>
      <c r="E161" s="139" t="s">
        <v>156</v>
      </c>
      <c r="F161" s="139" t="s">
        <v>157</v>
      </c>
      <c r="G161" s="139" t="s">
        <v>200</v>
      </c>
      <c r="H161" s="139" t="s">
        <v>244</v>
      </c>
      <c r="I161" s="139" t="s">
        <v>463</v>
      </c>
    </row>
    <row r="162" spans="1:9" hidden="1" x14ac:dyDescent="0.25">
      <c r="A162" s="139"/>
      <c r="B162" s="139" t="s">
        <v>464</v>
      </c>
      <c r="C162" s="139" t="s">
        <v>465</v>
      </c>
      <c r="D162" s="141">
        <v>2559518617</v>
      </c>
      <c r="E162" s="139" t="s">
        <v>130</v>
      </c>
      <c r="F162" s="139"/>
      <c r="G162" s="139"/>
      <c r="H162" s="139"/>
      <c r="I162" s="139"/>
    </row>
    <row r="163" spans="1:9" hidden="1" x14ac:dyDescent="0.25">
      <c r="A163" s="139"/>
      <c r="B163" s="141">
        <v>2289516827</v>
      </c>
      <c r="C163" s="139" t="s">
        <v>466</v>
      </c>
      <c r="D163" s="141">
        <v>3771107310</v>
      </c>
      <c r="E163" s="139" t="s">
        <v>156</v>
      </c>
      <c r="F163" s="139" t="s">
        <v>157</v>
      </c>
      <c r="G163" s="139" t="s">
        <v>280</v>
      </c>
      <c r="H163" s="139" t="s">
        <v>232</v>
      </c>
      <c r="I163" s="139" t="s">
        <v>467</v>
      </c>
    </row>
    <row r="164" spans="1:9" hidden="1" x14ac:dyDescent="0.25">
      <c r="A164" s="139"/>
      <c r="B164" s="141">
        <v>2289516805</v>
      </c>
      <c r="C164" s="139" t="s">
        <v>468</v>
      </c>
      <c r="D164" s="141">
        <v>2218422874</v>
      </c>
      <c r="E164" s="139" t="s">
        <v>156</v>
      </c>
      <c r="F164" s="139" t="s">
        <v>157</v>
      </c>
      <c r="G164" s="139" t="s">
        <v>216</v>
      </c>
      <c r="H164" s="139" t="s">
        <v>232</v>
      </c>
      <c r="I164" s="139" t="s">
        <v>235</v>
      </c>
    </row>
    <row r="165" spans="1:9" hidden="1" x14ac:dyDescent="0.25">
      <c r="A165" s="139"/>
      <c r="B165" s="140">
        <v>56</v>
      </c>
      <c r="C165" s="139" t="s">
        <v>469</v>
      </c>
      <c r="D165" s="141">
        <v>2583617833</v>
      </c>
      <c r="E165" s="139" t="s">
        <v>156</v>
      </c>
      <c r="F165" s="139" t="s">
        <v>157</v>
      </c>
      <c r="G165" s="139" t="s">
        <v>161</v>
      </c>
      <c r="H165" s="139" t="s">
        <v>470</v>
      </c>
      <c r="I165" s="139" t="s">
        <v>471</v>
      </c>
    </row>
    <row r="166" spans="1:9" hidden="1" x14ac:dyDescent="0.25">
      <c r="A166" s="139"/>
      <c r="B166" s="141">
        <v>2289516843</v>
      </c>
      <c r="C166" s="139" t="s">
        <v>472</v>
      </c>
      <c r="D166" s="141">
        <v>3525016911</v>
      </c>
      <c r="E166" s="139" t="s">
        <v>156</v>
      </c>
      <c r="F166" s="139" t="s">
        <v>157</v>
      </c>
      <c r="G166" s="139" t="s">
        <v>216</v>
      </c>
      <c r="H166" s="139" t="s">
        <v>206</v>
      </c>
      <c r="I166" s="139" t="s">
        <v>473</v>
      </c>
    </row>
    <row r="167" spans="1:9" hidden="1" x14ac:dyDescent="0.25">
      <c r="A167" s="139"/>
      <c r="B167" s="140">
        <v>59</v>
      </c>
      <c r="C167" s="139" t="s">
        <v>474</v>
      </c>
      <c r="D167" s="141">
        <v>3230316597</v>
      </c>
      <c r="E167" s="139" t="s">
        <v>156</v>
      </c>
      <c r="F167" s="139" t="s">
        <v>157</v>
      </c>
      <c r="G167" s="139" t="s">
        <v>158</v>
      </c>
      <c r="H167" s="139" t="s">
        <v>193</v>
      </c>
      <c r="I167" s="139" t="s">
        <v>475</v>
      </c>
    </row>
    <row r="168" spans="1:9" hidden="1" x14ac:dyDescent="0.25">
      <c r="A168" s="139"/>
      <c r="B168" s="141">
        <v>2289516839</v>
      </c>
      <c r="C168" s="139" t="s">
        <v>476</v>
      </c>
      <c r="D168" s="141">
        <v>2710222868</v>
      </c>
      <c r="E168" s="139" t="s">
        <v>156</v>
      </c>
      <c r="F168" s="139" t="s">
        <v>157</v>
      </c>
      <c r="G168" s="139" t="s">
        <v>161</v>
      </c>
      <c r="H168" s="139" t="s">
        <v>285</v>
      </c>
      <c r="I168" s="139" t="s">
        <v>477</v>
      </c>
    </row>
    <row r="169" spans="1:9" hidden="1" x14ac:dyDescent="0.25">
      <c r="A169" s="139"/>
      <c r="B169" s="140">
        <v>61</v>
      </c>
      <c r="C169" s="139" t="s">
        <v>478</v>
      </c>
      <c r="D169" s="141">
        <v>2938511042</v>
      </c>
      <c r="E169" s="139" t="s">
        <v>156</v>
      </c>
      <c r="F169" s="139" t="s">
        <v>157</v>
      </c>
      <c r="G169" s="139" t="s">
        <v>161</v>
      </c>
      <c r="H169" s="139" t="s">
        <v>166</v>
      </c>
      <c r="I169" s="139" t="s">
        <v>479</v>
      </c>
    </row>
    <row r="170" spans="1:9" hidden="1" x14ac:dyDescent="0.25">
      <c r="A170" s="139"/>
      <c r="B170" s="139" t="s">
        <v>480</v>
      </c>
      <c r="C170" s="139" t="s">
        <v>481</v>
      </c>
      <c r="D170" s="141">
        <v>2983015610</v>
      </c>
      <c r="E170" s="139" t="s">
        <v>130</v>
      </c>
      <c r="F170" s="139"/>
      <c r="G170" s="139"/>
      <c r="H170" s="139"/>
      <c r="I170" s="139"/>
    </row>
    <row r="171" spans="1:9" hidden="1" x14ac:dyDescent="0.25">
      <c r="A171" s="139"/>
      <c r="B171" s="140">
        <v>9</v>
      </c>
      <c r="C171" s="139" t="s">
        <v>482</v>
      </c>
      <c r="D171" s="141">
        <v>2643414306</v>
      </c>
      <c r="E171" s="139" t="s">
        <v>156</v>
      </c>
      <c r="F171" s="139" t="s">
        <v>157</v>
      </c>
      <c r="G171" s="139" t="s">
        <v>212</v>
      </c>
      <c r="H171" s="139" t="s">
        <v>429</v>
      </c>
      <c r="I171" s="139" t="s">
        <v>483</v>
      </c>
    </row>
    <row r="172" spans="1:9" hidden="1" x14ac:dyDescent="0.25">
      <c r="A172" s="139"/>
      <c r="B172" s="141">
        <v>2289516887</v>
      </c>
      <c r="C172" s="139" t="s">
        <v>484</v>
      </c>
      <c r="D172" s="141">
        <v>3470212298</v>
      </c>
      <c r="E172" s="139" t="s">
        <v>156</v>
      </c>
      <c r="F172" s="139" t="s">
        <v>157</v>
      </c>
      <c r="G172" s="139" t="s">
        <v>243</v>
      </c>
      <c r="H172" s="139" t="s">
        <v>197</v>
      </c>
      <c r="I172" s="139" t="s">
        <v>485</v>
      </c>
    </row>
    <row r="173" spans="1:9" hidden="1" x14ac:dyDescent="0.25">
      <c r="A173" s="139"/>
      <c r="B173" s="140">
        <v>56</v>
      </c>
      <c r="C173" s="139" t="s">
        <v>486</v>
      </c>
      <c r="D173" s="141">
        <v>3067218612</v>
      </c>
      <c r="E173" s="139" t="s">
        <v>156</v>
      </c>
      <c r="F173" s="139" t="s">
        <v>157</v>
      </c>
      <c r="G173" s="139" t="s">
        <v>158</v>
      </c>
      <c r="H173" s="139" t="s">
        <v>193</v>
      </c>
      <c r="I173" s="139" t="s">
        <v>286</v>
      </c>
    </row>
    <row r="174" spans="1:9" hidden="1" x14ac:dyDescent="0.25">
      <c r="A174" s="139"/>
      <c r="B174" s="140">
        <v>58</v>
      </c>
      <c r="C174" s="139" t="s">
        <v>487</v>
      </c>
      <c r="D174" s="141">
        <v>3289716153</v>
      </c>
      <c r="E174" s="139" t="s">
        <v>156</v>
      </c>
      <c r="F174" s="139" t="s">
        <v>157</v>
      </c>
      <c r="G174" s="139" t="s">
        <v>158</v>
      </c>
      <c r="H174" s="139" t="s">
        <v>193</v>
      </c>
      <c r="I174" s="139" t="s">
        <v>488</v>
      </c>
    </row>
    <row r="175" spans="1:9" hidden="1" x14ac:dyDescent="0.25">
      <c r="A175" s="139"/>
      <c r="B175" s="140">
        <v>31</v>
      </c>
      <c r="C175" s="139" t="s">
        <v>489</v>
      </c>
      <c r="D175" s="141">
        <v>3185119514</v>
      </c>
      <c r="E175" s="139" t="s">
        <v>156</v>
      </c>
      <c r="F175" s="139" t="s">
        <v>157</v>
      </c>
      <c r="G175" s="139" t="s">
        <v>158</v>
      </c>
      <c r="H175" s="139" t="s">
        <v>193</v>
      </c>
      <c r="I175" s="139" t="s">
        <v>490</v>
      </c>
    </row>
    <row r="176" spans="1:9" hidden="1" x14ac:dyDescent="0.25">
      <c r="A176" s="139"/>
      <c r="B176" s="140">
        <v>14</v>
      </c>
      <c r="C176" s="139" t="s">
        <v>491</v>
      </c>
      <c r="D176" s="141">
        <v>2944519172</v>
      </c>
      <c r="E176" s="139" t="s">
        <v>156</v>
      </c>
      <c r="F176" s="139" t="s">
        <v>157</v>
      </c>
      <c r="G176" s="139" t="s">
        <v>161</v>
      </c>
      <c r="H176" s="139" t="s">
        <v>492</v>
      </c>
      <c r="I176" s="139" t="s">
        <v>493</v>
      </c>
    </row>
    <row r="177" spans="1:9" hidden="1" x14ac:dyDescent="0.25">
      <c r="A177" s="139"/>
      <c r="B177" s="140">
        <v>7</v>
      </c>
      <c r="C177" s="139" t="s">
        <v>494</v>
      </c>
      <c r="D177" s="141">
        <v>3008300898</v>
      </c>
      <c r="E177" s="139" t="s">
        <v>156</v>
      </c>
      <c r="F177" s="139" t="s">
        <v>157</v>
      </c>
      <c r="G177" s="139" t="s">
        <v>158</v>
      </c>
      <c r="H177" s="139" t="s">
        <v>159</v>
      </c>
      <c r="I177" s="139" t="s">
        <v>368</v>
      </c>
    </row>
    <row r="178" spans="1:9" hidden="1" x14ac:dyDescent="0.25">
      <c r="A178" s="139"/>
      <c r="B178" s="140">
        <v>26</v>
      </c>
      <c r="C178" s="139" t="s">
        <v>495</v>
      </c>
      <c r="D178" s="141">
        <v>3005702873</v>
      </c>
      <c r="E178" s="139" t="s">
        <v>156</v>
      </c>
      <c r="F178" s="139" t="s">
        <v>157</v>
      </c>
      <c r="G178" s="139" t="s">
        <v>158</v>
      </c>
      <c r="H178" s="139" t="s">
        <v>159</v>
      </c>
      <c r="I178" s="139" t="s">
        <v>160</v>
      </c>
    </row>
    <row r="179" spans="1:9" hidden="1" x14ac:dyDescent="0.25">
      <c r="A179" s="139"/>
      <c r="B179" s="141">
        <v>2289516818</v>
      </c>
      <c r="C179" s="139" t="s">
        <v>496</v>
      </c>
      <c r="D179" s="141">
        <v>3260020012</v>
      </c>
      <c r="E179" s="139" t="s">
        <v>156</v>
      </c>
      <c r="F179" s="139" t="s">
        <v>157</v>
      </c>
      <c r="G179" s="139" t="s">
        <v>280</v>
      </c>
      <c r="H179" s="139" t="s">
        <v>232</v>
      </c>
      <c r="I179" s="139" t="s">
        <v>233</v>
      </c>
    </row>
    <row r="180" spans="1:9" hidden="1" x14ac:dyDescent="0.25">
      <c r="A180" s="139"/>
      <c r="B180" s="140">
        <v>71</v>
      </c>
      <c r="C180" s="139" t="s">
        <v>497</v>
      </c>
      <c r="D180" s="141">
        <v>3331204136</v>
      </c>
      <c r="E180" s="139" t="s">
        <v>156</v>
      </c>
      <c r="F180" s="139" t="s">
        <v>157</v>
      </c>
      <c r="G180" s="139" t="s">
        <v>158</v>
      </c>
      <c r="H180" s="139" t="s">
        <v>193</v>
      </c>
      <c r="I180" s="139" t="s">
        <v>390</v>
      </c>
    </row>
    <row r="181" spans="1:9" hidden="1" x14ac:dyDescent="0.25">
      <c r="A181" s="139"/>
      <c r="B181" s="140">
        <v>6</v>
      </c>
      <c r="C181" s="139" t="s">
        <v>498</v>
      </c>
      <c r="D181" s="141">
        <v>3431610614</v>
      </c>
      <c r="E181" s="139" t="s">
        <v>156</v>
      </c>
      <c r="F181" s="139" t="s">
        <v>157</v>
      </c>
      <c r="G181" s="139" t="s">
        <v>212</v>
      </c>
      <c r="H181" s="139" t="s">
        <v>499</v>
      </c>
      <c r="I181" s="139" t="s">
        <v>500</v>
      </c>
    </row>
    <row r="182" spans="1:9" hidden="1" x14ac:dyDescent="0.25">
      <c r="A182" s="139"/>
      <c r="B182" s="141">
        <v>2289516869</v>
      </c>
      <c r="C182" s="139" t="s">
        <v>501</v>
      </c>
      <c r="D182" s="141">
        <v>2761812887</v>
      </c>
      <c r="E182" s="139" t="s">
        <v>156</v>
      </c>
      <c r="F182" s="139" t="s">
        <v>157</v>
      </c>
      <c r="G182" s="139" t="s">
        <v>161</v>
      </c>
      <c r="H182" s="139" t="s">
        <v>502</v>
      </c>
      <c r="I182" s="139" t="s">
        <v>503</v>
      </c>
    </row>
    <row r="183" spans="1:9" hidden="1" x14ac:dyDescent="0.25">
      <c r="A183" s="139"/>
      <c r="B183" s="140">
        <v>77</v>
      </c>
      <c r="C183" s="139" t="s">
        <v>504</v>
      </c>
      <c r="D183" s="141">
        <v>2992701716</v>
      </c>
      <c r="E183" s="139" t="s">
        <v>156</v>
      </c>
      <c r="F183" s="139" t="s">
        <v>157</v>
      </c>
      <c r="G183" s="139" t="s">
        <v>158</v>
      </c>
      <c r="H183" s="139" t="s">
        <v>159</v>
      </c>
      <c r="I183" s="139" t="s">
        <v>505</v>
      </c>
    </row>
    <row r="184" spans="1:9" hidden="1" x14ac:dyDescent="0.25">
      <c r="A184" s="139"/>
      <c r="B184" s="139" t="s">
        <v>506</v>
      </c>
      <c r="C184" s="139" t="s">
        <v>507</v>
      </c>
      <c r="D184" s="141">
        <v>3012319132</v>
      </c>
      <c r="E184" s="139" t="s">
        <v>130</v>
      </c>
      <c r="F184" s="139"/>
      <c r="G184" s="139"/>
      <c r="H184" s="139"/>
      <c r="I184" s="139"/>
    </row>
    <row r="185" spans="1:9" hidden="1" x14ac:dyDescent="0.25">
      <c r="A185" s="139"/>
      <c r="B185" s="141">
        <v>2289516851</v>
      </c>
      <c r="C185" s="139" t="s">
        <v>508</v>
      </c>
      <c r="D185" s="141">
        <v>2334806973</v>
      </c>
      <c r="E185" s="139" t="s">
        <v>156</v>
      </c>
      <c r="F185" s="139" t="s">
        <v>157</v>
      </c>
      <c r="G185" s="139" t="s">
        <v>383</v>
      </c>
      <c r="H185" s="139" t="s">
        <v>509</v>
      </c>
      <c r="I185" s="139" t="s">
        <v>413</v>
      </c>
    </row>
    <row r="186" spans="1:9" hidden="1" x14ac:dyDescent="0.25">
      <c r="A186" s="139"/>
      <c r="B186" s="140">
        <v>74</v>
      </c>
      <c r="C186" s="139" t="s">
        <v>510</v>
      </c>
      <c r="D186" s="141">
        <v>3488401491</v>
      </c>
      <c r="E186" s="139" t="s">
        <v>156</v>
      </c>
      <c r="F186" s="139" t="s">
        <v>157</v>
      </c>
      <c r="G186" s="139" t="s">
        <v>158</v>
      </c>
      <c r="H186" s="139" t="s">
        <v>159</v>
      </c>
      <c r="I186" s="139" t="s">
        <v>293</v>
      </c>
    </row>
    <row r="187" spans="1:9" hidden="1" x14ac:dyDescent="0.25">
      <c r="A187" s="139"/>
      <c r="B187" s="141">
        <v>2289516834</v>
      </c>
      <c r="C187" s="139" t="s">
        <v>511</v>
      </c>
      <c r="D187" s="141">
        <v>3053103794</v>
      </c>
      <c r="E187" s="139" t="s">
        <v>156</v>
      </c>
      <c r="F187" s="139" t="s">
        <v>157</v>
      </c>
      <c r="G187" s="139" t="s">
        <v>280</v>
      </c>
      <c r="H187" s="139" t="s">
        <v>187</v>
      </c>
      <c r="I187" s="139" t="s">
        <v>188</v>
      </c>
    </row>
    <row r="188" spans="1:9" hidden="1" x14ac:dyDescent="0.25">
      <c r="A188" s="139"/>
      <c r="B188" s="141">
        <v>2289516828</v>
      </c>
      <c r="C188" s="139" t="s">
        <v>512</v>
      </c>
      <c r="D188" s="141">
        <v>2497706673</v>
      </c>
      <c r="E188" s="139" t="s">
        <v>156</v>
      </c>
      <c r="F188" s="139" t="s">
        <v>157</v>
      </c>
      <c r="G188" s="139" t="s">
        <v>216</v>
      </c>
      <c r="H188" s="139" t="s">
        <v>197</v>
      </c>
      <c r="I188" s="139" t="s">
        <v>513</v>
      </c>
    </row>
    <row r="189" spans="1:9" hidden="1" x14ac:dyDescent="0.25">
      <c r="A189" s="139"/>
      <c r="B189" s="141">
        <v>2289516815</v>
      </c>
      <c r="C189" s="139" t="s">
        <v>514</v>
      </c>
      <c r="D189" s="141">
        <v>3412007639</v>
      </c>
      <c r="E189" s="139" t="s">
        <v>156</v>
      </c>
      <c r="F189" s="139" t="s">
        <v>157</v>
      </c>
      <c r="G189" s="139"/>
      <c r="H189" s="139"/>
      <c r="I189" s="139"/>
    </row>
    <row r="190" spans="1:9" hidden="1" x14ac:dyDescent="0.25">
      <c r="A190" s="139"/>
      <c r="B190" s="141">
        <v>2289516859</v>
      </c>
      <c r="C190" s="139" t="s">
        <v>515</v>
      </c>
      <c r="D190" s="141">
        <v>2423910335</v>
      </c>
      <c r="E190" s="139" t="s">
        <v>156</v>
      </c>
      <c r="F190" s="139" t="s">
        <v>157</v>
      </c>
      <c r="G190" s="139" t="s">
        <v>216</v>
      </c>
      <c r="H190" s="139" t="s">
        <v>197</v>
      </c>
      <c r="I190" s="139" t="s">
        <v>516</v>
      </c>
    </row>
    <row r="191" spans="1:9" hidden="1" x14ac:dyDescent="0.25">
      <c r="A191" s="139"/>
      <c r="B191" s="141">
        <v>2289516721</v>
      </c>
      <c r="C191" s="139" t="s">
        <v>517</v>
      </c>
      <c r="D191" s="141">
        <v>3279800477</v>
      </c>
      <c r="E191" s="139" t="s">
        <v>156</v>
      </c>
      <c r="F191" s="139" t="s">
        <v>157</v>
      </c>
      <c r="G191" s="139" t="s">
        <v>243</v>
      </c>
      <c r="H191" s="139" t="s">
        <v>193</v>
      </c>
      <c r="I191" s="139" t="s">
        <v>518</v>
      </c>
    </row>
    <row r="192" spans="1:9" hidden="1" x14ac:dyDescent="0.25">
      <c r="A192" s="139"/>
      <c r="B192" s="141">
        <v>2289516704</v>
      </c>
      <c r="C192" s="139" t="s">
        <v>519</v>
      </c>
      <c r="D192" s="141">
        <v>2466703972</v>
      </c>
      <c r="E192" s="139" t="s">
        <v>156</v>
      </c>
      <c r="F192" s="139" t="s">
        <v>178</v>
      </c>
      <c r="G192" s="139" t="s">
        <v>520</v>
      </c>
      <c r="H192" s="139" t="s">
        <v>244</v>
      </c>
      <c r="I192" s="139" t="s">
        <v>198</v>
      </c>
    </row>
    <row r="193" spans="1:9" hidden="1" x14ac:dyDescent="0.25">
      <c r="A193" s="139"/>
      <c r="B193" s="141">
        <v>2289516745</v>
      </c>
      <c r="C193" s="139" t="s">
        <v>521</v>
      </c>
      <c r="D193" s="141">
        <v>3306506991</v>
      </c>
      <c r="E193" s="139" t="s">
        <v>156</v>
      </c>
      <c r="F193" s="139" t="s">
        <v>157</v>
      </c>
      <c r="G193" s="139" t="s">
        <v>243</v>
      </c>
      <c r="H193" s="139" t="s">
        <v>244</v>
      </c>
      <c r="I193" s="139" t="s">
        <v>522</v>
      </c>
    </row>
    <row r="194" spans="1:9" hidden="1" x14ac:dyDescent="0.25">
      <c r="A194" s="139"/>
      <c r="B194" s="140">
        <v>67</v>
      </c>
      <c r="C194" s="139" t="s">
        <v>523</v>
      </c>
      <c r="D194" s="141">
        <v>2996119832</v>
      </c>
      <c r="E194" s="139" t="s">
        <v>156</v>
      </c>
      <c r="F194" s="139" t="s">
        <v>157</v>
      </c>
      <c r="G194" s="139" t="s">
        <v>158</v>
      </c>
      <c r="H194" s="139" t="s">
        <v>193</v>
      </c>
      <c r="I194" s="139" t="s">
        <v>435</v>
      </c>
    </row>
    <row r="195" spans="1:9" hidden="1" x14ac:dyDescent="0.25">
      <c r="A195" s="139"/>
      <c r="B195" s="140">
        <v>270</v>
      </c>
      <c r="C195" s="139" t="s">
        <v>524</v>
      </c>
      <c r="D195" s="141">
        <v>2737303034</v>
      </c>
      <c r="E195" s="139" t="s">
        <v>156</v>
      </c>
      <c r="F195" s="139" t="s">
        <v>157</v>
      </c>
      <c r="G195" s="139" t="s">
        <v>161</v>
      </c>
      <c r="H195" s="139" t="s">
        <v>323</v>
      </c>
      <c r="I195" s="139" t="s">
        <v>525</v>
      </c>
    </row>
    <row r="196" spans="1:9" hidden="1" x14ac:dyDescent="0.25">
      <c r="A196" s="139"/>
      <c r="B196" s="141">
        <v>2289516826</v>
      </c>
      <c r="C196" s="139" t="s">
        <v>526</v>
      </c>
      <c r="D196" s="141">
        <v>2892401090</v>
      </c>
      <c r="E196" s="139" t="s">
        <v>156</v>
      </c>
      <c r="F196" s="139" t="s">
        <v>157</v>
      </c>
      <c r="G196" s="139" t="s">
        <v>216</v>
      </c>
      <c r="H196" s="139" t="s">
        <v>206</v>
      </c>
      <c r="I196" s="139" t="s">
        <v>392</v>
      </c>
    </row>
    <row r="197" spans="1:9" hidden="1" x14ac:dyDescent="0.25">
      <c r="A197" s="139"/>
      <c r="B197" s="141">
        <v>2289516702</v>
      </c>
      <c r="C197" s="139" t="s">
        <v>527</v>
      </c>
      <c r="D197" s="141">
        <v>2280303036</v>
      </c>
      <c r="E197" s="139" t="s">
        <v>156</v>
      </c>
      <c r="F197" s="139" t="s">
        <v>157</v>
      </c>
      <c r="G197" s="139" t="s">
        <v>200</v>
      </c>
      <c r="H197" s="139" t="s">
        <v>295</v>
      </c>
      <c r="I197" s="139" t="s">
        <v>198</v>
      </c>
    </row>
    <row r="198" spans="1:9" hidden="1" x14ac:dyDescent="0.25">
      <c r="A198" s="139"/>
      <c r="B198" s="140">
        <v>12</v>
      </c>
      <c r="C198" s="139" t="s">
        <v>528</v>
      </c>
      <c r="D198" s="141">
        <v>3262417736</v>
      </c>
      <c r="E198" s="139" t="s">
        <v>156</v>
      </c>
      <c r="F198" s="139" t="s">
        <v>157</v>
      </c>
      <c r="G198" s="139" t="s">
        <v>158</v>
      </c>
      <c r="H198" s="139" t="s">
        <v>159</v>
      </c>
      <c r="I198" s="139" t="s">
        <v>529</v>
      </c>
    </row>
    <row r="199" spans="1:9" hidden="1" x14ac:dyDescent="0.25">
      <c r="A199" s="139"/>
      <c r="B199" s="140">
        <v>9</v>
      </c>
      <c r="C199" s="139" t="s">
        <v>530</v>
      </c>
      <c r="D199" s="141">
        <v>3219619831</v>
      </c>
      <c r="E199" s="139" t="s">
        <v>156</v>
      </c>
      <c r="F199" s="139" t="s">
        <v>157</v>
      </c>
      <c r="G199" s="139" t="s">
        <v>161</v>
      </c>
      <c r="H199" s="139" t="s">
        <v>492</v>
      </c>
      <c r="I199" s="139" t="s">
        <v>368</v>
      </c>
    </row>
    <row r="200" spans="1:9" hidden="1" x14ac:dyDescent="0.25">
      <c r="A200" s="139"/>
      <c r="B200" s="141">
        <v>2289516894</v>
      </c>
      <c r="C200" s="139" t="s">
        <v>531</v>
      </c>
      <c r="D200" s="141">
        <v>2330613175</v>
      </c>
      <c r="E200" s="139" t="s">
        <v>156</v>
      </c>
      <c r="F200" s="139" t="s">
        <v>178</v>
      </c>
      <c r="G200" s="139" t="s">
        <v>243</v>
      </c>
      <c r="H200" s="139" t="s">
        <v>348</v>
      </c>
      <c r="I200" s="139" t="s">
        <v>532</v>
      </c>
    </row>
    <row r="201" spans="1:9" hidden="1" x14ac:dyDescent="0.25">
      <c r="A201" s="139"/>
      <c r="B201" s="141">
        <v>2289516736</v>
      </c>
      <c r="C201" s="139" t="s">
        <v>533</v>
      </c>
      <c r="D201" s="141">
        <v>3012312619</v>
      </c>
      <c r="E201" s="139" t="s">
        <v>156</v>
      </c>
      <c r="F201" s="139" t="s">
        <v>157</v>
      </c>
      <c r="G201" s="139" t="s">
        <v>200</v>
      </c>
      <c r="H201" s="139" t="s">
        <v>206</v>
      </c>
      <c r="I201" s="139" t="s">
        <v>362</v>
      </c>
    </row>
    <row r="202" spans="1:9" hidden="1" x14ac:dyDescent="0.25">
      <c r="A202" s="139"/>
      <c r="B202" s="141">
        <v>2289516848</v>
      </c>
      <c r="C202" s="139" t="s">
        <v>534</v>
      </c>
      <c r="D202" s="139" t="s">
        <v>535</v>
      </c>
      <c r="E202" s="139" t="s">
        <v>156</v>
      </c>
      <c r="F202" s="139" t="s">
        <v>157</v>
      </c>
      <c r="G202" s="139" t="s">
        <v>161</v>
      </c>
      <c r="H202" s="139" t="s">
        <v>312</v>
      </c>
      <c r="I202" s="139" t="s">
        <v>536</v>
      </c>
    </row>
    <row r="203" spans="1:9" hidden="1" x14ac:dyDescent="0.25">
      <c r="A203" s="139"/>
      <c r="B203" s="141">
        <v>2289516727</v>
      </c>
      <c r="C203" s="139" t="s">
        <v>537</v>
      </c>
      <c r="D203" s="141">
        <v>3511802570</v>
      </c>
      <c r="E203" s="139" t="s">
        <v>156</v>
      </c>
      <c r="F203" s="139" t="s">
        <v>157</v>
      </c>
      <c r="G203" s="139" t="s">
        <v>254</v>
      </c>
      <c r="H203" s="139" t="s">
        <v>206</v>
      </c>
      <c r="I203" s="139" t="s">
        <v>538</v>
      </c>
    </row>
    <row r="204" spans="1:9" hidden="1" x14ac:dyDescent="0.25">
      <c r="A204" s="139"/>
      <c r="B204" s="140">
        <v>14</v>
      </c>
      <c r="C204" s="139" t="s">
        <v>539</v>
      </c>
      <c r="D204" s="141">
        <v>3088414251</v>
      </c>
      <c r="E204" s="139" t="s">
        <v>156</v>
      </c>
      <c r="F204" s="139" t="s">
        <v>157</v>
      </c>
      <c r="G204" s="139" t="s">
        <v>161</v>
      </c>
      <c r="H204" s="139" t="s">
        <v>502</v>
      </c>
      <c r="I204" s="139" t="s">
        <v>518</v>
      </c>
    </row>
    <row r="205" spans="1:9" hidden="1" x14ac:dyDescent="0.25">
      <c r="A205" s="139"/>
      <c r="B205" s="140">
        <v>20</v>
      </c>
      <c r="C205" s="139" t="s">
        <v>540</v>
      </c>
      <c r="D205" s="141">
        <v>2899410750</v>
      </c>
      <c r="E205" s="139" t="s">
        <v>156</v>
      </c>
      <c r="F205" s="139" t="s">
        <v>157</v>
      </c>
      <c r="G205" s="139" t="s">
        <v>161</v>
      </c>
      <c r="H205" s="139" t="s">
        <v>541</v>
      </c>
      <c r="I205" s="139" t="s">
        <v>542</v>
      </c>
    </row>
    <row r="206" spans="1:9" hidden="1" x14ac:dyDescent="0.25">
      <c r="A206" s="139"/>
      <c r="B206" s="141">
        <v>2289516772</v>
      </c>
      <c r="C206" s="139" t="s">
        <v>543</v>
      </c>
      <c r="D206" s="141">
        <v>3147001852</v>
      </c>
      <c r="E206" s="139" t="s">
        <v>156</v>
      </c>
      <c r="F206" s="139" t="s">
        <v>157</v>
      </c>
      <c r="G206" s="139" t="s">
        <v>161</v>
      </c>
      <c r="H206" s="139" t="s">
        <v>544</v>
      </c>
      <c r="I206" s="139" t="s">
        <v>545</v>
      </c>
    </row>
    <row r="207" spans="1:9" hidden="1" x14ac:dyDescent="0.25">
      <c r="A207" s="139"/>
      <c r="B207" s="141">
        <v>2289516835</v>
      </c>
      <c r="C207" s="139" t="s">
        <v>546</v>
      </c>
      <c r="D207" s="141">
        <v>3445011803</v>
      </c>
      <c r="E207" s="139" t="s">
        <v>156</v>
      </c>
      <c r="F207" s="139" t="s">
        <v>157</v>
      </c>
      <c r="G207" s="139" t="s">
        <v>161</v>
      </c>
      <c r="H207" s="139" t="s">
        <v>547</v>
      </c>
      <c r="I207" s="139" t="s">
        <v>548</v>
      </c>
    </row>
    <row r="208" spans="1:9" hidden="1" x14ac:dyDescent="0.25">
      <c r="A208" s="139"/>
      <c r="B208" s="140">
        <v>50</v>
      </c>
      <c r="C208" s="139" t="s">
        <v>107</v>
      </c>
      <c r="D208" s="141">
        <v>2934817349</v>
      </c>
      <c r="E208" s="139" t="s">
        <v>156</v>
      </c>
      <c r="F208" s="139" t="s">
        <v>157</v>
      </c>
      <c r="G208" s="139" t="s">
        <v>161</v>
      </c>
      <c r="H208" s="139" t="s">
        <v>285</v>
      </c>
      <c r="I208" s="139" t="s">
        <v>248</v>
      </c>
    </row>
    <row r="209" spans="1:9" hidden="1" x14ac:dyDescent="0.25">
      <c r="A209" s="139"/>
      <c r="B209" s="141">
        <v>2289516870</v>
      </c>
      <c r="C209" s="139" t="s">
        <v>549</v>
      </c>
      <c r="D209" s="141">
        <v>3117410479</v>
      </c>
      <c r="E209" s="139" t="s">
        <v>156</v>
      </c>
      <c r="F209" s="139" t="s">
        <v>178</v>
      </c>
      <c r="G209" s="139" t="s">
        <v>161</v>
      </c>
      <c r="H209" s="139" t="s">
        <v>323</v>
      </c>
      <c r="I209" s="139" t="s">
        <v>388</v>
      </c>
    </row>
    <row r="210" spans="1:9" hidden="1" x14ac:dyDescent="0.25">
      <c r="A210" s="139"/>
      <c r="B210" s="141">
        <v>2289516790</v>
      </c>
      <c r="C210" s="139" t="s">
        <v>550</v>
      </c>
      <c r="D210" s="141">
        <v>3585104756</v>
      </c>
      <c r="E210" s="139" t="s">
        <v>156</v>
      </c>
      <c r="F210" s="139" t="s">
        <v>157</v>
      </c>
      <c r="G210" s="139" t="s">
        <v>200</v>
      </c>
      <c r="H210" s="139" t="s">
        <v>232</v>
      </c>
      <c r="I210" s="139" t="s">
        <v>551</v>
      </c>
    </row>
    <row r="211" spans="1:9" hidden="1" x14ac:dyDescent="0.25">
      <c r="A211" s="139"/>
      <c r="B211" s="141">
        <v>2289516841</v>
      </c>
      <c r="C211" s="139" t="s">
        <v>552</v>
      </c>
      <c r="D211" s="141">
        <v>3185815676</v>
      </c>
      <c r="E211" s="139" t="s">
        <v>156</v>
      </c>
      <c r="F211" s="139" t="s">
        <v>157</v>
      </c>
      <c r="G211" s="139" t="s">
        <v>553</v>
      </c>
      <c r="H211" s="139" t="s">
        <v>232</v>
      </c>
      <c r="I211" s="139" t="s">
        <v>554</v>
      </c>
    </row>
    <row r="212" spans="1:9" hidden="1" x14ac:dyDescent="0.25">
      <c r="A212" s="139"/>
      <c r="B212" s="141">
        <v>2289516782</v>
      </c>
      <c r="C212" s="139" t="s">
        <v>555</v>
      </c>
      <c r="D212" s="141">
        <v>3032615479</v>
      </c>
      <c r="E212" s="139" t="s">
        <v>156</v>
      </c>
      <c r="F212" s="139" t="s">
        <v>157</v>
      </c>
      <c r="G212" s="139" t="s">
        <v>243</v>
      </c>
      <c r="H212" s="139" t="s">
        <v>244</v>
      </c>
      <c r="I212" s="139" t="s">
        <v>556</v>
      </c>
    </row>
    <row r="213" spans="1:9" hidden="1" x14ac:dyDescent="0.25">
      <c r="A213" s="139"/>
      <c r="B213" s="140">
        <v>51</v>
      </c>
      <c r="C213" s="139" t="s">
        <v>557</v>
      </c>
      <c r="D213" s="141">
        <v>2496503857</v>
      </c>
      <c r="E213" s="139" t="s">
        <v>156</v>
      </c>
      <c r="F213" s="139" t="s">
        <v>178</v>
      </c>
      <c r="G213" s="139" t="s">
        <v>282</v>
      </c>
      <c r="H213" s="139" t="s">
        <v>197</v>
      </c>
      <c r="I213" s="139" t="s">
        <v>283</v>
      </c>
    </row>
    <row r="214" spans="1:9" hidden="1" x14ac:dyDescent="0.25">
      <c r="A214" s="139"/>
      <c r="B214" s="140">
        <v>21</v>
      </c>
      <c r="C214" s="139" t="s">
        <v>558</v>
      </c>
      <c r="D214" s="141">
        <v>3721607198</v>
      </c>
      <c r="E214" s="139" t="s">
        <v>156</v>
      </c>
      <c r="F214" s="139" t="s">
        <v>157</v>
      </c>
      <c r="G214" s="139" t="s">
        <v>212</v>
      </c>
      <c r="H214" s="139" t="s">
        <v>559</v>
      </c>
      <c r="I214" s="139" t="s">
        <v>346</v>
      </c>
    </row>
    <row r="215" spans="1:9" hidden="1" x14ac:dyDescent="0.25">
      <c r="A215" s="139"/>
      <c r="B215" s="141">
        <v>2289516866</v>
      </c>
      <c r="C215" s="139" t="s">
        <v>560</v>
      </c>
      <c r="D215" s="141">
        <v>2437911836</v>
      </c>
      <c r="E215" s="139" t="s">
        <v>156</v>
      </c>
      <c r="F215" s="139" t="s">
        <v>178</v>
      </c>
      <c r="G215" s="139" t="s">
        <v>196</v>
      </c>
      <c r="H215" s="139" t="s">
        <v>360</v>
      </c>
      <c r="I215" s="139" t="s">
        <v>561</v>
      </c>
    </row>
    <row r="216" spans="1:9" hidden="1" x14ac:dyDescent="0.25">
      <c r="A216" s="139"/>
      <c r="B216" s="140">
        <v>63</v>
      </c>
      <c r="C216" s="139" t="s">
        <v>108</v>
      </c>
      <c r="D216" s="141">
        <v>3233009756</v>
      </c>
      <c r="E216" s="139" t="s">
        <v>156</v>
      </c>
      <c r="F216" s="139" t="s">
        <v>157</v>
      </c>
      <c r="G216" s="139" t="s">
        <v>158</v>
      </c>
      <c r="H216" s="139" t="s">
        <v>193</v>
      </c>
      <c r="I216" s="139" t="s">
        <v>562</v>
      </c>
    </row>
    <row r="217" spans="1:9" hidden="1" x14ac:dyDescent="0.25">
      <c r="A217" s="139"/>
      <c r="B217" s="140">
        <v>73</v>
      </c>
      <c r="C217" s="139" t="s">
        <v>109</v>
      </c>
      <c r="D217" s="141">
        <v>3153508799</v>
      </c>
      <c r="E217" s="139" t="s">
        <v>156</v>
      </c>
      <c r="F217" s="139" t="s">
        <v>157</v>
      </c>
      <c r="G217" s="139" t="s">
        <v>158</v>
      </c>
      <c r="H217" s="139" t="s">
        <v>159</v>
      </c>
      <c r="I217" s="139" t="s">
        <v>563</v>
      </c>
    </row>
    <row r="218" spans="1:9" hidden="1" x14ac:dyDescent="0.25">
      <c r="A218" s="139"/>
      <c r="B218" s="141">
        <v>2289516844</v>
      </c>
      <c r="C218" s="139" t="s">
        <v>564</v>
      </c>
      <c r="D218" s="141">
        <v>3503203776</v>
      </c>
      <c r="E218" s="139" t="s">
        <v>156</v>
      </c>
      <c r="F218" s="139" t="s">
        <v>157</v>
      </c>
      <c r="G218" s="139" t="s">
        <v>216</v>
      </c>
      <c r="H218" s="139" t="s">
        <v>206</v>
      </c>
      <c r="I218" s="139" t="s">
        <v>473</v>
      </c>
    </row>
    <row r="219" spans="1:9" hidden="1" x14ac:dyDescent="0.25">
      <c r="A219" s="139"/>
      <c r="B219" s="140">
        <v>275</v>
      </c>
      <c r="C219" s="139" t="s">
        <v>565</v>
      </c>
      <c r="D219" s="141">
        <v>3134414385</v>
      </c>
      <c r="E219" s="139" t="s">
        <v>156</v>
      </c>
      <c r="F219" s="139" t="s">
        <v>157</v>
      </c>
      <c r="G219" s="139" t="s">
        <v>161</v>
      </c>
      <c r="H219" s="139" t="s">
        <v>209</v>
      </c>
      <c r="I219" s="139" t="s">
        <v>566</v>
      </c>
    </row>
    <row r="220" spans="1:9" hidden="1" x14ac:dyDescent="0.25">
      <c r="A220" s="139"/>
      <c r="B220" s="140">
        <v>76</v>
      </c>
      <c r="C220" s="139" t="s">
        <v>110</v>
      </c>
      <c r="D220" s="141">
        <v>3428705315</v>
      </c>
      <c r="E220" s="139" t="s">
        <v>156</v>
      </c>
      <c r="F220" s="139" t="s">
        <v>157</v>
      </c>
      <c r="G220" s="139" t="s">
        <v>158</v>
      </c>
      <c r="H220" s="139" t="s">
        <v>159</v>
      </c>
      <c r="I220" s="139" t="s">
        <v>567</v>
      </c>
    </row>
    <row r="221" spans="1:9" hidden="1" x14ac:dyDescent="0.25">
      <c r="A221" s="139"/>
      <c r="B221" s="140">
        <v>10</v>
      </c>
      <c r="C221" s="139" t="s">
        <v>568</v>
      </c>
      <c r="D221" s="141">
        <v>3256517677</v>
      </c>
      <c r="E221" s="139" t="s">
        <v>156</v>
      </c>
      <c r="F221" s="139" t="s">
        <v>157</v>
      </c>
      <c r="G221" s="139" t="s">
        <v>212</v>
      </c>
      <c r="H221" s="139" t="s">
        <v>412</v>
      </c>
      <c r="I221" s="139" t="s">
        <v>355</v>
      </c>
    </row>
    <row r="222" spans="1:9" hidden="1" x14ac:dyDescent="0.25">
      <c r="A222" s="139"/>
      <c r="B222" s="140">
        <v>15</v>
      </c>
      <c r="C222" s="139" t="s">
        <v>569</v>
      </c>
      <c r="D222" s="141">
        <v>3189201728</v>
      </c>
      <c r="E222" s="139" t="s">
        <v>156</v>
      </c>
      <c r="F222" s="139" t="s">
        <v>157</v>
      </c>
      <c r="G222" s="139" t="s">
        <v>212</v>
      </c>
      <c r="H222" s="139" t="s">
        <v>429</v>
      </c>
      <c r="I222" s="139" t="s">
        <v>454</v>
      </c>
    </row>
    <row r="223" spans="1:9" hidden="1" x14ac:dyDescent="0.25">
      <c r="A223" s="139"/>
      <c r="B223" s="140">
        <v>222</v>
      </c>
      <c r="C223" s="139" t="s">
        <v>570</v>
      </c>
      <c r="D223" s="141">
        <v>2505004717</v>
      </c>
      <c r="E223" s="139" t="s">
        <v>156</v>
      </c>
      <c r="F223" s="139" t="s">
        <v>157</v>
      </c>
      <c r="G223" s="139" t="s">
        <v>254</v>
      </c>
      <c r="H223" s="139" t="s">
        <v>221</v>
      </c>
      <c r="I223" s="139" t="s">
        <v>571</v>
      </c>
    </row>
    <row r="224" spans="1:9" hidden="1" x14ac:dyDescent="0.25">
      <c r="A224" s="139"/>
      <c r="B224" s="141">
        <v>2289516806</v>
      </c>
      <c r="C224" s="139" t="s">
        <v>572</v>
      </c>
      <c r="D224" s="141">
        <v>2637122794</v>
      </c>
      <c r="E224" s="139" t="s">
        <v>156</v>
      </c>
      <c r="F224" s="139" t="s">
        <v>157</v>
      </c>
      <c r="G224" s="139" t="s">
        <v>216</v>
      </c>
      <c r="H224" s="139" t="s">
        <v>232</v>
      </c>
      <c r="I224" s="139" t="s">
        <v>235</v>
      </c>
    </row>
    <row r="225" spans="1:9" hidden="1" x14ac:dyDescent="0.25">
      <c r="A225" s="139"/>
      <c r="B225" s="141">
        <v>2289516775</v>
      </c>
      <c r="C225" s="139" t="s">
        <v>573</v>
      </c>
      <c r="D225" s="141">
        <v>3113516269</v>
      </c>
      <c r="E225" s="139" t="s">
        <v>156</v>
      </c>
      <c r="F225" s="139" t="s">
        <v>157</v>
      </c>
      <c r="G225" s="139" t="s">
        <v>161</v>
      </c>
      <c r="H225" s="139" t="s">
        <v>574</v>
      </c>
      <c r="I225" s="139" t="s">
        <v>575</v>
      </c>
    </row>
    <row r="226" spans="1:9" hidden="1" x14ac:dyDescent="0.25">
      <c r="A226" s="139"/>
      <c r="B226" s="139" t="s">
        <v>576</v>
      </c>
      <c r="C226" s="139" t="s">
        <v>577</v>
      </c>
      <c r="D226" s="141">
        <v>2358615949</v>
      </c>
      <c r="E226" s="139" t="s">
        <v>130</v>
      </c>
      <c r="F226" s="139"/>
      <c r="G226" s="139"/>
      <c r="H226" s="139"/>
      <c r="I226" s="139"/>
    </row>
    <row r="227" spans="1:9" hidden="1" x14ac:dyDescent="0.25">
      <c r="A227" s="139"/>
      <c r="B227" s="141">
        <v>2289516786</v>
      </c>
      <c r="C227" s="139" t="s">
        <v>578</v>
      </c>
      <c r="D227" s="141">
        <v>3243620671</v>
      </c>
      <c r="E227" s="139" t="s">
        <v>156</v>
      </c>
      <c r="F227" s="139" t="s">
        <v>157</v>
      </c>
      <c r="G227" s="139" t="s">
        <v>186</v>
      </c>
      <c r="H227" s="139" t="s">
        <v>244</v>
      </c>
      <c r="I227" s="139" t="s">
        <v>579</v>
      </c>
    </row>
    <row r="228" spans="1:9" hidden="1" x14ac:dyDescent="0.25">
      <c r="A228" s="139"/>
      <c r="B228" s="141">
        <v>2289516700</v>
      </c>
      <c r="C228" s="139" t="s">
        <v>580</v>
      </c>
      <c r="D228" s="141">
        <v>2546110595</v>
      </c>
      <c r="E228" s="139" t="s">
        <v>156</v>
      </c>
      <c r="F228" s="139" t="s">
        <v>157</v>
      </c>
      <c r="G228" s="139" t="s">
        <v>216</v>
      </c>
      <c r="H228" s="139" t="s">
        <v>581</v>
      </c>
      <c r="I228" s="139" t="s">
        <v>198</v>
      </c>
    </row>
    <row r="229" spans="1:9" hidden="1" x14ac:dyDescent="0.25">
      <c r="A229" s="139"/>
      <c r="B229" s="139" t="s">
        <v>582</v>
      </c>
      <c r="C229" s="139" t="s">
        <v>583</v>
      </c>
      <c r="D229" s="141">
        <v>2546110595</v>
      </c>
      <c r="E229" s="139" t="s">
        <v>130</v>
      </c>
      <c r="F229" s="139"/>
      <c r="G229" s="139"/>
      <c r="H229" s="139"/>
      <c r="I229" s="139"/>
    </row>
    <row r="230" spans="1:9" hidden="1" x14ac:dyDescent="0.25">
      <c r="A230" s="139"/>
      <c r="B230" s="141">
        <v>2289516698</v>
      </c>
      <c r="C230" s="139" t="s">
        <v>584</v>
      </c>
      <c r="D230" s="141">
        <v>3245617255</v>
      </c>
      <c r="E230" s="139" t="s">
        <v>156</v>
      </c>
      <c r="F230" s="139" t="s">
        <v>157</v>
      </c>
      <c r="G230" s="139" t="s">
        <v>200</v>
      </c>
      <c r="H230" s="139" t="s">
        <v>232</v>
      </c>
      <c r="I230" s="139" t="s">
        <v>273</v>
      </c>
    </row>
    <row r="231" spans="1:9" hidden="1" x14ac:dyDescent="0.25">
      <c r="A231" s="139"/>
      <c r="B231" s="140">
        <v>32</v>
      </c>
      <c r="C231" s="139" t="s">
        <v>585</v>
      </c>
      <c r="D231" s="141">
        <v>2796314998</v>
      </c>
      <c r="E231" s="139" t="s">
        <v>156</v>
      </c>
      <c r="F231" s="139" t="s">
        <v>157</v>
      </c>
      <c r="G231" s="139" t="s">
        <v>200</v>
      </c>
      <c r="H231" s="139" t="s">
        <v>295</v>
      </c>
      <c r="I231" s="139" t="s">
        <v>586</v>
      </c>
    </row>
    <row r="232" spans="1:9" hidden="1" x14ac:dyDescent="0.25">
      <c r="A232" s="139"/>
      <c r="B232" s="141">
        <v>2289516730</v>
      </c>
      <c r="C232" s="139" t="s">
        <v>587</v>
      </c>
      <c r="D232" s="141">
        <v>3406013131</v>
      </c>
      <c r="E232" s="139" t="s">
        <v>156</v>
      </c>
      <c r="F232" s="139" t="s">
        <v>157</v>
      </c>
      <c r="G232" s="139" t="s">
        <v>200</v>
      </c>
      <c r="H232" s="139" t="s">
        <v>232</v>
      </c>
      <c r="I232" s="139" t="s">
        <v>588</v>
      </c>
    </row>
    <row r="233" spans="1:9" hidden="1" x14ac:dyDescent="0.25">
      <c r="A233" s="139"/>
      <c r="B233" s="140">
        <v>55</v>
      </c>
      <c r="C233" s="139" t="s">
        <v>111</v>
      </c>
      <c r="D233" s="141">
        <v>2935421830</v>
      </c>
      <c r="E233" s="139" t="s">
        <v>156</v>
      </c>
      <c r="F233" s="139" t="s">
        <v>157</v>
      </c>
      <c r="G233" s="139" t="s">
        <v>161</v>
      </c>
      <c r="H233" s="139" t="s">
        <v>224</v>
      </c>
      <c r="I233" s="139" t="s">
        <v>589</v>
      </c>
    </row>
    <row r="234" spans="1:9" hidden="1" x14ac:dyDescent="0.25">
      <c r="A234" s="139"/>
      <c r="B234" s="140">
        <v>64</v>
      </c>
      <c r="C234" s="139" t="s">
        <v>112</v>
      </c>
      <c r="D234" s="141">
        <v>2858519154</v>
      </c>
      <c r="E234" s="139" t="s">
        <v>156</v>
      </c>
      <c r="F234" s="139" t="s">
        <v>157</v>
      </c>
      <c r="G234" s="139" t="s">
        <v>161</v>
      </c>
      <c r="H234" s="139" t="s">
        <v>590</v>
      </c>
      <c r="I234" s="139" t="s">
        <v>591</v>
      </c>
    </row>
    <row r="235" spans="1:9" hidden="1" x14ac:dyDescent="0.25">
      <c r="A235" s="139"/>
      <c r="B235" s="141">
        <v>2289516831</v>
      </c>
      <c r="C235" s="139" t="s">
        <v>592</v>
      </c>
      <c r="D235" s="141">
        <v>2222811999</v>
      </c>
      <c r="E235" s="139" t="s">
        <v>156</v>
      </c>
      <c r="F235" s="139" t="s">
        <v>157</v>
      </c>
      <c r="G235" s="139" t="s">
        <v>216</v>
      </c>
      <c r="H235" s="139" t="s">
        <v>197</v>
      </c>
      <c r="I235" s="139" t="s">
        <v>593</v>
      </c>
    </row>
    <row r="236" spans="1:9" hidden="1" x14ac:dyDescent="0.25">
      <c r="A236" s="139"/>
      <c r="B236" s="141">
        <v>2289516739</v>
      </c>
      <c r="C236" s="139" t="s">
        <v>594</v>
      </c>
      <c r="D236" s="141">
        <v>3194113635</v>
      </c>
      <c r="E236" s="139" t="s">
        <v>156</v>
      </c>
      <c r="F236" s="139" t="s">
        <v>157</v>
      </c>
      <c r="G236" s="139" t="s">
        <v>272</v>
      </c>
      <c r="H236" s="139" t="s">
        <v>350</v>
      </c>
      <c r="I236" s="139" t="s">
        <v>595</v>
      </c>
    </row>
    <row r="237" spans="1:9" hidden="1" x14ac:dyDescent="0.25">
      <c r="A237" s="139"/>
      <c r="B237" s="141">
        <v>2289516862</v>
      </c>
      <c r="C237" s="139" t="s">
        <v>596</v>
      </c>
      <c r="D237" s="141">
        <v>2326214630</v>
      </c>
      <c r="E237" s="139" t="s">
        <v>156</v>
      </c>
      <c r="F237" s="139" t="s">
        <v>157</v>
      </c>
      <c r="G237" s="139" t="s">
        <v>383</v>
      </c>
      <c r="H237" s="139" t="s">
        <v>221</v>
      </c>
      <c r="I237" s="139" t="s">
        <v>488</v>
      </c>
    </row>
    <row r="238" spans="1:9" hidden="1" x14ac:dyDescent="0.25">
      <c r="A238" s="139"/>
      <c r="B238" s="141">
        <v>2289516881</v>
      </c>
      <c r="C238" s="139" t="s">
        <v>597</v>
      </c>
      <c r="D238" s="141">
        <v>2913111811</v>
      </c>
      <c r="E238" s="139" t="s">
        <v>156</v>
      </c>
      <c r="F238" s="139" t="s">
        <v>157</v>
      </c>
      <c r="G238" s="139" t="s">
        <v>161</v>
      </c>
      <c r="H238" s="139" t="s">
        <v>598</v>
      </c>
      <c r="I238" s="139" t="s">
        <v>599</v>
      </c>
    </row>
    <row r="239" spans="1:9" hidden="1" x14ac:dyDescent="0.25">
      <c r="A239" s="139"/>
      <c r="B239" s="140">
        <v>18</v>
      </c>
      <c r="C239" s="139" t="s">
        <v>597</v>
      </c>
      <c r="D239" s="141">
        <v>2913111811</v>
      </c>
      <c r="E239" s="139" t="s">
        <v>156</v>
      </c>
      <c r="F239" s="139" t="s">
        <v>178</v>
      </c>
      <c r="G239" s="139" t="s">
        <v>161</v>
      </c>
      <c r="H239" s="139" t="s">
        <v>502</v>
      </c>
      <c r="I239" s="139" t="s">
        <v>182</v>
      </c>
    </row>
    <row r="240" spans="1:9" hidden="1" x14ac:dyDescent="0.25">
      <c r="A240" s="139"/>
      <c r="B240" s="140">
        <v>52</v>
      </c>
      <c r="C240" s="139" t="s">
        <v>600</v>
      </c>
      <c r="D240" s="141">
        <v>3043701165</v>
      </c>
      <c r="E240" s="139" t="s">
        <v>156</v>
      </c>
      <c r="F240" s="139" t="s">
        <v>157</v>
      </c>
      <c r="G240" s="139" t="s">
        <v>161</v>
      </c>
      <c r="H240" s="139" t="s">
        <v>285</v>
      </c>
      <c r="I240" s="139" t="s">
        <v>601</v>
      </c>
    </row>
    <row r="241" spans="1:9" hidden="1" x14ac:dyDescent="0.25">
      <c r="A241" s="139"/>
      <c r="B241" s="141">
        <v>2289516768</v>
      </c>
      <c r="C241" s="139" t="s">
        <v>602</v>
      </c>
      <c r="D241" s="141">
        <v>3464910279</v>
      </c>
      <c r="E241" s="139" t="s">
        <v>156</v>
      </c>
      <c r="F241" s="139" t="s">
        <v>157</v>
      </c>
      <c r="G241" s="139" t="s">
        <v>254</v>
      </c>
      <c r="H241" s="139" t="s">
        <v>193</v>
      </c>
      <c r="I241" s="139" t="s">
        <v>603</v>
      </c>
    </row>
    <row r="242" spans="1:9" hidden="1" x14ac:dyDescent="0.25">
      <c r="A242" s="139"/>
      <c r="B242" s="140">
        <v>12</v>
      </c>
      <c r="C242" s="139" t="s">
        <v>604</v>
      </c>
      <c r="D242" s="141">
        <v>2682404875</v>
      </c>
      <c r="E242" s="139" t="s">
        <v>156</v>
      </c>
      <c r="F242" s="139" t="s">
        <v>157</v>
      </c>
      <c r="G242" s="139" t="s">
        <v>161</v>
      </c>
      <c r="H242" s="139" t="s">
        <v>197</v>
      </c>
      <c r="I242" s="139" t="s">
        <v>179</v>
      </c>
    </row>
    <row r="243" spans="1:9" hidden="1" x14ac:dyDescent="0.25">
      <c r="A243" s="139"/>
      <c r="B243" s="141">
        <v>2289516800</v>
      </c>
      <c r="C243" s="139" t="s">
        <v>605</v>
      </c>
      <c r="D243" s="141">
        <v>2682404875</v>
      </c>
      <c r="E243" s="139" t="s">
        <v>156</v>
      </c>
      <c r="F243" s="139" t="s">
        <v>178</v>
      </c>
      <c r="G243" s="139" t="s">
        <v>161</v>
      </c>
      <c r="H243" s="139" t="s">
        <v>197</v>
      </c>
      <c r="I243" s="139" t="s">
        <v>179</v>
      </c>
    </row>
    <row r="244" spans="1:9" hidden="1" x14ac:dyDescent="0.25">
      <c r="A244" s="139"/>
      <c r="B244" s="140">
        <v>20</v>
      </c>
      <c r="C244" s="139" t="s">
        <v>606</v>
      </c>
      <c r="D244" s="141">
        <v>2682404875</v>
      </c>
      <c r="E244" s="139" t="s">
        <v>156</v>
      </c>
      <c r="F244" s="139" t="s">
        <v>178</v>
      </c>
      <c r="G244" s="139" t="s">
        <v>161</v>
      </c>
      <c r="H244" s="139" t="s">
        <v>260</v>
      </c>
      <c r="I244" s="139" t="s">
        <v>214</v>
      </c>
    </row>
    <row r="245" spans="1:9" hidden="1" x14ac:dyDescent="0.25">
      <c r="A245" s="139"/>
      <c r="B245" s="141">
        <v>2289516783</v>
      </c>
      <c r="C245" s="139" t="s">
        <v>607</v>
      </c>
      <c r="D245" s="141">
        <v>2650516427</v>
      </c>
      <c r="E245" s="139" t="s">
        <v>156</v>
      </c>
      <c r="F245" s="139" t="s">
        <v>157</v>
      </c>
      <c r="G245" s="139" t="s">
        <v>161</v>
      </c>
      <c r="H245" s="139" t="s">
        <v>285</v>
      </c>
      <c r="I245" s="139" t="s">
        <v>608</v>
      </c>
    </row>
    <row r="246" spans="1:9" hidden="1" x14ac:dyDescent="0.25">
      <c r="A246" s="139"/>
      <c r="B246" s="141">
        <v>2289516840</v>
      </c>
      <c r="C246" s="139" t="s">
        <v>609</v>
      </c>
      <c r="D246" s="141">
        <v>2773301332</v>
      </c>
      <c r="E246" s="139" t="s">
        <v>156</v>
      </c>
      <c r="F246" s="139" t="s">
        <v>157</v>
      </c>
      <c r="G246" s="139" t="s">
        <v>161</v>
      </c>
      <c r="H246" s="139" t="s">
        <v>350</v>
      </c>
      <c r="I246" s="139" t="s">
        <v>589</v>
      </c>
    </row>
    <row r="247" spans="1:9" hidden="1" x14ac:dyDescent="0.25">
      <c r="A247" s="139"/>
      <c r="B247" s="139" t="s">
        <v>610</v>
      </c>
      <c r="C247" s="139" t="s">
        <v>611</v>
      </c>
      <c r="D247" s="141">
        <v>2773301332</v>
      </c>
      <c r="E247" s="139" t="s">
        <v>130</v>
      </c>
      <c r="F247" s="139"/>
      <c r="G247" s="139"/>
      <c r="H247" s="139"/>
      <c r="I247" s="139"/>
    </row>
    <row r="248" spans="1:9" hidden="1" x14ac:dyDescent="0.25">
      <c r="A248" s="139"/>
      <c r="B248" s="140">
        <v>60</v>
      </c>
      <c r="C248" s="139" t="s">
        <v>45</v>
      </c>
      <c r="D248" s="141">
        <v>2537500655</v>
      </c>
      <c r="E248" s="139" t="s">
        <v>156</v>
      </c>
      <c r="F248" s="139" t="s">
        <v>157</v>
      </c>
      <c r="G248" s="139" t="s">
        <v>158</v>
      </c>
      <c r="H248" s="139" t="s">
        <v>612</v>
      </c>
      <c r="I248" s="139" t="s">
        <v>613</v>
      </c>
    </row>
    <row r="249" spans="1:9" hidden="1" x14ac:dyDescent="0.25">
      <c r="A249" s="139"/>
      <c r="B249" s="141">
        <v>2289516712</v>
      </c>
      <c r="C249" s="139" t="s">
        <v>614</v>
      </c>
      <c r="D249" s="141">
        <v>2563423013</v>
      </c>
      <c r="E249" s="139" t="s">
        <v>156</v>
      </c>
      <c r="F249" s="139" t="s">
        <v>157</v>
      </c>
      <c r="G249" s="139" t="s">
        <v>254</v>
      </c>
      <c r="H249" s="139" t="s">
        <v>197</v>
      </c>
      <c r="I249" s="139" t="s">
        <v>615</v>
      </c>
    </row>
    <row r="250" spans="1:9" hidden="1" x14ac:dyDescent="0.25">
      <c r="A250" s="139"/>
      <c r="B250" s="141">
        <v>2289516719</v>
      </c>
      <c r="C250" s="139" t="s">
        <v>616</v>
      </c>
      <c r="D250" s="141">
        <v>3330011315</v>
      </c>
      <c r="E250" s="139" t="s">
        <v>156</v>
      </c>
      <c r="F250" s="139" t="s">
        <v>157</v>
      </c>
      <c r="G250" s="139" t="s">
        <v>200</v>
      </c>
      <c r="H250" s="139" t="s">
        <v>232</v>
      </c>
      <c r="I250" s="139" t="s">
        <v>255</v>
      </c>
    </row>
  </sheetData>
  <autoFilter ref="A1:I250" xr:uid="{00000000-0009-0000-0000-000000000000}">
    <filterColumn colId="2">
      <filters>
        <filter val="Костенко Костянтин Юрійович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B2:K46"/>
  <sheetViews>
    <sheetView workbookViewId="0">
      <selection activeCell="C2" sqref="C2"/>
    </sheetView>
  </sheetViews>
  <sheetFormatPr defaultRowHeight="15" x14ac:dyDescent="0.25"/>
  <cols>
    <col min="3" max="3" width="27.5703125" bestFit="1" customWidth="1"/>
    <col min="6" max="6" width="7.85546875" bestFit="1" customWidth="1"/>
    <col min="9" max="9" width="34.5703125" bestFit="1" customWidth="1"/>
    <col min="10" max="10" width="9" bestFit="1" customWidth="1"/>
    <col min="11" max="11" width="11" bestFit="1" customWidth="1"/>
  </cols>
  <sheetData>
    <row r="2" spans="2:11" x14ac:dyDescent="0.25">
      <c r="B2" s="126" t="s">
        <v>1</v>
      </c>
      <c r="C2" s="126" t="s">
        <v>100</v>
      </c>
      <c r="D2" s="126" t="s">
        <v>101</v>
      </c>
      <c r="E2" s="126" t="s">
        <v>102</v>
      </c>
      <c r="F2" s="127" t="s">
        <v>103</v>
      </c>
      <c r="G2" s="127" t="s">
        <v>104</v>
      </c>
      <c r="J2" t="s">
        <v>118</v>
      </c>
    </row>
    <row r="3" spans="2:11" x14ac:dyDescent="0.25">
      <c r="B3" s="128">
        <v>1</v>
      </c>
      <c r="C3" s="129" t="s">
        <v>105</v>
      </c>
      <c r="D3" s="129" t="s">
        <v>106</v>
      </c>
      <c r="E3" s="130">
        <v>661</v>
      </c>
      <c r="F3" s="131">
        <v>4326</v>
      </c>
      <c r="G3" s="132"/>
      <c r="H3" t="e">
        <f>MATCH(I3,#REF!,0)</f>
        <v>#REF!</v>
      </c>
      <c r="I3" t="str">
        <f t="shared" ref="I3:I44" si="0">TRIM(C3)</f>
        <v>Аксенчіков Сергій Олександрович</v>
      </c>
      <c r="J3">
        <v>1</v>
      </c>
    </row>
    <row r="4" spans="2:11" x14ac:dyDescent="0.25">
      <c r="B4" s="128">
        <v>2</v>
      </c>
      <c r="C4" s="129" t="s">
        <v>189</v>
      </c>
      <c r="D4" s="129" t="s">
        <v>106</v>
      </c>
      <c r="E4" s="130">
        <v>661</v>
      </c>
      <c r="F4" s="131">
        <v>3990</v>
      </c>
      <c r="G4" s="132"/>
      <c r="H4" t="e">
        <f>MATCH(I4,#REF!,0)</f>
        <v>#REF!</v>
      </c>
      <c r="I4" t="str">
        <f t="shared" si="0"/>
        <v>Бабіленко Микола Олександрович</v>
      </c>
      <c r="K4">
        <f>INDEX(Лист2!D:D,MATCH(C4,Лист2!C:C,0))</f>
        <v>2564424513</v>
      </c>
    </row>
    <row r="5" spans="2:11" x14ac:dyDescent="0.25">
      <c r="B5" s="128">
        <v>3</v>
      </c>
      <c r="C5" s="129" t="s">
        <v>192</v>
      </c>
      <c r="D5" s="129" t="s">
        <v>106</v>
      </c>
      <c r="E5" s="130">
        <v>661</v>
      </c>
      <c r="F5" s="131">
        <v>3990</v>
      </c>
      <c r="G5" s="132"/>
      <c r="H5" t="e">
        <f>MATCH(I5,#REF!,0)</f>
        <v>#REF!</v>
      </c>
      <c r="I5" t="str">
        <f t="shared" si="0"/>
        <v>Багацький Вадим Геннадійович</v>
      </c>
      <c r="K5">
        <f>INDEX(Лист2!D:D,MATCH(C5,Лист2!C:C,0))</f>
        <v>3247506159</v>
      </c>
    </row>
    <row r="6" spans="2:11" x14ac:dyDescent="0.25">
      <c r="B6" s="128">
        <v>4</v>
      </c>
      <c r="C6" s="129" t="s">
        <v>114</v>
      </c>
      <c r="D6" s="129" t="s">
        <v>106</v>
      </c>
      <c r="E6" s="130">
        <v>661</v>
      </c>
      <c r="F6" s="131">
        <v>5417.99</v>
      </c>
      <c r="G6" s="132"/>
      <c r="H6" t="e">
        <f>MATCH(I6,#REF!,0)</f>
        <v>#REF!</v>
      </c>
      <c r="I6" t="str">
        <f t="shared" si="0"/>
        <v>Бреус Віталій Григорович</v>
      </c>
      <c r="J6">
        <v>1</v>
      </c>
    </row>
    <row r="7" spans="2:11" x14ac:dyDescent="0.25">
      <c r="B7" s="128">
        <v>5</v>
      </c>
      <c r="C7" s="129" t="s">
        <v>115</v>
      </c>
      <c r="D7" s="129" t="s">
        <v>106</v>
      </c>
      <c r="E7" s="130">
        <v>661</v>
      </c>
      <c r="F7" s="131">
        <v>4326</v>
      </c>
      <c r="G7" s="132"/>
      <c r="H7" t="e">
        <f>MATCH(I7,#REF!,0)</f>
        <v>#REF!</v>
      </c>
      <c r="I7" t="str">
        <f t="shared" si="0"/>
        <v>Бутенко Матвій Анатолійович</v>
      </c>
      <c r="J7">
        <v>1</v>
      </c>
    </row>
    <row r="8" spans="2:11" x14ac:dyDescent="0.25">
      <c r="B8" s="128">
        <v>6</v>
      </c>
      <c r="C8" s="129" t="s">
        <v>246</v>
      </c>
      <c r="D8" s="129" t="s">
        <v>106</v>
      </c>
      <c r="E8" s="130">
        <v>661</v>
      </c>
      <c r="F8" s="131">
        <v>3990</v>
      </c>
      <c r="G8" s="132"/>
      <c r="H8" t="e">
        <f>MATCH(I8,#REF!,0)</f>
        <v>#REF!</v>
      </c>
      <c r="I8" t="str">
        <f t="shared" si="0"/>
        <v>Васильєв Віталій Юрійович</v>
      </c>
      <c r="K8">
        <f>INDEX(Лист2!D:D,MATCH(C8,Лист2!C:C,0))</f>
        <v>3746304158</v>
      </c>
    </row>
    <row r="9" spans="2:11" x14ac:dyDescent="0.25">
      <c r="B9" s="128">
        <v>7</v>
      </c>
      <c r="C9" s="129" t="s">
        <v>256</v>
      </c>
      <c r="D9" s="129" t="s">
        <v>106</v>
      </c>
      <c r="E9" s="130">
        <v>661</v>
      </c>
      <c r="F9" s="131">
        <v>3990</v>
      </c>
      <c r="G9" s="132"/>
      <c r="H9" t="e">
        <f>MATCH(I9,#REF!,0)</f>
        <v>#REF!</v>
      </c>
      <c r="I9" t="str">
        <f t="shared" si="0"/>
        <v>Власенко В'ячеслав Валентинович</v>
      </c>
      <c r="K9">
        <f>INDEX(Лист2!D:D,MATCH(C9,Лист2!C:C,0))</f>
        <v>2831710277</v>
      </c>
    </row>
    <row r="10" spans="2:11" x14ac:dyDescent="0.25">
      <c r="B10" s="128">
        <v>8</v>
      </c>
      <c r="C10" s="129" t="s">
        <v>292</v>
      </c>
      <c r="D10" s="129" t="s">
        <v>106</v>
      </c>
      <c r="E10" s="130">
        <v>661</v>
      </c>
      <c r="F10" s="131">
        <v>2660</v>
      </c>
      <c r="G10" s="132"/>
      <c r="H10" t="e">
        <f>MATCH(I10,#REF!,0)</f>
        <v>#REF!</v>
      </c>
      <c r="I10" t="str">
        <f t="shared" si="0"/>
        <v>Горєлов Микита Євгенович</v>
      </c>
      <c r="K10">
        <f>INDEX(Лист2!D:D,MATCH(C10,Лист2!C:C,0))</f>
        <v>3596200395</v>
      </c>
    </row>
    <row r="11" spans="2:11" x14ac:dyDescent="0.25">
      <c r="B11" s="128">
        <v>9</v>
      </c>
      <c r="C11" s="129" t="s">
        <v>300</v>
      </c>
      <c r="D11" s="129" t="s">
        <v>106</v>
      </c>
      <c r="E11" s="130">
        <v>661</v>
      </c>
      <c r="F11" s="131">
        <v>1662.5</v>
      </c>
      <c r="G11" s="132"/>
      <c r="H11" t="e">
        <f>MATCH(I11,#REF!,0)</f>
        <v>#REF!</v>
      </c>
      <c r="I11" t="str">
        <f t="shared" si="0"/>
        <v>Григор'єв Микола Андрійович</v>
      </c>
      <c r="K11">
        <f>INDEX(Лист2!D:D,MATCH(C11,Лист2!C:C,0))</f>
        <v>3422005391</v>
      </c>
    </row>
    <row r="12" spans="2:11" x14ac:dyDescent="0.25">
      <c r="B12" s="128">
        <v>10</v>
      </c>
      <c r="C12" s="129" t="s">
        <v>302</v>
      </c>
      <c r="D12" s="129" t="s">
        <v>106</v>
      </c>
      <c r="E12" s="130">
        <v>661</v>
      </c>
      <c r="F12" s="131">
        <v>3990</v>
      </c>
      <c r="G12" s="132"/>
      <c r="H12" t="e">
        <f>MATCH(I12,#REF!,0)</f>
        <v>#REF!</v>
      </c>
      <c r="I12" t="str">
        <f t="shared" si="0"/>
        <v>Григор'єв Михайло Андрійович</v>
      </c>
      <c r="K12">
        <f>INDEX(Лист2!D:D,MATCH(C12,Лист2!C:C,0))</f>
        <v>3720407672</v>
      </c>
    </row>
    <row r="13" spans="2:11" x14ac:dyDescent="0.25">
      <c r="B13" s="128">
        <v>11</v>
      </c>
      <c r="C13" s="129" t="s">
        <v>299</v>
      </c>
      <c r="D13" s="129" t="s">
        <v>106</v>
      </c>
      <c r="E13" s="130">
        <v>661</v>
      </c>
      <c r="F13" s="131">
        <v>3990</v>
      </c>
      <c r="G13" s="132"/>
      <c r="H13" t="e">
        <f>MATCH(I13,#REF!,0)</f>
        <v>#REF!</v>
      </c>
      <c r="I13" t="str">
        <f t="shared" si="0"/>
        <v>Григоренко Олександр Миколайович</v>
      </c>
      <c r="K13">
        <f>INDEX(Лист2!D:D,MATCH(C13,Лист2!C:C,0))</f>
        <v>2436600937</v>
      </c>
    </row>
    <row r="14" spans="2:11" x14ac:dyDescent="0.25">
      <c r="B14" s="128">
        <v>12</v>
      </c>
      <c r="C14" s="129" t="s">
        <v>116</v>
      </c>
      <c r="D14" s="129" t="s">
        <v>106</v>
      </c>
      <c r="E14" s="130">
        <v>661</v>
      </c>
      <c r="F14" s="131">
        <v>5197.5</v>
      </c>
      <c r="G14" s="132"/>
      <c r="H14" t="e">
        <f>MATCH(I14,#REF!,0)</f>
        <v>#REF!</v>
      </c>
      <c r="I14" t="str">
        <f t="shared" si="0"/>
        <v>Гриценко Олександр Вікторович</v>
      </c>
      <c r="J14">
        <v>1</v>
      </c>
    </row>
    <row r="15" spans="2:11" x14ac:dyDescent="0.25">
      <c r="B15" s="128">
        <v>13</v>
      </c>
      <c r="C15" s="129" t="s">
        <v>117</v>
      </c>
      <c r="D15" s="129" t="s">
        <v>106</v>
      </c>
      <c r="E15" s="130">
        <v>661</v>
      </c>
      <c r="F15" s="131">
        <v>4427.5</v>
      </c>
      <c r="G15" s="132"/>
      <c r="H15" t="e">
        <f>MATCH(I15,#REF!,0)</f>
        <v>#REF!</v>
      </c>
      <c r="I15" t="str">
        <f t="shared" si="0"/>
        <v>Грушко Лариса Вікторівна</v>
      </c>
      <c r="J15">
        <v>1</v>
      </c>
    </row>
    <row r="16" spans="2:11" x14ac:dyDescent="0.25">
      <c r="B16" s="128">
        <v>14</v>
      </c>
      <c r="C16" s="129" t="s">
        <v>325</v>
      </c>
      <c r="D16" s="129" t="s">
        <v>106</v>
      </c>
      <c r="E16" s="130">
        <v>661</v>
      </c>
      <c r="F16" s="131">
        <v>3990</v>
      </c>
      <c r="G16" s="132"/>
      <c r="H16" t="e">
        <f>MATCH(I16,#REF!,0)</f>
        <v>#REF!</v>
      </c>
      <c r="I16" s="137" t="e">
        <f>#REF!</f>
        <v>#REF!</v>
      </c>
      <c r="K16">
        <f>INDEX(Лист2!D:D,MATCH(C16,Лист2!C:C,0))</f>
        <v>3374502899</v>
      </c>
    </row>
    <row r="17" spans="2:11" x14ac:dyDescent="0.25">
      <c r="B17" s="128">
        <v>15</v>
      </c>
      <c r="C17" s="129" t="s">
        <v>345</v>
      </c>
      <c r="D17" s="129" t="s">
        <v>106</v>
      </c>
      <c r="E17" s="130">
        <v>661</v>
      </c>
      <c r="F17" s="131">
        <v>3990</v>
      </c>
      <c r="G17" s="132"/>
      <c r="H17" t="e">
        <f>MATCH(I17,#REF!,0)</f>
        <v>#REF!</v>
      </c>
      <c r="I17" t="str">
        <f t="shared" si="0"/>
        <v>Желтяков Ігор Юрійович</v>
      </c>
      <c r="K17">
        <f>INDEX(Лист2!D:D,MATCH(C17,Лист2!C:C,0))</f>
        <v>2637303953</v>
      </c>
    </row>
    <row r="18" spans="2:11" x14ac:dyDescent="0.25">
      <c r="B18" s="128">
        <v>16</v>
      </c>
      <c r="C18" s="129" t="s">
        <v>366</v>
      </c>
      <c r="D18" s="129" t="s">
        <v>106</v>
      </c>
      <c r="E18" s="130">
        <v>661</v>
      </c>
      <c r="F18" s="131">
        <v>3990</v>
      </c>
      <c r="G18" s="132"/>
      <c r="H18" t="e">
        <f>MATCH(I18,#REF!,0)</f>
        <v>#REF!</v>
      </c>
      <c r="I18" t="str">
        <f t="shared" si="0"/>
        <v>Іванов Олексій Вікторович</v>
      </c>
      <c r="K18">
        <f>INDEX(Лист2!D:D,MATCH(C18,Лист2!C:C,0))</f>
        <v>3705902230</v>
      </c>
    </row>
    <row r="19" spans="2:11" x14ac:dyDescent="0.25">
      <c r="B19" s="128">
        <v>17</v>
      </c>
      <c r="C19" s="129" t="s">
        <v>367</v>
      </c>
      <c r="D19" s="129" t="s">
        <v>106</v>
      </c>
      <c r="E19" s="130">
        <v>661</v>
      </c>
      <c r="F19" s="131">
        <v>3990</v>
      </c>
      <c r="G19" s="132"/>
      <c r="H19" t="e">
        <f>MATCH(I19,#REF!,0)</f>
        <v>#REF!</v>
      </c>
      <c r="I19" t="str">
        <f t="shared" si="0"/>
        <v>Іскрицький Денис Русланович</v>
      </c>
      <c r="K19">
        <f>INDEX(Лист2!D:D,MATCH(C19,Лист2!C:C,0))</f>
        <v>3779110293</v>
      </c>
    </row>
    <row r="20" spans="2:11" x14ac:dyDescent="0.25">
      <c r="B20" s="128">
        <v>18</v>
      </c>
      <c r="C20" s="129" t="s">
        <v>375</v>
      </c>
      <c r="D20" s="129" t="s">
        <v>106</v>
      </c>
      <c r="E20" s="130">
        <v>661</v>
      </c>
      <c r="F20" s="131">
        <v>3990.02</v>
      </c>
      <c r="G20" s="132"/>
      <c r="H20" t="e">
        <f>MATCH(I20,#REF!,0)</f>
        <v>#REF!</v>
      </c>
      <c r="I20" t="str">
        <f t="shared" si="0"/>
        <v>Кіфор Юрій Михайлович</v>
      </c>
      <c r="K20">
        <f>INDEX(Лист2!D:D,MATCH(C20,Лист2!C:C,0))</f>
        <v>2521518612</v>
      </c>
    </row>
    <row r="21" spans="2:11" x14ac:dyDescent="0.25">
      <c r="B21" s="128">
        <v>19</v>
      </c>
      <c r="C21" s="129" t="s">
        <v>4</v>
      </c>
      <c r="D21" s="129" t="s">
        <v>106</v>
      </c>
      <c r="E21" s="130">
        <v>661</v>
      </c>
      <c r="F21" s="131">
        <v>3428.01</v>
      </c>
      <c r="G21" s="132"/>
      <c r="H21" t="e">
        <f>MATCH(I21,#REF!,0)</f>
        <v>#REF!</v>
      </c>
      <c r="I21" s="137" t="str">
        <f>C21</f>
        <v xml:space="preserve">Корнієнко Станіслав Володимирович </v>
      </c>
      <c r="K21">
        <f>INDEX(Лист2!D:D,MATCH(C21,Лист2!C:C,0))</f>
        <v>2579305831</v>
      </c>
    </row>
    <row r="22" spans="2:11" x14ac:dyDescent="0.25">
      <c r="B22" s="128">
        <v>20</v>
      </c>
      <c r="C22" s="129" t="s">
        <v>428</v>
      </c>
      <c r="D22" s="129" t="s">
        <v>106</v>
      </c>
      <c r="E22" s="130">
        <v>661</v>
      </c>
      <c r="F22" s="131">
        <v>3990</v>
      </c>
      <c r="G22" s="132"/>
      <c r="H22" t="e">
        <f>MATCH(I22,#REF!,0)</f>
        <v>#REF!</v>
      </c>
      <c r="I22" t="str">
        <f t="shared" si="0"/>
        <v>Масливець Ігор Валерійович</v>
      </c>
      <c r="K22">
        <f>INDEX(Лист2!D:D,MATCH(C22,Лист2!C:C,0))</f>
        <v>2880313812</v>
      </c>
    </row>
    <row r="23" spans="2:11" x14ac:dyDescent="0.25">
      <c r="B23" s="128">
        <v>21</v>
      </c>
      <c r="C23" s="129" t="s">
        <v>436</v>
      </c>
      <c r="D23" s="129" t="s">
        <v>106</v>
      </c>
      <c r="E23" s="130">
        <v>661</v>
      </c>
      <c r="F23" s="131">
        <v>6650</v>
      </c>
      <c r="G23" s="132"/>
      <c r="H23" t="e">
        <f>MATCH(I23,#REF!,0)</f>
        <v>#REF!</v>
      </c>
      <c r="I23" s="137" t="str">
        <f t="shared" si="0"/>
        <v>Мельниченко Максим Вікторович</v>
      </c>
      <c r="K23">
        <f>INDEX(Лист2!D:D,MATCH(C23,Лист2!C:C,0))</f>
        <v>3348501613</v>
      </c>
    </row>
    <row r="24" spans="2:11" x14ac:dyDescent="0.25">
      <c r="B24" s="128">
        <v>22</v>
      </c>
      <c r="C24" s="129" t="s">
        <v>446</v>
      </c>
      <c r="D24" s="129" t="s">
        <v>106</v>
      </c>
      <c r="E24" s="130">
        <v>661</v>
      </c>
      <c r="F24" s="131">
        <v>6650</v>
      </c>
      <c r="G24" s="132"/>
      <c r="H24" t="e">
        <f>MATCH(I24,#REF!,0)</f>
        <v>#REF!</v>
      </c>
      <c r="I24" s="137" t="str">
        <f t="shared" si="0"/>
        <v>Мороз Віталій Миколайович</v>
      </c>
      <c r="K24">
        <f>INDEX(Лист2!D:D,MATCH(C24,Лист2!C:C,0))</f>
        <v>3216804294</v>
      </c>
    </row>
    <row r="25" spans="2:11" x14ac:dyDescent="0.25">
      <c r="B25" s="128">
        <v>23</v>
      </c>
      <c r="C25" s="129" t="s">
        <v>452</v>
      </c>
      <c r="D25" s="129" t="s">
        <v>106</v>
      </c>
      <c r="E25" s="130">
        <v>661</v>
      </c>
      <c r="F25" s="131">
        <v>3990.02</v>
      </c>
      <c r="G25" s="132"/>
      <c r="H25" t="e">
        <f>MATCH(I25,#REF!,0)</f>
        <v>#REF!</v>
      </c>
      <c r="I25" t="str">
        <f t="shared" si="0"/>
        <v>Нестерук Сергій Петрович</v>
      </c>
      <c r="K25">
        <f>INDEX(Лист2!D:D,MATCH(C25,Лист2!C:C,0))</f>
        <v>3283102618</v>
      </c>
    </row>
    <row r="26" spans="2:11" x14ac:dyDescent="0.25">
      <c r="B26" s="128">
        <v>24</v>
      </c>
      <c r="C26" s="129" t="s">
        <v>474</v>
      </c>
      <c r="D26" s="129" t="s">
        <v>106</v>
      </c>
      <c r="E26" s="130">
        <v>661</v>
      </c>
      <c r="F26" s="131">
        <v>3990</v>
      </c>
      <c r="G26" s="132"/>
      <c r="H26" t="e">
        <f>MATCH(I26,#REF!,0)</f>
        <v>#REF!</v>
      </c>
      <c r="I26" t="str">
        <f t="shared" si="0"/>
        <v>Паламарчук Вячеслав Володимирович</v>
      </c>
      <c r="K26">
        <f>INDEX(Лист2!D:D,MATCH(C26,Лист2!C:C,0))</f>
        <v>3230316597</v>
      </c>
    </row>
    <row r="27" spans="2:11" x14ac:dyDescent="0.25">
      <c r="B27" s="128">
        <v>25</v>
      </c>
      <c r="C27" s="129" t="s">
        <v>478</v>
      </c>
      <c r="D27" s="129" t="s">
        <v>106</v>
      </c>
      <c r="E27" s="130">
        <v>661</v>
      </c>
      <c r="F27" s="133">
        <v>840</v>
      </c>
      <c r="G27" s="132"/>
      <c r="H27" t="e">
        <f>MATCH(I27,#REF!,0)</f>
        <v>#REF!</v>
      </c>
      <c r="I27" s="137" t="str">
        <f t="shared" si="0"/>
        <v>Парнєва Олена Вікторівна</v>
      </c>
      <c r="K27">
        <f>INDEX(Лист2!D:D,MATCH(C27,Лист2!C:C,0))</f>
        <v>2938511042</v>
      </c>
    </row>
    <row r="28" spans="2:11" x14ac:dyDescent="0.25">
      <c r="B28" s="128">
        <v>26</v>
      </c>
      <c r="C28" s="129" t="s">
        <v>486</v>
      </c>
      <c r="D28" s="129" t="s">
        <v>106</v>
      </c>
      <c r="E28" s="130">
        <v>661</v>
      </c>
      <c r="F28" s="131">
        <v>3990</v>
      </c>
      <c r="G28" s="132"/>
      <c r="H28" t="e">
        <f>MATCH(I28,#REF!,0)</f>
        <v>#REF!</v>
      </c>
      <c r="I28" t="str">
        <f t="shared" si="0"/>
        <v>Пилипчук Олександр Анатолійович</v>
      </c>
      <c r="K28">
        <f>INDEX(Лист2!D:D,MATCH(C28,Лист2!C:C,0))</f>
        <v>3067218612</v>
      </c>
    </row>
    <row r="29" spans="2:11" x14ac:dyDescent="0.25">
      <c r="B29" s="128">
        <v>27</v>
      </c>
      <c r="C29" s="129" t="s">
        <v>487</v>
      </c>
      <c r="D29" s="129" t="s">
        <v>106</v>
      </c>
      <c r="E29" s="130">
        <v>661</v>
      </c>
      <c r="F29" s="131">
        <v>3990</v>
      </c>
      <c r="G29" s="132"/>
      <c r="H29" t="e">
        <f>MATCH(I29,#REF!,0)</f>
        <v>#REF!</v>
      </c>
      <c r="I29" t="str">
        <f t="shared" si="0"/>
        <v>Поліщук Олександр Олександрович</v>
      </c>
      <c r="K29">
        <f>INDEX(Лист2!D:D,MATCH(C29,Лист2!C:C,0))</f>
        <v>3289716153</v>
      </c>
    </row>
    <row r="30" spans="2:11" x14ac:dyDescent="0.25">
      <c r="B30" s="128">
        <v>28</v>
      </c>
      <c r="C30" s="129" t="s">
        <v>489</v>
      </c>
      <c r="D30" s="129" t="s">
        <v>106</v>
      </c>
      <c r="E30" s="130">
        <v>661</v>
      </c>
      <c r="F30" s="131">
        <v>3990</v>
      </c>
      <c r="G30" s="132"/>
      <c r="H30" t="e">
        <f>MATCH(I30,#REF!,0)</f>
        <v>#REF!</v>
      </c>
      <c r="I30" t="str">
        <f t="shared" si="0"/>
        <v>Пономаренко Віталій Вікторович</v>
      </c>
      <c r="K30">
        <f>INDEX(Лист2!D:D,MATCH(C30,Лист2!C:C,0))</f>
        <v>3185119514</v>
      </c>
    </row>
    <row r="31" spans="2:11" x14ac:dyDescent="0.25">
      <c r="B31" s="128">
        <v>29</v>
      </c>
      <c r="C31" s="129" t="s">
        <v>491</v>
      </c>
      <c r="D31" s="129" t="s">
        <v>106</v>
      </c>
      <c r="E31" s="130">
        <v>661</v>
      </c>
      <c r="F31" s="131">
        <v>5460</v>
      </c>
      <c r="G31" s="132"/>
      <c r="H31" t="e">
        <f>MATCH(I31,#REF!,0)</f>
        <v>#REF!</v>
      </c>
      <c r="I31" t="str">
        <f t="shared" si="0"/>
        <v>Пономаренко Олександр Вікторович</v>
      </c>
      <c r="K31">
        <f>INDEX(Лист2!D:D,MATCH(C31,Лист2!C:C,0))</f>
        <v>2944519172</v>
      </c>
    </row>
    <row r="32" spans="2:11" x14ac:dyDescent="0.25">
      <c r="B32" s="128">
        <v>30</v>
      </c>
      <c r="C32" s="129" t="s">
        <v>494</v>
      </c>
      <c r="D32" s="129" t="s">
        <v>106</v>
      </c>
      <c r="E32" s="130">
        <v>661</v>
      </c>
      <c r="F32" s="131">
        <v>3990</v>
      </c>
      <c r="G32" s="132"/>
      <c r="H32" t="e">
        <f>MATCH(I32,#REF!,0)</f>
        <v>#REF!</v>
      </c>
      <c r="I32" t="str">
        <f t="shared" si="0"/>
        <v>Пономарьов Микола Вікторович</v>
      </c>
      <c r="K32">
        <f>INDEX(Лист2!D:D,MATCH(C32,Лист2!C:C,0))</f>
        <v>3008300898</v>
      </c>
    </row>
    <row r="33" spans="2:11" x14ac:dyDescent="0.25">
      <c r="B33" s="128">
        <v>31</v>
      </c>
      <c r="C33" s="129" t="s">
        <v>495</v>
      </c>
      <c r="D33" s="129" t="s">
        <v>106</v>
      </c>
      <c r="E33" s="130">
        <v>661</v>
      </c>
      <c r="F33" s="131">
        <v>3990</v>
      </c>
      <c r="G33" s="132"/>
      <c r="H33" t="e">
        <f>MATCH(I33,#REF!,0)</f>
        <v>#REF!</v>
      </c>
      <c r="I33" t="str">
        <f t="shared" si="0"/>
        <v>Понуркін Євген Григорович</v>
      </c>
      <c r="K33">
        <f>INDEX(Лист2!D:D,MATCH(C33,Лист2!C:C,0))</f>
        <v>3005702873</v>
      </c>
    </row>
    <row r="34" spans="2:11" x14ac:dyDescent="0.25">
      <c r="B34" s="128">
        <v>32</v>
      </c>
      <c r="C34" s="129" t="s">
        <v>497</v>
      </c>
      <c r="D34" s="129" t="s">
        <v>106</v>
      </c>
      <c r="E34" s="130">
        <v>661</v>
      </c>
      <c r="F34" s="131">
        <v>3990</v>
      </c>
      <c r="G34" s="132"/>
      <c r="H34" t="e">
        <f>MATCH(I34,#REF!,0)</f>
        <v>#REF!</v>
      </c>
      <c r="I34" t="str">
        <f t="shared" si="0"/>
        <v>Приходько Владислав Віталійович</v>
      </c>
      <c r="K34">
        <f>INDEX(Лист2!D:D,MATCH(C34,Лист2!C:C,0))</f>
        <v>3331204136</v>
      </c>
    </row>
    <row r="35" spans="2:11" x14ac:dyDescent="0.25">
      <c r="B35" s="128">
        <v>33</v>
      </c>
      <c r="C35" s="129" t="s">
        <v>510</v>
      </c>
      <c r="D35" s="129" t="s">
        <v>106</v>
      </c>
      <c r="E35" s="130">
        <v>661</v>
      </c>
      <c r="F35" s="131">
        <v>2660</v>
      </c>
      <c r="G35" s="132"/>
      <c r="H35" t="e">
        <f>MATCH(I35,#REF!,0)</f>
        <v>#REF!</v>
      </c>
      <c r="I35" t="str">
        <f t="shared" si="0"/>
        <v>Савченко Максим Олександрович</v>
      </c>
      <c r="K35">
        <f>INDEX(Лист2!D:D,MATCH(C35,Лист2!C:C,0))</f>
        <v>3488401491</v>
      </c>
    </row>
    <row r="36" spans="2:11" x14ac:dyDescent="0.25">
      <c r="B36" s="128">
        <v>34</v>
      </c>
      <c r="C36" s="129" t="s">
        <v>523</v>
      </c>
      <c r="D36" s="129" t="s">
        <v>106</v>
      </c>
      <c r="E36" s="130">
        <v>661</v>
      </c>
      <c r="F36" s="131">
        <v>3990</v>
      </c>
      <c r="G36" s="132"/>
      <c r="H36" t="e">
        <f>MATCH(I36,#REF!,0)</f>
        <v>#REF!</v>
      </c>
      <c r="I36" t="str">
        <f t="shared" si="0"/>
        <v>Сівов Євген Миколайович</v>
      </c>
      <c r="K36">
        <f>INDEX(Лист2!D:D,MATCH(C36,Лист2!C:C,0))</f>
        <v>2996119832</v>
      </c>
    </row>
    <row r="37" spans="2:11" x14ac:dyDescent="0.25">
      <c r="B37" s="128">
        <v>35</v>
      </c>
      <c r="C37" s="129" t="s">
        <v>528</v>
      </c>
      <c r="D37" s="129" t="s">
        <v>106</v>
      </c>
      <c r="E37" s="130">
        <v>661</v>
      </c>
      <c r="F37" s="131">
        <v>3990</v>
      </c>
      <c r="G37" s="132"/>
      <c r="H37" t="e">
        <f>MATCH(I37,#REF!,0)</f>
        <v>#REF!</v>
      </c>
      <c r="I37" t="str">
        <f t="shared" si="0"/>
        <v>Скрипник Олександр Павлович</v>
      </c>
      <c r="K37">
        <f>INDEX(Лист2!D:D,MATCH(C37,Лист2!C:C,0))</f>
        <v>3262417736</v>
      </c>
    </row>
    <row r="38" spans="2:11" x14ac:dyDescent="0.25">
      <c r="B38" s="128">
        <v>36</v>
      </c>
      <c r="C38" s="129" t="s">
        <v>530</v>
      </c>
      <c r="D38" s="129" t="s">
        <v>106</v>
      </c>
      <c r="E38" s="130">
        <v>661</v>
      </c>
      <c r="F38" s="131">
        <v>5460</v>
      </c>
      <c r="G38" s="132"/>
      <c r="H38" t="e">
        <f>MATCH(I38,#REF!,0)</f>
        <v>#REF!</v>
      </c>
      <c r="I38" t="str">
        <f t="shared" si="0"/>
        <v>Скрипник Сергій Павлович</v>
      </c>
      <c r="K38">
        <f>INDEX(Лист2!D:D,MATCH(C38,Лист2!C:C,0))</f>
        <v>3219619831</v>
      </c>
    </row>
    <row r="39" spans="2:11" x14ac:dyDescent="0.25">
      <c r="B39" s="128">
        <v>37</v>
      </c>
      <c r="C39" s="129" t="s">
        <v>107</v>
      </c>
      <c r="D39" s="129" t="s">
        <v>106</v>
      </c>
      <c r="E39" s="130">
        <v>661</v>
      </c>
      <c r="F39" s="131">
        <v>5460</v>
      </c>
      <c r="G39" s="132"/>
      <c r="H39" t="e">
        <f>MATCH(I39,#REF!,0)</f>
        <v>#REF!</v>
      </c>
      <c r="I39" t="str">
        <f t="shared" si="0"/>
        <v>Стецюк Тетяна Леонідівна</v>
      </c>
      <c r="J39">
        <v>1</v>
      </c>
    </row>
    <row r="40" spans="2:11" x14ac:dyDescent="0.25">
      <c r="B40" s="128">
        <v>38</v>
      </c>
      <c r="C40" s="129" t="s">
        <v>108</v>
      </c>
      <c r="D40" s="129" t="s">
        <v>106</v>
      </c>
      <c r="E40" s="130">
        <v>661</v>
      </c>
      <c r="F40" s="131">
        <v>3990</v>
      </c>
      <c r="G40" s="132"/>
      <c r="H40" t="e">
        <f>MATCH(I40,#REF!,0)</f>
        <v>#REF!</v>
      </c>
      <c r="I40" s="137" t="e">
        <f>#REF!</f>
        <v>#REF!</v>
      </c>
      <c r="K40">
        <f>INDEX(Лист2!D:D,MATCH(C40,Лист2!C:C,0))</f>
        <v>3233009756</v>
      </c>
    </row>
    <row r="41" spans="2:11" x14ac:dyDescent="0.25">
      <c r="B41" s="128">
        <v>39</v>
      </c>
      <c r="C41" s="129" t="s">
        <v>109</v>
      </c>
      <c r="D41" s="129" t="s">
        <v>106</v>
      </c>
      <c r="E41" s="130">
        <v>661</v>
      </c>
      <c r="F41" s="131">
        <v>3324.99</v>
      </c>
      <c r="G41" s="132"/>
      <c r="H41" t="e">
        <f>MATCH(I41,#REF!,0)</f>
        <v>#REF!</v>
      </c>
      <c r="I41" t="str">
        <f t="shared" si="0"/>
        <v>Тужиков Юрій Владиславович</v>
      </c>
      <c r="K41">
        <f>INDEX(Лист2!D:D,MATCH(C41,Лист2!C:C,0))</f>
        <v>3153508799</v>
      </c>
    </row>
    <row r="42" spans="2:11" x14ac:dyDescent="0.25">
      <c r="B42" s="128">
        <v>40</v>
      </c>
      <c r="C42" s="129" t="s">
        <v>110</v>
      </c>
      <c r="D42" s="129" t="s">
        <v>106</v>
      </c>
      <c r="E42" s="130">
        <v>661</v>
      </c>
      <c r="F42" s="131">
        <v>1995</v>
      </c>
      <c r="G42" s="132"/>
      <c r="H42" t="e">
        <f>MATCH(I42,#REF!,0)</f>
        <v>#REF!</v>
      </c>
      <c r="I42" t="str">
        <f t="shared" si="0"/>
        <v>Федорчук Денис Сергійович</v>
      </c>
      <c r="K42">
        <f>INDEX(Лист2!D:D,MATCH(C42,Лист2!C:C,0))</f>
        <v>3428705315</v>
      </c>
    </row>
    <row r="43" spans="2:11" x14ac:dyDescent="0.25">
      <c r="B43" s="128">
        <v>41</v>
      </c>
      <c r="C43" s="129" t="s">
        <v>111</v>
      </c>
      <c r="D43" s="129" t="s">
        <v>106</v>
      </c>
      <c r="E43" s="130">
        <v>661</v>
      </c>
      <c r="F43" s="131">
        <v>5460</v>
      </c>
      <c r="G43" s="132"/>
      <c r="H43" t="e">
        <f>MATCH(I43,#REF!,0)</f>
        <v>#REF!</v>
      </c>
      <c r="I43" t="str">
        <f t="shared" si="0"/>
        <v>Чілібін Микола Євгенович</v>
      </c>
      <c r="J43">
        <v>1</v>
      </c>
    </row>
    <row r="44" spans="2:11" x14ac:dyDescent="0.25">
      <c r="B44" s="128">
        <v>42</v>
      </c>
      <c r="C44" s="129" t="s">
        <v>112</v>
      </c>
      <c r="D44" s="129" t="s">
        <v>106</v>
      </c>
      <c r="E44" s="130">
        <v>661</v>
      </c>
      <c r="F44" s="133">
        <v>840</v>
      </c>
      <c r="G44" s="132"/>
      <c r="H44" t="e">
        <f>MATCH(I44,#REF!,0)</f>
        <v>#REF!</v>
      </c>
      <c r="I44" s="137" t="str">
        <f t="shared" si="0"/>
        <v>Чуб Владислав Володимирович</v>
      </c>
      <c r="K44">
        <f>INDEX(Лист2!D:D,MATCH(C44,Лист2!C:C,0))</f>
        <v>2858519154</v>
      </c>
    </row>
    <row r="45" spans="2:11" x14ac:dyDescent="0.25">
      <c r="B45" s="128">
        <v>43</v>
      </c>
      <c r="C45" s="129" t="s">
        <v>45</v>
      </c>
      <c r="D45" s="129" t="s">
        <v>106</v>
      </c>
      <c r="E45" s="130">
        <v>661</v>
      </c>
      <c r="F45" s="131">
        <v>4620</v>
      </c>
      <c r="G45" s="132"/>
      <c r="H45" t="e">
        <f>MATCH(I45,#REF!,0)</f>
        <v>#REF!</v>
      </c>
      <c r="I45" s="137" t="str">
        <f>C45</f>
        <v xml:space="preserve">Щербак Петро Іванович </v>
      </c>
      <c r="K45">
        <f>INDEX(Лист2!D:D,MATCH(C45,Лист2!C:C,0))</f>
        <v>2537500655</v>
      </c>
    </row>
    <row r="46" spans="2:11" x14ac:dyDescent="0.25">
      <c r="B46" s="126"/>
      <c r="C46" s="126"/>
      <c r="D46" s="126"/>
      <c r="E46" s="134" t="s">
        <v>113</v>
      </c>
      <c r="F46" s="135">
        <v>172635.53</v>
      </c>
      <c r="G46" s="136"/>
    </row>
  </sheetData>
  <autoFilter ref="B2:J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91"/>
  <sheetViews>
    <sheetView tabSelected="1" zoomScaleNormal="100" workbookViewId="0">
      <pane xSplit="2" ySplit="1" topLeftCell="N60" activePane="bottomRight" state="frozen"/>
      <selection pane="topRight" activeCell="C1" sqref="C1"/>
      <selection pane="bottomLeft" activeCell="A2" sqref="A2"/>
      <selection pane="bottomRight" activeCell="U79" sqref="U79"/>
    </sheetView>
  </sheetViews>
  <sheetFormatPr defaultColWidth="8.85546875" defaultRowHeight="15" outlineLevelRow="1" x14ac:dyDescent="0.25"/>
  <cols>
    <col min="1" max="1" width="8.5703125"/>
    <col min="2" max="2" width="34.5703125" customWidth="1"/>
    <col min="3" max="3" width="13.140625" style="164" customWidth="1"/>
    <col min="4" max="4" width="17.85546875" style="164" customWidth="1"/>
    <col min="5" max="5" width="18.5703125" style="164" customWidth="1"/>
    <col min="6" max="6" width="18.5703125" style="145" customWidth="1"/>
    <col min="7" max="7" width="20.85546875" style="145" customWidth="1"/>
    <col min="8" max="8" width="18.5703125" style="145" customWidth="1"/>
    <col min="9" max="9" width="17.140625" style="1" customWidth="1"/>
    <col min="10" max="11" width="11.5703125" style="1" customWidth="1"/>
    <col min="12" max="35" width="8.85546875" style="1"/>
    <col min="36" max="36" width="11.28515625" style="1" bestFit="1" customWidth="1"/>
    <col min="37" max="37" width="11.42578125" style="1" bestFit="1" customWidth="1"/>
    <col min="38" max="16384" width="8.85546875" style="1"/>
  </cols>
  <sheetData>
    <row r="1" spans="1:37" s="3" customFormat="1" ht="74.099999999999994" customHeight="1" x14ac:dyDescent="0.25">
      <c r="A1" s="186" t="s">
        <v>1</v>
      </c>
      <c r="B1" s="186" t="s">
        <v>6</v>
      </c>
      <c r="C1" s="184" t="s">
        <v>657</v>
      </c>
      <c r="D1" s="184" t="s">
        <v>673</v>
      </c>
      <c r="E1" s="163" t="s">
        <v>674</v>
      </c>
      <c r="F1" s="143" t="s">
        <v>675</v>
      </c>
      <c r="G1" s="143" t="s">
        <v>651</v>
      </c>
      <c r="H1" s="143" t="s">
        <v>676</v>
      </c>
      <c r="I1" s="185" t="s">
        <v>8</v>
      </c>
      <c r="J1" s="185" t="s">
        <v>0</v>
      </c>
      <c r="K1" s="218" t="s">
        <v>73</v>
      </c>
      <c r="L1" s="213" t="s">
        <v>677</v>
      </c>
      <c r="M1" s="213" t="s">
        <v>678</v>
      </c>
      <c r="N1" s="213" t="s">
        <v>679</v>
      </c>
      <c r="O1" s="213" t="s">
        <v>680</v>
      </c>
      <c r="P1" s="213" t="s">
        <v>681</v>
      </c>
      <c r="Q1" s="213" t="s">
        <v>682</v>
      </c>
      <c r="R1" s="213" t="s">
        <v>683</v>
      </c>
      <c r="S1" s="213" t="s">
        <v>684</v>
      </c>
      <c r="T1" s="213" t="s">
        <v>685</v>
      </c>
      <c r="U1" s="213" t="s">
        <v>686</v>
      </c>
      <c r="V1" s="213" t="s">
        <v>687</v>
      </c>
      <c r="W1" s="3" t="s">
        <v>688</v>
      </c>
      <c r="X1" s="221" t="s">
        <v>73</v>
      </c>
      <c r="Y1" s="214" t="s">
        <v>677</v>
      </c>
      <c r="Z1" s="214" t="s">
        <v>678</v>
      </c>
      <c r="AA1" s="214" t="s">
        <v>679</v>
      </c>
      <c r="AB1" s="214" t="s">
        <v>680</v>
      </c>
      <c r="AC1" s="214" t="s">
        <v>681</v>
      </c>
      <c r="AD1" s="214" t="s">
        <v>682</v>
      </c>
      <c r="AE1" s="214" t="s">
        <v>683</v>
      </c>
      <c r="AF1" s="214" t="s">
        <v>684</v>
      </c>
      <c r="AG1" s="214" t="s">
        <v>685</v>
      </c>
      <c r="AH1" s="214" t="s">
        <v>686</v>
      </c>
      <c r="AI1" s="214" t="s">
        <v>687</v>
      </c>
      <c r="AJ1" s="215" t="s">
        <v>688</v>
      </c>
    </row>
    <row r="2" spans="1:37" s="194" customFormat="1" ht="15.75" outlineLevel="1" x14ac:dyDescent="0.25">
      <c r="A2" s="188">
        <v>1</v>
      </c>
      <c r="B2" s="212" t="s">
        <v>80</v>
      </c>
      <c r="C2" s="189"/>
      <c r="D2" s="189">
        <v>37894.81</v>
      </c>
      <c r="E2" s="190">
        <f t="shared" ref="E2" si="0">I2*J2</f>
        <v>21780</v>
      </c>
      <c r="F2" s="191">
        <f>SUMIF('[1]Табель цех 1 по 15 серпня'!$B:$B,B2,'[1]Табель цех 1 по 15 серпня'!$H:$H)</f>
        <v>-18.75</v>
      </c>
      <c r="G2" s="191">
        <v>0</v>
      </c>
      <c r="H2" s="191">
        <f t="shared" ref="H2:H65" si="1">F2+E2-D2-G2-C2</f>
        <v>-16133.559999999998</v>
      </c>
      <c r="I2" s="192">
        <f>ИТР!S2</f>
        <v>121</v>
      </c>
      <c r="J2" s="193">
        <v>180</v>
      </c>
      <c r="K2" s="219">
        <f>SUMIF(ИТР!B:B,B2,ИТР!S:S)</f>
        <v>121</v>
      </c>
      <c r="L2" s="194">
        <f>SUMIF(Цо!R:R,B2,Цо!AI:AI)</f>
        <v>0</v>
      </c>
      <c r="M2" s="194">
        <f>SUMIF(IRS!B:B,B2,IRS!S:S)</f>
        <v>0</v>
      </c>
      <c r="N2" s="194">
        <f>SUMIF(Катеринополь!B:B,B2,Катеринополь!S:S)</f>
        <v>0</v>
      </c>
      <c r="Q2" s="194">
        <f>SUMIF('ООН 2025'!B:B,B2,'ООН 2025'!S:S)</f>
        <v>0</v>
      </c>
      <c r="R2" s="194">
        <f>SUMIF('Червоний хрест'!B:B,B2,'Червоний хрест'!S:S)</f>
        <v>0</v>
      </c>
      <c r="T2" s="194">
        <f>SUMIF(Кернел!B:B,B2,Кернел!S:S)</f>
        <v>0</v>
      </c>
      <c r="U2" s="194">
        <f>SUMIF('Глобино Мк'!B:B,B2,'Глобино Мк'!S:S)</f>
        <v>0</v>
      </c>
      <c r="V2" s="194">
        <f>SUMIF('МД Франківськ'!B:B,B2,'МД Франківськ'!S:S)</f>
        <v>0</v>
      </c>
      <c r="W2" s="216">
        <f>SUM(K2:V2)-I2</f>
        <v>0</v>
      </c>
      <c r="X2" s="216">
        <f>IFERROR(K2/$I2*$G2,0)</f>
        <v>0</v>
      </c>
      <c r="Y2" s="216">
        <f t="shared" ref="Y2:Y65" si="2">IFERROR(L2/$I2*$G2,0)</f>
        <v>0</v>
      </c>
      <c r="Z2" s="216">
        <f t="shared" ref="Z2:Z65" si="3">IFERROR(M2/$I2*$G2,0)</f>
        <v>0</v>
      </c>
      <c r="AA2" s="216">
        <f t="shared" ref="AA2:AA65" si="4">IFERROR(N2/$I2*$G2,0)</f>
        <v>0</v>
      </c>
      <c r="AB2" s="216">
        <f t="shared" ref="AB2:AB65" si="5">IFERROR(O2/$I2*$G2,0)</f>
        <v>0</v>
      </c>
      <c r="AC2" s="216">
        <f t="shared" ref="AC2:AC65" si="6">IFERROR(P2/$I2*$G2,0)</f>
        <v>0</v>
      </c>
      <c r="AD2" s="216">
        <f t="shared" ref="AD2:AD65" si="7">IFERROR(Q2/$I2*$G2,0)</f>
        <v>0</v>
      </c>
      <c r="AE2" s="216">
        <f t="shared" ref="AE2:AE65" si="8">IFERROR(R2/$I2*$G2,0)</f>
        <v>0</v>
      </c>
      <c r="AF2" s="216">
        <f t="shared" ref="AF2:AF65" si="9">IFERROR(S2/$I2*$G2,0)</f>
        <v>0</v>
      </c>
      <c r="AG2" s="216">
        <f t="shared" ref="AG2:AG65" si="10">IFERROR(T2/$I2*$G2,0)</f>
        <v>0</v>
      </c>
      <c r="AH2" s="216">
        <f t="shared" ref="AH2:AH65" si="11">IFERROR(U2/$I2*$G2,0)</f>
        <v>0</v>
      </c>
      <c r="AI2" s="216">
        <f t="shared" ref="AI2:AI65" si="12">IFERROR(V2/$I2*$G2,0)</f>
        <v>0</v>
      </c>
      <c r="AJ2" s="216">
        <f t="shared" ref="AJ2" si="13">IFERROR(W2/$I2*$G2,0)</f>
        <v>0</v>
      </c>
      <c r="AK2" s="222">
        <f>AJ2-G2</f>
        <v>0</v>
      </c>
    </row>
    <row r="3" spans="1:37" ht="15.75" outlineLevel="1" x14ac:dyDescent="0.25">
      <c r="A3" s="149">
        <v>2</v>
      </c>
      <c r="B3" s="212" t="s">
        <v>17</v>
      </c>
      <c r="C3" s="148"/>
      <c r="D3" s="148">
        <v>8286.67</v>
      </c>
      <c r="E3" s="142">
        <f t="shared" ref="E3:E61" si="14">I3*J3</f>
        <v>25560</v>
      </c>
      <c r="F3" s="191">
        <f>SUMIF('[1]Табель цех 1 по 15 серпня'!$B:$B,B3,'[1]Табель цех 1 по 15 серпня'!$H:$H)</f>
        <v>-50.850000000005821</v>
      </c>
      <c r="G3" s="191">
        <f t="shared" ref="G3:G66" si="15">ROUND(E3-C3-D3,-2)</f>
        <v>17300</v>
      </c>
      <c r="H3" s="191">
        <f t="shared" si="1"/>
        <v>-77.520000000004075</v>
      </c>
      <c r="I3" s="192">
        <f>ИТР!S3</f>
        <v>142</v>
      </c>
      <c r="J3" s="193">
        <v>180</v>
      </c>
      <c r="K3" s="219">
        <f>SUMIF(ИТР!B:B,B3,ИТР!S:S)</f>
        <v>142</v>
      </c>
      <c r="L3" s="194">
        <f>SUMIF(Цо!R:R,B3,Цо!AI:AI)</f>
        <v>0</v>
      </c>
      <c r="M3" s="194">
        <f>SUMIF(IRS!B:B,B3,IRS!S:S)</f>
        <v>0</v>
      </c>
      <c r="N3" s="194">
        <f>SUMIF(Катеринополь!B:B,B3,Катеринополь!S:S)</f>
        <v>0</v>
      </c>
      <c r="Q3" s="194">
        <f>SUMIF('ООН 2025'!B:B,B3,'ООН 2025'!S:S)</f>
        <v>0</v>
      </c>
      <c r="R3" s="194">
        <f>SUMIF('Червоний хрест'!B:B,B3,'Червоний хрест'!S:S)</f>
        <v>0</v>
      </c>
      <c r="T3" s="194">
        <f>SUMIF(Кернел!B:B,B3,Кернел!S:S)</f>
        <v>0</v>
      </c>
      <c r="U3" s="194">
        <f>SUMIF('Глобино Мк'!B:B,B3,'Глобино Мк'!S:S)</f>
        <v>0</v>
      </c>
      <c r="V3" s="194">
        <f>SUMIF('МД Франківськ'!B:B,B3,'МД Франківськ'!S:S)</f>
        <v>0</v>
      </c>
      <c r="W3" s="216">
        <f t="shared" ref="W3:W66" si="16">SUM(K3:V3)-I3</f>
        <v>0</v>
      </c>
      <c r="X3" s="216">
        <f t="shared" ref="X3:X66" si="17">IFERROR(K3/$I3*$G3,0)</f>
        <v>17300</v>
      </c>
      <c r="Y3" s="216">
        <f t="shared" si="2"/>
        <v>0</v>
      </c>
      <c r="Z3" s="216">
        <f t="shared" si="3"/>
        <v>0</v>
      </c>
      <c r="AA3" s="216">
        <f t="shared" si="4"/>
        <v>0</v>
      </c>
      <c r="AB3" s="216">
        <f t="shared" si="5"/>
        <v>0</v>
      </c>
      <c r="AC3" s="216">
        <f t="shared" si="6"/>
        <v>0</v>
      </c>
      <c r="AD3" s="216">
        <f t="shared" si="7"/>
        <v>0</v>
      </c>
      <c r="AE3" s="216">
        <f t="shared" si="8"/>
        <v>0</v>
      </c>
      <c r="AF3" s="216">
        <f t="shared" si="9"/>
        <v>0</v>
      </c>
      <c r="AG3" s="216">
        <f t="shared" si="10"/>
        <v>0</v>
      </c>
      <c r="AH3" s="216">
        <f t="shared" si="11"/>
        <v>0</v>
      </c>
      <c r="AI3" s="216">
        <f t="shared" si="12"/>
        <v>0</v>
      </c>
      <c r="AJ3" s="216">
        <f>SUM(X3:AI3)</f>
        <v>17300</v>
      </c>
      <c r="AK3" s="222">
        <f t="shared" ref="AK3:AK66" si="18">AJ3-G3</f>
        <v>0</v>
      </c>
    </row>
    <row r="4" spans="1:37" ht="15.75" outlineLevel="1" x14ac:dyDescent="0.25">
      <c r="A4" s="149">
        <v>3</v>
      </c>
      <c r="B4" s="212" t="s">
        <v>19</v>
      </c>
      <c r="C4" s="148"/>
      <c r="D4" s="148">
        <v>3739.99</v>
      </c>
      <c r="E4" s="142">
        <f t="shared" si="14"/>
        <v>15480</v>
      </c>
      <c r="F4" s="191">
        <f>SUMIF('[1]Табель цех 1 по 15 серпня'!$B:$B,B4,'[1]Табель цех 1 по 15 серпня'!$H:$H)</f>
        <v>-55.900000000001455</v>
      </c>
      <c r="G4" s="191">
        <f t="shared" si="15"/>
        <v>11700</v>
      </c>
      <c r="H4" s="191">
        <f t="shared" si="1"/>
        <v>-15.890000000001237</v>
      </c>
      <c r="I4" s="192">
        <f>ИТР!S4</f>
        <v>86</v>
      </c>
      <c r="J4" s="193">
        <v>180</v>
      </c>
      <c r="K4" s="219">
        <f>SUMIF(ИТР!B:B,B4,ИТР!S:S)</f>
        <v>86</v>
      </c>
      <c r="L4" s="194">
        <f>SUMIF(Цо!R:R,B4,Цо!AI:AI)</f>
        <v>0</v>
      </c>
      <c r="M4" s="194">
        <f>SUMIF(IRS!B:B,B4,IRS!S:S)</f>
        <v>0</v>
      </c>
      <c r="N4" s="194">
        <f>SUMIF(Катеринополь!B:B,B4,Катеринополь!S:S)</f>
        <v>0</v>
      </c>
      <c r="Q4" s="194">
        <f>SUMIF('ООН 2025'!B:B,B4,'ООН 2025'!S:S)</f>
        <v>0</v>
      </c>
      <c r="R4" s="194">
        <f>SUMIF('Червоний хрест'!B:B,B4,'Червоний хрест'!S:S)</f>
        <v>0</v>
      </c>
      <c r="T4" s="194">
        <f>SUMIF(Кернел!B:B,B4,Кернел!S:S)</f>
        <v>0</v>
      </c>
      <c r="U4" s="194">
        <f>SUMIF('Глобино Мк'!B:B,B4,'Глобино Мк'!S:S)</f>
        <v>0</v>
      </c>
      <c r="V4" s="194">
        <f>SUMIF('МД Франківськ'!B:B,B4,'МД Франківськ'!S:S)</f>
        <v>0</v>
      </c>
      <c r="W4" s="216">
        <f t="shared" si="16"/>
        <v>0</v>
      </c>
      <c r="X4" s="216">
        <f t="shared" si="17"/>
        <v>11700</v>
      </c>
      <c r="Y4" s="216">
        <f t="shared" si="2"/>
        <v>0</v>
      </c>
      <c r="Z4" s="216">
        <f t="shared" si="3"/>
        <v>0</v>
      </c>
      <c r="AA4" s="216">
        <f t="shared" si="4"/>
        <v>0</v>
      </c>
      <c r="AB4" s="216">
        <f t="shared" si="5"/>
        <v>0</v>
      </c>
      <c r="AC4" s="216">
        <f t="shared" si="6"/>
        <v>0</v>
      </c>
      <c r="AD4" s="216">
        <f t="shared" si="7"/>
        <v>0</v>
      </c>
      <c r="AE4" s="216">
        <f t="shared" si="8"/>
        <v>0</v>
      </c>
      <c r="AF4" s="216">
        <f t="shared" si="9"/>
        <v>0</v>
      </c>
      <c r="AG4" s="216">
        <f t="shared" si="10"/>
        <v>0</v>
      </c>
      <c r="AH4" s="216">
        <f t="shared" si="11"/>
        <v>0</v>
      </c>
      <c r="AI4" s="216">
        <f t="shared" si="12"/>
        <v>0</v>
      </c>
      <c r="AJ4" s="216">
        <f t="shared" ref="AJ4:AJ67" si="19">SUM(X4:AI4)</f>
        <v>11700</v>
      </c>
      <c r="AK4" s="222">
        <f t="shared" si="18"/>
        <v>0</v>
      </c>
    </row>
    <row r="5" spans="1:37" ht="15.75" outlineLevel="1" x14ac:dyDescent="0.25">
      <c r="A5" s="149">
        <v>1</v>
      </c>
      <c r="B5" s="150" t="s">
        <v>10</v>
      </c>
      <c r="C5" s="148"/>
      <c r="D5" s="148">
        <v>3739.99</v>
      </c>
      <c r="E5" s="142">
        <f t="shared" si="14"/>
        <v>18300</v>
      </c>
      <c r="F5" s="191">
        <f>SUMIF('[1]Табель цех 1 по 15 серпня'!$B:$B,B5,'[1]Табель цех 1 по 15 серпня'!$H:$H)</f>
        <v>102.23999999999978</v>
      </c>
      <c r="G5" s="191">
        <f t="shared" si="15"/>
        <v>14600</v>
      </c>
      <c r="H5" s="191">
        <f t="shared" si="1"/>
        <v>62.249999999998181</v>
      </c>
      <c r="I5" s="192">
        <f>Цо!AI2+IRS!S2+Катеринополь!S2+'Червоний хрест'!S2+'ООН 2025'!S2+Кернел!S2+'Глобино Мк'!S2+'МД Франківськ'!S2</f>
        <v>122</v>
      </c>
      <c r="J5" s="44">
        <v>150</v>
      </c>
      <c r="K5" s="219">
        <f>SUMIF(ИТР!B:B,B5,ИТР!S:S)</f>
        <v>0</v>
      </c>
      <c r="L5" s="194">
        <f>SUMIF(Цо!R:R,B5,Цо!AI:AI)</f>
        <v>0</v>
      </c>
      <c r="M5" s="194">
        <f>SUMIF(IRS!B:B,B5,IRS!S:S)</f>
        <v>0</v>
      </c>
      <c r="N5" s="194">
        <f>SUMIF(Катеринополь!B:B,B5,Катеринополь!S:S)</f>
        <v>61</v>
      </c>
      <c r="Q5" s="194">
        <f>SUMIF('ООН 2025'!B:B,B5,'ООН 2025'!S:S)</f>
        <v>0</v>
      </c>
      <c r="R5" s="194">
        <f>SUMIF('Червоний хрест'!B:B,B5,'Червоний хрест'!S:S)</f>
        <v>0</v>
      </c>
      <c r="T5" s="194">
        <f>SUMIF(Кернел!B:B,B5,Кернел!S:S)</f>
        <v>0</v>
      </c>
      <c r="U5" s="194">
        <f>SUMIF('Глобино Мк'!B:B,B5,'Глобино Мк'!S:S)</f>
        <v>61</v>
      </c>
      <c r="V5" s="194">
        <f>SUMIF('МД Франківськ'!B:B,B5,'МД Франківськ'!S:S)</f>
        <v>0</v>
      </c>
      <c r="W5" s="216">
        <f t="shared" si="16"/>
        <v>0</v>
      </c>
      <c r="X5" s="216">
        <f t="shared" si="17"/>
        <v>0</v>
      </c>
      <c r="Y5" s="216">
        <f t="shared" si="2"/>
        <v>0</v>
      </c>
      <c r="Z5" s="216">
        <f t="shared" si="3"/>
        <v>0</v>
      </c>
      <c r="AA5" s="216">
        <f t="shared" si="4"/>
        <v>7300</v>
      </c>
      <c r="AB5" s="216">
        <f t="shared" si="5"/>
        <v>0</v>
      </c>
      <c r="AC5" s="216">
        <f t="shared" si="6"/>
        <v>0</v>
      </c>
      <c r="AD5" s="216">
        <f t="shared" si="7"/>
        <v>0</v>
      </c>
      <c r="AE5" s="216">
        <f t="shared" si="8"/>
        <v>0</v>
      </c>
      <c r="AF5" s="216">
        <f t="shared" si="9"/>
        <v>0</v>
      </c>
      <c r="AG5" s="216">
        <f t="shared" si="10"/>
        <v>0</v>
      </c>
      <c r="AH5" s="216">
        <f t="shared" si="11"/>
        <v>7300</v>
      </c>
      <c r="AI5" s="216">
        <f t="shared" si="12"/>
        <v>0</v>
      </c>
      <c r="AJ5" s="216">
        <f t="shared" si="19"/>
        <v>14600</v>
      </c>
      <c r="AK5" s="222">
        <f t="shared" si="18"/>
        <v>0</v>
      </c>
    </row>
    <row r="6" spans="1:37" ht="15.75" outlineLevel="1" x14ac:dyDescent="0.25">
      <c r="A6" s="149">
        <v>2</v>
      </c>
      <c r="B6" s="150" t="s">
        <v>11</v>
      </c>
      <c r="C6" s="148"/>
      <c r="D6" s="148">
        <v>3739.99</v>
      </c>
      <c r="E6" s="142">
        <f t="shared" si="14"/>
        <v>18750</v>
      </c>
      <c r="F6" s="191">
        <f>SUMIF('[1]Табель цех 1 по 15 серпня'!$B:$B,B6,'[1]Табель цех 1 по 15 серпня'!$H:$H)</f>
        <v>69.25</v>
      </c>
      <c r="G6" s="191">
        <f t="shared" si="15"/>
        <v>15000</v>
      </c>
      <c r="H6" s="191">
        <f t="shared" si="1"/>
        <v>79.260000000000218</v>
      </c>
      <c r="I6" s="192">
        <f>Цо!AI3+IRS!S3+Катеринополь!S3+'Червоний хрест'!S3+'ООН 2025'!S3+Кернел!S3+'Глобино Мк'!S3+'МД Франківськ'!S3</f>
        <v>125</v>
      </c>
      <c r="J6" s="44">
        <v>150</v>
      </c>
      <c r="K6" s="219">
        <f>SUMIF(ИТР!B:B,B6,ИТР!S:S)</f>
        <v>0</v>
      </c>
      <c r="L6" s="194">
        <f>SUMIF(Цо!R:R,B6,Цо!AI:AI)</f>
        <v>125</v>
      </c>
      <c r="M6" s="194">
        <f>SUMIF(IRS!B:B,B6,IRS!S:S)</f>
        <v>0</v>
      </c>
      <c r="N6" s="194">
        <f>SUMIF(Катеринополь!B:B,B6,Катеринополь!S:S)</f>
        <v>0</v>
      </c>
      <c r="Q6" s="194">
        <f>SUMIF('ООН 2025'!B:B,B6,'ООН 2025'!S:S)</f>
        <v>0</v>
      </c>
      <c r="R6" s="194">
        <f>SUMIF('Червоний хрест'!B:B,B6,'Червоний хрест'!S:S)</f>
        <v>0</v>
      </c>
      <c r="T6" s="194">
        <f>SUMIF(Кернел!B:B,B6,Кернел!S:S)</f>
        <v>0</v>
      </c>
      <c r="U6" s="194">
        <f>SUMIF('Глобино Мк'!B:B,B6,'Глобино Мк'!S:S)</f>
        <v>0</v>
      </c>
      <c r="V6" s="194">
        <f>SUMIF('МД Франківськ'!B:B,B6,'МД Франківськ'!S:S)</f>
        <v>0</v>
      </c>
      <c r="W6" s="216">
        <f t="shared" si="16"/>
        <v>0</v>
      </c>
      <c r="X6" s="216">
        <f t="shared" si="17"/>
        <v>0</v>
      </c>
      <c r="Y6" s="216">
        <f t="shared" si="2"/>
        <v>15000</v>
      </c>
      <c r="Z6" s="216">
        <f t="shared" si="3"/>
        <v>0</v>
      </c>
      <c r="AA6" s="216">
        <f t="shared" si="4"/>
        <v>0</v>
      </c>
      <c r="AB6" s="216">
        <f t="shared" si="5"/>
        <v>0</v>
      </c>
      <c r="AC6" s="216">
        <f t="shared" si="6"/>
        <v>0</v>
      </c>
      <c r="AD6" s="216">
        <f t="shared" si="7"/>
        <v>0</v>
      </c>
      <c r="AE6" s="216">
        <f t="shared" si="8"/>
        <v>0</v>
      </c>
      <c r="AF6" s="216">
        <f t="shared" si="9"/>
        <v>0</v>
      </c>
      <c r="AG6" s="216">
        <f t="shared" si="10"/>
        <v>0</v>
      </c>
      <c r="AH6" s="216">
        <f t="shared" si="11"/>
        <v>0</v>
      </c>
      <c r="AI6" s="216">
        <f t="shared" si="12"/>
        <v>0</v>
      </c>
      <c r="AJ6" s="216">
        <f t="shared" si="19"/>
        <v>15000</v>
      </c>
      <c r="AK6" s="222">
        <f t="shared" si="18"/>
        <v>0</v>
      </c>
    </row>
    <row r="7" spans="1:37" ht="15.75" outlineLevel="1" x14ac:dyDescent="0.25">
      <c r="A7" s="149">
        <v>3</v>
      </c>
      <c r="B7" s="150" t="s">
        <v>12</v>
      </c>
      <c r="C7" s="148">
        <v>9162.5</v>
      </c>
      <c r="D7" s="148">
        <v>3739.99</v>
      </c>
      <c r="E7" s="142">
        <f t="shared" si="14"/>
        <v>50400</v>
      </c>
      <c r="F7" s="191">
        <f>SUMIF('[1]Табель цех 1 по 15 серпня'!$B:$B,B7,'[1]Табель цех 1 по 15 серпня'!$H:$H)</f>
        <v>-30.760000000002037</v>
      </c>
      <c r="G7" s="191">
        <f t="shared" si="15"/>
        <v>37500</v>
      </c>
      <c r="H7" s="191">
        <f t="shared" si="1"/>
        <v>-33.25</v>
      </c>
      <c r="I7" s="192">
        <f>Цо!AI4+IRS!S4+Катеринополь!S4+'Червоний хрест'!S4+'ООН 2025'!S4+Кернел!S4+'Глобино Мк'!S4+'МД Франківськ'!S4</f>
        <v>336</v>
      </c>
      <c r="J7" s="44">
        <v>150</v>
      </c>
      <c r="K7" s="219">
        <f>SUMIF(ИТР!B:B,B7,ИТР!S:S)</f>
        <v>0</v>
      </c>
      <c r="L7" s="194">
        <f>SUMIF(Цо!R:R,B7,Цо!AI:AI)</f>
        <v>0</v>
      </c>
      <c r="M7" s="194">
        <f>SUMIF(IRS!B:B,B7,IRS!S:S)</f>
        <v>0</v>
      </c>
      <c r="N7" s="194">
        <f>SUMIF(Катеринополь!B:B,B7,Катеринополь!S:S)</f>
        <v>0</v>
      </c>
      <c r="Q7" s="194">
        <f>SUMIF('ООН 2025'!B:B,B7,'ООН 2025'!S:S)</f>
        <v>0</v>
      </c>
      <c r="R7" s="194">
        <f>SUMIF('Червоний хрест'!B:B,B7,'Червоний хрест'!S:S)</f>
        <v>0</v>
      </c>
      <c r="T7" s="194">
        <f>SUMIF(Кернел!B:B,B7,Кернел!S:S)</f>
        <v>336</v>
      </c>
      <c r="U7" s="194">
        <f>SUMIF('Глобино Мк'!B:B,B7,'Глобино Мк'!S:S)</f>
        <v>0</v>
      </c>
      <c r="V7" s="194">
        <f>SUMIF('МД Франківськ'!B:B,B7,'МД Франківськ'!S:S)</f>
        <v>0</v>
      </c>
      <c r="W7" s="216">
        <f t="shared" si="16"/>
        <v>0</v>
      </c>
      <c r="X7" s="216">
        <f t="shared" si="17"/>
        <v>0</v>
      </c>
      <c r="Y7" s="216">
        <f t="shared" si="2"/>
        <v>0</v>
      </c>
      <c r="Z7" s="216">
        <f t="shared" si="3"/>
        <v>0</v>
      </c>
      <c r="AA7" s="216">
        <f t="shared" si="4"/>
        <v>0</v>
      </c>
      <c r="AB7" s="216">
        <f t="shared" si="5"/>
        <v>0</v>
      </c>
      <c r="AC7" s="216">
        <f t="shared" si="6"/>
        <v>0</v>
      </c>
      <c r="AD7" s="216">
        <f t="shared" si="7"/>
        <v>0</v>
      </c>
      <c r="AE7" s="216">
        <f t="shared" si="8"/>
        <v>0</v>
      </c>
      <c r="AF7" s="216">
        <f t="shared" si="9"/>
        <v>0</v>
      </c>
      <c r="AG7" s="216">
        <f t="shared" si="10"/>
        <v>37500</v>
      </c>
      <c r="AH7" s="216">
        <f t="shared" si="11"/>
        <v>0</v>
      </c>
      <c r="AI7" s="216">
        <f t="shared" si="12"/>
        <v>0</v>
      </c>
      <c r="AJ7" s="216">
        <f t="shared" si="19"/>
        <v>37500</v>
      </c>
      <c r="AK7" s="222">
        <f t="shared" si="18"/>
        <v>0</v>
      </c>
    </row>
    <row r="8" spans="1:37" ht="15.75" outlineLevel="1" x14ac:dyDescent="0.25">
      <c r="A8" s="149">
        <v>4</v>
      </c>
      <c r="B8" s="150" t="s">
        <v>664</v>
      </c>
      <c r="C8" s="148"/>
      <c r="D8" s="148">
        <v>3739.99</v>
      </c>
      <c r="E8" s="142">
        <f t="shared" si="14"/>
        <v>17400</v>
      </c>
      <c r="F8" s="191">
        <f>SUMIF('[1]Табель цех 1 по 15 серпня'!$B:$B,B8,'[1]Табель цех 1 по 15 серпня'!$H:$H)</f>
        <v>-11.749999999998181</v>
      </c>
      <c r="G8" s="191">
        <f t="shared" si="15"/>
        <v>13700</v>
      </c>
      <c r="H8" s="191">
        <f t="shared" si="1"/>
        <v>-51.739999999999782</v>
      </c>
      <c r="I8" s="192">
        <f>Цо!AI5+IRS!S5+Катеринополь!S5+'Червоний хрест'!S5+'ООН 2025'!S5+Кернел!S5+'Глобино Мк'!S5+'МД Франківськ'!S5</f>
        <v>116</v>
      </c>
      <c r="J8" s="44">
        <v>150</v>
      </c>
      <c r="K8" s="219">
        <f>SUMIF(ИТР!B:B,B8,ИТР!S:S)</f>
        <v>0</v>
      </c>
      <c r="L8" s="194">
        <f>SUMIF(Цо!R:R,B8,Цо!AI:AI)</f>
        <v>0</v>
      </c>
      <c r="M8" s="194">
        <f>SUMIF(IRS!B:B,B8,IRS!S:S)</f>
        <v>0</v>
      </c>
      <c r="N8" s="194">
        <f>SUMIF(Катеринополь!B:B,B8,Катеринополь!S:S)</f>
        <v>0</v>
      </c>
      <c r="Q8" s="194">
        <f>SUMIF('ООН 2025'!B:B,B8,'ООН 2025'!S:S)</f>
        <v>116</v>
      </c>
      <c r="R8" s="194">
        <f>SUMIF('Червоний хрест'!B:B,B8,'Червоний хрест'!S:S)</f>
        <v>0</v>
      </c>
      <c r="T8" s="194">
        <f>SUMIF(Кернел!B:B,B8,Кернел!S:S)</f>
        <v>0</v>
      </c>
      <c r="U8" s="194">
        <f>SUMIF('Глобино Мк'!B:B,B8,'Глобино Мк'!S:S)</f>
        <v>0</v>
      </c>
      <c r="V8" s="194">
        <f>SUMIF('МД Франківськ'!B:B,B8,'МД Франківськ'!S:S)</f>
        <v>0</v>
      </c>
      <c r="W8" s="216">
        <f t="shared" si="16"/>
        <v>0</v>
      </c>
      <c r="X8" s="216">
        <f t="shared" si="17"/>
        <v>0</v>
      </c>
      <c r="Y8" s="216">
        <f t="shared" si="2"/>
        <v>0</v>
      </c>
      <c r="Z8" s="216">
        <f t="shared" si="3"/>
        <v>0</v>
      </c>
      <c r="AA8" s="216">
        <f t="shared" si="4"/>
        <v>0</v>
      </c>
      <c r="AB8" s="216">
        <f t="shared" si="5"/>
        <v>0</v>
      </c>
      <c r="AC8" s="216">
        <f t="shared" si="6"/>
        <v>0</v>
      </c>
      <c r="AD8" s="216">
        <f t="shared" si="7"/>
        <v>13700</v>
      </c>
      <c r="AE8" s="216">
        <f t="shared" si="8"/>
        <v>0</v>
      </c>
      <c r="AF8" s="216">
        <f t="shared" si="9"/>
        <v>0</v>
      </c>
      <c r="AG8" s="216">
        <f t="shared" si="10"/>
        <v>0</v>
      </c>
      <c r="AH8" s="216">
        <f t="shared" si="11"/>
        <v>0</v>
      </c>
      <c r="AI8" s="216">
        <f t="shared" si="12"/>
        <v>0</v>
      </c>
      <c r="AJ8" s="216">
        <f t="shared" si="19"/>
        <v>13700</v>
      </c>
      <c r="AK8" s="222">
        <f t="shared" si="18"/>
        <v>0</v>
      </c>
    </row>
    <row r="9" spans="1:37" ht="15.75" outlineLevel="1" x14ac:dyDescent="0.25">
      <c r="A9" s="149">
        <v>5</v>
      </c>
      <c r="B9" s="150" t="s">
        <v>14</v>
      </c>
      <c r="C9" s="148"/>
      <c r="D9" s="148">
        <v>1869.98</v>
      </c>
      <c r="E9" s="142">
        <f t="shared" si="14"/>
        <v>8250</v>
      </c>
      <c r="F9" s="191">
        <f>SUMIF('[1]Табель цех 1 по 15 серпня'!$B:$B,B9,'[1]Табель цех 1 по 15 серпня'!$H:$H)</f>
        <v>-96.849999999996726</v>
      </c>
      <c r="G9" s="191">
        <f t="shared" si="15"/>
        <v>6400</v>
      </c>
      <c r="H9" s="191">
        <f t="shared" si="1"/>
        <v>-116.82999999999629</v>
      </c>
      <c r="I9" s="192">
        <f>Цо!AI6+IRS!S6+Катеринополь!S6+'Червоний хрест'!S6+'ООН 2025'!S6+Кернел!S6+'Глобино Мк'!S6+'МД Франківськ'!S6</f>
        <v>55</v>
      </c>
      <c r="J9" s="44">
        <v>150</v>
      </c>
      <c r="K9" s="219">
        <f>SUMIF(ИТР!B:B,B9,ИТР!S:S)</f>
        <v>0</v>
      </c>
      <c r="L9" s="194">
        <f>SUMIF(Цо!R:R,B9,Цо!AI:AI)</f>
        <v>0</v>
      </c>
      <c r="M9" s="194">
        <f>SUMIF(IRS!B:B,B9,IRS!S:S)</f>
        <v>0</v>
      </c>
      <c r="N9" s="194">
        <f>SUMIF(Катеринополь!B:B,B9,Катеринополь!S:S)</f>
        <v>0</v>
      </c>
      <c r="Q9" s="194">
        <f>SUMIF('ООН 2025'!B:B,B9,'ООН 2025'!S:S)</f>
        <v>55</v>
      </c>
      <c r="R9" s="194">
        <f>SUMIF('Червоний хрест'!B:B,B9,'Червоний хрест'!S:S)</f>
        <v>0</v>
      </c>
      <c r="T9" s="194">
        <f>SUMIF(Кернел!B:B,B9,Кернел!S:S)</f>
        <v>0</v>
      </c>
      <c r="U9" s="194">
        <f>SUMIF('Глобино Мк'!B:B,B9,'Глобино Мк'!S:S)</f>
        <v>0</v>
      </c>
      <c r="V9" s="194">
        <f>SUMIF('МД Франківськ'!B:B,B9,'МД Франківськ'!S:S)</f>
        <v>0</v>
      </c>
      <c r="W9" s="216">
        <f t="shared" si="16"/>
        <v>0</v>
      </c>
      <c r="X9" s="216">
        <f t="shared" si="17"/>
        <v>0</v>
      </c>
      <c r="Y9" s="216">
        <f t="shared" si="2"/>
        <v>0</v>
      </c>
      <c r="Z9" s="216">
        <f t="shared" si="3"/>
        <v>0</v>
      </c>
      <c r="AA9" s="216">
        <f t="shared" si="4"/>
        <v>0</v>
      </c>
      <c r="AB9" s="216">
        <f t="shared" si="5"/>
        <v>0</v>
      </c>
      <c r="AC9" s="216">
        <f t="shared" si="6"/>
        <v>0</v>
      </c>
      <c r="AD9" s="216">
        <f t="shared" si="7"/>
        <v>6400</v>
      </c>
      <c r="AE9" s="216">
        <f t="shared" si="8"/>
        <v>0</v>
      </c>
      <c r="AF9" s="216">
        <f t="shared" si="9"/>
        <v>0</v>
      </c>
      <c r="AG9" s="216">
        <f t="shared" si="10"/>
        <v>0</v>
      </c>
      <c r="AH9" s="216">
        <f t="shared" si="11"/>
        <v>0</v>
      </c>
      <c r="AI9" s="216">
        <f t="shared" si="12"/>
        <v>0</v>
      </c>
      <c r="AJ9" s="216">
        <f t="shared" si="19"/>
        <v>6400</v>
      </c>
      <c r="AK9" s="222">
        <f t="shared" si="18"/>
        <v>0</v>
      </c>
    </row>
    <row r="10" spans="1:37" ht="15.75" outlineLevel="1" x14ac:dyDescent="0.25">
      <c r="A10" s="149">
        <v>6</v>
      </c>
      <c r="B10" s="150" t="s">
        <v>15</v>
      </c>
      <c r="C10" s="148"/>
      <c r="D10" s="148">
        <v>3740.01</v>
      </c>
      <c r="E10" s="142">
        <f t="shared" si="14"/>
        <v>16500</v>
      </c>
      <c r="F10" s="191">
        <f>SUMIF('[1]Табель цех 1 по 15 серпня'!$B:$B,B10,'[1]Табель цех 1 по 15 серпня'!$H:$H)</f>
        <v>48.559999999995853</v>
      </c>
      <c r="G10" s="191">
        <f t="shared" si="15"/>
        <v>12800</v>
      </c>
      <c r="H10" s="191">
        <f t="shared" si="1"/>
        <v>8.5499999999974534</v>
      </c>
      <c r="I10" s="192">
        <f>Цо!AI7+IRS!S7+Катеринополь!S7+'Червоний хрест'!S7+'ООН 2025'!S7+Кернел!S7+'Глобино Мк'!S7+'МД Франківськ'!S7</f>
        <v>110</v>
      </c>
      <c r="J10" s="44">
        <v>150</v>
      </c>
      <c r="K10" s="219">
        <f>SUMIF(ИТР!B:B,B10,ИТР!S:S)</f>
        <v>0</v>
      </c>
      <c r="L10" s="194">
        <f>SUMIF(Цо!R:R,B10,Цо!AI:AI)</f>
        <v>0</v>
      </c>
      <c r="M10" s="194">
        <f>SUMIF(IRS!B:B,B10,IRS!S:S)</f>
        <v>0</v>
      </c>
      <c r="N10" s="194">
        <f>SUMIF(Катеринополь!B:B,B10,Катеринополь!S:S)</f>
        <v>71</v>
      </c>
      <c r="Q10" s="194">
        <f>SUMIF('ООН 2025'!B:B,B10,'ООН 2025'!S:S)</f>
        <v>0</v>
      </c>
      <c r="R10" s="194">
        <f>SUMIF('Червоний хрест'!B:B,B10,'Червоний хрест'!S:S)</f>
        <v>0</v>
      </c>
      <c r="T10" s="194">
        <f>SUMIF(Кернел!B:B,B10,Кернел!S:S)</f>
        <v>0</v>
      </c>
      <c r="U10" s="194">
        <f>SUMIF('Глобино Мк'!B:B,B10,'Глобино Мк'!S:S)</f>
        <v>39</v>
      </c>
      <c r="V10" s="194">
        <f>SUMIF('МД Франківськ'!B:B,B10,'МД Франківськ'!S:S)</f>
        <v>0</v>
      </c>
      <c r="W10" s="216">
        <f t="shared" si="16"/>
        <v>0</v>
      </c>
      <c r="X10" s="216">
        <f t="shared" si="17"/>
        <v>0</v>
      </c>
      <c r="Y10" s="216">
        <f t="shared" si="2"/>
        <v>0</v>
      </c>
      <c r="Z10" s="216">
        <f t="shared" si="3"/>
        <v>0</v>
      </c>
      <c r="AA10" s="216">
        <f t="shared" si="4"/>
        <v>8261.818181818182</v>
      </c>
      <c r="AB10" s="216">
        <f t="shared" si="5"/>
        <v>0</v>
      </c>
      <c r="AC10" s="216">
        <f t="shared" si="6"/>
        <v>0</v>
      </c>
      <c r="AD10" s="216">
        <f t="shared" si="7"/>
        <v>0</v>
      </c>
      <c r="AE10" s="216">
        <f t="shared" si="8"/>
        <v>0</v>
      </c>
      <c r="AF10" s="216">
        <f t="shared" si="9"/>
        <v>0</v>
      </c>
      <c r="AG10" s="216">
        <f t="shared" si="10"/>
        <v>0</v>
      </c>
      <c r="AH10" s="216">
        <f t="shared" si="11"/>
        <v>4538.181818181818</v>
      </c>
      <c r="AI10" s="216">
        <f t="shared" si="12"/>
        <v>0</v>
      </c>
      <c r="AJ10" s="216">
        <f t="shared" si="19"/>
        <v>12800</v>
      </c>
      <c r="AK10" s="222">
        <f t="shared" si="18"/>
        <v>0</v>
      </c>
    </row>
    <row r="11" spans="1:37" ht="15.75" outlineLevel="1" x14ac:dyDescent="0.25">
      <c r="A11" s="149">
        <v>7</v>
      </c>
      <c r="B11" s="150" t="s">
        <v>16</v>
      </c>
      <c r="C11" s="148"/>
      <c r="D11" s="148">
        <v>1869.98</v>
      </c>
      <c r="E11" s="142">
        <f t="shared" si="14"/>
        <v>14100</v>
      </c>
      <c r="F11" s="191">
        <f>SUMIF('[1]Табель цех 1 по 15 серпня'!$B:$B,B11,'[1]Табель цех 1 по 15 серпня'!$H:$H)</f>
        <v>-13.260000000002037</v>
      </c>
      <c r="G11" s="191">
        <f t="shared" si="15"/>
        <v>12200</v>
      </c>
      <c r="H11" s="191">
        <f t="shared" si="1"/>
        <v>16.759999999998399</v>
      </c>
      <c r="I11" s="192">
        <f>Цо!AI8+IRS!S8+Катеринополь!S8+'Червоний хрест'!S8+'ООН 2025'!S8+Кернел!S8+'Глобино Мк'!S8+'МД Франківськ'!S8</f>
        <v>94</v>
      </c>
      <c r="J11" s="44">
        <v>150</v>
      </c>
      <c r="K11" s="219">
        <f>SUMIF(ИТР!B:B,B11,ИТР!S:S)</f>
        <v>0</v>
      </c>
      <c r="L11" s="194">
        <f>SUMIF(Цо!R:R,B11,Цо!AI:AI)</f>
        <v>0</v>
      </c>
      <c r="M11" s="194">
        <f>SUMIF(IRS!B:B,B11,IRS!S:S)</f>
        <v>0</v>
      </c>
      <c r="N11" s="194">
        <f>SUMIF(Катеринополь!B:B,B11,Катеринополь!S:S)</f>
        <v>22</v>
      </c>
      <c r="Q11" s="194">
        <f>SUMIF('ООН 2025'!B:B,B11,'ООН 2025'!S:S)</f>
        <v>0</v>
      </c>
      <c r="R11" s="194">
        <f>SUMIF('Червоний хрест'!B:B,B11,'Червоний хрест'!S:S)</f>
        <v>72</v>
      </c>
      <c r="T11" s="194">
        <f>SUMIF(Кернел!B:B,B11,Кернел!S:S)</f>
        <v>0</v>
      </c>
      <c r="U11" s="194">
        <f>SUMIF('Глобино Мк'!B:B,B11,'Глобино Мк'!S:S)</f>
        <v>0</v>
      </c>
      <c r="V11" s="194">
        <f>SUMIF('МД Франківськ'!B:B,B11,'МД Франківськ'!S:S)</f>
        <v>0</v>
      </c>
      <c r="W11" s="216">
        <f t="shared" si="16"/>
        <v>0</v>
      </c>
      <c r="X11" s="216">
        <f t="shared" si="17"/>
        <v>0</v>
      </c>
      <c r="Y11" s="216">
        <f t="shared" si="2"/>
        <v>0</v>
      </c>
      <c r="Z11" s="216">
        <f t="shared" si="3"/>
        <v>0</v>
      </c>
      <c r="AA11" s="216">
        <f t="shared" si="4"/>
        <v>2855.3191489361702</v>
      </c>
      <c r="AB11" s="216">
        <f t="shared" si="5"/>
        <v>0</v>
      </c>
      <c r="AC11" s="216">
        <f t="shared" si="6"/>
        <v>0</v>
      </c>
      <c r="AD11" s="216">
        <f t="shared" si="7"/>
        <v>0</v>
      </c>
      <c r="AE11" s="216">
        <f t="shared" si="8"/>
        <v>9344.6808510638293</v>
      </c>
      <c r="AF11" s="216">
        <f t="shared" si="9"/>
        <v>0</v>
      </c>
      <c r="AG11" s="216">
        <f t="shared" si="10"/>
        <v>0</v>
      </c>
      <c r="AH11" s="216">
        <f t="shared" si="11"/>
        <v>0</v>
      </c>
      <c r="AI11" s="216">
        <f t="shared" si="12"/>
        <v>0</v>
      </c>
      <c r="AJ11" s="216">
        <f t="shared" si="19"/>
        <v>12200</v>
      </c>
      <c r="AK11" s="222">
        <f t="shared" si="18"/>
        <v>0</v>
      </c>
    </row>
    <row r="12" spans="1:37" s="194" customFormat="1" ht="15.75" outlineLevel="1" x14ac:dyDescent="0.25">
      <c r="A12" s="149">
        <v>8</v>
      </c>
      <c r="B12" s="150" t="s">
        <v>4</v>
      </c>
      <c r="C12" s="148">
        <v>9162.5</v>
      </c>
      <c r="D12" s="189">
        <v>3739.99</v>
      </c>
      <c r="E12" s="190">
        <f t="shared" si="14"/>
        <v>54000</v>
      </c>
      <c r="F12" s="191">
        <f>SUMIF('[1]Табель цех 1 по 15 серпня'!$B:$B,B12,'[1]Табель цех 1 по 15 серпня'!$H:$H)</f>
        <v>-37.970000000001164</v>
      </c>
      <c r="G12" s="191">
        <f t="shared" si="15"/>
        <v>41100</v>
      </c>
      <c r="H12" s="191">
        <f t="shared" si="1"/>
        <v>-40.459999999999127</v>
      </c>
      <c r="I12" s="192">
        <f>Цо!AI9+IRS!S9+Катеринополь!S9+'Червоний хрест'!S9+'ООН 2025'!S9+Кернел!S9+'Глобино Мк'!S9+'МД Франківськ'!S9</f>
        <v>360</v>
      </c>
      <c r="J12" s="44">
        <v>150</v>
      </c>
      <c r="K12" s="219">
        <f>SUMIF(ИТР!B:B,B12,ИТР!S:S)</f>
        <v>0</v>
      </c>
      <c r="L12" s="194">
        <f>SUMIF(Цо!R:R,B12,Цо!AI:AI)</f>
        <v>0</v>
      </c>
      <c r="M12" s="194">
        <f>SUMIF(IRS!B:B,B12,IRS!S:S)</f>
        <v>0</v>
      </c>
      <c r="N12" s="194">
        <f>SUMIF(Катеринополь!B:B,B12,Катеринополь!S:S)</f>
        <v>0</v>
      </c>
      <c r="O12" s="1"/>
      <c r="P12" s="1"/>
      <c r="Q12" s="194">
        <f>SUMIF('ООН 2025'!B:B,B12,'ООН 2025'!S:S)</f>
        <v>0</v>
      </c>
      <c r="R12" s="194">
        <f>SUMIF('Червоний хрест'!B:B,B12,'Червоний хрест'!S:S)</f>
        <v>0</v>
      </c>
      <c r="S12" s="1"/>
      <c r="T12" s="194">
        <f>SUMIF(Кернел!B:B,B12,Кернел!S:S)</f>
        <v>360</v>
      </c>
      <c r="U12" s="194">
        <f>SUMIF('Глобино Мк'!B:B,B12,'Глобино Мк'!S:S)</f>
        <v>0</v>
      </c>
      <c r="V12" s="194">
        <f>SUMIF('МД Франківськ'!B:B,B12,'МД Франківськ'!S:S)</f>
        <v>0</v>
      </c>
      <c r="W12" s="216">
        <f t="shared" si="16"/>
        <v>0</v>
      </c>
      <c r="X12" s="216">
        <f t="shared" si="17"/>
        <v>0</v>
      </c>
      <c r="Y12" s="216">
        <f t="shared" si="2"/>
        <v>0</v>
      </c>
      <c r="Z12" s="216">
        <f t="shared" si="3"/>
        <v>0</v>
      </c>
      <c r="AA12" s="216">
        <f t="shared" si="4"/>
        <v>0</v>
      </c>
      <c r="AB12" s="216">
        <f t="shared" si="5"/>
        <v>0</v>
      </c>
      <c r="AC12" s="216">
        <f t="shared" si="6"/>
        <v>0</v>
      </c>
      <c r="AD12" s="216">
        <f t="shared" si="7"/>
        <v>0</v>
      </c>
      <c r="AE12" s="216">
        <f t="shared" si="8"/>
        <v>0</v>
      </c>
      <c r="AF12" s="216">
        <f t="shared" si="9"/>
        <v>0</v>
      </c>
      <c r="AG12" s="216">
        <f t="shared" si="10"/>
        <v>41100</v>
      </c>
      <c r="AH12" s="216">
        <f t="shared" si="11"/>
        <v>0</v>
      </c>
      <c r="AI12" s="216">
        <f t="shared" si="12"/>
        <v>0</v>
      </c>
      <c r="AJ12" s="216">
        <f t="shared" si="19"/>
        <v>41100</v>
      </c>
      <c r="AK12" s="222">
        <f t="shared" si="18"/>
        <v>0</v>
      </c>
    </row>
    <row r="13" spans="1:37" ht="15.75" outlineLevel="1" x14ac:dyDescent="0.25">
      <c r="A13" s="149">
        <v>9</v>
      </c>
      <c r="B13" s="150" t="s">
        <v>5</v>
      </c>
      <c r="C13" s="148"/>
      <c r="D13" s="148">
        <v>3739.99</v>
      </c>
      <c r="E13" s="142">
        <f t="shared" si="14"/>
        <v>19200</v>
      </c>
      <c r="F13" s="191">
        <f>SUMIF('[1]Табель цех 1 по 15 серпня'!$B:$B,B13,'[1]Табель цех 1 по 15 серпня'!$H:$H)</f>
        <v>51.940000000004147</v>
      </c>
      <c r="G13" s="191">
        <f t="shared" si="15"/>
        <v>15500</v>
      </c>
      <c r="H13" s="191">
        <f t="shared" si="1"/>
        <v>11.950000000002547</v>
      </c>
      <c r="I13" s="192">
        <f>Цо!AI10+IRS!S10+Катеринополь!S10+'Червоний хрест'!S10+'ООН 2025'!S10+Кернел!S10+'Глобино Мк'!S10+'МД Франківськ'!S10</f>
        <v>128</v>
      </c>
      <c r="J13" s="44">
        <v>150</v>
      </c>
      <c r="K13" s="219">
        <f>SUMIF(ИТР!B:B,B13,ИТР!S:S)</f>
        <v>0</v>
      </c>
      <c r="L13" s="194">
        <f>SUMIF(Цо!R:R,B13,Цо!AI:AI)</f>
        <v>0</v>
      </c>
      <c r="M13" s="194">
        <f>SUMIF(IRS!B:B,B13,IRS!S:S)</f>
        <v>0</v>
      </c>
      <c r="N13" s="194">
        <f>SUMIF(Катеринополь!B:B,B13,Катеринополь!S:S)</f>
        <v>0</v>
      </c>
      <c r="Q13" s="194">
        <f>SUMIF('ООН 2025'!B:B,B13,'ООН 2025'!S:S)</f>
        <v>128</v>
      </c>
      <c r="R13" s="194">
        <f>SUMIF('Червоний хрест'!B:B,B13,'Червоний хрест'!S:S)</f>
        <v>0</v>
      </c>
      <c r="T13" s="194">
        <f>SUMIF(Кернел!B:B,B13,Кернел!S:S)</f>
        <v>0</v>
      </c>
      <c r="U13" s="194">
        <f>SUMIF('Глобино Мк'!B:B,B13,'Глобино Мк'!S:S)</f>
        <v>0</v>
      </c>
      <c r="V13" s="194">
        <f>SUMIF('МД Франківськ'!B:B,B13,'МД Франківськ'!S:S)</f>
        <v>0</v>
      </c>
      <c r="W13" s="216">
        <f t="shared" si="16"/>
        <v>0</v>
      </c>
      <c r="X13" s="216">
        <f t="shared" si="17"/>
        <v>0</v>
      </c>
      <c r="Y13" s="216">
        <f t="shared" si="2"/>
        <v>0</v>
      </c>
      <c r="Z13" s="216">
        <f t="shared" si="3"/>
        <v>0</v>
      </c>
      <c r="AA13" s="216">
        <f t="shared" si="4"/>
        <v>0</v>
      </c>
      <c r="AB13" s="216">
        <f t="shared" si="5"/>
        <v>0</v>
      </c>
      <c r="AC13" s="216">
        <f t="shared" si="6"/>
        <v>0</v>
      </c>
      <c r="AD13" s="216">
        <f t="shared" si="7"/>
        <v>15500</v>
      </c>
      <c r="AE13" s="216">
        <f t="shared" si="8"/>
        <v>0</v>
      </c>
      <c r="AF13" s="216">
        <f t="shared" si="9"/>
        <v>0</v>
      </c>
      <c r="AG13" s="216">
        <f t="shared" si="10"/>
        <v>0</v>
      </c>
      <c r="AH13" s="216">
        <f t="shared" si="11"/>
        <v>0</v>
      </c>
      <c r="AI13" s="216">
        <f t="shared" si="12"/>
        <v>0</v>
      </c>
      <c r="AJ13" s="216">
        <f t="shared" si="19"/>
        <v>15500</v>
      </c>
      <c r="AK13" s="222">
        <f t="shared" si="18"/>
        <v>0</v>
      </c>
    </row>
    <row r="14" spans="1:37" s="194" customFormat="1" ht="15.75" outlineLevel="1" x14ac:dyDescent="0.25">
      <c r="A14" s="149">
        <v>10</v>
      </c>
      <c r="B14" s="150" t="s">
        <v>38</v>
      </c>
      <c r="C14" s="189"/>
      <c r="D14" s="189">
        <v>3739.99</v>
      </c>
      <c r="E14" s="190">
        <f t="shared" si="14"/>
        <v>16500</v>
      </c>
      <c r="F14" s="191">
        <f>SUMIF('[1]Табель цех 1 по 15 серпня'!$B:$B,B14,'[1]Табель цех 1 по 15 серпня'!$H:$H)</f>
        <v>-8.0100000000002183</v>
      </c>
      <c r="G14" s="191">
        <f t="shared" si="15"/>
        <v>12800</v>
      </c>
      <c r="H14" s="191">
        <f t="shared" si="1"/>
        <v>-48.000000000001819</v>
      </c>
      <c r="I14" s="192">
        <f>Цо!AI11+IRS!S11+Катеринополь!S11+'Червоний хрест'!S11+'ООН 2025'!S11+Кернел!S11+'Глобино Мк'!S11+'МД Франківськ'!S11</f>
        <v>110</v>
      </c>
      <c r="J14" s="44">
        <v>150</v>
      </c>
      <c r="K14" s="219">
        <f>SUMIF(ИТР!B:B,B14,ИТР!S:S)</f>
        <v>0</v>
      </c>
      <c r="L14" s="194">
        <f>SUMIF(Цо!R:R,B14,Цо!AI:AI)</f>
        <v>0</v>
      </c>
      <c r="M14" s="194">
        <f>SUMIF(IRS!B:B,B14,IRS!S:S)</f>
        <v>0</v>
      </c>
      <c r="N14" s="194">
        <f>SUMIF(Катеринополь!B:B,B14,Катеринополь!S:S)</f>
        <v>0</v>
      </c>
      <c r="O14" s="1"/>
      <c r="P14" s="1"/>
      <c r="Q14" s="194">
        <f>SUMIF('ООН 2025'!B:B,B14,'ООН 2025'!S:S)</f>
        <v>110</v>
      </c>
      <c r="R14" s="194">
        <f>SUMIF('Червоний хрест'!B:B,B14,'Червоний хрест'!S:S)</f>
        <v>0</v>
      </c>
      <c r="S14" s="1"/>
      <c r="T14" s="194">
        <f>SUMIF(Кернел!B:B,B14,Кернел!S:S)</f>
        <v>0</v>
      </c>
      <c r="U14" s="194">
        <f>SUMIF('Глобино Мк'!B:B,B14,'Глобино Мк'!S:S)</f>
        <v>0</v>
      </c>
      <c r="V14" s="194">
        <f>SUMIF('МД Франківськ'!B:B,B14,'МД Франківськ'!S:S)</f>
        <v>0</v>
      </c>
      <c r="W14" s="216">
        <f t="shared" si="16"/>
        <v>0</v>
      </c>
      <c r="X14" s="216">
        <f t="shared" si="17"/>
        <v>0</v>
      </c>
      <c r="Y14" s="216">
        <f t="shared" si="2"/>
        <v>0</v>
      </c>
      <c r="Z14" s="216">
        <f t="shared" si="3"/>
        <v>0</v>
      </c>
      <c r="AA14" s="216">
        <f t="shared" si="4"/>
        <v>0</v>
      </c>
      <c r="AB14" s="216">
        <f t="shared" si="5"/>
        <v>0</v>
      </c>
      <c r="AC14" s="216">
        <f t="shared" si="6"/>
        <v>0</v>
      </c>
      <c r="AD14" s="216">
        <f t="shared" si="7"/>
        <v>12800</v>
      </c>
      <c r="AE14" s="216">
        <f t="shared" si="8"/>
        <v>0</v>
      </c>
      <c r="AF14" s="216">
        <f t="shared" si="9"/>
        <v>0</v>
      </c>
      <c r="AG14" s="216">
        <f t="shared" si="10"/>
        <v>0</v>
      </c>
      <c r="AH14" s="216">
        <f t="shared" si="11"/>
        <v>0</v>
      </c>
      <c r="AI14" s="216">
        <f t="shared" si="12"/>
        <v>0</v>
      </c>
      <c r="AJ14" s="216">
        <f t="shared" si="19"/>
        <v>12800</v>
      </c>
      <c r="AK14" s="222">
        <f t="shared" si="18"/>
        <v>0</v>
      </c>
    </row>
    <row r="15" spans="1:37" ht="15.75" outlineLevel="1" x14ac:dyDescent="0.25">
      <c r="A15" s="149">
        <v>11</v>
      </c>
      <c r="B15" s="150" t="s">
        <v>43</v>
      </c>
      <c r="C15" s="148"/>
      <c r="D15" s="148">
        <v>3740.01</v>
      </c>
      <c r="E15" s="142">
        <f t="shared" si="14"/>
        <v>18300</v>
      </c>
      <c r="F15" s="191">
        <f>SUMIF('[1]Табель цех 1 по 15 серпня'!$B:$B,B15,'[1]Табель цех 1 по 15 серпня'!$H:$H)</f>
        <v>-69.620000000002619</v>
      </c>
      <c r="G15" s="191">
        <f t="shared" si="15"/>
        <v>14600</v>
      </c>
      <c r="H15" s="191">
        <f t="shared" si="1"/>
        <v>-109.63000000000284</v>
      </c>
      <c r="I15" s="192">
        <f>Цо!AI12+IRS!S12+Катеринополь!S12+'Червоний хрест'!S12+'ООН 2025'!S12+Кернел!S12+'Глобино Мк'!S12+'МД Франківськ'!S12</f>
        <v>122</v>
      </c>
      <c r="J15" s="44">
        <v>150</v>
      </c>
      <c r="K15" s="219">
        <f>SUMIF(ИТР!B:B,B15,ИТР!S:S)</f>
        <v>0</v>
      </c>
      <c r="L15" s="194">
        <f>SUMIF(Цо!R:R,B15,Цо!AI:AI)</f>
        <v>0</v>
      </c>
      <c r="M15" s="194">
        <f>SUMIF(IRS!B:B,B15,IRS!S:S)</f>
        <v>0</v>
      </c>
      <c r="N15" s="194">
        <f>SUMIF(Катеринополь!B:B,B15,Катеринополь!S:S)</f>
        <v>0</v>
      </c>
      <c r="Q15" s="194">
        <f>SUMIF('ООН 2025'!B:B,B15,'ООН 2025'!S:S)</f>
        <v>122</v>
      </c>
      <c r="R15" s="194">
        <f>SUMIF('Червоний хрест'!B:B,B15,'Червоний хрест'!S:S)</f>
        <v>0</v>
      </c>
      <c r="T15" s="194">
        <f>SUMIF(Кернел!B:B,B15,Кернел!S:S)</f>
        <v>0</v>
      </c>
      <c r="U15" s="194">
        <f>SUMIF('Глобино Мк'!B:B,B15,'Глобино Мк'!S:S)</f>
        <v>0</v>
      </c>
      <c r="V15" s="194">
        <f>SUMIF('МД Франківськ'!B:B,B15,'МД Франківськ'!S:S)</f>
        <v>0</v>
      </c>
      <c r="W15" s="216">
        <f t="shared" si="16"/>
        <v>0</v>
      </c>
      <c r="X15" s="216">
        <f t="shared" si="17"/>
        <v>0</v>
      </c>
      <c r="Y15" s="216">
        <f t="shared" si="2"/>
        <v>0</v>
      </c>
      <c r="Z15" s="216">
        <f t="shared" si="3"/>
        <v>0</v>
      </c>
      <c r="AA15" s="216">
        <f t="shared" si="4"/>
        <v>0</v>
      </c>
      <c r="AB15" s="216">
        <f t="shared" si="5"/>
        <v>0</v>
      </c>
      <c r="AC15" s="216">
        <f t="shared" si="6"/>
        <v>0</v>
      </c>
      <c r="AD15" s="216">
        <f t="shared" si="7"/>
        <v>14600</v>
      </c>
      <c r="AE15" s="216">
        <f t="shared" si="8"/>
        <v>0</v>
      </c>
      <c r="AF15" s="216">
        <f t="shared" si="9"/>
        <v>0</v>
      </c>
      <c r="AG15" s="216">
        <f t="shared" si="10"/>
        <v>0</v>
      </c>
      <c r="AH15" s="216">
        <f t="shared" si="11"/>
        <v>0</v>
      </c>
      <c r="AI15" s="216">
        <f t="shared" si="12"/>
        <v>0</v>
      </c>
      <c r="AJ15" s="216">
        <f t="shared" si="19"/>
        <v>14600</v>
      </c>
      <c r="AK15" s="222">
        <f t="shared" si="18"/>
        <v>0</v>
      </c>
    </row>
    <row r="16" spans="1:37" ht="15.75" outlineLevel="1" x14ac:dyDescent="0.25">
      <c r="A16" s="149">
        <v>12</v>
      </c>
      <c r="B16" s="150" t="s">
        <v>644</v>
      </c>
      <c r="C16" s="148">
        <v>9162.5</v>
      </c>
      <c r="D16" s="148">
        <v>3739.99</v>
      </c>
      <c r="E16" s="142">
        <f t="shared" si="14"/>
        <v>50400</v>
      </c>
      <c r="F16" s="191">
        <f>SUMIF('[1]Табель цех 1 по 15 серпня'!$B:$B,B16,'[1]Табель цех 1 по 15 серпня'!$H:$H)</f>
        <v>8.2199999999938882</v>
      </c>
      <c r="G16" s="191">
        <f t="shared" si="15"/>
        <v>37500</v>
      </c>
      <c r="H16" s="191">
        <f t="shared" si="1"/>
        <v>5.7299999999959255</v>
      </c>
      <c r="I16" s="192">
        <f>Цо!AI13+IRS!S13+Катеринополь!S13+'Червоний хрест'!S13+'ООН 2025'!S13+Кернел!S13+'Глобино Мк'!S13+'МД Франківськ'!S13</f>
        <v>336</v>
      </c>
      <c r="J16" s="44">
        <v>150</v>
      </c>
      <c r="K16" s="219">
        <f>SUMIF(ИТР!B:B,B16,ИТР!S:S)</f>
        <v>0</v>
      </c>
      <c r="L16" s="194">
        <f>SUMIF(Цо!R:R,B16,Цо!AI:AI)</f>
        <v>0</v>
      </c>
      <c r="M16" s="194">
        <f>SUMIF(IRS!B:B,B16,IRS!S:S)</f>
        <v>0</v>
      </c>
      <c r="N16" s="194">
        <f>SUMIF(Катеринополь!B:B,B16,Катеринополь!S:S)</f>
        <v>0</v>
      </c>
      <c r="Q16" s="194">
        <f>SUMIF('ООН 2025'!B:B,B16,'ООН 2025'!S:S)</f>
        <v>0</v>
      </c>
      <c r="R16" s="194">
        <f>SUMIF('Червоний хрест'!B:B,B16,'Червоний хрест'!S:S)</f>
        <v>0</v>
      </c>
      <c r="T16" s="194">
        <f>SUMIF(Кернел!B:B,B16,Кернел!S:S)</f>
        <v>336</v>
      </c>
      <c r="U16" s="194">
        <f>SUMIF('Глобино Мк'!B:B,B16,'Глобино Мк'!S:S)</f>
        <v>0</v>
      </c>
      <c r="V16" s="194">
        <f>SUMIF('МД Франківськ'!B:B,B16,'МД Франківськ'!S:S)</f>
        <v>0</v>
      </c>
      <c r="W16" s="216">
        <f t="shared" si="16"/>
        <v>0</v>
      </c>
      <c r="X16" s="216">
        <f t="shared" si="17"/>
        <v>0</v>
      </c>
      <c r="Y16" s="216">
        <f t="shared" si="2"/>
        <v>0</v>
      </c>
      <c r="Z16" s="216">
        <f t="shared" si="3"/>
        <v>0</v>
      </c>
      <c r="AA16" s="216">
        <f t="shared" si="4"/>
        <v>0</v>
      </c>
      <c r="AB16" s="216">
        <f t="shared" si="5"/>
        <v>0</v>
      </c>
      <c r="AC16" s="216">
        <f t="shared" si="6"/>
        <v>0</v>
      </c>
      <c r="AD16" s="216">
        <f t="shared" si="7"/>
        <v>0</v>
      </c>
      <c r="AE16" s="216">
        <f t="shared" si="8"/>
        <v>0</v>
      </c>
      <c r="AF16" s="216">
        <f t="shared" si="9"/>
        <v>0</v>
      </c>
      <c r="AG16" s="216">
        <f t="shared" si="10"/>
        <v>37500</v>
      </c>
      <c r="AH16" s="216">
        <f t="shared" si="11"/>
        <v>0</v>
      </c>
      <c r="AI16" s="216">
        <f t="shared" si="12"/>
        <v>0</v>
      </c>
      <c r="AJ16" s="216">
        <f t="shared" si="19"/>
        <v>37500</v>
      </c>
      <c r="AK16" s="222">
        <f t="shared" si="18"/>
        <v>0</v>
      </c>
    </row>
    <row r="17" spans="1:37" ht="15.75" outlineLevel="1" x14ac:dyDescent="0.25">
      <c r="A17" s="149">
        <v>13</v>
      </c>
      <c r="B17" s="150" t="s">
        <v>87</v>
      </c>
      <c r="C17" s="148"/>
      <c r="D17" s="148">
        <v>3739.99</v>
      </c>
      <c r="E17" s="142">
        <f t="shared" si="14"/>
        <v>17850</v>
      </c>
      <c r="F17" s="191">
        <f>SUMIF('[1]Табель цех 1 по 15 серпня'!$B:$B,B17,'[1]Табель цех 1 по 15 серпня'!$H:$H)</f>
        <v>31.739999999997963</v>
      </c>
      <c r="G17" s="191">
        <f t="shared" si="15"/>
        <v>14100</v>
      </c>
      <c r="H17" s="191">
        <f t="shared" si="1"/>
        <v>41.749999999998181</v>
      </c>
      <c r="I17" s="192">
        <f>Цо!AI14+IRS!S14+Катеринополь!S14+'Червоний хрест'!S14+'ООН 2025'!S14+Кернел!S14+'Глобино Мк'!S14+'МД Франківськ'!S14</f>
        <v>119</v>
      </c>
      <c r="J17" s="44">
        <v>150</v>
      </c>
      <c r="K17" s="219">
        <f>SUMIF(ИТР!B:B,B17,ИТР!S:S)</f>
        <v>0</v>
      </c>
      <c r="L17" s="194">
        <f>SUMIF(Цо!R:R,B17,Цо!AI:AI)</f>
        <v>0</v>
      </c>
      <c r="M17" s="194">
        <f>SUMIF(IRS!B:B,B17,IRS!S:S)</f>
        <v>0</v>
      </c>
      <c r="N17" s="194">
        <f>SUMIF(Катеринополь!B:B,B17,Катеринополь!S:S)</f>
        <v>55</v>
      </c>
      <c r="Q17" s="194">
        <f>SUMIF('ООН 2025'!B:B,B17,'ООН 2025'!S:S)</f>
        <v>0</v>
      </c>
      <c r="R17" s="194">
        <f>SUMIF('Червоний хрест'!B:B,B17,'Червоний хрест'!S:S)</f>
        <v>0</v>
      </c>
      <c r="T17" s="194">
        <f>SUMIF(Кернел!B:B,B17,Кернел!S:S)</f>
        <v>0</v>
      </c>
      <c r="U17" s="194">
        <f>SUMIF('Глобино Мк'!B:B,B17,'Глобино Мк'!S:S)</f>
        <v>28</v>
      </c>
      <c r="V17" s="194">
        <f>SUMIF('МД Франківськ'!B:B,B17,'МД Франківськ'!S:S)</f>
        <v>36</v>
      </c>
      <c r="W17" s="216">
        <f t="shared" si="16"/>
        <v>0</v>
      </c>
      <c r="X17" s="216">
        <f t="shared" si="17"/>
        <v>0</v>
      </c>
      <c r="Y17" s="216">
        <f t="shared" si="2"/>
        <v>0</v>
      </c>
      <c r="Z17" s="216">
        <f t="shared" si="3"/>
        <v>0</v>
      </c>
      <c r="AA17" s="216">
        <f t="shared" si="4"/>
        <v>6516.8067226890762</v>
      </c>
      <c r="AB17" s="216">
        <f t="shared" si="5"/>
        <v>0</v>
      </c>
      <c r="AC17" s="216">
        <f t="shared" si="6"/>
        <v>0</v>
      </c>
      <c r="AD17" s="216">
        <f t="shared" si="7"/>
        <v>0</v>
      </c>
      <c r="AE17" s="216">
        <f t="shared" si="8"/>
        <v>0</v>
      </c>
      <c r="AF17" s="216">
        <f t="shared" si="9"/>
        <v>0</v>
      </c>
      <c r="AG17" s="216">
        <f t="shared" si="10"/>
        <v>0</v>
      </c>
      <c r="AH17" s="216">
        <f t="shared" si="11"/>
        <v>3317.6470588235293</v>
      </c>
      <c r="AI17" s="216">
        <f t="shared" si="12"/>
        <v>4265.546218487395</v>
      </c>
      <c r="AJ17" s="216">
        <f t="shared" si="19"/>
        <v>14100</v>
      </c>
      <c r="AK17" s="222">
        <f t="shared" si="18"/>
        <v>0</v>
      </c>
    </row>
    <row r="18" spans="1:37" ht="15.75" outlineLevel="1" x14ac:dyDescent="0.25">
      <c r="A18" s="149">
        <v>14</v>
      </c>
      <c r="B18" s="150" t="s">
        <v>95</v>
      </c>
      <c r="C18" s="148"/>
      <c r="D18" s="148">
        <v>3739.99</v>
      </c>
      <c r="E18" s="142">
        <f t="shared" si="14"/>
        <v>18300</v>
      </c>
      <c r="F18" s="191">
        <f>SUMIF('[1]Табель цех 1 по 15 серпня'!$B:$B,B18,'[1]Табель цех 1 по 15 серпня'!$H:$H)</f>
        <v>4.7600000000020373</v>
      </c>
      <c r="G18" s="191">
        <f t="shared" si="15"/>
        <v>14600</v>
      </c>
      <c r="H18" s="191">
        <f t="shared" si="1"/>
        <v>-35.229999999997744</v>
      </c>
      <c r="I18" s="192">
        <f>Цо!AI15+IRS!S15+Катеринополь!S15+'Червоний хрест'!S15+'ООН 2025'!S15+Кернел!S15+'Глобино Мк'!S15+'МД Франківськ'!S15</f>
        <v>122</v>
      </c>
      <c r="J18" s="44">
        <v>150</v>
      </c>
      <c r="K18" s="219">
        <f>SUMIF(ИТР!B:B,B18,ИТР!S:S)</f>
        <v>0</v>
      </c>
      <c r="L18" s="194">
        <f>SUMIF(Цо!R:R,B18,Цо!AI:AI)</f>
        <v>0</v>
      </c>
      <c r="M18" s="194">
        <f>SUMIF(IRS!B:B,B18,IRS!S:S)</f>
        <v>0</v>
      </c>
      <c r="N18" s="194">
        <f>SUMIF(Катеринополь!B:B,B18,Катеринополь!S:S)</f>
        <v>78</v>
      </c>
      <c r="Q18" s="194">
        <f>SUMIF('ООН 2025'!B:B,B18,'ООН 2025'!S:S)</f>
        <v>0</v>
      </c>
      <c r="R18" s="194">
        <f>SUMIF('Червоний хрест'!B:B,B18,'Червоний хрест'!S:S)</f>
        <v>0</v>
      </c>
      <c r="T18" s="194">
        <f>SUMIF(Кернел!B:B,B18,Кернел!S:S)</f>
        <v>0</v>
      </c>
      <c r="U18" s="194">
        <f>SUMIF('Глобино Мк'!B:B,B18,'Глобино Мк'!S:S)</f>
        <v>44</v>
      </c>
      <c r="V18" s="194">
        <f>SUMIF('МД Франківськ'!B:B,B18,'МД Франківськ'!S:S)</f>
        <v>0</v>
      </c>
      <c r="W18" s="216">
        <f t="shared" si="16"/>
        <v>0</v>
      </c>
      <c r="X18" s="216">
        <f t="shared" si="17"/>
        <v>0</v>
      </c>
      <c r="Y18" s="216">
        <f t="shared" si="2"/>
        <v>0</v>
      </c>
      <c r="Z18" s="216">
        <f t="shared" si="3"/>
        <v>0</v>
      </c>
      <c r="AA18" s="216">
        <f t="shared" si="4"/>
        <v>9334.4262295081971</v>
      </c>
      <c r="AB18" s="216">
        <f t="shared" si="5"/>
        <v>0</v>
      </c>
      <c r="AC18" s="216">
        <f t="shared" si="6"/>
        <v>0</v>
      </c>
      <c r="AD18" s="216">
        <f t="shared" si="7"/>
        <v>0</v>
      </c>
      <c r="AE18" s="216">
        <f t="shared" si="8"/>
        <v>0</v>
      </c>
      <c r="AF18" s="216">
        <f t="shared" si="9"/>
        <v>0</v>
      </c>
      <c r="AG18" s="216">
        <f t="shared" si="10"/>
        <v>0</v>
      </c>
      <c r="AH18" s="216">
        <f t="shared" si="11"/>
        <v>5265.5737704918038</v>
      </c>
      <c r="AI18" s="216">
        <f t="shared" si="12"/>
        <v>0</v>
      </c>
      <c r="AJ18" s="216">
        <f t="shared" si="19"/>
        <v>14600</v>
      </c>
      <c r="AK18" s="222">
        <f t="shared" si="18"/>
        <v>0</v>
      </c>
    </row>
    <row r="19" spans="1:37" ht="15.75" outlineLevel="1" x14ac:dyDescent="0.25">
      <c r="A19" s="149">
        <v>15</v>
      </c>
      <c r="B19" s="150" t="s">
        <v>97</v>
      </c>
      <c r="C19" s="148"/>
      <c r="D19" s="148">
        <v>3739.99</v>
      </c>
      <c r="E19" s="142">
        <f t="shared" si="14"/>
        <v>19200</v>
      </c>
      <c r="F19" s="191">
        <f>SUMIF('[1]Табель цех 1 по 15 серпня'!$B:$B,B19,'[1]Табель цех 1 по 15 серпня'!$H:$H)</f>
        <v>1.4899999999997817</v>
      </c>
      <c r="G19" s="191">
        <f t="shared" si="15"/>
        <v>15500</v>
      </c>
      <c r="H19" s="191">
        <f t="shared" si="1"/>
        <v>-38.500000000001819</v>
      </c>
      <c r="I19" s="192">
        <f>Цо!AI16+IRS!S16+Катеринополь!S16+'Червоний хрест'!S16+'ООН 2025'!S16+Кернел!S16+'Глобино Мк'!S16+'МД Франківськ'!S16</f>
        <v>128</v>
      </c>
      <c r="J19" s="44">
        <v>150</v>
      </c>
      <c r="K19" s="219">
        <f>SUMIF(ИТР!B:B,B19,ИТР!S:S)</f>
        <v>0</v>
      </c>
      <c r="L19" s="194">
        <f>SUMIF(Цо!R:R,B19,Цо!AI:AI)</f>
        <v>0</v>
      </c>
      <c r="M19" s="194">
        <f>SUMIF(IRS!B:B,B19,IRS!S:S)</f>
        <v>0</v>
      </c>
      <c r="N19" s="194">
        <f>SUMIF(Катеринополь!B:B,B19,Катеринополь!S:S)</f>
        <v>0</v>
      </c>
      <c r="Q19" s="194">
        <f>SUMIF('ООН 2025'!B:B,B19,'ООН 2025'!S:S)</f>
        <v>128</v>
      </c>
      <c r="R19" s="194">
        <f>SUMIF('Червоний хрест'!B:B,B19,'Червоний хрест'!S:S)</f>
        <v>0</v>
      </c>
      <c r="T19" s="194">
        <f>SUMIF(Кернел!B:B,B19,Кернел!S:S)</f>
        <v>0</v>
      </c>
      <c r="U19" s="194">
        <f>SUMIF('Глобино Мк'!B:B,B19,'Глобино Мк'!S:S)</f>
        <v>0</v>
      </c>
      <c r="V19" s="194">
        <f>SUMIF('МД Франківськ'!B:B,B19,'МД Франківськ'!S:S)</f>
        <v>0</v>
      </c>
      <c r="W19" s="216">
        <f t="shared" si="16"/>
        <v>0</v>
      </c>
      <c r="X19" s="216">
        <f t="shared" si="17"/>
        <v>0</v>
      </c>
      <c r="Y19" s="216">
        <f t="shared" si="2"/>
        <v>0</v>
      </c>
      <c r="Z19" s="216">
        <f t="shared" si="3"/>
        <v>0</v>
      </c>
      <c r="AA19" s="216">
        <f t="shared" si="4"/>
        <v>0</v>
      </c>
      <c r="AB19" s="216">
        <f t="shared" si="5"/>
        <v>0</v>
      </c>
      <c r="AC19" s="216">
        <f t="shared" si="6"/>
        <v>0</v>
      </c>
      <c r="AD19" s="216">
        <f t="shared" si="7"/>
        <v>15500</v>
      </c>
      <c r="AE19" s="216">
        <f t="shared" si="8"/>
        <v>0</v>
      </c>
      <c r="AF19" s="216">
        <f t="shared" si="9"/>
        <v>0</v>
      </c>
      <c r="AG19" s="216">
        <f t="shared" si="10"/>
        <v>0</v>
      </c>
      <c r="AH19" s="216">
        <f t="shared" si="11"/>
        <v>0</v>
      </c>
      <c r="AI19" s="216">
        <f t="shared" si="12"/>
        <v>0</v>
      </c>
      <c r="AJ19" s="216">
        <f t="shared" si="19"/>
        <v>15500</v>
      </c>
      <c r="AK19" s="222">
        <f t="shared" si="18"/>
        <v>0</v>
      </c>
    </row>
    <row r="20" spans="1:37" ht="15.75" outlineLevel="1" x14ac:dyDescent="0.25">
      <c r="A20" s="149">
        <v>16</v>
      </c>
      <c r="B20" s="150" t="s">
        <v>96</v>
      </c>
      <c r="C20" s="148"/>
      <c r="D20" s="148"/>
      <c r="E20" s="142">
        <f t="shared" si="14"/>
        <v>0</v>
      </c>
      <c r="F20" s="191">
        <f>SUMIF('[1]Табель цех 1 по 15 серпня'!$B:$B,B20,'[1]Табель цех 1 по 15 серпня'!$H:$H)</f>
        <v>38.039999999998145</v>
      </c>
      <c r="G20" s="191">
        <f t="shared" si="15"/>
        <v>0</v>
      </c>
      <c r="H20" s="191">
        <f t="shared" si="1"/>
        <v>38.039999999998145</v>
      </c>
      <c r="I20" s="192">
        <f>Цо!AI17+IRS!S17+Катеринополь!S17+'Червоний хрест'!S17+'ООН 2025'!S17+Кернел!S17+'Глобино Мк'!S17+'МД Франківськ'!S17</f>
        <v>0</v>
      </c>
      <c r="J20" s="44">
        <v>150</v>
      </c>
      <c r="K20" s="219">
        <f>SUMIF(ИТР!B:B,B20,ИТР!S:S)</f>
        <v>0</v>
      </c>
      <c r="L20" s="194">
        <f>SUMIF(Цо!R:R,B20,Цо!AI:AI)</f>
        <v>0</v>
      </c>
      <c r="M20" s="194">
        <f>SUMIF(IRS!B:B,B20,IRS!S:S)</f>
        <v>0</v>
      </c>
      <c r="N20" s="194">
        <f>SUMIF(Катеринополь!B:B,B20,Катеринополь!S:S)</f>
        <v>0</v>
      </c>
      <c r="Q20" s="194">
        <f>SUMIF('ООН 2025'!B:B,B20,'ООН 2025'!S:S)</f>
        <v>0</v>
      </c>
      <c r="R20" s="194">
        <f>SUMIF('Червоний хрест'!B:B,B20,'Червоний хрест'!S:S)</f>
        <v>0</v>
      </c>
      <c r="T20" s="194">
        <f>SUMIF(Кернел!B:B,B20,Кернел!S:S)</f>
        <v>0</v>
      </c>
      <c r="U20" s="194">
        <f>SUMIF('Глобино Мк'!B:B,B20,'Глобино Мк'!S:S)</f>
        <v>0</v>
      </c>
      <c r="V20" s="194">
        <f>SUMIF('МД Франківськ'!B:B,B20,'МД Франківськ'!S:S)</f>
        <v>0</v>
      </c>
      <c r="W20" s="216">
        <f t="shared" si="16"/>
        <v>0</v>
      </c>
      <c r="X20" s="216">
        <f t="shared" si="17"/>
        <v>0</v>
      </c>
      <c r="Y20" s="216">
        <f t="shared" si="2"/>
        <v>0</v>
      </c>
      <c r="Z20" s="216">
        <f t="shared" si="3"/>
        <v>0</v>
      </c>
      <c r="AA20" s="216">
        <f t="shared" si="4"/>
        <v>0</v>
      </c>
      <c r="AB20" s="216">
        <f t="shared" si="5"/>
        <v>0</v>
      </c>
      <c r="AC20" s="216">
        <f t="shared" si="6"/>
        <v>0</v>
      </c>
      <c r="AD20" s="216">
        <f t="shared" si="7"/>
        <v>0</v>
      </c>
      <c r="AE20" s="216">
        <f t="shared" si="8"/>
        <v>0</v>
      </c>
      <c r="AF20" s="216">
        <f t="shared" si="9"/>
        <v>0</v>
      </c>
      <c r="AG20" s="216">
        <f t="shared" si="10"/>
        <v>0</v>
      </c>
      <c r="AH20" s="216">
        <f t="shared" si="11"/>
        <v>0</v>
      </c>
      <c r="AI20" s="216">
        <f t="shared" si="12"/>
        <v>0</v>
      </c>
      <c r="AJ20" s="216">
        <f t="shared" si="19"/>
        <v>0</v>
      </c>
      <c r="AK20" s="222">
        <f t="shared" si="18"/>
        <v>0</v>
      </c>
    </row>
    <row r="21" spans="1:37" ht="15.75" outlineLevel="1" x14ac:dyDescent="0.25">
      <c r="A21" s="149">
        <v>17</v>
      </c>
      <c r="B21" s="150" t="s">
        <v>98</v>
      </c>
      <c r="C21" s="148"/>
      <c r="D21" s="148">
        <v>9350.01</v>
      </c>
      <c r="E21" s="142">
        <f t="shared" si="14"/>
        <v>26550</v>
      </c>
      <c r="F21" s="191">
        <f>SUMIF('[1]Табель цех 1 по 15 серпня'!$B:$B,B21,'[1]Табель цех 1 по 15 серпня'!$H:$H)</f>
        <v>-66.479999999995925</v>
      </c>
      <c r="G21" s="191">
        <f t="shared" si="15"/>
        <v>17200</v>
      </c>
      <c r="H21" s="191">
        <f t="shared" si="1"/>
        <v>-66.489999999997963</v>
      </c>
      <c r="I21" s="192">
        <f>Цо!AI18+IRS!S18+Катеринополь!S18+'Червоний хрест'!S18+'ООН 2025'!S18+Кернел!S18+'Глобино Мк'!S18+'МД Франківськ'!S18</f>
        <v>177</v>
      </c>
      <c r="J21" s="44">
        <v>150</v>
      </c>
      <c r="K21" s="219">
        <f>SUMIF(ИТР!B:B,B21,ИТР!S:S)</f>
        <v>0</v>
      </c>
      <c r="L21" s="194">
        <f>SUMIF(Цо!R:R,B21,Цо!AI:AI)</f>
        <v>0</v>
      </c>
      <c r="M21" s="194">
        <f>SUMIF(IRS!B:B,B21,IRS!S:S)</f>
        <v>0</v>
      </c>
      <c r="N21" s="194">
        <f>SUMIF(Катеринополь!B:B,B21,Катеринополь!S:S)</f>
        <v>0</v>
      </c>
      <c r="Q21" s="194">
        <f>SUMIF('ООН 2025'!B:B,B21,'ООН 2025'!S:S)</f>
        <v>57</v>
      </c>
      <c r="R21" s="194">
        <f>SUMIF('Червоний хрест'!B:B,B21,'Червоний хрест'!S:S)</f>
        <v>0</v>
      </c>
      <c r="T21" s="194">
        <f>SUMIF(Кернел!B:B,B21,Кернел!S:S)</f>
        <v>0</v>
      </c>
      <c r="U21" s="194">
        <f>SUMIF('Глобино Мк'!B:B,B21,'Глобино Мк'!S:S)</f>
        <v>0</v>
      </c>
      <c r="V21" s="194">
        <f>SUMIF('МД Франківськ'!B:B,B21,'МД Франківськ'!S:S)</f>
        <v>120</v>
      </c>
      <c r="W21" s="216">
        <f t="shared" si="16"/>
        <v>0</v>
      </c>
      <c r="X21" s="216">
        <f t="shared" si="17"/>
        <v>0</v>
      </c>
      <c r="Y21" s="216">
        <f t="shared" si="2"/>
        <v>0</v>
      </c>
      <c r="Z21" s="216">
        <f t="shared" si="3"/>
        <v>0</v>
      </c>
      <c r="AA21" s="216">
        <f t="shared" si="4"/>
        <v>0</v>
      </c>
      <c r="AB21" s="216">
        <f t="shared" si="5"/>
        <v>0</v>
      </c>
      <c r="AC21" s="216">
        <f t="shared" si="6"/>
        <v>0</v>
      </c>
      <c r="AD21" s="216">
        <f t="shared" si="7"/>
        <v>5538.983050847457</v>
      </c>
      <c r="AE21" s="216">
        <f t="shared" si="8"/>
        <v>0</v>
      </c>
      <c r="AF21" s="216">
        <f t="shared" si="9"/>
        <v>0</v>
      </c>
      <c r="AG21" s="216">
        <f t="shared" si="10"/>
        <v>0</v>
      </c>
      <c r="AH21" s="216">
        <f t="shared" si="11"/>
        <v>0</v>
      </c>
      <c r="AI21" s="216">
        <f t="shared" si="12"/>
        <v>11661.016949152541</v>
      </c>
      <c r="AJ21" s="216">
        <f t="shared" si="19"/>
        <v>17200</v>
      </c>
      <c r="AK21" s="222">
        <f t="shared" si="18"/>
        <v>0</v>
      </c>
    </row>
    <row r="22" spans="1:37" ht="15.75" outlineLevel="1" x14ac:dyDescent="0.25">
      <c r="A22" s="149">
        <v>18</v>
      </c>
      <c r="B22" s="150" t="s">
        <v>99</v>
      </c>
      <c r="C22" s="148"/>
      <c r="D22" s="148">
        <v>3739.99</v>
      </c>
      <c r="E22" s="142">
        <f t="shared" si="14"/>
        <v>16500</v>
      </c>
      <c r="F22" s="191">
        <f>SUMIF('[1]Табель цех 1 по 15 серпня'!$B:$B,B22,'[1]Табель цех 1 по 15 серпня'!$H:$H)</f>
        <v>-48.510000000000218</v>
      </c>
      <c r="G22" s="191">
        <f t="shared" si="15"/>
        <v>12800</v>
      </c>
      <c r="H22" s="191">
        <f t="shared" si="1"/>
        <v>-88.500000000001819</v>
      </c>
      <c r="I22" s="192">
        <f>Цо!AI19+IRS!S19+Катеринополь!S19+'Червоний хрест'!S19+'ООН 2025'!S19+Кернел!S19+'Глобино Мк'!S19+'МД Франківськ'!S19</f>
        <v>110</v>
      </c>
      <c r="J22" s="44">
        <v>150</v>
      </c>
      <c r="K22" s="219">
        <f>SUMIF(ИТР!B:B,B22,ИТР!S:S)</f>
        <v>0</v>
      </c>
      <c r="L22" s="194">
        <f>SUMIF(Цо!R:R,B22,Цо!AI:AI)</f>
        <v>0</v>
      </c>
      <c r="M22" s="194">
        <f>SUMIF(IRS!B:B,B22,IRS!S:S)</f>
        <v>0</v>
      </c>
      <c r="N22" s="194">
        <f>SUMIF(Катеринополь!B:B,B22,Катеринополь!S:S)</f>
        <v>0</v>
      </c>
      <c r="Q22" s="194">
        <f>SUMIF('ООН 2025'!B:B,B22,'ООН 2025'!S:S)</f>
        <v>110</v>
      </c>
      <c r="R22" s="194">
        <f>SUMIF('Червоний хрест'!B:B,B22,'Червоний хрест'!S:S)</f>
        <v>0</v>
      </c>
      <c r="T22" s="194">
        <f>SUMIF(Кернел!B:B,B22,Кернел!S:S)</f>
        <v>0</v>
      </c>
      <c r="U22" s="194">
        <f>SUMIF('Глобино Мк'!B:B,B22,'Глобино Мк'!S:S)</f>
        <v>0</v>
      </c>
      <c r="V22" s="194">
        <f>SUMIF('МД Франківськ'!B:B,B22,'МД Франківськ'!S:S)</f>
        <v>0</v>
      </c>
      <c r="W22" s="216">
        <f t="shared" si="16"/>
        <v>0</v>
      </c>
      <c r="X22" s="216">
        <f t="shared" si="17"/>
        <v>0</v>
      </c>
      <c r="Y22" s="216">
        <f t="shared" si="2"/>
        <v>0</v>
      </c>
      <c r="Z22" s="216">
        <f t="shared" si="3"/>
        <v>0</v>
      </c>
      <c r="AA22" s="216">
        <f t="shared" si="4"/>
        <v>0</v>
      </c>
      <c r="AB22" s="216">
        <f t="shared" si="5"/>
        <v>0</v>
      </c>
      <c r="AC22" s="216">
        <f t="shared" si="6"/>
        <v>0</v>
      </c>
      <c r="AD22" s="216">
        <f t="shared" si="7"/>
        <v>12800</v>
      </c>
      <c r="AE22" s="216">
        <f t="shared" si="8"/>
        <v>0</v>
      </c>
      <c r="AF22" s="216">
        <f t="shared" si="9"/>
        <v>0</v>
      </c>
      <c r="AG22" s="216">
        <f t="shared" si="10"/>
        <v>0</v>
      </c>
      <c r="AH22" s="216">
        <f t="shared" si="11"/>
        <v>0</v>
      </c>
      <c r="AI22" s="216">
        <f t="shared" si="12"/>
        <v>0</v>
      </c>
      <c r="AJ22" s="216">
        <f t="shared" si="19"/>
        <v>12800</v>
      </c>
      <c r="AK22" s="222">
        <f t="shared" si="18"/>
        <v>0</v>
      </c>
    </row>
    <row r="23" spans="1:37" ht="15.75" outlineLevel="1" x14ac:dyDescent="0.25">
      <c r="A23" s="149">
        <v>19</v>
      </c>
      <c r="B23" s="150" t="s">
        <v>617</v>
      </c>
      <c r="C23" s="148"/>
      <c r="D23" s="148"/>
      <c r="E23" s="142">
        <f t="shared" si="14"/>
        <v>2550</v>
      </c>
      <c r="F23" s="191">
        <f>SUMIF('[1]Табель цех 1 по 15 серпня'!$B:$B,B23,'[1]Табель цех 1 по 15 серпня'!$H:$H)</f>
        <v>87.520000000002256</v>
      </c>
      <c r="G23" s="191">
        <f t="shared" si="15"/>
        <v>2600</v>
      </c>
      <c r="H23" s="191">
        <f t="shared" si="1"/>
        <v>37.520000000002256</v>
      </c>
      <c r="I23" s="192">
        <f>Цо!AI20+IRS!S20+Катеринополь!S20+'Червоний хрест'!S20+'ООН 2025'!S20+Кернел!S20+'Глобино Мк'!S20+'МД Франківськ'!S20</f>
        <v>17</v>
      </c>
      <c r="J23" s="44">
        <v>150</v>
      </c>
      <c r="K23" s="219">
        <f>SUMIF(ИТР!B:B,B23,ИТР!S:S)</f>
        <v>0</v>
      </c>
      <c r="L23" s="194">
        <f>SUMIF(Цо!R:R,B23,Цо!AI:AI)</f>
        <v>0</v>
      </c>
      <c r="M23" s="194">
        <f>SUMIF(IRS!B:B,B23,IRS!S:S)</f>
        <v>0</v>
      </c>
      <c r="N23" s="194">
        <f>SUMIF(Катеринополь!B:B,B23,Катеринополь!S:S)</f>
        <v>0</v>
      </c>
      <c r="Q23" s="194">
        <f>SUMIF('ООН 2025'!B:B,B23,'ООН 2025'!S:S)</f>
        <v>17</v>
      </c>
      <c r="R23" s="194">
        <f>SUMIF('Червоний хрест'!B:B,B23,'Червоний хрест'!S:S)</f>
        <v>0</v>
      </c>
      <c r="T23" s="194">
        <f>SUMIF(Кернел!B:B,B23,Кернел!S:S)</f>
        <v>0</v>
      </c>
      <c r="U23" s="194">
        <f>SUMIF('Глобино Мк'!B:B,B23,'Глобино Мк'!S:S)</f>
        <v>0</v>
      </c>
      <c r="V23" s="194">
        <f>SUMIF('МД Франківськ'!B:B,B23,'МД Франківськ'!S:S)</f>
        <v>0</v>
      </c>
      <c r="W23" s="216">
        <f t="shared" si="16"/>
        <v>0</v>
      </c>
      <c r="X23" s="216">
        <f t="shared" si="17"/>
        <v>0</v>
      </c>
      <c r="Y23" s="216">
        <f t="shared" si="2"/>
        <v>0</v>
      </c>
      <c r="Z23" s="216">
        <f t="shared" si="3"/>
        <v>0</v>
      </c>
      <c r="AA23" s="216">
        <f t="shared" si="4"/>
        <v>0</v>
      </c>
      <c r="AB23" s="216">
        <f t="shared" si="5"/>
        <v>0</v>
      </c>
      <c r="AC23" s="216">
        <f t="shared" si="6"/>
        <v>0</v>
      </c>
      <c r="AD23" s="216">
        <f t="shared" si="7"/>
        <v>2600</v>
      </c>
      <c r="AE23" s="216">
        <f t="shared" si="8"/>
        <v>0</v>
      </c>
      <c r="AF23" s="216">
        <f t="shared" si="9"/>
        <v>0</v>
      </c>
      <c r="AG23" s="216">
        <f t="shared" si="10"/>
        <v>0</v>
      </c>
      <c r="AH23" s="216">
        <f t="shared" si="11"/>
        <v>0</v>
      </c>
      <c r="AI23" s="216">
        <f t="shared" si="12"/>
        <v>0</v>
      </c>
      <c r="AJ23" s="216">
        <f t="shared" si="19"/>
        <v>2600</v>
      </c>
      <c r="AK23" s="222">
        <f t="shared" si="18"/>
        <v>0</v>
      </c>
    </row>
    <row r="24" spans="1:37" ht="15" customHeight="1" outlineLevel="1" x14ac:dyDescent="0.25">
      <c r="A24" s="149">
        <v>20</v>
      </c>
      <c r="B24" s="150" t="s">
        <v>618</v>
      </c>
      <c r="C24" s="148"/>
      <c r="D24" s="148">
        <v>8286.67</v>
      </c>
      <c r="E24" s="142">
        <f t="shared" si="14"/>
        <v>50400</v>
      </c>
      <c r="F24" s="191">
        <f>SUMIF('[1]Табель цех 1 по 15 серпня'!$B:$B,B24,'[1]Табель цех 1 по 15 серпня'!$H:$H)</f>
        <v>39.830000000001746</v>
      </c>
      <c r="G24" s="191">
        <f t="shared" si="15"/>
        <v>42100</v>
      </c>
      <c r="H24" s="191">
        <f t="shared" si="1"/>
        <v>53.160000000003492</v>
      </c>
      <c r="I24" s="192">
        <f>Цо!AI21+IRS!S21+Катеринополь!S21+'Червоний хрест'!S21+'ООН 2025'!S21+Кернел!S21+'Глобино Мк'!S21+'МД Франківськ'!S21</f>
        <v>336</v>
      </c>
      <c r="J24" s="44">
        <v>150</v>
      </c>
      <c r="K24" s="219">
        <f>SUMIF(ИТР!B:B,B24,ИТР!S:S)</f>
        <v>0</v>
      </c>
      <c r="L24" s="194">
        <f>SUMIF(Цо!R:R,B24,Цо!AI:AI)</f>
        <v>0</v>
      </c>
      <c r="M24" s="194">
        <f>SUMIF(IRS!B:B,B24,IRS!S:S)</f>
        <v>336</v>
      </c>
      <c r="N24" s="194">
        <f>SUMIF(Катеринополь!B:B,B24,Катеринополь!S:S)</f>
        <v>0</v>
      </c>
      <c r="Q24" s="194">
        <f>SUMIF('ООН 2025'!B:B,B24,'ООН 2025'!S:S)</f>
        <v>0</v>
      </c>
      <c r="R24" s="194">
        <f>SUMIF('Червоний хрест'!B:B,B24,'Червоний хрест'!S:S)</f>
        <v>0</v>
      </c>
      <c r="T24" s="194">
        <f>SUMIF(Кернел!B:B,B24,Кернел!S:S)</f>
        <v>0</v>
      </c>
      <c r="U24" s="194">
        <f>SUMIF('Глобино Мк'!B:B,B24,'Глобино Мк'!S:S)</f>
        <v>0</v>
      </c>
      <c r="V24" s="194">
        <f>SUMIF('МД Франківськ'!B:B,B24,'МД Франківськ'!S:S)</f>
        <v>0</v>
      </c>
      <c r="W24" s="216">
        <f t="shared" si="16"/>
        <v>0</v>
      </c>
      <c r="X24" s="216">
        <f t="shared" si="17"/>
        <v>0</v>
      </c>
      <c r="Y24" s="216">
        <f t="shared" si="2"/>
        <v>0</v>
      </c>
      <c r="Z24" s="216">
        <f t="shared" si="3"/>
        <v>42100</v>
      </c>
      <c r="AA24" s="216">
        <f t="shared" si="4"/>
        <v>0</v>
      </c>
      <c r="AB24" s="216">
        <f t="shared" si="5"/>
        <v>0</v>
      </c>
      <c r="AC24" s="216">
        <f t="shared" si="6"/>
        <v>0</v>
      </c>
      <c r="AD24" s="216">
        <f t="shared" si="7"/>
        <v>0</v>
      </c>
      <c r="AE24" s="216">
        <f t="shared" si="8"/>
        <v>0</v>
      </c>
      <c r="AF24" s="216">
        <f t="shared" si="9"/>
        <v>0</v>
      </c>
      <c r="AG24" s="216">
        <f t="shared" si="10"/>
        <v>0</v>
      </c>
      <c r="AH24" s="216">
        <f t="shared" si="11"/>
        <v>0</v>
      </c>
      <c r="AI24" s="216">
        <f t="shared" si="12"/>
        <v>0</v>
      </c>
      <c r="AJ24" s="216">
        <f t="shared" si="19"/>
        <v>42100</v>
      </c>
      <c r="AK24" s="222">
        <f t="shared" si="18"/>
        <v>0</v>
      </c>
    </row>
    <row r="25" spans="1:37" ht="15.75" outlineLevel="1" x14ac:dyDescent="0.25">
      <c r="A25" s="149">
        <v>21</v>
      </c>
      <c r="B25" s="150" t="s">
        <v>629</v>
      </c>
      <c r="C25" s="148"/>
      <c r="D25" s="148">
        <v>3739.99</v>
      </c>
      <c r="E25" s="142">
        <f t="shared" si="14"/>
        <v>50400</v>
      </c>
      <c r="F25" s="191">
        <f>SUMIF('[1]Табель цех 1 по 15 серпня'!$B:$B,B25,'[1]Табель цех 1 по 15 серпня'!$H:$H)</f>
        <v>-14.010000000002037</v>
      </c>
      <c r="G25" s="191">
        <f t="shared" si="15"/>
        <v>46700</v>
      </c>
      <c r="H25" s="191">
        <f t="shared" si="1"/>
        <v>-54</v>
      </c>
      <c r="I25" s="192">
        <f>Цо!AI22+IRS!S22+Катеринополь!S22+'Червоний хрест'!S22+'ООН 2025'!S22+Кернел!S22+'Глобино Мк'!S22+'МД Франківськ'!S22</f>
        <v>336</v>
      </c>
      <c r="J25" s="44">
        <v>150</v>
      </c>
      <c r="K25" s="219">
        <f>SUMIF(ИТР!B:B,B25,ИТР!S:S)</f>
        <v>0</v>
      </c>
      <c r="L25" s="194">
        <f>SUMIF(Цо!R:R,B25,Цо!AI:AI)</f>
        <v>0</v>
      </c>
      <c r="M25" s="194">
        <f>SUMIF(IRS!B:B,B25,IRS!S:S)</f>
        <v>336</v>
      </c>
      <c r="N25" s="194">
        <f>SUMIF(Катеринополь!B:B,B25,Катеринополь!S:S)</f>
        <v>0</v>
      </c>
      <c r="Q25" s="194">
        <f>SUMIF('ООН 2025'!B:B,B25,'ООН 2025'!S:S)</f>
        <v>0</v>
      </c>
      <c r="R25" s="194">
        <f>SUMIF('Червоний хрест'!B:B,B25,'Червоний хрест'!S:S)</f>
        <v>0</v>
      </c>
      <c r="T25" s="194">
        <f>SUMIF(Кернел!B:B,B25,Кернел!S:S)</f>
        <v>0</v>
      </c>
      <c r="U25" s="194">
        <f>SUMIF('Глобино Мк'!B:B,B25,'Глобино Мк'!S:S)</f>
        <v>0</v>
      </c>
      <c r="V25" s="194">
        <f>SUMIF('МД Франківськ'!B:B,B25,'МД Франківськ'!S:S)</f>
        <v>0</v>
      </c>
      <c r="W25" s="216">
        <f t="shared" si="16"/>
        <v>0</v>
      </c>
      <c r="X25" s="216">
        <f t="shared" si="17"/>
        <v>0</v>
      </c>
      <c r="Y25" s="216">
        <f t="shared" si="2"/>
        <v>0</v>
      </c>
      <c r="Z25" s="216">
        <f t="shared" si="3"/>
        <v>46700</v>
      </c>
      <c r="AA25" s="216">
        <f t="shared" si="4"/>
        <v>0</v>
      </c>
      <c r="AB25" s="216">
        <f t="shared" si="5"/>
        <v>0</v>
      </c>
      <c r="AC25" s="216">
        <f t="shared" si="6"/>
        <v>0</v>
      </c>
      <c r="AD25" s="216">
        <f t="shared" si="7"/>
        <v>0</v>
      </c>
      <c r="AE25" s="216">
        <f t="shared" si="8"/>
        <v>0</v>
      </c>
      <c r="AF25" s="216">
        <f t="shared" si="9"/>
        <v>0</v>
      </c>
      <c r="AG25" s="216">
        <f t="shared" si="10"/>
        <v>0</v>
      </c>
      <c r="AH25" s="216">
        <f t="shared" si="11"/>
        <v>0</v>
      </c>
      <c r="AI25" s="216">
        <f t="shared" si="12"/>
        <v>0</v>
      </c>
      <c r="AJ25" s="216">
        <f t="shared" si="19"/>
        <v>46700</v>
      </c>
      <c r="AK25" s="222">
        <f t="shared" si="18"/>
        <v>0</v>
      </c>
    </row>
    <row r="26" spans="1:37" ht="15.75" outlineLevel="1" x14ac:dyDescent="0.25">
      <c r="A26" s="149">
        <v>22</v>
      </c>
      <c r="B26" s="150" t="s">
        <v>619</v>
      </c>
      <c r="C26" s="148"/>
      <c r="D26" s="148">
        <v>9350.01</v>
      </c>
      <c r="E26" s="142">
        <f t="shared" si="14"/>
        <v>50400</v>
      </c>
      <c r="F26" s="191">
        <f>SUMIF('[1]Табель цех 1 по 15 серпня'!$B:$B,B26,'[1]Табель цех 1 по 15 серпня'!$H:$H)</f>
        <v>-99.25</v>
      </c>
      <c r="G26" s="191">
        <f t="shared" si="15"/>
        <v>41000</v>
      </c>
      <c r="H26" s="191">
        <f t="shared" si="1"/>
        <v>-49.260000000002037</v>
      </c>
      <c r="I26" s="192">
        <f>Цо!AI23+IRS!S23+Катеринополь!S23+'Червоний хрест'!S23+'ООН 2025'!S23+Кернел!S23+'Глобино Мк'!S23+'МД Франківськ'!S23</f>
        <v>336</v>
      </c>
      <c r="J26" s="44">
        <v>150</v>
      </c>
      <c r="K26" s="219">
        <f>SUMIF(ИТР!B:B,B26,ИТР!S:S)</f>
        <v>0</v>
      </c>
      <c r="L26" s="194">
        <f>SUMIF(Цо!R:R,B26,Цо!AI:AI)</f>
        <v>0</v>
      </c>
      <c r="M26" s="194">
        <f>SUMIF(IRS!B:B,B26,IRS!S:S)</f>
        <v>336</v>
      </c>
      <c r="N26" s="194">
        <f>SUMIF(Катеринополь!B:B,B26,Катеринополь!S:S)</f>
        <v>0</v>
      </c>
      <c r="Q26" s="194">
        <f>SUMIF('ООН 2025'!B:B,B26,'ООН 2025'!S:S)</f>
        <v>0</v>
      </c>
      <c r="R26" s="194">
        <f>SUMIF('Червоний хрест'!B:B,B26,'Червоний хрест'!S:S)</f>
        <v>0</v>
      </c>
      <c r="T26" s="194">
        <f>SUMIF(Кернел!B:B,B26,Кернел!S:S)</f>
        <v>0</v>
      </c>
      <c r="U26" s="194">
        <f>SUMIF('Глобино Мк'!B:B,B26,'Глобино Мк'!S:S)</f>
        <v>0</v>
      </c>
      <c r="V26" s="194">
        <f>SUMIF('МД Франківськ'!B:B,B26,'МД Франківськ'!S:S)</f>
        <v>0</v>
      </c>
      <c r="W26" s="216">
        <f t="shared" si="16"/>
        <v>0</v>
      </c>
      <c r="X26" s="216">
        <f t="shared" si="17"/>
        <v>0</v>
      </c>
      <c r="Y26" s="216">
        <f t="shared" si="2"/>
        <v>0</v>
      </c>
      <c r="Z26" s="216">
        <f t="shared" si="3"/>
        <v>41000</v>
      </c>
      <c r="AA26" s="216">
        <f t="shared" si="4"/>
        <v>0</v>
      </c>
      <c r="AB26" s="216">
        <f t="shared" si="5"/>
        <v>0</v>
      </c>
      <c r="AC26" s="216">
        <f t="shared" si="6"/>
        <v>0</v>
      </c>
      <c r="AD26" s="216">
        <f t="shared" si="7"/>
        <v>0</v>
      </c>
      <c r="AE26" s="216">
        <f t="shared" si="8"/>
        <v>0</v>
      </c>
      <c r="AF26" s="216">
        <f t="shared" si="9"/>
        <v>0</v>
      </c>
      <c r="AG26" s="216">
        <f t="shared" si="10"/>
        <v>0</v>
      </c>
      <c r="AH26" s="216">
        <f t="shared" si="11"/>
        <v>0</v>
      </c>
      <c r="AI26" s="216">
        <f t="shared" si="12"/>
        <v>0</v>
      </c>
      <c r="AJ26" s="216">
        <f t="shared" si="19"/>
        <v>41000</v>
      </c>
      <c r="AK26" s="222">
        <f t="shared" si="18"/>
        <v>0</v>
      </c>
    </row>
    <row r="27" spans="1:37" ht="15.75" outlineLevel="1" x14ac:dyDescent="0.25">
      <c r="A27" s="149">
        <v>23</v>
      </c>
      <c r="B27" s="150" t="s">
        <v>620</v>
      </c>
      <c r="C27" s="148"/>
      <c r="D27" s="148">
        <v>3739.99</v>
      </c>
      <c r="E27" s="142">
        <f t="shared" si="14"/>
        <v>18900</v>
      </c>
      <c r="F27" s="191">
        <f>SUMIF('[1]Табель цех 1 по 15 серпня'!$B:$B,B27,'[1]Табель цех 1 по 15 серпня'!$H:$H)</f>
        <v>1.9899999999997817</v>
      </c>
      <c r="G27" s="191">
        <f t="shared" si="15"/>
        <v>15200</v>
      </c>
      <c r="H27" s="191">
        <f t="shared" si="1"/>
        <v>-38.000000000001819</v>
      </c>
      <c r="I27" s="192">
        <f>Цо!AI24+IRS!S24+Катеринополь!S24+'Червоний хрест'!S24+'ООН 2025'!S24+Кернел!S24+'Глобино Мк'!S24+'МД Франківськ'!S24</f>
        <v>126</v>
      </c>
      <c r="J27" s="44">
        <v>150</v>
      </c>
      <c r="K27" s="219">
        <f>SUMIF(ИТР!B:B,B27,ИТР!S:S)</f>
        <v>0</v>
      </c>
      <c r="L27" s="194">
        <f>SUMIF(Цо!R:R,B27,Цо!AI:AI)</f>
        <v>0</v>
      </c>
      <c r="M27" s="194">
        <f>SUMIF(IRS!B:B,B27,IRS!S:S)</f>
        <v>0</v>
      </c>
      <c r="N27" s="194">
        <f>SUMIF(Катеринополь!B:B,B27,Катеринополь!S:S)</f>
        <v>0</v>
      </c>
      <c r="Q27" s="194">
        <f>SUMIF('ООН 2025'!B:B,B27,'ООН 2025'!S:S)</f>
        <v>126</v>
      </c>
      <c r="R27" s="194">
        <f>SUMIF('Червоний хрест'!B:B,B27,'Червоний хрест'!S:S)</f>
        <v>0</v>
      </c>
      <c r="T27" s="194">
        <f>SUMIF(Кернел!B:B,B27,Кернел!S:S)</f>
        <v>0</v>
      </c>
      <c r="U27" s="194">
        <f>SUMIF('Глобино Мк'!B:B,B27,'Глобино Мк'!S:S)</f>
        <v>0</v>
      </c>
      <c r="V27" s="194">
        <f>SUMIF('МД Франківськ'!B:B,B27,'МД Франківськ'!S:S)</f>
        <v>0</v>
      </c>
      <c r="W27" s="216">
        <f t="shared" si="16"/>
        <v>0</v>
      </c>
      <c r="X27" s="216">
        <f t="shared" si="17"/>
        <v>0</v>
      </c>
      <c r="Y27" s="216">
        <f t="shared" si="2"/>
        <v>0</v>
      </c>
      <c r="Z27" s="216">
        <f t="shared" si="3"/>
        <v>0</v>
      </c>
      <c r="AA27" s="216">
        <f t="shared" si="4"/>
        <v>0</v>
      </c>
      <c r="AB27" s="216">
        <f t="shared" si="5"/>
        <v>0</v>
      </c>
      <c r="AC27" s="216">
        <f t="shared" si="6"/>
        <v>0</v>
      </c>
      <c r="AD27" s="216">
        <f t="shared" si="7"/>
        <v>15200</v>
      </c>
      <c r="AE27" s="216">
        <f t="shared" si="8"/>
        <v>0</v>
      </c>
      <c r="AF27" s="216">
        <f t="shared" si="9"/>
        <v>0</v>
      </c>
      <c r="AG27" s="216">
        <f t="shared" si="10"/>
        <v>0</v>
      </c>
      <c r="AH27" s="216">
        <f t="shared" si="11"/>
        <v>0</v>
      </c>
      <c r="AI27" s="216">
        <f t="shared" si="12"/>
        <v>0</v>
      </c>
      <c r="AJ27" s="216">
        <f t="shared" si="19"/>
        <v>15200</v>
      </c>
      <c r="AK27" s="222">
        <f t="shared" si="18"/>
        <v>0</v>
      </c>
    </row>
    <row r="28" spans="1:37" ht="15.75" outlineLevel="1" x14ac:dyDescent="0.25">
      <c r="A28" s="149">
        <v>24</v>
      </c>
      <c r="B28" s="150" t="s">
        <v>622</v>
      </c>
      <c r="C28" s="148"/>
      <c r="D28" s="148"/>
      <c r="E28" s="142">
        <f t="shared" si="14"/>
        <v>16350</v>
      </c>
      <c r="F28" s="191">
        <f>SUMIF('[1]Табель цех 1 по 15 серпня'!$B:$B,B28,'[1]Табель цех 1 по 15 серпня'!$H:$H)</f>
        <v>-130</v>
      </c>
      <c r="G28" s="191">
        <f t="shared" si="15"/>
        <v>16400</v>
      </c>
      <c r="H28" s="191">
        <f t="shared" si="1"/>
        <v>-180</v>
      </c>
      <c r="I28" s="192">
        <f>Цо!AI25+IRS!S25+Катеринополь!S25+'Червоний хрест'!S25+'ООН 2025'!S25+Кернел!S25+'Глобино Мк'!S25+'МД Франківськ'!S25</f>
        <v>109</v>
      </c>
      <c r="J28" s="44">
        <v>150</v>
      </c>
      <c r="K28" s="219">
        <f>SUMIF(ИТР!B:B,B28,ИТР!S:S)</f>
        <v>0</v>
      </c>
      <c r="L28" s="194">
        <f>SUMIF(Цо!R:R,B28,Цо!AI:AI)</f>
        <v>0</v>
      </c>
      <c r="M28" s="194">
        <f>SUMIF(IRS!B:B,B28,IRS!S:S)</f>
        <v>0</v>
      </c>
      <c r="N28" s="194">
        <f>SUMIF(Катеринополь!B:B,B28,Катеринополь!S:S)</f>
        <v>0</v>
      </c>
      <c r="Q28" s="194">
        <f>SUMIF('ООН 2025'!B:B,B28,'ООН 2025'!S:S)</f>
        <v>109</v>
      </c>
      <c r="R28" s="194">
        <f>SUMIF('Червоний хрест'!B:B,B28,'Червоний хрест'!S:S)</f>
        <v>0</v>
      </c>
      <c r="T28" s="194">
        <f>SUMIF(Кернел!B:B,B28,Кернел!S:S)</f>
        <v>0</v>
      </c>
      <c r="U28" s="194">
        <f>SUMIF('Глобино Мк'!B:B,B28,'Глобино Мк'!S:S)</f>
        <v>0</v>
      </c>
      <c r="V28" s="194">
        <f>SUMIF('МД Франківськ'!B:B,B28,'МД Франківськ'!S:S)</f>
        <v>0</v>
      </c>
      <c r="W28" s="216">
        <f t="shared" si="16"/>
        <v>0</v>
      </c>
      <c r="X28" s="216">
        <f t="shared" si="17"/>
        <v>0</v>
      </c>
      <c r="Y28" s="216">
        <f t="shared" si="2"/>
        <v>0</v>
      </c>
      <c r="Z28" s="216">
        <f t="shared" si="3"/>
        <v>0</v>
      </c>
      <c r="AA28" s="216">
        <f t="shared" si="4"/>
        <v>0</v>
      </c>
      <c r="AB28" s="216">
        <f t="shared" si="5"/>
        <v>0</v>
      </c>
      <c r="AC28" s="216">
        <f t="shared" si="6"/>
        <v>0</v>
      </c>
      <c r="AD28" s="216">
        <f t="shared" si="7"/>
        <v>16400</v>
      </c>
      <c r="AE28" s="216">
        <f t="shared" si="8"/>
        <v>0</v>
      </c>
      <c r="AF28" s="216">
        <f t="shared" si="9"/>
        <v>0</v>
      </c>
      <c r="AG28" s="216">
        <f t="shared" si="10"/>
        <v>0</v>
      </c>
      <c r="AH28" s="216">
        <f t="shared" si="11"/>
        <v>0</v>
      </c>
      <c r="AI28" s="216">
        <f t="shared" si="12"/>
        <v>0</v>
      </c>
      <c r="AJ28" s="216">
        <f t="shared" si="19"/>
        <v>16400</v>
      </c>
      <c r="AK28" s="222">
        <f t="shared" si="18"/>
        <v>0</v>
      </c>
    </row>
    <row r="29" spans="1:37" ht="15.75" outlineLevel="1" x14ac:dyDescent="0.25">
      <c r="A29" s="149">
        <v>25</v>
      </c>
      <c r="B29" s="150" t="s">
        <v>661</v>
      </c>
      <c r="C29" s="148"/>
      <c r="D29" s="148">
        <v>2750</v>
      </c>
      <c r="E29" s="142">
        <f t="shared" si="14"/>
        <v>19200</v>
      </c>
      <c r="F29" s="191">
        <f>SUMIF('[1]Табель цех 1 по 15 серпня'!$B:$B,B29,'[1]Табель цех 1 по 15 серпня'!$H:$H)</f>
        <v>47.320000000003347</v>
      </c>
      <c r="G29" s="191">
        <f t="shared" si="15"/>
        <v>16500</v>
      </c>
      <c r="H29" s="191">
        <f t="shared" si="1"/>
        <v>-2.6799999999966531</v>
      </c>
      <c r="I29" s="192">
        <f>Цо!AI26+IRS!S26+Катеринополь!S26+'Червоний хрест'!S26+'ООН 2025'!S26+Кернел!S26+'Глобино Мк'!S26+'МД Франківськ'!S26</f>
        <v>128</v>
      </c>
      <c r="J29" s="44">
        <v>150</v>
      </c>
      <c r="K29" s="219">
        <f>SUMIF(ИТР!B:B,B29,ИТР!S:S)</f>
        <v>0</v>
      </c>
      <c r="L29" s="194">
        <f>SUMIF(Цо!R:R,B29,Цо!AI:AI)</f>
        <v>0</v>
      </c>
      <c r="M29" s="194">
        <f>SUMIF(IRS!B:B,B29,IRS!S:S)</f>
        <v>0</v>
      </c>
      <c r="N29" s="194">
        <f>SUMIF(Катеринополь!B:B,B29,Катеринополь!S:S)</f>
        <v>72</v>
      </c>
      <c r="Q29" s="194">
        <f>SUMIF('ООН 2025'!B:B,B29,'ООН 2025'!S:S)</f>
        <v>0</v>
      </c>
      <c r="R29" s="194">
        <f>SUMIF('Червоний хрест'!B:B,B29,'Червоний хрест'!S:S)</f>
        <v>0</v>
      </c>
      <c r="T29" s="194">
        <f>SUMIF(Кернел!B:B,B29,Кернел!S:S)</f>
        <v>0</v>
      </c>
      <c r="U29" s="194">
        <f>SUMIF('Глобино Мк'!B:B,B29,'Глобино Мк'!S:S)</f>
        <v>56</v>
      </c>
      <c r="V29" s="194">
        <f>SUMIF('МД Франківськ'!B:B,B29,'МД Франківськ'!S:S)</f>
        <v>0</v>
      </c>
      <c r="W29" s="216">
        <f t="shared" si="16"/>
        <v>0</v>
      </c>
      <c r="X29" s="216">
        <f t="shared" si="17"/>
        <v>0</v>
      </c>
      <c r="Y29" s="216">
        <f t="shared" si="2"/>
        <v>0</v>
      </c>
      <c r="Z29" s="216">
        <f t="shared" si="3"/>
        <v>0</v>
      </c>
      <c r="AA29" s="216">
        <f t="shared" si="4"/>
        <v>9281.25</v>
      </c>
      <c r="AB29" s="216">
        <f t="shared" si="5"/>
        <v>0</v>
      </c>
      <c r="AC29" s="216">
        <f t="shared" si="6"/>
        <v>0</v>
      </c>
      <c r="AD29" s="216">
        <f t="shared" si="7"/>
        <v>0</v>
      </c>
      <c r="AE29" s="216">
        <f t="shared" si="8"/>
        <v>0</v>
      </c>
      <c r="AF29" s="216">
        <f t="shared" si="9"/>
        <v>0</v>
      </c>
      <c r="AG29" s="216">
        <f t="shared" si="10"/>
        <v>0</v>
      </c>
      <c r="AH29" s="216">
        <f t="shared" si="11"/>
        <v>7218.75</v>
      </c>
      <c r="AI29" s="216">
        <f t="shared" si="12"/>
        <v>0</v>
      </c>
      <c r="AJ29" s="216">
        <f t="shared" si="19"/>
        <v>16500</v>
      </c>
      <c r="AK29" s="222">
        <f t="shared" si="18"/>
        <v>0</v>
      </c>
    </row>
    <row r="30" spans="1:37" ht="15.75" outlineLevel="1" x14ac:dyDescent="0.25">
      <c r="A30" s="149">
        <v>26</v>
      </c>
      <c r="B30" s="150" t="s">
        <v>623</v>
      </c>
      <c r="C30" s="148"/>
      <c r="D30" s="148"/>
      <c r="E30" s="142">
        <f t="shared" si="14"/>
        <v>50400</v>
      </c>
      <c r="F30" s="191">
        <f>SUMIF('[1]Табель цех 1 по 15 серпня'!$B:$B,B30,'[1]Табель цех 1 по 15 серпня'!$H:$H)</f>
        <v>0</v>
      </c>
      <c r="G30" s="191">
        <f t="shared" si="15"/>
        <v>50400</v>
      </c>
      <c r="H30" s="191">
        <f t="shared" si="1"/>
        <v>0</v>
      </c>
      <c r="I30" s="192">
        <f>Цо!AI27+IRS!S27+Катеринополь!S27+'Червоний хрест'!S27+'ООН 2025'!S27+Кернел!S27+'Глобино Мк'!S27+'МД Франківськ'!S27</f>
        <v>336</v>
      </c>
      <c r="J30" s="44">
        <v>150</v>
      </c>
      <c r="K30" s="219">
        <f>SUMIF(ИТР!B:B,B30,ИТР!S:S)</f>
        <v>0</v>
      </c>
      <c r="L30" s="194">
        <f>SUMIF(Цо!R:R,B30,Цо!AI:AI)</f>
        <v>0</v>
      </c>
      <c r="M30" s="194">
        <f>SUMIF(IRS!B:B,B30,IRS!S:S)</f>
        <v>336</v>
      </c>
      <c r="N30" s="194">
        <f>SUMIF(Катеринополь!B:B,B30,Катеринополь!S:S)</f>
        <v>0</v>
      </c>
      <c r="Q30" s="194">
        <f>SUMIF('ООН 2025'!B:B,B30,'ООН 2025'!S:S)</f>
        <v>0</v>
      </c>
      <c r="R30" s="194">
        <f>SUMIF('Червоний хрест'!B:B,B30,'Червоний хрест'!S:S)</f>
        <v>0</v>
      </c>
      <c r="T30" s="194">
        <f>SUMIF(Кернел!B:B,B30,Кернел!S:S)</f>
        <v>0</v>
      </c>
      <c r="U30" s="194">
        <f>SUMIF('Глобино Мк'!B:B,B30,'Глобино Мк'!S:S)</f>
        <v>0</v>
      </c>
      <c r="V30" s="194">
        <f>SUMIF('МД Франківськ'!B:B,B30,'МД Франківськ'!S:S)</f>
        <v>0</v>
      </c>
      <c r="W30" s="216">
        <f t="shared" si="16"/>
        <v>0</v>
      </c>
      <c r="X30" s="216">
        <f t="shared" si="17"/>
        <v>0</v>
      </c>
      <c r="Y30" s="216">
        <f t="shared" si="2"/>
        <v>0</v>
      </c>
      <c r="Z30" s="216">
        <f t="shared" si="3"/>
        <v>50400</v>
      </c>
      <c r="AA30" s="216">
        <f t="shared" si="4"/>
        <v>0</v>
      </c>
      <c r="AB30" s="216">
        <f t="shared" si="5"/>
        <v>0</v>
      </c>
      <c r="AC30" s="216">
        <f t="shared" si="6"/>
        <v>0</v>
      </c>
      <c r="AD30" s="216">
        <f t="shared" si="7"/>
        <v>0</v>
      </c>
      <c r="AE30" s="216">
        <f t="shared" si="8"/>
        <v>0</v>
      </c>
      <c r="AF30" s="216">
        <f t="shared" si="9"/>
        <v>0</v>
      </c>
      <c r="AG30" s="216">
        <f t="shared" si="10"/>
        <v>0</v>
      </c>
      <c r="AH30" s="216">
        <f t="shared" si="11"/>
        <v>0</v>
      </c>
      <c r="AI30" s="216">
        <f t="shared" si="12"/>
        <v>0</v>
      </c>
      <c r="AJ30" s="216">
        <f t="shared" si="19"/>
        <v>50400</v>
      </c>
      <c r="AK30" s="222">
        <f t="shared" si="18"/>
        <v>0</v>
      </c>
    </row>
    <row r="31" spans="1:37" ht="15.75" outlineLevel="1" x14ac:dyDescent="0.25">
      <c r="A31" s="149">
        <v>27</v>
      </c>
      <c r="B31" s="150" t="s">
        <v>624</v>
      </c>
      <c r="C31" s="148"/>
      <c r="D31" s="148"/>
      <c r="E31" s="142">
        <f t="shared" si="14"/>
        <v>50400</v>
      </c>
      <c r="F31" s="191">
        <f>SUMIF('[1]Табель цех 1 по 15 серпня'!$B:$B,B31,'[1]Табель цех 1 по 15 серпня'!$H:$H)</f>
        <v>0</v>
      </c>
      <c r="G31" s="191">
        <f t="shared" si="15"/>
        <v>50400</v>
      </c>
      <c r="H31" s="191">
        <f t="shared" si="1"/>
        <v>0</v>
      </c>
      <c r="I31" s="192">
        <f>Цо!AI28+IRS!S28+Катеринополь!S28+'Червоний хрест'!S28+'ООН 2025'!S28+Кернел!S28+'Глобино Мк'!S28+'МД Франківськ'!S28</f>
        <v>336</v>
      </c>
      <c r="J31" s="44">
        <v>150</v>
      </c>
      <c r="K31" s="219">
        <f>SUMIF(ИТР!B:B,B31,ИТР!S:S)</f>
        <v>0</v>
      </c>
      <c r="L31" s="194">
        <f>SUMIF(Цо!R:R,B31,Цо!AI:AI)</f>
        <v>0</v>
      </c>
      <c r="M31" s="194">
        <f>SUMIF(IRS!B:B,B31,IRS!S:S)</f>
        <v>336</v>
      </c>
      <c r="N31" s="194">
        <f>SUMIF(Катеринополь!B:B,B31,Катеринополь!S:S)</f>
        <v>0</v>
      </c>
      <c r="Q31" s="194">
        <f>SUMIF('ООН 2025'!B:B,B31,'ООН 2025'!S:S)</f>
        <v>0</v>
      </c>
      <c r="R31" s="194">
        <f>SUMIF('Червоний хрест'!B:B,B31,'Червоний хрест'!S:S)</f>
        <v>0</v>
      </c>
      <c r="T31" s="194">
        <f>SUMIF(Кернел!B:B,B31,Кернел!S:S)</f>
        <v>0</v>
      </c>
      <c r="U31" s="194">
        <f>SUMIF('Глобино Мк'!B:B,B31,'Глобино Мк'!S:S)</f>
        <v>0</v>
      </c>
      <c r="V31" s="194">
        <f>SUMIF('МД Франківськ'!B:B,B31,'МД Франківськ'!S:S)</f>
        <v>0</v>
      </c>
      <c r="W31" s="216">
        <f t="shared" si="16"/>
        <v>0</v>
      </c>
      <c r="X31" s="216">
        <f t="shared" si="17"/>
        <v>0</v>
      </c>
      <c r="Y31" s="216">
        <f t="shared" si="2"/>
        <v>0</v>
      </c>
      <c r="Z31" s="216">
        <f t="shared" si="3"/>
        <v>50400</v>
      </c>
      <c r="AA31" s="216">
        <f t="shared" si="4"/>
        <v>0</v>
      </c>
      <c r="AB31" s="216">
        <f t="shared" si="5"/>
        <v>0</v>
      </c>
      <c r="AC31" s="216">
        <f t="shared" si="6"/>
        <v>0</v>
      </c>
      <c r="AD31" s="216">
        <f t="shared" si="7"/>
        <v>0</v>
      </c>
      <c r="AE31" s="216">
        <f t="shared" si="8"/>
        <v>0</v>
      </c>
      <c r="AF31" s="216">
        <f t="shared" si="9"/>
        <v>0</v>
      </c>
      <c r="AG31" s="216">
        <f t="shared" si="10"/>
        <v>0</v>
      </c>
      <c r="AH31" s="216">
        <f t="shared" si="11"/>
        <v>0</v>
      </c>
      <c r="AI31" s="216">
        <f t="shared" si="12"/>
        <v>0</v>
      </c>
      <c r="AJ31" s="216">
        <f t="shared" si="19"/>
        <v>50400</v>
      </c>
      <c r="AK31" s="222">
        <f t="shared" si="18"/>
        <v>0</v>
      </c>
    </row>
    <row r="32" spans="1:37" ht="15.75" outlineLevel="1" x14ac:dyDescent="0.25">
      <c r="A32" s="149">
        <v>28</v>
      </c>
      <c r="B32" s="150" t="s">
        <v>625</v>
      </c>
      <c r="C32" s="148"/>
      <c r="D32" s="148"/>
      <c r="E32" s="142">
        <f t="shared" si="14"/>
        <v>15750</v>
      </c>
      <c r="F32" s="191">
        <f>SUMIF('[1]Табель цех 1 по 15 серпня'!$B:$B,B32,'[1]Табель цех 1 по 15 серпня'!$H:$H)</f>
        <v>-80</v>
      </c>
      <c r="G32" s="191">
        <f t="shared" si="15"/>
        <v>15800</v>
      </c>
      <c r="H32" s="191">
        <f t="shared" si="1"/>
        <v>-130</v>
      </c>
      <c r="I32" s="192">
        <f>Цо!AI29+IRS!S29+Катеринополь!S29+'Червоний хрест'!S29+'ООН 2025'!S29+Кернел!S29+'Глобино Мк'!S29+'МД Франківськ'!S29</f>
        <v>105</v>
      </c>
      <c r="J32" s="44">
        <v>150</v>
      </c>
      <c r="K32" s="219">
        <f>SUMIF(ИТР!B:B,B32,ИТР!S:S)</f>
        <v>0</v>
      </c>
      <c r="L32" s="194">
        <f>SUMIF(Цо!R:R,B32,Цо!AI:AI)</f>
        <v>0</v>
      </c>
      <c r="M32" s="194">
        <f>SUMIF(IRS!B:B,B32,IRS!S:S)</f>
        <v>0</v>
      </c>
      <c r="N32" s="194">
        <f>SUMIF(Катеринополь!B:B,B32,Катеринополь!S:S)</f>
        <v>55</v>
      </c>
      <c r="Q32" s="194">
        <f>SUMIF('ООН 2025'!B:B,B32,'ООН 2025'!S:S)</f>
        <v>0</v>
      </c>
      <c r="R32" s="194">
        <f>SUMIF('Червоний хрест'!B:B,B32,'Червоний хрест'!S:S)</f>
        <v>0</v>
      </c>
      <c r="T32" s="194">
        <f>SUMIF(Кернел!B:B,B32,Кернел!S:S)</f>
        <v>0</v>
      </c>
      <c r="U32" s="194">
        <f>SUMIF('Глобино Мк'!B:B,B32,'Глобино Мк'!S:S)</f>
        <v>50</v>
      </c>
      <c r="V32" s="194">
        <f>SUMIF('МД Франківськ'!B:B,B32,'МД Франківськ'!S:S)</f>
        <v>0</v>
      </c>
      <c r="W32" s="216">
        <f t="shared" si="16"/>
        <v>0</v>
      </c>
      <c r="X32" s="216">
        <f t="shared" si="17"/>
        <v>0</v>
      </c>
      <c r="Y32" s="216">
        <f t="shared" si="2"/>
        <v>0</v>
      </c>
      <c r="Z32" s="216">
        <f t="shared" si="3"/>
        <v>0</v>
      </c>
      <c r="AA32" s="216">
        <f t="shared" si="4"/>
        <v>8276.1904761904771</v>
      </c>
      <c r="AB32" s="216">
        <f t="shared" si="5"/>
        <v>0</v>
      </c>
      <c r="AC32" s="216">
        <f t="shared" si="6"/>
        <v>0</v>
      </c>
      <c r="AD32" s="216">
        <f t="shared" si="7"/>
        <v>0</v>
      </c>
      <c r="AE32" s="216">
        <f t="shared" si="8"/>
        <v>0</v>
      </c>
      <c r="AF32" s="216">
        <f t="shared" si="9"/>
        <v>0</v>
      </c>
      <c r="AG32" s="216">
        <f t="shared" si="10"/>
        <v>0</v>
      </c>
      <c r="AH32" s="216">
        <f t="shared" si="11"/>
        <v>7523.8095238095229</v>
      </c>
      <c r="AI32" s="216">
        <f t="shared" si="12"/>
        <v>0</v>
      </c>
      <c r="AJ32" s="216">
        <f t="shared" si="19"/>
        <v>15800</v>
      </c>
      <c r="AK32" s="222">
        <f t="shared" si="18"/>
        <v>0</v>
      </c>
    </row>
    <row r="33" spans="1:37" ht="15.75" outlineLevel="1" x14ac:dyDescent="0.25">
      <c r="A33" s="149">
        <v>29</v>
      </c>
      <c r="B33" s="150" t="s">
        <v>626</v>
      </c>
      <c r="C33" s="148"/>
      <c r="D33" s="148">
        <v>3739.99</v>
      </c>
      <c r="E33" s="142">
        <f t="shared" si="14"/>
        <v>18300</v>
      </c>
      <c r="F33" s="191">
        <f>SUMIF('[1]Табель цех 1 по 15 серпня'!$B:$B,B33,'[1]Табель цех 1 по 15 серпня'!$H:$H)</f>
        <v>51.989999999997963</v>
      </c>
      <c r="G33" s="191">
        <f t="shared" si="15"/>
        <v>14600</v>
      </c>
      <c r="H33" s="191">
        <f t="shared" si="1"/>
        <v>11.999999999998181</v>
      </c>
      <c r="I33" s="192">
        <f>Цо!AI30+IRS!S30+Катеринополь!S30+'Червоний хрест'!S30+'ООН 2025'!S30+Кернел!S30+'Глобино Мк'!S30+'МД Франківськ'!S30</f>
        <v>122</v>
      </c>
      <c r="J33" s="44">
        <v>150</v>
      </c>
      <c r="K33" s="219">
        <f>SUMIF(ИТР!B:B,B33,ИТР!S:S)</f>
        <v>0</v>
      </c>
      <c r="L33" s="194">
        <f>SUMIF(Цо!R:R,B33,Цо!AI:AI)</f>
        <v>0</v>
      </c>
      <c r="M33" s="194">
        <f>SUMIF(IRS!B:B,B33,IRS!S:S)</f>
        <v>0</v>
      </c>
      <c r="N33" s="194">
        <f>SUMIF(Катеринополь!B:B,B33,Катеринополь!S:S)</f>
        <v>89</v>
      </c>
      <c r="Q33" s="194">
        <f>SUMIF('ООН 2025'!B:B,B33,'ООН 2025'!S:S)</f>
        <v>0</v>
      </c>
      <c r="R33" s="194">
        <f>SUMIF('Червоний хрест'!B:B,B33,'Червоний хрест'!S:S)</f>
        <v>0</v>
      </c>
      <c r="T33" s="194">
        <f>SUMIF(Кернел!B:B,B33,Кернел!S:S)</f>
        <v>0</v>
      </c>
      <c r="U33" s="194">
        <f>SUMIF('Глобино Мк'!B:B,B33,'Глобино Мк'!S:S)</f>
        <v>33</v>
      </c>
      <c r="V33" s="194">
        <f>SUMIF('МД Франківськ'!B:B,B33,'МД Франківськ'!S:S)</f>
        <v>0</v>
      </c>
      <c r="W33" s="216">
        <f t="shared" si="16"/>
        <v>0</v>
      </c>
      <c r="X33" s="216">
        <f t="shared" si="17"/>
        <v>0</v>
      </c>
      <c r="Y33" s="216">
        <f t="shared" si="2"/>
        <v>0</v>
      </c>
      <c r="Z33" s="216">
        <f t="shared" si="3"/>
        <v>0</v>
      </c>
      <c r="AA33" s="216">
        <f t="shared" si="4"/>
        <v>10650.819672131149</v>
      </c>
      <c r="AB33" s="216">
        <f t="shared" si="5"/>
        <v>0</v>
      </c>
      <c r="AC33" s="216">
        <f t="shared" si="6"/>
        <v>0</v>
      </c>
      <c r="AD33" s="216">
        <f t="shared" si="7"/>
        <v>0</v>
      </c>
      <c r="AE33" s="216">
        <f t="shared" si="8"/>
        <v>0</v>
      </c>
      <c r="AF33" s="216">
        <f t="shared" si="9"/>
        <v>0</v>
      </c>
      <c r="AG33" s="216">
        <f t="shared" si="10"/>
        <v>0</v>
      </c>
      <c r="AH33" s="216">
        <f t="shared" si="11"/>
        <v>3949.1803278688526</v>
      </c>
      <c r="AI33" s="216">
        <f t="shared" si="12"/>
        <v>0</v>
      </c>
      <c r="AJ33" s="216">
        <f t="shared" si="19"/>
        <v>14600.000000000002</v>
      </c>
      <c r="AK33" s="222">
        <f t="shared" si="18"/>
        <v>0</v>
      </c>
    </row>
    <row r="34" spans="1:37" ht="15.75" outlineLevel="1" x14ac:dyDescent="0.25">
      <c r="A34" s="149">
        <v>30</v>
      </c>
      <c r="B34" s="150" t="s">
        <v>631</v>
      </c>
      <c r="C34" s="148"/>
      <c r="D34" s="148"/>
      <c r="E34" s="142">
        <f t="shared" si="14"/>
        <v>0</v>
      </c>
      <c r="F34" s="191">
        <f>SUMIF('[1]Табель цех 1 по 15 серпня'!$B:$B,B34,'[1]Табель цех 1 по 15 серпня'!$H:$H)</f>
        <v>0</v>
      </c>
      <c r="G34" s="191">
        <f t="shared" si="15"/>
        <v>0</v>
      </c>
      <c r="H34" s="191">
        <f t="shared" si="1"/>
        <v>0</v>
      </c>
      <c r="I34" s="192">
        <f>Цо!AI31+IRS!S31+Катеринополь!S31+'Червоний хрест'!S31+'ООН 2025'!S31+Кернел!S31+'Глобино Мк'!S31+'МД Франківськ'!S31</f>
        <v>0</v>
      </c>
      <c r="J34" s="44">
        <v>150</v>
      </c>
      <c r="K34" s="219">
        <f>SUMIF(ИТР!B:B,B34,ИТР!S:S)</f>
        <v>0</v>
      </c>
      <c r="L34" s="194">
        <f>SUMIF(Цо!R:R,B34,Цо!AI:AI)</f>
        <v>0</v>
      </c>
      <c r="M34" s="194">
        <f>SUMIF(IRS!B:B,B34,IRS!S:S)</f>
        <v>0</v>
      </c>
      <c r="N34" s="194">
        <f>SUMIF(Катеринополь!B:B,B34,Катеринополь!S:S)</f>
        <v>0</v>
      </c>
      <c r="Q34" s="194">
        <f>SUMIF('ООН 2025'!B:B,B34,'ООН 2025'!S:S)</f>
        <v>0</v>
      </c>
      <c r="R34" s="194">
        <f>SUMIF('Червоний хрест'!B:B,B34,'Червоний хрест'!S:S)</f>
        <v>0</v>
      </c>
      <c r="T34" s="194">
        <f>SUMIF(Кернел!B:B,B34,Кернел!S:S)</f>
        <v>0</v>
      </c>
      <c r="U34" s="194">
        <f>SUMIF('Глобино Мк'!B:B,B34,'Глобино Мк'!S:S)</f>
        <v>0</v>
      </c>
      <c r="V34" s="194">
        <f>SUMIF('МД Франківськ'!B:B,B34,'МД Франківськ'!S:S)</f>
        <v>0</v>
      </c>
      <c r="W34" s="216">
        <f t="shared" si="16"/>
        <v>0</v>
      </c>
      <c r="X34" s="216">
        <f t="shared" si="17"/>
        <v>0</v>
      </c>
      <c r="Y34" s="216">
        <f t="shared" si="2"/>
        <v>0</v>
      </c>
      <c r="Z34" s="216">
        <f t="shared" si="3"/>
        <v>0</v>
      </c>
      <c r="AA34" s="216">
        <f t="shared" si="4"/>
        <v>0</v>
      </c>
      <c r="AB34" s="216">
        <f t="shared" si="5"/>
        <v>0</v>
      </c>
      <c r="AC34" s="216">
        <f t="shared" si="6"/>
        <v>0</v>
      </c>
      <c r="AD34" s="216">
        <f t="shared" si="7"/>
        <v>0</v>
      </c>
      <c r="AE34" s="216">
        <f t="shared" si="8"/>
        <v>0</v>
      </c>
      <c r="AF34" s="216">
        <f t="shared" si="9"/>
        <v>0</v>
      </c>
      <c r="AG34" s="216">
        <f t="shared" si="10"/>
        <v>0</v>
      </c>
      <c r="AH34" s="216">
        <f t="shared" si="11"/>
        <v>0</v>
      </c>
      <c r="AI34" s="216">
        <f t="shared" si="12"/>
        <v>0</v>
      </c>
      <c r="AJ34" s="216">
        <f t="shared" si="19"/>
        <v>0</v>
      </c>
      <c r="AK34" s="222">
        <f t="shared" si="18"/>
        <v>0</v>
      </c>
    </row>
    <row r="35" spans="1:37" ht="15.75" outlineLevel="1" x14ac:dyDescent="0.25">
      <c r="A35" s="149">
        <v>31</v>
      </c>
      <c r="B35" s="150" t="s">
        <v>627</v>
      </c>
      <c r="C35" s="148"/>
      <c r="D35" s="148"/>
      <c r="E35" s="142">
        <f t="shared" si="14"/>
        <v>0</v>
      </c>
      <c r="F35" s="191">
        <f>SUMIF('[1]Табель цех 1 по 15 серпня'!$B:$B,B35,'[1]Табель цех 1 по 15 серпня'!$H:$H)</f>
        <v>0</v>
      </c>
      <c r="G35" s="191">
        <f t="shared" si="15"/>
        <v>0</v>
      </c>
      <c r="H35" s="191">
        <f t="shared" si="1"/>
        <v>0</v>
      </c>
      <c r="I35" s="192">
        <f>Цо!AI32+IRS!S32+Катеринополь!S32+'Червоний хрест'!S32+'ООН 2025'!S32+Кернел!S32+'Глобино Мк'!S32+'МД Франківськ'!S32</f>
        <v>0</v>
      </c>
      <c r="J35" s="44">
        <v>150</v>
      </c>
      <c r="K35" s="219">
        <f>SUMIF(ИТР!B:B,B35,ИТР!S:S)</f>
        <v>0</v>
      </c>
      <c r="L35" s="194">
        <f>SUMIF(Цо!R:R,B35,Цо!AI:AI)</f>
        <v>0</v>
      </c>
      <c r="M35" s="194">
        <f>SUMIF(IRS!B:B,B35,IRS!S:S)</f>
        <v>0</v>
      </c>
      <c r="N35" s="194">
        <f>SUMIF(Катеринополь!B:B,B35,Катеринополь!S:S)</f>
        <v>0</v>
      </c>
      <c r="Q35" s="194">
        <f>SUMIF('ООН 2025'!B:B,B35,'ООН 2025'!S:S)</f>
        <v>0</v>
      </c>
      <c r="R35" s="194">
        <f>SUMIF('Червоний хрест'!B:B,B35,'Червоний хрест'!S:S)</f>
        <v>0</v>
      </c>
      <c r="T35" s="194">
        <f>SUMIF(Кернел!B:B,B35,Кернел!S:S)</f>
        <v>0</v>
      </c>
      <c r="U35" s="194">
        <f>SUMIF('Глобино Мк'!B:B,B35,'Глобино Мк'!S:S)</f>
        <v>0</v>
      </c>
      <c r="V35" s="194">
        <f>SUMIF('МД Франківськ'!B:B,B35,'МД Франківськ'!S:S)</f>
        <v>0</v>
      </c>
      <c r="W35" s="216">
        <f t="shared" si="16"/>
        <v>0</v>
      </c>
      <c r="X35" s="216">
        <f t="shared" si="17"/>
        <v>0</v>
      </c>
      <c r="Y35" s="216">
        <f t="shared" si="2"/>
        <v>0</v>
      </c>
      <c r="Z35" s="216">
        <f t="shared" si="3"/>
        <v>0</v>
      </c>
      <c r="AA35" s="216">
        <f t="shared" si="4"/>
        <v>0</v>
      </c>
      <c r="AB35" s="216">
        <f t="shared" si="5"/>
        <v>0</v>
      </c>
      <c r="AC35" s="216">
        <f t="shared" si="6"/>
        <v>0</v>
      </c>
      <c r="AD35" s="216">
        <f t="shared" si="7"/>
        <v>0</v>
      </c>
      <c r="AE35" s="216">
        <f t="shared" si="8"/>
        <v>0</v>
      </c>
      <c r="AF35" s="216">
        <f t="shared" si="9"/>
        <v>0</v>
      </c>
      <c r="AG35" s="216">
        <f t="shared" si="10"/>
        <v>0</v>
      </c>
      <c r="AH35" s="216">
        <f t="shared" si="11"/>
        <v>0</v>
      </c>
      <c r="AI35" s="216">
        <f t="shared" si="12"/>
        <v>0</v>
      </c>
      <c r="AJ35" s="216">
        <f t="shared" si="19"/>
        <v>0</v>
      </c>
      <c r="AK35" s="222">
        <f t="shared" si="18"/>
        <v>0</v>
      </c>
    </row>
    <row r="36" spans="1:37" ht="15.75" outlineLevel="1" x14ac:dyDescent="0.25">
      <c r="A36" s="149">
        <v>32</v>
      </c>
      <c r="B36" s="150" t="s">
        <v>34</v>
      </c>
      <c r="C36" s="148"/>
      <c r="D36" s="148">
        <v>9350.01</v>
      </c>
      <c r="E36" s="142">
        <f t="shared" si="14"/>
        <v>50400</v>
      </c>
      <c r="F36" s="191">
        <f>SUMIF('[1]Табель цех 1 по 15 серпня'!$B:$B,B36,'[1]Табель цех 1 по 15 серпня'!$H:$H)</f>
        <v>-29.790000000000873</v>
      </c>
      <c r="G36" s="191">
        <f t="shared" si="15"/>
        <v>41000</v>
      </c>
      <c r="H36" s="191">
        <f t="shared" si="1"/>
        <v>20.19999999999709</v>
      </c>
      <c r="I36" s="192">
        <f>Цо!AI33+IRS!S33+Катеринополь!S33+'Червоний хрест'!S33+'ООН 2025'!S33+Кернел!S33+'Глобино Мк'!S33+'МД Франківськ'!S33</f>
        <v>336</v>
      </c>
      <c r="J36" s="44">
        <v>150</v>
      </c>
      <c r="K36" s="219">
        <f>SUMIF(ИТР!B:B,B36,ИТР!S:S)</f>
        <v>0</v>
      </c>
      <c r="L36" s="194">
        <f>SUMIF(Цо!R:R,B36,Цо!AI:AI)</f>
        <v>0</v>
      </c>
      <c r="M36" s="194">
        <f>SUMIF(IRS!B:B,B36,IRS!S:S)</f>
        <v>96</v>
      </c>
      <c r="N36" s="194">
        <f>SUMIF(Катеринополь!B:B,B36,Катеринополь!S:S)</f>
        <v>0</v>
      </c>
      <c r="Q36" s="194">
        <f>SUMIF('ООН 2025'!B:B,B36,'ООН 2025'!S:S)</f>
        <v>240</v>
      </c>
      <c r="R36" s="194">
        <f>SUMIF('Червоний хрест'!B:B,B36,'Червоний хрест'!S:S)</f>
        <v>0</v>
      </c>
      <c r="T36" s="194">
        <f>SUMIF(Кернел!B:B,B36,Кернел!S:S)</f>
        <v>0</v>
      </c>
      <c r="U36" s="194">
        <f>SUMIF('Глобино Мк'!B:B,B36,'Глобино Мк'!S:S)</f>
        <v>0</v>
      </c>
      <c r="V36" s="194">
        <f>SUMIF('МД Франківськ'!B:B,B36,'МД Франківськ'!S:S)</f>
        <v>0</v>
      </c>
      <c r="W36" s="216">
        <f t="shared" si="16"/>
        <v>0</v>
      </c>
      <c r="X36" s="216">
        <f t="shared" si="17"/>
        <v>0</v>
      </c>
      <c r="Y36" s="216">
        <f t="shared" si="2"/>
        <v>0</v>
      </c>
      <c r="Z36" s="216">
        <f t="shared" si="3"/>
        <v>11714.285714285714</v>
      </c>
      <c r="AA36" s="216">
        <f t="shared" si="4"/>
        <v>0</v>
      </c>
      <c r="AB36" s="216">
        <f t="shared" si="5"/>
        <v>0</v>
      </c>
      <c r="AC36" s="216">
        <f t="shared" si="6"/>
        <v>0</v>
      </c>
      <c r="AD36" s="216">
        <f t="shared" si="7"/>
        <v>29285.714285714286</v>
      </c>
      <c r="AE36" s="216">
        <f t="shared" si="8"/>
        <v>0</v>
      </c>
      <c r="AF36" s="216">
        <f t="shared" si="9"/>
        <v>0</v>
      </c>
      <c r="AG36" s="216">
        <f t="shared" si="10"/>
        <v>0</v>
      </c>
      <c r="AH36" s="216">
        <f t="shared" si="11"/>
        <v>0</v>
      </c>
      <c r="AI36" s="216">
        <f t="shared" si="12"/>
        <v>0</v>
      </c>
      <c r="AJ36" s="216">
        <f t="shared" si="19"/>
        <v>41000</v>
      </c>
      <c r="AK36" s="222">
        <f t="shared" si="18"/>
        <v>0</v>
      </c>
    </row>
    <row r="37" spans="1:37" ht="15.75" outlineLevel="1" x14ac:dyDescent="0.25">
      <c r="A37" s="149">
        <v>33</v>
      </c>
      <c r="B37" s="150" t="s">
        <v>628</v>
      </c>
      <c r="C37" s="148"/>
      <c r="D37" s="148"/>
      <c r="E37" s="142">
        <f t="shared" si="14"/>
        <v>0</v>
      </c>
      <c r="F37" s="191">
        <f>SUMIF('[1]Табель цех 1 по 15 серпня'!$B:$B,B37,'[1]Табель цех 1 по 15 серпня'!$H:$H)</f>
        <v>-50</v>
      </c>
      <c r="G37" s="191">
        <f t="shared" si="15"/>
        <v>0</v>
      </c>
      <c r="H37" s="191">
        <f t="shared" si="1"/>
        <v>-50</v>
      </c>
      <c r="I37" s="192">
        <f>Цо!AI34+IRS!S34+Катеринополь!S34+'Червоний хрест'!S34+'ООН 2025'!S34+Кернел!S34+'Глобино Мк'!S34+'МД Франківськ'!S34</f>
        <v>0</v>
      </c>
      <c r="J37" s="44">
        <v>150</v>
      </c>
      <c r="K37" s="219">
        <f>SUMIF(ИТР!B:B,B37,ИТР!S:S)</f>
        <v>0</v>
      </c>
      <c r="L37" s="194">
        <f>SUMIF(Цо!R:R,B37,Цо!AI:AI)</f>
        <v>0</v>
      </c>
      <c r="M37" s="194">
        <f>SUMIF(IRS!B:B,B37,IRS!S:S)</f>
        <v>0</v>
      </c>
      <c r="N37" s="194">
        <f>SUMIF(Катеринополь!B:B,B37,Катеринополь!S:S)</f>
        <v>0</v>
      </c>
      <c r="Q37" s="194">
        <f>SUMIF('ООН 2025'!B:B,B37,'ООН 2025'!S:S)</f>
        <v>0</v>
      </c>
      <c r="R37" s="194">
        <f>SUMIF('Червоний хрест'!B:B,B37,'Червоний хрест'!S:S)</f>
        <v>0</v>
      </c>
      <c r="T37" s="194">
        <f>SUMIF(Кернел!B:B,B37,Кернел!S:S)</f>
        <v>0</v>
      </c>
      <c r="U37" s="194">
        <f>SUMIF('Глобино Мк'!B:B,B37,'Глобино Мк'!S:S)</f>
        <v>0</v>
      </c>
      <c r="V37" s="194">
        <f>SUMIF('МД Франківськ'!B:B,B37,'МД Франківськ'!S:S)</f>
        <v>0</v>
      </c>
      <c r="W37" s="216">
        <f t="shared" si="16"/>
        <v>0</v>
      </c>
      <c r="X37" s="216">
        <f t="shared" si="17"/>
        <v>0</v>
      </c>
      <c r="Y37" s="216">
        <f t="shared" si="2"/>
        <v>0</v>
      </c>
      <c r="Z37" s="216">
        <f t="shared" si="3"/>
        <v>0</v>
      </c>
      <c r="AA37" s="216">
        <f t="shared" si="4"/>
        <v>0</v>
      </c>
      <c r="AB37" s="216">
        <f t="shared" si="5"/>
        <v>0</v>
      </c>
      <c r="AC37" s="216">
        <f t="shared" si="6"/>
        <v>0</v>
      </c>
      <c r="AD37" s="216">
        <f t="shared" si="7"/>
        <v>0</v>
      </c>
      <c r="AE37" s="216">
        <f t="shared" si="8"/>
        <v>0</v>
      </c>
      <c r="AF37" s="216">
        <f t="shared" si="9"/>
        <v>0</v>
      </c>
      <c r="AG37" s="216">
        <f t="shared" si="10"/>
        <v>0</v>
      </c>
      <c r="AH37" s="216">
        <f t="shared" si="11"/>
        <v>0</v>
      </c>
      <c r="AI37" s="216">
        <f t="shared" si="12"/>
        <v>0</v>
      </c>
      <c r="AJ37" s="216">
        <f t="shared" si="19"/>
        <v>0</v>
      </c>
      <c r="AK37" s="222">
        <f t="shared" si="18"/>
        <v>0</v>
      </c>
    </row>
    <row r="38" spans="1:37" ht="15.75" outlineLevel="1" x14ac:dyDescent="0.25">
      <c r="A38" s="149">
        <v>34</v>
      </c>
      <c r="B38" s="150" t="s">
        <v>621</v>
      </c>
      <c r="C38" s="148"/>
      <c r="D38" s="148"/>
      <c r="E38" s="142">
        <f t="shared" si="14"/>
        <v>0</v>
      </c>
      <c r="F38" s="191">
        <f>SUMIF('[1]Табель цех 1 по 15 серпня'!$B:$B,B38,'[1]Табель цех 1 по 15 серпня'!$H:$H)</f>
        <v>-180</v>
      </c>
      <c r="G38" s="191">
        <f t="shared" si="15"/>
        <v>0</v>
      </c>
      <c r="H38" s="191">
        <f t="shared" si="1"/>
        <v>-180</v>
      </c>
      <c r="I38" s="192">
        <f>Цо!AI35+IRS!S35+Катеринополь!S35+'Червоний хрест'!S35+'ООН 2025'!S35+Кернел!S35+'Глобино Мк'!S35+'МД Франківськ'!S35</f>
        <v>0</v>
      </c>
      <c r="J38" s="44">
        <v>150</v>
      </c>
      <c r="K38" s="219">
        <f>SUMIF(ИТР!B:B,B38,ИТР!S:S)</f>
        <v>0</v>
      </c>
      <c r="L38" s="194">
        <f>SUMIF(Цо!R:R,B38,Цо!AI:AI)</f>
        <v>0</v>
      </c>
      <c r="M38" s="194">
        <f>SUMIF(IRS!B:B,B38,IRS!S:S)</f>
        <v>0</v>
      </c>
      <c r="N38" s="194">
        <f>SUMIF(Катеринополь!B:B,B38,Катеринополь!S:S)</f>
        <v>0</v>
      </c>
      <c r="Q38" s="194">
        <f>SUMIF('ООН 2025'!B:B,B38,'ООН 2025'!S:S)</f>
        <v>0</v>
      </c>
      <c r="R38" s="194">
        <f>SUMIF('Червоний хрест'!B:B,B38,'Червоний хрест'!S:S)</f>
        <v>0</v>
      </c>
      <c r="T38" s="194">
        <f>SUMIF(Кернел!B:B,B38,Кернел!S:S)</f>
        <v>0</v>
      </c>
      <c r="U38" s="194">
        <f>SUMIF('Глобино Мк'!B:B,B38,'Глобино Мк'!S:S)</f>
        <v>0</v>
      </c>
      <c r="V38" s="194">
        <f>SUMIF('МД Франківськ'!B:B,B38,'МД Франківськ'!S:S)</f>
        <v>0</v>
      </c>
      <c r="W38" s="216">
        <f t="shared" si="16"/>
        <v>0</v>
      </c>
      <c r="X38" s="216">
        <f t="shared" si="17"/>
        <v>0</v>
      </c>
      <c r="Y38" s="216">
        <f t="shared" si="2"/>
        <v>0</v>
      </c>
      <c r="Z38" s="216">
        <f t="shared" si="3"/>
        <v>0</v>
      </c>
      <c r="AA38" s="216">
        <f t="shared" si="4"/>
        <v>0</v>
      </c>
      <c r="AB38" s="216">
        <f t="shared" si="5"/>
        <v>0</v>
      </c>
      <c r="AC38" s="216">
        <f t="shared" si="6"/>
        <v>0</v>
      </c>
      <c r="AD38" s="216">
        <f t="shared" si="7"/>
        <v>0</v>
      </c>
      <c r="AE38" s="216">
        <f t="shared" si="8"/>
        <v>0</v>
      </c>
      <c r="AF38" s="216">
        <f t="shared" si="9"/>
        <v>0</v>
      </c>
      <c r="AG38" s="216">
        <f t="shared" si="10"/>
        <v>0</v>
      </c>
      <c r="AH38" s="216">
        <f t="shared" si="11"/>
        <v>0</v>
      </c>
      <c r="AI38" s="216">
        <f t="shared" si="12"/>
        <v>0</v>
      </c>
      <c r="AJ38" s="216">
        <f t="shared" si="19"/>
        <v>0</v>
      </c>
      <c r="AK38" s="222">
        <f t="shared" si="18"/>
        <v>0</v>
      </c>
    </row>
    <row r="39" spans="1:37" ht="15.75" outlineLevel="1" x14ac:dyDescent="0.25">
      <c r="A39" s="149">
        <v>35</v>
      </c>
      <c r="B39" s="150" t="s">
        <v>45</v>
      </c>
      <c r="C39" s="148"/>
      <c r="D39" s="148"/>
      <c r="E39" s="142">
        <f t="shared" si="14"/>
        <v>21900</v>
      </c>
      <c r="F39" s="191">
        <f>SUMIF('[1]Табель цех 1 по 15 серпня'!$B:$B,B39,'[1]Табель цех 1 по 15 серпня'!$H:$H)</f>
        <v>-100</v>
      </c>
      <c r="G39" s="191">
        <f t="shared" si="15"/>
        <v>21900</v>
      </c>
      <c r="H39" s="191">
        <f t="shared" si="1"/>
        <v>-100</v>
      </c>
      <c r="I39" s="192">
        <f>Цо!AI36+IRS!S36+Катеринополь!S36+'Червоний хрест'!S36+'ООН 2025'!S36+Кернел!S36+'Глобино Мк'!S36+'МД Франківськ'!S36</f>
        <v>146</v>
      </c>
      <c r="J39" s="44">
        <v>150</v>
      </c>
      <c r="K39" s="219">
        <f>SUMIF(ИТР!B:B,B39,ИТР!S:S)</f>
        <v>0</v>
      </c>
      <c r="L39" s="194">
        <f>SUMIF(Цо!R:R,B39,Цо!AI:AI)</f>
        <v>0</v>
      </c>
      <c r="M39" s="194">
        <f>SUMIF(IRS!B:B,B39,IRS!S:S)</f>
        <v>0</v>
      </c>
      <c r="N39" s="194">
        <f>SUMIF(Катеринополь!B:B,B39,Катеринополь!S:S)</f>
        <v>22</v>
      </c>
      <c r="Q39" s="194">
        <f>SUMIF('ООН 2025'!B:B,B39,'ООН 2025'!S:S)</f>
        <v>24</v>
      </c>
      <c r="R39" s="194">
        <f>SUMIF('Червоний хрест'!B:B,B39,'Червоний хрест'!S:S)</f>
        <v>72</v>
      </c>
      <c r="T39" s="194">
        <f>SUMIF(Кернел!B:B,B39,Кернел!S:S)</f>
        <v>0</v>
      </c>
      <c r="U39" s="194">
        <f>SUMIF('Глобино Мк'!B:B,B39,'Глобино Мк'!S:S)</f>
        <v>28</v>
      </c>
      <c r="V39" s="194">
        <f>SUMIF('МД Франківськ'!B:B,B39,'МД Франківськ'!S:S)</f>
        <v>0</v>
      </c>
      <c r="W39" s="216">
        <f t="shared" si="16"/>
        <v>0</v>
      </c>
      <c r="X39" s="216">
        <f t="shared" si="17"/>
        <v>0</v>
      </c>
      <c r="Y39" s="216">
        <f t="shared" si="2"/>
        <v>0</v>
      </c>
      <c r="Z39" s="216">
        <f t="shared" si="3"/>
        <v>0</v>
      </c>
      <c r="AA39" s="216">
        <f t="shared" si="4"/>
        <v>3300</v>
      </c>
      <c r="AB39" s="216">
        <f t="shared" si="5"/>
        <v>0</v>
      </c>
      <c r="AC39" s="216">
        <f t="shared" si="6"/>
        <v>0</v>
      </c>
      <c r="AD39" s="216">
        <f t="shared" si="7"/>
        <v>3600</v>
      </c>
      <c r="AE39" s="216">
        <f t="shared" si="8"/>
        <v>10800</v>
      </c>
      <c r="AF39" s="216">
        <f t="shared" si="9"/>
        <v>0</v>
      </c>
      <c r="AG39" s="216">
        <f t="shared" si="10"/>
        <v>0</v>
      </c>
      <c r="AH39" s="216">
        <f t="shared" si="11"/>
        <v>4200</v>
      </c>
      <c r="AI39" s="216">
        <f t="shared" si="12"/>
        <v>0</v>
      </c>
      <c r="AJ39" s="216">
        <f t="shared" si="19"/>
        <v>21900</v>
      </c>
      <c r="AK39" s="222">
        <f t="shared" si="18"/>
        <v>0</v>
      </c>
    </row>
    <row r="40" spans="1:37" ht="15.75" outlineLevel="1" x14ac:dyDescent="0.25">
      <c r="A40" s="149">
        <v>36</v>
      </c>
      <c r="B40" s="150" t="s">
        <v>634</v>
      </c>
      <c r="C40" s="148"/>
      <c r="D40" s="148">
        <v>3739.99</v>
      </c>
      <c r="E40" s="142">
        <f t="shared" si="14"/>
        <v>17400</v>
      </c>
      <c r="F40" s="191">
        <f>SUMIF('[1]Табель цех 1 по 15 серпня'!$B:$B,B40,'[1]Табель цех 1 по 15 серпня'!$H:$H)</f>
        <v>31.989999999999782</v>
      </c>
      <c r="G40" s="191">
        <f t="shared" si="15"/>
        <v>13700</v>
      </c>
      <c r="H40" s="191">
        <f t="shared" si="1"/>
        <v>-8.000000000001819</v>
      </c>
      <c r="I40" s="192">
        <f>Цо!AI37+IRS!S37+Катеринополь!S37+'Червоний хрест'!S37+'ООН 2025'!S37+Кернел!S37+'Глобино Мк'!S37+'МД Франківськ'!S37</f>
        <v>116</v>
      </c>
      <c r="J40" s="44">
        <v>150</v>
      </c>
      <c r="K40" s="219">
        <f>SUMIF(ИТР!B:B,B40,ИТР!S:S)</f>
        <v>0</v>
      </c>
      <c r="L40" s="194">
        <f>SUMIF(Цо!R:R,B40,Цо!AI:AI)</f>
        <v>0</v>
      </c>
      <c r="M40" s="194">
        <f>SUMIF(IRS!B:B,B40,IRS!S:S)</f>
        <v>0</v>
      </c>
      <c r="N40" s="194">
        <f>SUMIF(Катеринополь!B:B,B40,Катеринополь!S:S)</f>
        <v>66</v>
      </c>
      <c r="Q40" s="194">
        <f>SUMIF('ООН 2025'!B:B,B40,'ООН 2025'!S:S)</f>
        <v>0</v>
      </c>
      <c r="R40" s="194">
        <f>SUMIF('Червоний хрест'!B:B,B40,'Червоний хрест'!S:S)</f>
        <v>0</v>
      </c>
      <c r="T40" s="194">
        <f>SUMIF(Кернел!B:B,B40,Кернел!S:S)</f>
        <v>0</v>
      </c>
      <c r="U40" s="194">
        <f>SUMIF('Глобино Мк'!B:B,B40,'Глобино Мк'!S:S)</f>
        <v>50</v>
      </c>
      <c r="V40" s="194">
        <f>SUMIF('МД Франківськ'!B:B,B40,'МД Франківськ'!S:S)</f>
        <v>0</v>
      </c>
      <c r="W40" s="216">
        <f t="shared" si="16"/>
        <v>0</v>
      </c>
      <c r="X40" s="216">
        <f t="shared" si="17"/>
        <v>0</v>
      </c>
      <c r="Y40" s="216">
        <f t="shared" si="2"/>
        <v>0</v>
      </c>
      <c r="Z40" s="216">
        <f t="shared" si="3"/>
        <v>0</v>
      </c>
      <c r="AA40" s="216">
        <f t="shared" si="4"/>
        <v>7794.8275862068967</v>
      </c>
      <c r="AB40" s="216">
        <f t="shared" si="5"/>
        <v>0</v>
      </c>
      <c r="AC40" s="216">
        <f t="shared" si="6"/>
        <v>0</v>
      </c>
      <c r="AD40" s="216">
        <f t="shared" si="7"/>
        <v>0</v>
      </c>
      <c r="AE40" s="216">
        <f t="shared" si="8"/>
        <v>0</v>
      </c>
      <c r="AF40" s="216">
        <f t="shared" si="9"/>
        <v>0</v>
      </c>
      <c r="AG40" s="216">
        <f t="shared" si="10"/>
        <v>0</v>
      </c>
      <c r="AH40" s="216">
        <f t="shared" si="11"/>
        <v>5905.1724137931033</v>
      </c>
      <c r="AI40" s="216">
        <f t="shared" si="12"/>
        <v>0</v>
      </c>
      <c r="AJ40" s="216">
        <f t="shared" si="19"/>
        <v>13700</v>
      </c>
      <c r="AK40" s="222">
        <f t="shared" si="18"/>
        <v>0</v>
      </c>
    </row>
    <row r="41" spans="1:37" ht="15.75" outlineLevel="1" x14ac:dyDescent="0.25">
      <c r="A41" s="149">
        <v>37</v>
      </c>
      <c r="B41" s="150" t="s">
        <v>647</v>
      </c>
      <c r="C41" s="148"/>
      <c r="D41" s="148">
        <v>6014.83</v>
      </c>
      <c r="E41" s="142">
        <f t="shared" si="14"/>
        <v>28500</v>
      </c>
      <c r="F41" s="191">
        <f>SUMIF('[1]Табель цех 1 по 15 серпня'!$B:$B,B41,'[1]Табель цех 1 по 15 серпня'!$H:$H)</f>
        <v>41.239999999997963</v>
      </c>
      <c r="G41" s="191">
        <f t="shared" si="15"/>
        <v>22500</v>
      </c>
      <c r="H41" s="191">
        <f t="shared" si="1"/>
        <v>26.409999999996217</v>
      </c>
      <c r="I41" s="192">
        <f>Цо!AI38+IRS!S38+Катеринополь!S38+'Червоний хрест'!S38+'ООН 2025'!S38+Кернел!S38+'Глобино Мк'!S38+'МД Франківськ'!S38</f>
        <v>190</v>
      </c>
      <c r="J41" s="44">
        <v>150</v>
      </c>
      <c r="K41" s="219">
        <f>SUMIF(ИТР!B:B,B41,ИТР!S:S)</f>
        <v>0</v>
      </c>
      <c r="L41" s="194">
        <f>SUMIF(Цо!R:R,B41,Цо!AI:AI)</f>
        <v>0</v>
      </c>
      <c r="M41" s="194">
        <f>SUMIF(IRS!B:B,B41,IRS!S:S)</f>
        <v>0</v>
      </c>
      <c r="N41" s="194">
        <f>SUMIF(Катеринополь!B:B,B41,Катеринополь!S:S)</f>
        <v>50</v>
      </c>
      <c r="Q41" s="194">
        <f>SUMIF('ООН 2025'!B:B,B41,'ООН 2025'!S:S)</f>
        <v>0</v>
      </c>
      <c r="R41" s="194">
        <f>SUMIF('Червоний хрест'!B:B,B41,'Червоний хрест'!S:S)</f>
        <v>0</v>
      </c>
      <c r="T41" s="194">
        <f>SUMIF(Кернел!B:B,B41,Кернел!S:S)</f>
        <v>0</v>
      </c>
      <c r="U41" s="194">
        <f>SUMIF('Глобино Мк'!B:B,B41,'Глобино Мк'!S:S)</f>
        <v>20</v>
      </c>
      <c r="V41" s="194">
        <f>SUMIF('МД Франківськ'!B:B,B41,'МД Франківськ'!S:S)</f>
        <v>120</v>
      </c>
      <c r="W41" s="216">
        <f t="shared" si="16"/>
        <v>0</v>
      </c>
      <c r="X41" s="216">
        <f t="shared" si="17"/>
        <v>0</v>
      </c>
      <c r="Y41" s="216">
        <f t="shared" si="2"/>
        <v>0</v>
      </c>
      <c r="Z41" s="216">
        <f t="shared" si="3"/>
        <v>0</v>
      </c>
      <c r="AA41" s="216">
        <f t="shared" si="4"/>
        <v>5921.0526315789466</v>
      </c>
      <c r="AB41" s="216">
        <f t="shared" si="5"/>
        <v>0</v>
      </c>
      <c r="AC41" s="216">
        <f t="shared" si="6"/>
        <v>0</v>
      </c>
      <c r="AD41" s="216">
        <f t="shared" si="7"/>
        <v>0</v>
      </c>
      <c r="AE41" s="216">
        <f t="shared" si="8"/>
        <v>0</v>
      </c>
      <c r="AF41" s="216">
        <f t="shared" si="9"/>
        <v>0</v>
      </c>
      <c r="AG41" s="216">
        <f t="shared" si="10"/>
        <v>0</v>
      </c>
      <c r="AH41" s="216">
        <f t="shared" si="11"/>
        <v>2368.4210526315787</v>
      </c>
      <c r="AI41" s="216">
        <f t="shared" si="12"/>
        <v>14210.526315789473</v>
      </c>
      <c r="AJ41" s="216">
        <f t="shared" si="19"/>
        <v>22500</v>
      </c>
      <c r="AK41" s="222">
        <f t="shared" si="18"/>
        <v>0</v>
      </c>
    </row>
    <row r="42" spans="1:37" ht="15.75" x14ac:dyDescent="0.25">
      <c r="A42" s="149">
        <v>38</v>
      </c>
      <c r="B42" s="150" t="s">
        <v>632</v>
      </c>
      <c r="C42" s="148"/>
      <c r="D42" s="148"/>
      <c r="E42" s="142">
        <f t="shared" si="14"/>
        <v>0</v>
      </c>
      <c r="F42" s="191">
        <f>SUMIF('[1]Табель цех 1 по 15 серпня'!$B:$B,B42,'[1]Табель цех 1 по 15 серпня'!$H:$H)</f>
        <v>-79.020000000002256</v>
      </c>
      <c r="G42" s="191">
        <f t="shared" si="15"/>
        <v>0</v>
      </c>
      <c r="H42" s="191">
        <f t="shared" si="1"/>
        <v>-79.020000000002256</v>
      </c>
      <c r="I42" s="192">
        <f>Цо!AI39+IRS!S39+Катеринополь!S39+'Червоний хрест'!S39+'ООН 2025'!S39+Кернел!S39+'Глобино Мк'!S39+'МД Франківськ'!S39</f>
        <v>0</v>
      </c>
      <c r="J42" s="44">
        <v>150</v>
      </c>
      <c r="K42" s="219">
        <f>SUMIF(ИТР!B:B,B42,ИТР!S:S)</f>
        <v>0</v>
      </c>
      <c r="L42" s="194">
        <f>SUMIF(Цо!R:R,B42,Цо!AI:AI)</f>
        <v>0</v>
      </c>
      <c r="M42" s="194">
        <f>SUMIF(IRS!B:B,B42,IRS!S:S)</f>
        <v>0</v>
      </c>
      <c r="N42" s="194">
        <f>SUMIF(Катеринополь!B:B,B42,Катеринополь!S:S)</f>
        <v>0</v>
      </c>
      <c r="Q42" s="194">
        <f>SUMIF('ООН 2025'!B:B,B42,'ООН 2025'!S:S)</f>
        <v>0</v>
      </c>
      <c r="R42" s="194">
        <f>SUMIF('Червоний хрест'!B:B,B42,'Червоний хрест'!S:S)</f>
        <v>0</v>
      </c>
      <c r="T42" s="194">
        <f>SUMIF(Кернел!B:B,B42,Кернел!S:S)</f>
        <v>0</v>
      </c>
      <c r="U42" s="194">
        <f>SUMIF('Глобино Мк'!B:B,B42,'Глобино Мк'!S:S)</f>
        <v>0</v>
      </c>
      <c r="V42" s="194">
        <f>SUMIF('МД Франківськ'!B:B,B42,'МД Франківськ'!S:S)</f>
        <v>0</v>
      </c>
      <c r="W42" s="216">
        <f t="shared" si="16"/>
        <v>0</v>
      </c>
      <c r="X42" s="216">
        <f t="shared" si="17"/>
        <v>0</v>
      </c>
      <c r="Y42" s="216">
        <f t="shared" si="2"/>
        <v>0</v>
      </c>
      <c r="Z42" s="216">
        <f t="shared" si="3"/>
        <v>0</v>
      </c>
      <c r="AA42" s="216">
        <f t="shared" si="4"/>
        <v>0</v>
      </c>
      <c r="AB42" s="216">
        <f t="shared" si="5"/>
        <v>0</v>
      </c>
      <c r="AC42" s="216">
        <f t="shared" si="6"/>
        <v>0</v>
      </c>
      <c r="AD42" s="216">
        <f t="shared" si="7"/>
        <v>0</v>
      </c>
      <c r="AE42" s="216">
        <f t="shared" si="8"/>
        <v>0</v>
      </c>
      <c r="AF42" s="216">
        <f t="shared" si="9"/>
        <v>0</v>
      </c>
      <c r="AG42" s="216">
        <f t="shared" si="10"/>
        <v>0</v>
      </c>
      <c r="AH42" s="216">
        <f t="shared" si="11"/>
        <v>0</v>
      </c>
      <c r="AI42" s="216">
        <f t="shared" si="12"/>
        <v>0</v>
      </c>
      <c r="AJ42" s="216">
        <f t="shared" si="19"/>
        <v>0</v>
      </c>
      <c r="AK42" s="222">
        <f t="shared" si="18"/>
        <v>0</v>
      </c>
    </row>
    <row r="43" spans="1:37" ht="15.75" x14ac:dyDescent="0.25">
      <c r="A43" s="149">
        <v>39</v>
      </c>
      <c r="B43" s="150" t="s">
        <v>633</v>
      </c>
      <c r="C43" s="148"/>
      <c r="D43" s="148">
        <v>3739.99</v>
      </c>
      <c r="E43" s="142">
        <f t="shared" si="14"/>
        <v>54000</v>
      </c>
      <c r="F43" s="191">
        <f>SUMIF('[1]Табель цех 1 по 15 серпня'!$B:$B,B43,'[1]Табель цех 1 по 15 серпня'!$H:$H)</f>
        <v>45.989999999997963</v>
      </c>
      <c r="G43" s="191">
        <f t="shared" si="15"/>
        <v>50300</v>
      </c>
      <c r="H43" s="191">
        <f t="shared" si="1"/>
        <v>6</v>
      </c>
      <c r="I43" s="192">
        <f>Цо!AI40+IRS!S40+Катеринополь!S40+'Червоний хрест'!S40+'ООН 2025'!S40+Кернел!S40+'Глобино Мк'!S40+'МД Франківськ'!S40</f>
        <v>360</v>
      </c>
      <c r="J43" s="44">
        <v>150</v>
      </c>
      <c r="K43" s="219">
        <f>SUMIF(ИТР!B:B,B43,ИТР!S:S)</f>
        <v>0</v>
      </c>
      <c r="L43" s="194">
        <f>SUMIF(Цо!R:R,B43,Цо!AI:AI)</f>
        <v>0</v>
      </c>
      <c r="M43" s="194">
        <f>SUMIF(IRS!B:B,B43,IRS!S:S)</f>
        <v>96</v>
      </c>
      <c r="N43" s="194">
        <f>SUMIF(Катеринополь!B:B,B43,Катеринополь!S:S)</f>
        <v>0</v>
      </c>
      <c r="Q43" s="194">
        <f>SUMIF('ООН 2025'!B:B,B43,'ООН 2025'!S:S)</f>
        <v>264</v>
      </c>
      <c r="R43" s="194">
        <f>SUMIF('Червоний хрест'!B:B,B43,'Червоний хрест'!S:S)</f>
        <v>0</v>
      </c>
      <c r="T43" s="194">
        <f>SUMIF(Кернел!B:B,B43,Кернел!S:S)</f>
        <v>0</v>
      </c>
      <c r="U43" s="194">
        <f>SUMIF('Глобино Мк'!B:B,B43,'Глобино Мк'!S:S)</f>
        <v>0</v>
      </c>
      <c r="V43" s="194">
        <f>SUMIF('МД Франківськ'!B:B,B43,'МД Франківськ'!S:S)</f>
        <v>0</v>
      </c>
      <c r="W43" s="216">
        <f t="shared" si="16"/>
        <v>0</v>
      </c>
      <c r="X43" s="216">
        <f t="shared" si="17"/>
        <v>0</v>
      </c>
      <c r="Y43" s="216">
        <f t="shared" si="2"/>
        <v>0</v>
      </c>
      <c r="Z43" s="216">
        <f t="shared" si="3"/>
        <v>13413.333333333334</v>
      </c>
      <c r="AA43" s="216">
        <f t="shared" si="4"/>
        <v>0</v>
      </c>
      <c r="AB43" s="216">
        <f t="shared" si="5"/>
        <v>0</v>
      </c>
      <c r="AC43" s="216">
        <f t="shared" si="6"/>
        <v>0</v>
      </c>
      <c r="AD43" s="216">
        <f t="shared" si="7"/>
        <v>36886.666666666664</v>
      </c>
      <c r="AE43" s="216">
        <f t="shared" si="8"/>
        <v>0</v>
      </c>
      <c r="AF43" s="216">
        <f t="shared" si="9"/>
        <v>0</v>
      </c>
      <c r="AG43" s="216">
        <f t="shared" si="10"/>
        <v>0</v>
      </c>
      <c r="AH43" s="216">
        <f t="shared" si="11"/>
        <v>0</v>
      </c>
      <c r="AI43" s="216">
        <f t="shared" si="12"/>
        <v>0</v>
      </c>
      <c r="AJ43" s="216">
        <f t="shared" si="19"/>
        <v>50300</v>
      </c>
      <c r="AK43" s="222">
        <f t="shared" si="18"/>
        <v>0</v>
      </c>
    </row>
    <row r="44" spans="1:37" ht="15.75" x14ac:dyDescent="0.25">
      <c r="A44" s="149">
        <v>40</v>
      </c>
      <c r="B44" s="150" t="s">
        <v>635</v>
      </c>
      <c r="C44" s="148"/>
      <c r="D44" s="148">
        <v>3739.99</v>
      </c>
      <c r="E44" s="142">
        <f t="shared" si="14"/>
        <v>8250</v>
      </c>
      <c r="F44" s="191">
        <f>SUMIF('[1]Табель цех 1 по 15 серпня'!$B:$B,B44,'[1]Табель цех 1 по 15 серпня'!$H:$H)</f>
        <v>-68.010000000000218</v>
      </c>
      <c r="G44" s="191">
        <f t="shared" si="15"/>
        <v>4500</v>
      </c>
      <c r="H44" s="191">
        <f t="shared" si="1"/>
        <v>-58</v>
      </c>
      <c r="I44" s="192">
        <f>Цо!AI41+IRS!S41+Катеринополь!S41+'Червоний хрест'!S41+'ООН 2025'!S41+Кернел!S41+'Глобино Мк'!S41+'МД Франківськ'!S41</f>
        <v>55</v>
      </c>
      <c r="J44" s="44">
        <v>150</v>
      </c>
      <c r="K44" s="219">
        <f>SUMIF(ИТР!B:B,B44,ИТР!S:S)</f>
        <v>0</v>
      </c>
      <c r="L44" s="194">
        <f>SUMIF(Цо!R:R,B44,Цо!AI:AI)</f>
        <v>0</v>
      </c>
      <c r="M44" s="194">
        <f>SUMIF(IRS!B:B,B44,IRS!S:S)</f>
        <v>0</v>
      </c>
      <c r="N44" s="194">
        <f>SUMIF(Катеринополь!B:B,B44,Катеринополь!S:S)</f>
        <v>0</v>
      </c>
      <c r="Q44" s="194">
        <f>SUMIF('ООН 2025'!B:B,B44,'ООН 2025'!S:S)</f>
        <v>0</v>
      </c>
      <c r="R44" s="194">
        <f>SUMIF('Червоний хрест'!B:B,B44,'Червоний хрест'!S:S)</f>
        <v>0</v>
      </c>
      <c r="T44" s="194">
        <f>SUMIF(Кернел!B:B,B44,Кернел!S:S)</f>
        <v>0</v>
      </c>
      <c r="U44" s="194">
        <f>SUMIF('Глобино Мк'!B:B,B44,'Глобино Мк'!S:S)</f>
        <v>55</v>
      </c>
      <c r="V44" s="194">
        <f>SUMIF('МД Франківськ'!B:B,B44,'МД Франківськ'!S:S)</f>
        <v>0</v>
      </c>
      <c r="W44" s="216">
        <f t="shared" si="16"/>
        <v>0</v>
      </c>
      <c r="X44" s="216">
        <f t="shared" si="17"/>
        <v>0</v>
      </c>
      <c r="Y44" s="216">
        <f t="shared" si="2"/>
        <v>0</v>
      </c>
      <c r="Z44" s="216">
        <f t="shared" si="3"/>
        <v>0</v>
      </c>
      <c r="AA44" s="216">
        <f t="shared" si="4"/>
        <v>0</v>
      </c>
      <c r="AB44" s="216">
        <f t="shared" si="5"/>
        <v>0</v>
      </c>
      <c r="AC44" s="216">
        <f t="shared" si="6"/>
        <v>0</v>
      </c>
      <c r="AD44" s="216">
        <f t="shared" si="7"/>
        <v>0</v>
      </c>
      <c r="AE44" s="216">
        <f t="shared" si="8"/>
        <v>0</v>
      </c>
      <c r="AF44" s="216">
        <f t="shared" si="9"/>
        <v>0</v>
      </c>
      <c r="AG44" s="216">
        <f t="shared" si="10"/>
        <v>0</v>
      </c>
      <c r="AH44" s="216">
        <f t="shared" si="11"/>
        <v>4500</v>
      </c>
      <c r="AI44" s="216">
        <f t="shared" si="12"/>
        <v>0</v>
      </c>
      <c r="AJ44" s="216">
        <f t="shared" si="19"/>
        <v>4500</v>
      </c>
      <c r="AK44" s="222">
        <f t="shared" si="18"/>
        <v>0</v>
      </c>
    </row>
    <row r="45" spans="1:37" ht="15.75" x14ac:dyDescent="0.25">
      <c r="A45" s="149">
        <v>41</v>
      </c>
      <c r="B45" s="150" t="s">
        <v>636</v>
      </c>
      <c r="C45" s="148"/>
      <c r="D45" s="148"/>
      <c r="E45" s="142">
        <f t="shared" si="14"/>
        <v>16050</v>
      </c>
      <c r="F45" s="191">
        <f>SUMIF('[1]Табель цех 1 по 15 серпня'!$B:$B,B45,'[1]Табель цех 1 по 15 серпня'!$H:$H)</f>
        <v>-50</v>
      </c>
      <c r="G45" s="191">
        <f t="shared" si="15"/>
        <v>16100</v>
      </c>
      <c r="H45" s="191">
        <f t="shared" si="1"/>
        <v>-100</v>
      </c>
      <c r="I45" s="192">
        <f>Цо!AI42+IRS!S42+Катеринополь!S42+'Червоний хрест'!S42+'ООН 2025'!S42+Кернел!S42+'Глобино Мк'!S42+'МД Франківськ'!S42</f>
        <v>107</v>
      </c>
      <c r="J45" s="44">
        <v>150</v>
      </c>
      <c r="K45" s="219">
        <f>SUMIF(ИТР!B:B,B45,ИТР!S:S)</f>
        <v>0</v>
      </c>
      <c r="L45" s="194">
        <f>SUMIF(Цо!R:R,B45,Цо!AI:AI)</f>
        <v>0</v>
      </c>
      <c r="M45" s="194">
        <f>SUMIF(IRS!B:B,B45,IRS!S:S)</f>
        <v>0</v>
      </c>
      <c r="N45" s="194">
        <f>SUMIF(Катеринополь!B:B,B45,Катеринополь!S:S)</f>
        <v>0</v>
      </c>
      <c r="Q45" s="194">
        <f>SUMIF('ООН 2025'!B:B,B45,'ООН 2025'!S:S)</f>
        <v>107</v>
      </c>
      <c r="R45" s="194">
        <f>SUMIF('Червоний хрест'!B:B,B45,'Червоний хрест'!S:S)</f>
        <v>0</v>
      </c>
      <c r="T45" s="194">
        <f>SUMIF(Кернел!B:B,B45,Кернел!S:S)</f>
        <v>0</v>
      </c>
      <c r="U45" s="194">
        <f>SUMIF('Глобино Мк'!B:B,B45,'Глобино Мк'!S:S)</f>
        <v>0</v>
      </c>
      <c r="V45" s="194">
        <f>SUMIF('МД Франківськ'!B:B,B45,'МД Франківськ'!S:S)</f>
        <v>0</v>
      </c>
      <c r="W45" s="216">
        <f t="shared" si="16"/>
        <v>0</v>
      </c>
      <c r="X45" s="216">
        <f t="shared" si="17"/>
        <v>0</v>
      </c>
      <c r="Y45" s="216">
        <f t="shared" si="2"/>
        <v>0</v>
      </c>
      <c r="Z45" s="216">
        <f t="shared" si="3"/>
        <v>0</v>
      </c>
      <c r="AA45" s="216">
        <f t="shared" si="4"/>
        <v>0</v>
      </c>
      <c r="AB45" s="216">
        <f t="shared" si="5"/>
        <v>0</v>
      </c>
      <c r="AC45" s="216">
        <f t="shared" si="6"/>
        <v>0</v>
      </c>
      <c r="AD45" s="216">
        <f t="shared" si="7"/>
        <v>16100</v>
      </c>
      <c r="AE45" s="216">
        <f t="shared" si="8"/>
        <v>0</v>
      </c>
      <c r="AF45" s="216">
        <f t="shared" si="9"/>
        <v>0</v>
      </c>
      <c r="AG45" s="216">
        <f t="shared" si="10"/>
        <v>0</v>
      </c>
      <c r="AH45" s="216">
        <f t="shared" si="11"/>
        <v>0</v>
      </c>
      <c r="AI45" s="216">
        <f t="shared" si="12"/>
        <v>0</v>
      </c>
      <c r="AJ45" s="216">
        <f t="shared" si="19"/>
        <v>16100</v>
      </c>
      <c r="AK45" s="222">
        <f t="shared" si="18"/>
        <v>0</v>
      </c>
    </row>
    <row r="46" spans="1:37" ht="15.75" x14ac:dyDescent="0.25">
      <c r="A46" s="149">
        <v>42</v>
      </c>
      <c r="B46" s="150" t="s">
        <v>637</v>
      </c>
      <c r="C46" s="148"/>
      <c r="D46" s="148">
        <v>2991.99</v>
      </c>
      <c r="E46" s="142">
        <f t="shared" si="14"/>
        <v>18000</v>
      </c>
      <c r="F46" s="191">
        <f>SUMIF('[1]Табель цех 1 по 15 серпня'!$B:$B,B46,'[1]Табель цех 1 по 15 серпня'!$H:$H)</f>
        <v>65.599999999999454</v>
      </c>
      <c r="G46" s="191">
        <f t="shared" si="15"/>
        <v>15000</v>
      </c>
      <c r="H46" s="191">
        <f t="shared" si="1"/>
        <v>73.609999999998763</v>
      </c>
      <c r="I46" s="192">
        <f>Цо!AI43+IRS!S43+Катеринополь!S43+'Червоний хрест'!S43+'ООН 2025'!S43+Кернел!S43+'Глобино Мк'!S43+'МД Франківськ'!S43</f>
        <v>120</v>
      </c>
      <c r="J46" s="44">
        <v>150</v>
      </c>
      <c r="K46" s="219">
        <f>SUMIF(ИТР!B:B,B46,ИТР!S:S)</f>
        <v>0</v>
      </c>
      <c r="L46" s="194">
        <f>SUMIF(Цо!R:R,B46,Цо!AI:AI)</f>
        <v>0</v>
      </c>
      <c r="M46" s="194">
        <f>SUMIF(IRS!B:B,B46,IRS!S:S)</f>
        <v>0</v>
      </c>
      <c r="N46" s="194">
        <f>SUMIF(Катеринополь!B:B,B46,Катеринополь!S:S)</f>
        <v>0</v>
      </c>
      <c r="Q46" s="194">
        <f>SUMIF('ООН 2025'!B:B,B46,'ООН 2025'!S:S)</f>
        <v>120</v>
      </c>
      <c r="R46" s="194">
        <f>SUMIF('Червоний хрест'!B:B,B46,'Червоний хрест'!S:S)</f>
        <v>0</v>
      </c>
      <c r="T46" s="194">
        <f>SUMIF(Кернел!B:B,B46,Кернел!S:S)</f>
        <v>0</v>
      </c>
      <c r="U46" s="194">
        <f>SUMIF('Глобино Мк'!B:B,B46,'Глобино Мк'!S:S)</f>
        <v>0</v>
      </c>
      <c r="V46" s="194">
        <f>SUMIF('МД Франківськ'!B:B,B46,'МД Франківськ'!S:S)</f>
        <v>0</v>
      </c>
      <c r="W46" s="216">
        <f t="shared" si="16"/>
        <v>0</v>
      </c>
      <c r="X46" s="216">
        <f t="shared" si="17"/>
        <v>0</v>
      </c>
      <c r="Y46" s="216">
        <f t="shared" si="2"/>
        <v>0</v>
      </c>
      <c r="Z46" s="216">
        <f t="shared" si="3"/>
        <v>0</v>
      </c>
      <c r="AA46" s="216">
        <f t="shared" si="4"/>
        <v>0</v>
      </c>
      <c r="AB46" s="216">
        <f t="shared" si="5"/>
        <v>0</v>
      </c>
      <c r="AC46" s="216">
        <f t="shared" si="6"/>
        <v>0</v>
      </c>
      <c r="AD46" s="216">
        <f t="shared" si="7"/>
        <v>15000</v>
      </c>
      <c r="AE46" s="216">
        <f t="shared" si="8"/>
        <v>0</v>
      </c>
      <c r="AF46" s="216">
        <f t="shared" si="9"/>
        <v>0</v>
      </c>
      <c r="AG46" s="216">
        <f t="shared" si="10"/>
        <v>0</v>
      </c>
      <c r="AH46" s="216">
        <f t="shared" si="11"/>
        <v>0</v>
      </c>
      <c r="AI46" s="216">
        <f t="shared" si="12"/>
        <v>0</v>
      </c>
      <c r="AJ46" s="216">
        <f t="shared" si="19"/>
        <v>15000</v>
      </c>
      <c r="AK46" s="222">
        <f t="shared" si="18"/>
        <v>0</v>
      </c>
    </row>
    <row r="47" spans="1:37" ht="15.75" x14ac:dyDescent="0.25">
      <c r="A47" s="149">
        <v>43</v>
      </c>
      <c r="B47" s="150" t="s">
        <v>638</v>
      </c>
      <c r="C47" s="148"/>
      <c r="D47" s="148"/>
      <c r="E47" s="142">
        <f t="shared" si="14"/>
        <v>17400</v>
      </c>
      <c r="F47" s="191">
        <f>SUMIF('[1]Табель цех 1 по 15 серпня'!$B:$B,B47,'[1]Табель цех 1 по 15 серпня'!$H:$H)</f>
        <v>-150</v>
      </c>
      <c r="G47" s="191">
        <f t="shared" si="15"/>
        <v>17400</v>
      </c>
      <c r="H47" s="191">
        <f t="shared" si="1"/>
        <v>-150</v>
      </c>
      <c r="I47" s="192">
        <f>Цо!AI44+IRS!S44+Катеринополь!S44+'Червоний хрест'!S44+'ООН 2025'!S44+Кернел!S44+'Глобино Мк'!S44+'МД Франківськ'!S44</f>
        <v>116</v>
      </c>
      <c r="J47" s="44">
        <v>150</v>
      </c>
      <c r="K47" s="219">
        <f>SUMIF(ИТР!B:B,B47,ИТР!S:S)</f>
        <v>0</v>
      </c>
      <c r="L47" s="194">
        <f>SUMIF(Цо!R:R,B47,Цо!AI:AI)</f>
        <v>0</v>
      </c>
      <c r="M47" s="194">
        <f>SUMIF(IRS!B:B,B47,IRS!S:S)</f>
        <v>0</v>
      </c>
      <c r="N47" s="194">
        <f>SUMIF(Катеринополь!B:B,B47,Катеринополь!S:S)</f>
        <v>72</v>
      </c>
      <c r="Q47" s="194">
        <f>SUMIF('ООН 2025'!B:B,B47,'ООН 2025'!S:S)</f>
        <v>11</v>
      </c>
      <c r="R47" s="194">
        <f>SUMIF('Червоний хрест'!B:B,B47,'Червоний хрест'!S:S)</f>
        <v>0</v>
      </c>
      <c r="T47" s="194">
        <f>SUMIF(Кернел!B:B,B47,Кернел!S:S)</f>
        <v>0</v>
      </c>
      <c r="U47" s="194">
        <f>SUMIF('Глобино Мк'!B:B,B47,'Глобино Мк'!S:S)</f>
        <v>33</v>
      </c>
      <c r="V47" s="194">
        <f>SUMIF('МД Франківськ'!B:B,B47,'МД Франківськ'!S:S)</f>
        <v>0</v>
      </c>
      <c r="W47" s="216">
        <f t="shared" si="16"/>
        <v>0</v>
      </c>
      <c r="X47" s="216">
        <f t="shared" si="17"/>
        <v>0</v>
      </c>
      <c r="Y47" s="216">
        <f t="shared" si="2"/>
        <v>0</v>
      </c>
      <c r="Z47" s="216">
        <f t="shared" si="3"/>
        <v>0</v>
      </c>
      <c r="AA47" s="216">
        <f t="shared" si="4"/>
        <v>10800</v>
      </c>
      <c r="AB47" s="216">
        <f t="shared" si="5"/>
        <v>0</v>
      </c>
      <c r="AC47" s="216">
        <f t="shared" si="6"/>
        <v>0</v>
      </c>
      <c r="AD47" s="216">
        <f t="shared" si="7"/>
        <v>1650</v>
      </c>
      <c r="AE47" s="216">
        <f t="shared" si="8"/>
        <v>0</v>
      </c>
      <c r="AF47" s="216">
        <f t="shared" si="9"/>
        <v>0</v>
      </c>
      <c r="AG47" s="216">
        <f t="shared" si="10"/>
        <v>0</v>
      </c>
      <c r="AH47" s="216">
        <f t="shared" si="11"/>
        <v>4950</v>
      </c>
      <c r="AI47" s="216">
        <f t="shared" si="12"/>
        <v>0</v>
      </c>
      <c r="AJ47" s="216">
        <f t="shared" si="19"/>
        <v>17400</v>
      </c>
      <c r="AK47" s="222">
        <f t="shared" si="18"/>
        <v>0</v>
      </c>
    </row>
    <row r="48" spans="1:37" ht="15.75" x14ac:dyDescent="0.25">
      <c r="A48" s="149">
        <v>44</v>
      </c>
      <c r="B48" s="150" t="s">
        <v>630</v>
      </c>
      <c r="C48" s="148"/>
      <c r="D48" s="148">
        <v>5902.27</v>
      </c>
      <c r="E48" s="142">
        <f t="shared" si="14"/>
        <v>8250</v>
      </c>
      <c r="F48" s="191">
        <f>SUMIF('[1]Табель цех 1 по 15 серпня'!$B:$B,B48,'[1]Табель цех 1 по 15 серпня'!$H:$H)</f>
        <v>-62.51999999999498</v>
      </c>
      <c r="G48" s="191">
        <f t="shared" si="15"/>
        <v>2300</v>
      </c>
      <c r="H48" s="191">
        <f t="shared" si="1"/>
        <v>-14.789999999995416</v>
      </c>
      <c r="I48" s="192">
        <f>Цо!AI45+IRS!S45+Катеринополь!S45+'Червоний хрест'!S45+'ООН 2025'!S45+Кернел!S45+'Глобино Мк'!S45+'МД Франківськ'!S45</f>
        <v>55</v>
      </c>
      <c r="J48" s="44">
        <v>150</v>
      </c>
      <c r="K48" s="219">
        <f>SUMIF(ИТР!B:B,B48,ИТР!S:S)</f>
        <v>0</v>
      </c>
      <c r="L48" s="194">
        <f>SUMIF(Цо!R:R,B48,Цо!AI:AI)</f>
        <v>0</v>
      </c>
      <c r="M48" s="194">
        <f>SUMIF(IRS!B:B,B48,IRS!S:S)</f>
        <v>0</v>
      </c>
      <c r="N48" s="194">
        <f>SUMIF(Катеринополь!B:B,B48,Катеринополь!S:S)</f>
        <v>11</v>
      </c>
      <c r="Q48" s="194">
        <f>SUMIF('ООН 2025'!B:B,B48,'ООН 2025'!S:S)</f>
        <v>0</v>
      </c>
      <c r="R48" s="194">
        <f>SUMIF('Червоний хрест'!B:B,B48,'Червоний хрест'!S:S)</f>
        <v>0</v>
      </c>
      <c r="T48" s="194">
        <f>SUMIF(Кернел!B:B,B48,Кернел!S:S)</f>
        <v>0</v>
      </c>
      <c r="U48" s="194">
        <f>SUMIF('Глобино Мк'!B:B,B48,'Глобино Мк'!S:S)</f>
        <v>44</v>
      </c>
      <c r="V48" s="194">
        <f>SUMIF('МД Франківськ'!B:B,B48,'МД Франківськ'!S:S)</f>
        <v>0</v>
      </c>
      <c r="W48" s="216">
        <f t="shared" si="16"/>
        <v>0</v>
      </c>
      <c r="X48" s="216">
        <f t="shared" si="17"/>
        <v>0</v>
      </c>
      <c r="Y48" s="216">
        <f t="shared" si="2"/>
        <v>0</v>
      </c>
      <c r="Z48" s="216">
        <f t="shared" si="3"/>
        <v>0</v>
      </c>
      <c r="AA48" s="216">
        <f t="shared" si="4"/>
        <v>460</v>
      </c>
      <c r="AB48" s="216">
        <f t="shared" si="5"/>
        <v>0</v>
      </c>
      <c r="AC48" s="216">
        <f t="shared" si="6"/>
        <v>0</v>
      </c>
      <c r="AD48" s="216">
        <f t="shared" si="7"/>
        <v>0</v>
      </c>
      <c r="AE48" s="216">
        <f t="shared" si="8"/>
        <v>0</v>
      </c>
      <c r="AF48" s="216">
        <f t="shared" si="9"/>
        <v>0</v>
      </c>
      <c r="AG48" s="216">
        <f t="shared" si="10"/>
        <v>0</v>
      </c>
      <c r="AH48" s="216">
        <f t="shared" si="11"/>
        <v>1840</v>
      </c>
      <c r="AI48" s="216">
        <f t="shared" si="12"/>
        <v>0</v>
      </c>
      <c r="AJ48" s="216">
        <f t="shared" si="19"/>
        <v>2300</v>
      </c>
      <c r="AK48" s="222">
        <f t="shared" si="18"/>
        <v>0</v>
      </c>
    </row>
    <row r="49" spans="1:37" ht="15.75" x14ac:dyDescent="0.25">
      <c r="A49" s="149">
        <v>45</v>
      </c>
      <c r="B49" s="150" t="s">
        <v>639</v>
      </c>
      <c r="C49" s="148"/>
      <c r="D49" s="148"/>
      <c r="E49" s="142">
        <f t="shared" si="14"/>
        <v>19200</v>
      </c>
      <c r="F49" s="191">
        <f>SUMIF('[1]Табель цех 1 по 15 серпня'!$B:$B,B49,'[1]Табель цех 1 по 15 серпня'!$H:$H)</f>
        <v>-100</v>
      </c>
      <c r="G49" s="191">
        <f t="shared" si="15"/>
        <v>19200</v>
      </c>
      <c r="H49" s="191">
        <f t="shared" si="1"/>
        <v>-100</v>
      </c>
      <c r="I49" s="192">
        <f>Цо!AI46+IRS!S46+Катеринополь!S46+'Червоний хрест'!S46+'ООН 2025'!S46+Кернел!S46+'Глобино Мк'!S46+'МД Франківськ'!S46</f>
        <v>128</v>
      </c>
      <c r="J49" s="44">
        <v>150</v>
      </c>
      <c r="K49" s="219">
        <f>SUMIF(ИТР!B:B,B49,ИТР!S:S)</f>
        <v>0</v>
      </c>
      <c r="L49" s="194">
        <f>SUMIF(Цо!R:R,B49,Цо!AI:AI)</f>
        <v>0</v>
      </c>
      <c r="M49" s="194">
        <f>SUMIF(IRS!B:B,B49,IRS!S:S)</f>
        <v>0</v>
      </c>
      <c r="N49" s="194">
        <f>SUMIF(Катеринополь!B:B,B49,Катеринополь!S:S)</f>
        <v>67</v>
      </c>
      <c r="Q49" s="194">
        <f>SUMIF('ООН 2025'!B:B,B49,'ООН 2025'!S:S)</f>
        <v>0</v>
      </c>
      <c r="R49" s="194">
        <f>SUMIF('Червоний хрест'!B:B,B49,'Червоний хрест'!S:S)</f>
        <v>0</v>
      </c>
      <c r="T49" s="194">
        <f>SUMIF(Кернел!B:B,B49,Кернел!S:S)</f>
        <v>0</v>
      </c>
      <c r="U49" s="194">
        <f>SUMIF('Глобино Мк'!B:B,B49,'Глобино Мк'!S:S)</f>
        <v>61</v>
      </c>
      <c r="V49" s="194">
        <f>SUMIF('МД Франківськ'!B:B,B49,'МД Франківськ'!S:S)</f>
        <v>0</v>
      </c>
      <c r="W49" s="216">
        <f t="shared" si="16"/>
        <v>0</v>
      </c>
      <c r="X49" s="216">
        <f t="shared" si="17"/>
        <v>0</v>
      </c>
      <c r="Y49" s="216">
        <f t="shared" si="2"/>
        <v>0</v>
      </c>
      <c r="Z49" s="216">
        <f t="shared" si="3"/>
        <v>0</v>
      </c>
      <c r="AA49" s="216">
        <f t="shared" si="4"/>
        <v>10050</v>
      </c>
      <c r="AB49" s="216">
        <f t="shared" si="5"/>
        <v>0</v>
      </c>
      <c r="AC49" s="216">
        <f t="shared" si="6"/>
        <v>0</v>
      </c>
      <c r="AD49" s="216">
        <f t="shared" si="7"/>
        <v>0</v>
      </c>
      <c r="AE49" s="216">
        <f t="shared" si="8"/>
        <v>0</v>
      </c>
      <c r="AF49" s="216">
        <f t="shared" si="9"/>
        <v>0</v>
      </c>
      <c r="AG49" s="216">
        <f t="shared" si="10"/>
        <v>0</v>
      </c>
      <c r="AH49" s="216">
        <f t="shared" si="11"/>
        <v>9150</v>
      </c>
      <c r="AI49" s="216">
        <f t="shared" si="12"/>
        <v>0</v>
      </c>
      <c r="AJ49" s="216">
        <f t="shared" si="19"/>
        <v>19200</v>
      </c>
      <c r="AK49" s="222">
        <f t="shared" si="18"/>
        <v>0</v>
      </c>
    </row>
    <row r="50" spans="1:37" ht="15.75" x14ac:dyDescent="0.25">
      <c r="A50" s="149">
        <v>46</v>
      </c>
      <c r="B50" s="150" t="s">
        <v>641</v>
      </c>
      <c r="C50" s="148"/>
      <c r="D50" s="148"/>
      <c r="E50" s="142">
        <f t="shared" si="14"/>
        <v>16500</v>
      </c>
      <c r="F50" s="191">
        <f>SUMIF('[1]Табель цех 1 по 15 серпня'!$B:$B,B50,'[1]Табель цех 1 по 15 серпня'!$H:$H)</f>
        <v>-50</v>
      </c>
      <c r="G50" s="191">
        <f t="shared" si="15"/>
        <v>16500</v>
      </c>
      <c r="H50" s="191">
        <f t="shared" si="1"/>
        <v>-50</v>
      </c>
      <c r="I50" s="192">
        <f>Цо!AI47+IRS!S47+Катеринополь!S47+'Червоний хрест'!S47+'ООН 2025'!S47+Кернел!S47+'Глобино Мк'!S47+'МД Франківськ'!S47</f>
        <v>110</v>
      </c>
      <c r="J50" s="44">
        <v>150</v>
      </c>
      <c r="K50" s="219">
        <f>SUMIF(ИТР!B:B,B50,ИТР!S:S)</f>
        <v>0</v>
      </c>
      <c r="L50" s="194">
        <f>SUMIF(Цо!R:R,B50,Цо!AI:AI)</f>
        <v>0</v>
      </c>
      <c r="M50" s="194">
        <f>SUMIF(IRS!B:B,B50,IRS!S:S)</f>
        <v>0</v>
      </c>
      <c r="N50" s="194">
        <f>SUMIF(Катеринополь!B:B,B50,Катеринополь!S:S)</f>
        <v>0</v>
      </c>
      <c r="Q50" s="194">
        <f>SUMIF('ООН 2025'!B:B,B50,'ООН 2025'!S:S)</f>
        <v>110</v>
      </c>
      <c r="R50" s="194">
        <f>SUMIF('Червоний хрест'!B:B,B50,'Червоний хрест'!S:S)</f>
        <v>0</v>
      </c>
      <c r="T50" s="194">
        <f>SUMIF(Кернел!B:B,B50,Кернел!S:S)</f>
        <v>0</v>
      </c>
      <c r="U50" s="194">
        <f>SUMIF('Глобино Мк'!B:B,B50,'Глобино Мк'!S:S)</f>
        <v>0</v>
      </c>
      <c r="V50" s="194">
        <f>SUMIF('МД Франківськ'!B:B,B50,'МД Франківськ'!S:S)</f>
        <v>0</v>
      </c>
      <c r="W50" s="216">
        <f t="shared" si="16"/>
        <v>0</v>
      </c>
      <c r="X50" s="216">
        <f t="shared" si="17"/>
        <v>0</v>
      </c>
      <c r="Y50" s="216">
        <f t="shared" si="2"/>
        <v>0</v>
      </c>
      <c r="Z50" s="216">
        <f t="shared" si="3"/>
        <v>0</v>
      </c>
      <c r="AA50" s="216">
        <f t="shared" si="4"/>
        <v>0</v>
      </c>
      <c r="AB50" s="216">
        <f t="shared" si="5"/>
        <v>0</v>
      </c>
      <c r="AC50" s="216">
        <f t="shared" si="6"/>
        <v>0</v>
      </c>
      <c r="AD50" s="216">
        <f t="shared" si="7"/>
        <v>16500</v>
      </c>
      <c r="AE50" s="216">
        <f t="shared" si="8"/>
        <v>0</v>
      </c>
      <c r="AF50" s="216">
        <f t="shared" si="9"/>
        <v>0</v>
      </c>
      <c r="AG50" s="216">
        <f t="shared" si="10"/>
        <v>0</v>
      </c>
      <c r="AH50" s="216">
        <f t="shared" si="11"/>
        <v>0</v>
      </c>
      <c r="AI50" s="216">
        <f t="shared" si="12"/>
        <v>0</v>
      </c>
      <c r="AJ50" s="216">
        <f t="shared" si="19"/>
        <v>16500</v>
      </c>
      <c r="AK50" s="222">
        <f t="shared" si="18"/>
        <v>0</v>
      </c>
    </row>
    <row r="51" spans="1:37" ht="15.75" x14ac:dyDescent="0.25">
      <c r="A51" s="149">
        <v>47</v>
      </c>
      <c r="B51" s="150" t="s">
        <v>642</v>
      </c>
      <c r="C51" s="148"/>
      <c r="D51" s="148"/>
      <c r="E51" s="142">
        <f t="shared" si="14"/>
        <v>9150</v>
      </c>
      <c r="F51" s="191">
        <f>SUMIF('[1]Табель цех 1 по 15 серпня'!$B:$B,B51,'[1]Табель цех 1 по 15 серпня'!$H:$H)</f>
        <v>-100</v>
      </c>
      <c r="G51" s="191">
        <f t="shared" si="15"/>
        <v>9200</v>
      </c>
      <c r="H51" s="191">
        <f t="shared" si="1"/>
        <v>-150</v>
      </c>
      <c r="I51" s="192">
        <f>Цо!AI48+IRS!S48+Катеринополь!S48+'Червоний хрест'!S48+'ООН 2025'!S48+Кернел!S48+'Глобино Мк'!S48+'МД Франківськ'!S48</f>
        <v>61</v>
      </c>
      <c r="J51" s="44">
        <v>150</v>
      </c>
      <c r="K51" s="219">
        <f>SUMIF(ИТР!B:B,B51,ИТР!S:S)</f>
        <v>0</v>
      </c>
      <c r="L51" s="194">
        <f>SUMIF(Цо!R:R,B51,Цо!AI:AI)</f>
        <v>0</v>
      </c>
      <c r="M51" s="194">
        <f>SUMIF(IRS!B:B,B51,IRS!S:S)</f>
        <v>0</v>
      </c>
      <c r="N51" s="194">
        <f>SUMIF(Катеринополь!B:B,B51,Катеринополь!S:S)</f>
        <v>61</v>
      </c>
      <c r="Q51" s="194">
        <f>SUMIF('ООН 2025'!B:B,B51,'ООН 2025'!S:S)</f>
        <v>0</v>
      </c>
      <c r="R51" s="194">
        <f>SUMIF('Червоний хрест'!B:B,B51,'Червоний хрест'!S:S)</f>
        <v>0</v>
      </c>
      <c r="T51" s="194">
        <f>SUMIF(Кернел!B:B,B51,Кернел!S:S)</f>
        <v>0</v>
      </c>
      <c r="U51" s="194">
        <f>SUMIF('Глобино Мк'!B:B,B51,'Глобино Мк'!S:S)</f>
        <v>0</v>
      </c>
      <c r="V51" s="194">
        <f>SUMIF('МД Франківськ'!B:B,B51,'МД Франківськ'!S:S)</f>
        <v>0</v>
      </c>
      <c r="W51" s="216">
        <f t="shared" si="16"/>
        <v>0</v>
      </c>
      <c r="X51" s="216">
        <f t="shared" si="17"/>
        <v>0</v>
      </c>
      <c r="Y51" s="216">
        <f t="shared" si="2"/>
        <v>0</v>
      </c>
      <c r="Z51" s="216">
        <f t="shared" si="3"/>
        <v>0</v>
      </c>
      <c r="AA51" s="216">
        <f t="shared" si="4"/>
        <v>9200</v>
      </c>
      <c r="AB51" s="216">
        <f t="shared" si="5"/>
        <v>0</v>
      </c>
      <c r="AC51" s="216">
        <f t="shared" si="6"/>
        <v>0</v>
      </c>
      <c r="AD51" s="216">
        <f t="shared" si="7"/>
        <v>0</v>
      </c>
      <c r="AE51" s="216">
        <f t="shared" si="8"/>
        <v>0</v>
      </c>
      <c r="AF51" s="216">
        <f t="shared" si="9"/>
        <v>0</v>
      </c>
      <c r="AG51" s="216">
        <f t="shared" si="10"/>
        <v>0</v>
      </c>
      <c r="AH51" s="216">
        <f t="shared" si="11"/>
        <v>0</v>
      </c>
      <c r="AI51" s="216">
        <f t="shared" si="12"/>
        <v>0</v>
      </c>
      <c r="AJ51" s="216">
        <f t="shared" si="19"/>
        <v>9200</v>
      </c>
      <c r="AK51" s="222">
        <f t="shared" si="18"/>
        <v>0</v>
      </c>
    </row>
    <row r="52" spans="1:37" ht="15.75" x14ac:dyDescent="0.25">
      <c r="A52" s="149">
        <v>48</v>
      </c>
      <c r="B52" s="150" t="s">
        <v>645</v>
      </c>
      <c r="C52" s="148">
        <v>9162.5</v>
      </c>
      <c r="D52" s="148">
        <v>3739.99</v>
      </c>
      <c r="E52" s="142">
        <f t="shared" si="14"/>
        <v>57600</v>
      </c>
      <c r="F52" s="191">
        <f>SUMIF('[1]Табель цех 1 по 15 серпня'!$B:$B,B52,'[1]Табель цех 1 по 15 серпня'!$H:$H)</f>
        <v>26.439999999995052</v>
      </c>
      <c r="G52" s="191">
        <f t="shared" si="15"/>
        <v>44700</v>
      </c>
      <c r="H52" s="191">
        <f t="shared" si="1"/>
        <v>23.94999999999709</v>
      </c>
      <c r="I52" s="192">
        <f>Цо!AI49+IRS!S49+Катеринополь!S49+'Червоний хрест'!S49+'ООН 2025'!S49+Кернел!S49+'Глобино Мк'!S49+'МД Франківськ'!S49</f>
        <v>384</v>
      </c>
      <c r="J52" s="44">
        <v>150</v>
      </c>
      <c r="K52" s="219">
        <f>SUMIF(ИТР!B:B,B52,ИТР!S:S)</f>
        <v>0</v>
      </c>
      <c r="L52" s="194">
        <f>SUMIF(Цо!R:R,B52,Цо!AI:AI)</f>
        <v>0</v>
      </c>
      <c r="M52" s="194">
        <f>SUMIF(IRS!B:B,B52,IRS!S:S)</f>
        <v>0</v>
      </c>
      <c r="N52" s="194">
        <f>SUMIF(Катеринополь!B:B,B52,Катеринополь!S:S)</f>
        <v>0</v>
      </c>
      <c r="Q52" s="194">
        <f>SUMIF('ООН 2025'!B:B,B52,'ООН 2025'!S:S)</f>
        <v>0</v>
      </c>
      <c r="R52" s="194">
        <f>SUMIF('Червоний хрест'!B:B,B52,'Червоний хрест'!S:S)</f>
        <v>0</v>
      </c>
      <c r="T52" s="194">
        <f>SUMIF(Кернел!B:B,B52,Кернел!S:S)</f>
        <v>384</v>
      </c>
      <c r="U52" s="194">
        <f>SUMIF('Глобино Мк'!B:B,B52,'Глобино Мк'!S:S)</f>
        <v>0</v>
      </c>
      <c r="V52" s="194">
        <f>SUMIF('МД Франківськ'!B:B,B52,'МД Франківськ'!S:S)</f>
        <v>0</v>
      </c>
      <c r="W52" s="216">
        <f t="shared" si="16"/>
        <v>0</v>
      </c>
      <c r="X52" s="216">
        <f t="shared" si="17"/>
        <v>0</v>
      </c>
      <c r="Y52" s="216">
        <f t="shared" si="2"/>
        <v>0</v>
      </c>
      <c r="Z52" s="216">
        <f t="shared" si="3"/>
        <v>0</v>
      </c>
      <c r="AA52" s="216">
        <f t="shared" si="4"/>
        <v>0</v>
      </c>
      <c r="AB52" s="216">
        <f t="shared" si="5"/>
        <v>0</v>
      </c>
      <c r="AC52" s="216">
        <f t="shared" si="6"/>
        <v>0</v>
      </c>
      <c r="AD52" s="216">
        <f t="shared" si="7"/>
        <v>0</v>
      </c>
      <c r="AE52" s="216">
        <f t="shared" si="8"/>
        <v>0</v>
      </c>
      <c r="AF52" s="216">
        <f t="shared" si="9"/>
        <v>0</v>
      </c>
      <c r="AG52" s="216">
        <f t="shared" si="10"/>
        <v>44700</v>
      </c>
      <c r="AH52" s="216">
        <f t="shared" si="11"/>
        <v>0</v>
      </c>
      <c r="AI52" s="216">
        <f t="shared" si="12"/>
        <v>0</v>
      </c>
      <c r="AJ52" s="216">
        <f t="shared" si="19"/>
        <v>44700</v>
      </c>
      <c r="AK52" s="222">
        <f t="shared" si="18"/>
        <v>0</v>
      </c>
    </row>
    <row r="53" spans="1:37" ht="15.75" x14ac:dyDescent="0.25">
      <c r="A53" s="149">
        <v>49</v>
      </c>
      <c r="B53" s="150" t="s">
        <v>643</v>
      </c>
      <c r="C53" s="148"/>
      <c r="D53" s="148"/>
      <c r="E53" s="142">
        <f t="shared" si="14"/>
        <v>10650</v>
      </c>
      <c r="F53" s="191">
        <f>SUMIF('[1]Табель цех 1 по 15 серпня'!$B:$B,B53,'[1]Табель цех 1 по 15 серпня'!$H:$H)</f>
        <v>-100</v>
      </c>
      <c r="G53" s="191">
        <f t="shared" si="15"/>
        <v>10700</v>
      </c>
      <c r="H53" s="191">
        <f t="shared" si="1"/>
        <v>-150</v>
      </c>
      <c r="I53" s="192">
        <f>Цо!AI50+IRS!S50+Катеринополь!S50+'Червоний хрест'!S50+'ООН 2025'!S50+Кернел!S50+'Глобино Мк'!S50+'МД Франківськ'!S50</f>
        <v>71</v>
      </c>
      <c r="J53" s="44">
        <v>150</v>
      </c>
      <c r="K53" s="219">
        <f>SUMIF(ИТР!B:B,B53,ИТР!S:S)</f>
        <v>0</v>
      </c>
      <c r="L53" s="194">
        <f>SUMIF(Цо!R:R,B53,Цо!AI:AI)</f>
        <v>0</v>
      </c>
      <c r="M53" s="194">
        <f>SUMIF(IRS!B:B,B53,IRS!S:S)</f>
        <v>0</v>
      </c>
      <c r="N53" s="194">
        <f>SUMIF(Катеринополь!B:B,B53,Катеринополь!S:S)</f>
        <v>22</v>
      </c>
      <c r="Q53" s="194">
        <f>SUMIF('ООН 2025'!B:B,B53,'ООН 2025'!S:S)</f>
        <v>0</v>
      </c>
      <c r="R53" s="194">
        <f>SUMIF('Червоний хрест'!B:B,B53,'Червоний хрест'!S:S)</f>
        <v>0</v>
      </c>
      <c r="T53" s="194">
        <f>SUMIF(Кернел!B:B,B53,Кернел!S:S)</f>
        <v>0</v>
      </c>
      <c r="U53" s="194">
        <f>SUMIF('Глобино Мк'!B:B,B53,'Глобино Мк'!S:S)</f>
        <v>49</v>
      </c>
      <c r="V53" s="194">
        <f>SUMIF('МД Франківськ'!B:B,B53,'МД Франківськ'!S:S)</f>
        <v>0</v>
      </c>
      <c r="W53" s="216">
        <f t="shared" si="16"/>
        <v>0</v>
      </c>
      <c r="X53" s="216">
        <f t="shared" si="17"/>
        <v>0</v>
      </c>
      <c r="Y53" s="216">
        <f t="shared" si="2"/>
        <v>0</v>
      </c>
      <c r="Z53" s="216">
        <f t="shared" si="3"/>
        <v>0</v>
      </c>
      <c r="AA53" s="216">
        <f t="shared" si="4"/>
        <v>3315.4929577464786</v>
      </c>
      <c r="AB53" s="216">
        <f t="shared" si="5"/>
        <v>0</v>
      </c>
      <c r="AC53" s="216">
        <f t="shared" si="6"/>
        <v>0</v>
      </c>
      <c r="AD53" s="216">
        <f t="shared" si="7"/>
        <v>0</v>
      </c>
      <c r="AE53" s="216">
        <f t="shared" si="8"/>
        <v>0</v>
      </c>
      <c r="AF53" s="216">
        <f t="shared" si="9"/>
        <v>0</v>
      </c>
      <c r="AG53" s="216">
        <f t="shared" si="10"/>
        <v>0</v>
      </c>
      <c r="AH53" s="216">
        <f t="shared" si="11"/>
        <v>7384.5070422535209</v>
      </c>
      <c r="AI53" s="216">
        <f t="shared" si="12"/>
        <v>0</v>
      </c>
      <c r="AJ53" s="216">
        <f t="shared" si="19"/>
        <v>10700</v>
      </c>
      <c r="AK53" s="222">
        <f t="shared" si="18"/>
        <v>0</v>
      </c>
    </row>
    <row r="54" spans="1:37" ht="15.75" x14ac:dyDescent="0.25">
      <c r="A54" s="149">
        <v>50</v>
      </c>
      <c r="B54" s="150" t="s">
        <v>640</v>
      </c>
      <c r="C54" s="148"/>
      <c r="D54" s="148">
        <v>3739.99</v>
      </c>
      <c r="E54" s="142">
        <f t="shared" si="14"/>
        <v>13800</v>
      </c>
      <c r="F54" s="191">
        <f>SUMIF('[1]Табель цех 1 по 15 серпня'!$B:$B,B54,'[1]Табель цех 1 по 15 серпня'!$H:$H)</f>
        <v>31.989999999999782</v>
      </c>
      <c r="G54" s="191">
        <f t="shared" si="15"/>
        <v>10100</v>
      </c>
      <c r="H54" s="191">
        <f t="shared" si="1"/>
        <v>-8</v>
      </c>
      <c r="I54" s="192">
        <f>Цо!AI51+IRS!S51+Катеринополь!S51+'Червоний хрест'!S51+'ООН 2025'!S51+Кернел!S51+'Глобино Мк'!S51+'МД Франківськ'!S51</f>
        <v>92</v>
      </c>
      <c r="J54" s="44">
        <v>150</v>
      </c>
      <c r="K54" s="219">
        <f>SUMIF(ИТР!B:B,B54,ИТР!S:S)</f>
        <v>0</v>
      </c>
      <c r="L54" s="194">
        <f>SUMIF(Цо!R:R,B54,Цо!AI:AI)</f>
        <v>92</v>
      </c>
      <c r="M54" s="194">
        <f>SUMIF(IRS!B:B,B54,IRS!S:S)</f>
        <v>0</v>
      </c>
      <c r="N54" s="194">
        <f>SUMIF(Катеринополь!B:B,B54,Катеринополь!S:S)</f>
        <v>0</v>
      </c>
      <c r="Q54" s="194">
        <f>SUMIF('ООН 2025'!B:B,B54,'ООН 2025'!S:S)</f>
        <v>0</v>
      </c>
      <c r="R54" s="194">
        <f>SUMIF('Червоний хрест'!B:B,B54,'Червоний хрест'!S:S)</f>
        <v>0</v>
      </c>
      <c r="T54" s="194">
        <f>SUMIF(Кернел!B:B,B54,Кернел!S:S)</f>
        <v>0</v>
      </c>
      <c r="U54" s="194">
        <f>SUMIF('Глобино Мк'!B:B,B54,'Глобино Мк'!S:S)</f>
        <v>0</v>
      </c>
      <c r="V54" s="194">
        <f>SUMIF('МД Франківськ'!B:B,B54,'МД Франківськ'!S:S)</f>
        <v>0</v>
      </c>
      <c r="W54" s="216">
        <f t="shared" si="16"/>
        <v>0</v>
      </c>
      <c r="X54" s="216">
        <f t="shared" si="17"/>
        <v>0</v>
      </c>
      <c r="Y54" s="216">
        <f t="shared" si="2"/>
        <v>10100</v>
      </c>
      <c r="Z54" s="216">
        <f t="shared" si="3"/>
        <v>0</v>
      </c>
      <c r="AA54" s="216">
        <f t="shared" si="4"/>
        <v>0</v>
      </c>
      <c r="AB54" s="216">
        <f t="shared" si="5"/>
        <v>0</v>
      </c>
      <c r="AC54" s="216">
        <f t="shared" si="6"/>
        <v>0</v>
      </c>
      <c r="AD54" s="216">
        <f t="shared" si="7"/>
        <v>0</v>
      </c>
      <c r="AE54" s="216">
        <f t="shared" si="8"/>
        <v>0</v>
      </c>
      <c r="AF54" s="216">
        <f t="shared" si="9"/>
        <v>0</v>
      </c>
      <c r="AG54" s="216">
        <f t="shared" si="10"/>
        <v>0</v>
      </c>
      <c r="AH54" s="216">
        <f t="shared" si="11"/>
        <v>0</v>
      </c>
      <c r="AI54" s="216">
        <f t="shared" si="12"/>
        <v>0</v>
      </c>
      <c r="AJ54" s="216">
        <f t="shared" si="19"/>
        <v>10100</v>
      </c>
      <c r="AK54" s="222">
        <f t="shared" si="18"/>
        <v>0</v>
      </c>
    </row>
    <row r="55" spans="1:37" ht="15.75" x14ac:dyDescent="0.25">
      <c r="A55" s="149">
        <v>51</v>
      </c>
      <c r="B55" s="150" t="s">
        <v>646</v>
      </c>
      <c r="C55" s="148"/>
      <c r="D55" s="148"/>
      <c r="E55" s="142">
        <f t="shared" si="14"/>
        <v>3450</v>
      </c>
      <c r="F55" s="191">
        <f>SUMIF('[1]Табель цех 1 по 15 серпня'!$B:$B,B55,'[1]Табель цех 1 по 15 серпня'!$H:$H)</f>
        <v>-50</v>
      </c>
      <c r="G55" s="191">
        <f t="shared" si="15"/>
        <v>3500</v>
      </c>
      <c r="H55" s="191">
        <f t="shared" si="1"/>
        <v>-100</v>
      </c>
      <c r="I55" s="192">
        <f>Цо!AI52+IRS!S52+Катеринополь!S52+'Червоний хрест'!S52+'ООН 2025'!S52+Кернел!S52+'Глобино Мк'!S52+'МД Франківськ'!S52</f>
        <v>23</v>
      </c>
      <c r="J55" s="44">
        <v>150</v>
      </c>
      <c r="K55" s="219">
        <f>SUMIF(ИТР!B:B,B55,ИТР!S:S)</f>
        <v>0</v>
      </c>
      <c r="L55" s="194">
        <f>SUMIF(Цо!R:R,B55,Цо!AI:AI)</f>
        <v>23</v>
      </c>
      <c r="M55" s="194">
        <f>SUMIF(IRS!B:B,B55,IRS!S:S)</f>
        <v>0</v>
      </c>
      <c r="N55" s="194">
        <f>SUMIF(Катеринополь!B:B,B55,Катеринополь!S:S)</f>
        <v>0</v>
      </c>
      <c r="Q55" s="194">
        <f>SUMIF('ООН 2025'!B:B,B55,'ООН 2025'!S:S)</f>
        <v>0</v>
      </c>
      <c r="R55" s="194">
        <f>SUMIF('Червоний хрест'!B:B,B55,'Червоний хрест'!S:S)</f>
        <v>0</v>
      </c>
      <c r="T55" s="194">
        <f>SUMIF(Кернел!B:B,B55,Кернел!S:S)</f>
        <v>0</v>
      </c>
      <c r="U55" s="194">
        <f>SUMIF('Глобино Мк'!B:B,B55,'Глобино Мк'!S:S)</f>
        <v>0</v>
      </c>
      <c r="V55" s="194">
        <f>SUMIF('МД Франківськ'!B:B,B55,'МД Франківськ'!S:S)</f>
        <v>0</v>
      </c>
      <c r="W55" s="216">
        <f t="shared" si="16"/>
        <v>0</v>
      </c>
      <c r="X55" s="216">
        <f t="shared" si="17"/>
        <v>0</v>
      </c>
      <c r="Y55" s="216">
        <f t="shared" si="2"/>
        <v>3500</v>
      </c>
      <c r="Z55" s="216">
        <f t="shared" si="3"/>
        <v>0</v>
      </c>
      <c r="AA55" s="216">
        <f t="shared" si="4"/>
        <v>0</v>
      </c>
      <c r="AB55" s="216">
        <f t="shared" si="5"/>
        <v>0</v>
      </c>
      <c r="AC55" s="216">
        <f t="shared" si="6"/>
        <v>0</v>
      </c>
      <c r="AD55" s="216">
        <f t="shared" si="7"/>
        <v>0</v>
      </c>
      <c r="AE55" s="216">
        <f t="shared" si="8"/>
        <v>0</v>
      </c>
      <c r="AF55" s="216">
        <f t="shared" si="9"/>
        <v>0</v>
      </c>
      <c r="AG55" s="216">
        <f t="shared" si="10"/>
        <v>0</v>
      </c>
      <c r="AH55" s="216">
        <f t="shared" si="11"/>
        <v>0</v>
      </c>
      <c r="AI55" s="216">
        <f t="shared" si="12"/>
        <v>0</v>
      </c>
      <c r="AJ55" s="216">
        <f t="shared" si="19"/>
        <v>3500</v>
      </c>
      <c r="AK55" s="222">
        <f t="shared" si="18"/>
        <v>0</v>
      </c>
    </row>
    <row r="56" spans="1:37" ht="15.75" x14ac:dyDescent="0.25">
      <c r="A56" s="149">
        <v>52</v>
      </c>
      <c r="B56" s="150" t="s">
        <v>660</v>
      </c>
      <c r="C56" s="148"/>
      <c r="D56" s="148"/>
      <c r="E56" s="142">
        <f t="shared" si="14"/>
        <v>19200</v>
      </c>
      <c r="F56" s="191">
        <f>SUMIF('[1]Табель цех 1 по 15 серпня'!$B:$B,B56,'[1]Табель цех 1 по 15 серпня'!$H:$H)</f>
        <v>-100</v>
      </c>
      <c r="G56" s="191">
        <f t="shared" si="15"/>
        <v>19200</v>
      </c>
      <c r="H56" s="191">
        <f t="shared" si="1"/>
        <v>-100</v>
      </c>
      <c r="I56" s="192">
        <f>Цо!AI53+IRS!S53+Катеринополь!S53+'Червоний хрест'!S53+'ООН 2025'!S53+Кернел!S53+'Глобино Мк'!S53+'МД Франківськ'!S53</f>
        <v>128</v>
      </c>
      <c r="J56" s="44">
        <v>150</v>
      </c>
      <c r="K56" s="219">
        <f>SUMIF(ИТР!B:B,B56,ИТР!S:S)</f>
        <v>0</v>
      </c>
      <c r="L56" s="194">
        <f>SUMIF(Цо!R:R,B56,Цо!AI:AI)</f>
        <v>0</v>
      </c>
      <c r="M56" s="194">
        <f>SUMIF(IRS!B:B,B56,IRS!S:S)</f>
        <v>0</v>
      </c>
      <c r="N56" s="194">
        <f>SUMIF(Катеринополь!B:B,B56,Катеринополь!S:S)</f>
        <v>0</v>
      </c>
      <c r="Q56" s="194">
        <f>SUMIF('ООН 2025'!B:B,B56,'ООН 2025'!S:S)</f>
        <v>128</v>
      </c>
      <c r="R56" s="194">
        <f>SUMIF('Червоний хрест'!B:B,B56,'Червоний хрест'!S:S)</f>
        <v>0</v>
      </c>
      <c r="T56" s="194">
        <f>SUMIF(Кернел!B:B,B56,Кернел!S:S)</f>
        <v>0</v>
      </c>
      <c r="U56" s="194">
        <f>SUMIF('Глобино Мк'!B:B,B56,'Глобино Мк'!S:S)</f>
        <v>0</v>
      </c>
      <c r="V56" s="194">
        <f>SUMIF('МД Франківськ'!B:B,B56,'МД Франківськ'!S:S)</f>
        <v>0</v>
      </c>
      <c r="W56" s="216">
        <f t="shared" si="16"/>
        <v>0</v>
      </c>
      <c r="X56" s="216">
        <f t="shared" si="17"/>
        <v>0</v>
      </c>
      <c r="Y56" s="216">
        <f t="shared" si="2"/>
        <v>0</v>
      </c>
      <c r="Z56" s="216">
        <f t="shared" si="3"/>
        <v>0</v>
      </c>
      <c r="AA56" s="216">
        <f t="shared" si="4"/>
        <v>0</v>
      </c>
      <c r="AB56" s="216">
        <f t="shared" si="5"/>
        <v>0</v>
      </c>
      <c r="AC56" s="216">
        <f t="shared" si="6"/>
        <v>0</v>
      </c>
      <c r="AD56" s="216">
        <f t="shared" si="7"/>
        <v>19200</v>
      </c>
      <c r="AE56" s="216">
        <f t="shared" si="8"/>
        <v>0</v>
      </c>
      <c r="AF56" s="216">
        <f t="shared" si="9"/>
        <v>0</v>
      </c>
      <c r="AG56" s="216">
        <f t="shared" si="10"/>
        <v>0</v>
      </c>
      <c r="AH56" s="216">
        <f t="shared" si="11"/>
        <v>0</v>
      </c>
      <c r="AI56" s="216">
        <f t="shared" si="12"/>
        <v>0</v>
      </c>
      <c r="AJ56" s="216">
        <f t="shared" si="19"/>
        <v>19200</v>
      </c>
      <c r="AK56" s="222">
        <f t="shared" si="18"/>
        <v>0</v>
      </c>
    </row>
    <row r="57" spans="1:37" ht="15.75" x14ac:dyDescent="0.25">
      <c r="A57" s="149">
        <v>53</v>
      </c>
      <c r="B57" s="150" t="s">
        <v>648</v>
      </c>
      <c r="C57" s="148"/>
      <c r="D57" s="148"/>
      <c r="E57" s="142">
        <f t="shared" si="14"/>
        <v>16800</v>
      </c>
      <c r="F57" s="191">
        <f>SUMIF('[1]Табель цех 1 по 15 серпня'!$B:$B,B57,'[1]Табель цех 1 по 15 серпня'!$H:$H)</f>
        <v>-50</v>
      </c>
      <c r="G57" s="191">
        <f t="shared" si="15"/>
        <v>16800</v>
      </c>
      <c r="H57" s="191">
        <f t="shared" si="1"/>
        <v>-50</v>
      </c>
      <c r="I57" s="192">
        <f>Цо!AI54+IRS!S54+Катеринополь!S54+'Червоний хрест'!S54+'ООН 2025'!S54+Кернел!S54+'Глобино Мк'!S54+'МД Франківськ'!S54</f>
        <v>112</v>
      </c>
      <c r="J57" s="44">
        <v>150</v>
      </c>
      <c r="K57" s="219">
        <f>SUMIF(ИТР!B:B,B57,ИТР!S:S)</f>
        <v>0</v>
      </c>
      <c r="L57" s="194">
        <f>SUMIF(Цо!R:R,B57,Цо!AI:AI)</f>
        <v>0</v>
      </c>
      <c r="M57" s="194">
        <f>SUMIF(IRS!B:B,B57,IRS!S:S)</f>
        <v>0</v>
      </c>
      <c r="N57" s="194">
        <f>SUMIF(Катеринополь!B:B,B57,Катеринополь!S:S)</f>
        <v>0</v>
      </c>
      <c r="Q57" s="194">
        <f>SUMIF('ООН 2025'!B:B,B57,'ООН 2025'!S:S)</f>
        <v>112</v>
      </c>
      <c r="R57" s="194">
        <f>SUMIF('Червоний хрест'!B:B,B57,'Червоний хрест'!S:S)</f>
        <v>0</v>
      </c>
      <c r="T57" s="194">
        <f>SUMIF(Кернел!B:B,B57,Кернел!S:S)</f>
        <v>0</v>
      </c>
      <c r="U57" s="194">
        <f>SUMIF('Глобино Мк'!B:B,B57,'Глобино Мк'!S:S)</f>
        <v>0</v>
      </c>
      <c r="V57" s="194">
        <f>SUMIF('МД Франківськ'!B:B,B57,'МД Франківськ'!S:S)</f>
        <v>0</v>
      </c>
      <c r="W57" s="216">
        <f t="shared" si="16"/>
        <v>0</v>
      </c>
      <c r="X57" s="216">
        <f t="shared" si="17"/>
        <v>0</v>
      </c>
      <c r="Y57" s="216">
        <f t="shared" si="2"/>
        <v>0</v>
      </c>
      <c r="Z57" s="216">
        <f t="shared" si="3"/>
        <v>0</v>
      </c>
      <c r="AA57" s="216">
        <f t="shared" si="4"/>
        <v>0</v>
      </c>
      <c r="AB57" s="216">
        <f t="shared" si="5"/>
        <v>0</v>
      </c>
      <c r="AC57" s="216">
        <f t="shared" si="6"/>
        <v>0</v>
      </c>
      <c r="AD57" s="216">
        <f t="shared" si="7"/>
        <v>16800</v>
      </c>
      <c r="AE57" s="216">
        <f t="shared" si="8"/>
        <v>0</v>
      </c>
      <c r="AF57" s="216">
        <f t="shared" si="9"/>
        <v>0</v>
      </c>
      <c r="AG57" s="216">
        <f t="shared" si="10"/>
        <v>0</v>
      </c>
      <c r="AH57" s="216">
        <f t="shared" si="11"/>
        <v>0</v>
      </c>
      <c r="AI57" s="216">
        <f t="shared" si="12"/>
        <v>0</v>
      </c>
      <c r="AJ57" s="216">
        <f t="shared" si="19"/>
        <v>16800</v>
      </c>
      <c r="AK57" s="222">
        <f t="shared" si="18"/>
        <v>0</v>
      </c>
    </row>
    <row r="58" spans="1:37" ht="15.75" x14ac:dyDescent="0.25">
      <c r="A58" s="149">
        <v>54</v>
      </c>
      <c r="B58" s="150" t="s">
        <v>649</v>
      </c>
      <c r="C58" s="148"/>
      <c r="D58" s="148"/>
      <c r="E58" s="142">
        <f t="shared" si="14"/>
        <v>18900</v>
      </c>
      <c r="F58" s="191">
        <f>SUMIF('[1]Табель цех 1 по 15 серпня'!$B:$B,B58,'[1]Табель цех 1 по 15 серпня'!$H:$H)</f>
        <v>-150</v>
      </c>
      <c r="G58" s="191">
        <f t="shared" si="15"/>
        <v>18900</v>
      </c>
      <c r="H58" s="191">
        <f t="shared" si="1"/>
        <v>-150</v>
      </c>
      <c r="I58" s="192">
        <f>Цо!AI55+IRS!S55+Катеринополь!S55+'Червоний хрест'!S55+'ООН 2025'!S55+Кернел!S55+'Глобино Мк'!S55+'МД Франківськ'!S55</f>
        <v>126</v>
      </c>
      <c r="J58" s="44">
        <v>150</v>
      </c>
      <c r="K58" s="219">
        <f>SUMIF(ИТР!B:B,B58,ИТР!S:S)</f>
        <v>0</v>
      </c>
      <c r="L58" s="194">
        <f>SUMIF(Цо!R:R,B58,Цо!AI:AI)</f>
        <v>0</v>
      </c>
      <c r="M58" s="194">
        <f>SUMIF(IRS!B:B,B58,IRS!S:S)</f>
        <v>0</v>
      </c>
      <c r="N58" s="194">
        <f>SUMIF(Катеринополь!B:B,B58,Катеринополь!S:S)</f>
        <v>0</v>
      </c>
      <c r="Q58" s="194">
        <f>SUMIF('ООН 2025'!B:B,B58,'ООН 2025'!S:S)</f>
        <v>126</v>
      </c>
      <c r="R58" s="194">
        <f>SUMIF('Червоний хрест'!B:B,B58,'Червоний хрест'!S:S)</f>
        <v>0</v>
      </c>
      <c r="T58" s="194">
        <f>SUMIF(Кернел!B:B,B58,Кернел!S:S)</f>
        <v>0</v>
      </c>
      <c r="U58" s="194">
        <f>SUMIF('Глобино Мк'!B:B,B58,'Глобино Мк'!S:S)</f>
        <v>0</v>
      </c>
      <c r="V58" s="194">
        <f>SUMIF('МД Франківськ'!B:B,B58,'МД Франківськ'!S:S)</f>
        <v>0</v>
      </c>
      <c r="W58" s="216">
        <f t="shared" si="16"/>
        <v>0</v>
      </c>
      <c r="X58" s="216">
        <f t="shared" si="17"/>
        <v>0</v>
      </c>
      <c r="Y58" s="216">
        <f t="shared" si="2"/>
        <v>0</v>
      </c>
      <c r="Z58" s="216">
        <f t="shared" si="3"/>
        <v>0</v>
      </c>
      <c r="AA58" s="216">
        <f t="shared" si="4"/>
        <v>0</v>
      </c>
      <c r="AB58" s="216">
        <f t="shared" si="5"/>
        <v>0</v>
      </c>
      <c r="AC58" s="216">
        <f t="shared" si="6"/>
        <v>0</v>
      </c>
      <c r="AD58" s="216">
        <f t="shared" si="7"/>
        <v>18900</v>
      </c>
      <c r="AE58" s="216">
        <f t="shared" si="8"/>
        <v>0</v>
      </c>
      <c r="AF58" s="216">
        <f t="shared" si="9"/>
        <v>0</v>
      </c>
      <c r="AG58" s="216">
        <f t="shared" si="10"/>
        <v>0</v>
      </c>
      <c r="AH58" s="216">
        <f t="shared" si="11"/>
        <v>0</v>
      </c>
      <c r="AI58" s="216">
        <f t="shared" si="12"/>
        <v>0</v>
      </c>
      <c r="AJ58" s="216">
        <f t="shared" si="19"/>
        <v>18900</v>
      </c>
      <c r="AK58" s="222">
        <f t="shared" si="18"/>
        <v>0</v>
      </c>
    </row>
    <row r="59" spans="1:37" ht="15.75" x14ac:dyDescent="0.25">
      <c r="A59" s="149">
        <v>55</v>
      </c>
      <c r="B59" s="150" t="s">
        <v>650</v>
      </c>
      <c r="C59" s="148"/>
      <c r="D59" s="148"/>
      <c r="E59" s="152">
        <f t="shared" si="14"/>
        <v>54000</v>
      </c>
      <c r="F59" s="191">
        <f>SUMIF('[1]Табель цех 1 по 15 серпня'!$B:$B,B59,'[1]Табель цех 1 по 15 серпня'!$H:$H)</f>
        <v>-50</v>
      </c>
      <c r="G59" s="191">
        <f t="shared" si="15"/>
        <v>54000</v>
      </c>
      <c r="H59" s="191">
        <f t="shared" si="1"/>
        <v>-50</v>
      </c>
      <c r="I59" s="192">
        <f>Цо!AI56+IRS!S56+Катеринополь!S56+'Червоний хрест'!S56+'ООН 2025'!S56+Кернел!S56+'Глобино Мк'!S56+'МД Франківськ'!S56</f>
        <v>360</v>
      </c>
      <c r="J59" s="44">
        <v>150</v>
      </c>
      <c r="K59" s="219">
        <f>SUMIF(ИТР!B:B,B59,ИТР!S:S)</f>
        <v>0</v>
      </c>
      <c r="L59" s="194">
        <f>SUMIF(Цо!R:R,B59,Цо!AI:AI)</f>
        <v>0</v>
      </c>
      <c r="M59" s="194">
        <f>SUMIF(IRS!B:B,B59,IRS!S:S)</f>
        <v>96</v>
      </c>
      <c r="N59" s="194">
        <f>SUMIF(Катеринополь!B:B,B59,Катеринополь!S:S)</f>
        <v>0</v>
      </c>
      <c r="Q59" s="194">
        <f>SUMIF('ООН 2025'!B:B,B59,'ООН 2025'!S:S)</f>
        <v>264</v>
      </c>
      <c r="R59" s="194">
        <f>SUMIF('Червоний хрест'!B:B,B59,'Червоний хрест'!S:S)</f>
        <v>0</v>
      </c>
      <c r="T59" s="194">
        <f>SUMIF(Кернел!B:B,B59,Кернел!S:S)</f>
        <v>0</v>
      </c>
      <c r="U59" s="194">
        <f>SUMIF('Глобино Мк'!B:B,B59,'Глобино Мк'!S:S)</f>
        <v>0</v>
      </c>
      <c r="V59" s="194">
        <f>SUMIF('МД Франківськ'!B:B,B59,'МД Франківськ'!S:S)</f>
        <v>0</v>
      </c>
      <c r="W59" s="216">
        <f t="shared" si="16"/>
        <v>0</v>
      </c>
      <c r="X59" s="216">
        <f t="shared" si="17"/>
        <v>0</v>
      </c>
      <c r="Y59" s="216">
        <f t="shared" si="2"/>
        <v>0</v>
      </c>
      <c r="Z59" s="216">
        <f t="shared" si="3"/>
        <v>14400</v>
      </c>
      <c r="AA59" s="216">
        <f t="shared" si="4"/>
        <v>0</v>
      </c>
      <c r="AB59" s="216">
        <f t="shared" si="5"/>
        <v>0</v>
      </c>
      <c r="AC59" s="216">
        <f t="shared" si="6"/>
        <v>0</v>
      </c>
      <c r="AD59" s="216">
        <f t="shared" si="7"/>
        <v>39600</v>
      </c>
      <c r="AE59" s="216">
        <f t="shared" si="8"/>
        <v>0</v>
      </c>
      <c r="AF59" s="216">
        <f t="shared" si="9"/>
        <v>0</v>
      </c>
      <c r="AG59" s="216">
        <f t="shared" si="10"/>
        <v>0</v>
      </c>
      <c r="AH59" s="216">
        <f t="shared" si="11"/>
        <v>0</v>
      </c>
      <c r="AI59" s="216">
        <f t="shared" si="12"/>
        <v>0</v>
      </c>
      <c r="AJ59" s="216">
        <f t="shared" si="19"/>
        <v>54000</v>
      </c>
      <c r="AK59" s="222">
        <f t="shared" si="18"/>
        <v>0</v>
      </c>
    </row>
    <row r="60" spans="1:37" ht="15.75" x14ac:dyDescent="0.25">
      <c r="A60" s="149">
        <v>56</v>
      </c>
      <c r="B60" s="150" t="s">
        <v>652</v>
      </c>
      <c r="C60" s="148"/>
      <c r="D60" s="148"/>
      <c r="E60" s="142">
        <f t="shared" si="14"/>
        <v>0</v>
      </c>
      <c r="F60" s="191">
        <f>SUMIF('[1]Табель цех 1 по 15 серпня'!$B:$B,B60,'[1]Табель цех 1 по 15 серпня'!$H:$H)</f>
        <v>0</v>
      </c>
      <c r="G60" s="191">
        <f t="shared" si="15"/>
        <v>0</v>
      </c>
      <c r="H60" s="191">
        <f t="shared" si="1"/>
        <v>0</v>
      </c>
      <c r="I60" s="192">
        <f>Цо!AI57+IRS!S57+Катеринополь!S57+'Червоний хрест'!S57+'ООН 2025'!S57+Кернел!S57+'Глобино Мк'!S57+'МД Франківськ'!S57</f>
        <v>0</v>
      </c>
      <c r="J60" s="44">
        <v>150</v>
      </c>
      <c r="K60" s="219">
        <f>SUMIF(ИТР!B:B,B60,ИТР!S:S)</f>
        <v>0</v>
      </c>
      <c r="L60" s="194">
        <f>SUMIF(Цо!R:R,B60,Цо!AI:AI)</f>
        <v>0</v>
      </c>
      <c r="M60" s="194">
        <f>SUMIF(IRS!B:B,B60,IRS!S:S)</f>
        <v>0</v>
      </c>
      <c r="N60" s="194">
        <f>SUMIF(Катеринополь!B:B,B60,Катеринополь!S:S)</f>
        <v>0</v>
      </c>
      <c r="Q60" s="194">
        <f>SUMIF('ООН 2025'!B:B,B60,'ООН 2025'!S:S)</f>
        <v>0</v>
      </c>
      <c r="R60" s="194">
        <f>SUMIF('Червоний хрест'!B:B,B60,'Червоний хрест'!S:S)</f>
        <v>0</v>
      </c>
      <c r="T60" s="194">
        <f>SUMIF(Кернел!B:B,B60,Кернел!S:S)</f>
        <v>0</v>
      </c>
      <c r="U60" s="194">
        <f>SUMIF('Глобино Мк'!B:B,B60,'Глобино Мк'!S:S)</f>
        <v>0</v>
      </c>
      <c r="V60" s="194">
        <f>SUMIF('МД Франківськ'!B:B,B60,'МД Франківськ'!S:S)</f>
        <v>0</v>
      </c>
      <c r="W60" s="216">
        <f t="shared" si="16"/>
        <v>0</v>
      </c>
      <c r="X60" s="216">
        <f t="shared" si="17"/>
        <v>0</v>
      </c>
      <c r="Y60" s="216">
        <f t="shared" si="2"/>
        <v>0</v>
      </c>
      <c r="Z60" s="216">
        <f t="shared" si="3"/>
        <v>0</v>
      </c>
      <c r="AA60" s="216">
        <f t="shared" si="4"/>
        <v>0</v>
      </c>
      <c r="AB60" s="216">
        <f t="shared" si="5"/>
        <v>0</v>
      </c>
      <c r="AC60" s="216">
        <f t="shared" si="6"/>
        <v>0</v>
      </c>
      <c r="AD60" s="216">
        <f t="shared" si="7"/>
        <v>0</v>
      </c>
      <c r="AE60" s="216">
        <f t="shared" si="8"/>
        <v>0</v>
      </c>
      <c r="AF60" s="216">
        <f t="shared" si="9"/>
        <v>0</v>
      </c>
      <c r="AG60" s="216">
        <f t="shared" si="10"/>
        <v>0</v>
      </c>
      <c r="AH60" s="216">
        <f t="shared" si="11"/>
        <v>0</v>
      </c>
      <c r="AI60" s="216">
        <f t="shared" si="12"/>
        <v>0</v>
      </c>
      <c r="AJ60" s="216">
        <f t="shared" si="19"/>
        <v>0</v>
      </c>
      <c r="AK60" s="222">
        <f t="shared" si="18"/>
        <v>0</v>
      </c>
    </row>
    <row r="61" spans="1:37" ht="15.75" x14ac:dyDescent="0.25">
      <c r="A61" s="149">
        <v>57</v>
      </c>
      <c r="B61" s="150" t="s">
        <v>653</v>
      </c>
      <c r="C61" s="148"/>
      <c r="D61" s="148"/>
      <c r="E61" s="142">
        <f t="shared" si="14"/>
        <v>10800</v>
      </c>
      <c r="F61" s="191">
        <f>SUMIF('[1]Табель цех 1 по 15 серпня'!$B:$B,B61,'[1]Табель цех 1 по 15 серпня'!$H:$H)</f>
        <v>-150</v>
      </c>
      <c r="G61" s="191">
        <f t="shared" si="15"/>
        <v>10800</v>
      </c>
      <c r="H61" s="191">
        <f t="shared" si="1"/>
        <v>-150</v>
      </c>
      <c r="I61" s="192">
        <f>Цо!AI58+IRS!S58+Катеринополь!S58+'Червоний хрест'!S58+'ООН 2025'!S58+Кернел!S58+'Глобино Мк'!S58+'МД Франківськ'!S58</f>
        <v>72</v>
      </c>
      <c r="J61" s="44">
        <v>150</v>
      </c>
      <c r="K61" s="219">
        <f>SUMIF(ИТР!B:B,B61,ИТР!S:S)</f>
        <v>0</v>
      </c>
      <c r="L61" s="194">
        <f>SUMIF(Цо!R:R,B61,Цо!AI:AI)</f>
        <v>0</v>
      </c>
      <c r="M61" s="194">
        <f>SUMIF(IRS!B:B,B61,IRS!S:S)</f>
        <v>0</v>
      </c>
      <c r="N61" s="194">
        <f>SUMIF(Катеринополь!B:B,B61,Катеринополь!S:S)</f>
        <v>0</v>
      </c>
      <c r="Q61" s="194">
        <f>SUMIF('ООН 2025'!B:B,B61,'ООН 2025'!S:S)</f>
        <v>72</v>
      </c>
      <c r="R61" s="194">
        <f>SUMIF('Червоний хрест'!B:B,B61,'Червоний хрест'!S:S)</f>
        <v>0</v>
      </c>
      <c r="T61" s="194">
        <f>SUMIF(Кернел!B:B,B61,Кернел!S:S)</f>
        <v>0</v>
      </c>
      <c r="U61" s="194">
        <f>SUMIF('Глобино Мк'!B:B,B61,'Глобино Мк'!S:S)</f>
        <v>0</v>
      </c>
      <c r="V61" s="194">
        <f>SUMIF('МД Франківськ'!B:B,B61,'МД Франківськ'!S:S)</f>
        <v>0</v>
      </c>
      <c r="W61" s="216">
        <f t="shared" si="16"/>
        <v>0</v>
      </c>
      <c r="X61" s="216">
        <f t="shared" si="17"/>
        <v>0</v>
      </c>
      <c r="Y61" s="216">
        <f t="shared" si="2"/>
        <v>0</v>
      </c>
      <c r="Z61" s="216">
        <f t="shared" si="3"/>
        <v>0</v>
      </c>
      <c r="AA61" s="216">
        <f t="shared" si="4"/>
        <v>0</v>
      </c>
      <c r="AB61" s="216">
        <f t="shared" si="5"/>
        <v>0</v>
      </c>
      <c r="AC61" s="216">
        <f t="shared" si="6"/>
        <v>0</v>
      </c>
      <c r="AD61" s="216">
        <f t="shared" si="7"/>
        <v>10800</v>
      </c>
      <c r="AE61" s="216">
        <f t="shared" si="8"/>
        <v>0</v>
      </c>
      <c r="AF61" s="216">
        <f t="shared" si="9"/>
        <v>0</v>
      </c>
      <c r="AG61" s="216">
        <f t="shared" si="10"/>
        <v>0</v>
      </c>
      <c r="AH61" s="216">
        <f t="shared" si="11"/>
        <v>0</v>
      </c>
      <c r="AI61" s="216">
        <f t="shared" si="12"/>
        <v>0</v>
      </c>
      <c r="AJ61" s="216">
        <f t="shared" si="19"/>
        <v>10800</v>
      </c>
      <c r="AK61" s="222">
        <f t="shared" si="18"/>
        <v>0</v>
      </c>
    </row>
    <row r="62" spans="1:37" ht="15.75" x14ac:dyDescent="0.25">
      <c r="A62" s="149">
        <v>58</v>
      </c>
      <c r="B62" s="150" t="s">
        <v>654</v>
      </c>
      <c r="C62" s="148"/>
      <c r="D62" s="148"/>
      <c r="E62" s="142">
        <f>I62*J62</f>
        <v>0</v>
      </c>
      <c r="F62" s="191">
        <f>SUMIF('[1]Табель цех 1 по 15 серпня'!$B:$B,B62,'[1]Табель цех 1 по 15 серпня'!$H:$H)</f>
        <v>-100</v>
      </c>
      <c r="G62" s="191">
        <f t="shared" si="15"/>
        <v>0</v>
      </c>
      <c r="H62" s="191">
        <f t="shared" si="1"/>
        <v>-100</v>
      </c>
      <c r="I62" s="192">
        <f>Цо!AI59+IRS!S59+Катеринополь!S59+'Червоний хрест'!S59+'ООН 2025'!S59+Кернел!S59+'Глобино Мк'!S59+'МД Франківськ'!S59</f>
        <v>0</v>
      </c>
      <c r="J62" s="44">
        <v>150</v>
      </c>
      <c r="K62" s="219">
        <f>SUMIF(ИТР!B:B,B62,ИТР!S:S)</f>
        <v>0</v>
      </c>
      <c r="L62" s="194">
        <f>SUMIF(Цо!R:R,B62,Цо!AI:AI)</f>
        <v>0</v>
      </c>
      <c r="M62" s="194">
        <f>SUMIF(IRS!B:B,B62,IRS!S:S)</f>
        <v>0</v>
      </c>
      <c r="N62" s="194">
        <f>SUMIF(Катеринополь!B:B,B62,Катеринополь!S:S)</f>
        <v>0</v>
      </c>
      <c r="Q62" s="194">
        <f>SUMIF('ООН 2025'!B:B,B62,'ООН 2025'!S:S)</f>
        <v>0</v>
      </c>
      <c r="R62" s="194">
        <f>SUMIF('Червоний хрест'!B:B,B62,'Червоний хрест'!S:S)</f>
        <v>0</v>
      </c>
      <c r="T62" s="194">
        <f>SUMIF(Кернел!B:B,B62,Кернел!S:S)</f>
        <v>0</v>
      </c>
      <c r="U62" s="194">
        <f>SUMIF('Глобино Мк'!B:B,B62,'Глобино Мк'!S:S)</f>
        <v>0</v>
      </c>
      <c r="V62" s="194">
        <f>SUMIF('МД Франківськ'!B:B,B62,'МД Франківськ'!S:S)</f>
        <v>0</v>
      </c>
      <c r="W62" s="216">
        <f t="shared" si="16"/>
        <v>0</v>
      </c>
      <c r="X62" s="216">
        <f t="shared" si="17"/>
        <v>0</v>
      </c>
      <c r="Y62" s="216">
        <f t="shared" si="2"/>
        <v>0</v>
      </c>
      <c r="Z62" s="216">
        <f t="shared" si="3"/>
        <v>0</v>
      </c>
      <c r="AA62" s="216">
        <f t="shared" si="4"/>
        <v>0</v>
      </c>
      <c r="AB62" s="216">
        <f t="shared" si="5"/>
        <v>0</v>
      </c>
      <c r="AC62" s="216">
        <f t="shared" si="6"/>
        <v>0</v>
      </c>
      <c r="AD62" s="216">
        <f t="shared" si="7"/>
        <v>0</v>
      </c>
      <c r="AE62" s="216">
        <f t="shared" si="8"/>
        <v>0</v>
      </c>
      <c r="AF62" s="216">
        <f t="shared" si="9"/>
        <v>0</v>
      </c>
      <c r="AG62" s="216">
        <f t="shared" si="10"/>
        <v>0</v>
      </c>
      <c r="AH62" s="216">
        <f t="shared" si="11"/>
        <v>0</v>
      </c>
      <c r="AI62" s="216">
        <f t="shared" si="12"/>
        <v>0</v>
      </c>
      <c r="AJ62" s="216">
        <f t="shared" si="19"/>
        <v>0</v>
      </c>
      <c r="AK62" s="222">
        <f t="shared" si="18"/>
        <v>0</v>
      </c>
    </row>
    <row r="63" spans="1:37" ht="15.75" x14ac:dyDescent="0.25">
      <c r="A63" s="149">
        <v>59</v>
      </c>
      <c r="B63" s="150" t="s">
        <v>655</v>
      </c>
      <c r="C63" s="148"/>
      <c r="D63" s="148"/>
      <c r="E63" s="142">
        <f t="shared" ref="E63:E66" si="20">I63*J63</f>
        <v>0</v>
      </c>
      <c r="F63" s="191">
        <f>SUMIF('[1]Табель цех 1 по 15 серпня'!$B:$B,B63,'[1]Табель цех 1 по 15 серпня'!$H:$H)</f>
        <v>-100</v>
      </c>
      <c r="G63" s="191">
        <f t="shared" si="15"/>
        <v>0</v>
      </c>
      <c r="H63" s="191">
        <f t="shared" si="1"/>
        <v>-100</v>
      </c>
      <c r="I63" s="192">
        <f>Цо!AI60+IRS!S60+Катеринополь!S60+'Червоний хрест'!S60+'ООН 2025'!S60+Кернел!S60+'Глобино Мк'!S60+'МД Франківськ'!S60</f>
        <v>0</v>
      </c>
      <c r="J63" s="44">
        <v>150</v>
      </c>
      <c r="K63" s="219">
        <f>SUMIF(ИТР!B:B,B63,ИТР!S:S)</f>
        <v>0</v>
      </c>
      <c r="L63" s="194">
        <f>SUMIF(Цо!R:R,B63,Цо!AI:AI)</f>
        <v>0</v>
      </c>
      <c r="M63" s="194">
        <f>SUMIF(IRS!B:B,B63,IRS!S:S)</f>
        <v>0</v>
      </c>
      <c r="N63" s="194">
        <f>SUMIF(Катеринополь!B:B,B63,Катеринополь!S:S)</f>
        <v>0</v>
      </c>
      <c r="Q63" s="194">
        <f>SUMIF('ООН 2025'!B:B,B63,'ООН 2025'!S:S)</f>
        <v>0</v>
      </c>
      <c r="R63" s="194">
        <f>SUMIF('Червоний хрест'!B:B,B63,'Червоний хрест'!S:S)</f>
        <v>0</v>
      </c>
      <c r="T63" s="194">
        <f>SUMIF(Кернел!B:B,B63,Кернел!S:S)</f>
        <v>0</v>
      </c>
      <c r="U63" s="194">
        <f>SUMIF('Глобино Мк'!B:B,B63,'Глобино Мк'!S:S)</f>
        <v>0</v>
      </c>
      <c r="V63" s="194">
        <f>SUMIF('МД Франківськ'!B:B,B63,'МД Франківськ'!S:S)</f>
        <v>0</v>
      </c>
      <c r="W63" s="216">
        <f t="shared" si="16"/>
        <v>0</v>
      </c>
      <c r="X63" s="216">
        <f t="shared" si="17"/>
        <v>0</v>
      </c>
      <c r="Y63" s="216">
        <f t="shared" si="2"/>
        <v>0</v>
      </c>
      <c r="Z63" s="216">
        <f t="shared" si="3"/>
        <v>0</v>
      </c>
      <c r="AA63" s="216">
        <f t="shared" si="4"/>
        <v>0</v>
      </c>
      <c r="AB63" s="216">
        <f t="shared" si="5"/>
        <v>0</v>
      </c>
      <c r="AC63" s="216">
        <f t="shared" si="6"/>
        <v>0</v>
      </c>
      <c r="AD63" s="216">
        <f t="shared" si="7"/>
        <v>0</v>
      </c>
      <c r="AE63" s="216">
        <f t="shared" si="8"/>
        <v>0</v>
      </c>
      <c r="AF63" s="216">
        <f t="shared" si="9"/>
        <v>0</v>
      </c>
      <c r="AG63" s="216">
        <f t="shared" si="10"/>
        <v>0</v>
      </c>
      <c r="AH63" s="216">
        <f t="shared" si="11"/>
        <v>0</v>
      </c>
      <c r="AI63" s="216">
        <f t="shared" si="12"/>
        <v>0</v>
      </c>
      <c r="AJ63" s="216">
        <f t="shared" si="19"/>
        <v>0</v>
      </c>
      <c r="AK63" s="222">
        <f t="shared" si="18"/>
        <v>0</v>
      </c>
    </row>
    <row r="64" spans="1:37" ht="15.75" x14ac:dyDescent="0.25">
      <c r="A64" s="149">
        <v>60</v>
      </c>
      <c r="B64" s="150" t="s">
        <v>656</v>
      </c>
      <c r="C64" s="148"/>
      <c r="D64" s="148">
        <v>1121.99</v>
      </c>
      <c r="E64" s="142">
        <f t="shared" si="20"/>
        <v>18150</v>
      </c>
      <c r="F64" s="191">
        <f>SUMIF('[1]Табель цех 1 по 15 серпня'!$B:$B,B64,'[1]Табель цех 1 по 15 серпня'!$H:$H)</f>
        <v>-150</v>
      </c>
      <c r="G64" s="191">
        <f t="shared" si="15"/>
        <v>17000</v>
      </c>
      <c r="H64" s="191">
        <f t="shared" si="1"/>
        <v>-121.9900000000016</v>
      </c>
      <c r="I64" s="192">
        <f>Цо!AI61+IRS!S61+Катеринополь!S61+'Червоний хрест'!S61+'ООН 2025'!S61+Кернел!S61+'Глобино Мк'!S61+'МД Франківськ'!S61</f>
        <v>121</v>
      </c>
      <c r="J64" s="44">
        <v>150</v>
      </c>
      <c r="K64" s="219">
        <f>SUMIF(ИТР!B:B,B64,ИТР!S:S)</f>
        <v>0</v>
      </c>
      <c r="L64" s="194">
        <f>SUMIF(Цо!R:R,B64,Цо!AI:AI)</f>
        <v>0</v>
      </c>
      <c r="M64" s="194">
        <f>SUMIF(IRS!B:B,B64,IRS!S:S)</f>
        <v>0</v>
      </c>
      <c r="N64" s="194">
        <f>SUMIF(Катеринополь!B:B,B64,Катеринополь!S:S)</f>
        <v>77</v>
      </c>
      <c r="Q64" s="194">
        <f>SUMIF('ООН 2025'!B:B,B64,'ООН 2025'!S:S)</f>
        <v>0</v>
      </c>
      <c r="R64" s="194">
        <f>SUMIF('Червоний хрест'!B:B,B64,'Червоний хрест'!S:S)</f>
        <v>0</v>
      </c>
      <c r="T64" s="194">
        <f>SUMIF(Кернел!B:B,B64,Кернел!S:S)</f>
        <v>0</v>
      </c>
      <c r="U64" s="194">
        <f>SUMIF('Глобино Мк'!B:B,B64,'Глобино Мк'!S:S)</f>
        <v>44</v>
      </c>
      <c r="V64" s="194">
        <f>SUMIF('МД Франківськ'!B:B,B64,'МД Франківськ'!S:S)</f>
        <v>0</v>
      </c>
      <c r="W64" s="216">
        <f t="shared" si="16"/>
        <v>0</v>
      </c>
      <c r="X64" s="216">
        <f t="shared" si="17"/>
        <v>0</v>
      </c>
      <c r="Y64" s="216">
        <f t="shared" si="2"/>
        <v>0</v>
      </c>
      <c r="Z64" s="216">
        <f t="shared" si="3"/>
        <v>0</v>
      </c>
      <c r="AA64" s="216">
        <f t="shared" si="4"/>
        <v>10818.181818181818</v>
      </c>
      <c r="AB64" s="216">
        <f t="shared" si="5"/>
        <v>0</v>
      </c>
      <c r="AC64" s="216">
        <f t="shared" si="6"/>
        <v>0</v>
      </c>
      <c r="AD64" s="216">
        <f t="shared" si="7"/>
        <v>0</v>
      </c>
      <c r="AE64" s="216">
        <f t="shared" si="8"/>
        <v>0</v>
      </c>
      <c r="AF64" s="216">
        <f t="shared" si="9"/>
        <v>0</v>
      </c>
      <c r="AG64" s="216">
        <f t="shared" si="10"/>
        <v>0</v>
      </c>
      <c r="AH64" s="216">
        <f t="shared" si="11"/>
        <v>6181.818181818182</v>
      </c>
      <c r="AI64" s="216">
        <f t="shared" si="12"/>
        <v>0</v>
      </c>
      <c r="AJ64" s="216">
        <f t="shared" si="19"/>
        <v>17000</v>
      </c>
      <c r="AK64" s="222">
        <f t="shared" si="18"/>
        <v>0</v>
      </c>
    </row>
    <row r="65" spans="1:37" ht="15.75" x14ac:dyDescent="0.25">
      <c r="A65" s="149">
        <v>61</v>
      </c>
      <c r="B65" s="150" t="s">
        <v>658</v>
      </c>
      <c r="C65" s="148"/>
      <c r="D65" s="148"/>
      <c r="E65" s="152">
        <f t="shared" si="20"/>
        <v>0</v>
      </c>
      <c r="F65" s="191">
        <f>SUMIF('[1]Табель цех 1 по 15 серпня'!$B:$B,B65,'[1]Табель цех 1 по 15 серпня'!$H:$H)</f>
        <v>-100</v>
      </c>
      <c r="G65" s="191">
        <f t="shared" si="15"/>
        <v>0</v>
      </c>
      <c r="H65" s="191">
        <f t="shared" si="1"/>
        <v>-100</v>
      </c>
      <c r="I65" s="192">
        <f>Цо!AI62+IRS!S62+Катеринополь!S62+'Червоний хрест'!S62+'ООН 2025'!S62+Кернел!S62+'Глобино Мк'!S62+'МД Франківськ'!S62</f>
        <v>0</v>
      </c>
      <c r="J65" s="44">
        <v>150</v>
      </c>
      <c r="K65" s="219">
        <f>SUMIF(ИТР!B:B,B65,ИТР!S:S)</f>
        <v>0</v>
      </c>
      <c r="L65" s="194">
        <f>SUMIF(Цо!R:R,B65,Цо!AI:AI)</f>
        <v>0</v>
      </c>
      <c r="M65" s="194">
        <f>SUMIF(IRS!B:B,B65,IRS!S:S)</f>
        <v>0</v>
      </c>
      <c r="N65" s="194">
        <f>SUMIF(Катеринополь!B:B,B65,Катеринополь!S:S)</f>
        <v>0</v>
      </c>
      <c r="Q65" s="194">
        <f>SUMIF('ООН 2025'!B:B,B65,'ООН 2025'!S:S)</f>
        <v>0</v>
      </c>
      <c r="R65" s="194">
        <f>SUMIF('Червоний хрест'!B:B,B65,'Червоний хрест'!S:S)</f>
        <v>0</v>
      </c>
      <c r="T65" s="194">
        <f>SUMIF(Кернел!B:B,B65,Кернел!S:S)</f>
        <v>0</v>
      </c>
      <c r="U65" s="194">
        <f>SUMIF('Глобино Мк'!B:B,B65,'Глобино Мк'!S:S)</f>
        <v>0</v>
      </c>
      <c r="V65" s="194">
        <f>SUMIF('МД Франківськ'!B:B,B65,'МД Франківськ'!S:S)</f>
        <v>0</v>
      </c>
      <c r="W65" s="216">
        <f t="shared" si="16"/>
        <v>0</v>
      </c>
      <c r="X65" s="216">
        <f t="shared" si="17"/>
        <v>0</v>
      </c>
      <c r="Y65" s="216">
        <f t="shared" si="2"/>
        <v>0</v>
      </c>
      <c r="Z65" s="216">
        <f t="shared" si="3"/>
        <v>0</v>
      </c>
      <c r="AA65" s="216">
        <f t="shared" si="4"/>
        <v>0</v>
      </c>
      <c r="AB65" s="216">
        <f t="shared" si="5"/>
        <v>0</v>
      </c>
      <c r="AC65" s="216">
        <f t="shared" si="6"/>
        <v>0</v>
      </c>
      <c r="AD65" s="216">
        <f t="shared" si="7"/>
        <v>0</v>
      </c>
      <c r="AE65" s="216">
        <f t="shared" si="8"/>
        <v>0</v>
      </c>
      <c r="AF65" s="216">
        <f t="shared" si="9"/>
        <v>0</v>
      </c>
      <c r="AG65" s="216">
        <f t="shared" si="10"/>
        <v>0</v>
      </c>
      <c r="AH65" s="216">
        <f t="shared" si="11"/>
        <v>0</v>
      </c>
      <c r="AI65" s="216">
        <f t="shared" si="12"/>
        <v>0</v>
      </c>
      <c r="AJ65" s="216">
        <f t="shared" si="19"/>
        <v>0</v>
      </c>
      <c r="AK65" s="222">
        <f t="shared" si="18"/>
        <v>0</v>
      </c>
    </row>
    <row r="66" spans="1:37" ht="15.75" x14ac:dyDescent="0.25">
      <c r="A66" s="149">
        <v>62</v>
      </c>
      <c r="B66" s="150" t="s">
        <v>659</v>
      </c>
      <c r="C66" s="160"/>
      <c r="D66" s="160"/>
      <c r="E66" s="152">
        <f t="shared" si="20"/>
        <v>0</v>
      </c>
      <c r="F66" s="191">
        <f>SUMIF('[1]Табель цех 1 по 15 серпня'!$B:$B,B66,'[1]Табель цех 1 по 15 серпня'!$H:$H)</f>
        <v>-50</v>
      </c>
      <c r="G66" s="191">
        <f t="shared" si="15"/>
        <v>0</v>
      </c>
      <c r="H66" s="191">
        <f t="shared" ref="H66:H74" si="21">F66+E66-D66-G66-C66</f>
        <v>-50</v>
      </c>
      <c r="I66" s="192">
        <f>Цо!AI63+IRS!S63+Катеринополь!S63+'Червоний хрест'!S63+'ООН 2025'!S63+Кернел!S63+'Глобино Мк'!S63+'МД Франківськ'!S63</f>
        <v>0</v>
      </c>
      <c r="J66" s="44">
        <v>150</v>
      </c>
      <c r="K66" s="219">
        <f>SUMIF(ИТР!B:B,B66,ИТР!S:S)</f>
        <v>0</v>
      </c>
      <c r="L66" s="194">
        <f>SUMIF(Цо!R:R,B66,Цо!AI:AI)</f>
        <v>0</v>
      </c>
      <c r="M66" s="194">
        <f>SUMIF(IRS!B:B,B66,IRS!S:S)</f>
        <v>0</v>
      </c>
      <c r="N66" s="194">
        <f>SUMIF(Катеринополь!B:B,B66,Катеринополь!S:S)</f>
        <v>0</v>
      </c>
      <c r="Q66" s="194">
        <f>SUMIF('ООН 2025'!B:B,B66,'ООН 2025'!S:S)</f>
        <v>0</v>
      </c>
      <c r="R66" s="194">
        <f>SUMIF('Червоний хрест'!B:B,B66,'Червоний хрест'!S:S)</f>
        <v>0</v>
      </c>
      <c r="T66" s="194">
        <f>SUMIF(Кернел!B:B,B66,Кернел!S:S)</f>
        <v>0</v>
      </c>
      <c r="U66" s="194">
        <f>SUMIF('Глобино Мк'!B:B,B66,'Глобино Мк'!S:S)</f>
        <v>0</v>
      </c>
      <c r="V66" s="194">
        <f>SUMIF('МД Франківськ'!B:B,B66,'МД Франківськ'!S:S)</f>
        <v>0</v>
      </c>
      <c r="W66" s="216">
        <f t="shared" si="16"/>
        <v>0</v>
      </c>
      <c r="X66" s="216">
        <f t="shared" si="17"/>
        <v>0</v>
      </c>
      <c r="Y66" s="216">
        <f t="shared" ref="Y66:Y75" si="22">IFERROR(L66/$I66*$G66,0)</f>
        <v>0</v>
      </c>
      <c r="Z66" s="216">
        <f t="shared" ref="Z66:Z75" si="23">IFERROR(M66/$I66*$G66,0)</f>
        <v>0</v>
      </c>
      <c r="AA66" s="216">
        <f t="shared" ref="AA66:AA75" si="24">IFERROR(N66/$I66*$G66,0)</f>
        <v>0</v>
      </c>
      <c r="AB66" s="216">
        <f t="shared" ref="AB66:AB75" si="25">IFERROR(O66/$I66*$G66,0)</f>
        <v>0</v>
      </c>
      <c r="AC66" s="216">
        <f t="shared" ref="AC66:AC75" si="26">IFERROR(P66/$I66*$G66,0)</f>
        <v>0</v>
      </c>
      <c r="AD66" s="216">
        <f t="shared" ref="AD66:AD75" si="27">IFERROR(Q66/$I66*$G66,0)</f>
        <v>0</v>
      </c>
      <c r="AE66" s="216">
        <f t="shared" ref="AE66:AE75" si="28">IFERROR(R66/$I66*$G66,0)</f>
        <v>0</v>
      </c>
      <c r="AF66" s="216">
        <f t="shared" ref="AF66:AF75" si="29">IFERROR(S66/$I66*$G66,0)</f>
        <v>0</v>
      </c>
      <c r="AG66" s="216">
        <f t="shared" ref="AG66:AG75" si="30">IFERROR(T66/$I66*$G66,0)</f>
        <v>0</v>
      </c>
      <c r="AH66" s="216">
        <f t="shared" ref="AH66:AH75" si="31">IFERROR(U66/$I66*$G66,0)</f>
        <v>0</v>
      </c>
      <c r="AI66" s="216">
        <f t="shared" ref="AI66:AI75" si="32">IFERROR(V66/$I66*$G66,0)</f>
        <v>0</v>
      </c>
      <c r="AJ66" s="216">
        <f t="shared" si="19"/>
        <v>0</v>
      </c>
      <c r="AK66" s="222">
        <f t="shared" si="18"/>
        <v>0</v>
      </c>
    </row>
    <row r="67" spans="1:37" ht="15.75" x14ac:dyDescent="0.25">
      <c r="A67" s="149">
        <v>63</v>
      </c>
      <c r="B67" s="150" t="s">
        <v>20</v>
      </c>
      <c r="C67" s="161"/>
      <c r="D67" s="161"/>
      <c r="E67" s="142">
        <f t="shared" ref="E67:E73" si="33">I67*J67</f>
        <v>0</v>
      </c>
      <c r="F67" s="191">
        <f>SUMIF('[1]Табель цех 1 по 15 серпня'!$B:$B,B67,'[1]Табель цех 1 по 15 серпня'!$H:$H)</f>
        <v>-33.029999999998836</v>
      </c>
      <c r="G67" s="191">
        <f t="shared" ref="G67:G74" si="34">ROUND(E67-C67-D67,-2)</f>
        <v>0</v>
      </c>
      <c r="H67" s="191">
        <f t="shared" si="21"/>
        <v>-33.029999999998836</v>
      </c>
      <c r="I67" s="192">
        <f>Цо!AI64+IRS!S64+Катеринополь!S64+'Червоний хрест'!S64+'ООН 2025'!S64+Кернел!S64+'Глобино Мк'!S64+'МД Франківськ'!S64</f>
        <v>0</v>
      </c>
      <c r="J67" s="44">
        <v>150</v>
      </c>
      <c r="K67" s="219">
        <f>SUMIF(ИТР!B:B,B67,ИТР!S:S)</f>
        <v>0</v>
      </c>
      <c r="L67" s="194">
        <f>SUMIF(Цо!R:R,B67,Цо!AI:AI)</f>
        <v>0</v>
      </c>
      <c r="M67" s="194">
        <f>SUMIF(IRS!B:B,B67,IRS!S:S)</f>
        <v>0</v>
      </c>
      <c r="N67" s="194">
        <f>SUMIF(Катеринополь!B:B,B67,Катеринополь!S:S)</f>
        <v>0</v>
      </c>
      <c r="Q67" s="194">
        <f>SUMIF('ООН 2025'!B:B,B67,'ООН 2025'!S:S)</f>
        <v>0</v>
      </c>
      <c r="R67" s="194">
        <f>SUMIF('Червоний хрест'!B:B,B67,'Червоний хрест'!S:S)</f>
        <v>0</v>
      </c>
      <c r="T67" s="194">
        <f>SUMIF(Кернел!B:B,B67,Кернел!S:S)</f>
        <v>0</v>
      </c>
      <c r="U67" s="194">
        <f>SUMIF('Глобино Мк'!B:B,B67,'Глобино Мк'!S:S)</f>
        <v>0</v>
      </c>
      <c r="V67" s="194">
        <f>SUMIF('МД Франківськ'!B:B,B67,'МД Франківськ'!S:S)</f>
        <v>0</v>
      </c>
      <c r="W67" s="216">
        <f t="shared" ref="W67:W75" si="35">SUM(K67:V67)-I67</f>
        <v>0</v>
      </c>
      <c r="X67" s="216">
        <f t="shared" ref="X67:X75" si="36">IFERROR(K67/$I67*$G67,0)</f>
        <v>0</v>
      </c>
      <c r="Y67" s="216">
        <f t="shared" si="22"/>
        <v>0</v>
      </c>
      <c r="Z67" s="216">
        <f t="shared" si="23"/>
        <v>0</v>
      </c>
      <c r="AA67" s="216">
        <f t="shared" si="24"/>
        <v>0</v>
      </c>
      <c r="AB67" s="216">
        <f t="shared" si="25"/>
        <v>0</v>
      </c>
      <c r="AC67" s="216">
        <f t="shared" si="26"/>
        <v>0</v>
      </c>
      <c r="AD67" s="216">
        <f t="shared" si="27"/>
        <v>0</v>
      </c>
      <c r="AE67" s="216">
        <f t="shared" si="28"/>
        <v>0</v>
      </c>
      <c r="AF67" s="216">
        <f t="shared" si="29"/>
        <v>0</v>
      </c>
      <c r="AG67" s="216">
        <f t="shared" si="30"/>
        <v>0</v>
      </c>
      <c r="AH67" s="216">
        <f t="shared" si="31"/>
        <v>0</v>
      </c>
      <c r="AI67" s="216">
        <f t="shared" si="32"/>
        <v>0</v>
      </c>
      <c r="AJ67" s="216">
        <f t="shared" si="19"/>
        <v>0</v>
      </c>
      <c r="AK67" s="222">
        <f t="shared" ref="AK67:AK75" si="37">AJ67-G67</f>
        <v>0</v>
      </c>
    </row>
    <row r="68" spans="1:37" ht="15.75" x14ac:dyDescent="0.25">
      <c r="A68" s="149">
        <v>64</v>
      </c>
      <c r="B68" s="150" t="s">
        <v>662</v>
      </c>
      <c r="C68" s="161"/>
      <c r="D68" s="161"/>
      <c r="E68" s="142">
        <f t="shared" si="33"/>
        <v>0</v>
      </c>
      <c r="F68" s="191">
        <f>SUMIF('[1]Табель цех 1 по 15 серпня'!$B:$B,B68,'[1]Табель цех 1 по 15 серпня'!$H:$H)</f>
        <v>-50</v>
      </c>
      <c r="G68" s="191">
        <f t="shared" si="34"/>
        <v>0</v>
      </c>
      <c r="H68" s="191">
        <f t="shared" si="21"/>
        <v>-50</v>
      </c>
      <c r="I68" s="192">
        <f>Цо!AI65+IRS!S65+Катеринополь!S65+'Червоний хрест'!S65+'ООН 2025'!S65+Кернел!S65+'Глобино Мк'!S65+'МД Франківськ'!S65</f>
        <v>0</v>
      </c>
      <c r="J68" s="44">
        <v>150</v>
      </c>
      <c r="K68" s="219">
        <f>SUMIF(ИТР!B:B,B68,ИТР!S:S)</f>
        <v>0</v>
      </c>
      <c r="L68" s="194">
        <f>SUMIF(Цо!R:R,B68,Цо!AI:AI)</f>
        <v>0</v>
      </c>
      <c r="M68" s="194">
        <f>SUMIF(IRS!B:B,B68,IRS!S:S)</f>
        <v>0</v>
      </c>
      <c r="N68" s="194">
        <f>SUMIF(Катеринополь!B:B,B68,Катеринополь!S:S)</f>
        <v>0</v>
      </c>
      <c r="Q68" s="194">
        <f>SUMIF('ООН 2025'!B:B,B68,'ООН 2025'!S:S)</f>
        <v>0</v>
      </c>
      <c r="R68" s="194">
        <f>SUMIF('Червоний хрест'!B:B,B68,'Червоний хрест'!S:S)</f>
        <v>0</v>
      </c>
      <c r="T68" s="194">
        <f>SUMIF(Кернел!B:B,B68,Кернел!S:S)</f>
        <v>0</v>
      </c>
      <c r="U68" s="194">
        <f>SUMIF('Глобино Мк'!B:B,B68,'Глобино Мк'!S:S)</f>
        <v>0</v>
      </c>
      <c r="V68" s="194">
        <f>SUMIF('МД Франківськ'!B:B,B68,'МД Франківськ'!S:S)</f>
        <v>0</v>
      </c>
      <c r="W68" s="216">
        <f t="shared" si="35"/>
        <v>0</v>
      </c>
      <c r="X68" s="216">
        <f t="shared" si="36"/>
        <v>0</v>
      </c>
      <c r="Y68" s="216">
        <f t="shared" si="22"/>
        <v>0</v>
      </c>
      <c r="Z68" s="216">
        <f t="shared" si="23"/>
        <v>0</v>
      </c>
      <c r="AA68" s="216">
        <f t="shared" si="24"/>
        <v>0</v>
      </c>
      <c r="AB68" s="216">
        <f t="shared" si="25"/>
        <v>0</v>
      </c>
      <c r="AC68" s="216">
        <f t="shared" si="26"/>
        <v>0</v>
      </c>
      <c r="AD68" s="216">
        <f t="shared" si="27"/>
        <v>0</v>
      </c>
      <c r="AE68" s="216">
        <f t="shared" si="28"/>
        <v>0</v>
      </c>
      <c r="AF68" s="216">
        <f t="shared" si="29"/>
        <v>0</v>
      </c>
      <c r="AG68" s="216">
        <f t="shared" si="30"/>
        <v>0</v>
      </c>
      <c r="AH68" s="216">
        <f t="shared" si="31"/>
        <v>0</v>
      </c>
      <c r="AI68" s="216">
        <f t="shared" si="32"/>
        <v>0</v>
      </c>
      <c r="AJ68" s="216">
        <f t="shared" ref="AJ68:AJ75" si="38">SUM(X68:AI68)</f>
        <v>0</v>
      </c>
      <c r="AK68" s="222">
        <f t="shared" si="37"/>
        <v>0</v>
      </c>
    </row>
    <row r="69" spans="1:37" ht="15.75" x14ac:dyDescent="0.25">
      <c r="A69" s="149">
        <v>65</v>
      </c>
      <c r="B69" s="150" t="s">
        <v>663</v>
      </c>
      <c r="C69" s="161"/>
      <c r="D69" s="161"/>
      <c r="E69" s="142">
        <f t="shared" si="33"/>
        <v>0</v>
      </c>
      <c r="F69" s="191">
        <f>SUMIF('[1]Табель цех 1 по 15 серпня'!$B:$B,B69,'[1]Табель цех 1 по 15 серпня'!$H:$H)</f>
        <v>-50</v>
      </c>
      <c r="G69" s="191">
        <f t="shared" si="34"/>
        <v>0</v>
      </c>
      <c r="H69" s="191">
        <f t="shared" si="21"/>
        <v>-50</v>
      </c>
      <c r="I69" s="192">
        <f>Цо!AI66+IRS!S66+Катеринополь!S66+'Червоний хрест'!S66+'ООН 2025'!S66+Кернел!S66+'Глобино Мк'!S66+'МД Франківськ'!S66</f>
        <v>0</v>
      </c>
      <c r="J69" s="44">
        <v>150</v>
      </c>
      <c r="K69" s="219">
        <f>SUMIF(ИТР!B:B,B69,ИТР!S:S)</f>
        <v>0</v>
      </c>
      <c r="L69" s="194">
        <f>SUMIF(Цо!R:R,B69,Цо!AI:AI)</f>
        <v>0</v>
      </c>
      <c r="M69" s="194">
        <f>SUMIF(IRS!B:B,B69,IRS!S:S)</f>
        <v>0</v>
      </c>
      <c r="N69" s="194">
        <f>SUMIF(Катеринополь!B:B,B69,Катеринополь!S:S)</f>
        <v>0</v>
      </c>
      <c r="Q69" s="194">
        <f>SUMIF('ООН 2025'!B:B,B69,'ООН 2025'!S:S)</f>
        <v>0</v>
      </c>
      <c r="R69" s="194">
        <f>SUMIF('Червоний хрест'!B:B,B69,'Червоний хрест'!S:S)</f>
        <v>0</v>
      </c>
      <c r="T69" s="194">
        <f>SUMIF(Кернел!B:B,B69,Кернел!S:S)</f>
        <v>0</v>
      </c>
      <c r="U69" s="194">
        <f>SUMIF('Глобино Мк'!B:B,B69,'Глобино Мк'!S:S)</f>
        <v>0</v>
      </c>
      <c r="V69" s="194">
        <f>SUMIF('МД Франківськ'!B:B,B69,'МД Франківськ'!S:S)</f>
        <v>0</v>
      </c>
      <c r="W69" s="216">
        <f t="shared" si="35"/>
        <v>0</v>
      </c>
      <c r="X69" s="216">
        <f t="shared" si="36"/>
        <v>0</v>
      </c>
      <c r="Y69" s="216">
        <f t="shared" si="22"/>
        <v>0</v>
      </c>
      <c r="Z69" s="216">
        <f t="shared" si="23"/>
        <v>0</v>
      </c>
      <c r="AA69" s="216">
        <f t="shared" si="24"/>
        <v>0</v>
      </c>
      <c r="AB69" s="216">
        <f t="shared" si="25"/>
        <v>0</v>
      </c>
      <c r="AC69" s="216">
        <f t="shared" si="26"/>
        <v>0</v>
      </c>
      <c r="AD69" s="216">
        <f t="shared" si="27"/>
        <v>0</v>
      </c>
      <c r="AE69" s="216">
        <f t="shared" si="28"/>
        <v>0</v>
      </c>
      <c r="AF69" s="216">
        <f t="shared" si="29"/>
        <v>0</v>
      </c>
      <c r="AG69" s="216">
        <f t="shared" si="30"/>
        <v>0</v>
      </c>
      <c r="AH69" s="216">
        <f t="shared" si="31"/>
        <v>0</v>
      </c>
      <c r="AI69" s="216">
        <f t="shared" si="32"/>
        <v>0</v>
      </c>
      <c r="AJ69" s="216">
        <f t="shared" si="38"/>
        <v>0</v>
      </c>
      <c r="AK69" s="222">
        <f t="shared" si="37"/>
        <v>0</v>
      </c>
    </row>
    <row r="70" spans="1:37" ht="15.75" x14ac:dyDescent="0.25">
      <c r="A70" s="149">
        <v>66</v>
      </c>
      <c r="B70" s="150" t="s">
        <v>665</v>
      </c>
      <c r="C70" s="161"/>
      <c r="D70" s="161">
        <v>3739.99</v>
      </c>
      <c r="E70" s="142">
        <f t="shared" si="33"/>
        <v>6900</v>
      </c>
      <c r="F70" s="191">
        <f>SUMIF('[1]Табель цех 1 по 15 серпня'!$B:$B,B70,'[1]Табель цех 1 по 15 серпня'!$H:$H)</f>
        <v>35.989999999999782</v>
      </c>
      <c r="G70" s="191">
        <f t="shared" si="34"/>
        <v>3200</v>
      </c>
      <c r="H70" s="191">
        <f t="shared" si="21"/>
        <v>-4</v>
      </c>
      <c r="I70" s="192">
        <f>Цо!AI67+IRS!S67+Катеринополь!S67+'Червоний хрест'!S67+'ООН 2025'!S67+Кернел!S67+'Глобино Мк'!S67+'МД Франківськ'!S67</f>
        <v>46</v>
      </c>
      <c r="J70" s="44">
        <v>150</v>
      </c>
      <c r="K70" s="219">
        <f>SUMIF(ИТР!B:B,B70,ИТР!S:S)</f>
        <v>0</v>
      </c>
      <c r="L70" s="194">
        <f>SUMIF(Цо!R:R,B70,Цо!AI:AI)</f>
        <v>0</v>
      </c>
      <c r="M70" s="194">
        <f>SUMIF(IRS!B:B,B70,IRS!S:S)</f>
        <v>0</v>
      </c>
      <c r="N70" s="194">
        <f>SUMIF(Катеринополь!B:B,B70,Катеринополь!S:S)</f>
        <v>0</v>
      </c>
      <c r="Q70" s="194">
        <f>SUMIF('ООН 2025'!B:B,B70,'ООН 2025'!S:S)</f>
        <v>0</v>
      </c>
      <c r="R70" s="194">
        <f>SUMIF('Червоний хрест'!B:B,B70,'Червоний хрест'!S:S)</f>
        <v>0</v>
      </c>
      <c r="T70" s="194">
        <f>SUMIF(Кернел!B:B,B70,Кернел!S:S)</f>
        <v>0</v>
      </c>
      <c r="U70" s="194">
        <f>SUMIF('Глобино Мк'!B:B,B70,'Глобино Мк'!S:S)</f>
        <v>46</v>
      </c>
      <c r="V70" s="194">
        <f>SUMIF('МД Франківськ'!B:B,B70,'МД Франківськ'!S:S)</f>
        <v>0</v>
      </c>
      <c r="W70" s="216">
        <f t="shared" si="35"/>
        <v>0</v>
      </c>
      <c r="X70" s="216">
        <f t="shared" si="36"/>
        <v>0</v>
      </c>
      <c r="Y70" s="216">
        <f t="shared" si="22"/>
        <v>0</v>
      </c>
      <c r="Z70" s="216">
        <f t="shared" si="23"/>
        <v>0</v>
      </c>
      <c r="AA70" s="216">
        <f t="shared" si="24"/>
        <v>0</v>
      </c>
      <c r="AB70" s="216">
        <f t="shared" si="25"/>
        <v>0</v>
      </c>
      <c r="AC70" s="216">
        <f t="shared" si="26"/>
        <v>0</v>
      </c>
      <c r="AD70" s="216">
        <f t="shared" si="27"/>
        <v>0</v>
      </c>
      <c r="AE70" s="216">
        <f t="shared" si="28"/>
        <v>0</v>
      </c>
      <c r="AF70" s="216">
        <f t="shared" si="29"/>
        <v>0</v>
      </c>
      <c r="AG70" s="216">
        <f t="shared" si="30"/>
        <v>0</v>
      </c>
      <c r="AH70" s="216">
        <f t="shared" si="31"/>
        <v>3200</v>
      </c>
      <c r="AI70" s="216">
        <f t="shared" si="32"/>
        <v>0</v>
      </c>
      <c r="AJ70" s="216">
        <f t="shared" si="38"/>
        <v>3200</v>
      </c>
      <c r="AK70" s="222">
        <f t="shared" si="37"/>
        <v>0</v>
      </c>
    </row>
    <row r="71" spans="1:37" ht="15.75" x14ac:dyDescent="0.25">
      <c r="A71" s="149">
        <v>67</v>
      </c>
      <c r="B71" s="150" t="s">
        <v>666</v>
      </c>
      <c r="C71" s="161"/>
      <c r="D71" s="161"/>
      <c r="E71" s="142">
        <f t="shared" si="33"/>
        <v>14400</v>
      </c>
      <c r="F71" s="191">
        <f>SUMIF('[1]Табель цех 1 по 15 серпня'!$B:$B,B71,'[1]Табель цех 1 по 15 серпня'!$H:$H)</f>
        <v>-100</v>
      </c>
      <c r="G71" s="191">
        <f t="shared" si="34"/>
        <v>14400</v>
      </c>
      <c r="H71" s="191">
        <f t="shared" si="21"/>
        <v>-100</v>
      </c>
      <c r="I71" s="192">
        <f>Цо!AI68+IRS!S68+Катеринополь!S68+'Червоний хрест'!S68+'ООН 2025'!S68+Кернел!S68+'Глобино Мк'!S68+'МД Франківськ'!S68</f>
        <v>96</v>
      </c>
      <c r="J71" s="44">
        <v>150</v>
      </c>
      <c r="K71" s="219">
        <f>SUMIF(ИТР!B:B,B71,ИТР!S:S)</f>
        <v>0</v>
      </c>
      <c r="L71" s="194">
        <f>SUMIF(Цо!R:R,B71,Цо!AI:AI)</f>
        <v>0</v>
      </c>
      <c r="M71" s="194">
        <f>SUMIF(IRS!B:B,B71,IRS!S:S)</f>
        <v>0</v>
      </c>
      <c r="N71" s="194">
        <f>SUMIF(Катеринополь!B:B,B71,Катеринополь!S:S)</f>
        <v>0</v>
      </c>
      <c r="Q71" s="194">
        <f>SUMIF('ООН 2025'!B:B,B71,'ООН 2025'!S:S)</f>
        <v>96</v>
      </c>
      <c r="R71" s="194">
        <f>SUMIF('Червоний хрест'!B:B,B71,'Червоний хрест'!S:S)</f>
        <v>0</v>
      </c>
      <c r="T71" s="194">
        <f>SUMIF(Кернел!B:B,B71,Кернел!S:S)</f>
        <v>0</v>
      </c>
      <c r="U71" s="194">
        <f>SUMIF('Глобино Мк'!B:B,B71,'Глобино Мк'!S:S)</f>
        <v>0</v>
      </c>
      <c r="V71" s="194">
        <f>SUMIF('МД Франківськ'!B:B,B71,'МД Франківськ'!S:S)</f>
        <v>0</v>
      </c>
      <c r="W71" s="216">
        <f t="shared" si="35"/>
        <v>0</v>
      </c>
      <c r="X71" s="216">
        <f t="shared" si="36"/>
        <v>0</v>
      </c>
      <c r="Y71" s="216">
        <f t="shared" si="22"/>
        <v>0</v>
      </c>
      <c r="Z71" s="216">
        <f t="shared" si="23"/>
        <v>0</v>
      </c>
      <c r="AA71" s="216">
        <f t="shared" si="24"/>
        <v>0</v>
      </c>
      <c r="AB71" s="216">
        <f t="shared" si="25"/>
        <v>0</v>
      </c>
      <c r="AC71" s="216">
        <f t="shared" si="26"/>
        <v>0</v>
      </c>
      <c r="AD71" s="216">
        <f t="shared" si="27"/>
        <v>14400</v>
      </c>
      <c r="AE71" s="216">
        <f t="shared" si="28"/>
        <v>0</v>
      </c>
      <c r="AF71" s="216">
        <f t="shared" si="29"/>
        <v>0</v>
      </c>
      <c r="AG71" s="216">
        <f t="shared" si="30"/>
        <v>0</v>
      </c>
      <c r="AH71" s="216">
        <f t="shared" si="31"/>
        <v>0</v>
      </c>
      <c r="AI71" s="216">
        <f t="shared" si="32"/>
        <v>0</v>
      </c>
      <c r="AJ71" s="216">
        <f t="shared" si="38"/>
        <v>14400</v>
      </c>
      <c r="AK71" s="222">
        <f t="shared" si="37"/>
        <v>0</v>
      </c>
    </row>
    <row r="72" spans="1:37" ht="15.75" x14ac:dyDescent="0.25">
      <c r="A72" s="149">
        <v>68</v>
      </c>
      <c r="B72" s="150" t="s">
        <v>667</v>
      </c>
      <c r="C72" s="161"/>
      <c r="D72" s="161"/>
      <c r="E72" s="142">
        <f t="shared" si="33"/>
        <v>18300</v>
      </c>
      <c r="F72" s="191">
        <f>SUMIF('[1]Табель цех 1 по 15 серпня'!$B:$B,B72,'[1]Табель цех 1 по 15 серпня'!$H:$H)</f>
        <v>0</v>
      </c>
      <c r="G72" s="191">
        <f t="shared" si="34"/>
        <v>18300</v>
      </c>
      <c r="H72" s="191">
        <f t="shared" si="21"/>
        <v>0</v>
      </c>
      <c r="I72" s="192">
        <f>Цо!AI69+IRS!S69+Катеринополь!S69+'Червоний хрест'!S69+'ООН 2025'!S69+Кернел!S69+'Глобино Мк'!S69+'МД Франківськ'!S69</f>
        <v>122</v>
      </c>
      <c r="J72" s="44">
        <v>150</v>
      </c>
      <c r="K72" s="219">
        <f>SUMIF(ИТР!B:B,B72,ИТР!S:S)</f>
        <v>0</v>
      </c>
      <c r="L72" s="194">
        <f>SUMIF(Цо!R:R,B72,Цо!AI:AI)</f>
        <v>0</v>
      </c>
      <c r="M72" s="194">
        <f>SUMIF(IRS!B:B,B72,IRS!S:S)</f>
        <v>0</v>
      </c>
      <c r="N72" s="194">
        <f>SUMIF(Катеринополь!B:B,B72,Катеринополь!S:S)</f>
        <v>0</v>
      </c>
      <c r="Q72" s="194">
        <f>SUMIF('ООН 2025'!B:B,B72,'ООН 2025'!S:S)</f>
        <v>122</v>
      </c>
      <c r="R72" s="194">
        <f>SUMIF('Червоний хрест'!B:B,B72,'Червоний хрест'!S:S)</f>
        <v>0</v>
      </c>
      <c r="T72" s="194">
        <f>SUMIF(Кернел!B:B,B72,Кернел!S:S)</f>
        <v>0</v>
      </c>
      <c r="U72" s="194">
        <f>SUMIF('Глобино Мк'!B:B,B72,'Глобино Мк'!S:S)</f>
        <v>0</v>
      </c>
      <c r="V72" s="194">
        <f>SUMIF('МД Франківськ'!B:B,B72,'МД Франківськ'!S:S)</f>
        <v>0</v>
      </c>
      <c r="W72" s="216">
        <f t="shared" si="35"/>
        <v>0</v>
      </c>
      <c r="X72" s="216">
        <f t="shared" si="36"/>
        <v>0</v>
      </c>
      <c r="Y72" s="216">
        <f t="shared" si="22"/>
        <v>0</v>
      </c>
      <c r="Z72" s="216">
        <f t="shared" si="23"/>
        <v>0</v>
      </c>
      <c r="AA72" s="216">
        <f t="shared" si="24"/>
        <v>0</v>
      </c>
      <c r="AB72" s="216">
        <f t="shared" si="25"/>
        <v>0</v>
      </c>
      <c r="AC72" s="216">
        <f t="shared" si="26"/>
        <v>0</v>
      </c>
      <c r="AD72" s="216">
        <f t="shared" si="27"/>
        <v>18300</v>
      </c>
      <c r="AE72" s="216">
        <f t="shared" si="28"/>
        <v>0</v>
      </c>
      <c r="AF72" s="216">
        <f t="shared" si="29"/>
        <v>0</v>
      </c>
      <c r="AG72" s="216">
        <f t="shared" si="30"/>
        <v>0</v>
      </c>
      <c r="AH72" s="216">
        <f t="shared" si="31"/>
        <v>0</v>
      </c>
      <c r="AI72" s="216">
        <f t="shared" si="32"/>
        <v>0</v>
      </c>
      <c r="AJ72" s="216">
        <f t="shared" si="38"/>
        <v>18300</v>
      </c>
      <c r="AK72" s="222">
        <f t="shared" si="37"/>
        <v>0</v>
      </c>
    </row>
    <row r="73" spans="1:37" ht="15.75" x14ac:dyDescent="0.25">
      <c r="A73" s="149">
        <v>69</v>
      </c>
      <c r="B73" s="150" t="s">
        <v>668</v>
      </c>
      <c r="C73" s="161"/>
      <c r="D73" s="161"/>
      <c r="E73" s="142">
        <f t="shared" si="33"/>
        <v>13800</v>
      </c>
      <c r="F73" s="191">
        <f>SUMIF('[1]Табель цех 1 по 15 серпня'!$B:$B,B73,'[1]Табель цех 1 по 15 серпня'!$H:$H)</f>
        <v>0</v>
      </c>
      <c r="G73" s="191">
        <f t="shared" si="34"/>
        <v>13800</v>
      </c>
      <c r="H73" s="191">
        <f t="shared" si="21"/>
        <v>0</v>
      </c>
      <c r="I73" s="192">
        <f>Цо!AI70+IRS!S70+Катеринополь!S70+'Червоний хрест'!S70+'ООН 2025'!S70+Кернел!S70+'Глобино Мк'!S70+'МД Франківськ'!S70</f>
        <v>92</v>
      </c>
      <c r="J73" s="44">
        <v>150</v>
      </c>
      <c r="K73" s="219">
        <f>SUMIF(ИТР!B:B,B73,ИТР!S:S)</f>
        <v>0</v>
      </c>
      <c r="L73" s="194">
        <f>SUMIF(Цо!R:R,B73,Цо!AI:AI)</f>
        <v>0</v>
      </c>
      <c r="M73" s="194">
        <f>SUMIF(IRS!B:B,B73,IRS!S:S)</f>
        <v>0</v>
      </c>
      <c r="N73" s="194">
        <f>SUMIF(Катеринополь!B:B,B73,Катеринополь!S:S)</f>
        <v>31</v>
      </c>
      <c r="Q73" s="194">
        <f>SUMIF('ООН 2025'!B:B,B73,'ООН 2025'!S:S)</f>
        <v>0</v>
      </c>
      <c r="R73" s="194">
        <f>SUMIF('Червоний хрест'!B:B,B73,'Червоний хрест'!S:S)</f>
        <v>0</v>
      </c>
      <c r="T73" s="194">
        <f>SUMIF(Кернел!B:B,B73,Кернел!S:S)</f>
        <v>0</v>
      </c>
      <c r="U73" s="194">
        <f>SUMIF('Глобино Мк'!B:B,B73,'Глобино Мк'!S:S)</f>
        <v>61</v>
      </c>
      <c r="V73" s="194">
        <f>SUMIF('МД Франківськ'!B:B,B73,'МД Франківськ'!S:S)</f>
        <v>0</v>
      </c>
      <c r="W73" s="216">
        <f t="shared" si="35"/>
        <v>0</v>
      </c>
      <c r="X73" s="216">
        <f t="shared" si="36"/>
        <v>0</v>
      </c>
      <c r="Y73" s="216">
        <f t="shared" si="22"/>
        <v>0</v>
      </c>
      <c r="Z73" s="216">
        <f t="shared" si="23"/>
        <v>0</v>
      </c>
      <c r="AA73" s="216">
        <f t="shared" si="24"/>
        <v>4650</v>
      </c>
      <c r="AB73" s="216">
        <f t="shared" si="25"/>
        <v>0</v>
      </c>
      <c r="AC73" s="216">
        <f t="shared" si="26"/>
        <v>0</v>
      </c>
      <c r="AD73" s="216">
        <f t="shared" si="27"/>
        <v>0</v>
      </c>
      <c r="AE73" s="216">
        <f t="shared" si="28"/>
        <v>0</v>
      </c>
      <c r="AF73" s="216">
        <f t="shared" si="29"/>
        <v>0</v>
      </c>
      <c r="AG73" s="216">
        <f t="shared" si="30"/>
        <v>0</v>
      </c>
      <c r="AH73" s="216">
        <f t="shared" si="31"/>
        <v>9150</v>
      </c>
      <c r="AI73" s="216">
        <f t="shared" si="32"/>
        <v>0</v>
      </c>
      <c r="AJ73" s="216">
        <f t="shared" si="38"/>
        <v>13800</v>
      </c>
      <c r="AK73" s="222">
        <f t="shared" si="37"/>
        <v>0</v>
      </c>
    </row>
    <row r="74" spans="1:37" ht="15.75" x14ac:dyDescent="0.25">
      <c r="A74" s="149">
        <v>70</v>
      </c>
      <c r="B74" s="150" t="s">
        <v>671</v>
      </c>
      <c r="C74" s="176"/>
      <c r="D74" s="187"/>
      <c r="E74" s="142">
        <f t="shared" ref="E74" si="39">I74*J74</f>
        <v>5850</v>
      </c>
      <c r="F74" s="191">
        <f>SUMIF('[1]Табель цех 1 по 15 серпня'!$B:$B,B74,'[1]Табель цех 1 по 15 серпня'!$H:$H)</f>
        <v>0</v>
      </c>
      <c r="G74" s="191">
        <f t="shared" si="34"/>
        <v>5900</v>
      </c>
      <c r="H74" s="191">
        <f t="shared" si="21"/>
        <v>-50</v>
      </c>
      <c r="I74" s="192">
        <f>Цо!AI71+IRS!S71+Катеринополь!S71+'Червоний хрест'!S71+'ООН 2025'!S71+Кернел!S71+'Глобино Мк'!S71+'МД Франківськ'!S71</f>
        <v>39</v>
      </c>
      <c r="J74" s="44">
        <v>150</v>
      </c>
      <c r="K74" s="219">
        <f>SUMIF(ИТР!B:B,B74,ИТР!S:S)</f>
        <v>0</v>
      </c>
      <c r="L74" s="194">
        <f>SUMIF(Цо!R:R,B74,Цо!AI:AI)</f>
        <v>0</v>
      </c>
      <c r="M74" s="194">
        <f>SUMIF(IRS!B:B,B74,IRS!S:S)</f>
        <v>0</v>
      </c>
      <c r="N74" s="194">
        <f>SUMIF(Катеринополь!B:B,B74,Катеринополь!S:S)</f>
        <v>0</v>
      </c>
      <c r="Q74" s="194">
        <f>SUMIF('ООН 2025'!B:B,B74,'ООН 2025'!S:S)</f>
        <v>0</v>
      </c>
      <c r="R74" s="194">
        <f>SUMIF('Червоний хрест'!B:B,B74,'Червоний хрест'!S:S)</f>
        <v>0</v>
      </c>
      <c r="T74" s="194">
        <f>SUMIF(Кернел!B:B,B74,Кернел!S:S)</f>
        <v>0</v>
      </c>
      <c r="U74" s="194">
        <f>SUMIF('Глобино Мк'!B:B,B74,'Глобино Мк'!S:S)</f>
        <v>39</v>
      </c>
      <c r="V74" s="194">
        <f>SUMIF('МД Франківськ'!B:B,B74,'МД Франківськ'!S:S)</f>
        <v>0</v>
      </c>
      <c r="W74" s="216">
        <f t="shared" si="35"/>
        <v>0</v>
      </c>
      <c r="X74" s="216">
        <f t="shared" si="36"/>
        <v>0</v>
      </c>
      <c r="Y74" s="216">
        <f t="shared" si="22"/>
        <v>0</v>
      </c>
      <c r="Z74" s="216">
        <f t="shared" si="23"/>
        <v>0</v>
      </c>
      <c r="AA74" s="216">
        <f t="shared" si="24"/>
        <v>0</v>
      </c>
      <c r="AB74" s="216">
        <f t="shared" si="25"/>
        <v>0</v>
      </c>
      <c r="AC74" s="216">
        <f t="shared" si="26"/>
        <v>0</v>
      </c>
      <c r="AD74" s="216">
        <f t="shared" si="27"/>
        <v>0</v>
      </c>
      <c r="AE74" s="216">
        <f t="shared" si="28"/>
        <v>0</v>
      </c>
      <c r="AF74" s="216">
        <f t="shared" si="29"/>
        <v>0</v>
      </c>
      <c r="AG74" s="216">
        <f t="shared" si="30"/>
        <v>0</v>
      </c>
      <c r="AH74" s="216">
        <f t="shared" si="31"/>
        <v>5900</v>
      </c>
      <c r="AI74" s="216">
        <f t="shared" si="32"/>
        <v>0</v>
      </c>
      <c r="AJ74" s="216">
        <f t="shared" si="38"/>
        <v>5900</v>
      </c>
      <c r="AK74" s="222">
        <f t="shared" si="37"/>
        <v>0</v>
      </c>
    </row>
    <row r="75" spans="1:37" ht="15.75" x14ac:dyDescent="0.25">
      <c r="A75" s="175"/>
      <c r="B75" s="166"/>
      <c r="C75" s="161"/>
      <c r="D75" s="161"/>
      <c r="E75" s="142"/>
      <c r="F75" s="144"/>
      <c r="G75" s="144"/>
      <c r="H75" s="196"/>
      <c r="I75" s="192"/>
      <c r="J75" s="44"/>
      <c r="K75" s="220"/>
      <c r="L75" s="194">
        <f>SUMIF(Цо!R:R,B75,Цо!AI:AI)</f>
        <v>0</v>
      </c>
      <c r="M75" s="194">
        <f>SUMIF(IRS!B:B,B75,IRS!S:S)</f>
        <v>0</v>
      </c>
      <c r="N75" s="194">
        <f>SUMIF(Катеринополь!B:B,B75,Катеринополь!S:S)</f>
        <v>0</v>
      </c>
      <c r="Q75" s="194">
        <f>SUMIF('ООН 2025'!B:B,B75,'ООН 2025'!S:S)</f>
        <v>0</v>
      </c>
      <c r="R75" s="194">
        <f>SUMIF('Червоний хрест'!B:B,B75,'Червоний хрест'!S:S)</f>
        <v>0</v>
      </c>
      <c r="T75" s="194">
        <f>SUMIF(Кернел!B:B,B75,Кернел!S:S)</f>
        <v>0</v>
      </c>
      <c r="U75" s="194">
        <f>SUMIF('Глобино Мк'!B:B,B75,'Глобино Мк'!S:S)</f>
        <v>0</v>
      </c>
      <c r="V75" s="194">
        <f>SUMIF('МД Франківськ'!B:B,B75,'МД Франківськ'!S:S)</f>
        <v>0</v>
      </c>
      <c r="W75" s="216">
        <f t="shared" si="35"/>
        <v>0</v>
      </c>
      <c r="X75" s="216">
        <f t="shared" si="36"/>
        <v>0</v>
      </c>
      <c r="Y75" s="216">
        <f t="shared" si="22"/>
        <v>0</v>
      </c>
      <c r="Z75" s="216">
        <f t="shared" si="23"/>
        <v>0</v>
      </c>
      <c r="AA75" s="216">
        <f t="shared" si="24"/>
        <v>0</v>
      </c>
      <c r="AB75" s="216">
        <f t="shared" si="25"/>
        <v>0</v>
      </c>
      <c r="AC75" s="216">
        <f t="shared" si="26"/>
        <v>0</v>
      </c>
      <c r="AD75" s="216">
        <f t="shared" si="27"/>
        <v>0</v>
      </c>
      <c r="AE75" s="216">
        <f t="shared" si="28"/>
        <v>0</v>
      </c>
      <c r="AF75" s="216">
        <f t="shared" si="29"/>
        <v>0</v>
      </c>
      <c r="AG75" s="216">
        <f t="shared" si="30"/>
        <v>0</v>
      </c>
      <c r="AH75" s="216">
        <f t="shared" si="31"/>
        <v>0</v>
      </c>
      <c r="AI75" s="216">
        <f t="shared" si="32"/>
        <v>0</v>
      </c>
      <c r="AJ75" s="216">
        <f t="shared" si="38"/>
        <v>0</v>
      </c>
      <c r="AK75" s="222">
        <f t="shared" si="37"/>
        <v>0</v>
      </c>
    </row>
    <row r="76" spans="1:37" ht="15.75" x14ac:dyDescent="0.25">
      <c r="A76" s="175"/>
      <c r="B76" s="166"/>
      <c r="C76" s="177"/>
      <c r="D76" s="177"/>
      <c r="E76" s="142"/>
      <c r="F76" s="144"/>
      <c r="G76" s="144"/>
      <c r="H76" s="196"/>
      <c r="I76" s="192"/>
      <c r="J76" s="44"/>
      <c r="K76" s="220"/>
      <c r="AJ76" s="217">
        <f>SUM(AJ2:AJ75)-G78</f>
        <v>0</v>
      </c>
    </row>
    <row r="77" spans="1:37" ht="15.75" x14ac:dyDescent="0.25">
      <c r="A77" s="175"/>
      <c r="B77" s="161"/>
      <c r="C77" s="177"/>
      <c r="D77" s="177"/>
      <c r="E77" s="142"/>
      <c r="F77" s="144"/>
      <c r="G77" s="144"/>
      <c r="H77" s="196">
        <f t="shared" ref="H77" si="40">SUM(H5:H76)</f>
        <v>-3122.2600000000175</v>
      </c>
      <c r="I77" s="192"/>
      <c r="J77" s="44"/>
      <c r="K77" s="220"/>
      <c r="X77" s="7">
        <f t="shared" ref="X77:AI77" si="41" xml:space="preserve"> SUM(X2:X75)</f>
        <v>29000</v>
      </c>
      <c r="Y77" s="7">
        <f t="shared" si="41"/>
        <v>28600</v>
      </c>
      <c r="Z77" s="7">
        <f t="shared" si="41"/>
        <v>270127.61904761905</v>
      </c>
      <c r="AA77" s="7">
        <f t="shared" si="41"/>
        <v>128786.1854249874</v>
      </c>
      <c r="AB77" s="7">
        <f t="shared" si="41"/>
        <v>0</v>
      </c>
      <c r="AC77" s="7">
        <f t="shared" si="41"/>
        <v>0</v>
      </c>
      <c r="AD77" s="7">
        <f t="shared" si="41"/>
        <v>388061.36400322837</v>
      </c>
      <c r="AE77" s="7">
        <f t="shared" si="41"/>
        <v>20144.680851063829</v>
      </c>
      <c r="AF77" s="7">
        <f t="shared" si="41"/>
        <v>0</v>
      </c>
      <c r="AG77" s="7">
        <f t="shared" si="41"/>
        <v>160800</v>
      </c>
      <c r="AH77" s="7">
        <f t="shared" si="41"/>
        <v>103843.06118967191</v>
      </c>
      <c r="AI77" s="7">
        <f t="shared" si="41"/>
        <v>30137.089483429409</v>
      </c>
      <c r="AJ77" s="7">
        <f xml:space="preserve"> SUM(AJ2:AJ75)</f>
        <v>1159500</v>
      </c>
    </row>
    <row r="78" spans="1:37" ht="15.75" x14ac:dyDescent="0.25">
      <c r="C78" s="195">
        <f>SUM(C2:C77)</f>
        <v>36650</v>
      </c>
      <c r="D78" s="195">
        <f>SUM(D2:D77)</f>
        <v>194799.0199999999</v>
      </c>
      <c r="E78" s="195">
        <f>SUM(E2:E77)</f>
        <v>1373970</v>
      </c>
      <c r="G78" s="195">
        <f>SUM(G2:G77)</f>
        <v>1159500</v>
      </c>
      <c r="I78" s="157"/>
      <c r="AJ78" s="7">
        <f>AJ77-SUM(X77:AI77)</f>
        <v>0</v>
      </c>
    </row>
    <row r="79" spans="1:37" ht="15.75" x14ac:dyDescent="0.25">
      <c r="G79" s="197"/>
      <c r="I79" s="125"/>
    </row>
    <row r="80" spans="1:37" ht="15.75" x14ac:dyDescent="0.25">
      <c r="I80" s="125"/>
    </row>
    <row r="81" spans="9:9" ht="15.75" x14ac:dyDescent="0.25">
      <c r="I81" s="125"/>
    </row>
    <row r="82" spans="9:9" ht="15.75" x14ac:dyDescent="0.25">
      <c r="I82" s="125"/>
    </row>
    <row r="83" spans="9:9" ht="15.75" x14ac:dyDescent="0.25">
      <c r="I83" s="125"/>
    </row>
    <row r="84" spans="9:9" ht="15.75" x14ac:dyDescent="0.25">
      <c r="I84" s="125"/>
    </row>
    <row r="85" spans="9:9" ht="15.75" x14ac:dyDescent="0.25">
      <c r="I85" s="125"/>
    </row>
    <row r="86" spans="9:9" ht="15.75" x14ac:dyDescent="0.25">
      <c r="I86" s="125"/>
    </row>
    <row r="87" spans="9:9" ht="15.75" x14ac:dyDescent="0.25">
      <c r="I87" s="125"/>
    </row>
    <row r="88" spans="9:9" ht="15.75" x14ac:dyDescent="0.25">
      <c r="I88" s="125"/>
    </row>
    <row r="89" spans="9:9" ht="15.75" x14ac:dyDescent="0.25">
      <c r="I89" s="125"/>
    </row>
    <row r="90" spans="9:9" ht="15.75" x14ac:dyDescent="0.25">
      <c r="I90" s="125"/>
    </row>
    <row r="91" spans="9:9" ht="15.75" x14ac:dyDescent="0.25">
      <c r="I91" s="125"/>
    </row>
  </sheetData>
  <autoFilter ref="A1:AJ75" xr:uid="{BCF98E17-1419-4C46-8024-296A82262B9A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329"/>
  <sheetViews>
    <sheetView topLeftCell="C1" zoomScale="80" zoomScaleNormal="80" workbookViewId="0">
      <selection activeCell="R31" sqref="R31"/>
    </sheetView>
  </sheetViews>
  <sheetFormatPr defaultRowHeight="15" x14ac:dyDescent="0.25"/>
  <cols>
    <col min="2" max="2" width="32.42578125" bestFit="1" customWidth="1"/>
    <col min="18" max="18" width="32.42578125" bestFit="1" customWidth="1"/>
  </cols>
  <sheetData>
    <row r="1" spans="1:35" x14ac:dyDescent="0.25">
      <c r="A1" s="206"/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 t="s">
        <v>1</v>
      </c>
      <c r="R1" s="206" t="s">
        <v>6</v>
      </c>
      <c r="S1" s="206" t="s">
        <v>46</v>
      </c>
      <c r="T1" s="206" t="s">
        <v>47</v>
      </c>
      <c r="U1" s="206" t="s">
        <v>48</v>
      </c>
      <c r="V1" s="206" t="s">
        <v>49</v>
      </c>
      <c r="W1" s="206" t="s">
        <v>50</v>
      </c>
      <c r="X1" s="206" t="s">
        <v>51</v>
      </c>
      <c r="Y1" s="206" t="s">
        <v>52</v>
      </c>
      <c r="Z1" s="206" t="s">
        <v>53</v>
      </c>
      <c r="AA1" s="206" t="s">
        <v>54</v>
      </c>
      <c r="AB1" s="206" t="s">
        <v>55</v>
      </c>
      <c r="AC1" s="206" t="s">
        <v>56</v>
      </c>
      <c r="AD1" s="206" t="s">
        <v>57</v>
      </c>
      <c r="AE1" s="206" t="s">
        <v>58</v>
      </c>
      <c r="AF1" s="206" t="s">
        <v>59</v>
      </c>
      <c r="AG1" s="206" t="s">
        <v>669</v>
      </c>
      <c r="AH1" s="206" t="s">
        <v>670</v>
      </c>
    </row>
    <row r="2" spans="1:35" x14ac:dyDescent="0.25">
      <c r="A2" s="149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49">
        <v>1</v>
      </c>
      <c r="R2" s="150" t="s">
        <v>10</v>
      </c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>
        <f>S2+T2+U2+V2+W2+X2+Y2+Z2+AA2+AB2+AC2+AD2+AE2+AF2+AG2+AH2</f>
        <v>0</v>
      </c>
    </row>
    <row r="3" spans="1:35" x14ac:dyDescent="0.25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49">
        <v>2</v>
      </c>
      <c r="R3" s="150" t="s">
        <v>11</v>
      </c>
      <c r="S3" s="150" t="s">
        <v>62</v>
      </c>
      <c r="T3" s="150"/>
      <c r="U3" s="150" t="s">
        <v>26</v>
      </c>
      <c r="V3" s="150" t="s">
        <v>26</v>
      </c>
      <c r="W3" s="150" t="s">
        <v>26</v>
      </c>
      <c r="X3" s="150" t="s">
        <v>26</v>
      </c>
      <c r="Y3" s="150" t="s">
        <v>26</v>
      </c>
      <c r="Z3" s="150" t="s">
        <v>84</v>
      </c>
      <c r="AA3" s="150"/>
      <c r="AB3" s="150" t="s">
        <v>26</v>
      </c>
      <c r="AC3" s="150" t="s">
        <v>26</v>
      </c>
      <c r="AD3" s="150" t="s">
        <v>26</v>
      </c>
      <c r="AE3" s="150" t="s">
        <v>26</v>
      </c>
      <c r="AF3" s="150" t="s">
        <v>26</v>
      </c>
      <c r="AG3" s="150" t="s">
        <v>84</v>
      </c>
      <c r="AH3" s="150"/>
      <c r="AI3">
        <f t="shared" ref="AI3:AI66" si="0">S3+T3+U3+V3+W3+X3+Y3+Z3+AA3+AB3+AC3+AD3+AE3+AF3+AG3+AH3</f>
        <v>125</v>
      </c>
    </row>
    <row r="4" spans="1:35" x14ac:dyDescent="0.25">
      <c r="A4" s="149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49">
        <v>3</v>
      </c>
      <c r="R4" s="150" t="s">
        <v>12</v>
      </c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>
        <f t="shared" si="0"/>
        <v>0</v>
      </c>
    </row>
    <row r="5" spans="1:35" x14ac:dyDescent="0.25">
      <c r="A5" s="149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49">
        <v>4</v>
      </c>
      <c r="R5" s="150" t="s">
        <v>664</v>
      </c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>
        <f t="shared" si="0"/>
        <v>0</v>
      </c>
    </row>
    <row r="6" spans="1:35" x14ac:dyDescent="0.25">
      <c r="A6" s="149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49">
        <v>5</v>
      </c>
      <c r="R6" s="150" t="s">
        <v>14</v>
      </c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>
        <f t="shared" si="0"/>
        <v>0</v>
      </c>
    </row>
    <row r="7" spans="1:35" x14ac:dyDescent="0.25">
      <c r="A7" s="149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49">
        <v>6</v>
      </c>
      <c r="R7" s="150" t="s">
        <v>15</v>
      </c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>
        <f t="shared" si="0"/>
        <v>0</v>
      </c>
    </row>
    <row r="8" spans="1:35" x14ac:dyDescent="0.25">
      <c r="A8" s="149"/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49">
        <v>7</v>
      </c>
      <c r="R8" s="150" t="s">
        <v>16</v>
      </c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>
        <f t="shared" si="0"/>
        <v>0</v>
      </c>
    </row>
    <row r="9" spans="1:35" x14ac:dyDescent="0.25">
      <c r="A9" s="149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49">
        <v>8</v>
      </c>
      <c r="R9" s="150" t="s">
        <v>4</v>
      </c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>
        <f t="shared" si="0"/>
        <v>0</v>
      </c>
    </row>
    <row r="10" spans="1:35" x14ac:dyDescent="0.25">
      <c r="A10" s="149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49">
        <v>9</v>
      </c>
      <c r="R10" s="150" t="s">
        <v>5</v>
      </c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>
        <f t="shared" si="0"/>
        <v>0</v>
      </c>
    </row>
    <row r="11" spans="1:35" x14ac:dyDescent="0.25">
      <c r="A11" s="149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49">
        <v>10</v>
      </c>
      <c r="R11" s="150" t="s">
        <v>38</v>
      </c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>
        <f t="shared" si="0"/>
        <v>0</v>
      </c>
    </row>
    <row r="12" spans="1:35" x14ac:dyDescent="0.25">
      <c r="A12" s="149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49">
        <v>11</v>
      </c>
      <c r="R12" s="150" t="s">
        <v>43</v>
      </c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>
        <f t="shared" si="0"/>
        <v>0</v>
      </c>
    </row>
    <row r="13" spans="1:35" x14ac:dyDescent="0.25">
      <c r="A13" s="149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49">
        <v>12</v>
      </c>
      <c r="R13" s="150" t="s">
        <v>644</v>
      </c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>
        <f t="shared" si="0"/>
        <v>0</v>
      </c>
    </row>
    <row r="14" spans="1:35" x14ac:dyDescent="0.25">
      <c r="A14" s="149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49">
        <v>13</v>
      </c>
      <c r="R14" s="150" t="s">
        <v>87</v>
      </c>
      <c r="S14" s="150"/>
      <c r="T14" s="150"/>
      <c r="U14" s="150"/>
      <c r="V14" s="150"/>
      <c r="W14" s="150"/>
      <c r="X14" s="150"/>
      <c r="Y14" s="150"/>
      <c r="Z14" s="150" t="s">
        <v>672</v>
      </c>
      <c r="AA14" s="150"/>
      <c r="AB14" s="150"/>
      <c r="AC14" s="150"/>
      <c r="AD14" s="150"/>
      <c r="AE14" s="150"/>
      <c r="AF14" s="150"/>
      <c r="AG14" s="150"/>
      <c r="AH14" s="150"/>
      <c r="AI14">
        <f t="shared" si="0"/>
        <v>0</v>
      </c>
    </row>
    <row r="15" spans="1:35" x14ac:dyDescent="0.25">
      <c r="A15" s="149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49">
        <v>14</v>
      </c>
      <c r="R15" s="150" t="s">
        <v>95</v>
      </c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>
        <f t="shared" si="0"/>
        <v>0</v>
      </c>
    </row>
    <row r="16" spans="1:35" x14ac:dyDescent="0.25">
      <c r="A16" s="149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49">
        <v>15</v>
      </c>
      <c r="R16" s="150" t="s">
        <v>97</v>
      </c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>
        <f t="shared" si="0"/>
        <v>0</v>
      </c>
    </row>
    <row r="17" spans="1:35" x14ac:dyDescent="0.25">
      <c r="A17" s="149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49">
        <v>16</v>
      </c>
      <c r="R17" s="150" t="s">
        <v>96</v>
      </c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>
        <f t="shared" si="0"/>
        <v>0</v>
      </c>
    </row>
    <row r="18" spans="1:35" x14ac:dyDescent="0.25">
      <c r="A18" s="149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49">
        <v>17</v>
      </c>
      <c r="R18" s="150" t="s">
        <v>98</v>
      </c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>
        <f t="shared" si="0"/>
        <v>0</v>
      </c>
    </row>
    <row r="19" spans="1:35" x14ac:dyDescent="0.25">
      <c r="A19" s="149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49">
        <v>18</v>
      </c>
      <c r="R19" s="150" t="s">
        <v>99</v>
      </c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>
        <f t="shared" si="0"/>
        <v>0</v>
      </c>
    </row>
    <row r="20" spans="1:35" x14ac:dyDescent="0.25">
      <c r="A20" s="149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49">
        <v>19</v>
      </c>
      <c r="R20" s="150" t="s">
        <v>617</v>
      </c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>
        <f t="shared" si="0"/>
        <v>0</v>
      </c>
    </row>
    <row r="21" spans="1:35" x14ac:dyDescent="0.25">
      <c r="A21" s="149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49">
        <v>20</v>
      </c>
      <c r="R21" s="150" t="s">
        <v>618</v>
      </c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>
        <f t="shared" si="0"/>
        <v>0</v>
      </c>
    </row>
    <row r="22" spans="1:35" x14ac:dyDescent="0.25">
      <c r="A22" s="149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49">
        <v>21</v>
      </c>
      <c r="R22" s="150" t="s">
        <v>629</v>
      </c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>
        <f t="shared" si="0"/>
        <v>0</v>
      </c>
    </row>
    <row r="23" spans="1:35" x14ac:dyDescent="0.25">
      <c r="A23" s="149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49">
        <v>22</v>
      </c>
      <c r="R23" s="150" t="s">
        <v>619</v>
      </c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>
        <f t="shared" si="0"/>
        <v>0</v>
      </c>
    </row>
    <row r="24" spans="1:35" x14ac:dyDescent="0.25">
      <c r="A24" s="149"/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49">
        <v>23</v>
      </c>
      <c r="R24" s="150" t="s">
        <v>620</v>
      </c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>
        <f t="shared" si="0"/>
        <v>0</v>
      </c>
    </row>
    <row r="25" spans="1:35" x14ac:dyDescent="0.25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49">
        <v>24</v>
      </c>
      <c r="R25" s="150" t="s">
        <v>622</v>
      </c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>
        <f t="shared" si="0"/>
        <v>0</v>
      </c>
    </row>
    <row r="26" spans="1:35" x14ac:dyDescent="0.25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49">
        <v>25</v>
      </c>
      <c r="R26" s="150" t="s">
        <v>661</v>
      </c>
      <c r="S26" s="150"/>
      <c r="T26" s="150"/>
      <c r="U26" s="150"/>
      <c r="V26" s="150"/>
      <c r="W26" s="150"/>
      <c r="X26" s="150"/>
      <c r="Y26" s="150"/>
      <c r="Z26" s="150" t="s">
        <v>672</v>
      </c>
      <c r="AA26" s="150"/>
      <c r="AB26" s="150"/>
      <c r="AC26" s="150"/>
      <c r="AD26" s="150"/>
      <c r="AE26" s="150"/>
      <c r="AF26" s="150"/>
      <c r="AG26" s="150"/>
      <c r="AH26" s="150"/>
      <c r="AI26">
        <f t="shared" si="0"/>
        <v>0</v>
      </c>
    </row>
    <row r="27" spans="1:35" x14ac:dyDescent="0.25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49">
        <v>26</v>
      </c>
      <c r="R27" s="150" t="s">
        <v>623</v>
      </c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50"/>
      <c r="AG27" s="150"/>
      <c r="AH27" s="150"/>
      <c r="AI27">
        <f t="shared" si="0"/>
        <v>0</v>
      </c>
    </row>
    <row r="28" spans="1:35" x14ac:dyDescent="0.25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49">
        <v>27</v>
      </c>
      <c r="R28" s="150" t="s">
        <v>624</v>
      </c>
      <c r="S28" s="150"/>
      <c r="T28" s="1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50"/>
      <c r="AG28" s="150"/>
      <c r="AH28" s="150"/>
      <c r="AI28">
        <f t="shared" si="0"/>
        <v>0</v>
      </c>
    </row>
    <row r="29" spans="1:35" x14ac:dyDescent="0.25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49">
        <v>28</v>
      </c>
      <c r="R29" s="150" t="s">
        <v>625</v>
      </c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>
        <f t="shared" si="0"/>
        <v>0</v>
      </c>
    </row>
    <row r="30" spans="1:35" x14ac:dyDescent="0.25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49">
        <v>29</v>
      </c>
      <c r="R30" s="150" t="s">
        <v>626</v>
      </c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>
        <f t="shared" si="0"/>
        <v>0</v>
      </c>
    </row>
    <row r="31" spans="1:35" x14ac:dyDescent="0.25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49">
        <v>30</v>
      </c>
      <c r="R31" s="150" t="s">
        <v>631</v>
      </c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>
        <f t="shared" si="0"/>
        <v>0</v>
      </c>
    </row>
    <row r="32" spans="1:35" x14ac:dyDescent="0.25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49">
        <v>31</v>
      </c>
      <c r="R32" s="150" t="s">
        <v>627</v>
      </c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0"/>
      <c r="AG32" s="150"/>
      <c r="AH32" s="150"/>
      <c r="AI32">
        <f t="shared" si="0"/>
        <v>0</v>
      </c>
    </row>
    <row r="33" spans="1:35" x14ac:dyDescent="0.25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49">
        <v>32</v>
      </c>
      <c r="R33" s="150" t="s">
        <v>34</v>
      </c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>
        <f t="shared" si="0"/>
        <v>0</v>
      </c>
    </row>
    <row r="34" spans="1:35" x14ac:dyDescent="0.25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49">
        <v>33</v>
      </c>
      <c r="R34" s="150" t="s">
        <v>628</v>
      </c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>
        <f t="shared" si="0"/>
        <v>0</v>
      </c>
    </row>
    <row r="35" spans="1:35" x14ac:dyDescent="0.25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49">
        <v>34</v>
      </c>
      <c r="R35" s="150" t="s">
        <v>621</v>
      </c>
      <c r="S35" s="150"/>
      <c r="T35" s="150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150"/>
      <c r="AG35" s="150"/>
      <c r="AH35" s="150"/>
      <c r="AI35">
        <f t="shared" si="0"/>
        <v>0</v>
      </c>
    </row>
    <row r="36" spans="1:35" x14ac:dyDescent="0.25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49">
        <v>35</v>
      </c>
      <c r="R36" s="150" t="s">
        <v>45</v>
      </c>
      <c r="S36" s="150"/>
      <c r="T36" s="150"/>
      <c r="U36" s="150"/>
      <c r="V36" s="150"/>
      <c r="W36" s="150"/>
      <c r="X36" s="150"/>
      <c r="Y36" s="150"/>
      <c r="Z36" s="150" t="s">
        <v>672</v>
      </c>
      <c r="AA36" s="150"/>
      <c r="AB36" s="150"/>
      <c r="AC36" s="150"/>
      <c r="AD36" s="150"/>
      <c r="AE36" s="150"/>
      <c r="AF36" s="150"/>
      <c r="AG36" s="150"/>
      <c r="AH36" s="150"/>
      <c r="AI36">
        <f t="shared" si="0"/>
        <v>0</v>
      </c>
    </row>
    <row r="37" spans="1:35" x14ac:dyDescent="0.25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49">
        <v>36</v>
      </c>
      <c r="R37" s="150" t="s">
        <v>634</v>
      </c>
      <c r="S37" s="150"/>
      <c r="T37" s="150"/>
      <c r="U37" s="150"/>
      <c r="V37" s="150"/>
      <c r="W37" s="150"/>
      <c r="X37" s="150"/>
      <c r="Y37" s="150"/>
      <c r="Z37" s="150"/>
      <c r="AA37" s="150"/>
      <c r="AB37" s="150"/>
      <c r="AC37" s="150"/>
      <c r="AD37" s="150"/>
      <c r="AE37" s="150"/>
      <c r="AF37" s="150"/>
      <c r="AG37" s="150"/>
      <c r="AH37" s="150"/>
      <c r="AI37">
        <f t="shared" si="0"/>
        <v>0</v>
      </c>
    </row>
    <row r="38" spans="1:35" x14ac:dyDescent="0.25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49">
        <v>37</v>
      </c>
      <c r="R38" s="150" t="s">
        <v>647</v>
      </c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>
        <f t="shared" si="0"/>
        <v>0</v>
      </c>
    </row>
    <row r="39" spans="1:35" x14ac:dyDescent="0.25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49">
        <v>38</v>
      </c>
      <c r="R39" s="150" t="s">
        <v>632</v>
      </c>
      <c r="S39" s="150"/>
      <c r="T39" s="150"/>
      <c r="U39" s="150"/>
      <c r="V39" s="150"/>
      <c r="W39" s="150"/>
      <c r="X39" s="150"/>
      <c r="Y39" s="150"/>
      <c r="Z39" s="150"/>
      <c r="AA39" s="150"/>
      <c r="AB39" s="150"/>
      <c r="AC39" s="150"/>
      <c r="AD39" s="150"/>
      <c r="AE39" s="150"/>
      <c r="AF39" s="150"/>
      <c r="AG39" s="150"/>
      <c r="AH39" s="150"/>
      <c r="AI39">
        <f t="shared" si="0"/>
        <v>0</v>
      </c>
    </row>
    <row r="40" spans="1:35" x14ac:dyDescent="0.25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49">
        <v>39</v>
      </c>
      <c r="R40" s="150" t="s">
        <v>633</v>
      </c>
      <c r="S40" s="150"/>
      <c r="T40" s="150"/>
      <c r="U40" s="150"/>
      <c r="V40" s="150"/>
      <c r="W40" s="150"/>
      <c r="X40" s="150"/>
      <c r="Y40" s="150"/>
      <c r="Z40" s="150"/>
      <c r="AA40" s="150"/>
      <c r="AB40" s="150"/>
      <c r="AC40" s="150"/>
      <c r="AD40" s="150"/>
      <c r="AE40" s="150"/>
      <c r="AF40" s="150"/>
      <c r="AG40" s="150"/>
      <c r="AH40" s="150"/>
      <c r="AI40">
        <f t="shared" si="0"/>
        <v>0</v>
      </c>
    </row>
    <row r="41" spans="1:35" x14ac:dyDescent="0.25">
      <c r="A41" s="14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49">
        <v>40</v>
      </c>
      <c r="R41" s="150" t="s">
        <v>635</v>
      </c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>
        <f t="shared" si="0"/>
        <v>0</v>
      </c>
    </row>
    <row r="42" spans="1:35" x14ac:dyDescent="0.25">
      <c r="A42" s="149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49">
        <v>41</v>
      </c>
      <c r="R42" s="150" t="s">
        <v>636</v>
      </c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>
        <f t="shared" si="0"/>
        <v>0</v>
      </c>
    </row>
    <row r="43" spans="1:35" x14ac:dyDescent="0.25">
      <c r="A43" s="149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49">
        <v>42</v>
      </c>
      <c r="R43" s="150" t="s">
        <v>637</v>
      </c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>
        <f t="shared" si="0"/>
        <v>0</v>
      </c>
    </row>
    <row r="44" spans="1:35" x14ac:dyDescent="0.25">
      <c r="A44" s="149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49">
        <v>43</v>
      </c>
      <c r="R44" s="150" t="s">
        <v>638</v>
      </c>
      <c r="S44" s="150"/>
      <c r="T44" s="150"/>
      <c r="U44" s="150"/>
      <c r="V44" s="150"/>
      <c r="W44" s="150"/>
      <c r="X44" s="150"/>
      <c r="Y44" s="150"/>
      <c r="Z44" s="150"/>
      <c r="AA44" s="150"/>
      <c r="AB44" s="150"/>
      <c r="AC44" s="150"/>
      <c r="AD44" s="150"/>
      <c r="AE44" s="150"/>
      <c r="AF44" s="150"/>
      <c r="AG44" s="150"/>
      <c r="AH44" s="150"/>
      <c r="AI44">
        <f t="shared" si="0"/>
        <v>0</v>
      </c>
    </row>
    <row r="45" spans="1:35" x14ac:dyDescent="0.25">
      <c r="A45" s="149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49">
        <v>44</v>
      </c>
      <c r="R45" s="150" t="s">
        <v>630</v>
      </c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  <c r="AE45" s="150"/>
      <c r="AF45" s="150"/>
      <c r="AG45" s="150"/>
      <c r="AH45" s="150"/>
      <c r="AI45">
        <f t="shared" si="0"/>
        <v>0</v>
      </c>
    </row>
    <row r="46" spans="1:35" x14ac:dyDescent="0.25">
      <c r="A46" s="149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49">
        <v>45</v>
      </c>
      <c r="R46" s="150" t="s">
        <v>639</v>
      </c>
      <c r="S46" s="150"/>
      <c r="T46" s="150"/>
      <c r="U46" s="150"/>
      <c r="V46" s="150"/>
      <c r="W46" s="150"/>
      <c r="X46" s="150"/>
      <c r="Y46" s="150"/>
      <c r="Z46" s="150"/>
      <c r="AA46" s="150"/>
      <c r="AB46" s="150"/>
      <c r="AC46" s="150"/>
      <c r="AD46" s="150"/>
      <c r="AE46" s="150"/>
      <c r="AF46" s="150"/>
      <c r="AG46" s="150"/>
      <c r="AH46" s="150"/>
      <c r="AI46">
        <f t="shared" si="0"/>
        <v>0</v>
      </c>
    </row>
    <row r="47" spans="1:35" x14ac:dyDescent="0.25">
      <c r="A47" s="149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49">
        <v>46</v>
      </c>
      <c r="R47" s="150" t="s">
        <v>641</v>
      </c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>
        <f t="shared" si="0"/>
        <v>0</v>
      </c>
    </row>
    <row r="48" spans="1:35" x14ac:dyDescent="0.25">
      <c r="A48" s="149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49">
        <v>47</v>
      </c>
      <c r="R48" s="150" t="s">
        <v>642</v>
      </c>
      <c r="S48" s="150"/>
      <c r="T48" s="150"/>
      <c r="U48" s="150"/>
      <c r="V48" s="150"/>
      <c r="W48" s="150"/>
      <c r="X48" s="150"/>
      <c r="Y48" s="150"/>
      <c r="Z48" s="150"/>
      <c r="AA48" s="150"/>
      <c r="AB48" s="150"/>
      <c r="AC48" s="150"/>
      <c r="AD48" s="150"/>
      <c r="AE48" s="150"/>
      <c r="AF48" s="150"/>
      <c r="AG48" s="150"/>
      <c r="AH48" s="150"/>
      <c r="AI48">
        <f t="shared" si="0"/>
        <v>0</v>
      </c>
    </row>
    <row r="49" spans="1:35" x14ac:dyDescent="0.25">
      <c r="A49" s="149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49">
        <v>48</v>
      </c>
      <c r="R49" s="150" t="s">
        <v>645</v>
      </c>
      <c r="S49" s="150"/>
      <c r="T49" s="150"/>
      <c r="U49" s="150"/>
      <c r="V49" s="150"/>
      <c r="W49" s="150"/>
      <c r="X49" s="150"/>
      <c r="Y49" s="150"/>
      <c r="Z49" s="150"/>
      <c r="AA49" s="150"/>
      <c r="AB49" s="150"/>
      <c r="AC49" s="150"/>
      <c r="AD49" s="150"/>
      <c r="AE49" s="150"/>
      <c r="AF49" s="150"/>
      <c r="AG49" s="150"/>
      <c r="AH49" s="150"/>
      <c r="AI49">
        <f t="shared" si="0"/>
        <v>0</v>
      </c>
    </row>
    <row r="50" spans="1:35" x14ac:dyDescent="0.25">
      <c r="A50" s="149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49">
        <v>49</v>
      </c>
      <c r="R50" s="150" t="s">
        <v>643</v>
      </c>
      <c r="S50" s="150"/>
      <c r="T50" s="150"/>
      <c r="U50" s="150"/>
      <c r="V50" s="150"/>
      <c r="W50" s="150"/>
      <c r="X50" s="150"/>
      <c r="Y50" s="150"/>
      <c r="Z50" s="150" t="s">
        <v>672</v>
      </c>
      <c r="AA50" s="150"/>
      <c r="AB50" s="150"/>
      <c r="AC50" s="150"/>
      <c r="AD50" s="150"/>
      <c r="AE50" s="150"/>
      <c r="AF50" s="150"/>
      <c r="AG50" s="150"/>
      <c r="AH50" s="150"/>
      <c r="AI50">
        <f t="shared" si="0"/>
        <v>0</v>
      </c>
    </row>
    <row r="51" spans="1:35" x14ac:dyDescent="0.25">
      <c r="A51" s="149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49">
        <v>50</v>
      </c>
      <c r="R51" s="150" t="s">
        <v>640</v>
      </c>
      <c r="S51" s="150"/>
      <c r="T51" s="150"/>
      <c r="U51" s="150" t="s">
        <v>26</v>
      </c>
      <c r="V51" s="150" t="s">
        <v>25</v>
      </c>
      <c r="W51" s="150" t="s">
        <v>26</v>
      </c>
      <c r="X51" s="150" t="s">
        <v>26</v>
      </c>
      <c r="Y51" s="150"/>
      <c r="Z51" s="150"/>
      <c r="AA51" s="150"/>
      <c r="AB51" s="150" t="s">
        <v>24</v>
      </c>
      <c r="AC51" s="150" t="s">
        <v>26</v>
      </c>
      <c r="AD51" s="150" t="s">
        <v>26</v>
      </c>
      <c r="AE51" s="150" t="s">
        <v>26</v>
      </c>
      <c r="AF51" s="150" t="s">
        <v>25</v>
      </c>
      <c r="AG51" s="150"/>
      <c r="AH51" s="150"/>
      <c r="AI51">
        <f t="shared" si="0"/>
        <v>92</v>
      </c>
    </row>
    <row r="52" spans="1:35" x14ac:dyDescent="0.25">
      <c r="A52" s="149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49">
        <v>51</v>
      </c>
      <c r="R52" s="150" t="s">
        <v>646</v>
      </c>
      <c r="S52" s="150"/>
      <c r="T52" s="150"/>
      <c r="U52" s="150"/>
      <c r="V52" s="150"/>
      <c r="W52" s="150"/>
      <c r="X52" s="150"/>
      <c r="Y52" s="150" t="s">
        <v>26</v>
      </c>
      <c r="Z52" s="150" t="s">
        <v>84</v>
      </c>
      <c r="AA52" s="150"/>
      <c r="AB52" s="150"/>
      <c r="AC52" s="150"/>
      <c r="AD52" s="150"/>
      <c r="AE52" s="150"/>
      <c r="AF52" s="150"/>
      <c r="AG52" s="150" t="s">
        <v>84</v>
      </c>
      <c r="AH52" s="150"/>
      <c r="AI52">
        <f t="shared" si="0"/>
        <v>23</v>
      </c>
    </row>
    <row r="53" spans="1:35" x14ac:dyDescent="0.25">
      <c r="A53" s="149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49">
        <v>52</v>
      </c>
      <c r="R53" s="150" t="s">
        <v>660</v>
      </c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>
        <f t="shared" si="0"/>
        <v>0</v>
      </c>
    </row>
    <row r="54" spans="1:35" x14ac:dyDescent="0.25">
      <c r="A54" s="149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49">
        <v>53</v>
      </c>
      <c r="R54" s="150" t="s">
        <v>648</v>
      </c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>
        <f t="shared" si="0"/>
        <v>0</v>
      </c>
    </row>
    <row r="55" spans="1:35" x14ac:dyDescent="0.25">
      <c r="A55" s="149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49">
        <v>54</v>
      </c>
      <c r="R55" s="150" t="s">
        <v>649</v>
      </c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>
        <f t="shared" si="0"/>
        <v>0</v>
      </c>
    </row>
    <row r="56" spans="1:35" x14ac:dyDescent="0.25">
      <c r="A56" s="149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49">
        <v>55</v>
      </c>
      <c r="R56" s="150" t="s">
        <v>650</v>
      </c>
      <c r="S56" s="150"/>
      <c r="T56" s="150"/>
      <c r="U56" s="150"/>
      <c r="V56" s="150"/>
      <c r="W56" s="150"/>
      <c r="X56" s="150"/>
      <c r="Y56" s="150"/>
      <c r="Z56" s="150"/>
      <c r="AA56" s="150"/>
      <c r="AB56" s="150"/>
      <c r="AC56" s="150"/>
      <c r="AD56" s="150"/>
      <c r="AE56" s="150"/>
      <c r="AF56" s="150"/>
      <c r="AG56" s="150"/>
      <c r="AH56" s="150"/>
      <c r="AI56">
        <f t="shared" si="0"/>
        <v>0</v>
      </c>
    </row>
    <row r="57" spans="1:35" x14ac:dyDescent="0.25">
      <c r="A57" s="149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49">
        <v>56</v>
      </c>
      <c r="R57" s="150" t="s">
        <v>652</v>
      </c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  <c r="AH57" s="150"/>
      <c r="AI57">
        <f t="shared" si="0"/>
        <v>0</v>
      </c>
    </row>
    <row r="58" spans="1:35" x14ac:dyDescent="0.25">
      <c r="A58" s="149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49">
        <v>57</v>
      </c>
      <c r="R58" s="150" t="s">
        <v>653</v>
      </c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  <c r="AH58" s="150"/>
      <c r="AI58">
        <f t="shared" si="0"/>
        <v>0</v>
      </c>
    </row>
    <row r="59" spans="1:35" x14ac:dyDescent="0.25">
      <c r="A59" s="149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49">
        <v>58</v>
      </c>
      <c r="R59" s="150" t="s">
        <v>654</v>
      </c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  <c r="AH59" s="150"/>
      <c r="AI59">
        <f t="shared" si="0"/>
        <v>0</v>
      </c>
    </row>
    <row r="60" spans="1:35" x14ac:dyDescent="0.25">
      <c r="A60" s="149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49">
        <v>59</v>
      </c>
      <c r="R60" s="150" t="s">
        <v>655</v>
      </c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  <c r="AH60" s="150"/>
      <c r="AI60">
        <f t="shared" si="0"/>
        <v>0</v>
      </c>
    </row>
    <row r="61" spans="1:35" x14ac:dyDescent="0.25">
      <c r="A61" s="149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49">
        <v>60</v>
      </c>
      <c r="R61" s="150" t="s">
        <v>656</v>
      </c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  <c r="AH61" s="150"/>
      <c r="AI61">
        <f t="shared" si="0"/>
        <v>0</v>
      </c>
    </row>
    <row r="62" spans="1:35" x14ac:dyDescent="0.25">
      <c r="A62" s="149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49">
        <v>61</v>
      </c>
      <c r="R62" s="150" t="s">
        <v>658</v>
      </c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  <c r="AH62" s="150"/>
      <c r="AI62">
        <f t="shared" si="0"/>
        <v>0</v>
      </c>
    </row>
    <row r="63" spans="1:35" x14ac:dyDescent="0.25">
      <c r="A63" s="149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49">
        <v>62</v>
      </c>
      <c r="R63" s="150" t="s">
        <v>659</v>
      </c>
      <c r="S63" s="150"/>
      <c r="T63" s="150"/>
      <c r="U63" s="150"/>
      <c r="V63" s="150"/>
      <c r="W63" s="150"/>
      <c r="X63" s="150"/>
      <c r="Y63" s="150"/>
      <c r="Z63" s="150"/>
      <c r="AA63" s="150"/>
      <c r="AB63" s="150"/>
      <c r="AC63" s="150"/>
      <c r="AD63" s="150"/>
      <c r="AE63" s="150"/>
      <c r="AF63" s="150"/>
      <c r="AG63" s="150"/>
      <c r="AH63" s="150"/>
      <c r="AI63">
        <f t="shared" si="0"/>
        <v>0</v>
      </c>
    </row>
    <row r="64" spans="1:35" x14ac:dyDescent="0.25">
      <c r="A64" s="149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49">
        <v>63</v>
      </c>
      <c r="R64" s="150" t="s">
        <v>20</v>
      </c>
      <c r="S64" s="150"/>
      <c r="T64" s="150"/>
      <c r="U64" s="150"/>
      <c r="V64" s="150"/>
      <c r="W64" s="150"/>
      <c r="X64" s="150"/>
      <c r="Y64" s="150"/>
      <c r="Z64" s="150"/>
      <c r="AA64" s="150"/>
      <c r="AB64" s="150"/>
      <c r="AC64" s="150"/>
      <c r="AD64" s="150"/>
      <c r="AE64" s="150"/>
      <c r="AF64" s="150"/>
      <c r="AG64" s="150"/>
      <c r="AH64" s="150"/>
      <c r="AI64">
        <f t="shared" si="0"/>
        <v>0</v>
      </c>
    </row>
    <row r="65" spans="1:35" x14ac:dyDescent="0.25">
      <c r="A65" s="149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49">
        <v>64</v>
      </c>
      <c r="R65" s="150" t="s">
        <v>662</v>
      </c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>
        <f t="shared" si="0"/>
        <v>0</v>
      </c>
    </row>
    <row r="66" spans="1:35" x14ac:dyDescent="0.25">
      <c r="A66" s="149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49">
        <v>65</v>
      </c>
      <c r="R66" s="150" t="s">
        <v>663</v>
      </c>
      <c r="S66" s="150"/>
      <c r="T66" s="150"/>
      <c r="U66" s="150"/>
      <c r="V66" s="150"/>
      <c r="W66" s="150"/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>
        <f t="shared" si="0"/>
        <v>0</v>
      </c>
    </row>
    <row r="67" spans="1:35" x14ac:dyDescent="0.25">
      <c r="A67" s="149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49">
        <v>66</v>
      </c>
      <c r="R67" s="150" t="s">
        <v>665</v>
      </c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>
        <f t="shared" ref="AI67:AI71" si="1">S67+T67+U67+V67+W67+X67+Y67+Z67+AA67+AB67+AC67+AD67+AE67+AF67+AG67+AH67</f>
        <v>0</v>
      </c>
    </row>
    <row r="68" spans="1:35" x14ac:dyDescent="0.25">
      <c r="A68" s="149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49">
        <v>67</v>
      </c>
      <c r="R68" s="150" t="s">
        <v>666</v>
      </c>
      <c r="S68" s="150"/>
      <c r="T68" s="150"/>
      <c r="U68" s="150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150"/>
      <c r="AH68" s="150"/>
      <c r="AI68">
        <f t="shared" si="1"/>
        <v>0</v>
      </c>
    </row>
    <row r="69" spans="1:35" x14ac:dyDescent="0.25">
      <c r="A69" s="149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49">
        <v>68</v>
      </c>
      <c r="R69" s="150" t="s">
        <v>667</v>
      </c>
      <c r="S69" s="150"/>
      <c r="T69" s="150"/>
      <c r="U69" s="150"/>
      <c r="V69" s="150"/>
      <c r="W69" s="150"/>
      <c r="X69" s="150"/>
      <c r="Y69" s="150"/>
      <c r="Z69" s="150"/>
      <c r="AA69" s="150"/>
      <c r="AB69" s="150"/>
      <c r="AC69" s="150"/>
      <c r="AD69" s="150"/>
      <c r="AE69" s="150"/>
      <c r="AF69" s="150"/>
      <c r="AG69" s="150"/>
      <c r="AH69" s="150"/>
      <c r="AI69">
        <f t="shared" si="1"/>
        <v>0</v>
      </c>
    </row>
    <row r="70" spans="1:35" x14ac:dyDescent="0.25">
      <c r="A70" s="149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49">
        <v>69</v>
      </c>
      <c r="R70" s="150" t="s">
        <v>668</v>
      </c>
      <c r="S70" s="150"/>
      <c r="T70" s="150"/>
      <c r="U70" s="150"/>
      <c r="V70" s="150"/>
      <c r="W70" s="150"/>
      <c r="X70" s="150"/>
      <c r="Y70" s="150"/>
      <c r="Z70" s="150"/>
      <c r="AA70" s="150"/>
      <c r="AB70" s="150"/>
      <c r="AC70" s="150"/>
      <c r="AD70" s="150"/>
      <c r="AE70" s="150"/>
      <c r="AF70" s="150"/>
      <c r="AG70" s="150"/>
      <c r="AH70" s="150"/>
      <c r="AI70">
        <f t="shared" si="1"/>
        <v>0</v>
      </c>
    </row>
    <row r="71" spans="1:35" x14ac:dyDescent="0.25">
      <c r="A71" s="149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49">
        <v>70</v>
      </c>
      <c r="R71" s="150" t="s">
        <v>671</v>
      </c>
      <c r="S71" s="150"/>
      <c r="T71" s="150"/>
      <c r="U71" s="150"/>
      <c r="V71" s="150"/>
      <c r="W71" s="150"/>
      <c r="X71" s="150"/>
      <c r="Y71" s="150"/>
      <c r="Z71" s="150"/>
      <c r="AA71" s="150"/>
      <c r="AB71" s="150"/>
      <c r="AC71" s="150"/>
      <c r="AD71" s="150"/>
      <c r="AE71" s="150"/>
      <c r="AF71" s="150"/>
      <c r="AG71" s="150"/>
      <c r="AH71" s="150"/>
      <c r="AI71">
        <f t="shared" si="1"/>
        <v>0</v>
      </c>
    </row>
    <row r="72" spans="1:35" x14ac:dyDescent="0.25">
      <c r="A72" s="149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206"/>
      <c r="R72" s="206"/>
      <c r="S72" s="206"/>
      <c r="T72" s="206"/>
      <c r="U72" s="206"/>
      <c r="V72" s="206"/>
      <c r="W72" s="206"/>
      <c r="X72" s="206"/>
      <c r="Y72" s="206"/>
      <c r="Z72" s="206"/>
      <c r="AA72" s="206"/>
      <c r="AB72" s="206"/>
      <c r="AC72" s="206"/>
      <c r="AD72" s="206"/>
      <c r="AE72" s="206"/>
      <c r="AF72" s="206"/>
      <c r="AG72" s="206"/>
      <c r="AH72" s="206"/>
    </row>
    <row r="73" spans="1:35" x14ac:dyDescent="0.25">
      <c r="A73" s="149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</row>
    <row r="74" spans="1:35" x14ac:dyDescent="0.25">
      <c r="A74" s="149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</row>
    <row r="75" spans="1:35" x14ac:dyDescent="0.25">
      <c r="A75" s="149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</row>
    <row r="76" spans="1:35" x14ac:dyDescent="0.25">
      <c r="A76" s="149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</row>
    <row r="77" spans="1:35" x14ac:dyDescent="0.25">
      <c r="A77" s="206"/>
      <c r="B77" s="206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6"/>
    </row>
    <row r="78" spans="1:35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</row>
    <row r="79" spans="1:35" x14ac:dyDescent="0.25">
      <c r="A79" s="151"/>
      <c r="B79" s="151"/>
      <c r="C79" s="151"/>
      <c r="D79" s="151"/>
      <c r="E79" s="151"/>
      <c r="F79" s="151"/>
    </row>
    <row r="80" spans="1:35" x14ac:dyDescent="0.25">
      <c r="A80" s="151"/>
      <c r="B80" s="151"/>
      <c r="C80" s="151"/>
      <c r="D80" s="151"/>
      <c r="E80" s="151"/>
      <c r="F80" s="151"/>
    </row>
    <row r="81" spans="1:6" x14ac:dyDescent="0.25">
      <c r="A81" s="151"/>
      <c r="B81" s="151"/>
      <c r="C81" s="151"/>
      <c r="D81" s="151"/>
      <c r="E81" s="151"/>
      <c r="F81" s="151"/>
    </row>
    <row r="82" spans="1:6" x14ac:dyDescent="0.25">
      <c r="A82" s="151"/>
      <c r="B82" s="151"/>
      <c r="C82" s="151"/>
      <c r="D82" s="151"/>
      <c r="E82" s="151"/>
      <c r="F82" s="151"/>
    </row>
    <row r="83" spans="1:6" x14ac:dyDescent="0.25">
      <c r="A83" s="151"/>
      <c r="B83" s="151"/>
      <c r="C83" s="151"/>
      <c r="D83" s="151"/>
      <c r="E83" s="151"/>
      <c r="F83" s="151"/>
    </row>
    <row r="84" spans="1:6" x14ac:dyDescent="0.25">
      <c r="A84" s="151"/>
      <c r="B84" s="151"/>
      <c r="C84" s="151"/>
      <c r="D84" s="151"/>
      <c r="E84" s="151"/>
      <c r="F84" s="151"/>
    </row>
    <row r="85" spans="1:6" x14ac:dyDescent="0.25">
      <c r="A85" s="151"/>
      <c r="B85" s="151"/>
      <c r="C85" s="151"/>
      <c r="D85" s="151"/>
      <c r="E85" s="151"/>
      <c r="F85" s="151"/>
    </row>
    <row r="86" spans="1:6" x14ac:dyDescent="0.25">
      <c r="A86" s="151"/>
      <c r="B86" s="151"/>
      <c r="C86" s="151"/>
      <c r="D86" s="151"/>
      <c r="E86" s="151"/>
      <c r="F86" s="151"/>
    </row>
    <row r="87" spans="1:6" x14ac:dyDescent="0.25">
      <c r="A87" s="151"/>
      <c r="B87" s="151"/>
      <c r="C87" s="151"/>
      <c r="D87" s="151"/>
      <c r="E87" s="151"/>
      <c r="F87" s="151"/>
    </row>
    <row r="88" spans="1:6" x14ac:dyDescent="0.25">
      <c r="A88" s="151"/>
      <c r="B88" s="151"/>
      <c r="C88" s="151"/>
      <c r="D88" s="151"/>
      <c r="E88" s="151"/>
      <c r="F88" s="151"/>
    </row>
    <row r="89" spans="1:6" x14ac:dyDescent="0.25">
      <c r="A89" s="151"/>
      <c r="B89" s="151"/>
      <c r="C89" s="151"/>
      <c r="D89" s="151"/>
      <c r="E89" s="151"/>
      <c r="F89" s="151"/>
    </row>
    <row r="90" spans="1:6" x14ac:dyDescent="0.25">
      <c r="A90" s="151"/>
      <c r="B90" s="151"/>
      <c r="C90" s="151"/>
      <c r="D90" s="151"/>
      <c r="E90" s="151"/>
      <c r="F90" s="151"/>
    </row>
    <row r="91" spans="1:6" x14ac:dyDescent="0.25">
      <c r="A91" s="151"/>
      <c r="B91" s="151"/>
      <c r="C91" s="151"/>
      <c r="D91" s="151"/>
      <c r="E91" s="151"/>
      <c r="F91" s="151"/>
    </row>
    <row r="92" spans="1:6" x14ac:dyDescent="0.25">
      <c r="A92" s="151"/>
      <c r="B92" s="151"/>
      <c r="C92" s="151"/>
      <c r="D92" s="151"/>
      <c r="E92" s="151"/>
      <c r="F92" s="151"/>
    </row>
    <row r="93" spans="1:6" x14ac:dyDescent="0.25">
      <c r="A93" s="151"/>
      <c r="B93" s="151"/>
      <c r="C93" s="151"/>
      <c r="D93" s="151"/>
      <c r="E93" s="151"/>
      <c r="F93" s="151"/>
    </row>
    <row r="94" spans="1:6" x14ac:dyDescent="0.25">
      <c r="A94" s="151"/>
      <c r="B94" s="151"/>
      <c r="C94" s="151"/>
      <c r="D94" s="151"/>
      <c r="E94" s="151"/>
      <c r="F94" s="151"/>
    </row>
    <row r="95" spans="1:6" x14ac:dyDescent="0.25">
      <c r="A95" s="151"/>
      <c r="B95" s="151"/>
      <c r="C95" s="151"/>
      <c r="D95" s="151"/>
      <c r="E95" s="151"/>
      <c r="F95" s="151"/>
    </row>
    <row r="96" spans="1:6" x14ac:dyDescent="0.25">
      <c r="A96" s="151"/>
      <c r="B96" s="151"/>
      <c r="C96" s="151"/>
      <c r="D96" s="151"/>
      <c r="E96" s="151"/>
      <c r="F96" s="151"/>
    </row>
    <row r="97" spans="1:6" x14ac:dyDescent="0.25">
      <c r="A97" s="151"/>
      <c r="B97" s="151"/>
      <c r="C97" s="151"/>
      <c r="D97" s="151"/>
      <c r="E97" s="151"/>
      <c r="F97" s="151"/>
    </row>
    <row r="98" spans="1:6" x14ac:dyDescent="0.25">
      <c r="A98" s="151"/>
      <c r="B98" s="151"/>
      <c r="C98" s="151"/>
      <c r="D98" s="151"/>
      <c r="E98" s="151"/>
      <c r="F98" s="151"/>
    </row>
    <row r="99" spans="1:6" x14ac:dyDescent="0.25">
      <c r="A99" s="151"/>
      <c r="B99" s="151"/>
      <c r="C99" s="151"/>
      <c r="D99" s="151"/>
      <c r="E99" s="151"/>
      <c r="F99" s="151"/>
    </row>
    <row r="100" spans="1:6" x14ac:dyDescent="0.25">
      <c r="A100" s="151"/>
      <c r="B100" s="151"/>
      <c r="C100" s="151"/>
      <c r="D100" s="151"/>
      <c r="E100" s="151"/>
      <c r="F100" s="151"/>
    </row>
    <row r="101" spans="1:6" x14ac:dyDescent="0.25">
      <c r="A101" s="151"/>
      <c r="B101" s="151"/>
      <c r="C101" s="151"/>
      <c r="D101" s="151"/>
      <c r="E101" s="151"/>
      <c r="F101" s="151"/>
    </row>
    <row r="102" spans="1:6" x14ac:dyDescent="0.25">
      <c r="A102" s="151"/>
      <c r="B102" s="151"/>
      <c r="C102" s="151"/>
      <c r="D102" s="151"/>
      <c r="E102" s="151"/>
      <c r="F102" s="151"/>
    </row>
    <row r="103" spans="1:6" x14ac:dyDescent="0.25">
      <c r="A103" s="151"/>
      <c r="B103" s="151"/>
      <c r="C103" s="151"/>
      <c r="D103" s="151"/>
      <c r="E103" s="151"/>
      <c r="F103" s="151"/>
    </row>
    <row r="104" spans="1:6" x14ac:dyDescent="0.25">
      <c r="A104" s="151"/>
      <c r="B104" s="151"/>
      <c r="C104" s="151"/>
      <c r="D104" s="151"/>
      <c r="E104" s="151"/>
      <c r="F104" s="151"/>
    </row>
    <row r="105" spans="1:6" x14ac:dyDescent="0.25">
      <c r="A105" s="151"/>
      <c r="B105" s="151"/>
      <c r="C105" s="151"/>
      <c r="D105" s="151"/>
      <c r="E105" s="151"/>
      <c r="F105" s="151"/>
    </row>
    <row r="106" spans="1:6" x14ac:dyDescent="0.25">
      <c r="A106" s="151"/>
      <c r="B106" s="151"/>
      <c r="C106" s="151"/>
      <c r="D106" s="151"/>
      <c r="E106" s="151"/>
      <c r="F106" s="151"/>
    </row>
    <row r="107" spans="1:6" x14ac:dyDescent="0.25">
      <c r="A107" s="151"/>
      <c r="B107" s="151"/>
      <c r="C107" s="151"/>
      <c r="D107" s="151"/>
      <c r="E107" s="151"/>
      <c r="F107" s="151"/>
    </row>
    <row r="108" spans="1:6" x14ac:dyDescent="0.25">
      <c r="A108" s="151"/>
      <c r="B108" s="151"/>
      <c r="C108" s="151"/>
      <c r="D108" s="151"/>
      <c r="E108" s="151"/>
      <c r="F108" s="151"/>
    </row>
    <row r="109" spans="1:6" x14ac:dyDescent="0.25">
      <c r="A109" s="151"/>
      <c r="B109" s="151"/>
      <c r="C109" s="151"/>
      <c r="D109" s="151"/>
      <c r="E109" s="151"/>
      <c r="F109" s="151"/>
    </row>
    <row r="110" spans="1:6" x14ac:dyDescent="0.25">
      <c r="A110" s="151"/>
      <c r="B110" s="151"/>
      <c r="C110" s="151"/>
      <c r="D110" s="151"/>
      <c r="E110" s="151"/>
      <c r="F110" s="151"/>
    </row>
    <row r="111" spans="1:6" x14ac:dyDescent="0.25">
      <c r="A111" s="151"/>
      <c r="B111" s="151"/>
      <c r="C111" s="151"/>
      <c r="D111" s="151"/>
      <c r="E111" s="151"/>
      <c r="F111" s="151"/>
    </row>
    <row r="112" spans="1:6" x14ac:dyDescent="0.25">
      <c r="A112" s="151"/>
      <c r="B112" s="151"/>
      <c r="C112" s="151"/>
      <c r="D112" s="151"/>
      <c r="E112" s="151"/>
      <c r="F112" s="151"/>
    </row>
    <row r="113" spans="1:6" x14ac:dyDescent="0.25">
      <c r="A113" s="151"/>
      <c r="B113" s="151"/>
      <c r="C113" s="151"/>
      <c r="D113" s="151"/>
      <c r="E113" s="151"/>
      <c r="F113" s="151"/>
    </row>
    <row r="114" spans="1:6" x14ac:dyDescent="0.25">
      <c r="A114" s="151"/>
      <c r="B114" s="151"/>
      <c r="C114" s="151"/>
      <c r="D114" s="151"/>
      <c r="E114" s="151"/>
      <c r="F114" s="151"/>
    </row>
    <row r="115" spans="1:6" x14ac:dyDescent="0.25">
      <c r="A115" s="151"/>
      <c r="B115" s="151"/>
      <c r="C115" s="151"/>
      <c r="D115" s="151"/>
      <c r="E115" s="151"/>
      <c r="F115" s="151"/>
    </row>
    <row r="116" spans="1:6" x14ac:dyDescent="0.25">
      <c r="A116" s="151"/>
      <c r="B116" s="151"/>
      <c r="C116" s="151"/>
      <c r="D116" s="151"/>
      <c r="E116" s="151"/>
      <c r="F116" s="151"/>
    </row>
    <row r="117" spans="1:6" x14ac:dyDescent="0.25">
      <c r="A117" s="151"/>
      <c r="B117" s="151"/>
      <c r="C117" s="151"/>
      <c r="D117" s="151"/>
      <c r="E117" s="151"/>
      <c r="F117" s="151"/>
    </row>
    <row r="118" spans="1:6" x14ac:dyDescent="0.25">
      <c r="A118" s="151"/>
      <c r="B118" s="151"/>
      <c r="C118" s="151"/>
      <c r="D118" s="151"/>
      <c r="E118" s="151"/>
      <c r="F118" s="151"/>
    </row>
    <row r="119" spans="1:6" x14ac:dyDescent="0.25">
      <c r="A119" s="151"/>
      <c r="B119" s="151"/>
      <c r="C119" s="151"/>
      <c r="D119" s="151"/>
      <c r="E119" s="151"/>
      <c r="F119" s="151"/>
    </row>
    <row r="120" spans="1:6" x14ac:dyDescent="0.25">
      <c r="A120" s="151"/>
      <c r="B120" s="151"/>
      <c r="C120" s="151"/>
      <c r="D120" s="151"/>
      <c r="E120" s="151"/>
      <c r="F120" s="151"/>
    </row>
    <row r="121" spans="1:6" x14ac:dyDescent="0.25">
      <c r="A121" s="151"/>
      <c r="B121" s="151"/>
      <c r="C121" s="151"/>
      <c r="D121" s="151"/>
      <c r="E121" s="151"/>
      <c r="F121" s="151"/>
    </row>
    <row r="122" spans="1:6" x14ac:dyDescent="0.25">
      <c r="A122" s="151"/>
      <c r="B122" s="151"/>
      <c r="C122" s="151"/>
      <c r="D122" s="151"/>
      <c r="E122" s="151"/>
      <c r="F122" s="151"/>
    </row>
    <row r="123" spans="1:6" x14ac:dyDescent="0.25">
      <c r="A123" s="151"/>
      <c r="B123" s="151"/>
      <c r="C123" s="151"/>
      <c r="D123" s="151"/>
      <c r="E123" s="151"/>
      <c r="F123" s="151"/>
    </row>
    <row r="124" spans="1:6" x14ac:dyDescent="0.25">
      <c r="A124" s="151"/>
      <c r="B124" s="151"/>
      <c r="C124" s="151"/>
      <c r="D124" s="151"/>
      <c r="E124" s="151"/>
      <c r="F124" s="151"/>
    </row>
    <row r="125" spans="1:6" x14ac:dyDescent="0.25">
      <c r="A125" s="151"/>
      <c r="B125" s="151"/>
      <c r="C125" s="151"/>
      <c r="D125" s="151"/>
      <c r="E125" s="151"/>
      <c r="F125" s="151"/>
    </row>
    <row r="126" spans="1:6" x14ac:dyDescent="0.25">
      <c r="A126" s="151"/>
      <c r="B126" s="151"/>
      <c r="C126" s="151"/>
      <c r="D126" s="151"/>
      <c r="E126" s="151"/>
      <c r="F126" s="151"/>
    </row>
    <row r="127" spans="1:6" x14ac:dyDescent="0.25">
      <c r="A127" s="151"/>
      <c r="B127" s="151"/>
      <c r="C127" s="151"/>
      <c r="D127" s="151"/>
      <c r="E127" s="151"/>
      <c r="F127" s="151"/>
    </row>
    <row r="128" spans="1:6" x14ac:dyDescent="0.25">
      <c r="A128" s="151"/>
      <c r="B128" s="151"/>
      <c r="C128" s="151"/>
      <c r="D128" s="151"/>
      <c r="E128" s="151"/>
      <c r="F128" s="151"/>
    </row>
    <row r="129" spans="1:6" x14ac:dyDescent="0.25">
      <c r="A129" s="151"/>
      <c r="B129" s="151"/>
      <c r="C129" s="151"/>
      <c r="D129" s="151"/>
      <c r="E129" s="151"/>
      <c r="F129" s="151"/>
    </row>
    <row r="130" spans="1:6" x14ac:dyDescent="0.25">
      <c r="A130" s="151"/>
      <c r="B130" s="151"/>
      <c r="C130" s="151"/>
      <c r="D130" s="151"/>
      <c r="E130" s="151"/>
      <c r="F130" s="151"/>
    </row>
    <row r="131" spans="1:6" x14ac:dyDescent="0.25">
      <c r="A131" s="151"/>
      <c r="B131" s="151"/>
      <c r="C131" s="151"/>
      <c r="D131" s="151"/>
      <c r="E131" s="151"/>
      <c r="F131" s="151"/>
    </row>
    <row r="132" spans="1:6" x14ac:dyDescent="0.25">
      <c r="A132" s="151"/>
      <c r="B132" s="151"/>
      <c r="C132" s="151"/>
      <c r="D132" s="151"/>
      <c r="E132" s="151"/>
      <c r="F132" s="151"/>
    </row>
    <row r="133" spans="1:6" x14ac:dyDescent="0.25">
      <c r="A133" s="151"/>
      <c r="B133" s="151"/>
      <c r="C133" s="151"/>
      <c r="D133" s="151"/>
      <c r="E133" s="151"/>
      <c r="F133" s="151"/>
    </row>
    <row r="134" spans="1:6" x14ac:dyDescent="0.25">
      <c r="A134" s="151"/>
      <c r="B134" s="151"/>
      <c r="C134" s="151"/>
      <c r="D134" s="151"/>
      <c r="E134" s="151"/>
      <c r="F134" s="151"/>
    </row>
    <row r="135" spans="1:6" x14ac:dyDescent="0.25">
      <c r="A135" s="151"/>
      <c r="B135" s="151"/>
      <c r="C135" s="151"/>
      <c r="D135" s="151"/>
      <c r="E135" s="151"/>
      <c r="F135" s="151"/>
    </row>
    <row r="136" spans="1:6" x14ac:dyDescent="0.25">
      <c r="A136" s="151"/>
      <c r="B136" s="151"/>
      <c r="C136" s="151"/>
      <c r="D136" s="151"/>
      <c r="E136" s="151"/>
      <c r="F136" s="151"/>
    </row>
    <row r="137" spans="1:6" x14ac:dyDescent="0.25">
      <c r="A137" s="151"/>
      <c r="B137" s="151"/>
      <c r="C137" s="151"/>
      <c r="D137" s="151"/>
      <c r="E137" s="151"/>
      <c r="F137" s="151"/>
    </row>
    <row r="138" spans="1:6" x14ac:dyDescent="0.25">
      <c r="A138" s="151"/>
      <c r="B138" s="151"/>
      <c r="C138" s="151"/>
      <c r="D138" s="151"/>
      <c r="E138" s="151"/>
      <c r="F138" s="151"/>
    </row>
    <row r="139" spans="1:6" x14ac:dyDescent="0.25">
      <c r="A139" s="151"/>
      <c r="B139" s="151"/>
      <c r="C139" s="151"/>
      <c r="D139" s="151"/>
      <c r="E139" s="151"/>
      <c r="F139" s="151"/>
    </row>
    <row r="140" spans="1:6" x14ac:dyDescent="0.25">
      <c r="A140" s="151"/>
      <c r="B140" s="151"/>
      <c r="C140" s="151"/>
      <c r="D140" s="151"/>
      <c r="E140" s="151"/>
      <c r="F140" s="151"/>
    </row>
    <row r="141" spans="1:6" x14ac:dyDescent="0.25">
      <c r="A141" s="151"/>
      <c r="B141" s="151"/>
      <c r="C141" s="151"/>
      <c r="D141" s="151"/>
      <c r="E141" s="151"/>
      <c r="F141" s="151"/>
    </row>
    <row r="142" spans="1:6" x14ac:dyDescent="0.25">
      <c r="A142" s="151"/>
      <c r="B142" s="151"/>
      <c r="C142" s="151"/>
      <c r="D142" s="151"/>
      <c r="E142" s="151"/>
      <c r="F142" s="151"/>
    </row>
    <row r="143" spans="1:6" x14ac:dyDescent="0.25">
      <c r="A143" s="151"/>
      <c r="B143" s="151"/>
      <c r="C143" s="151"/>
      <c r="D143" s="151"/>
      <c r="E143" s="151"/>
      <c r="F143" s="151"/>
    </row>
    <row r="144" spans="1:6" x14ac:dyDescent="0.25">
      <c r="A144" s="151"/>
      <c r="B144" s="151"/>
      <c r="C144" s="151"/>
      <c r="D144" s="151"/>
      <c r="E144" s="151"/>
      <c r="F144" s="151"/>
    </row>
    <row r="145" spans="1:6" x14ac:dyDescent="0.25">
      <c r="A145" s="151"/>
      <c r="B145" s="151"/>
      <c r="C145" s="151"/>
      <c r="D145" s="151"/>
      <c r="E145" s="151"/>
      <c r="F145" s="151"/>
    </row>
    <row r="146" spans="1:6" x14ac:dyDescent="0.25">
      <c r="A146" s="151"/>
      <c r="B146" s="151"/>
      <c r="C146" s="151"/>
      <c r="D146" s="151"/>
      <c r="E146" s="151"/>
      <c r="F146" s="151"/>
    </row>
    <row r="147" spans="1:6" x14ac:dyDescent="0.25">
      <c r="A147" s="151"/>
      <c r="B147" s="151"/>
      <c r="C147" s="151"/>
      <c r="D147" s="151"/>
      <c r="E147" s="151"/>
      <c r="F147" s="151"/>
    </row>
    <row r="148" spans="1:6" x14ac:dyDescent="0.25">
      <c r="A148" s="151"/>
      <c r="B148" s="151"/>
      <c r="C148" s="151"/>
      <c r="D148" s="151"/>
      <c r="E148" s="151"/>
      <c r="F148" s="151"/>
    </row>
    <row r="149" spans="1:6" x14ac:dyDescent="0.25">
      <c r="A149" s="151"/>
      <c r="B149" s="151"/>
      <c r="C149" s="151"/>
      <c r="D149" s="151"/>
      <c r="E149" s="151"/>
      <c r="F149" s="151"/>
    </row>
    <row r="150" spans="1:6" x14ac:dyDescent="0.25">
      <c r="A150" s="151"/>
      <c r="B150" s="151"/>
      <c r="C150" s="151"/>
      <c r="D150" s="151"/>
      <c r="E150" s="151"/>
      <c r="F150" s="151"/>
    </row>
    <row r="151" spans="1:6" x14ac:dyDescent="0.25">
      <c r="A151" s="151"/>
      <c r="B151" s="151"/>
      <c r="C151" s="151"/>
      <c r="D151" s="151"/>
      <c r="E151" s="151"/>
      <c r="F151" s="151"/>
    </row>
    <row r="152" spans="1:6" x14ac:dyDescent="0.25">
      <c r="A152" s="151"/>
      <c r="B152" s="151"/>
      <c r="C152" s="151"/>
      <c r="D152" s="151"/>
      <c r="E152" s="151"/>
      <c r="F152" s="151"/>
    </row>
    <row r="153" spans="1:6" x14ac:dyDescent="0.25">
      <c r="A153" s="151"/>
      <c r="B153" s="151"/>
      <c r="C153" s="151"/>
      <c r="D153" s="151"/>
      <c r="E153" s="151"/>
      <c r="F153" s="151"/>
    </row>
    <row r="154" spans="1:6" x14ac:dyDescent="0.25">
      <c r="A154" s="151"/>
      <c r="B154" s="151"/>
      <c r="C154" s="151"/>
      <c r="D154" s="151"/>
      <c r="E154" s="151"/>
      <c r="F154" s="151"/>
    </row>
    <row r="155" spans="1:6" x14ac:dyDescent="0.25">
      <c r="A155" s="151"/>
      <c r="B155" s="151"/>
      <c r="C155" s="151"/>
      <c r="D155" s="151"/>
      <c r="E155" s="151"/>
      <c r="F155" s="151"/>
    </row>
    <row r="156" spans="1:6" x14ac:dyDescent="0.25">
      <c r="A156" s="151"/>
      <c r="B156" s="151"/>
      <c r="C156" s="151"/>
      <c r="D156" s="151"/>
      <c r="E156" s="151"/>
      <c r="F156" s="151"/>
    </row>
    <row r="157" spans="1:6" x14ac:dyDescent="0.25">
      <c r="A157" s="151"/>
      <c r="B157" s="151"/>
      <c r="C157" s="151"/>
      <c r="D157" s="151"/>
      <c r="E157" s="151"/>
      <c r="F157" s="151"/>
    </row>
    <row r="158" spans="1:6" x14ac:dyDescent="0.25">
      <c r="A158" s="151"/>
      <c r="B158" s="151"/>
      <c r="C158" s="151"/>
      <c r="D158" s="151"/>
      <c r="E158" s="151"/>
      <c r="F158" s="151"/>
    </row>
    <row r="159" spans="1:6" x14ac:dyDescent="0.25">
      <c r="A159" s="151"/>
      <c r="B159" s="151"/>
      <c r="C159" s="151"/>
      <c r="D159" s="151"/>
      <c r="E159" s="151"/>
      <c r="F159" s="151"/>
    </row>
    <row r="160" spans="1:6" x14ac:dyDescent="0.25">
      <c r="A160" s="151"/>
      <c r="B160" s="151"/>
      <c r="C160" s="151"/>
      <c r="D160" s="151"/>
      <c r="E160" s="151"/>
      <c r="F160" s="151"/>
    </row>
    <row r="161" spans="1:6" x14ac:dyDescent="0.25">
      <c r="A161" s="151"/>
      <c r="B161" s="151"/>
      <c r="C161" s="151"/>
      <c r="D161" s="151"/>
      <c r="E161" s="151"/>
      <c r="F161" s="151"/>
    </row>
    <row r="162" spans="1:6" x14ac:dyDescent="0.25">
      <c r="A162" s="151"/>
      <c r="B162" s="151"/>
      <c r="C162" s="151"/>
      <c r="D162" s="151"/>
      <c r="E162" s="151"/>
      <c r="F162" s="151"/>
    </row>
    <row r="163" spans="1:6" x14ac:dyDescent="0.25">
      <c r="A163" s="151"/>
      <c r="B163" s="151"/>
      <c r="C163" s="151"/>
      <c r="D163" s="151"/>
      <c r="E163" s="151"/>
      <c r="F163" s="151"/>
    </row>
    <row r="164" spans="1:6" x14ac:dyDescent="0.25">
      <c r="A164" s="151"/>
      <c r="B164" s="151"/>
      <c r="C164" s="151"/>
      <c r="D164" s="151"/>
      <c r="E164" s="151"/>
      <c r="F164" s="151"/>
    </row>
    <row r="165" spans="1:6" x14ac:dyDescent="0.25">
      <c r="A165" s="151"/>
      <c r="B165" s="151"/>
      <c r="C165" s="151"/>
      <c r="D165" s="151"/>
      <c r="E165" s="151"/>
      <c r="F165" s="151"/>
    </row>
    <row r="166" spans="1:6" x14ac:dyDescent="0.25">
      <c r="A166" s="151"/>
      <c r="B166" s="151"/>
      <c r="C166" s="151"/>
      <c r="D166" s="151"/>
      <c r="E166" s="151"/>
      <c r="F166" s="151"/>
    </row>
    <row r="167" spans="1:6" x14ac:dyDescent="0.25">
      <c r="A167" s="151"/>
      <c r="B167" s="151"/>
      <c r="C167" s="151"/>
      <c r="D167" s="151"/>
      <c r="E167" s="151"/>
      <c r="F167" s="151"/>
    </row>
    <row r="168" spans="1:6" x14ac:dyDescent="0.25">
      <c r="A168" s="151"/>
      <c r="B168" s="151"/>
      <c r="C168" s="151"/>
      <c r="D168" s="151"/>
      <c r="E168" s="151"/>
      <c r="F168" s="151"/>
    </row>
    <row r="169" spans="1:6" x14ac:dyDescent="0.25">
      <c r="A169" s="151"/>
      <c r="B169" s="151"/>
      <c r="C169" s="151"/>
      <c r="D169" s="151"/>
      <c r="E169" s="151"/>
      <c r="F169" s="151"/>
    </row>
    <row r="170" spans="1:6" x14ac:dyDescent="0.25">
      <c r="A170" s="151"/>
      <c r="B170" s="151"/>
      <c r="C170" s="151"/>
      <c r="D170" s="151"/>
      <c r="E170" s="151"/>
      <c r="F170" s="151"/>
    </row>
    <row r="171" spans="1:6" x14ac:dyDescent="0.25">
      <c r="A171" s="151"/>
      <c r="B171" s="151"/>
      <c r="C171" s="151"/>
      <c r="D171" s="151"/>
      <c r="E171" s="151"/>
      <c r="F171" s="151"/>
    </row>
    <row r="172" spans="1:6" x14ac:dyDescent="0.25">
      <c r="A172" s="151"/>
      <c r="B172" s="151"/>
      <c r="C172" s="151"/>
      <c r="D172" s="151"/>
      <c r="E172" s="151"/>
      <c r="F172" s="151"/>
    </row>
    <row r="173" spans="1:6" x14ac:dyDescent="0.25">
      <c r="A173" s="151"/>
      <c r="B173" s="151"/>
      <c r="C173" s="151"/>
      <c r="D173" s="151"/>
      <c r="E173" s="151"/>
      <c r="F173" s="151"/>
    </row>
    <row r="174" spans="1:6" x14ac:dyDescent="0.25">
      <c r="A174" s="151"/>
      <c r="B174" s="151"/>
      <c r="C174" s="151"/>
      <c r="D174" s="151"/>
      <c r="E174" s="151"/>
      <c r="F174" s="151"/>
    </row>
    <row r="175" spans="1:6" x14ac:dyDescent="0.25">
      <c r="A175" s="151"/>
      <c r="B175" s="151"/>
      <c r="C175" s="151"/>
      <c r="D175" s="151"/>
      <c r="E175" s="151"/>
      <c r="F175" s="151"/>
    </row>
    <row r="176" spans="1:6" x14ac:dyDescent="0.25">
      <c r="A176" s="151"/>
      <c r="B176" s="151"/>
      <c r="C176" s="151"/>
      <c r="D176" s="151"/>
      <c r="E176" s="151"/>
      <c r="F176" s="151"/>
    </row>
    <row r="177" spans="1:6" x14ac:dyDescent="0.25">
      <c r="A177" s="151"/>
      <c r="B177" s="151"/>
      <c r="C177" s="151"/>
      <c r="D177" s="151"/>
      <c r="E177" s="151"/>
      <c r="F177" s="151"/>
    </row>
    <row r="178" spans="1:6" x14ac:dyDescent="0.25">
      <c r="A178" s="151"/>
      <c r="B178" s="151"/>
      <c r="C178" s="151"/>
      <c r="D178" s="151"/>
      <c r="E178" s="151"/>
      <c r="F178" s="151"/>
    </row>
    <row r="179" spans="1:6" x14ac:dyDescent="0.25">
      <c r="A179" s="151"/>
      <c r="B179" s="151"/>
      <c r="C179" s="151"/>
      <c r="D179" s="151"/>
      <c r="E179" s="151"/>
      <c r="F179" s="151"/>
    </row>
    <row r="180" spans="1:6" x14ac:dyDescent="0.25">
      <c r="A180" s="151"/>
      <c r="B180" s="151"/>
      <c r="C180" s="151"/>
      <c r="D180" s="151"/>
      <c r="E180" s="151"/>
      <c r="F180" s="151"/>
    </row>
    <row r="181" spans="1:6" x14ac:dyDescent="0.25">
      <c r="A181" s="151"/>
      <c r="B181" s="151"/>
      <c r="C181" s="151"/>
      <c r="D181" s="151"/>
      <c r="E181" s="151"/>
      <c r="F181" s="151"/>
    </row>
    <row r="182" spans="1:6" x14ac:dyDescent="0.25">
      <c r="A182" s="151"/>
      <c r="B182" s="151"/>
      <c r="C182" s="151"/>
      <c r="D182" s="151"/>
      <c r="E182" s="151"/>
      <c r="F182" s="151"/>
    </row>
    <row r="183" spans="1:6" x14ac:dyDescent="0.25">
      <c r="A183" s="151"/>
      <c r="B183" s="151"/>
      <c r="C183" s="151"/>
      <c r="D183" s="151"/>
      <c r="E183" s="151"/>
      <c r="F183" s="151"/>
    </row>
    <row r="184" spans="1:6" x14ac:dyDescent="0.25">
      <c r="A184" s="151"/>
      <c r="B184" s="151"/>
      <c r="C184" s="151"/>
      <c r="D184" s="151"/>
      <c r="E184" s="151"/>
      <c r="F184" s="151"/>
    </row>
    <row r="185" spans="1:6" x14ac:dyDescent="0.25">
      <c r="A185" s="151"/>
      <c r="B185" s="151"/>
      <c r="C185" s="151"/>
      <c r="D185" s="151"/>
      <c r="E185" s="151"/>
      <c r="F185" s="151"/>
    </row>
    <row r="186" spans="1:6" x14ac:dyDescent="0.25">
      <c r="A186" s="151"/>
      <c r="B186" s="151"/>
      <c r="C186" s="151"/>
      <c r="D186" s="151"/>
      <c r="E186" s="151"/>
      <c r="F186" s="151"/>
    </row>
    <row r="187" spans="1:6" x14ac:dyDescent="0.25">
      <c r="A187" s="151"/>
      <c r="B187" s="151"/>
      <c r="C187" s="151"/>
      <c r="D187" s="151"/>
      <c r="E187" s="151"/>
      <c r="F187" s="151"/>
    </row>
    <row r="188" spans="1:6" x14ac:dyDescent="0.25">
      <c r="A188" s="151"/>
      <c r="B188" s="151"/>
      <c r="C188" s="151"/>
      <c r="D188" s="151"/>
      <c r="E188" s="151"/>
      <c r="F188" s="151"/>
    </row>
    <row r="189" spans="1:6" x14ac:dyDescent="0.25">
      <c r="A189" s="151"/>
      <c r="B189" s="151"/>
      <c r="C189" s="151"/>
      <c r="D189" s="151"/>
      <c r="E189" s="151"/>
      <c r="F189" s="151"/>
    </row>
    <row r="190" spans="1:6" x14ac:dyDescent="0.25">
      <c r="A190" s="151"/>
      <c r="B190" s="151"/>
      <c r="C190" s="151"/>
      <c r="D190" s="151"/>
      <c r="E190" s="151"/>
      <c r="F190" s="151"/>
    </row>
    <row r="191" spans="1:6" x14ac:dyDescent="0.25">
      <c r="A191" s="151"/>
      <c r="B191" s="151"/>
      <c r="C191" s="151"/>
      <c r="D191" s="151"/>
      <c r="E191" s="151"/>
      <c r="F191" s="151"/>
    </row>
    <row r="192" spans="1:6" x14ac:dyDescent="0.25">
      <c r="A192" s="151"/>
      <c r="B192" s="151"/>
      <c r="C192" s="151"/>
      <c r="D192" s="151"/>
      <c r="E192" s="151"/>
      <c r="F192" s="151"/>
    </row>
    <row r="193" spans="1:6" x14ac:dyDescent="0.25">
      <c r="A193" s="151"/>
      <c r="B193" s="151"/>
      <c r="C193" s="151"/>
      <c r="D193" s="151"/>
      <c r="E193" s="151"/>
      <c r="F193" s="151"/>
    </row>
    <row r="194" spans="1:6" x14ac:dyDescent="0.25">
      <c r="A194" s="151"/>
      <c r="B194" s="151"/>
      <c r="C194" s="151"/>
      <c r="D194" s="151"/>
      <c r="E194" s="151"/>
      <c r="F194" s="151"/>
    </row>
    <row r="195" spans="1:6" x14ac:dyDescent="0.25">
      <c r="A195" s="151"/>
      <c r="B195" s="151"/>
      <c r="C195" s="151"/>
      <c r="D195" s="151"/>
      <c r="E195" s="151"/>
      <c r="F195" s="151"/>
    </row>
    <row r="196" spans="1:6" x14ac:dyDescent="0.25">
      <c r="A196" s="151"/>
      <c r="B196" s="151"/>
      <c r="C196" s="151"/>
      <c r="D196" s="151"/>
      <c r="E196" s="151"/>
      <c r="F196" s="151"/>
    </row>
    <row r="197" spans="1:6" x14ac:dyDescent="0.25">
      <c r="A197" s="151"/>
      <c r="B197" s="151"/>
      <c r="C197" s="151"/>
      <c r="D197" s="151"/>
      <c r="E197" s="151"/>
      <c r="F197" s="151"/>
    </row>
    <row r="198" spans="1:6" x14ac:dyDescent="0.25">
      <c r="A198" s="151"/>
      <c r="B198" s="151"/>
      <c r="C198" s="151"/>
      <c r="D198" s="151"/>
      <c r="E198" s="151"/>
      <c r="F198" s="151"/>
    </row>
    <row r="199" spans="1:6" x14ac:dyDescent="0.25">
      <c r="A199" s="151"/>
      <c r="B199" s="151"/>
      <c r="C199" s="151"/>
      <c r="D199" s="151"/>
      <c r="E199" s="151"/>
      <c r="F199" s="151"/>
    </row>
    <row r="200" spans="1:6" x14ac:dyDescent="0.25">
      <c r="A200" s="151"/>
      <c r="B200" s="151"/>
      <c r="C200" s="151"/>
      <c r="D200" s="151"/>
      <c r="E200" s="151"/>
      <c r="F200" s="151"/>
    </row>
    <row r="201" spans="1:6" x14ac:dyDescent="0.25">
      <c r="A201" s="151"/>
      <c r="B201" s="151"/>
      <c r="C201" s="151"/>
      <c r="D201" s="151"/>
      <c r="E201" s="151"/>
      <c r="F201" s="151"/>
    </row>
    <row r="202" spans="1:6" x14ac:dyDescent="0.25">
      <c r="A202" s="151"/>
      <c r="B202" s="151"/>
      <c r="C202" s="151"/>
      <c r="D202" s="151"/>
      <c r="E202" s="151"/>
      <c r="F202" s="151"/>
    </row>
    <row r="203" spans="1:6" x14ac:dyDescent="0.25">
      <c r="A203" s="151"/>
      <c r="B203" s="151"/>
      <c r="C203" s="151"/>
      <c r="D203" s="151"/>
      <c r="E203" s="151"/>
      <c r="F203" s="151"/>
    </row>
    <row r="204" spans="1:6" x14ac:dyDescent="0.25">
      <c r="A204" s="151"/>
      <c r="B204" s="151"/>
      <c r="C204" s="151"/>
      <c r="D204" s="151"/>
      <c r="E204" s="151"/>
      <c r="F204" s="151"/>
    </row>
    <row r="205" spans="1:6" x14ac:dyDescent="0.25">
      <c r="A205" s="151"/>
      <c r="B205" s="151"/>
      <c r="C205" s="151"/>
      <c r="D205" s="151"/>
      <c r="E205" s="151"/>
      <c r="F205" s="151"/>
    </row>
    <row r="206" spans="1:6" x14ac:dyDescent="0.25">
      <c r="A206" s="151"/>
      <c r="B206" s="151"/>
      <c r="C206" s="151"/>
      <c r="D206" s="151"/>
      <c r="E206" s="151"/>
      <c r="F206" s="151"/>
    </row>
    <row r="207" spans="1:6" x14ac:dyDescent="0.25">
      <c r="A207" s="151"/>
      <c r="B207" s="151"/>
      <c r="C207" s="151"/>
      <c r="D207" s="151"/>
      <c r="E207" s="151"/>
      <c r="F207" s="151"/>
    </row>
    <row r="208" spans="1:6" x14ac:dyDescent="0.25">
      <c r="A208" s="151"/>
      <c r="B208" s="151"/>
      <c r="C208" s="151"/>
      <c r="D208" s="151"/>
      <c r="E208" s="151"/>
      <c r="F208" s="151"/>
    </row>
    <row r="209" spans="1:6" x14ac:dyDescent="0.25">
      <c r="A209" s="151"/>
      <c r="B209" s="151"/>
      <c r="C209" s="151"/>
      <c r="D209" s="151"/>
      <c r="E209" s="151"/>
      <c r="F209" s="151"/>
    </row>
    <row r="210" spans="1:6" x14ac:dyDescent="0.25">
      <c r="A210" s="151"/>
      <c r="B210" s="151"/>
      <c r="C210" s="151"/>
      <c r="D210" s="151"/>
      <c r="E210" s="151"/>
      <c r="F210" s="151"/>
    </row>
    <row r="211" spans="1:6" x14ac:dyDescent="0.25">
      <c r="A211" s="151"/>
      <c r="B211" s="151"/>
      <c r="C211" s="151"/>
      <c r="D211" s="151"/>
      <c r="E211" s="151"/>
      <c r="F211" s="151"/>
    </row>
    <row r="212" spans="1:6" x14ac:dyDescent="0.25">
      <c r="A212" s="151"/>
      <c r="B212" s="151"/>
      <c r="C212" s="151"/>
      <c r="D212" s="151"/>
      <c r="E212" s="151"/>
      <c r="F212" s="151"/>
    </row>
    <row r="213" spans="1:6" x14ac:dyDescent="0.25">
      <c r="A213" s="151"/>
      <c r="B213" s="151"/>
      <c r="C213" s="151"/>
      <c r="D213" s="151"/>
      <c r="E213" s="151"/>
      <c r="F213" s="151"/>
    </row>
    <row r="214" spans="1:6" x14ac:dyDescent="0.25">
      <c r="A214" s="151"/>
      <c r="B214" s="151"/>
      <c r="C214" s="151"/>
      <c r="D214" s="151"/>
      <c r="E214" s="151"/>
      <c r="F214" s="151"/>
    </row>
    <row r="215" spans="1:6" x14ac:dyDescent="0.25">
      <c r="A215" s="151"/>
      <c r="B215" s="151"/>
      <c r="C215" s="151"/>
      <c r="D215" s="151"/>
      <c r="E215" s="151"/>
      <c r="F215" s="151"/>
    </row>
    <row r="216" spans="1:6" x14ac:dyDescent="0.25">
      <c r="A216" s="151"/>
      <c r="B216" s="151"/>
      <c r="C216" s="151"/>
      <c r="D216" s="151"/>
      <c r="E216" s="151"/>
      <c r="F216" s="151"/>
    </row>
    <row r="217" spans="1:6" x14ac:dyDescent="0.25">
      <c r="A217" s="151"/>
      <c r="B217" s="151"/>
      <c r="C217" s="151"/>
      <c r="D217" s="151"/>
      <c r="E217" s="151"/>
      <c r="F217" s="151"/>
    </row>
    <row r="218" spans="1:6" x14ac:dyDescent="0.25">
      <c r="A218" s="151"/>
      <c r="B218" s="151"/>
      <c r="C218" s="151"/>
      <c r="D218" s="151"/>
      <c r="E218" s="151"/>
      <c r="F218" s="151"/>
    </row>
    <row r="219" spans="1:6" x14ac:dyDescent="0.25">
      <c r="A219" s="151"/>
      <c r="B219" s="151"/>
      <c r="C219" s="151"/>
      <c r="D219" s="151"/>
      <c r="E219" s="151"/>
      <c r="F219" s="151"/>
    </row>
    <row r="220" spans="1:6" x14ac:dyDescent="0.25">
      <c r="A220" s="151"/>
      <c r="B220" s="151"/>
      <c r="C220" s="151"/>
      <c r="D220" s="151"/>
      <c r="E220" s="151"/>
      <c r="F220" s="151"/>
    </row>
    <row r="221" spans="1:6" x14ac:dyDescent="0.25">
      <c r="A221" s="151"/>
      <c r="B221" s="151"/>
      <c r="C221" s="151"/>
      <c r="D221" s="151"/>
      <c r="E221" s="151"/>
      <c r="F221" s="151"/>
    </row>
    <row r="222" spans="1:6" x14ac:dyDescent="0.25">
      <c r="A222" s="151"/>
      <c r="B222" s="151"/>
      <c r="C222" s="151"/>
      <c r="D222" s="151"/>
      <c r="E222" s="151"/>
      <c r="F222" s="151"/>
    </row>
    <row r="223" spans="1:6" x14ac:dyDescent="0.25">
      <c r="A223" s="151"/>
      <c r="B223" s="151"/>
      <c r="C223" s="151"/>
      <c r="D223" s="151"/>
      <c r="E223" s="151"/>
      <c r="F223" s="151"/>
    </row>
    <row r="224" spans="1:6" x14ac:dyDescent="0.25">
      <c r="A224" s="151"/>
      <c r="B224" s="151"/>
      <c r="C224" s="151"/>
      <c r="D224" s="151"/>
      <c r="E224" s="151"/>
      <c r="F224" s="151"/>
    </row>
    <row r="225" spans="1:6" x14ac:dyDescent="0.25">
      <c r="A225" s="151"/>
      <c r="B225" s="151"/>
      <c r="C225" s="151"/>
      <c r="D225" s="151"/>
      <c r="E225" s="151"/>
      <c r="F225" s="151"/>
    </row>
    <row r="226" spans="1:6" x14ac:dyDescent="0.25">
      <c r="A226" s="151"/>
      <c r="B226" s="151"/>
      <c r="C226" s="151"/>
      <c r="D226" s="151"/>
      <c r="E226" s="151"/>
      <c r="F226" s="151"/>
    </row>
    <row r="227" spans="1:6" x14ac:dyDescent="0.25">
      <c r="A227" s="151"/>
      <c r="B227" s="151"/>
      <c r="C227" s="151"/>
      <c r="D227" s="151"/>
      <c r="E227" s="151"/>
      <c r="F227" s="151"/>
    </row>
    <row r="228" spans="1:6" x14ac:dyDescent="0.25">
      <c r="A228" s="151"/>
      <c r="B228" s="151"/>
      <c r="C228" s="151"/>
      <c r="D228" s="151"/>
      <c r="E228" s="151"/>
      <c r="F228" s="151"/>
    </row>
    <row r="229" spans="1:6" x14ac:dyDescent="0.25">
      <c r="A229" s="151"/>
      <c r="B229" s="151"/>
      <c r="C229" s="151"/>
      <c r="D229" s="151"/>
      <c r="E229" s="151"/>
      <c r="F229" s="151"/>
    </row>
    <row r="230" spans="1:6" x14ac:dyDescent="0.25">
      <c r="A230" s="151"/>
      <c r="B230" s="151"/>
      <c r="C230" s="151"/>
      <c r="D230" s="151"/>
      <c r="E230" s="151"/>
      <c r="F230" s="151"/>
    </row>
    <row r="231" spans="1:6" x14ac:dyDescent="0.25">
      <c r="A231" s="151"/>
      <c r="B231" s="151"/>
      <c r="C231" s="151"/>
      <c r="D231" s="151"/>
      <c r="E231" s="151"/>
      <c r="F231" s="151"/>
    </row>
    <row r="232" spans="1:6" x14ac:dyDescent="0.25">
      <c r="A232" s="151"/>
      <c r="B232" s="151"/>
      <c r="C232" s="151"/>
      <c r="D232" s="151"/>
      <c r="E232" s="151"/>
      <c r="F232" s="151"/>
    </row>
    <row r="233" spans="1:6" x14ac:dyDescent="0.25">
      <c r="A233" s="151"/>
      <c r="B233" s="151"/>
      <c r="C233" s="151"/>
      <c r="D233" s="151"/>
      <c r="E233" s="151"/>
      <c r="F233" s="151"/>
    </row>
    <row r="234" spans="1:6" x14ac:dyDescent="0.25">
      <c r="A234" s="151"/>
      <c r="B234" s="151"/>
      <c r="C234" s="151"/>
      <c r="D234" s="151"/>
      <c r="E234" s="151"/>
      <c r="F234" s="151"/>
    </row>
    <row r="235" spans="1:6" x14ac:dyDescent="0.25">
      <c r="A235" s="151"/>
      <c r="B235" s="151"/>
      <c r="C235" s="151"/>
      <c r="D235" s="151"/>
      <c r="E235" s="151"/>
      <c r="F235" s="151"/>
    </row>
    <row r="236" spans="1:6" x14ac:dyDescent="0.25">
      <c r="A236" s="151"/>
      <c r="B236" s="151"/>
      <c r="C236" s="151"/>
      <c r="D236" s="151"/>
      <c r="E236" s="151"/>
      <c r="F236" s="151"/>
    </row>
    <row r="237" spans="1:6" x14ac:dyDescent="0.25">
      <c r="A237" s="151"/>
      <c r="B237" s="151"/>
      <c r="C237" s="151"/>
      <c r="D237" s="151"/>
      <c r="E237" s="151"/>
      <c r="F237" s="151"/>
    </row>
    <row r="238" spans="1:6" x14ac:dyDescent="0.25">
      <c r="A238" s="151"/>
      <c r="B238" s="151"/>
      <c r="C238" s="151"/>
      <c r="D238" s="151"/>
      <c r="E238" s="151"/>
      <c r="F238" s="151"/>
    </row>
    <row r="239" spans="1:6" x14ac:dyDescent="0.25">
      <c r="A239" s="151"/>
      <c r="B239" s="151"/>
      <c r="C239" s="151"/>
      <c r="D239" s="151"/>
      <c r="E239" s="151"/>
      <c r="F239" s="151"/>
    </row>
    <row r="240" spans="1:6" x14ac:dyDescent="0.25">
      <c r="A240" s="151"/>
      <c r="B240" s="151"/>
      <c r="C240" s="151"/>
      <c r="D240" s="151"/>
      <c r="E240" s="151"/>
      <c r="F240" s="151"/>
    </row>
    <row r="241" spans="1:6" x14ac:dyDescent="0.25">
      <c r="A241" s="151"/>
      <c r="B241" s="151"/>
      <c r="C241" s="151"/>
      <c r="D241" s="151"/>
      <c r="E241" s="151"/>
      <c r="F241" s="151"/>
    </row>
    <row r="242" spans="1:6" x14ac:dyDescent="0.25">
      <c r="A242" s="151"/>
      <c r="B242" s="151"/>
      <c r="C242" s="151"/>
      <c r="D242" s="151"/>
      <c r="E242" s="151"/>
      <c r="F242" s="151"/>
    </row>
    <row r="243" spans="1:6" x14ac:dyDescent="0.25">
      <c r="A243" s="151"/>
      <c r="B243" s="151"/>
      <c r="C243" s="151"/>
      <c r="D243" s="151"/>
      <c r="E243" s="151"/>
      <c r="F243" s="151"/>
    </row>
    <row r="244" spans="1:6" x14ac:dyDescent="0.25">
      <c r="A244" s="151"/>
      <c r="B244" s="151"/>
      <c r="C244" s="151"/>
      <c r="D244" s="151"/>
      <c r="E244" s="151"/>
      <c r="F244" s="151"/>
    </row>
    <row r="245" spans="1:6" x14ac:dyDescent="0.25">
      <c r="A245" s="151"/>
      <c r="B245" s="151"/>
      <c r="C245" s="151"/>
      <c r="D245" s="151"/>
      <c r="E245" s="151"/>
      <c r="F245" s="151"/>
    </row>
    <row r="246" spans="1:6" x14ac:dyDescent="0.25">
      <c r="A246" s="151"/>
      <c r="B246" s="151"/>
      <c r="C246" s="151"/>
      <c r="D246" s="151"/>
      <c r="E246" s="151"/>
      <c r="F246" s="151"/>
    </row>
    <row r="247" spans="1:6" x14ac:dyDescent="0.25">
      <c r="A247" s="151"/>
      <c r="B247" s="151"/>
      <c r="C247" s="151"/>
      <c r="D247" s="151"/>
      <c r="E247" s="151"/>
      <c r="F247" s="151"/>
    </row>
    <row r="248" spans="1:6" x14ac:dyDescent="0.25">
      <c r="A248" s="151"/>
      <c r="B248" s="151"/>
      <c r="C248" s="151"/>
      <c r="D248" s="151"/>
      <c r="E248" s="151"/>
      <c r="F248" s="151"/>
    </row>
    <row r="249" spans="1:6" x14ac:dyDescent="0.25">
      <c r="A249" s="151"/>
      <c r="B249" s="151"/>
      <c r="C249" s="151"/>
      <c r="D249" s="151"/>
      <c r="E249" s="151"/>
      <c r="F249" s="151"/>
    </row>
    <row r="250" spans="1:6" x14ac:dyDescent="0.25">
      <c r="A250" s="151"/>
      <c r="B250" s="151"/>
      <c r="C250" s="151"/>
      <c r="D250" s="151"/>
      <c r="E250" s="151"/>
      <c r="F250" s="151"/>
    </row>
    <row r="251" spans="1:6" x14ac:dyDescent="0.25">
      <c r="A251" s="151"/>
      <c r="B251" s="151"/>
      <c r="C251" s="151"/>
      <c r="D251" s="151"/>
      <c r="E251" s="151"/>
      <c r="F251" s="151"/>
    </row>
    <row r="252" spans="1:6" x14ac:dyDescent="0.25">
      <c r="A252" s="151"/>
      <c r="B252" s="151"/>
      <c r="C252" s="151"/>
      <c r="D252" s="151"/>
      <c r="E252" s="151"/>
      <c r="F252" s="151"/>
    </row>
    <row r="253" spans="1:6" x14ac:dyDescent="0.25">
      <c r="A253" s="151"/>
      <c r="B253" s="151"/>
      <c r="C253" s="151"/>
      <c r="D253" s="151"/>
      <c r="E253" s="151"/>
      <c r="F253" s="151"/>
    </row>
    <row r="254" spans="1:6" x14ac:dyDescent="0.25">
      <c r="A254" s="151"/>
      <c r="B254" s="151"/>
      <c r="C254" s="151"/>
      <c r="D254" s="151"/>
      <c r="E254" s="151"/>
      <c r="F254" s="151"/>
    </row>
    <row r="255" spans="1:6" x14ac:dyDescent="0.25">
      <c r="A255" s="151"/>
      <c r="B255" s="151"/>
      <c r="C255" s="151"/>
      <c r="D255" s="151"/>
      <c r="E255" s="151"/>
      <c r="F255" s="151"/>
    </row>
    <row r="256" spans="1:6" x14ac:dyDescent="0.25">
      <c r="A256" s="151"/>
      <c r="B256" s="151"/>
      <c r="C256" s="151"/>
      <c r="D256" s="151"/>
      <c r="E256" s="151"/>
      <c r="F256" s="151"/>
    </row>
    <row r="257" spans="1:6" x14ac:dyDescent="0.25">
      <c r="A257" s="151"/>
      <c r="B257" s="151"/>
      <c r="C257" s="151"/>
      <c r="D257" s="151"/>
      <c r="E257" s="151"/>
      <c r="F257" s="151"/>
    </row>
    <row r="258" spans="1:6" x14ac:dyDescent="0.25">
      <c r="A258" s="151"/>
      <c r="B258" s="151"/>
      <c r="C258" s="151"/>
      <c r="D258" s="151"/>
      <c r="E258" s="151"/>
      <c r="F258" s="151"/>
    </row>
    <row r="259" spans="1:6" x14ac:dyDescent="0.25">
      <c r="A259" s="151"/>
      <c r="B259" s="151"/>
      <c r="C259" s="151"/>
      <c r="D259" s="151"/>
      <c r="E259" s="151"/>
      <c r="F259" s="151"/>
    </row>
    <row r="260" spans="1:6" x14ac:dyDescent="0.25">
      <c r="A260" s="151"/>
      <c r="B260" s="151"/>
      <c r="C260" s="151"/>
      <c r="D260" s="151"/>
      <c r="E260" s="151"/>
      <c r="F260" s="151"/>
    </row>
    <row r="261" spans="1:6" x14ac:dyDescent="0.25">
      <c r="A261" s="151"/>
      <c r="B261" s="151"/>
      <c r="C261" s="151"/>
      <c r="D261" s="151"/>
      <c r="E261" s="151"/>
      <c r="F261" s="151"/>
    </row>
    <row r="262" spans="1:6" x14ac:dyDescent="0.25">
      <c r="A262" s="151"/>
      <c r="B262" s="151"/>
      <c r="C262" s="151"/>
      <c r="D262" s="151"/>
      <c r="E262" s="151"/>
      <c r="F262" s="151"/>
    </row>
    <row r="263" spans="1:6" x14ac:dyDescent="0.25">
      <c r="A263" s="151"/>
      <c r="B263" s="151"/>
      <c r="C263" s="151"/>
      <c r="D263" s="151"/>
      <c r="E263" s="151"/>
      <c r="F263" s="151"/>
    </row>
    <row r="264" spans="1:6" x14ac:dyDescent="0.25">
      <c r="A264" s="151"/>
      <c r="B264" s="151"/>
      <c r="C264" s="151"/>
      <c r="D264" s="151"/>
      <c r="E264" s="151"/>
      <c r="F264" s="151"/>
    </row>
    <row r="265" spans="1:6" x14ac:dyDescent="0.25">
      <c r="A265" s="151"/>
      <c r="B265" s="151"/>
      <c r="C265" s="151"/>
      <c r="D265" s="151"/>
      <c r="E265" s="151"/>
      <c r="F265" s="151"/>
    </row>
    <row r="266" spans="1:6" x14ac:dyDescent="0.25">
      <c r="A266" s="151"/>
      <c r="B266" s="151"/>
      <c r="C266" s="151"/>
      <c r="D266" s="151"/>
      <c r="E266" s="151"/>
      <c r="F266" s="151"/>
    </row>
    <row r="267" spans="1:6" x14ac:dyDescent="0.25">
      <c r="A267" s="151"/>
      <c r="B267" s="151"/>
      <c r="C267" s="151"/>
      <c r="D267" s="151"/>
      <c r="E267" s="151"/>
      <c r="F267" s="151"/>
    </row>
    <row r="268" spans="1:6" x14ac:dyDescent="0.25">
      <c r="A268" s="151"/>
      <c r="B268" s="151"/>
      <c r="C268" s="151"/>
      <c r="D268" s="151"/>
      <c r="E268" s="151"/>
      <c r="F268" s="151"/>
    </row>
    <row r="269" spans="1:6" x14ac:dyDescent="0.25">
      <c r="A269" s="151"/>
      <c r="B269" s="151"/>
      <c r="C269" s="151"/>
      <c r="D269" s="151"/>
      <c r="E269" s="151"/>
      <c r="F269" s="151"/>
    </row>
    <row r="270" spans="1:6" x14ac:dyDescent="0.25">
      <c r="A270" s="151"/>
      <c r="B270" s="151"/>
      <c r="C270" s="151"/>
      <c r="D270" s="151"/>
      <c r="E270" s="151"/>
      <c r="F270" s="151"/>
    </row>
    <row r="271" spans="1:6" x14ac:dyDescent="0.25">
      <c r="A271" s="151"/>
      <c r="B271" s="151"/>
      <c r="C271" s="151"/>
      <c r="D271" s="151"/>
      <c r="E271" s="151"/>
      <c r="F271" s="151"/>
    </row>
    <row r="272" spans="1:6" x14ac:dyDescent="0.25">
      <c r="A272" s="151"/>
      <c r="B272" s="151"/>
      <c r="C272" s="151"/>
      <c r="D272" s="151"/>
      <c r="E272" s="151"/>
      <c r="F272" s="151"/>
    </row>
    <row r="273" spans="1:6" x14ac:dyDescent="0.25">
      <c r="A273" s="151"/>
      <c r="B273" s="151"/>
      <c r="C273" s="151"/>
      <c r="D273" s="151"/>
      <c r="E273" s="151"/>
      <c r="F273" s="151"/>
    </row>
    <row r="274" spans="1:6" x14ac:dyDescent="0.25">
      <c r="A274" s="151"/>
      <c r="B274" s="151"/>
      <c r="C274" s="151"/>
      <c r="D274" s="151"/>
      <c r="E274" s="151"/>
      <c r="F274" s="151"/>
    </row>
    <row r="275" spans="1:6" x14ac:dyDescent="0.25">
      <c r="A275" s="151"/>
      <c r="B275" s="151"/>
      <c r="C275" s="151"/>
      <c r="D275" s="151"/>
      <c r="E275" s="151"/>
      <c r="F275" s="151"/>
    </row>
    <row r="276" spans="1:6" x14ac:dyDescent="0.25">
      <c r="A276" s="151"/>
      <c r="B276" s="151"/>
      <c r="C276" s="151"/>
      <c r="D276" s="151"/>
      <c r="E276" s="151"/>
      <c r="F276" s="151"/>
    </row>
    <row r="277" spans="1:6" x14ac:dyDescent="0.25">
      <c r="A277" s="151"/>
      <c r="B277" s="151"/>
      <c r="C277" s="151"/>
      <c r="D277" s="151"/>
      <c r="E277" s="151"/>
      <c r="F277" s="151"/>
    </row>
    <row r="278" spans="1:6" x14ac:dyDescent="0.25">
      <c r="A278" s="151"/>
      <c r="B278" s="151"/>
      <c r="C278" s="151"/>
      <c r="D278" s="151"/>
      <c r="E278" s="151"/>
      <c r="F278" s="151"/>
    </row>
    <row r="279" spans="1:6" x14ac:dyDescent="0.25">
      <c r="A279" s="151"/>
      <c r="B279" s="151"/>
      <c r="C279" s="151"/>
      <c r="D279" s="151"/>
      <c r="E279" s="151"/>
      <c r="F279" s="151"/>
    </row>
    <row r="280" spans="1:6" x14ac:dyDescent="0.25">
      <c r="A280" s="151"/>
      <c r="B280" s="151"/>
      <c r="C280" s="151"/>
      <c r="D280" s="151"/>
      <c r="E280" s="151"/>
      <c r="F280" s="151"/>
    </row>
    <row r="281" spans="1:6" x14ac:dyDescent="0.25">
      <c r="A281" s="151"/>
      <c r="B281" s="151"/>
      <c r="C281" s="151"/>
      <c r="D281" s="151"/>
      <c r="E281" s="151"/>
      <c r="F281" s="151"/>
    </row>
    <row r="282" spans="1:6" x14ac:dyDescent="0.25">
      <c r="A282" s="151"/>
      <c r="B282" s="151"/>
      <c r="C282" s="151"/>
      <c r="D282" s="151"/>
      <c r="E282" s="151"/>
      <c r="F282" s="151"/>
    </row>
    <row r="283" spans="1:6" x14ac:dyDescent="0.25">
      <c r="A283" s="151"/>
      <c r="B283" s="151"/>
      <c r="C283" s="151"/>
      <c r="D283" s="151"/>
      <c r="E283" s="151"/>
      <c r="F283" s="151"/>
    </row>
    <row r="284" spans="1:6" x14ac:dyDescent="0.25">
      <c r="A284" s="151"/>
      <c r="B284" s="151"/>
      <c r="C284" s="151"/>
      <c r="D284" s="151"/>
      <c r="E284" s="151"/>
      <c r="F284" s="151"/>
    </row>
    <row r="285" spans="1:6" x14ac:dyDescent="0.25">
      <c r="A285" s="151"/>
      <c r="B285" s="151"/>
      <c r="C285" s="151"/>
      <c r="D285" s="151"/>
      <c r="E285" s="151"/>
      <c r="F285" s="151"/>
    </row>
    <row r="286" spans="1:6" x14ac:dyDescent="0.25">
      <c r="A286" s="151"/>
      <c r="B286" s="151"/>
      <c r="C286" s="151"/>
      <c r="D286" s="151"/>
      <c r="E286" s="151"/>
      <c r="F286" s="151"/>
    </row>
    <row r="287" spans="1:6" x14ac:dyDescent="0.25">
      <c r="A287" s="151"/>
      <c r="B287" s="151"/>
      <c r="C287" s="151"/>
      <c r="D287" s="151"/>
      <c r="E287" s="151"/>
      <c r="F287" s="151"/>
    </row>
    <row r="288" spans="1:6" x14ac:dyDescent="0.25">
      <c r="A288" s="151"/>
      <c r="B288" s="151"/>
      <c r="C288" s="151"/>
      <c r="D288" s="151"/>
      <c r="E288" s="151"/>
      <c r="F288" s="151"/>
    </row>
    <row r="289" spans="1:6" x14ac:dyDescent="0.25">
      <c r="A289" s="151"/>
      <c r="B289" s="151"/>
      <c r="C289" s="151"/>
      <c r="D289" s="151"/>
      <c r="E289" s="151"/>
      <c r="F289" s="151"/>
    </row>
    <row r="290" spans="1:6" x14ac:dyDescent="0.25">
      <c r="A290" s="151"/>
      <c r="B290" s="151"/>
      <c r="C290" s="151"/>
      <c r="D290" s="151"/>
      <c r="E290" s="151"/>
      <c r="F290" s="151"/>
    </row>
    <row r="291" spans="1:6" x14ac:dyDescent="0.25">
      <c r="A291" s="151"/>
      <c r="B291" s="151"/>
      <c r="C291" s="151"/>
      <c r="D291" s="151"/>
      <c r="E291" s="151"/>
      <c r="F291" s="151"/>
    </row>
    <row r="292" spans="1:6" x14ac:dyDescent="0.25">
      <c r="A292" s="151"/>
      <c r="B292" s="151"/>
      <c r="C292" s="151"/>
      <c r="D292" s="151"/>
      <c r="E292" s="151"/>
      <c r="F292" s="151"/>
    </row>
    <row r="293" spans="1:6" x14ac:dyDescent="0.25">
      <c r="A293" s="151"/>
      <c r="B293" s="151"/>
      <c r="C293" s="151"/>
      <c r="D293" s="151"/>
      <c r="E293" s="151"/>
      <c r="F293" s="151"/>
    </row>
    <row r="294" spans="1:6" x14ac:dyDescent="0.25">
      <c r="A294" s="151"/>
      <c r="B294" s="151"/>
      <c r="C294" s="151"/>
      <c r="D294" s="151"/>
      <c r="E294" s="151"/>
      <c r="F294" s="151"/>
    </row>
    <row r="295" spans="1:6" x14ac:dyDescent="0.25">
      <c r="A295" s="151"/>
      <c r="B295" s="151"/>
      <c r="C295" s="151"/>
      <c r="D295" s="151"/>
      <c r="E295" s="151"/>
      <c r="F295" s="151"/>
    </row>
    <row r="296" spans="1:6" x14ac:dyDescent="0.25">
      <c r="A296" s="151"/>
      <c r="B296" s="151"/>
      <c r="C296" s="151"/>
      <c r="D296" s="151"/>
      <c r="E296" s="151"/>
      <c r="F296" s="151"/>
    </row>
    <row r="297" spans="1:6" x14ac:dyDescent="0.25">
      <c r="A297" s="151"/>
      <c r="B297" s="151"/>
      <c r="C297" s="151"/>
      <c r="D297" s="151"/>
      <c r="E297" s="151"/>
      <c r="F297" s="151"/>
    </row>
    <row r="298" spans="1:6" x14ac:dyDescent="0.25">
      <c r="A298" s="151"/>
      <c r="B298" s="151"/>
      <c r="C298" s="151"/>
      <c r="D298" s="151"/>
      <c r="E298" s="151"/>
      <c r="F298" s="151"/>
    </row>
    <row r="299" spans="1:6" x14ac:dyDescent="0.25">
      <c r="A299" s="151"/>
      <c r="B299" s="151"/>
      <c r="C299" s="151"/>
      <c r="D299" s="151"/>
      <c r="E299" s="151"/>
      <c r="F299" s="151"/>
    </row>
    <row r="300" spans="1:6" x14ac:dyDescent="0.25">
      <c r="A300" s="151"/>
      <c r="B300" s="151"/>
      <c r="C300" s="151"/>
      <c r="D300" s="151"/>
      <c r="E300" s="151"/>
      <c r="F300" s="151"/>
    </row>
    <row r="301" spans="1:6" x14ac:dyDescent="0.25">
      <c r="A301" s="151"/>
      <c r="B301" s="151"/>
      <c r="C301" s="151"/>
      <c r="D301" s="151"/>
      <c r="E301" s="151"/>
      <c r="F301" s="151"/>
    </row>
    <row r="302" spans="1:6" x14ac:dyDescent="0.25">
      <c r="A302" s="151"/>
      <c r="B302" s="151"/>
      <c r="C302" s="151"/>
      <c r="D302" s="151"/>
      <c r="E302" s="151"/>
      <c r="F302" s="151"/>
    </row>
    <row r="303" spans="1:6" x14ac:dyDescent="0.25">
      <c r="A303" s="151"/>
      <c r="B303" s="151"/>
      <c r="C303" s="151"/>
      <c r="D303" s="151"/>
      <c r="E303" s="151"/>
      <c r="F303" s="151"/>
    </row>
    <row r="304" spans="1:6" x14ac:dyDescent="0.25">
      <c r="A304" s="151"/>
      <c r="B304" s="151"/>
      <c r="C304" s="151"/>
      <c r="D304" s="151"/>
      <c r="E304" s="151"/>
      <c r="F304" s="151"/>
    </row>
    <row r="305" spans="1:6" x14ac:dyDescent="0.25">
      <c r="A305" s="151"/>
      <c r="B305" s="151"/>
      <c r="C305" s="151"/>
      <c r="D305" s="151"/>
      <c r="E305" s="151"/>
      <c r="F305" s="151"/>
    </row>
    <row r="306" spans="1:6" x14ac:dyDescent="0.25">
      <c r="A306" s="151"/>
      <c r="B306" s="151"/>
      <c r="C306" s="151"/>
      <c r="D306" s="151"/>
      <c r="E306" s="151"/>
      <c r="F306" s="151"/>
    </row>
    <row r="307" spans="1:6" x14ac:dyDescent="0.25">
      <c r="A307" s="151"/>
      <c r="B307" s="151"/>
      <c r="C307" s="151"/>
      <c r="D307" s="151"/>
      <c r="E307" s="151"/>
      <c r="F307" s="151"/>
    </row>
    <row r="308" spans="1:6" x14ac:dyDescent="0.25">
      <c r="A308" s="151"/>
      <c r="B308" s="151"/>
      <c r="C308" s="151"/>
      <c r="D308" s="151"/>
      <c r="E308" s="151"/>
      <c r="F308" s="151"/>
    </row>
    <row r="309" spans="1:6" x14ac:dyDescent="0.25">
      <c r="A309" s="151"/>
      <c r="B309" s="151"/>
      <c r="C309" s="151"/>
      <c r="D309" s="151"/>
      <c r="E309" s="151"/>
      <c r="F309" s="151"/>
    </row>
    <row r="310" spans="1:6" x14ac:dyDescent="0.25">
      <c r="A310" s="151"/>
      <c r="B310" s="151"/>
      <c r="C310" s="151"/>
      <c r="D310" s="151"/>
      <c r="E310" s="151"/>
      <c r="F310" s="151"/>
    </row>
    <row r="311" spans="1:6" x14ac:dyDescent="0.25">
      <c r="A311" s="151"/>
      <c r="B311" s="151"/>
      <c r="C311" s="151"/>
      <c r="D311" s="151"/>
      <c r="E311" s="151"/>
      <c r="F311" s="151"/>
    </row>
    <row r="312" spans="1:6" x14ac:dyDescent="0.25">
      <c r="A312" s="151"/>
      <c r="B312" s="151"/>
      <c r="C312" s="151"/>
      <c r="D312" s="151"/>
      <c r="E312" s="151"/>
      <c r="F312" s="151"/>
    </row>
    <row r="313" spans="1:6" x14ac:dyDescent="0.25">
      <c r="A313" s="151"/>
      <c r="B313" s="151"/>
      <c r="C313" s="151"/>
      <c r="D313" s="151"/>
      <c r="E313" s="151"/>
      <c r="F313" s="151"/>
    </row>
    <row r="314" spans="1:6" x14ac:dyDescent="0.25">
      <c r="A314" s="151"/>
      <c r="B314" s="151"/>
      <c r="C314" s="151"/>
      <c r="D314" s="151"/>
      <c r="E314" s="151"/>
      <c r="F314" s="151"/>
    </row>
    <row r="315" spans="1:6" x14ac:dyDescent="0.25">
      <c r="A315" s="151"/>
      <c r="B315" s="151"/>
      <c r="C315" s="151"/>
      <c r="D315" s="151"/>
      <c r="E315" s="151"/>
      <c r="F315" s="151"/>
    </row>
    <row r="316" spans="1:6" x14ac:dyDescent="0.25">
      <c r="A316" s="151"/>
      <c r="B316" s="151"/>
      <c r="C316" s="151"/>
      <c r="D316" s="151"/>
      <c r="E316" s="151"/>
      <c r="F316" s="151"/>
    </row>
    <row r="317" spans="1:6" x14ac:dyDescent="0.25">
      <c r="A317" s="151"/>
      <c r="B317" s="151"/>
      <c r="C317" s="151"/>
      <c r="D317" s="151"/>
      <c r="E317" s="151"/>
      <c r="F317" s="151"/>
    </row>
    <row r="318" spans="1:6" x14ac:dyDescent="0.25">
      <c r="A318" s="151"/>
      <c r="B318" s="151"/>
      <c r="C318" s="151"/>
      <c r="D318" s="151"/>
      <c r="E318" s="151"/>
      <c r="F318" s="151"/>
    </row>
    <row r="319" spans="1:6" x14ac:dyDescent="0.25">
      <c r="A319" s="151"/>
      <c r="B319" s="151"/>
      <c r="C319" s="151"/>
      <c r="D319" s="151"/>
      <c r="E319" s="151"/>
      <c r="F319" s="151"/>
    </row>
    <row r="320" spans="1:6" x14ac:dyDescent="0.25">
      <c r="A320" s="151"/>
      <c r="B320" s="151"/>
      <c r="C320" s="151"/>
      <c r="D320" s="151"/>
      <c r="E320" s="151"/>
      <c r="F320" s="151"/>
    </row>
    <row r="321" spans="1:6" x14ac:dyDescent="0.25">
      <c r="A321" s="151"/>
      <c r="B321" s="151"/>
      <c r="C321" s="151"/>
      <c r="D321" s="151"/>
      <c r="E321" s="151"/>
      <c r="F321" s="151"/>
    </row>
    <row r="322" spans="1:6" x14ac:dyDescent="0.25">
      <c r="A322" s="151"/>
      <c r="B322" s="151"/>
      <c r="C322" s="151"/>
      <c r="D322" s="151"/>
      <c r="E322" s="151"/>
      <c r="F322" s="151"/>
    </row>
    <row r="323" spans="1:6" x14ac:dyDescent="0.25">
      <c r="A323" s="151"/>
      <c r="B323" s="151"/>
      <c r="C323" s="151"/>
      <c r="D323" s="151"/>
      <c r="E323" s="151"/>
      <c r="F323" s="151"/>
    </row>
    <row r="324" spans="1:6" x14ac:dyDescent="0.25">
      <c r="A324" s="151"/>
      <c r="B324" s="151"/>
      <c r="C324" s="151"/>
      <c r="D324" s="151"/>
      <c r="E324" s="151"/>
      <c r="F324" s="151"/>
    </row>
    <row r="325" spans="1:6" x14ac:dyDescent="0.25">
      <c r="A325" s="151"/>
      <c r="B325" s="151"/>
      <c r="C325" s="151"/>
      <c r="D325" s="151"/>
      <c r="E325" s="151"/>
      <c r="F325" s="151"/>
    </row>
    <row r="326" spans="1:6" x14ac:dyDescent="0.25">
      <c r="A326" s="151"/>
      <c r="B326" s="151"/>
      <c r="C326" s="151"/>
      <c r="D326" s="151"/>
      <c r="E326" s="151"/>
      <c r="F326" s="151"/>
    </row>
    <row r="327" spans="1:6" x14ac:dyDescent="0.25">
      <c r="A327" s="151"/>
      <c r="B327" s="151"/>
      <c r="C327" s="151"/>
      <c r="D327" s="151"/>
      <c r="E327" s="151"/>
      <c r="F327" s="151"/>
    </row>
    <row r="328" spans="1:6" x14ac:dyDescent="0.25">
      <c r="A328" s="151"/>
      <c r="B328" s="151"/>
      <c r="C328" s="151"/>
      <c r="D328" s="151"/>
      <c r="E328" s="151"/>
      <c r="F328" s="151"/>
    </row>
    <row r="329" spans="1:6" x14ac:dyDescent="0.25">
      <c r="A329" s="151"/>
      <c r="B329" s="151"/>
      <c r="C329" s="151"/>
      <c r="D329" s="151"/>
      <c r="E329" s="151"/>
      <c r="F329" s="15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S5"/>
  <sheetViews>
    <sheetView zoomScale="110" zoomScaleNormal="110" workbookViewId="0">
      <selection activeCell="F17" sqref="F17"/>
    </sheetView>
  </sheetViews>
  <sheetFormatPr defaultRowHeight="15" x14ac:dyDescent="0.25"/>
  <cols>
    <col min="2" max="2" width="25.42578125" bestFit="1" customWidth="1"/>
  </cols>
  <sheetData>
    <row r="1" spans="1:19" x14ac:dyDescent="0.25">
      <c r="A1" s="210" t="s">
        <v>1</v>
      </c>
      <c r="B1" s="210" t="s">
        <v>6</v>
      </c>
      <c r="C1" s="210" t="s">
        <v>46</v>
      </c>
      <c r="D1" s="210" t="s">
        <v>47</v>
      </c>
      <c r="E1" s="210" t="s">
        <v>48</v>
      </c>
      <c r="F1" s="210" t="s">
        <v>49</v>
      </c>
      <c r="G1" s="210" t="s">
        <v>50</v>
      </c>
      <c r="H1" s="210" t="s">
        <v>51</v>
      </c>
      <c r="I1" s="210" t="s">
        <v>52</v>
      </c>
      <c r="J1" s="210" t="s">
        <v>53</v>
      </c>
      <c r="K1" s="210" t="s">
        <v>54</v>
      </c>
      <c r="L1" s="210" t="s">
        <v>55</v>
      </c>
      <c r="M1" s="210" t="s">
        <v>56</v>
      </c>
      <c r="N1" s="210" t="s">
        <v>57</v>
      </c>
      <c r="O1" s="210" t="s">
        <v>58</v>
      </c>
      <c r="P1" s="210" t="s">
        <v>59</v>
      </c>
      <c r="Q1" s="210" t="s">
        <v>669</v>
      </c>
      <c r="R1" s="210" t="s">
        <v>670</v>
      </c>
    </row>
    <row r="2" spans="1:19" x14ac:dyDescent="0.25">
      <c r="A2" s="211">
        <v>10</v>
      </c>
      <c r="B2" s="212" t="s">
        <v>80</v>
      </c>
      <c r="C2" s="212" t="s">
        <v>84</v>
      </c>
      <c r="D2" s="212"/>
      <c r="E2" s="212" t="s">
        <v>63</v>
      </c>
      <c r="F2" s="212" t="s">
        <v>26</v>
      </c>
      <c r="G2" s="212" t="s">
        <v>26</v>
      </c>
      <c r="H2" s="212" t="s">
        <v>26</v>
      </c>
      <c r="I2" s="212" t="s">
        <v>26</v>
      </c>
      <c r="J2" s="212" t="s">
        <v>84</v>
      </c>
      <c r="K2" s="212"/>
      <c r="L2" s="212" t="s">
        <v>26</v>
      </c>
      <c r="M2" s="212" t="s">
        <v>26</v>
      </c>
      <c r="N2" s="212" t="s">
        <v>26</v>
      </c>
      <c r="O2" s="212" t="s">
        <v>26</v>
      </c>
      <c r="P2" s="212" t="s">
        <v>26</v>
      </c>
      <c r="Q2" s="212" t="s">
        <v>84</v>
      </c>
      <c r="R2" s="212"/>
      <c r="S2">
        <f>C2+D2+E2+F2+G2+H2+I2+J2+K2+L2+M2+N2+O2+P2+Q2+R2</f>
        <v>121</v>
      </c>
    </row>
    <row r="3" spans="1:19" x14ac:dyDescent="0.25">
      <c r="A3" s="211">
        <v>11</v>
      </c>
      <c r="B3" s="212" t="s">
        <v>17</v>
      </c>
      <c r="C3" s="212" t="s">
        <v>54</v>
      </c>
      <c r="D3" s="212"/>
      <c r="E3" s="212" t="s">
        <v>65</v>
      </c>
      <c r="F3" s="212" t="s">
        <v>26</v>
      </c>
      <c r="G3" s="212" t="s">
        <v>26</v>
      </c>
      <c r="H3" s="212" t="s">
        <v>26</v>
      </c>
      <c r="I3" s="212" t="s">
        <v>26</v>
      </c>
      <c r="J3" s="212" t="s">
        <v>84</v>
      </c>
      <c r="K3" s="212"/>
      <c r="L3" s="212" t="s">
        <v>26</v>
      </c>
      <c r="M3" s="212" t="s">
        <v>84</v>
      </c>
      <c r="N3" s="212" t="s">
        <v>26</v>
      </c>
      <c r="O3" s="212" t="s">
        <v>26</v>
      </c>
      <c r="P3" s="212" t="s">
        <v>26</v>
      </c>
      <c r="Q3" s="212" t="s">
        <v>84</v>
      </c>
      <c r="R3" s="212"/>
      <c r="S3">
        <f t="shared" ref="S3:S4" si="0">C3+D3+E3+F3+G3+H3+I3+J3+K3+L3+M3+N3+O3+P3+Q3+R3</f>
        <v>142</v>
      </c>
    </row>
    <row r="4" spans="1:19" x14ac:dyDescent="0.25">
      <c r="A4" s="211">
        <v>12</v>
      </c>
      <c r="B4" s="212" t="s">
        <v>19</v>
      </c>
      <c r="C4" s="212" t="s">
        <v>84</v>
      </c>
      <c r="D4" s="212"/>
      <c r="E4" s="212" t="s">
        <v>26</v>
      </c>
      <c r="F4" s="212" t="s">
        <v>26</v>
      </c>
      <c r="G4" s="212" t="s">
        <v>26</v>
      </c>
      <c r="H4" s="212"/>
      <c r="I4" s="212" t="s">
        <v>62</v>
      </c>
      <c r="J4" s="212"/>
      <c r="K4" s="212"/>
      <c r="L4" s="212" t="s">
        <v>25</v>
      </c>
      <c r="M4" s="212" t="s">
        <v>26</v>
      </c>
      <c r="N4" s="212" t="s">
        <v>26</v>
      </c>
      <c r="O4" s="212" t="s">
        <v>25</v>
      </c>
      <c r="P4" s="212" t="s">
        <v>63</v>
      </c>
      <c r="Q4" s="212"/>
      <c r="R4" s="212"/>
      <c r="S4">
        <f t="shared" si="0"/>
        <v>86</v>
      </c>
    </row>
    <row r="5" spans="1:19" x14ac:dyDescent="0.25">
      <c r="A5" s="210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S77"/>
  <sheetViews>
    <sheetView topLeftCell="A55" zoomScale="55" zoomScaleNormal="55" workbookViewId="0">
      <selection activeCell="S2" sqref="S2:S72"/>
    </sheetView>
  </sheetViews>
  <sheetFormatPr defaultRowHeight="15" x14ac:dyDescent="0.25"/>
  <cols>
    <col min="1" max="1" width="2.7109375" bestFit="1" customWidth="1"/>
    <col min="2" max="2" width="32.42578125" bestFit="1" customWidth="1"/>
  </cols>
  <sheetData>
    <row r="1" spans="1:19" x14ac:dyDescent="0.25">
      <c r="A1" s="204" t="s">
        <v>1</v>
      </c>
      <c r="B1" s="204" t="s">
        <v>6</v>
      </c>
      <c r="C1" s="204" t="s">
        <v>46</v>
      </c>
      <c r="D1" s="204" t="s">
        <v>47</v>
      </c>
      <c r="E1" s="204" t="s">
        <v>48</v>
      </c>
      <c r="F1" s="204" t="s">
        <v>49</v>
      </c>
      <c r="G1" s="204" t="s">
        <v>50</v>
      </c>
      <c r="H1" s="204" t="s">
        <v>51</v>
      </c>
      <c r="I1" s="204" t="s">
        <v>52</v>
      </c>
      <c r="J1" s="204" t="s">
        <v>53</v>
      </c>
      <c r="K1" s="204" t="s">
        <v>54</v>
      </c>
      <c r="L1" s="204" t="s">
        <v>55</v>
      </c>
      <c r="M1" s="204" t="s">
        <v>56</v>
      </c>
      <c r="N1" s="204" t="s">
        <v>57</v>
      </c>
      <c r="O1" s="204" t="s">
        <v>58</v>
      </c>
      <c r="P1" s="204" t="s">
        <v>59</v>
      </c>
      <c r="Q1" s="204" t="s">
        <v>669</v>
      </c>
      <c r="R1" s="204" t="s">
        <v>670</v>
      </c>
      <c r="S1" s="204" t="s">
        <v>2</v>
      </c>
    </row>
    <row r="2" spans="1:19" x14ac:dyDescent="0.25">
      <c r="A2" s="182">
        <v>1</v>
      </c>
      <c r="B2" s="183" t="s">
        <v>10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>
        <f>C2+D2+E2+F2+G2+H2+I2+J2+K2+L2+M2+N2+O2+P2+Q2+R2</f>
        <v>0</v>
      </c>
    </row>
    <row r="3" spans="1:19" x14ac:dyDescent="0.25">
      <c r="A3" s="182">
        <v>2</v>
      </c>
      <c r="B3" s="183" t="s">
        <v>11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>
        <f t="shared" ref="S3:S66" si="0">C3+D3+E3+F3+G3+H3+I3+J3+K3+L3+M3+N3+O3+P3+Q3+R3</f>
        <v>0</v>
      </c>
    </row>
    <row r="4" spans="1:19" x14ac:dyDescent="0.25">
      <c r="A4" s="182">
        <v>3</v>
      </c>
      <c r="B4" s="183" t="s">
        <v>12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>
        <f t="shared" si="0"/>
        <v>0</v>
      </c>
    </row>
    <row r="5" spans="1:19" x14ac:dyDescent="0.25">
      <c r="A5" s="182">
        <v>4</v>
      </c>
      <c r="B5" s="183" t="s">
        <v>664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>
        <f t="shared" si="0"/>
        <v>0</v>
      </c>
    </row>
    <row r="6" spans="1:19" x14ac:dyDescent="0.25">
      <c r="A6" s="182">
        <v>5</v>
      </c>
      <c r="B6" s="183" t="s">
        <v>14</v>
      </c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>
        <f t="shared" si="0"/>
        <v>0</v>
      </c>
    </row>
    <row r="7" spans="1:19" x14ac:dyDescent="0.25">
      <c r="A7" s="182">
        <v>6</v>
      </c>
      <c r="B7" s="183" t="s">
        <v>15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>
        <f t="shared" si="0"/>
        <v>0</v>
      </c>
    </row>
    <row r="8" spans="1:19" x14ac:dyDescent="0.25">
      <c r="A8" s="182">
        <v>7</v>
      </c>
      <c r="B8" s="183" t="s">
        <v>16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>
        <f t="shared" si="0"/>
        <v>0</v>
      </c>
    </row>
    <row r="9" spans="1:19" x14ac:dyDescent="0.25">
      <c r="A9" s="182">
        <v>8</v>
      </c>
      <c r="B9" s="183" t="s">
        <v>4</v>
      </c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>
        <f t="shared" si="0"/>
        <v>0</v>
      </c>
    </row>
    <row r="10" spans="1:19" x14ac:dyDescent="0.25">
      <c r="A10" s="182">
        <v>9</v>
      </c>
      <c r="B10" s="183" t="s">
        <v>5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>
        <f t="shared" si="0"/>
        <v>0</v>
      </c>
    </row>
    <row r="11" spans="1:19" x14ac:dyDescent="0.25">
      <c r="A11" s="182">
        <v>10</v>
      </c>
      <c r="B11" s="183" t="s">
        <v>38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>
        <f t="shared" si="0"/>
        <v>0</v>
      </c>
    </row>
    <row r="12" spans="1:19" x14ac:dyDescent="0.25">
      <c r="A12" s="182">
        <v>11</v>
      </c>
      <c r="B12" s="183" t="s">
        <v>43</v>
      </c>
      <c r="C12" s="183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>
        <f t="shared" si="0"/>
        <v>0</v>
      </c>
    </row>
    <row r="13" spans="1:19" x14ac:dyDescent="0.25">
      <c r="A13" s="182">
        <v>12</v>
      </c>
      <c r="B13" s="183" t="s">
        <v>644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>
        <f t="shared" si="0"/>
        <v>0</v>
      </c>
    </row>
    <row r="14" spans="1:19" x14ac:dyDescent="0.25">
      <c r="A14" s="182">
        <v>13</v>
      </c>
      <c r="B14" s="183" t="s">
        <v>87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>
        <f t="shared" si="0"/>
        <v>0</v>
      </c>
    </row>
    <row r="15" spans="1:19" x14ac:dyDescent="0.25">
      <c r="A15" s="182">
        <v>14</v>
      </c>
      <c r="B15" s="183" t="s">
        <v>95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>
        <f t="shared" si="0"/>
        <v>0</v>
      </c>
    </row>
    <row r="16" spans="1:19" x14ac:dyDescent="0.25">
      <c r="A16" s="182">
        <v>15</v>
      </c>
      <c r="B16" s="183" t="s">
        <v>97</v>
      </c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>
        <f t="shared" si="0"/>
        <v>0</v>
      </c>
    </row>
    <row r="17" spans="1:19" x14ac:dyDescent="0.25">
      <c r="A17" s="182">
        <v>16</v>
      </c>
      <c r="B17" s="183" t="s">
        <v>96</v>
      </c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>
        <f t="shared" si="0"/>
        <v>0</v>
      </c>
    </row>
    <row r="18" spans="1:19" x14ac:dyDescent="0.25">
      <c r="A18" s="182">
        <v>17</v>
      </c>
      <c r="B18" s="183" t="s">
        <v>98</v>
      </c>
      <c r="C18" s="183"/>
      <c r="D18" s="183"/>
      <c r="E18" s="183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>
        <f t="shared" si="0"/>
        <v>0</v>
      </c>
    </row>
    <row r="19" spans="1:19" x14ac:dyDescent="0.25">
      <c r="A19" s="182">
        <v>18</v>
      </c>
      <c r="B19" s="183" t="s">
        <v>99</v>
      </c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>
        <f t="shared" si="0"/>
        <v>0</v>
      </c>
    </row>
    <row r="20" spans="1:19" x14ac:dyDescent="0.25">
      <c r="A20" s="182">
        <v>19</v>
      </c>
      <c r="B20" s="183" t="s">
        <v>617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>
        <f t="shared" si="0"/>
        <v>0</v>
      </c>
    </row>
    <row r="21" spans="1:19" x14ac:dyDescent="0.25">
      <c r="A21" s="182">
        <v>20</v>
      </c>
      <c r="B21" s="183" t="s">
        <v>618</v>
      </c>
      <c r="C21" s="183" t="s">
        <v>54</v>
      </c>
      <c r="D21" s="183" t="s">
        <v>54</v>
      </c>
      <c r="E21" s="183" t="s">
        <v>54</v>
      </c>
      <c r="F21" s="183" t="s">
        <v>54</v>
      </c>
      <c r="G21" s="183" t="s">
        <v>54</v>
      </c>
      <c r="H21" s="183" t="s">
        <v>54</v>
      </c>
      <c r="I21" s="183" t="s">
        <v>54</v>
      </c>
      <c r="J21" s="183" t="s">
        <v>54</v>
      </c>
      <c r="K21" s="183" t="s">
        <v>54</v>
      </c>
      <c r="L21" s="183" t="s">
        <v>54</v>
      </c>
      <c r="M21" s="183" t="s">
        <v>54</v>
      </c>
      <c r="N21" s="183" t="s">
        <v>54</v>
      </c>
      <c r="O21" s="183" t="s">
        <v>54</v>
      </c>
      <c r="P21" s="183" t="s">
        <v>54</v>
      </c>
      <c r="Q21" s="183"/>
      <c r="R21" s="183"/>
      <c r="S21">
        <f t="shared" si="0"/>
        <v>336</v>
      </c>
    </row>
    <row r="22" spans="1:19" x14ac:dyDescent="0.25">
      <c r="A22" s="182">
        <v>21</v>
      </c>
      <c r="B22" s="183" t="s">
        <v>629</v>
      </c>
      <c r="C22" s="183" t="s">
        <v>54</v>
      </c>
      <c r="D22" s="183" t="s">
        <v>54</v>
      </c>
      <c r="E22" s="183" t="s">
        <v>54</v>
      </c>
      <c r="F22" s="183" t="s">
        <v>54</v>
      </c>
      <c r="G22" s="183" t="s">
        <v>54</v>
      </c>
      <c r="H22" s="183" t="s">
        <v>54</v>
      </c>
      <c r="I22" s="183" t="s">
        <v>54</v>
      </c>
      <c r="J22" s="183" t="s">
        <v>54</v>
      </c>
      <c r="K22" s="183" t="s">
        <v>54</v>
      </c>
      <c r="L22" s="183" t="s">
        <v>54</v>
      </c>
      <c r="M22" s="183" t="s">
        <v>54</v>
      </c>
      <c r="N22" s="183" t="s">
        <v>54</v>
      </c>
      <c r="O22" s="183" t="s">
        <v>54</v>
      </c>
      <c r="P22" s="183" t="s">
        <v>54</v>
      </c>
      <c r="Q22" s="183"/>
      <c r="R22" s="183"/>
      <c r="S22">
        <f t="shared" si="0"/>
        <v>336</v>
      </c>
    </row>
    <row r="23" spans="1:19" x14ac:dyDescent="0.25">
      <c r="A23" s="182">
        <v>22</v>
      </c>
      <c r="B23" s="183" t="s">
        <v>619</v>
      </c>
      <c r="C23" s="183" t="s">
        <v>54</v>
      </c>
      <c r="D23" s="183" t="s">
        <v>54</v>
      </c>
      <c r="E23" s="183" t="s">
        <v>54</v>
      </c>
      <c r="F23" s="183" t="s">
        <v>54</v>
      </c>
      <c r="G23" s="183" t="s">
        <v>54</v>
      </c>
      <c r="H23" s="183" t="s">
        <v>54</v>
      </c>
      <c r="I23" s="183" t="s">
        <v>54</v>
      </c>
      <c r="J23" s="183" t="s">
        <v>54</v>
      </c>
      <c r="K23" s="183" t="s">
        <v>54</v>
      </c>
      <c r="L23" s="183" t="s">
        <v>54</v>
      </c>
      <c r="M23" s="183" t="s">
        <v>54</v>
      </c>
      <c r="N23" s="183" t="s">
        <v>54</v>
      </c>
      <c r="O23" s="183" t="s">
        <v>54</v>
      </c>
      <c r="P23" s="183" t="s">
        <v>54</v>
      </c>
      <c r="Q23" s="183"/>
      <c r="R23" s="183"/>
      <c r="S23">
        <f t="shared" si="0"/>
        <v>336</v>
      </c>
    </row>
    <row r="24" spans="1:19" x14ac:dyDescent="0.25">
      <c r="A24" s="182">
        <v>23</v>
      </c>
      <c r="B24" s="183" t="s">
        <v>620</v>
      </c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>
        <f t="shared" si="0"/>
        <v>0</v>
      </c>
    </row>
    <row r="25" spans="1:19" x14ac:dyDescent="0.25">
      <c r="A25" s="182">
        <v>24</v>
      </c>
      <c r="B25" s="183" t="s">
        <v>622</v>
      </c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>
        <f t="shared" si="0"/>
        <v>0</v>
      </c>
    </row>
    <row r="26" spans="1:19" x14ac:dyDescent="0.25">
      <c r="A26" s="182">
        <v>25</v>
      </c>
      <c r="B26" s="183" t="s">
        <v>661</v>
      </c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>
        <f t="shared" si="0"/>
        <v>0</v>
      </c>
    </row>
    <row r="27" spans="1:19" x14ac:dyDescent="0.25">
      <c r="A27" s="182">
        <v>26</v>
      </c>
      <c r="B27" s="183" t="s">
        <v>623</v>
      </c>
      <c r="C27" s="183" t="s">
        <v>54</v>
      </c>
      <c r="D27" s="183" t="s">
        <v>54</v>
      </c>
      <c r="E27" s="183" t="s">
        <v>54</v>
      </c>
      <c r="F27" s="183" t="s">
        <v>54</v>
      </c>
      <c r="G27" s="183" t="s">
        <v>54</v>
      </c>
      <c r="H27" s="183" t="s">
        <v>54</v>
      </c>
      <c r="I27" s="183" t="s">
        <v>54</v>
      </c>
      <c r="J27" s="183" t="s">
        <v>54</v>
      </c>
      <c r="K27" s="183" t="s">
        <v>54</v>
      </c>
      <c r="L27" s="183" t="s">
        <v>54</v>
      </c>
      <c r="M27" s="183" t="s">
        <v>54</v>
      </c>
      <c r="N27" s="183" t="s">
        <v>54</v>
      </c>
      <c r="O27" s="183" t="s">
        <v>54</v>
      </c>
      <c r="P27" s="183" t="s">
        <v>54</v>
      </c>
      <c r="Q27" s="183"/>
      <c r="R27" s="183"/>
      <c r="S27">
        <f t="shared" si="0"/>
        <v>336</v>
      </c>
    </row>
    <row r="28" spans="1:19" x14ac:dyDescent="0.25">
      <c r="A28" s="182">
        <v>27</v>
      </c>
      <c r="B28" s="183" t="s">
        <v>624</v>
      </c>
      <c r="C28" s="183" t="s">
        <v>54</v>
      </c>
      <c r="D28" s="183" t="s">
        <v>54</v>
      </c>
      <c r="E28" s="183" t="s">
        <v>54</v>
      </c>
      <c r="F28" s="183" t="s">
        <v>54</v>
      </c>
      <c r="G28" s="183" t="s">
        <v>54</v>
      </c>
      <c r="H28" s="183" t="s">
        <v>54</v>
      </c>
      <c r="I28" s="183" t="s">
        <v>54</v>
      </c>
      <c r="J28" s="183" t="s">
        <v>54</v>
      </c>
      <c r="K28" s="183" t="s">
        <v>54</v>
      </c>
      <c r="L28" s="183" t="s">
        <v>54</v>
      </c>
      <c r="M28" s="183" t="s">
        <v>54</v>
      </c>
      <c r="N28" s="183" t="s">
        <v>54</v>
      </c>
      <c r="O28" s="183" t="s">
        <v>54</v>
      </c>
      <c r="P28" s="183" t="s">
        <v>54</v>
      </c>
      <c r="Q28" s="183"/>
      <c r="R28" s="183"/>
      <c r="S28">
        <f t="shared" si="0"/>
        <v>336</v>
      </c>
    </row>
    <row r="29" spans="1:19" x14ac:dyDescent="0.25">
      <c r="A29" s="182">
        <v>28</v>
      </c>
      <c r="B29" s="183" t="s">
        <v>625</v>
      </c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>
        <f t="shared" si="0"/>
        <v>0</v>
      </c>
    </row>
    <row r="30" spans="1:19" x14ac:dyDescent="0.25">
      <c r="A30" s="182">
        <v>29</v>
      </c>
      <c r="B30" s="183" t="s">
        <v>626</v>
      </c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>
        <f t="shared" si="0"/>
        <v>0</v>
      </c>
    </row>
    <row r="31" spans="1:19" x14ac:dyDescent="0.25">
      <c r="A31" s="182">
        <v>30</v>
      </c>
      <c r="B31" s="183" t="s">
        <v>631</v>
      </c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>
        <f t="shared" si="0"/>
        <v>0</v>
      </c>
    </row>
    <row r="32" spans="1:19" x14ac:dyDescent="0.25">
      <c r="A32" s="182">
        <v>31</v>
      </c>
      <c r="B32" s="183" t="s">
        <v>627</v>
      </c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>
        <f t="shared" si="0"/>
        <v>0</v>
      </c>
    </row>
    <row r="33" spans="1:19" x14ac:dyDescent="0.25">
      <c r="A33" s="182">
        <v>32</v>
      </c>
      <c r="B33" s="183" t="s">
        <v>34</v>
      </c>
      <c r="C33" s="183" t="s">
        <v>54</v>
      </c>
      <c r="D33" s="183" t="s">
        <v>54</v>
      </c>
      <c r="E33" s="183" t="s">
        <v>54</v>
      </c>
      <c r="F33" s="183" t="s">
        <v>54</v>
      </c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>
        <f t="shared" si="0"/>
        <v>96</v>
      </c>
    </row>
    <row r="34" spans="1:19" x14ac:dyDescent="0.25">
      <c r="A34" s="182">
        <v>33</v>
      </c>
      <c r="B34" s="183" t="s">
        <v>628</v>
      </c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>
        <f t="shared" si="0"/>
        <v>0</v>
      </c>
    </row>
    <row r="35" spans="1:19" x14ac:dyDescent="0.25">
      <c r="A35" s="182">
        <v>34</v>
      </c>
      <c r="B35" s="183" t="s">
        <v>621</v>
      </c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>
        <f t="shared" si="0"/>
        <v>0</v>
      </c>
    </row>
    <row r="36" spans="1:19" x14ac:dyDescent="0.25">
      <c r="A36" s="182">
        <v>35</v>
      </c>
      <c r="B36" s="183" t="s">
        <v>45</v>
      </c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>
        <f t="shared" si="0"/>
        <v>0</v>
      </c>
    </row>
    <row r="37" spans="1:19" x14ac:dyDescent="0.25">
      <c r="A37" s="182">
        <v>36</v>
      </c>
      <c r="B37" s="183" t="s">
        <v>634</v>
      </c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>
        <f t="shared" si="0"/>
        <v>0</v>
      </c>
    </row>
    <row r="38" spans="1:19" x14ac:dyDescent="0.25">
      <c r="A38" s="182">
        <v>37</v>
      </c>
      <c r="B38" s="183" t="s">
        <v>647</v>
      </c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>
        <f t="shared" si="0"/>
        <v>0</v>
      </c>
    </row>
    <row r="39" spans="1:19" x14ac:dyDescent="0.25">
      <c r="A39" s="182">
        <v>38</v>
      </c>
      <c r="B39" s="183" t="s">
        <v>632</v>
      </c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>
        <f t="shared" si="0"/>
        <v>0</v>
      </c>
    </row>
    <row r="40" spans="1:19" x14ac:dyDescent="0.25">
      <c r="A40" s="182">
        <v>39</v>
      </c>
      <c r="B40" s="183" t="s">
        <v>633</v>
      </c>
      <c r="C40" s="183" t="s">
        <v>54</v>
      </c>
      <c r="D40" s="183" t="s">
        <v>54</v>
      </c>
      <c r="E40" s="183" t="s">
        <v>54</v>
      </c>
      <c r="F40" s="183" t="s">
        <v>54</v>
      </c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>
        <f t="shared" si="0"/>
        <v>96</v>
      </c>
    </row>
    <row r="41" spans="1:19" x14ac:dyDescent="0.25">
      <c r="A41" s="182">
        <v>40</v>
      </c>
      <c r="B41" s="183" t="s">
        <v>635</v>
      </c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>
        <f t="shared" si="0"/>
        <v>0</v>
      </c>
    </row>
    <row r="42" spans="1:19" x14ac:dyDescent="0.25">
      <c r="A42" s="182">
        <v>41</v>
      </c>
      <c r="B42" s="183" t="s">
        <v>636</v>
      </c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>
        <f t="shared" si="0"/>
        <v>0</v>
      </c>
    </row>
    <row r="43" spans="1:19" x14ac:dyDescent="0.25">
      <c r="A43" s="182">
        <v>42</v>
      </c>
      <c r="B43" s="183" t="s">
        <v>637</v>
      </c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>
        <f t="shared" si="0"/>
        <v>0</v>
      </c>
    </row>
    <row r="44" spans="1:19" x14ac:dyDescent="0.25">
      <c r="A44" s="182">
        <v>43</v>
      </c>
      <c r="B44" s="183" t="s">
        <v>638</v>
      </c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>
        <f t="shared" si="0"/>
        <v>0</v>
      </c>
    </row>
    <row r="45" spans="1:19" x14ac:dyDescent="0.25">
      <c r="A45" s="182">
        <v>44</v>
      </c>
      <c r="B45" s="183" t="s">
        <v>630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>
        <f t="shared" si="0"/>
        <v>0</v>
      </c>
    </row>
    <row r="46" spans="1:19" x14ac:dyDescent="0.25">
      <c r="A46" s="182">
        <v>45</v>
      </c>
      <c r="B46" s="183" t="s">
        <v>639</v>
      </c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>
        <f t="shared" si="0"/>
        <v>0</v>
      </c>
    </row>
    <row r="47" spans="1:19" x14ac:dyDescent="0.25">
      <c r="A47" s="182">
        <v>46</v>
      </c>
      <c r="B47" s="183" t="s">
        <v>641</v>
      </c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>
        <f t="shared" si="0"/>
        <v>0</v>
      </c>
    </row>
    <row r="48" spans="1:19" x14ac:dyDescent="0.25">
      <c r="A48" s="182">
        <v>47</v>
      </c>
      <c r="B48" s="183" t="s">
        <v>642</v>
      </c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>
        <f t="shared" si="0"/>
        <v>0</v>
      </c>
    </row>
    <row r="49" spans="1:19" x14ac:dyDescent="0.25">
      <c r="A49" s="182">
        <v>48</v>
      </c>
      <c r="B49" s="183" t="s">
        <v>645</v>
      </c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>
        <f t="shared" si="0"/>
        <v>0</v>
      </c>
    </row>
    <row r="50" spans="1:19" x14ac:dyDescent="0.25">
      <c r="A50" s="182">
        <v>49</v>
      </c>
      <c r="B50" s="183" t="s">
        <v>643</v>
      </c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>
        <f t="shared" si="0"/>
        <v>0</v>
      </c>
    </row>
    <row r="51" spans="1:19" x14ac:dyDescent="0.25">
      <c r="A51" s="182">
        <v>50</v>
      </c>
      <c r="B51" s="183" t="s">
        <v>640</v>
      </c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>
        <f t="shared" si="0"/>
        <v>0</v>
      </c>
    </row>
    <row r="52" spans="1:19" x14ac:dyDescent="0.25">
      <c r="A52" s="182">
        <v>51</v>
      </c>
      <c r="B52" s="183" t="s">
        <v>646</v>
      </c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>
        <f t="shared" si="0"/>
        <v>0</v>
      </c>
    </row>
    <row r="53" spans="1:19" x14ac:dyDescent="0.25">
      <c r="A53" s="182">
        <v>52</v>
      </c>
      <c r="B53" s="183" t="s">
        <v>660</v>
      </c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>
        <f t="shared" si="0"/>
        <v>0</v>
      </c>
    </row>
    <row r="54" spans="1:19" x14ac:dyDescent="0.25">
      <c r="A54" s="182">
        <v>53</v>
      </c>
      <c r="B54" s="183" t="s">
        <v>648</v>
      </c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>
        <f t="shared" si="0"/>
        <v>0</v>
      </c>
    </row>
    <row r="55" spans="1:19" x14ac:dyDescent="0.25">
      <c r="A55" s="182">
        <v>54</v>
      </c>
      <c r="B55" s="183" t="s">
        <v>649</v>
      </c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>
        <f t="shared" si="0"/>
        <v>0</v>
      </c>
    </row>
    <row r="56" spans="1:19" x14ac:dyDescent="0.25">
      <c r="A56" s="182">
        <v>55</v>
      </c>
      <c r="B56" s="183" t="s">
        <v>650</v>
      </c>
      <c r="C56" s="183" t="s">
        <v>54</v>
      </c>
      <c r="D56" s="183" t="s">
        <v>54</v>
      </c>
      <c r="E56" s="183" t="s">
        <v>54</v>
      </c>
      <c r="F56" s="183" t="s">
        <v>54</v>
      </c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>
        <f t="shared" si="0"/>
        <v>96</v>
      </c>
    </row>
    <row r="57" spans="1:19" x14ac:dyDescent="0.25">
      <c r="A57" s="182">
        <v>56</v>
      </c>
      <c r="B57" s="183" t="s">
        <v>652</v>
      </c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>
        <f t="shared" si="0"/>
        <v>0</v>
      </c>
    </row>
    <row r="58" spans="1:19" x14ac:dyDescent="0.25">
      <c r="A58" s="182">
        <v>57</v>
      </c>
      <c r="B58" s="183" t="s">
        <v>653</v>
      </c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>
        <f t="shared" si="0"/>
        <v>0</v>
      </c>
    </row>
    <row r="59" spans="1:19" x14ac:dyDescent="0.25">
      <c r="A59" s="182">
        <v>58</v>
      </c>
      <c r="B59" s="183" t="s">
        <v>654</v>
      </c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>
        <f t="shared" si="0"/>
        <v>0</v>
      </c>
    </row>
    <row r="60" spans="1:19" x14ac:dyDescent="0.25">
      <c r="A60" s="182">
        <v>59</v>
      </c>
      <c r="B60" s="183" t="s">
        <v>655</v>
      </c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>
        <f t="shared" si="0"/>
        <v>0</v>
      </c>
    </row>
    <row r="61" spans="1:19" x14ac:dyDescent="0.25">
      <c r="A61" s="182">
        <v>60</v>
      </c>
      <c r="B61" s="183" t="s">
        <v>656</v>
      </c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>
        <f t="shared" si="0"/>
        <v>0</v>
      </c>
    </row>
    <row r="62" spans="1:19" x14ac:dyDescent="0.25">
      <c r="A62" s="182">
        <v>61</v>
      </c>
      <c r="B62" s="183" t="s">
        <v>658</v>
      </c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>
        <f t="shared" si="0"/>
        <v>0</v>
      </c>
    </row>
    <row r="63" spans="1:19" x14ac:dyDescent="0.25">
      <c r="A63" s="182">
        <v>62</v>
      </c>
      <c r="B63" s="183" t="s">
        <v>659</v>
      </c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>
        <f t="shared" si="0"/>
        <v>0</v>
      </c>
    </row>
    <row r="64" spans="1:19" x14ac:dyDescent="0.25">
      <c r="A64" s="182">
        <v>63</v>
      </c>
      <c r="B64" s="183" t="s">
        <v>20</v>
      </c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>
        <f t="shared" si="0"/>
        <v>0</v>
      </c>
    </row>
    <row r="65" spans="1:19" x14ac:dyDescent="0.25">
      <c r="A65" s="182">
        <v>64</v>
      </c>
      <c r="B65" s="183" t="s">
        <v>662</v>
      </c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>
        <f t="shared" si="0"/>
        <v>0</v>
      </c>
    </row>
    <row r="66" spans="1:19" x14ac:dyDescent="0.25">
      <c r="A66" s="182">
        <v>65</v>
      </c>
      <c r="B66" s="183" t="s">
        <v>663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>
        <f t="shared" si="0"/>
        <v>0</v>
      </c>
    </row>
    <row r="67" spans="1:19" x14ac:dyDescent="0.25">
      <c r="A67" s="182">
        <v>66</v>
      </c>
      <c r="B67" s="183" t="s">
        <v>665</v>
      </c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>
        <f t="shared" ref="S67:S72" si="1">C67+D67+E67+F67+G67+H67+I67+J67+K67+L67+M67+N67+O67+P67+Q67+R67</f>
        <v>0</v>
      </c>
    </row>
    <row r="68" spans="1:19" x14ac:dyDescent="0.25">
      <c r="A68" s="182">
        <v>67</v>
      </c>
      <c r="B68" s="183" t="s">
        <v>666</v>
      </c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>
        <f t="shared" si="1"/>
        <v>0</v>
      </c>
    </row>
    <row r="69" spans="1:19" x14ac:dyDescent="0.25">
      <c r="A69" s="182">
        <v>68</v>
      </c>
      <c r="B69" s="183" t="s">
        <v>667</v>
      </c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>
        <f t="shared" si="1"/>
        <v>0</v>
      </c>
    </row>
    <row r="70" spans="1:19" x14ac:dyDescent="0.25">
      <c r="A70" s="182">
        <v>69</v>
      </c>
      <c r="B70" s="183" t="s">
        <v>668</v>
      </c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>
        <f t="shared" si="1"/>
        <v>0</v>
      </c>
    </row>
    <row r="71" spans="1:19" x14ac:dyDescent="0.25">
      <c r="A71" s="182">
        <v>70</v>
      </c>
      <c r="B71" s="183" t="s">
        <v>671</v>
      </c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>
        <f t="shared" si="1"/>
        <v>0</v>
      </c>
    </row>
    <row r="72" spans="1:19" x14ac:dyDescent="0.25">
      <c r="A72" s="204"/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>
        <f t="shared" si="1"/>
        <v>0</v>
      </c>
    </row>
    <row r="73" spans="1:19" x14ac:dyDescent="0.25">
      <c r="A73" s="182"/>
      <c r="B73" s="183"/>
      <c r="C73" s="149"/>
    </row>
    <row r="74" spans="1:19" x14ac:dyDescent="0.25">
      <c r="A74" s="182"/>
      <c r="B74" s="183"/>
      <c r="C74" s="149"/>
    </row>
    <row r="75" spans="1:19" x14ac:dyDescent="0.25">
      <c r="A75" s="182"/>
      <c r="B75" s="183"/>
      <c r="C75" s="149"/>
    </row>
    <row r="76" spans="1:19" x14ac:dyDescent="0.25">
      <c r="A76" s="182"/>
      <c r="B76" s="183"/>
      <c r="C76" s="149"/>
    </row>
    <row r="77" spans="1:19" x14ac:dyDescent="0.25">
      <c r="A77" s="204"/>
      <c r="B77" s="204"/>
      <c r="C77" s="20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S130"/>
  <sheetViews>
    <sheetView topLeftCell="A58" zoomScale="70" zoomScaleNormal="70" workbookViewId="0">
      <selection activeCell="S54" sqref="S54"/>
    </sheetView>
  </sheetViews>
  <sheetFormatPr defaultRowHeight="15" x14ac:dyDescent="0.25"/>
  <cols>
    <col min="2" max="2" width="29.85546875" bestFit="1" customWidth="1"/>
    <col min="3" max="3" width="14.140625" customWidth="1"/>
  </cols>
  <sheetData>
    <row r="1" spans="1:19" x14ac:dyDescent="0.25">
      <c r="A1" s="200" t="s">
        <v>1</v>
      </c>
      <c r="B1" s="200" t="s">
        <v>6</v>
      </c>
      <c r="C1" s="200" t="s">
        <v>46</v>
      </c>
      <c r="D1" s="200" t="s">
        <v>47</v>
      </c>
      <c r="E1" s="200" t="s">
        <v>48</v>
      </c>
      <c r="F1" s="200" t="s">
        <v>49</v>
      </c>
      <c r="G1" s="200" t="s">
        <v>50</v>
      </c>
      <c r="H1" s="200" t="s">
        <v>51</v>
      </c>
      <c r="I1" s="200" t="s">
        <v>52</v>
      </c>
      <c r="J1" s="200" t="s">
        <v>53</v>
      </c>
      <c r="K1" s="200" t="s">
        <v>54</v>
      </c>
      <c r="L1" s="200" t="s">
        <v>55</v>
      </c>
      <c r="M1" s="200" t="s">
        <v>56</v>
      </c>
      <c r="N1" s="200" t="s">
        <v>57</v>
      </c>
      <c r="O1" s="200" t="s">
        <v>58</v>
      </c>
      <c r="P1" s="200" t="s">
        <v>59</v>
      </c>
      <c r="Q1" s="200" t="s">
        <v>669</v>
      </c>
      <c r="R1" s="200" t="s">
        <v>670</v>
      </c>
      <c r="S1" s="200" t="s">
        <v>2</v>
      </c>
    </row>
    <row r="2" spans="1:19" x14ac:dyDescent="0.25">
      <c r="A2" s="147">
        <v>1</v>
      </c>
      <c r="B2" s="148" t="s">
        <v>10</v>
      </c>
      <c r="C2" s="148"/>
      <c r="D2" s="148"/>
      <c r="E2" s="148"/>
      <c r="F2" s="148"/>
      <c r="G2" s="148"/>
      <c r="H2" s="148"/>
      <c r="I2" s="148"/>
      <c r="J2" s="148"/>
      <c r="K2" s="148"/>
      <c r="L2" s="148" t="s">
        <v>26</v>
      </c>
      <c r="M2" s="148" t="s">
        <v>26</v>
      </c>
      <c r="N2" s="148" t="s">
        <v>26</v>
      </c>
      <c r="O2" s="148" t="s">
        <v>26</v>
      </c>
      <c r="P2" s="148" t="s">
        <v>26</v>
      </c>
      <c r="Q2" s="148" t="s">
        <v>84</v>
      </c>
      <c r="R2" s="148"/>
      <c r="S2">
        <f>C2+D2+E2+F2+G2+H2+I2+J2+K2+L2+M2+N2+O2+P2+Q2+R2</f>
        <v>61</v>
      </c>
    </row>
    <row r="3" spans="1:19" x14ac:dyDescent="0.25">
      <c r="A3" s="147">
        <v>2</v>
      </c>
      <c r="B3" s="148" t="s">
        <v>11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>
        <f t="shared" ref="S3:S66" si="0">C3+D3+E3+F3+G3+H3+I3+J3+K3+L3+M3+N3+O3+P3+Q3+R3</f>
        <v>0</v>
      </c>
    </row>
    <row r="4" spans="1:19" x14ac:dyDescent="0.25">
      <c r="A4" s="147">
        <v>3</v>
      </c>
      <c r="B4" s="148" t="s">
        <v>12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>
        <f t="shared" si="0"/>
        <v>0</v>
      </c>
    </row>
    <row r="5" spans="1:19" x14ac:dyDescent="0.25">
      <c r="A5" s="147">
        <v>4</v>
      </c>
      <c r="B5" s="148" t="s">
        <v>664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>
        <f t="shared" si="0"/>
        <v>0</v>
      </c>
    </row>
    <row r="6" spans="1:19" x14ac:dyDescent="0.25">
      <c r="A6" s="147">
        <v>5</v>
      </c>
      <c r="B6" s="148" t="s">
        <v>14</v>
      </c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>
        <f t="shared" si="0"/>
        <v>0</v>
      </c>
    </row>
    <row r="7" spans="1:19" x14ac:dyDescent="0.25">
      <c r="A7" s="147">
        <v>6</v>
      </c>
      <c r="B7" s="148" t="s">
        <v>15</v>
      </c>
      <c r="C7" s="148"/>
      <c r="D7" s="148"/>
      <c r="E7" s="148"/>
      <c r="F7" s="148"/>
      <c r="G7" s="148"/>
      <c r="H7" s="148" t="s">
        <v>26</v>
      </c>
      <c r="I7" s="148" t="s">
        <v>64</v>
      </c>
      <c r="J7" s="148"/>
      <c r="K7" s="148"/>
      <c r="L7" s="148" t="s">
        <v>26</v>
      </c>
      <c r="M7" s="148"/>
      <c r="N7" s="148" t="s">
        <v>26</v>
      </c>
      <c r="O7" s="148" t="s">
        <v>26</v>
      </c>
      <c r="P7" s="148" t="s">
        <v>26</v>
      </c>
      <c r="Q7" s="148" t="s">
        <v>84</v>
      </c>
      <c r="R7" s="148"/>
      <c r="S7">
        <f t="shared" si="0"/>
        <v>71</v>
      </c>
    </row>
    <row r="8" spans="1:19" x14ac:dyDescent="0.25">
      <c r="A8" s="147">
        <v>7</v>
      </c>
      <c r="B8" s="148" t="s">
        <v>16</v>
      </c>
      <c r="C8" s="148"/>
      <c r="D8" s="148"/>
      <c r="E8" s="148"/>
      <c r="F8" s="148"/>
      <c r="G8" s="148"/>
      <c r="H8" s="148"/>
      <c r="I8" s="148"/>
      <c r="J8" s="148"/>
      <c r="K8" s="148"/>
      <c r="L8" s="148" t="s">
        <v>26</v>
      </c>
      <c r="M8" s="148" t="s">
        <v>26</v>
      </c>
      <c r="N8" s="148"/>
      <c r="O8" s="148"/>
      <c r="P8" s="148"/>
      <c r="Q8" s="148"/>
      <c r="R8" s="148"/>
      <c r="S8">
        <f t="shared" si="0"/>
        <v>22</v>
      </c>
    </row>
    <row r="9" spans="1:19" x14ac:dyDescent="0.25">
      <c r="A9" s="147">
        <v>8</v>
      </c>
      <c r="B9" s="148" t="s">
        <v>4</v>
      </c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>
        <f t="shared" si="0"/>
        <v>0</v>
      </c>
    </row>
    <row r="10" spans="1:19" x14ac:dyDescent="0.25">
      <c r="A10" s="147">
        <v>9</v>
      </c>
      <c r="B10" s="148" t="s">
        <v>5</v>
      </c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>
        <f t="shared" si="0"/>
        <v>0</v>
      </c>
    </row>
    <row r="11" spans="1:19" x14ac:dyDescent="0.25">
      <c r="A11" s="147">
        <v>10</v>
      </c>
      <c r="B11" s="148" t="s">
        <v>38</v>
      </c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>
        <f t="shared" si="0"/>
        <v>0</v>
      </c>
    </row>
    <row r="12" spans="1:19" x14ac:dyDescent="0.25">
      <c r="A12" s="147">
        <v>11</v>
      </c>
      <c r="B12" s="148" t="s">
        <v>43</v>
      </c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>
        <f t="shared" si="0"/>
        <v>0</v>
      </c>
    </row>
    <row r="13" spans="1:19" x14ac:dyDescent="0.25">
      <c r="A13" s="147">
        <v>12</v>
      </c>
      <c r="B13" s="148" t="s">
        <v>644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>
        <f t="shared" si="0"/>
        <v>0</v>
      </c>
    </row>
    <row r="14" spans="1:19" x14ac:dyDescent="0.25">
      <c r="A14" s="147">
        <v>13</v>
      </c>
      <c r="B14" s="148" t="s">
        <v>87</v>
      </c>
      <c r="C14" s="148"/>
      <c r="D14" s="148"/>
      <c r="E14" s="148"/>
      <c r="F14" s="148"/>
      <c r="G14" s="148"/>
      <c r="H14" s="148"/>
      <c r="I14" s="148"/>
      <c r="J14" s="148"/>
      <c r="K14" s="148"/>
      <c r="L14" s="148" t="s">
        <v>26</v>
      </c>
      <c r="M14" s="148" t="s">
        <v>26</v>
      </c>
      <c r="N14" s="148" t="s">
        <v>26</v>
      </c>
      <c r="O14" s="148" t="s">
        <v>26</v>
      </c>
      <c r="P14" s="148" t="s">
        <v>26</v>
      </c>
      <c r="Q14" s="148"/>
      <c r="R14" s="148"/>
      <c r="S14">
        <f t="shared" si="0"/>
        <v>55</v>
      </c>
    </row>
    <row r="15" spans="1:19" x14ac:dyDescent="0.25">
      <c r="A15" s="147">
        <v>14</v>
      </c>
      <c r="B15" s="148" t="s">
        <v>95</v>
      </c>
      <c r="C15" s="148"/>
      <c r="D15" s="148"/>
      <c r="E15" s="148"/>
      <c r="F15" s="148"/>
      <c r="G15" s="148"/>
      <c r="H15" s="148" t="s">
        <v>26</v>
      </c>
      <c r="I15" s="148"/>
      <c r="J15" s="148" t="s">
        <v>84</v>
      </c>
      <c r="K15" s="148"/>
      <c r="L15" s="148" t="s">
        <v>26</v>
      </c>
      <c r="M15" s="148" t="s">
        <v>26</v>
      </c>
      <c r="N15" s="148" t="s">
        <v>26</v>
      </c>
      <c r="O15" s="148" t="s">
        <v>26</v>
      </c>
      <c r="P15" s="148" t="s">
        <v>26</v>
      </c>
      <c r="Q15" s="148" t="s">
        <v>84</v>
      </c>
      <c r="R15" s="148"/>
      <c r="S15">
        <f t="shared" si="0"/>
        <v>78</v>
      </c>
    </row>
    <row r="16" spans="1:19" x14ac:dyDescent="0.25">
      <c r="A16" s="147">
        <v>15</v>
      </c>
      <c r="B16" s="148" t="s">
        <v>97</v>
      </c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>
        <f t="shared" si="0"/>
        <v>0</v>
      </c>
    </row>
    <row r="17" spans="1:19" x14ac:dyDescent="0.25">
      <c r="A17" s="147">
        <v>16</v>
      </c>
      <c r="B17" s="148" t="s">
        <v>96</v>
      </c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>
        <f t="shared" si="0"/>
        <v>0</v>
      </c>
    </row>
    <row r="18" spans="1:19" x14ac:dyDescent="0.25">
      <c r="A18" s="147">
        <v>17</v>
      </c>
      <c r="B18" s="148" t="s">
        <v>98</v>
      </c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>
        <f t="shared" si="0"/>
        <v>0</v>
      </c>
    </row>
    <row r="19" spans="1:19" x14ac:dyDescent="0.25">
      <c r="A19" s="147">
        <v>18</v>
      </c>
      <c r="B19" s="148" t="s">
        <v>99</v>
      </c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>
        <f t="shared" si="0"/>
        <v>0</v>
      </c>
    </row>
    <row r="20" spans="1:19" x14ac:dyDescent="0.25">
      <c r="A20" s="147">
        <v>19</v>
      </c>
      <c r="B20" s="148" t="s">
        <v>617</v>
      </c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>
        <f t="shared" si="0"/>
        <v>0</v>
      </c>
    </row>
    <row r="21" spans="1:19" x14ac:dyDescent="0.25">
      <c r="A21" s="147">
        <v>20</v>
      </c>
      <c r="B21" s="148" t="s">
        <v>618</v>
      </c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>
        <f t="shared" si="0"/>
        <v>0</v>
      </c>
    </row>
    <row r="22" spans="1:19" x14ac:dyDescent="0.25">
      <c r="A22" s="147">
        <v>21</v>
      </c>
      <c r="B22" s="148" t="s">
        <v>629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>
        <f t="shared" si="0"/>
        <v>0</v>
      </c>
    </row>
    <row r="23" spans="1:19" x14ac:dyDescent="0.25">
      <c r="A23" s="147">
        <v>22</v>
      </c>
      <c r="B23" s="148" t="s">
        <v>619</v>
      </c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>
        <f t="shared" si="0"/>
        <v>0</v>
      </c>
    </row>
    <row r="24" spans="1:19" x14ac:dyDescent="0.25">
      <c r="A24" s="147">
        <v>23</v>
      </c>
      <c r="B24" s="148" t="s">
        <v>620</v>
      </c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>
        <f t="shared" si="0"/>
        <v>0</v>
      </c>
    </row>
    <row r="25" spans="1:19" x14ac:dyDescent="0.25">
      <c r="A25" s="147">
        <v>24</v>
      </c>
      <c r="B25" s="148" t="s">
        <v>622</v>
      </c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>
        <f t="shared" si="0"/>
        <v>0</v>
      </c>
    </row>
    <row r="26" spans="1:19" x14ac:dyDescent="0.25">
      <c r="A26" s="147">
        <v>25</v>
      </c>
      <c r="B26" s="148" t="s">
        <v>661</v>
      </c>
      <c r="C26" s="148"/>
      <c r="D26" s="148"/>
      <c r="E26" s="148"/>
      <c r="F26" s="148"/>
      <c r="G26" s="148"/>
      <c r="H26" s="148" t="s">
        <v>26</v>
      </c>
      <c r="I26" s="148"/>
      <c r="J26" s="148"/>
      <c r="K26" s="148"/>
      <c r="L26" s="148" t="s">
        <v>26</v>
      </c>
      <c r="M26" s="148" t="s">
        <v>26</v>
      </c>
      <c r="N26" s="148" t="s">
        <v>26</v>
      </c>
      <c r="O26" s="148" t="s">
        <v>26</v>
      </c>
      <c r="P26" s="148" t="s">
        <v>26</v>
      </c>
      <c r="Q26" s="148" t="s">
        <v>84</v>
      </c>
      <c r="R26" s="148"/>
      <c r="S26">
        <f t="shared" si="0"/>
        <v>72</v>
      </c>
    </row>
    <row r="27" spans="1:19" x14ac:dyDescent="0.25">
      <c r="A27" s="147">
        <v>26</v>
      </c>
      <c r="B27" s="148" t="s">
        <v>623</v>
      </c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>
        <f t="shared" si="0"/>
        <v>0</v>
      </c>
    </row>
    <row r="28" spans="1:19" x14ac:dyDescent="0.25">
      <c r="A28" s="147">
        <v>27</v>
      </c>
      <c r="B28" s="148" t="s">
        <v>624</v>
      </c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>
        <f t="shared" si="0"/>
        <v>0</v>
      </c>
    </row>
    <row r="29" spans="1:19" x14ac:dyDescent="0.25">
      <c r="A29" s="147">
        <v>28</v>
      </c>
      <c r="B29" s="148" t="s">
        <v>625</v>
      </c>
      <c r="C29" s="148"/>
      <c r="D29" s="148"/>
      <c r="E29" s="148"/>
      <c r="F29" s="148"/>
      <c r="G29" s="148"/>
      <c r="H29" s="148"/>
      <c r="I29" s="148"/>
      <c r="J29" s="148"/>
      <c r="K29" s="148"/>
      <c r="L29" s="148" t="s">
        <v>26</v>
      </c>
      <c r="M29" s="148" t="s">
        <v>26</v>
      </c>
      <c r="N29" s="148" t="s">
        <v>26</v>
      </c>
      <c r="O29" s="148" t="s">
        <v>26</v>
      </c>
      <c r="P29" s="148" t="s">
        <v>26</v>
      </c>
      <c r="Q29" s="148"/>
      <c r="R29" s="148"/>
      <c r="S29">
        <f t="shared" si="0"/>
        <v>55</v>
      </c>
    </row>
    <row r="30" spans="1:19" x14ac:dyDescent="0.25">
      <c r="A30" s="147">
        <v>29</v>
      </c>
      <c r="B30" s="148" t="s">
        <v>626</v>
      </c>
      <c r="C30" s="148"/>
      <c r="D30" s="148"/>
      <c r="E30" s="148"/>
      <c r="F30" s="148"/>
      <c r="G30" s="148"/>
      <c r="H30" s="148" t="s">
        <v>26</v>
      </c>
      <c r="I30" s="148" t="s">
        <v>26</v>
      </c>
      <c r="J30" s="148" t="s">
        <v>84</v>
      </c>
      <c r="K30" s="148"/>
      <c r="L30" s="148" t="s">
        <v>26</v>
      </c>
      <c r="M30" s="148" t="s">
        <v>26</v>
      </c>
      <c r="N30" s="148" t="s">
        <v>26</v>
      </c>
      <c r="O30" s="148" t="s">
        <v>26</v>
      </c>
      <c r="P30" s="148" t="s">
        <v>26</v>
      </c>
      <c r="Q30" s="148" t="s">
        <v>84</v>
      </c>
      <c r="R30" s="148"/>
      <c r="S30">
        <f t="shared" si="0"/>
        <v>89</v>
      </c>
    </row>
    <row r="31" spans="1:19" x14ac:dyDescent="0.25">
      <c r="A31" s="147">
        <v>30</v>
      </c>
      <c r="B31" s="148" t="s">
        <v>631</v>
      </c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>
        <f t="shared" si="0"/>
        <v>0</v>
      </c>
    </row>
    <row r="32" spans="1:19" x14ac:dyDescent="0.25">
      <c r="A32" s="147">
        <v>31</v>
      </c>
      <c r="B32" s="148" t="s">
        <v>627</v>
      </c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>
        <f t="shared" si="0"/>
        <v>0</v>
      </c>
    </row>
    <row r="33" spans="1:19" x14ac:dyDescent="0.25">
      <c r="A33" s="147">
        <v>32</v>
      </c>
      <c r="B33" s="148" t="s">
        <v>34</v>
      </c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>
        <f t="shared" si="0"/>
        <v>0</v>
      </c>
    </row>
    <row r="34" spans="1:19" x14ac:dyDescent="0.25">
      <c r="A34" s="147">
        <v>33</v>
      </c>
      <c r="B34" s="148" t="s">
        <v>628</v>
      </c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>
        <f t="shared" si="0"/>
        <v>0</v>
      </c>
    </row>
    <row r="35" spans="1:19" x14ac:dyDescent="0.25">
      <c r="A35" s="147">
        <v>34</v>
      </c>
      <c r="B35" s="148" t="s">
        <v>621</v>
      </c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>
        <f t="shared" si="0"/>
        <v>0</v>
      </c>
    </row>
    <row r="36" spans="1:19" x14ac:dyDescent="0.25">
      <c r="A36" s="147">
        <v>35</v>
      </c>
      <c r="B36" s="148" t="s">
        <v>45</v>
      </c>
      <c r="C36" s="148"/>
      <c r="D36" s="148"/>
      <c r="E36" s="148"/>
      <c r="F36" s="148"/>
      <c r="G36" s="148"/>
      <c r="H36" s="148"/>
      <c r="I36" s="148"/>
      <c r="J36" s="148"/>
      <c r="K36" s="148"/>
      <c r="L36" s="148" t="s">
        <v>26</v>
      </c>
      <c r="M36" s="148" t="s">
        <v>26</v>
      </c>
      <c r="N36" s="148"/>
      <c r="O36" s="148"/>
      <c r="P36" s="148"/>
      <c r="Q36" s="148"/>
      <c r="R36" s="148"/>
      <c r="S36">
        <f t="shared" si="0"/>
        <v>22</v>
      </c>
    </row>
    <row r="37" spans="1:19" x14ac:dyDescent="0.25">
      <c r="A37" s="147">
        <v>36</v>
      </c>
      <c r="B37" s="148" t="s">
        <v>634</v>
      </c>
      <c r="C37" s="148"/>
      <c r="D37" s="148"/>
      <c r="E37" s="148"/>
      <c r="F37" s="148"/>
      <c r="G37" s="148"/>
      <c r="H37" s="148" t="s">
        <v>26</v>
      </c>
      <c r="I37" s="148"/>
      <c r="J37" s="148"/>
      <c r="K37" s="148"/>
      <c r="L37" s="148" t="s">
        <v>26</v>
      </c>
      <c r="M37" s="148" t="s">
        <v>26</v>
      </c>
      <c r="N37" s="148" t="s">
        <v>26</v>
      </c>
      <c r="O37" s="148" t="s">
        <v>26</v>
      </c>
      <c r="P37" s="148" t="s">
        <v>26</v>
      </c>
      <c r="Q37" s="148"/>
      <c r="R37" s="148"/>
      <c r="S37">
        <f t="shared" si="0"/>
        <v>66</v>
      </c>
    </row>
    <row r="38" spans="1:19" x14ac:dyDescent="0.25">
      <c r="A38" s="147">
        <v>37</v>
      </c>
      <c r="B38" s="148" t="s">
        <v>647</v>
      </c>
      <c r="C38" s="148"/>
      <c r="D38" s="148"/>
      <c r="E38" s="148"/>
      <c r="F38" s="148"/>
      <c r="G38" s="148"/>
      <c r="H38" s="148"/>
      <c r="I38" s="148"/>
      <c r="J38" s="148"/>
      <c r="K38" s="148"/>
      <c r="L38" s="148" t="s">
        <v>26</v>
      </c>
      <c r="M38" s="148" t="s">
        <v>26</v>
      </c>
      <c r="N38" s="148" t="s">
        <v>26</v>
      </c>
      <c r="O38" s="148" t="s">
        <v>64</v>
      </c>
      <c r="P38" s="148" t="s">
        <v>85</v>
      </c>
      <c r="Q38" s="148"/>
      <c r="R38" s="148"/>
      <c r="S38">
        <f t="shared" si="0"/>
        <v>50</v>
      </c>
    </row>
    <row r="39" spans="1:19" x14ac:dyDescent="0.25">
      <c r="A39" s="147">
        <v>38</v>
      </c>
      <c r="B39" s="148" t="s">
        <v>632</v>
      </c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>
        <f t="shared" si="0"/>
        <v>0</v>
      </c>
    </row>
    <row r="40" spans="1:19" x14ac:dyDescent="0.25">
      <c r="A40" s="147">
        <v>39</v>
      </c>
      <c r="B40" s="148" t="s">
        <v>633</v>
      </c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>
        <f t="shared" si="0"/>
        <v>0</v>
      </c>
    </row>
    <row r="41" spans="1:19" x14ac:dyDescent="0.25">
      <c r="A41" s="147">
        <v>40</v>
      </c>
      <c r="B41" s="148" t="s">
        <v>635</v>
      </c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>
        <f t="shared" si="0"/>
        <v>0</v>
      </c>
    </row>
    <row r="42" spans="1:19" x14ac:dyDescent="0.25">
      <c r="A42" s="147">
        <v>41</v>
      </c>
      <c r="B42" s="148" t="s">
        <v>636</v>
      </c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>
        <f t="shared" si="0"/>
        <v>0</v>
      </c>
    </row>
    <row r="43" spans="1:19" x14ac:dyDescent="0.25">
      <c r="A43" s="147">
        <v>42</v>
      </c>
      <c r="B43" s="148" t="s">
        <v>637</v>
      </c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>
        <f t="shared" si="0"/>
        <v>0</v>
      </c>
    </row>
    <row r="44" spans="1:19" x14ac:dyDescent="0.25">
      <c r="A44" s="147">
        <v>43</v>
      </c>
      <c r="B44" s="148" t="s">
        <v>638</v>
      </c>
      <c r="C44" s="148"/>
      <c r="D44" s="148"/>
      <c r="E44" s="148"/>
      <c r="F44" s="148"/>
      <c r="G44" s="148"/>
      <c r="H44" s="148"/>
      <c r="I44" s="148" t="s">
        <v>26</v>
      </c>
      <c r="J44" s="148"/>
      <c r="K44" s="148"/>
      <c r="L44" s="148" t="s">
        <v>26</v>
      </c>
      <c r="M44" s="148" t="s">
        <v>26</v>
      </c>
      <c r="N44" s="148" t="s">
        <v>26</v>
      </c>
      <c r="O44" s="148" t="s">
        <v>26</v>
      </c>
      <c r="P44" s="148" t="s">
        <v>26</v>
      </c>
      <c r="Q44" s="148" t="s">
        <v>84</v>
      </c>
      <c r="R44" s="148"/>
      <c r="S44">
        <f t="shared" si="0"/>
        <v>72</v>
      </c>
    </row>
    <row r="45" spans="1:19" x14ac:dyDescent="0.25">
      <c r="A45" s="147">
        <v>44</v>
      </c>
      <c r="B45" s="148" t="s">
        <v>630</v>
      </c>
      <c r="C45" s="148"/>
      <c r="D45" s="148"/>
      <c r="E45" s="148"/>
      <c r="F45" s="148"/>
      <c r="G45" s="148"/>
      <c r="H45" s="148"/>
      <c r="I45" s="148" t="s">
        <v>26</v>
      </c>
      <c r="J45" s="148"/>
      <c r="K45" s="148"/>
      <c r="L45" s="148"/>
      <c r="M45" s="148"/>
      <c r="N45" s="148"/>
      <c r="O45" s="148"/>
      <c r="P45" s="148"/>
      <c r="Q45" s="148"/>
      <c r="R45" s="148"/>
      <c r="S45">
        <f t="shared" si="0"/>
        <v>11</v>
      </c>
    </row>
    <row r="46" spans="1:19" x14ac:dyDescent="0.25">
      <c r="A46" s="147">
        <v>45</v>
      </c>
      <c r="B46" s="148" t="s">
        <v>639</v>
      </c>
      <c r="C46" s="148"/>
      <c r="D46" s="148"/>
      <c r="E46" s="148"/>
      <c r="F46" s="148"/>
      <c r="G46" s="148"/>
      <c r="H46" s="148"/>
      <c r="I46" s="148"/>
      <c r="J46" s="148" t="s">
        <v>84</v>
      </c>
      <c r="K46" s="148"/>
      <c r="L46" s="148" t="s">
        <v>26</v>
      </c>
      <c r="M46" s="148" t="s">
        <v>26</v>
      </c>
      <c r="N46" s="148" t="s">
        <v>26</v>
      </c>
      <c r="O46" s="148" t="s">
        <v>26</v>
      </c>
      <c r="P46" s="148" t="s">
        <v>26</v>
      </c>
      <c r="Q46" s="148" t="s">
        <v>84</v>
      </c>
      <c r="R46" s="148"/>
      <c r="S46">
        <f t="shared" si="0"/>
        <v>67</v>
      </c>
    </row>
    <row r="47" spans="1:19" x14ac:dyDescent="0.25">
      <c r="A47" s="147">
        <v>46</v>
      </c>
      <c r="B47" s="148" t="s">
        <v>641</v>
      </c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>
        <f t="shared" si="0"/>
        <v>0</v>
      </c>
    </row>
    <row r="48" spans="1:19" x14ac:dyDescent="0.25">
      <c r="A48" s="147">
        <v>47</v>
      </c>
      <c r="B48" s="148" t="s">
        <v>642</v>
      </c>
      <c r="C48" s="148"/>
      <c r="D48" s="148"/>
      <c r="E48" s="148"/>
      <c r="F48" s="148"/>
      <c r="G48" s="148"/>
      <c r="H48" s="148"/>
      <c r="I48" s="148"/>
      <c r="J48" s="148"/>
      <c r="K48" s="148"/>
      <c r="L48" s="148" t="s">
        <v>26</v>
      </c>
      <c r="M48" s="148" t="s">
        <v>26</v>
      </c>
      <c r="N48" s="148" t="s">
        <v>26</v>
      </c>
      <c r="O48" s="148" t="s">
        <v>26</v>
      </c>
      <c r="P48" s="148" t="s">
        <v>26</v>
      </c>
      <c r="Q48" s="148" t="s">
        <v>84</v>
      </c>
      <c r="R48" s="148"/>
      <c r="S48">
        <f t="shared" si="0"/>
        <v>61</v>
      </c>
    </row>
    <row r="49" spans="1:19" x14ac:dyDescent="0.25">
      <c r="A49" s="147">
        <v>48</v>
      </c>
      <c r="B49" s="148" t="s">
        <v>645</v>
      </c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>
        <f t="shared" si="0"/>
        <v>0</v>
      </c>
    </row>
    <row r="50" spans="1:19" x14ac:dyDescent="0.25">
      <c r="A50" s="147">
        <v>49</v>
      </c>
      <c r="B50" s="148" t="s">
        <v>643</v>
      </c>
      <c r="C50" s="148"/>
      <c r="D50" s="148"/>
      <c r="E50" s="148"/>
      <c r="F50" s="148"/>
      <c r="G50" s="148"/>
      <c r="H50" s="148"/>
      <c r="I50" s="148" t="s">
        <v>26</v>
      </c>
      <c r="J50" s="148"/>
      <c r="K50" s="148"/>
      <c r="L50" s="148" t="s">
        <v>26</v>
      </c>
      <c r="M50" s="148"/>
      <c r="N50" s="148"/>
      <c r="O50" s="148"/>
      <c r="P50" s="148"/>
      <c r="Q50" s="148"/>
      <c r="R50" s="148"/>
      <c r="S50">
        <f t="shared" si="0"/>
        <v>22</v>
      </c>
    </row>
    <row r="51" spans="1:19" x14ac:dyDescent="0.25">
      <c r="A51" s="147">
        <v>50</v>
      </c>
      <c r="B51" s="148" t="s">
        <v>640</v>
      </c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>
        <f t="shared" si="0"/>
        <v>0</v>
      </c>
    </row>
    <row r="52" spans="1:19" x14ac:dyDescent="0.25">
      <c r="A52" s="147">
        <v>51</v>
      </c>
      <c r="B52" s="148" t="s">
        <v>646</v>
      </c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>
        <f t="shared" si="0"/>
        <v>0</v>
      </c>
    </row>
    <row r="53" spans="1:19" x14ac:dyDescent="0.25">
      <c r="A53" s="147">
        <v>52</v>
      </c>
      <c r="B53" s="148" t="s">
        <v>660</v>
      </c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>
        <f t="shared" si="0"/>
        <v>0</v>
      </c>
    </row>
    <row r="54" spans="1:19" x14ac:dyDescent="0.25">
      <c r="A54" s="147">
        <v>53</v>
      </c>
      <c r="B54" s="148" t="s">
        <v>648</v>
      </c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>
        <f t="shared" si="0"/>
        <v>0</v>
      </c>
    </row>
    <row r="55" spans="1:19" x14ac:dyDescent="0.25">
      <c r="A55" s="147">
        <v>54</v>
      </c>
      <c r="B55" s="148" t="s">
        <v>649</v>
      </c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>
        <f t="shared" si="0"/>
        <v>0</v>
      </c>
    </row>
    <row r="56" spans="1:19" x14ac:dyDescent="0.25">
      <c r="A56" s="147">
        <v>55</v>
      </c>
      <c r="B56" s="148" t="s">
        <v>650</v>
      </c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>
        <f t="shared" si="0"/>
        <v>0</v>
      </c>
    </row>
    <row r="57" spans="1:19" x14ac:dyDescent="0.25">
      <c r="A57" s="147">
        <v>56</v>
      </c>
      <c r="B57" s="148" t="s">
        <v>652</v>
      </c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>
        <f t="shared" si="0"/>
        <v>0</v>
      </c>
    </row>
    <row r="58" spans="1:19" x14ac:dyDescent="0.25">
      <c r="A58" s="147">
        <v>57</v>
      </c>
      <c r="B58" s="148" t="s">
        <v>653</v>
      </c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>
        <f t="shared" si="0"/>
        <v>0</v>
      </c>
    </row>
    <row r="59" spans="1:19" x14ac:dyDescent="0.25">
      <c r="A59" s="147">
        <v>58</v>
      </c>
      <c r="B59" s="148" t="s">
        <v>654</v>
      </c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>
        <f t="shared" si="0"/>
        <v>0</v>
      </c>
    </row>
    <row r="60" spans="1:19" x14ac:dyDescent="0.25">
      <c r="A60" s="147">
        <v>59</v>
      </c>
      <c r="B60" s="148" t="s">
        <v>655</v>
      </c>
      <c r="C60" s="148"/>
      <c r="D60" s="148"/>
      <c r="E60" s="148"/>
      <c r="F60" s="148"/>
      <c r="G60" s="148"/>
      <c r="H60" s="148"/>
      <c r="I60" s="148"/>
      <c r="J60" s="148"/>
      <c r="K60" s="148"/>
      <c r="L60" s="148" t="s">
        <v>672</v>
      </c>
      <c r="M60" s="148"/>
      <c r="N60" s="148"/>
      <c r="O60" s="148"/>
      <c r="P60" s="148"/>
      <c r="Q60" s="148"/>
      <c r="R60" s="148"/>
      <c r="S60">
        <f t="shared" si="0"/>
        <v>0</v>
      </c>
    </row>
    <row r="61" spans="1:19" x14ac:dyDescent="0.25">
      <c r="A61" s="147">
        <v>60</v>
      </c>
      <c r="B61" s="148" t="s">
        <v>656</v>
      </c>
      <c r="C61" s="148"/>
      <c r="D61" s="148"/>
      <c r="E61" s="148"/>
      <c r="F61" s="148"/>
      <c r="G61" s="148"/>
      <c r="H61" s="148"/>
      <c r="I61" s="148" t="s">
        <v>26</v>
      </c>
      <c r="J61" s="148" t="s">
        <v>84</v>
      </c>
      <c r="K61" s="148"/>
      <c r="L61" s="148" t="s">
        <v>64</v>
      </c>
      <c r="M61" s="148" t="s">
        <v>26</v>
      </c>
      <c r="N61" s="148" t="s">
        <v>26</v>
      </c>
      <c r="O61" s="148" t="s">
        <v>26</v>
      </c>
      <c r="P61" s="148" t="s">
        <v>26</v>
      </c>
      <c r="Q61" s="148" t="s">
        <v>84</v>
      </c>
      <c r="R61" s="148"/>
      <c r="S61">
        <f t="shared" si="0"/>
        <v>77</v>
      </c>
    </row>
    <row r="62" spans="1:19" x14ac:dyDescent="0.25">
      <c r="A62" s="147">
        <v>61</v>
      </c>
      <c r="B62" s="148" t="s">
        <v>658</v>
      </c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>
        <f t="shared" si="0"/>
        <v>0</v>
      </c>
    </row>
    <row r="63" spans="1:19" x14ac:dyDescent="0.25">
      <c r="A63" s="147">
        <v>62</v>
      </c>
      <c r="B63" s="148" t="s">
        <v>659</v>
      </c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>
        <f t="shared" si="0"/>
        <v>0</v>
      </c>
    </row>
    <row r="64" spans="1:19" x14ac:dyDescent="0.25">
      <c r="A64" s="147">
        <v>63</v>
      </c>
      <c r="B64" s="148" t="s">
        <v>20</v>
      </c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>
        <f t="shared" si="0"/>
        <v>0</v>
      </c>
    </row>
    <row r="65" spans="1:19" x14ac:dyDescent="0.25">
      <c r="A65" s="147">
        <v>64</v>
      </c>
      <c r="B65" s="148" t="s">
        <v>662</v>
      </c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>
        <f t="shared" si="0"/>
        <v>0</v>
      </c>
    </row>
    <row r="66" spans="1:19" x14ac:dyDescent="0.25">
      <c r="A66" s="147">
        <v>65</v>
      </c>
      <c r="B66" s="148" t="s">
        <v>663</v>
      </c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>
        <f t="shared" si="0"/>
        <v>0</v>
      </c>
    </row>
    <row r="67" spans="1:19" x14ac:dyDescent="0.25">
      <c r="A67" s="147">
        <v>66</v>
      </c>
      <c r="B67" s="148" t="s">
        <v>665</v>
      </c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>
        <f t="shared" ref="S67:S72" si="1">C67+D67+E67+F67+G67+H67+I67+J67+K67+L67+M67+N67+O67+P67+Q67+R67</f>
        <v>0</v>
      </c>
    </row>
    <row r="68" spans="1:19" x14ac:dyDescent="0.25">
      <c r="A68" s="147">
        <v>67</v>
      </c>
      <c r="B68" s="148" t="s">
        <v>666</v>
      </c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>
        <f t="shared" si="1"/>
        <v>0</v>
      </c>
    </row>
    <row r="69" spans="1:19" x14ac:dyDescent="0.25">
      <c r="A69" s="147">
        <v>68</v>
      </c>
      <c r="B69" s="148" t="s">
        <v>667</v>
      </c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>
        <f t="shared" si="1"/>
        <v>0</v>
      </c>
    </row>
    <row r="70" spans="1:19" x14ac:dyDescent="0.25">
      <c r="A70" s="147">
        <v>69</v>
      </c>
      <c r="B70" s="148" t="s">
        <v>668</v>
      </c>
      <c r="C70" s="148"/>
      <c r="D70" s="148"/>
      <c r="E70" s="148"/>
      <c r="F70" s="148"/>
      <c r="G70" s="148"/>
      <c r="H70" s="148"/>
      <c r="I70" s="148"/>
      <c r="J70" s="148"/>
      <c r="K70" s="148"/>
      <c r="L70" s="148" t="s">
        <v>26</v>
      </c>
      <c r="M70" s="148" t="s">
        <v>25</v>
      </c>
      <c r="N70" s="148" t="s">
        <v>26</v>
      </c>
      <c r="O70" s="148"/>
      <c r="P70" s="148"/>
      <c r="Q70" s="148"/>
      <c r="R70" s="148"/>
      <c r="S70">
        <f t="shared" si="1"/>
        <v>31</v>
      </c>
    </row>
    <row r="71" spans="1:19" x14ac:dyDescent="0.25">
      <c r="A71" s="147">
        <v>70</v>
      </c>
      <c r="B71" s="148" t="s">
        <v>671</v>
      </c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>
        <f t="shared" si="1"/>
        <v>0</v>
      </c>
    </row>
    <row r="72" spans="1:19" x14ac:dyDescent="0.25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>
        <f t="shared" si="1"/>
        <v>0</v>
      </c>
    </row>
    <row r="73" spans="1:19" x14ac:dyDescent="0.25">
      <c r="A73" s="147"/>
      <c r="B73" s="148"/>
      <c r="C73" s="149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9"/>
    </row>
    <row r="74" spans="1:19" x14ac:dyDescent="0.25">
      <c r="A74" s="147"/>
      <c r="B74" s="148"/>
      <c r="C74" s="149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9"/>
    </row>
    <row r="75" spans="1:19" x14ac:dyDescent="0.25">
      <c r="A75" s="147"/>
      <c r="B75" s="148"/>
      <c r="C75" s="149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9"/>
    </row>
    <row r="76" spans="1:19" x14ac:dyDescent="0.25">
      <c r="A76" s="147"/>
      <c r="B76" s="148"/>
      <c r="C76" s="149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9"/>
    </row>
    <row r="77" spans="1:19" x14ac:dyDescent="0.25">
      <c r="A77" s="200"/>
      <c r="B77" s="200"/>
      <c r="C77" s="149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49"/>
    </row>
    <row r="78" spans="1:19" x14ac:dyDescent="0.25">
      <c r="A78" s="172"/>
      <c r="B78" s="172"/>
      <c r="C78" s="162"/>
      <c r="R78" s="162"/>
    </row>
    <row r="79" spans="1:19" x14ac:dyDescent="0.25">
      <c r="A79" s="146"/>
      <c r="B79" s="146"/>
    </row>
    <row r="80" spans="1:19" x14ac:dyDescent="0.25">
      <c r="A80" s="146"/>
      <c r="B80" s="146"/>
    </row>
    <row r="81" spans="1:2" x14ac:dyDescent="0.25">
      <c r="A81" s="146"/>
      <c r="B81" s="146"/>
    </row>
    <row r="82" spans="1:2" x14ac:dyDescent="0.25">
      <c r="A82" s="146"/>
      <c r="B82" s="146"/>
    </row>
    <row r="83" spans="1:2" x14ac:dyDescent="0.25">
      <c r="A83" s="146"/>
      <c r="B83" s="146"/>
    </row>
    <row r="84" spans="1:2" x14ac:dyDescent="0.25">
      <c r="A84" s="146"/>
      <c r="B84" s="146"/>
    </row>
    <row r="85" spans="1:2" x14ac:dyDescent="0.25">
      <c r="A85" s="146"/>
      <c r="B85" s="146"/>
    </row>
    <row r="86" spans="1:2" x14ac:dyDescent="0.25">
      <c r="A86" s="146"/>
      <c r="B86" s="146"/>
    </row>
    <row r="87" spans="1:2" x14ac:dyDescent="0.25">
      <c r="A87" s="146"/>
      <c r="B87" s="146"/>
    </row>
    <row r="88" spans="1:2" x14ac:dyDescent="0.25">
      <c r="A88" s="146"/>
      <c r="B88" s="146"/>
    </row>
    <row r="89" spans="1:2" x14ac:dyDescent="0.25">
      <c r="A89" s="146"/>
      <c r="B89" s="146"/>
    </row>
    <row r="90" spans="1:2" x14ac:dyDescent="0.25">
      <c r="A90" s="146"/>
      <c r="B90" s="146"/>
    </row>
    <row r="91" spans="1:2" x14ac:dyDescent="0.25">
      <c r="A91" s="146"/>
      <c r="B91" s="146"/>
    </row>
    <row r="92" spans="1:2" x14ac:dyDescent="0.25">
      <c r="A92" s="146"/>
      <c r="B92" s="146"/>
    </row>
    <row r="93" spans="1:2" x14ac:dyDescent="0.25">
      <c r="A93" s="146"/>
      <c r="B93" s="146"/>
    </row>
    <row r="94" spans="1:2" x14ac:dyDescent="0.25">
      <c r="A94" s="146"/>
      <c r="B94" s="146"/>
    </row>
    <row r="95" spans="1:2" x14ac:dyDescent="0.25">
      <c r="A95" s="146"/>
      <c r="B95" s="146"/>
    </row>
    <row r="96" spans="1:2" x14ac:dyDescent="0.25">
      <c r="A96" s="146"/>
      <c r="B96" s="146"/>
    </row>
    <row r="97" spans="1:2" x14ac:dyDescent="0.25">
      <c r="A97" s="146"/>
      <c r="B97" s="146"/>
    </row>
    <row r="98" spans="1:2" x14ac:dyDescent="0.25">
      <c r="A98" s="146"/>
      <c r="B98" s="146"/>
    </row>
    <row r="99" spans="1:2" x14ac:dyDescent="0.25">
      <c r="A99" s="146"/>
      <c r="B99" s="146"/>
    </row>
    <row r="100" spans="1:2" x14ac:dyDescent="0.25">
      <c r="A100" s="146"/>
      <c r="B100" s="146"/>
    </row>
    <row r="101" spans="1:2" x14ac:dyDescent="0.25">
      <c r="A101" s="146"/>
      <c r="B101" s="146"/>
    </row>
    <row r="102" spans="1:2" x14ac:dyDescent="0.25">
      <c r="A102" s="146"/>
      <c r="B102" s="146"/>
    </row>
    <row r="103" spans="1:2" x14ac:dyDescent="0.25">
      <c r="A103" s="146"/>
      <c r="B103" s="146"/>
    </row>
    <row r="104" spans="1:2" x14ac:dyDescent="0.25">
      <c r="A104" s="146"/>
      <c r="B104" s="146"/>
    </row>
    <row r="105" spans="1:2" x14ac:dyDescent="0.25">
      <c r="A105" s="146"/>
      <c r="B105" s="146"/>
    </row>
    <row r="106" spans="1:2" x14ac:dyDescent="0.25">
      <c r="A106" s="146"/>
      <c r="B106" s="146"/>
    </row>
    <row r="107" spans="1:2" x14ac:dyDescent="0.25">
      <c r="A107" s="146"/>
      <c r="B107" s="146"/>
    </row>
    <row r="108" spans="1:2" x14ac:dyDescent="0.25">
      <c r="A108" s="146"/>
      <c r="B108" s="146"/>
    </row>
    <row r="109" spans="1:2" x14ac:dyDescent="0.25">
      <c r="A109" s="146"/>
      <c r="B109" s="146"/>
    </row>
    <row r="110" spans="1:2" x14ac:dyDescent="0.25">
      <c r="A110" s="146"/>
      <c r="B110" s="146"/>
    </row>
    <row r="111" spans="1:2" x14ac:dyDescent="0.25">
      <c r="A111" s="146"/>
      <c r="B111" s="146"/>
    </row>
    <row r="112" spans="1:2" x14ac:dyDescent="0.25">
      <c r="A112" s="146"/>
      <c r="B112" s="146"/>
    </row>
    <row r="113" spans="1:2" x14ac:dyDescent="0.25">
      <c r="A113" s="146"/>
      <c r="B113" s="146"/>
    </row>
    <row r="114" spans="1:2" x14ac:dyDescent="0.25">
      <c r="A114" s="146"/>
      <c r="B114" s="146"/>
    </row>
    <row r="115" spans="1:2" x14ac:dyDescent="0.25">
      <c r="A115" s="146"/>
      <c r="B115" s="146"/>
    </row>
    <row r="116" spans="1:2" x14ac:dyDescent="0.25">
      <c r="A116" s="146"/>
      <c r="B116" s="146"/>
    </row>
    <row r="117" spans="1:2" x14ac:dyDescent="0.25">
      <c r="A117" s="146"/>
      <c r="B117" s="146"/>
    </row>
    <row r="118" spans="1:2" x14ac:dyDescent="0.25">
      <c r="A118" s="146"/>
      <c r="B118" s="146"/>
    </row>
    <row r="119" spans="1:2" x14ac:dyDescent="0.25">
      <c r="A119" s="146"/>
      <c r="B119" s="146"/>
    </row>
    <row r="120" spans="1:2" x14ac:dyDescent="0.25">
      <c r="A120" s="146"/>
      <c r="B120" s="146"/>
    </row>
    <row r="121" spans="1:2" x14ac:dyDescent="0.25">
      <c r="A121" s="146"/>
      <c r="B121" s="146"/>
    </row>
    <row r="122" spans="1:2" x14ac:dyDescent="0.25">
      <c r="A122" s="146"/>
      <c r="B122" s="146"/>
    </row>
    <row r="123" spans="1:2" x14ac:dyDescent="0.25">
      <c r="A123" s="146"/>
      <c r="B123" s="146"/>
    </row>
    <row r="124" spans="1:2" x14ac:dyDescent="0.25">
      <c r="A124" s="146"/>
      <c r="B124" s="146"/>
    </row>
    <row r="125" spans="1:2" x14ac:dyDescent="0.25">
      <c r="A125" s="146"/>
      <c r="B125" s="146"/>
    </row>
    <row r="126" spans="1:2" x14ac:dyDescent="0.25">
      <c r="A126" s="146"/>
      <c r="B126" s="146"/>
    </row>
    <row r="127" spans="1:2" x14ac:dyDescent="0.25">
      <c r="A127" s="146"/>
      <c r="B127" s="146"/>
    </row>
    <row r="128" spans="1:2" x14ac:dyDescent="0.25">
      <c r="A128" s="146"/>
      <c r="B128" s="146"/>
    </row>
    <row r="129" spans="1:2" x14ac:dyDescent="0.25">
      <c r="A129" s="146"/>
      <c r="B129" s="146"/>
    </row>
    <row r="130" spans="1:2" x14ac:dyDescent="0.25">
      <c r="A130" s="146"/>
      <c r="B130" s="1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S78"/>
  <sheetViews>
    <sheetView topLeftCell="A55" zoomScale="70" zoomScaleNormal="70" workbookViewId="0">
      <selection activeCell="S29" sqref="S29"/>
    </sheetView>
  </sheetViews>
  <sheetFormatPr defaultRowHeight="15" x14ac:dyDescent="0.25"/>
  <cols>
    <col min="2" max="2" width="42" customWidth="1"/>
  </cols>
  <sheetData>
    <row r="1" spans="1:19" x14ac:dyDescent="0.25">
      <c r="A1" s="201" t="s">
        <v>1</v>
      </c>
      <c r="B1" s="201" t="s">
        <v>6</v>
      </c>
      <c r="C1" s="201" t="s">
        <v>46</v>
      </c>
      <c r="D1" s="201" t="s">
        <v>47</v>
      </c>
      <c r="E1" s="201" t="s">
        <v>48</v>
      </c>
      <c r="F1" s="201" t="s">
        <v>49</v>
      </c>
      <c r="G1" s="201" t="s">
        <v>50</v>
      </c>
      <c r="H1" s="201" t="s">
        <v>51</v>
      </c>
      <c r="I1" s="201" t="s">
        <v>52</v>
      </c>
      <c r="J1" s="201" t="s">
        <v>53</v>
      </c>
      <c r="K1" s="201" t="s">
        <v>54</v>
      </c>
      <c r="L1" s="201" t="s">
        <v>55</v>
      </c>
      <c r="M1" s="201" t="s">
        <v>56</v>
      </c>
      <c r="N1" s="201" t="s">
        <v>57</v>
      </c>
      <c r="O1" s="201" t="s">
        <v>58</v>
      </c>
      <c r="P1" s="201" t="s">
        <v>59</v>
      </c>
      <c r="Q1" s="201" t="s">
        <v>669</v>
      </c>
      <c r="R1" s="201" t="s">
        <v>670</v>
      </c>
      <c r="S1" s="201" t="s">
        <v>2</v>
      </c>
    </row>
    <row r="2" spans="1:19" x14ac:dyDescent="0.25">
      <c r="A2" s="158">
        <v>1</v>
      </c>
      <c r="B2" s="159" t="s">
        <v>10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>
        <f t="shared" ref="S2:S65" si="0">C2+D2+E2+F2+G2+H2+I2+J2+K2+L2+M2+N2+O2+P2+Q2+R2</f>
        <v>0</v>
      </c>
    </row>
    <row r="3" spans="1:19" x14ac:dyDescent="0.25">
      <c r="A3" s="158">
        <v>2</v>
      </c>
      <c r="B3" s="159" t="s">
        <v>11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>
        <f t="shared" si="0"/>
        <v>0</v>
      </c>
    </row>
    <row r="4" spans="1:19" x14ac:dyDescent="0.25">
      <c r="A4" s="158">
        <v>3</v>
      </c>
      <c r="B4" s="159" t="s">
        <v>12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>
        <f t="shared" si="0"/>
        <v>0</v>
      </c>
    </row>
    <row r="5" spans="1:19" x14ac:dyDescent="0.25">
      <c r="A5" s="158">
        <v>4</v>
      </c>
      <c r="B5" s="159" t="s">
        <v>664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>
        <f t="shared" si="0"/>
        <v>0</v>
      </c>
    </row>
    <row r="6" spans="1:19" x14ac:dyDescent="0.25">
      <c r="A6" s="158">
        <v>5</v>
      </c>
      <c r="B6" s="159" t="s">
        <v>14</v>
      </c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>
        <f t="shared" si="0"/>
        <v>0</v>
      </c>
    </row>
    <row r="7" spans="1:19" x14ac:dyDescent="0.25">
      <c r="A7" s="158">
        <v>6</v>
      </c>
      <c r="B7" s="159" t="s">
        <v>15</v>
      </c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>
        <f t="shared" si="0"/>
        <v>0</v>
      </c>
    </row>
    <row r="8" spans="1:19" x14ac:dyDescent="0.25">
      <c r="A8" s="158">
        <v>7</v>
      </c>
      <c r="B8" s="159" t="s">
        <v>16</v>
      </c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 t="s">
        <v>54</v>
      </c>
      <c r="O8" s="159" t="s">
        <v>54</v>
      </c>
      <c r="P8" s="159" t="s">
        <v>54</v>
      </c>
      <c r="Q8" s="159"/>
      <c r="R8" s="159"/>
      <c r="S8">
        <f t="shared" si="0"/>
        <v>72</v>
      </c>
    </row>
    <row r="9" spans="1:19" x14ac:dyDescent="0.25">
      <c r="A9" s="158">
        <v>8</v>
      </c>
      <c r="B9" s="159" t="s">
        <v>4</v>
      </c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>
        <f t="shared" si="0"/>
        <v>0</v>
      </c>
    </row>
    <row r="10" spans="1:19" x14ac:dyDescent="0.25">
      <c r="A10" s="158">
        <v>9</v>
      </c>
      <c r="B10" s="159" t="s">
        <v>5</v>
      </c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>
        <f t="shared" si="0"/>
        <v>0</v>
      </c>
    </row>
    <row r="11" spans="1:19" x14ac:dyDescent="0.25">
      <c r="A11" s="158">
        <v>10</v>
      </c>
      <c r="B11" s="159" t="s">
        <v>38</v>
      </c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>
        <f t="shared" si="0"/>
        <v>0</v>
      </c>
    </row>
    <row r="12" spans="1:19" x14ac:dyDescent="0.25">
      <c r="A12" s="158">
        <v>11</v>
      </c>
      <c r="B12" s="159" t="s">
        <v>43</v>
      </c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>
        <f t="shared" si="0"/>
        <v>0</v>
      </c>
    </row>
    <row r="13" spans="1:19" x14ac:dyDescent="0.25">
      <c r="A13" s="158">
        <v>12</v>
      </c>
      <c r="B13" s="159" t="s">
        <v>644</v>
      </c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>
        <f t="shared" si="0"/>
        <v>0</v>
      </c>
    </row>
    <row r="14" spans="1:19" x14ac:dyDescent="0.25">
      <c r="A14" s="158">
        <v>13</v>
      </c>
      <c r="B14" s="159" t="s">
        <v>87</v>
      </c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>
        <f t="shared" si="0"/>
        <v>0</v>
      </c>
    </row>
    <row r="15" spans="1:19" x14ac:dyDescent="0.25">
      <c r="A15" s="158">
        <v>14</v>
      </c>
      <c r="B15" s="159" t="s">
        <v>95</v>
      </c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>
        <f t="shared" si="0"/>
        <v>0</v>
      </c>
    </row>
    <row r="16" spans="1:19" x14ac:dyDescent="0.25">
      <c r="A16" s="158">
        <v>15</v>
      </c>
      <c r="B16" s="159" t="s">
        <v>97</v>
      </c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>
        <f t="shared" si="0"/>
        <v>0</v>
      </c>
    </row>
    <row r="17" spans="1:19" x14ac:dyDescent="0.25">
      <c r="A17" s="158">
        <v>16</v>
      </c>
      <c r="B17" s="159" t="s">
        <v>96</v>
      </c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>
        <f t="shared" si="0"/>
        <v>0</v>
      </c>
    </row>
    <row r="18" spans="1:19" x14ac:dyDescent="0.25">
      <c r="A18" s="158">
        <v>17</v>
      </c>
      <c r="B18" s="159" t="s">
        <v>98</v>
      </c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>
        <f t="shared" si="0"/>
        <v>0</v>
      </c>
    </row>
    <row r="19" spans="1:19" x14ac:dyDescent="0.25">
      <c r="A19" s="158">
        <v>18</v>
      </c>
      <c r="B19" s="159" t="s">
        <v>99</v>
      </c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>
        <f t="shared" si="0"/>
        <v>0</v>
      </c>
    </row>
    <row r="20" spans="1:19" x14ac:dyDescent="0.25">
      <c r="A20" s="158">
        <v>19</v>
      </c>
      <c r="B20" s="159" t="s">
        <v>617</v>
      </c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>
        <f t="shared" si="0"/>
        <v>0</v>
      </c>
    </row>
    <row r="21" spans="1:19" x14ac:dyDescent="0.25">
      <c r="A21" s="158">
        <v>20</v>
      </c>
      <c r="B21" s="159" t="s">
        <v>618</v>
      </c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>
        <f t="shared" si="0"/>
        <v>0</v>
      </c>
    </row>
    <row r="22" spans="1:19" x14ac:dyDescent="0.25">
      <c r="A22" s="158">
        <v>21</v>
      </c>
      <c r="B22" s="159" t="s">
        <v>629</v>
      </c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>
        <f t="shared" si="0"/>
        <v>0</v>
      </c>
    </row>
    <row r="23" spans="1:19" x14ac:dyDescent="0.25">
      <c r="A23" s="158">
        <v>22</v>
      </c>
      <c r="B23" s="159" t="s">
        <v>619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>
        <f t="shared" si="0"/>
        <v>0</v>
      </c>
    </row>
    <row r="24" spans="1:19" x14ac:dyDescent="0.25">
      <c r="A24" s="158">
        <v>23</v>
      </c>
      <c r="B24" s="159" t="s">
        <v>620</v>
      </c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>
        <f t="shared" si="0"/>
        <v>0</v>
      </c>
    </row>
    <row r="25" spans="1:19" x14ac:dyDescent="0.25">
      <c r="A25" s="158">
        <v>24</v>
      </c>
      <c r="B25" s="159" t="s">
        <v>622</v>
      </c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>
        <f t="shared" si="0"/>
        <v>0</v>
      </c>
    </row>
    <row r="26" spans="1:19" x14ac:dyDescent="0.25">
      <c r="A26" s="158">
        <v>25</v>
      </c>
      <c r="B26" s="159" t="s">
        <v>661</v>
      </c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>
        <f t="shared" si="0"/>
        <v>0</v>
      </c>
    </row>
    <row r="27" spans="1:19" x14ac:dyDescent="0.25">
      <c r="A27" s="158">
        <v>26</v>
      </c>
      <c r="B27" s="159" t="s">
        <v>623</v>
      </c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>
        <f t="shared" si="0"/>
        <v>0</v>
      </c>
    </row>
    <row r="28" spans="1:19" x14ac:dyDescent="0.25">
      <c r="A28" s="158">
        <v>27</v>
      </c>
      <c r="B28" s="159" t="s">
        <v>624</v>
      </c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>
        <f t="shared" si="0"/>
        <v>0</v>
      </c>
    </row>
    <row r="29" spans="1:19" x14ac:dyDescent="0.25">
      <c r="A29" s="158">
        <v>28</v>
      </c>
      <c r="B29" s="159" t="s">
        <v>625</v>
      </c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>
        <f t="shared" si="0"/>
        <v>0</v>
      </c>
    </row>
    <row r="30" spans="1:19" x14ac:dyDescent="0.25">
      <c r="A30" s="158">
        <v>29</v>
      </c>
      <c r="B30" s="159" t="s">
        <v>626</v>
      </c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>
        <f t="shared" si="0"/>
        <v>0</v>
      </c>
    </row>
    <row r="31" spans="1:19" x14ac:dyDescent="0.25">
      <c r="A31" s="158">
        <v>30</v>
      </c>
      <c r="B31" s="159" t="s">
        <v>631</v>
      </c>
      <c r="C31" s="159"/>
      <c r="D31" s="159"/>
      <c r="E31" s="159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>
        <f t="shared" si="0"/>
        <v>0</v>
      </c>
    </row>
    <row r="32" spans="1:19" x14ac:dyDescent="0.25">
      <c r="A32" s="158">
        <v>31</v>
      </c>
      <c r="B32" s="159" t="s">
        <v>627</v>
      </c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>
        <f t="shared" si="0"/>
        <v>0</v>
      </c>
    </row>
    <row r="33" spans="1:19" x14ac:dyDescent="0.25">
      <c r="A33" s="158">
        <v>32</v>
      </c>
      <c r="B33" s="159" t="s">
        <v>34</v>
      </c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>
        <f t="shared" si="0"/>
        <v>0</v>
      </c>
    </row>
    <row r="34" spans="1:19" x14ac:dyDescent="0.25">
      <c r="A34" s="158">
        <v>33</v>
      </c>
      <c r="B34" s="159" t="s">
        <v>628</v>
      </c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>
        <f t="shared" si="0"/>
        <v>0</v>
      </c>
    </row>
    <row r="35" spans="1:19" x14ac:dyDescent="0.25">
      <c r="A35" s="158">
        <v>34</v>
      </c>
      <c r="B35" s="159" t="s">
        <v>621</v>
      </c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>
        <f t="shared" si="0"/>
        <v>0</v>
      </c>
    </row>
    <row r="36" spans="1:19" x14ac:dyDescent="0.25">
      <c r="A36" s="158">
        <v>35</v>
      </c>
      <c r="B36" s="159" t="s">
        <v>45</v>
      </c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 t="s">
        <v>54</v>
      </c>
      <c r="O36" s="159" t="s">
        <v>54</v>
      </c>
      <c r="P36" s="159" t="s">
        <v>54</v>
      </c>
      <c r="Q36" s="159"/>
      <c r="R36" s="159"/>
      <c r="S36">
        <f t="shared" si="0"/>
        <v>72</v>
      </c>
    </row>
    <row r="37" spans="1:19" x14ac:dyDescent="0.25">
      <c r="A37" s="158">
        <v>36</v>
      </c>
      <c r="B37" s="159" t="s">
        <v>634</v>
      </c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>
        <f t="shared" si="0"/>
        <v>0</v>
      </c>
    </row>
    <row r="38" spans="1:19" x14ac:dyDescent="0.25">
      <c r="A38" s="158">
        <v>37</v>
      </c>
      <c r="B38" s="159" t="s">
        <v>647</v>
      </c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>
        <f t="shared" si="0"/>
        <v>0</v>
      </c>
    </row>
    <row r="39" spans="1:19" x14ac:dyDescent="0.25">
      <c r="A39" s="158">
        <v>38</v>
      </c>
      <c r="B39" s="159" t="s">
        <v>632</v>
      </c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>
        <f t="shared" si="0"/>
        <v>0</v>
      </c>
    </row>
    <row r="40" spans="1:19" x14ac:dyDescent="0.25">
      <c r="A40" s="158">
        <v>39</v>
      </c>
      <c r="B40" s="159" t="s">
        <v>633</v>
      </c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>
        <f t="shared" si="0"/>
        <v>0</v>
      </c>
    </row>
    <row r="41" spans="1:19" x14ac:dyDescent="0.25">
      <c r="A41" s="158">
        <v>40</v>
      </c>
      <c r="B41" s="159" t="s">
        <v>635</v>
      </c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>
        <f t="shared" si="0"/>
        <v>0</v>
      </c>
    </row>
    <row r="42" spans="1:19" x14ac:dyDescent="0.25">
      <c r="A42" s="158">
        <v>41</v>
      </c>
      <c r="B42" s="159" t="s">
        <v>636</v>
      </c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>
        <f t="shared" si="0"/>
        <v>0</v>
      </c>
    </row>
    <row r="43" spans="1:19" x14ac:dyDescent="0.25">
      <c r="A43" s="158">
        <v>42</v>
      </c>
      <c r="B43" s="159" t="s">
        <v>637</v>
      </c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>
        <f t="shared" si="0"/>
        <v>0</v>
      </c>
    </row>
    <row r="44" spans="1:19" x14ac:dyDescent="0.25">
      <c r="A44" s="158">
        <v>43</v>
      </c>
      <c r="B44" s="159" t="s">
        <v>638</v>
      </c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>
        <f t="shared" si="0"/>
        <v>0</v>
      </c>
    </row>
    <row r="45" spans="1:19" x14ac:dyDescent="0.25">
      <c r="A45" s="158">
        <v>44</v>
      </c>
      <c r="B45" s="159" t="s">
        <v>630</v>
      </c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>
        <f t="shared" si="0"/>
        <v>0</v>
      </c>
    </row>
    <row r="46" spans="1:19" x14ac:dyDescent="0.25">
      <c r="A46" s="158">
        <v>45</v>
      </c>
      <c r="B46" s="159" t="s">
        <v>639</v>
      </c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>
        <f t="shared" si="0"/>
        <v>0</v>
      </c>
    </row>
    <row r="47" spans="1:19" x14ac:dyDescent="0.25">
      <c r="A47" s="158">
        <v>46</v>
      </c>
      <c r="B47" s="159" t="s">
        <v>641</v>
      </c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>
        <f t="shared" si="0"/>
        <v>0</v>
      </c>
    </row>
    <row r="48" spans="1:19" x14ac:dyDescent="0.25">
      <c r="A48" s="158">
        <v>47</v>
      </c>
      <c r="B48" s="159" t="s">
        <v>642</v>
      </c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>
        <f t="shared" si="0"/>
        <v>0</v>
      </c>
    </row>
    <row r="49" spans="1:19" x14ac:dyDescent="0.25">
      <c r="A49" s="158">
        <v>48</v>
      </c>
      <c r="B49" s="159" t="s">
        <v>645</v>
      </c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>
        <f t="shared" si="0"/>
        <v>0</v>
      </c>
    </row>
    <row r="50" spans="1:19" x14ac:dyDescent="0.25">
      <c r="A50" s="158">
        <v>49</v>
      </c>
      <c r="B50" s="159" t="s">
        <v>643</v>
      </c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>
        <f t="shared" si="0"/>
        <v>0</v>
      </c>
    </row>
    <row r="51" spans="1:19" x14ac:dyDescent="0.25">
      <c r="A51" s="158">
        <v>50</v>
      </c>
      <c r="B51" s="159" t="s">
        <v>640</v>
      </c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>
        <f t="shared" si="0"/>
        <v>0</v>
      </c>
    </row>
    <row r="52" spans="1:19" x14ac:dyDescent="0.25">
      <c r="A52" s="158">
        <v>51</v>
      </c>
      <c r="B52" s="159" t="s">
        <v>646</v>
      </c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>
        <f t="shared" si="0"/>
        <v>0</v>
      </c>
    </row>
    <row r="53" spans="1:19" x14ac:dyDescent="0.25">
      <c r="A53" s="158">
        <v>52</v>
      </c>
      <c r="B53" s="159" t="s">
        <v>660</v>
      </c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>
        <f t="shared" si="0"/>
        <v>0</v>
      </c>
    </row>
    <row r="54" spans="1:19" x14ac:dyDescent="0.25">
      <c r="A54" s="158">
        <v>53</v>
      </c>
      <c r="B54" s="159" t="s">
        <v>648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>
        <f t="shared" si="0"/>
        <v>0</v>
      </c>
    </row>
    <row r="55" spans="1:19" x14ac:dyDescent="0.25">
      <c r="A55" s="158">
        <v>54</v>
      </c>
      <c r="B55" s="159" t="s">
        <v>649</v>
      </c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>
        <f t="shared" si="0"/>
        <v>0</v>
      </c>
    </row>
    <row r="56" spans="1:19" x14ac:dyDescent="0.25">
      <c r="A56" s="158">
        <v>55</v>
      </c>
      <c r="B56" s="159" t="s">
        <v>650</v>
      </c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>
        <f t="shared" si="0"/>
        <v>0</v>
      </c>
    </row>
    <row r="57" spans="1:19" x14ac:dyDescent="0.25">
      <c r="A57" s="158">
        <v>56</v>
      </c>
      <c r="B57" s="159" t="s">
        <v>652</v>
      </c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>
        <f t="shared" si="0"/>
        <v>0</v>
      </c>
    </row>
    <row r="58" spans="1:19" x14ac:dyDescent="0.25">
      <c r="A58" s="158">
        <v>57</v>
      </c>
      <c r="B58" s="159" t="s">
        <v>653</v>
      </c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>
        <f t="shared" si="0"/>
        <v>0</v>
      </c>
    </row>
    <row r="59" spans="1:19" x14ac:dyDescent="0.25">
      <c r="A59" s="158">
        <v>58</v>
      </c>
      <c r="B59" s="159" t="s">
        <v>654</v>
      </c>
      <c r="C59" s="15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>
        <f t="shared" si="0"/>
        <v>0</v>
      </c>
    </row>
    <row r="60" spans="1:19" x14ac:dyDescent="0.25">
      <c r="A60" s="158">
        <v>59</v>
      </c>
      <c r="B60" s="159" t="s">
        <v>655</v>
      </c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>
        <f t="shared" si="0"/>
        <v>0</v>
      </c>
    </row>
    <row r="61" spans="1:19" x14ac:dyDescent="0.25">
      <c r="A61" s="158">
        <v>60</v>
      </c>
      <c r="B61" s="159" t="s">
        <v>656</v>
      </c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>
        <f t="shared" si="0"/>
        <v>0</v>
      </c>
    </row>
    <row r="62" spans="1:19" x14ac:dyDescent="0.25">
      <c r="A62" s="158">
        <v>61</v>
      </c>
      <c r="B62" s="159" t="s">
        <v>658</v>
      </c>
      <c r="C62" s="159"/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>
        <f t="shared" si="0"/>
        <v>0</v>
      </c>
    </row>
    <row r="63" spans="1:19" x14ac:dyDescent="0.25">
      <c r="A63" s="158">
        <v>62</v>
      </c>
      <c r="B63" s="159" t="s">
        <v>659</v>
      </c>
      <c r="C63" s="159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>
        <f t="shared" si="0"/>
        <v>0</v>
      </c>
    </row>
    <row r="64" spans="1:19" x14ac:dyDescent="0.25">
      <c r="A64" s="158">
        <v>63</v>
      </c>
      <c r="B64" s="159" t="s">
        <v>20</v>
      </c>
      <c r="C64" s="159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>
        <f t="shared" si="0"/>
        <v>0</v>
      </c>
    </row>
    <row r="65" spans="1:19" x14ac:dyDescent="0.25">
      <c r="A65" s="158">
        <v>64</v>
      </c>
      <c r="B65" s="159" t="s">
        <v>662</v>
      </c>
      <c r="C65" s="159"/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>
        <f t="shared" si="0"/>
        <v>0</v>
      </c>
    </row>
    <row r="66" spans="1:19" x14ac:dyDescent="0.25">
      <c r="A66" s="158">
        <v>65</v>
      </c>
      <c r="B66" s="159" t="s">
        <v>663</v>
      </c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>
        <f t="shared" ref="S66:S72" si="1">C66+D66+E66+F66+G66+H66+I66+J66+K66+L66+M66+N66+O66+P66+Q66+R66</f>
        <v>0</v>
      </c>
    </row>
    <row r="67" spans="1:19" x14ac:dyDescent="0.25">
      <c r="A67" s="158">
        <v>66</v>
      </c>
      <c r="B67" s="159" t="s">
        <v>665</v>
      </c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>
        <f t="shared" si="1"/>
        <v>0</v>
      </c>
    </row>
    <row r="68" spans="1:19" x14ac:dyDescent="0.25">
      <c r="A68" s="158">
        <v>67</v>
      </c>
      <c r="B68" s="159" t="s">
        <v>666</v>
      </c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>
        <f t="shared" si="1"/>
        <v>0</v>
      </c>
    </row>
    <row r="69" spans="1:19" x14ac:dyDescent="0.25">
      <c r="A69" s="158">
        <v>68</v>
      </c>
      <c r="B69" s="159" t="s">
        <v>667</v>
      </c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>
        <f t="shared" si="1"/>
        <v>0</v>
      </c>
    </row>
    <row r="70" spans="1:19" x14ac:dyDescent="0.25">
      <c r="A70" s="158">
        <v>69</v>
      </c>
      <c r="B70" s="159" t="s">
        <v>668</v>
      </c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>
        <f t="shared" si="1"/>
        <v>0</v>
      </c>
    </row>
    <row r="71" spans="1:19" x14ac:dyDescent="0.25">
      <c r="A71" s="158">
        <v>70</v>
      </c>
      <c r="B71" s="159" t="s">
        <v>671</v>
      </c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>
        <f t="shared" si="1"/>
        <v>0</v>
      </c>
    </row>
    <row r="72" spans="1:19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>
        <f t="shared" si="1"/>
        <v>0</v>
      </c>
    </row>
    <row r="73" spans="1:19" x14ac:dyDescent="0.25">
      <c r="A73" s="158"/>
      <c r="B73" s="159"/>
      <c r="C73" s="149"/>
    </row>
    <row r="74" spans="1:19" x14ac:dyDescent="0.25">
      <c r="A74" s="158"/>
      <c r="B74" s="159"/>
      <c r="C74" s="149"/>
    </row>
    <row r="75" spans="1:19" x14ac:dyDescent="0.25">
      <c r="A75" s="158"/>
      <c r="B75" s="159"/>
      <c r="C75" s="149"/>
    </row>
    <row r="76" spans="1:19" x14ac:dyDescent="0.25">
      <c r="A76" s="158"/>
      <c r="B76" s="159"/>
      <c r="C76" s="149"/>
    </row>
    <row r="77" spans="1:19" x14ac:dyDescent="0.25">
      <c r="A77" s="201"/>
      <c r="B77" s="201"/>
      <c r="C77" s="149"/>
    </row>
    <row r="78" spans="1:19" x14ac:dyDescent="0.25">
      <c r="A78" s="170"/>
      <c r="B78" s="17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S78"/>
  <sheetViews>
    <sheetView topLeftCell="A46" zoomScaleNormal="100" workbookViewId="0">
      <selection activeCell="V56" sqref="V56"/>
    </sheetView>
  </sheetViews>
  <sheetFormatPr defaultRowHeight="15" x14ac:dyDescent="0.25"/>
  <cols>
    <col min="2" max="2" width="29.85546875" bestFit="1" customWidth="1"/>
  </cols>
  <sheetData>
    <row r="1" spans="1:19" x14ac:dyDescent="0.25">
      <c r="A1" s="207" t="s">
        <v>1</v>
      </c>
      <c r="B1" s="207" t="s">
        <v>6</v>
      </c>
      <c r="C1" s="207" t="s">
        <v>46</v>
      </c>
      <c r="D1" s="207" t="s">
        <v>47</v>
      </c>
      <c r="E1" s="207" t="s">
        <v>48</v>
      </c>
      <c r="F1" s="207" t="s">
        <v>49</v>
      </c>
      <c r="G1" s="207" t="s">
        <v>50</v>
      </c>
      <c r="H1" s="207" t="s">
        <v>51</v>
      </c>
      <c r="I1" s="207" t="s">
        <v>52</v>
      </c>
      <c r="J1" s="207" t="s">
        <v>53</v>
      </c>
      <c r="K1" s="207" t="s">
        <v>54</v>
      </c>
      <c r="L1" s="207" t="s">
        <v>55</v>
      </c>
      <c r="M1" s="207" t="s">
        <v>56</v>
      </c>
      <c r="N1" s="207" t="s">
        <v>57</v>
      </c>
      <c r="O1" s="207" t="s">
        <v>58</v>
      </c>
      <c r="P1" s="207" t="s">
        <v>59</v>
      </c>
      <c r="Q1" s="207" t="s">
        <v>669</v>
      </c>
      <c r="R1" s="207" t="s">
        <v>670</v>
      </c>
      <c r="S1" s="207" t="s">
        <v>2</v>
      </c>
    </row>
    <row r="2" spans="1:19" x14ac:dyDescent="0.25">
      <c r="A2" s="208">
        <v>1</v>
      </c>
      <c r="B2" s="209" t="s">
        <v>10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>
        <f t="shared" ref="S2:S65" si="0">C2+D2+E2+F2+G2+H2+I2+J2+K2+L2+M2+N2+O2+P2+Q2+R2</f>
        <v>0</v>
      </c>
    </row>
    <row r="3" spans="1:19" x14ac:dyDescent="0.25">
      <c r="A3" s="208">
        <v>2</v>
      </c>
      <c r="B3" s="209" t="s">
        <v>11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>
        <f t="shared" si="0"/>
        <v>0</v>
      </c>
    </row>
    <row r="4" spans="1:19" x14ac:dyDescent="0.25">
      <c r="A4" s="208">
        <v>3</v>
      </c>
      <c r="B4" s="209" t="s">
        <v>12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>
        <f t="shared" si="0"/>
        <v>0</v>
      </c>
    </row>
    <row r="5" spans="1:19" x14ac:dyDescent="0.25">
      <c r="A5" s="208">
        <v>4</v>
      </c>
      <c r="B5" s="209" t="s">
        <v>664</v>
      </c>
      <c r="C5" s="209"/>
      <c r="D5" s="209"/>
      <c r="E5" s="209" t="s">
        <v>26</v>
      </c>
      <c r="F5" s="209" t="s">
        <v>26</v>
      </c>
      <c r="G5" s="209" t="s">
        <v>26</v>
      </c>
      <c r="H5" s="209" t="s">
        <v>26</v>
      </c>
      <c r="I5" s="209" t="s">
        <v>26</v>
      </c>
      <c r="J5" s="209" t="s">
        <v>84</v>
      </c>
      <c r="K5" s="209"/>
      <c r="L5" s="209" t="s">
        <v>26</v>
      </c>
      <c r="M5" s="209" t="s">
        <v>26</v>
      </c>
      <c r="N5" s="209" t="s">
        <v>26</v>
      </c>
      <c r="O5" s="209" t="s">
        <v>26</v>
      </c>
      <c r="P5" s="209" t="s">
        <v>26</v>
      </c>
      <c r="Q5" s="209"/>
      <c r="R5" s="209"/>
      <c r="S5">
        <f t="shared" si="0"/>
        <v>116</v>
      </c>
    </row>
    <row r="6" spans="1:19" x14ac:dyDescent="0.25">
      <c r="A6" s="208">
        <v>5</v>
      </c>
      <c r="B6" s="209" t="s">
        <v>14</v>
      </c>
      <c r="C6" s="209"/>
      <c r="D6" s="209"/>
      <c r="E6" s="209"/>
      <c r="F6" s="209"/>
      <c r="G6" s="209"/>
      <c r="H6" s="209"/>
      <c r="I6" s="209"/>
      <c r="J6" s="209"/>
      <c r="K6" s="209"/>
      <c r="L6" s="209" t="s">
        <v>26</v>
      </c>
      <c r="M6" s="209" t="s">
        <v>26</v>
      </c>
      <c r="N6" s="209" t="s">
        <v>26</v>
      </c>
      <c r="O6" s="209" t="s">
        <v>26</v>
      </c>
      <c r="P6" s="209" t="s">
        <v>26</v>
      </c>
      <c r="Q6" s="209"/>
      <c r="R6" s="209"/>
      <c r="S6">
        <f t="shared" si="0"/>
        <v>55</v>
      </c>
    </row>
    <row r="7" spans="1:19" x14ac:dyDescent="0.25">
      <c r="A7" s="208">
        <v>6</v>
      </c>
      <c r="B7" s="209" t="s">
        <v>15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>
        <f t="shared" si="0"/>
        <v>0</v>
      </c>
    </row>
    <row r="8" spans="1:19" x14ac:dyDescent="0.25">
      <c r="A8" s="208">
        <v>7</v>
      </c>
      <c r="B8" s="209" t="s">
        <v>16</v>
      </c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>
        <f t="shared" si="0"/>
        <v>0</v>
      </c>
    </row>
    <row r="9" spans="1:19" x14ac:dyDescent="0.25">
      <c r="A9" s="208">
        <v>8</v>
      </c>
      <c r="B9" s="209" t="s">
        <v>4</v>
      </c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  <c r="S9">
        <f t="shared" si="0"/>
        <v>0</v>
      </c>
    </row>
    <row r="10" spans="1:19" x14ac:dyDescent="0.25">
      <c r="A10" s="208">
        <v>9</v>
      </c>
      <c r="B10" s="209" t="s">
        <v>5</v>
      </c>
      <c r="C10" s="209" t="s">
        <v>84</v>
      </c>
      <c r="D10" s="209"/>
      <c r="E10" s="209" t="s">
        <v>26</v>
      </c>
      <c r="F10" s="209" t="s">
        <v>26</v>
      </c>
      <c r="G10" s="209" t="s">
        <v>26</v>
      </c>
      <c r="H10" s="209" t="s">
        <v>26</v>
      </c>
      <c r="I10" s="209" t="s">
        <v>26</v>
      </c>
      <c r="J10" s="209" t="s">
        <v>84</v>
      </c>
      <c r="K10" s="209"/>
      <c r="L10" s="209" t="s">
        <v>26</v>
      </c>
      <c r="M10" s="209" t="s">
        <v>26</v>
      </c>
      <c r="N10" s="209" t="s">
        <v>26</v>
      </c>
      <c r="O10" s="209" t="s">
        <v>26</v>
      </c>
      <c r="P10" s="209" t="s">
        <v>26</v>
      </c>
      <c r="Q10" s="209" t="s">
        <v>84</v>
      </c>
      <c r="R10" s="209"/>
      <c r="S10">
        <f t="shared" si="0"/>
        <v>128</v>
      </c>
    </row>
    <row r="11" spans="1:19" x14ac:dyDescent="0.25">
      <c r="A11" s="208">
        <v>10</v>
      </c>
      <c r="B11" s="209" t="s">
        <v>38</v>
      </c>
      <c r="C11" s="209"/>
      <c r="D11" s="209"/>
      <c r="E11" s="209" t="s">
        <v>26</v>
      </c>
      <c r="F11" s="209" t="s">
        <v>26</v>
      </c>
      <c r="G11" s="209" t="s">
        <v>26</v>
      </c>
      <c r="H11" s="209" t="s">
        <v>26</v>
      </c>
      <c r="I11" s="209" t="s">
        <v>26</v>
      </c>
      <c r="J11" s="209"/>
      <c r="K11" s="209"/>
      <c r="L11" s="209" t="s">
        <v>26</v>
      </c>
      <c r="M11" s="209" t="s">
        <v>26</v>
      </c>
      <c r="N11" s="209" t="s">
        <v>26</v>
      </c>
      <c r="O11" s="209" t="s">
        <v>26</v>
      </c>
      <c r="P11" s="209" t="s">
        <v>26</v>
      </c>
      <c r="Q11" s="209"/>
      <c r="R11" s="209"/>
      <c r="S11">
        <f t="shared" si="0"/>
        <v>110</v>
      </c>
    </row>
    <row r="12" spans="1:19" x14ac:dyDescent="0.25">
      <c r="A12" s="208">
        <v>11</v>
      </c>
      <c r="B12" s="209" t="s">
        <v>43</v>
      </c>
      <c r="C12" s="209"/>
      <c r="D12" s="209"/>
      <c r="E12" s="209" t="s">
        <v>26</v>
      </c>
      <c r="F12" s="209" t="s">
        <v>26</v>
      </c>
      <c r="G12" s="209" t="s">
        <v>26</v>
      </c>
      <c r="H12" s="209" t="s">
        <v>26</v>
      </c>
      <c r="I12" s="209" t="s">
        <v>26</v>
      </c>
      <c r="J12" s="209" t="s">
        <v>84</v>
      </c>
      <c r="K12" s="209"/>
      <c r="L12" s="209" t="s">
        <v>26</v>
      </c>
      <c r="M12" s="209" t="s">
        <v>26</v>
      </c>
      <c r="N12" s="209" t="s">
        <v>26</v>
      </c>
      <c r="O12" s="209" t="s">
        <v>26</v>
      </c>
      <c r="P12" s="209" t="s">
        <v>26</v>
      </c>
      <c r="Q12" s="209" t="s">
        <v>84</v>
      </c>
      <c r="R12" s="209"/>
      <c r="S12">
        <f t="shared" si="0"/>
        <v>122</v>
      </c>
    </row>
    <row r="13" spans="1:19" x14ac:dyDescent="0.25">
      <c r="A13" s="208">
        <v>12</v>
      </c>
      <c r="B13" s="209" t="s">
        <v>644</v>
      </c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>
        <f t="shared" si="0"/>
        <v>0</v>
      </c>
    </row>
    <row r="14" spans="1:19" x14ac:dyDescent="0.25">
      <c r="A14" s="208">
        <v>13</v>
      </c>
      <c r="B14" s="209" t="s">
        <v>87</v>
      </c>
      <c r="C14" s="209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>
        <f t="shared" si="0"/>
        <v>0</v>
      </c>
    </row>
    <row r="15" spans="1:19" x14ac:dyDescent="0.25">
      <c r="A15" s="208">
        <v>14</v>
      </c>
      <c r="B15" s="209" t="s">
        <v>95</v>
      </c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>
        <f t="shared" si="0"/>
        <v>0</v>
      </c>
    </row>
    <row r="16" spans="1:19" x14ac:dyDescent="0.25">
      <c r="A16" s="208">
        <v>15</v>
      </c>
      <c r="B16" s="209" t="s">
        <v>97</v>
      </c>
      <c r="C16" s="209" t="s">
        <v>84</v>
      </c>
      <c r="D16" s="209"/>
      <c r="E16" s="209" t="s">
        <v>26</v>
      </c>
      <c r="F16" s="209" t="s">
        <v>26</v>
      </c>
      <c r="G16" s="209" t="s">
        <v>26</v>
      </c>
      <c r="H16" s="209" t="s">
        <v>26</v>
      </c>
      <c r="I16" s="209" t="s">
        <v>26</v>
      </c>
      <c r="J16" s="209" t="s">
        <v>84</v>
      </c>
      <c r="K16" s="209"/>
      <c r="L16" s="209" t="s">
        <v>26</v>
      </c>
      <c r="M16" s="209" t="s">
        <v>26</v>
      </c>
      <c r="N16" s="209" t="s">
        <v>26</v>
      </c>
      <c r="O16" s="209" t="s">
        <v>26</v>
      </c>
      <c r="P16" s="209" t="s">
        <v>26</v>
      </c>
      <c r="Q16" s="209" t="s">
        <v>84</v>
      </c>
      <c r="R16" s="209"/>
      <c r="S16">
        <f t="shared" si="0"/>
        <v>128</v>
      </c>
    </row>
    <row r="17" spans="1:19" x14ac:dyDescent="0.25">
      <c r="A17" s="208">
        <v>16</v>
      </c>
      <c r="B17" s="209" t="s">
        <v>96</v>
      </c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>
        <f t="shared" si="0"/>
        <v>0</v>
      </c>
    </row>
    <row r="18" spans="1:19" x14ac:dyDescent="0.25">
      <c r="A18" s="208">
        <v>17</v>
      </c>
      <c r="B18" s="209" t="s">
        <v>98</v>
      </c>
      <c r="C18" s="209"/>
      <c r="D18" s="209"/>
      <c r="E18" s="209"/>
      <c r="F18" s="209"/>
      <c r="G18" s="209"/>
      <c r="H18" s="209" t="s">
        <v>25</v>
      </c>
      <c r="I18" s="209" t="s">
        <v>25</v>
      </c>
      <c r="J18" s="209" t="s">
        <v>84</v>
      </c>
      <c r="K18" s="209"/>
      <c r="L18" s="209"/>
      <c r="M18" s="209" t="s">
        <v>25</v>
      </c>
      <c r="N18" s="209" t="s">
        <v>25</v>
      </c>
      <c r="O18" s="209"/>
      <c r="P18" s="209" t="s">
        <v>25</v>
      </c>
      <c r="Q18" s="209" t="s">
        <v>84</v>
      </c>
      <c r="R18" s="209"/>
      <c r="S18">
        <f t="shared" si="0"/>
        <v>57</v>
      </c>
    </row>
    <row r="19" spans="1:19" x14ac:dyDescent="0.25">
      <c r="A19" s="208">
        <v>18</v>
      </c>
      <c r="B19" s="209" t="s">
        <v>99</v>
      </c>
      <c r="C19" s="209"/>
      <c r="D19" s="209"/>
      <c r="E19" s="209" t="s">
        <v>26</v>
      </c>
      <c r="F19" s="209" t="s">
        <v>26</v>
      </c>
      <c r="G19" s="209" t="s">
        <v>26</v>
      </c>
      <c r="H19" s="209" t="s">
        <v>26</v>
      </c>
      <c r="I19" s="209" t="s">
        <v>26</v>
      </c>
      <c r="J19" s="209"/>
      <c r="K19" s="209"/>
      <c r="L19" s="209" t="s">
        <v>26</v>
      </c>
      <c r="M19" s="209" t="s">
        <v>26</v>
      </c>
      <c r="N19" s="209" t="s">
        <v>26</v>
      </c>
      <c r="O19" s="209" t="s">
        <v>26</v>
      </c>
      <c r="P19" s="209" t="s">
        <v>26</v>
      </c>
      <c r="Q19" s="209"/>
      <c r="R19" s="209"/>
      <c r="S19">
        <f t="shared" si="0"/>
        <v>110</v>
      </c>
    </row>
    <row r="20" spans="1:19" x14ac:dyDescent="0.25">
      <c r="A20" s="208">
        <v>19</v>
      </c>
      <c r="B20" s="209" t="s">
        <v>617</v>
      </c>
      <c r="C20" s="209"/>
      <c r="D20" s="209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 t="s">
        <v>26</v>
      </c>
      <c r="Q20" s="209" t="s">
        <v>84</v>
      </c>
      <c r="R20" s="209"/>
      <c r="S20">
        <f t="shared" si="0"/>
        <v>17</v>
      </c>
    </row>
    <row r="21" spans="1:19" x14ac:dyDescent="0.25">
      <c r="A21" s="208">
        <v>20</v>
      </c>
      <c r="B21" s="209" t="s">
        <v>618</v>
      </c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>
        <f t="shared" si="0"/>
        <v>0</v>
      </c>
    </row>
    <row r="22" spans="1:19" x14ac:dyDescent="0.25">
      <c r="A22" s="208">
        <v>21</v>
      </c>
      <c r="B22" s="209" t="s">
        <v>629</v>
      </c>
      <c r="C22" s="209"/>
      <c r="D22" s="209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>
        <f t="shared" si="0"/>
        <v>0</v>
      </c>
    </row>
    <row r="23" spans="1:19" x14ac:dyDescent="0.25">
      <c r="A23" s="208">
        <v>22</v>
      </c>
      <c r="B23" s="209" t="s">
        <v>619</v>
      </c>
      <c r="C23" s="209"/>
      <c r="D23" s="209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>
        <f t="shared" si="0"/>
        <v>0</v>
      </c>
    </row>
    <row r="24" spans="1:19" x14ac:dyDescent="0.25">
      <c r="A24" s="208">
        <v>23</v>
      </c>
      <c r="B24" s="209" t="s">
        <v>620</v>
      </c>
      <c r="C24" s="209" t="s">
        <v>63</v>
      </c>
      <c r="D24" s="209"/>
      <c r="E24" s="209" t="s">
        <v>26</v>
      </c>
      <c r="F24" s="209" t="s">
        <v>26</v>
      </c>
      <c r="G24" s="209" t="s">
        <v>26</v>
      </c>
      <c r="H24" s="209" t="s">
        <v>26</v>
      </c>
      <c r="I24" s="209" t="s">
        <v>26</v>
      </c>
      <c r="J24" s="209" t="s">
        <v>84</v>
      </c>
      <c r="K24" s="209"/>
      <c r="L24" s="209" t="s">
        <v>26</v>
      </c>
      <c r="M24" s="209" t="s">
        <v>26</v>
      </c>
      <c r="N24" s="209" t="s">
        <v>26</v>
      </c>
      <c r="O24" s="209" t="s">
        <v>26</v>
      </c>
      <c r="P24" s="209" t="s">
        <v>26</v>
      </c>
      <c r="Q24" s="209" t="s">
        <v>84</v>
      </c>
      <c r="R24" s="209"/>
      <c r="S24">
        <f t="shared" si="0"/>
        <v>126</v>
      </c>
    </row>
    <row r="25" spans="1:19" x14ac:dyDescent="0.25">
      <c r="A25" s="208">
        <v>24</v>
      </c>
      <c r="B25" s="209" t="s">
        <v>622</v>
      </c>
      <c r="C25" s="209"/>
      <c r="D25" s="209"/>
      <c r="E25" s="209" t="s">
        <v>26</v>
      </c>
      <c r="F25" s="209" t="s">
        <v>26</v>
      </c>
      <c r="G25" s="209" t="s">
        <v>64</v>
      </c>
      <c r="H25" s="209" t="s">
        <v>26</v>
      </c>
      <c r="I25" s="209" t="s">
        <v>26</v>
      </c>
      <c r="J25" s="209"/>
      <c r="K25" s="209"/>
      <c r="L25" s="209" t="s">
        <v>26</v>
      </c>
      <c r="M25" s="209" t="s">
        <v>26</v>
      </c>
      <c r="N25" s="209" t="s">
        <v>26</v>
      </c>
      <c r="O25" s="209" t="s">
        <v>26</v>
      </c>
      <c r="P25" s="209" t="s">
        <v>26</v>
      </c>
      <c r="Q25" s="209"/>
      <c r="R25" s="209"/>
      <c r="S25">
        <f t="shared" si="0"/>
        <v>109</v>
      </c>
    </row>
    <row r="26" spans="1:19" x14ac:dyDescent="0.25">
      <c r="A26" s="208">
        <v>25</v>
      </c>
      <c r="B26" s="209" t="s">
        <v>661</v>
      </c>
      <c r="C26" s="209"/>
      <c r="D26" s="209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  <c r="S26">
        <f t="shared" si="0"/>
        <v>0</v>
      </c>
    </row>
    <row r="27" spans="1:19" x14ac:dyDescent="0.25">
      <c r="A27" s="208">
        <v>26</v>
      </c>
      <c r="B27" s="209" t="s">
        <v>623</v>
      </c>
      <c r="C27" s="209"/>
      <c r="D27" s="209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  <c r="S27">
        <f t="shared" si="0"/>
        <v>0</v>
      </c>
    </row>
    <row r="28" spans="1:19" x14ac:dyDescent="0.25">
      <c r="A28" s="208">
        <v>27</v>
      </c>
      <c r="B28" s="209" t="s">
        <v>624</v>
      </c>
      <c r="C28" s="209"/>
      <c r="D28" s="209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  <c r="S28">
        <f t="shared" si="0"/>
        <v>0</v>
      </c>
    </row>
    <row r="29" spans="1:19" x14ac:dyDescent="0.25">
      <c r="A29" s="208">
        <v>28</v>
      </c>
      <c r="B29" s="209" t="s">
        <v>625</v>
      </c>
      <c r="C29" s="209"/>
      <c r="D29" s="209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  <c r="S29">
        <f t="shared" si="0"/>
        <v>0</v>
      </c>
    </row>
    <row r="30" spans="1:19" x14ac:dyDescent="0.25">
      <c r="A30" s="208">
        <v>29</v>
      </c>
      <c r="B30" s="209" t="s">
        <v>626</v>
      </c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  <c r="S30">
        <f t="shared" si="0"/>
        <v>0</v>
      </c>
    </row>
    <row r="31" spans="1:19" x14ac:dyDescent="0.25">
      <c r="A31" s="208">
        <v>30</v>
      </c>
      <c r="B31" s="209" t="s">
        <v>631</v>
      </c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  <c r="S31">
        <f t="shared" si="0"/>
        <v>0</v>
      </c>
    </row>
    <row r="32" spans="1:19" x14ac:dyDescent="0.25">
      <c r="A32" s="208">
        <v>31</v>
      </c>
      <c r="B32" s="209" t="s">
        <v>627</v>
      </c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  <c r="S32">
        <f t="shared" si="0"/>
        <v>0</v>
      </c>
    </row>
    <row r="33" spans="1:19" x14ac:dyDescent="0.25">
      <c r="A33" s="208">
        <v>32</v>
      </c>
      <c r="B33" s="209" t="s">
        <v>34</v>
      </c>
      <c r="C33" s="209"/>
      <c r="D33" s="209"/>
      <c r="E33" s="209"/>
      <c r="F33" s="209"/>
      <c r="G33" s="209" t="s">
        <v>54</v>
      </c>
      <c r="H33" s="209" t="s">
        <v>54</v>
      </c>
      <c r="I33" s="209" t="s">
        <v>54</v>
      </c>
      <c r="J33" s="209" t="s">
        <v>54</v>
      </c>
      <c r="K33" s="209" t="s">
        <v>54</v>
      </c>
      <c r="L33" s="209" t="s">
        <v>54</v>
      </c>
      <c r="M33" s="209"/>
      <c r="N33" s="209" t="s">
        <v>54</v>
      </c>
      <c r="O33" s="209" t="s">
        <v>54</v>
      </c>
      <c r="P33" s="209" t="s">
        <v>54</v>
      </c>
      <c r="Q33" s="209" t="s">
        <v>54</v>
      </c>
      <c r="R33" s="209"/>
      <c r="S33">
        <f t="shared" si="0"/>
        <v>240</v>
      </c>
    </row>
    <row r="34" spans="1:19" x14ac:dyDescent="0.25">
      <c r="A34" s="208">
        <v>33</v>
      </c>
      <c r="B34" s="209" t="s">
        <v>628</v>
      </c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>
        <f t="shared" si="0"/>
        <v>0</v>
      </c>
    </row>
    <row r="35" spans="1:19" x14ac:dyDescent="0.25">
      <c r="A35" s="208">
        <v>34</v>
      </c>
      <c r="B35" s="209" t="s">
        <v>621</v>
      </c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  <c r="S35">
        <f t="shared" si="0"/>
        <v>0</v>
      </c>
    </row>
    <row r="36" spans="1:19" x14ac:dyDescent="0.25">
      <c r="A36" s="208">
        <v>35</v>
      </c>
      <c r="B36" s="209" t="s">
        <v>45</v>
      </c>
      <c r="C36" s="209"/>
      <c r="D36" s="209"/>
      <c r="E36" s="209"/>
      <c r="F36" s="209"/>
      <c r="G36" s="209" t="s">
        <v>54</v>
      </c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  <c r="S36">
        <f t="shared" si="0"/>
        <v>24</v>
      </c>
    </row>
    <row r="37" spans="1:19" x14ac:dyDescent="0.25">
      <c r="A37" s="208">
        <v>36</v>
      </c>
      <c r="B37" s="209" t="s">
        <v>634</v>
      </c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>
        <f t="shared" si="0"/>
        <v>0</v>
      </c>
    </row>
    <row r="38" spans="1:19" x14ac:dyDescent="0.25">
      <c r="A38" s="208">
        <v>37</v>
      </c>
      <c r="B38" s="209" t="s">
        <v>647</v>
      </c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>
        <f t="shared" si="0"/>
        <v>0</v>
      </c>
    </row>
    <row r="39" spans="1:19" x14ac:dyDescent="0.25">
      <c r="A39" s="208">
        <v>38</v>
      </c>
      <c r="B39" s="209" t="s">
        <v>632</v>
      </c>
      <c r="C39" s="209"/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>
        <f t="shared" si="0"/>
        <v>0</v>
      </c>
    </row>
    <row r="40" spans="1:19" x14ac:dyDescent="0.25">
      <c r="A40" s="208">
        <v>39</v>
      </c>
      <c r="B40" s="209" t="s">
        <v>633</v>
      </c>
      <c r="C40" s="209"/>
      <c r="D40" s="209"/>
      <c r="E40" s="209"/>
      <c r="F40" s="209"/>
      <c r="G40" s="209" t="s">
        <v>54</v>
      </c>
      <c r="H40" s="209" t="s">
        <v>54</v>
      </c>
      <c r="I40" s="209" t="s">
        <v>54</v>
      </c>
      <c r="J40" s="209" t="s">
        <v>54</v>
      </c>
      <c r="K40" s="209" t="s">
        <v>54</v>
      </c>
      <c r="L40" s="209" t="s">
        <v>54</v>
      </c>
      <c r="M40" s="209" t="s">
        <v>54</v>
      </c>
      <c r="N40" s="209" t="s">
        <v>54</v>
      </c>
      <c r="O40" s="209" t="s">
        <v>54</v>
      </c>
      <c r="P40" s="209" t="s">
        <v>54</v>
      </c>
      <c r="Q40" s="209" t="s">
        <v>54</v>
      </c>
      <c r="R40" s="209"/>
      <c r="S40">
        <f t="shared" si="0"/>
        <v>264</v>
      </c>
    </row>
    <row r="41" spans="1:19" x14ac:dyDescent="0.25">
      <c r="A41" s="208">
        <v>40</v>
      </c>
      <c r="B41" s="209" t="s">
        <v>635</v>
      </c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>
        <f t="shared" si="0"/>
        <v>0</v>
      </c>
    </row>
    <row r="42" spans="1:19" x14ac:dyDescent="0.25">
      <c r="A42" s="208">
        <v>41</v>
      </c>
      <c r="B42" s="209" t="s">
        <v>636</v>
      </c>
      <c r="C42" s="209"/>
      <c r="D42" s="209"/>
      <c r="E42" s="209" t="s">
        <v>26</v>
      </c>
      <c r="F42" s="209" t="s">
        <v>26</v>
      </c>
      <c r="G42" s="209" t="s">
        <v>26</v>
      </c>
      <c r="H42" s="209" t="s">
        <v>26</v>
      </c>
      <c r="I42" s="209" t="s">
        <v>85</v>
      </c>
      <c r="J42" s="209" t="s">
        <v>84</v>
      </c>
      <c r="K42" s="209"/>
      <c r="L42" s="209" t="s">
        <v>26</v>
      </c>
      <c r="M42" s="209" t="s">
        <v>26</v>
      </c>
      <c r="N42" s="209" t="s">
        <v>26</v>
      </c>
      <c r="O42" s="209" t="s">
        <v>26</v>
      </c>
      <c r="P42" s="209"/>
      <c r="Q42" s="209" t="s">
        <v>84</v>
      </c>
      <c r="R42" s="209"/>
      <c r="S42">
        <f t="shared" si="0"/>
        <v>107</v>
      </c>
    </row>
    <row r="43" spans="1:19" x14ac:dyDescent="0.25">
      <c r="A43" s="208">
        <v>42</v>
      </c>
      <c r="B43" s="209" t="s">
        <v>637</v>
      </c>
      <c r="C43" s="209"/>
      <c r="D43" s="209"/>
      <c r="E43" s="209" t="s">
        <v>26</v>
      </c>
      <c r="F43" s="209" t="s">
        <v>26</v>
      </c>
      <c r="G43" s="209" t="s">
        <v>26</v>
      </c>
      <c r="H43" s="209" t="s">
        <v>25</v>
      </c>
      <c r="I43" s="209" t="s">
        <v>26</v>
      </c>
      <c r="J43" s="209" t="s">
        <v>84</v>
      </c>
      <c r="K43" s="209"/>
      <c r="L43" s="209" t="s">
        <v>26</v>
      </c>
      <c r="M43" s="209" t="s">
        <v>26</v>
      </c>
      <c r="N43" s="209" t="s">
        <v>26</v>
      </c>
      <c r="O43" s="209" t="s">
        <v>26</v>
      </c>
      <c r="P43" s="209" t="s">
        <v>26</v>
      </c>
      <c r="Q43" s="209" t="s">
        <v>84</v>
      </c>
      <c r="R43" s="209"/>
      <c r="S43">
        <f t="shared" si="0"/>
        <v>120</v>
      </c>
    </row>
    <row r="44" spans="1:19" x14ac:dyDescent="0.25">
      <c r="A44" s="208">
        <v>43</v>
      </c>
      <c r="B44" s="209" t="s">
        <v>638</v>
      </c>
      <c r="C44" s="209"/>
      <c r="D44" s="209"/>
      <c r="E44" s="209"/>
      <c r="F44" s="209"/>
      <c r="G44" s="209" t="s">
        <v>26</v>
      </c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>
        <f t="shared" si="0"/>
        <v>11</v>
      </c>
    </row>
    <row r="45" spans="1:19" x14ac:dyDescent="0.25">
      <c r="A45" s="208">
        <v>44</v>
      </c>
      <c r="B45" s="209" t="s">
        <v>630</v>
      </c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>
        <f t="shared" si="0"/>
        <v>0</v>
      </c>
    </row>
    <row r="46" spans="1:19" x14ac:dyDescent="0.25">
      <c r="A46" s="208">
        <v>45</v>
      </c>
      <c r="B46" s="209" t="s">
        <v>639</v>
      </c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  <c r="S46">
        <f t="shared" si="0"/>
        <v>0</v>
      </c>
    </row>
    <row r="47" spans="1:19" x14ac:dyDescent="0.25">
      <c r="A47" s="208">
        <v>46</v>
      </c>
      <c r="B47" s="209" t="s">
        <v>641</v>
      </c>
      <c r="C47" s="209"/>
      <c r="D47" s="209"/>
      <c r="E47" s="209" t="s">
        <v>26</v>
      </c>
      <c r="F47" s="209" t="s">
        <v>26</v>
      </c>
      <c r="G47" s="209" t="s">
        <v>26</v>
      </c>
      <c r="H47" s="209" t="s">
        <v>26</v>
      </c>
      <c r="I47" s="209" t="s">
        <v>26</v>
      </c>
      <c r="J47" s="209"/>
      <c r="K47" s="209"/>
      <c r="L47" s="209" t="s">
        <v>26</v>
      </c>
      <c r="M47" s="209" t="s">
        <v>26</v>
      </c>
      <c r="N47" s="209" t="s">
        <v>26</v>
      </c>
      <c r="O47" s="209" t="s">
        <v>26</v>
      </c>
      <c r="P47" s="209" t="s">
        <v>26</v>
      </c>
      <c r="Q47" s="209"/>
      <c r="R47" s="209"/>
      <c r="S47">
        <f t="shared" si="0"/>
        <v>110</v>
      </c>
    </row>
    <row r="48" spans="1:19" x14ac:dyDescent="0.25">
      <c r="A48" s="208">
        <v>47</v>
      </c>
      <c r="B48" s="209" t="s">
        <v>642</v>
      </c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>
        <f t="shared" si="0"/>
        <v>0</v>
      </c>
    </row>
    <row r="49" spans="1:19" x14ac:dyDescent="0.25">
      <c r="A49" s="208">
        <v>48</v>
      </c>
      <c r="B49" s="209" t="s">
        <v>645</v>
      </c>
      <c r="C49" s="209"/>
      <c r="D49" s="209"/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  <c r="S49">
        <f t="shared" si="0"/>
        <v>0</v>
      </c>
    </row>
    <row r="50" spans="1:19" x14ac:dyDescent="0.25">
      <c r="A50" s="208">
        <v>49</v>
      </c>
      <c r="B50" s="209" t="s">
        <v>643</v>
      </c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>
        <f t="shared" si="0"/>
        <v>0</v>
      </c>
    </row>
    <row r="51" spans="1:19" x14ac:dyDescent="0.25">
      <c r="A51" s="208">
        <v>50</v>
      </c>
      <c r="B51" s="209" t="s">
        <v>640</v>
      </c>
      <c r="C51" s="209"/>
      <c r="D51" s="209"/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  <c r="S51">
        <f t="shared" si="0"/>
        <v>0</v>
      </c>
    </row>
    <row r="52" spans="1:19" x14ac:dyDescent="0.25">
      <c r="A52" s="208">
        <v>51</v>
      </c>
      <c r="B52" s="209" t="s">
        <v>646</v>
      </c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  <c r="S52">
        <f t="shared" si="0"/>
        <v>0</v>
      </c>
    </row>
    <row r="53" spans="1:19" x14ac:dyDescent="0.25">
      <c r="A53" s="208">
        <v>52</v>
      </c>
      <c r="B53" s="209" t="s">
        <v>660</v>
      </c>
      <c r="C53" s="209" t="s">
        <v>84</v>
      </c>
      <c r="D53" s="209"/>
      <c r="E53" s="209" t="s">
        <v>26</v>
      </c>
      <c r="F53" s="209" t="s">
        <v>26</v>
      </c>
      <c r="G53" s="209" t="s">
        <v>26</v>
      </c>
      <c r="H53" s="209" t="s">
        <v>26</v>
      </c>
      <c r="I53" s="209" t="s">
        <v>26</v>
      </c>
      <c r="J53" s="209" t="s">
        <v>84</v>
      </c>
      <c r="K53" s="209"/>
      <c r="L53" s="209" t="s">
        <v>26</v>
      </c>
      <c r="M53" s="209" t="s">
        <v>26</v>
      </c>
      <c r="N53" s="209" t="s">
        <v>26</v>
      </c>
      <c r="O53" s="209" t="s">
        <v>26</v>
      </c>
      <c r="P53" s="209" t="s">
        <v>26</v>
      </c>
      <c r="Q53" s="209" t="s">
        <v>84</v>
      </c>
      <c r="R53" s="209"/>
      <c r="S53">
        <f t="shared" si="0"/>
        <v>128</v>
      </c>
    </row>
    <row r="54" spans="1:19" x14ac:dyDescent="0.25">
      <c r="A54" s="208">
        <v>53</v>
      </c>
      <c r="B54" s="209" t="s">
        <v>648</v>
      </c>
      <c r="C54" s="209"/>
      <c r="D54" s="209"/>
      <c r="E54" s="209" t="s">
        <v>26</v>
      </c>
      <c r="F54" s="209" t="s">
        <v>26</v>
      </c>
      <c r="G54" s="209" t="s">
        <v>26</v>
      </c>
      <c r="H54" s="209" t="s">
        <v>85</v>
      </c>
      <c r="I54" s="209" t="s">
        <v>26</v>
      </c>
      <c r="J54" s="209" t="s">
        <v>84</v>
      </c>
      <c r="K54" s="209"/>
      <c r="L54" s="209" t="s">
        <v>26</v>
      </c>
      <c r="M54" s="209" t="s">
        <v>83</v>
      </c>
      <c r="N54" s="209" t="s">
        <v>26</v>
      </c>
      <c r="O54" s="209" t="s">
        <v>26</v>
      </c>
      <c r="P54" s="209" t="s">
        <v>26</v>
      </c>
      <c r="Q54" s="209" t="s">
        <v>84</v>
      </c>
      <c r="R54" s="209"/>
      <c r="S54">
        <f t="shared" si="0"/>
        <v>112</v>
      </c>
    </row>
    <row r="55" spans="1:19" x14ac:dyDescent="0.25">
      <c r="A55" s="208">
        <v>54</v>
      </c>
      <c r="B55" s="209" t="s">
        <v>649</v>
      </c>
      <c r="C55" s="209" t="s">
        <v>84</v>
      </c>
      <c r="D55" s="209"/>
      <c r="E55" s="209" t="s">
        <v>26</v>
      </c>
      <c r="F55" s="209" t="s">
        <v>26</v>
      </c>
      <c r="G55" s="209" t="s">
        <v>25</v>
      </c>
      <c r="H55" s="209" t="s">
        <v>26</v>
      </c>
      <c r="I55" s="209" t="s">
        <v>26</v>
      </c>
      <c r="J55" s="209" t="s">
        <v>84</v>
      </c>
      <c r="K55" s="209"/>
      <c r="L55" s="209" t="s">
        <v>26</v>
      </c>
      <c r="M55" s="209" t="s">
        <v>26</v>
      </c>
      <c r="N55" s="209" t="s">
        <v>26</v>
      </c>
      <c r="O55" s="209" t="s">
        <v>26</v>
      </c>
      <c r="P55" s="209" t="s">
        <v>26</v>
      </c>
      <c r="Q55" s="209" t="s">
        <v>84</v>
      </c>
      <c r="R55" s="209"/>
      <c r="S55">
        <f t="shared" si="0"/>
        <v>126</v>
      </c>
    </row>
    <row r="56" spans="1:19" x14ac:dyDescent="0.25">
      <c r="A56" s="208">
        <v>55</v>
      </c>
      <c r="B56" s="209" t="s">
        <v>650</v>
      </c>
      <c r="C56" s="209"/>
      <c r="D56" s="209"/>
      <c r="E56" s="209"/>
      <c r="F56" s="209"/>
      <c r="G56" s="209" t="s">
        <v>54</v>
      </c>
      <c r="H56" s="209" t="s">
        <v>54</v>
      </c>
      <c r="I56" s="209" t="s">
        <v>54</v>
      </c>
      <c r="J56" s="209" t="s">
        <v>54</v>
      </c>
      <c r="K56" s="209" t="s">
        <v>54</v>
      </c>
      <c r="L56" s="209" t="s">
        <v>54</v>
      </c>
      <c r="M56" s="209" t="s">
        <v>54</v>
      </c>
      <c r="N56" s="209" t="s">
        <v>54</v>
      </c>
      <c r="O56" s="209" t="s">
        <v>54</v>
      </c>
      <c r="P56" s="209" t="s">
        <v>54</v>
      </c>
      <c r="Q56" s="209" t="s">
        <v>54</v>
      </c>
      <c r="R56" s="209"/>
      <c r="S56">
        <f t="shared" si="0"/>
        <v>264</v>
      </c>
    </row>
    <row r="57" spans="1:19" x14ac:dyDescent="0.25">
      <c r="A57" s="208">
        <v>56</v>
      </c>
      <c r="B57" s="209" t="s">
        <v>652</v>
      </c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>
        <f t="shared" si="0"/>
        <v>0</v>
      </c>
    </row>
    <row r="58" spans="1:19" x14ac:dyDescent="0.25">
      <c r="A58" s="208">
        <v>57</v>
      </c>
      <c r="B58" s="209" t="s">
        <v>653</v>
      </c>
      <c r="C58" s="209"/>
      <c r="D58" s="209"/>
      <c r="E58" s="209"/>
      <c r="F58" s="209" t="s">
        <v>26</v>
      </c>
      <c r="G58" s="209" t="s">
        <v>85</v>
      </c>
      <c r="H58" s="209" t="s">
        <v>26</v>
      </c>
      <c r="I58" s="209" t="s">
        <v>26</v>
      </c>
      <c r="J58" s="209"/>
      <c r="K58" s="209"/>
      <c r="L58" s="209" t="s">
        <v>26</v>
      </c>
      <c r="M58" s="209" t="s">
        <v>26</v>
      </c>
      <c r="N58" s="209"/>
      <c r="O58" s="209" t="s">
        <v>64</v>
      </c>
      <c r="P58" s="209"/>
      <c r="Q58" s="209"/>
      <c r="R58" s="209"/>
      <c r="S58">
        <f t="shared" si="0"/>
        <v>72</v>
      </c>
    </row>
    <row r="59" spans="1:19" x14ac:dyDescent="0.25">
      <c r="A59" s="208">
        <v>58</v>
      </c>
      <c r="B59" s="209" t="s">
        <v>654</v>
      </c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>
        <f t="shared" si="0"/>
        <v>0</v>
      </c>
    </row>
    <row r="60" spans="1:19" x14ac:dyDescent="0.25">
      <c r="A60" s="208">
        <v>59</v>
      </c>
      <c r="B60" s="209" t="s">
        <v>655</v>
      </c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>
        <f t="shared" si="0"/>
        <v>0</v>
      </c>
    </row>
    <row r="61" spans="1:19" x14ac:dyDescent="0.25">
      <c r="A61" s="208">
        <v>60</v>
      </c>
      <c r="B61" s="209" t="s">
        <v>656</v>
      </c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>
        <f t="shared" si="0"/>
        <v>0</v>
      </c>
    </row>
    <row r="62" spans="1:19" x14ac:dyDescent="0.25">
      <c r="A62" s="208">
        <v>61</v>
      </c>
      <c r="B62" s="209" t="s">
        <v>658</v>
      </c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>
        <f t="shared" si="0"/>
        <v>0</v>
      </c>
    </row>
    <row r="63" spans="1:19" x14ac:dyDescent="0.25">
      <c r="A63" s="208">
        <v>62</v>
      </c>
      <c r="B63" s="209" t="s">
        <v>659</v>
      </c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>
        <f t="shared" si="0"/>
        <v>0</v>
      </c>
    </row>
    <row r="64" spans="1:19" x14ac:dyDescent="0.25">
      <c r="A64" s="208">
        <v>63</v>
      </c>
      <c r="B64" s="209" t="s">
        <v>20</v>
      </c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>
        <f t="shared" si="0"/>
        <v>0</v>
      </c>
    </row>
    <row r="65" spans="1:19" x14ac:dyDescent="0.25">
      <c r="A65" s="208">
        <v>64</v>
      </c>
      <c r="B65" s="209" t="s">
        <v>662</v>
      </c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>
        <f t="shared" si="0"/>
        <v>0</v>
      </c>
    </row>
    <row r="66" spans="1:19" x14ac:dyDescent="0.25">
      <c r="A66" s="208">
        <v>65</v>
      </c>
      <c r="B66" s="209" t="s">
        <v>663</v>
      </c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>
        <f t="shared" ref="S66:S72" si="1">C66+D66+E66+F66+G66+H66+I66+J66+K66+L66+M66+N66+O66+P66+Q66+R66</f>
        <v>0</v>
      </c>
    </row>
    <row r="67" spans="1:19" x14ac:dyDescent="0.25">
      <c r="A67" s="208">
        <v>66</v>
      </c>
      <c r="B67" s="209" t="s">
        <v>665</v>
      </c>
      <c r="C67" s="209"/>
      <c r="D67" s="209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>
        <f t="shared" si="1"/>
        <v>0</v>
      </c>
    </row>
    <row r="68" spans="1:19" x14ac:dyDescent="0.25">
      <c r="A68" s="208">
        <v>67</v>
      </c>
      <c r="B68" s="209" t="s">
        <v>666</v>
      </c>
      <c r="C68" s="209"/>
      <c r="D68" s="209"/>
      <c r="E68" s="209" t="s">
        <v>26</v>
      </c>
      <c r="F68" s="209" t="s">
        <v>26</v>
      </c>
      <c r="G68" s="209" t="s">
        <v>26</v>
      </c>
      <c r="H68" s="209" t="s">
        <v>26</v>
      </c>
      <c r="I68" s="209" t="s">
        <v>85</v>
      </c>
      <c r="J68" s="209" t="s">
        <v>84</v>
      </c>
      <c r="K68" s="209"/>
      <c r="L68" s="209"/>
      <c r="M68" s="209" t="s">
        <v>26</v>
      </c>
      <c r="N68" s="209" t="s">
        <v>26</v>
      </c>
      <c r="O68" s="209" t="s">
        <v>26</v>
      </c>
      <c r="P68" s="209"/>
      <c r="Q68" s="209" t="s">
        <v>84</v>
      </c>
      <c r="R68" s="209"/>
      <c r="S68">
        <f t="shared" si="1"/>
        <v>96</v>
      </c>
    </row>
    <row r="69" spans="1:19" x14ac:dyDescent="0.25">
      <c r="A69" s="208">
        <v>68</v>
      </c>
      <c r="B69" s="209" t="s">
        <v>667</v>
      </c>
      <c r="C69" s="209" t="s">
        <v>84</v>
      </c>
      <c r="D69" s="209"/>
      <c r="E69" s="209" t="s">
        <v>26</v>
      </c>
      <c r="F69" s="209" t="s">
        <v>26</v>
      </c>
      <c r="G69" s="209" t="s">
        <v>26</v>
      </c>
      <c r="H69" s="209" t="s">
        <v>26</v>
      </c>
      <c r="I69" s="209" t="s">
        <v>26</v>
      </c>
      <c r="J69" s="209"/>
      <c r="K69" s="209"/>
      <c r="L69" s="209" t="s">
        <v>26</v>
      </c>
      <c r="M69" s="209" t="s">
        <v>26</v>
      </c>
      <c r="N69" s="209" t="s">
        <v>26</v>
      </c>
      <c r="O69" s="209" t="s">
        <v>26</v>
      </c>
      <c r="P69" s="209" t="s">
        <v>26</v>
      </c>
      <c r="Q69" s="209" t="s">
        <v>84</v>
      </c>
      <c r="R69" s="209"/>
      <c r="S69">
        <f t="shared" si="1"/>
        <v>122</v>
      </c>
    </row>
    <row r="70" spans="1:19" x14ac:dyDescent="0.25">
      <c r="A70" s="208">
        <v>69</v>
      </c>
      <c r="B70" s="209" t="s">
        <v>668</v>
      </c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>
        <f t="shared" si="1"/>
        <v>0</v>
      </c>
    </row>
    <row r="71" spans="1:19" x14ac:dyDescent="0.25">
      <c r="A71" s="208">
        <v>70</v>
      </c>
      <c r="B71" s="209" t="s">
        <v>671</v>
      </c>
      <c r="C71" s="209"/>
      <c r="D71" s="209"/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>
        <f t="shared" si="1"/>
        <v>0</v>
      </c>
    </row>
    <row r="72" spans="1:19" x14ac:dyDescent="0.25">
      <c r="A72" s="207"/>
      <c r="B72" s="207"/>
      <c r="C72" s="207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>
        <f t="shared" si="1"/>
        <v>0</v>
      </c>
    </row>
    <row r="73" spans="1:19" x14ac:dyDescent="0.25">
      <c r="A73" s="153"/>
      <c r="B73" s="154"/>
      <c r="C73" s="149"/>
      <c r="D73" s="154"/>
      <c r="E73" s="154"/>
      <c r="F73" s="154"/>
      <c r="G73" s="154"/>
      <c r="H73" s="154"/>
      <c r="I73" s="153"/>
    </row>
    <row r="74" spans="1:19" x14ac:dyDescent="0.25">
      <c r="A74" s="153"/>
      <c r="B74" s="154"/>
      <c r="C74" s="149"/>
      <c r="D74" s="174"/>
      <c r="E74" s="174"/>
      <c r="F74" s="174"/>
      <c r="G74" s="174"/>
      <c r="H74" s="174"/>
      <c r="I74" s="178"/>
    </row>
    <row r="75" spans="1:19" x14ac:dyDescent="0.25">
      <c r="A75" s="153"/>
      <c r="B75" s="154"/>
      <c r="C75" s="149"/>
    </row>
    <row r="76" spans="1:19" x14ac:dyDescent="0.25">
      <c r="A76" s="153"/>
      <c r="B76" s="154"/>
      <c r="C76" s="149"/>
    </row>
    <row r="77" spans="1:19" x14ac:dyDescent="0.25">
      <c r="A77" s="198"/>
      <c r="B77" s="198"/>
      <c r="C77" s="149"/>
    </row>
    <row r="78" spans="1:19" x14ac:dyDescent="0.25">
      <c r="A78" s="174"/>
      <c r="B78" s="17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S78"/>
  <sheetViews>
    <sheetView topLeftCell="A31" zoomScale="55" zoomScaleNormal="55" workbookViewId="0">
      <selection activeCell="S68" sqref="S68"/>
    </sheetView>
  </sheetViews>
  <sheetFormatPr defaultRowHeight="15" x14ac:dyDescent="0.25"/>
  <cols>
    <col min="2" max="2" width="29.85546875" bestFit="1" customWidth="1"/>
  </cols>
  <sheetData>
    <row r="1" spans="1:19" x14ac:dyDescent="0.25">
      <c r="A1" s="199" t="s">
        <v>1</v>
      </c>
      <c r="B1" s="199" t="s">
        <v>6</v>
      </c>
      <c r="C1" s="199" t="s">
        <v>46</v>
      </c>
      <c r="D1" s="199" t="s">
        <v>47</v>
      </c>
      <c r="E1" s="199" t="s">
        <v>48</v>
      </c>
      <c r="F1" s="199" t="s">
        <v>49</v>
      </c>
      <c r="G1" s="199" t="s">
        <v>50</v>
      </c>
      <c r="H1" s="199" t="s">
        <v>51</v>
      </c>
      <c r="I1" s="199" t="s">
        <v>52</v>
      </c>
      <c r="J1" s="199" t="s">
        <v>53</v>
      </c>
      <c r="K1" s="199" t="s">
        <v>54</v>
      </c>
      <c r="L1" s="199" t="s">
        <v>55</v>
      </c>
      <c r="M1" s="199" t="s">
        <v>56</v>
      </c>
      <c r="N1" s="199" t="s">
        <v>57</v>
      </c>
      <c r="O1" s="199" t="s">
        <v>58</v>
      </c>
      <c r="P1" s="199" t="s">
        <v>59</v>
      </c>
      <c r="Q1" s="199" t="s">
        <v>669</v>
      </c>
      <c r="R1" s="199" t="s">
        <v>670</v>
      </c>
      <c r="S1" s="199" t="s">
        <v>2</v>
      </c>
    </row>
    <row r="2" spans="1:19" x14ac:dyDescent="0.25">
      <c r="A2" s="155">
        <v>1</v>
      </c>
      <c r="B2" s="156" t="s">
        <v>10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>
        <f t="shared" ref="S2:S65" si="0">C2+D2+E2+F2+G2+H2+I2+J2+K2+L2+M2+N2+O2+P2+Q2+R2</f>
        <v>0</v>
      </c>
    </row>
    <row r="3" spans="1:19" x14ac:dyDescent="0.25">
      <c r="A3" s="155">
        <v>2</v>
      </c>
      <c r="B3" s="156" t="s">
        <v>11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>
        <f t="shared" si="0"/>
        <v>0</v>
      </c>
    </row>
    <row r="4" spans="1:19" x14ac:dyDescent="0.25">
      <c r="A4" s="155">
        <v>3</v>
      </c>
      <c r="B4" s="156" t="s">
        <v>12</v>
      </c>
      <c r="C4" s="156" t="s">
        <v>54</v>
      </c>
      <c r="D4" s="156" t="s">
        <v>54</v>
      </c>
      <c r="E4" s="156" t="s">
        <v>54</v>
      </c>
      <c r="F4" s="156" t="s">
        <v>54</v>
      </c>
      <c r="G4" s="156" t="s">
        <v>54</v>
      </c>
      <c r="H4" s="156" t="s">
        <v>54</v>
      </c>
      <c r="I4" s="156" t="s">
        <v>54</v>
      </c>
      <c r="J4" s="156"/>
      <c r="K4" s="156"/>
      <c r="L4" s="156" t="s">
        <v>54</v>
      </c>
      <c r="M4" s="156" t="s">
        <v>54</v>
      </c>
      <c r="N4" s="156" t="s">
        <v>54</v>
      </c>
      <c r="O4" s="156" t="s">
        <v>54</v>
      </c>
      <c r="P4" s="156" t="s">
        <v>54</v>
      </c>
      <c r="Q4" s="156" t="s">
        <v>54</v>
      </c>
      <c r="R4" s="156" t="s">
        <v>54</v>
      </c>
      <c r="S4">
        <f t="shared" si="0"/>
        <v>336</v>
      </c>
    </row>
    <row r="5" spans="1:19" x14ac:dyDescent="0.25">
      <c r="A5" s="155">
        <v>4</v>
      </c>
      <c r="B5" s="156" t="s">
        <v>664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>
        <f t="shared" si="0"/>
        <v>0</v>
      </c>
    </row>
    <row r="6" spans="1:19" x14ac:dyDescent="0.25">
      <c r="A6" s="155">
        <v>5</v>
      </c>
      <c r="B6" s="156" t="s">
        <v>14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>
        <f t="shared" si="0"/>
        <v>0</v>
      </c>
    </row>
    <row r="7" spans="1:19" x14ac:dyDescent="0.25">
      <c r="A7" s="155">
        <v>6</v>
      </c>
      <c r="B7" s="156" t="s">
        <v>15</v>
      </c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>
        <f t="shared" si="0"/>
        <v>0</v>
      </c>
    </row>
    <row r="8" spans="1:19" x14ac:dyDescent="0.25">
      <c r="A8" s="155">
        <v>7</v>
      </c>
      <c r="B8" s="156" t="s">
        <v>16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>
        <f t="shared" si="0"/>
        <v>0</v>
      </c>
    </row>
    <row r="9" spans="1:19" x14ac:dyDescent="0.25">
      <c r="A9" s="155">
        <v>8</v>
      </c>
      <c r="B9" s="156" t="s">
        <v>4</v>
      </c>
      <c r="C9" s="156" t="s">
        <v>54</v>
      </c>
      <c r="D9" s="156" t="s">
        <v>54</v>
      </c>
      <c r="E9" s="156" t="s">
        <v>54</v>
      </c>
      <c r="F9" s="156" t="s">
        <v>54</v>
      </c>
      <c r="G9" s="156" t="s">
        <v>54</v>
      </c>
      <c r="H9" s="156" t="s">
        <v>54</v>
      </c>
      <c r="I9" s="156" t="s">
        <v>54</v>
      </c>
      <c r="J9" s="156" t="s">
        <v>54</v>
      </c>
      <c r="K9" s="156" t="s">
        <v>54</v>
      </c>
      <c r="L9" s="156" t="s">
        <v>54</v>
      </c>
      <c r="M9" s="156" t="s">
        <v>54</v>
      </c>
      <c r="N9" s="156" t="s">
        <v>54</v>
      </c>
      <c r="O9" s="156" t="s">
        <v>54</v>
      </c>
      <c r="P9" s="156" t="s">
        <v>54</v>
      </c>
      <c r="Q9" s="156"/>
      <c r="R9" s="156" t="s">
        <v>54</v>
      </c>
      <c r="S9">
        <f t="shared" si="0"/>
        <v>360</v>
      </c>
    </row>
    <row r="10" spans="1:19" x14ac:dyDescent="0.25">
      <c r="A10" s="155">
        <v>9</v>
      </c>
      <c r="B10" s="156" t="s">
        <v>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>
        <f t="shared" si="0"/>
        <v>0</v>
      </c>
    </row>
    <row r="11" spans="1:19" x14ac:dyDescent="0.25">
      <c r="A11" s="155">
        <v>10</v>
      </c>
      <c r="B11" s="156" t="s">
        <v>38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>
        <f t="shared" si="0"/>
        <v>0</v>
      </c>
    </row>
    <row r="12" spans="1:19" x14ac:dyDescent="0.25">
      <c r="A12" s="155">
        <v>11</v>
      </c>
      <c r="B12" s="156" t="s">
        <v>43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>
        <f t="shared" si="0"/>
        <v>0</v>
      </c>
    </row>
    <row r="13" spans="1:19" x14ac:dyDescent="0.25">
      <c r="A13" s="155">
        <v>12</v>
      </c>
      <c r="B13" s="156" t="s">
        <v>644</v>
      </c>
      <c r="C13" s="156" t="s">
        <v>54</v>
      </c>
      <c r="D13" s="156" t="s">
        <v>54</v>
      </c>
      <c r="E13" s="156" t="s">
        <v>54</v>
      </c>
      <c r="F13" s="156" t="s">
        <v>54</v>
      </c>
      <c r="G13" s="156" t="s">
        <v>54</v>
      </c>
      <c r="H13" s="156"/>
      <c r="I13" s="156" t="s">
        <v>54</v>
      </c>
      <c r="J13" s="156" t="s">
        <v>54</v>
      </c>
      <c r="K13" s="156" t="s">
        <v>54</v>
      </c>
      <c r="L13" s="156"/>
      <c r="M13" s="156" t="s">
        <v>54</v>
      </c>
      <c r="N13" s="156" t="s">
        <v>54</v>
      </c>
      <c r="O13" s="156" t="s">
        <v>54</v>
      </c>
      <c r="P13" s="156" t="s">
        <v>54</v>
      </c>
      <c r="Q13" s="156" t="s">
        <v>54</v>
      </c>
      <c r="R13" s="156" t="s">
        <v>54</v>
      </c>
      <c r="S13">
        <f t="shared" si="0"/>
        <v>336</v>
      </c>
    </row>
    <row r="14" spans="1:19" x14ac:dyDescent="0.25">
      <c r="A14" s="155">
        <v>13</v>
      </c>
      <c r="B14" s="156" t="s">
        <v>87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>
        <f t="shared" si="0"/>
        <v>0</v>
      </c>
    </row>
    <row r="15" spans="1:19" x14ac:dyDescent="0.25">
      <c r="A15" s="155">
        <v>14</v>
      </c>
      <c r="B15" s="156" t="s">
        <v>95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>
        <f t="shared" si="0"/>
        <v>0</v>
      </c>
    </row>
    <row r="16" spans="1:19" x14ac:dyDescent="0.25">
      <c r="A16" s="155">
        <v>15</v>
      </c>
      <c r="B16" s="156" t="s">
        <v>97</v>
      </c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>
        <f t="shared" si="0"/>
        <v>0</v>
      </c>
    </row>
    <row r="17" spans="1:19" x14ac:dyDescent="0.25">
      <c r="A17" s="155">
        <v>16</v>
      </c>
      <c r="B17" s="156" t="s">
        <v>96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>
        <f t="shared" si="0"/>
        <v>0</v>
      </c>
    </row>
    <row r="18" spans="1:19" x14ac:dyDescent="0.25">
      <c r="A18" s="155">
        <v>17</v>
      </c>
      <c r="B18" s="156" t="s">
        <v>98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>
        <f t="shared" si="0"/>
        <v>0</v>
      </c>
    </row>
    <row r="19" spans="1:19" x14ac:dyDescent="0.25">
      <c r="A19" s="155">
        <v>18</v>
      </c>
      <c r="B19" s="156" t="s">
        <v>99</v>
      </c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>
        <f t="shared" si="0"/>
        <v>0</v>
      </c>
    </row>
    <row r="20" spans="1:19" x14ac:dyDescent="0.25">
      <c r="A20" s="155">
        <v>19</v>
      </c>
      <c r="B20" s="156" t="s">
        <v>617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>
        <f t="shared" si="0"/>
        <v>0</v>
      </c>
    </row>
    <row r="21" spans="1:19" x14ac:dyDescent="0.25">
      <c r="A21" s="155">
        <v>20</v>
      </c>
      <c r="B21" s="156" t="s">
        <v>618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>
        <f t="shared" si="0"/>
        <v>0</v>
      </c>
    </row>
    <row r="22" spans="1:19" x14ac:dyDescent="0.25">
      <c r="A22" s="155">
        <v>21</v>
      </c>
      <c r="B22" s="156" t="s">
        <v>629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>
        <f t="shared" si="0"/>
        <v>0</v>
      </c>
    </row>
    <row r="23" spans="1:19" x14ac:dyDescent="0.25">
      <c r="A23" s="155">
        <v>22</v>
      </c>
      <c r="B23" s="156" t="s">
        <v>619</v>
      </c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>
        <f t="shared" si="0"/>
        <v>0</v>
      </c>
    </row>
    <row r="24" spans="1:19" x14ac:dyDescent="0.25">
      <c r="A24" s="155">
        <v>23</v>
      </c>
      <c r="B24" s="156" t="s">
        <v>620</v>
      </c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>
        <f t="shared" si="0"/>
        <v>0</v>
      </c>
    </row>
    <row r="25" spans="1:19" x14ac:dyDescent="0.25">
      <c r="A25" s="155">
        <v>24</v>
      </c>
      <c r="B25" s="156" t="s">
        <v>622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>
        <f t="shared" si="0"/>
        <v>0</v>
      </c>
    </row>
    <row r="26" spans="1:19" x14ac:dyDescent="0.25">
      <c r="A26" s="155">
        <v>25</v>
      </c>
      <c r="B26" s="156" t="s">
        <v>661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>
        <f t="shared" si="0"/>
        <v>0</v>
      </c>
    </row>
    <row r="27" spans="1:19" x14ac:dyDescent="0.25">
      <c r="A27" s="155">
        <v>26</v>
      </c>
      <c r="B27" s="156" t="s">
        <v>623</v>
      </c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>
        <f t="shared" si="0"/>
        <v>0</v>
      </c>
    </row>
    <row r="28" spans="1:19" x14ac:dyDescent="0.25">
      <c r="A28" s="155">
        <v>27</v>
      </c>
      <c r="B28" s="156" t="s">
        <v>624</v>
      </c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>
        <f t="shared" si="0"/>
        <v>0</v>
      </c>
    </row>
    <row r="29" spans="1:19" x14ac:dyDescent="0.25">
      <c r="A29" s="155">
        <v>28</v>
      </c>
      <c r="B29" s="156" t="s">
        <v>625</v>
      </c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>
        <f t="shared" si="0"/>
        <v>0</v>
      </c>
    </row>
    <row r="30" spans="1:19" x14ac:dyDescent="0.25">
      <c r="A30" s="155">
        <v>29</v>
      </c>
      <c r="B30" s="156" t="s">
        <v>626</v>
      </c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>
        <f t="shared" si="0"/>
        <v>0</v>
      </c>
    </row>
    <row r="31" spans="1:19" x14ac:dyDescent="0.25">
      <c r="A31" s="155">
        <v>30</v>
      </c>
      <c r="B31" s="156" t="s">
        <v>631</v>
      </c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>
        <f t="shared" si="0"/>
        <v>0</v>
      </c>
    </row>
    <row r="32" spans="1:19" x14ac:dyDescent="0.25">
      <c r="A32" s="155">
        <v>31</v>
      </c>
      <c r="B32" s="156" t="s">
        <v>627</v>
      </c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>
        <f t="shared" si="0"/>
        <v>0</v>
      </c>
    </row>
    <row r="33" spans="1:19" x14ac:dyDescent="0.25">
      <c r="A33" s="155">
        <v>32</v>
      </c>
      <c r="B33" s="156" t="s">
        <v>34</v>
      </c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>
        <f t="shared" si="0"/>
        <v>0</v>
      </c>
    </row>
    <row r="34" spans="1:19" x14ac:dyDescent="0.25">
      <c r="A34" s="155">
        <v>33</v>
      </c>
      <c r="B34" s="156" t="s">
        <v>628</v>
      </c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>
        <f t="shared" si="0"/>
        <v>0</v>
      </c>
    </row>
    <row r="35" spans="1:19" x14ac:dyDescent="0.25">
      <c r="A35" s="155">
        <v>34</v>
      </c>
      <c r="B35" s="156" t="s">
        <v>621</v>
      </c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>
        <f t="shared" si="0"/>
        <v>0</v>
      </c>
    </row>
    <row r="36" spans="1:19" x14ac:dyDescent="0.25">
      <c r="A36" s="155">
        <v>35</v>
      </c>
      <c r="B36" s="156" t="s">
        <v>45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>
        <f t="shared" si="0"/>
        <v>0</v>
      </c>
    </row>
    <row r="37" spans="1:19" x14ac:dyDescent="0.25">
      <c r="A37" s="155">
        <v>36</v>
      </c>
      <c r="B37" s="156" t="s">
        <v>634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>
        <f t="shared" si="0"/>
        <v>0</v>
      </c>
    </row>
    <row r="38" spans="1:19" x14ac:dyDescent="0.25">
      <c r="A38" s="155">
        <v>37</v>
      </c>
      <c r="B38" s="156" t="s">
        <v>647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>
        <f t="shared" si="0"/>
        <v>0</v>
      </c>
    </row>
    <row r="39" spans="1:19" x14ac:dyDescent="0.25">
      <c r="A39" s="155">
        <v>38</v>
      </c>
      <c r="B39" s="156" t="s">
        <v>632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>
        <f t="shared" si="0"/>
        <v>0</v>
      </c>
    </row>
    <row r="40" spans="1:19" x14ac:dyDescent="0.25">
      <c r="A40" s="155">
        <v>39</v>
      </c>
      <c r="B40" s="156" t="s">
        <v>633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>
        <f t="shared" si="0"/>
        <v>0</v>
      </c>
    </row>
    <row r="41" spans="1:19" x14ac:dyDescent="0.25">
      <c r="A41" s="155">
        <v>40</v>
      </c>
      <c r="B41" s="156" t="s">
        <v>635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>
        <f t="shared" si="0"/>
        <v>0</v>
      </c>
    </row>
    <row r="42" spans="1:19" x14ac:dyDescent="0.25">
      <c r="A42" s="155">
        <v>41</v>
      </c>
      <c r="B42" s="156" t="s">
        <v>636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>
        <f t="shared" si="0"/>
        <v>0</v>
      </c>
    </row>
    <row r="43" spans="1:19" x14ac:dyDescent="0.25">
      <c r="A43" s="155">
        <v>42</v>
      </c>
      <c r="B43" s="156" t="s">
        <v>637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>
        <f t="shared" si="0"/>
        <v>0</v>
      </c>
    </row>
    <row r="44" spans="1:19" x14ac:dyDescent="0.25">
      <c r="A44" s="155">
        <v>43</v>
      </c>
      <c r="B44" s="156" t="s">
        <v>638</v>
      </c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>
        <f t="shared" si="0"/>
        <v>0</v>
      </c>
    </row>
    <row r="45" spans="1:19" x14ac:dyDescent="0.25">
      <c r="A45" s="155">
        <v>44</v>
      </c>
      <c r="B45" s="156" t="s">
        <v>630</v>
      </c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>
        <f t="shared" si="0"/>
        <v>0</v>
      </c>
    </row>
    <row r="46" spans="1:19" x14ac:dyDescent="0.25">
      <c r="A46" s="155">
        <v>45</v>
      </c>
      <c r="B46" s="156" t="s">
        <v>639</v>
      </c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>
        <f t="shared" si="0"/>
        <v>0</v>
      </c>
    </row>
    <row r="47" spans="1:19" x14ac:dyDescent="0.25">
      <c r="A47" s="155">
        <v>46</v>
      </c>
      <c r="B47" s="156" t="s">
        <v>641</v>
      </c>
      <c r="C47" s="156"/>
      <c r="D47" s="156"/>
      <c r="E47" s="156"/>
      <c r="F47" s="156"/>
      <c r="G47" s="156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>
        <f t="shared" si="0"/>
        <v>0</v>
      </c>
    </row>
    <row r="48" spans="1:19" x14ac:dyDescent="0.25">
      <c r="A48" s="155">
        <v>47</v>
      </c>
      <c r="B48" s="156" t="s">
        <v>642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>
        <f t="shared" si="0"/>
        <v>0</v>
      </c>
    </row>
    <row r="49" spans="1:19" x14ac:dyDescent="0.25">
      <c r="A49" s="155">
        <v>48</v>
      </c>
      <c r="B49" s="156" t="s">
        <v>645</v>
      </c>
      <c r="C49" s="156" t="s">
        <v>54</v>
      </c>
      <c r="D49" s="156" t="s">
        <v>54</v>
      </c>
      <c r="E49" s="156" t="s">
        <v>54</v>
      </c>
      <c r="F49" s="156" t="s">
        <v>54</v>
      </c>
      <c r="G49" s="156" t="s">
        <v>54</v>
      </c>
      <c r="H49" s="156" t="s">
        <v>54</v>
      </c>
      <c r="I49" s="156" t="s">
        <v>54</v>
      </c>
      <c r="J49" s="156" t="s">
        <v>54</v>
      </c>
      <c r="K49" s="156" t="s">
        <v>54</v>
      </c>
      <c r="L49" s="156" t="s">
        <v>54</v>
      </c>
      <c r="M49" s="156" t="s">
        <v>54</v>
      </c>
      <c r="N49" s="156" t="s">
        <v>54</v>
      </c>
      <c r="O49" s="156" t="s">
        <v>54</v>
      </c>
      <c r="P49" s="156" t="s">
        <v>54</v>
      </c>
      <c r="Q49" s="156" t="s">
        <v>54</v>
      </c>
      <c r="R49" s="156" t="s">
        <v>54</v>
      </c>
      <c r="S49">
        <f t="shared" si="0"/>
        <v>384</v>
      </c>
    </row>
    <row r="50" spans="1:19" x14ac:dyDescent="0.25">
      <c r="A50" s="155">
        <v>49</v>
      </c>
      <c r="B50" s="156" t="s">
        <v>643</v>
      </c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>
        <f t="shared" si="0"/>
        <v>0</v>
      </c>
    </row>
    <row r="51" spans="1:19" x14ac:dyDescent="0.25">
      <c r="A51" s="155">
        <v>50</v>
      </c>
      <c r="B51" s="156" t="s">
        <v>640</v>
      </c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>
        <f t="shared" si="0"/>
        <v>0</v>
      </c>
    </row>
    <row r="52" spans="1:19" x14ac:dyDescent="0.25">
      <c r="A52" s="155">
        <v>51</v>
      </c>
      <c r="B52" s="156" t="s">
        <v>646</v>
      </c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>
        <f t="shared" si="0"/>
        <v>0</v>
      </c>
    </row>
    <row r="53" spans="1:19" x14ac:dyDescent="0.25">
      <c r="A53" s="155">
        <v>52</v>
      </c>
      <c r="B53" s="156" t="s">
        <v>660</v>
      </c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>
        <f t="shared" si="0"/>
        <v>0</v>
      </c>
    </row>
    <row r="54" spans="1:19" x14ac:dyDescent="0.25">
      <c r="A54" s="155">
        <v>53</v>
      </c>
      <c r="B54" s="156" t="s">
        <v>648</v>
      </c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>
        <f t="shared" si="0"/>
        <v>0</v>
      </c>
    </row>
    <row r="55" spans="1:19" x14ac:dyDescent="0.25">
      <c r="A55" s="155">
        <v>54</v>
      </c>
      <c r="B55" s="156" t="s">
        <v>649</v>
      </c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>
        <f t="shared" si="0"/>
        <v>0</v>
      </c>
    </row>
    <row r="56" spans="1:19" x14ac:dyDescent="0.25">
      <c r="A56" s="155">
        <v>55</v>
      </c>
      <c r="B56" s="156" t="s">
        <v>650</v>
      </c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>
        <f t="shared" si="0"/>
        <v>0</v>
      </c>
    </row>
    <row r="57" spans="1:19" x14ac:dyDescent="0.25">
      <c r="A57" s="155">
        <v>56</v>
      </c>
      <c r="B57" s="156" t="s">
        <v>652</v>
      </c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6"/>
      <c r="R57" s="156"/>
      <c r="S57">
        <f t="shared" si="0"/>
        <v>0</v>
      </c>
    </row>
    <row r="58" spans="1:19" x14ac:dyDescent="0.25">
      <c r="A58" s="155">
        <v>57</v>
      </c>
      <c r="B58" s="156" t="s">
        <v>653</v>
      </c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6"/>
      <c r="R58" s="156"/>
      <c r="S58">
        <f t="shared" si="0"/>
        <v>0</v>
      </c>
    </row>
    <row r="59" spans="1:19" x14ac:dyDescent="0.25">
      <c r="A59" s="155">
        <v>58</v>
      </c>
      <c r="B59" s="156" t="s">
        <v>654</v>
      </c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>
        <f t="shared" si="0"/>
        <v>0</v>
      </c>
    </row>
    <row r="60" spans="1:19" x14ac:dyDescent="0.25">
      <c r="A60" s="155">
        <v>59</v>
      </c>
      <c r="B60" s="156" t="s">
        <v>655</v>
      </c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>
        <f t="shared" si="0"/>
        <v>0</v>
      </c>
    </row>
    <row r="61" spans="1:19" x14ac:dyDescent="0.25">
      <c r="A61" s="155">
        <v>60</v>
      </c>
      <c r="B61" s="156" t="s">
        <v>656</v>
      </c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>
        <f t="shared" si="0"/>
        <v>0</v>
      </c>
    </row>
    <row r="62" spans="1:19" x14ac:dyDescent="0.25">
      <c r="A62" s="155">
        <v>61</v>
      </c>
      <c r="B62" s="156" t="s">
        <v>658</v>
      </c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>
        <f t="shared" si="0"/>
        <v>0</v>
      </c>
    </row>
    <row r="63" spans="1:19" x14ac:dyDescent="0.25">
      <c r="A63" s="155">
        <v>62</v>
      </c>
      <c r="B63" s="156" t="s">
        <v>659</v>
      </c>
      <c r="C63" s="156"/>
      <c r="D63" s="156"/>
      <c r="E63" s="156"/>
      <c r="F63" s="156"/>
      <c r="G63" s="156"/>
      <c r="H63" s="156"/>
      <c r="I63" s="156"/>
      <c r="J63" s="156"/>
      <c r="K63" s="156"/>
      <c r="L63" s="156"/>
      <c r="M63" s="156"/>
      <c r="N63" s="156"/>
      <c r="O63" s="156"/>
      <c r="P63" s="156"/>
      <c r="Q63" s="156"/>
      <c r="R63" s="156"/>
      <c r="S63">
        <f t="shared" si="0"/>
        <v>0</v>
      </c>
    </row>
    <row r="64" spans="1:19" x14ac:dyDescent="0.25">
      <c r="A64" s="155">
        <v>63</v>
      </c>
      <c r="B64" s="156" t="s">
        <v>20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>
        <f t="shared" si="0"/>
        <v>0</v>
      </c>
    </row>
    <row r="65" spans="1:19" x14ac:dyDescent="0.25">
      <c r="A65" s="155">
        <v>64</v>
      </c>
      <c r="B65" s="156" t="s">
        <v>662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>
        <f t="shared" si="0"/>
        <v>0</v>
      </c>
    </row>
    <row r="66" spans="1:19" x14ac:dyDescent="0.25">
      <c r="A66" s="155">
        <v>65</v>
      </c>
      <c r="B66" s="156" t="s">
        <v>663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>
        <f t="shared" ref="S66:S72" si="1">C66+D66+E66+F66+G66+H66+I66+J66+K66+L66+M66+N66+O66+P66+Q66+R66</f>
        <v>0</v>
      </c>
    </row>
    <row r="67" spans="1:19" x14ac:dyDescent="0.25">
      <c r="A67" s="155">
        <v>66</v>
      </c>
      <c r="B67" s="156" t="s">
        <v>665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>
        <f t="shared" si="1"/>
        <v>0</v>
      </c>
    </row>
    <row r="68" spans="1:19" x14ac:dyDescent="0.25">
      <c r="A68" s="155">
        <v>67</v>
      </c>
      <c r="B68" s="156" t="s">
        <v>666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>
        <f t="shared" si="1"/>
        <v>0</v>
      </c>
    </row>
    <row r="69" spans="1:19" x14ac:dyDescent="0.25">
      <c r="A69" s="155">
        <v>68</v>
      </c>
      <c r="B69" s="156" t="s">
        <v>667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>
        <f t="shared" si="1"/>
        <v>0</v>
      </c>
    </row>
    <row r="70" spans="1:19" x14ac:dyDescent="0.25">
      <c r="A70" s="155">
        <v>69</v>
      </c>
      <c r="B70" s="156" t="s">
        <v>668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>
        <f t="shared" si="1"/>
        <v>0</v>
      </c>
    </row>
    <row r="71" spans="1:19" x14ac:dyDescent="0.25">
      <c r="A71" s="155">
        <v>70</v>
      </c>
      <c r="B71" s="156" t="s">
        <v>671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>
        <f t="shared" si="1"/>
        <v>0</v>
      </c>
    </row>
    <row r="72" spans="1:19" x14ac:dyDescent="0.25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>
        <f t="shared" si="1"/>
        <v>0</v>
      </c>
    </row>
    <row r="73" spans="1:19" x14ac:dyDescent="0.25">
      <c r="A73" s="155"/>
      <c r="B73" s="156"/>
      <c r="C73" s="149"/>
      <c r="D73" s="156"/>
      <c r="E73" s="156"/>
      <c r="F73" s="156"/>
      <c r="G73" s="156"/>
      <c r="H73" s="156"/>
      <c r="I73" s="156"/>
      <c r="J73" s="155"/>
    </row>
    <row r="74" spans="1:19" x14ac:dyDescent="0.25">
      <c r="A74" s="155"/>
      <c r="B74" s="156"/>
      <c r="C74" s="149"/>
      <c r="D74" s="173"/>
      <c r="E74" s="173"/>
      <c r="F74" s="173"/>
      <c r="G74" s="173"/>
      <c r="H74" s="173"/>
      <c r="I74" s="173"/>
      <c r="J74" s="179"/>
    </row>
    <row r="75" spans="1:19" x14ac:dyDescent="0.25">
      <c r="A75" s="155"/>
      <c r="B75" s="156"/>
      <c r="C75" s="149"/>
    </row>
    <row r="76" spans="1:19" x14ac:dyDescent="0.25">
      <c r="A76" s="155"/>
      <c r="B76" s="156"/>
      <c r="C76" s="149"/>
    </row>
    <row r="77" spans="1:19" x14ac:dyDescent="0.25">
      <c r="A77" s="199"/>
      <c r="B77" s="199"/>
      <c r="C77" s="149"/>
    </row>
    <row r="78" spans="1:19" x14ac:dyDescent="0.25">
      <c r="A78" s="173"/>
      <c r="B78" s="17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S78"/>
  <sheetViews>
    <sheetView topLeftCell="A64" zoomScale="55" zoomScaleNormal="55" workbookViewId="0">
      <selection activeCell="S69" sqref="S69"/>
    </sheetView>
  </sheetViews>
  <sheetFormatPr defaultRowHeight="15" x14ac:dyDescent="0.25"/>
  <cols>
    <col min="2" max="2" width="34.42578125" bestFit="1" customWidth="1"/>
  </cols>
  <sheetData>
    <row r="1" spans="1:19" x14ac:dyDescent="0.25">
      <c r="A1" s="202" t="s">
        <v>1</v>
      </c>
      <c r="B1" s="202" t="s">
        <v>6</v>
      </c>
      <c r="C1" s="202" t="s">
        <v>46</v>
      </c>
      <c r="D1" s="202" t="s">
        <v>47</v>
      </c>
      <c r="E1" s="202" t="s">
        <v>48</v>
      </c>
      <c r="F1" s="202" t="s">
        <v>49</v>
      </c>
      <c r="G1" s="202" t="s">
        <v>50</v>
      </c>
      <c r="H1" s="202" t="s">
        <v>51</v>
      </c>
      <c r="I1" s="202" t="s">
        <v>52</v>
      </c>
      <c r="J1" s="202" t="s">
        <v>53</v>
      </c>
      <c r="K1" s="202" t="s">
        <v>54</v>
      </c>
      <c r="L1" s="202" t="s">
        <v>55</v>
      </c>
      <c r="M1" s="202" t="s">
        <v>56</v>
      </c>
      <c r="N1" s="202" t="s">
        <v>57</v>
      </c>
      <c r="O1" s="202" t="s">
        <v>58</v>
      </c>
      <c r="P1" s="202" t="s">
        <v>59</v>
      </c>
      <c r="Q1" s="202" t="s">
        <v>669</v>
      </c>
      <c r="R1" s="202" t="s">
        <v>670</v>
      </c>
      <c r="S1" s="202" t="s">
        <v>2</v>
      </c>
    </row>
    <row r="2" spans="1:19" x14ac:dyDescent="0.25">
      <c r="A2" s="168">
        <v>1</v>
      </c>
      <c r="B2" s="169" t="s">
        <v>10</v>
      </c>
      <c r="C2" s="169"/>
      <c r="D2" s="169"/>
      <c r="E2" s="169" t="s">
        <v>26</v>
      </c>
      <c r="F2" s="169" t="s">
        <v>26</v>
      </c>
      <c r="G2" s="169" t="s">
        <v>26</v>
      </c>
      <c r="H2" s="169" t="s">
        <v>26</v>
      </c>
      <c r="I2" s="169" t="s">
        <v>26</v>
      </c>
      <c r="J2" s="169" t="s">
        <v>84</v>
      </c>
      <c r="K2" s="169"/>
      <c r="L2" s="169"/>
      <c r="M2" s="169"/>
      <c r="N2" s="169"/>
      <c r="O2" s="169"/>
      <c r="P2" s="169"/>
      <c r="Q2" s="169"/>
      <c r="R2" s="169"/>
      <c r="S2">
        <f t="shared" ref="S2:S65" si="0">C2+D2+E2+F2+G2+H2+I2+J2+K2+L2+M2+N2+O2+P2+Q2+R2</f>
        <v>61</v>
      </c>
    </row>
    <row r="3" spans="1:19" x14ac:dyDescent="0.25">
      <c r="A3" s="168">
        <v>2</v>
      </c>
      <c r="B3" s="169" t="s">
        <v>11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>
        <f t="shared" si="0"/>
        <v>0</v>
      </c>
    </row>
    <row r="4" spans="1:19" x14ac:dyDescent="0.25">
      <c r="A4" s="168">
        <v>3</v>
      </c>
      <c r="B4" s="169" t="s">
        <v>12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>
        <f t="shared" si="0"/>
        <v>0</v>
      </c>
    </row>
    <row r="5" spans="1:19" x14ac:dyDescent="0.25">
      <c r="A5" s="168">
        <v>4</v>
      </c>
      <c r="B5" s="169" t="s">
        <v>664</v>
      </c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>
        <f t="shared" si="0"/>
        <v>0</v>
      </c>
    </row>
    <row r="6" spans="1:19" x14ac:dyDescent="0.25">
      <c r="A6" s="168">
        <v>5</v>
      </c>
      <c r="B6" s="169" t="s">
        <v>14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>
        <f t="shared" si="0"/>
        <v>0</v>
      </c>
    </row>
    <row r="7" spans="1:19" x14ac:dyDescent="0.25">
      <c r="A7" s="168">
        <v>6</v>
      </c>
      <c r="B7" s="169" t="s">
        <v>15</v>
      </c>
      <c r="C7" s="169" t="s">
        <v>84</v>
      </c>
      <c r="D7" s="169"/>
      <c r="E7" s="169" t="s">
        <v>26</v>
      </c>
      <c r="F7" s="169" t="s">
        <v>26</v>
      </c>
      <c r="G7" s="169" t="s">
        <v>26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>
        <f t="shared" si="0"/>
        <v>39</v>
      </c>
    </row>
    <row r="8" spans="1:19" x14ac:dyDescent="0.25">
      <c r="A8" s="168">
        <v>7</v>
      </c>
      <c r="B8" s="169" t="s">
        <v>16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>
        <f t="shared" si="0"/>
        <v>0</v>
      </c>
    </row>
    <row r="9" spans="1:19" x14ac:dyDescent="0.25">
      <c r="A9" s="168">
        <v>8</v>
      </c>
      <c r="B9" s="169" t="s">
        <v>4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>
        <f t="shared" si="0"/>
        <v>0</v>
      </c>
    </row>
    <row r="10" spans="1:19" x14ac:dyDescent="0.25">
      <c r="A10" s="168">
        <v>9</v>
      </c>
      <c r="B10" s="169" t="s">
        <v>5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>
        <f t="shared" si="0"/>
        <v>0</v>
      </c>
    </row>
    <row r="11" spans="1:19" x14ac:dyDescent="0.25">
      <c r="A11" s="168">
        <v>10</v>
      </c>
      <c r="B11" s="169" t="s">
        <v>38</v>
      </c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>
        <f t="shared" si="0"/>
        <v>0</v>
      </c>
    </row>
    <row r="12" spans="1:19" x14ac:dyDescent="0.25">
      <c r="A12" s="168">
        <v>11</v>
      </c>
      <c r="B12" s="169" t="s">
        <v>43</v>
      </c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>
        <f t="shared" si="0"/>
        <v>0</v>
      </c>
    </row>
    <row r="13" spans="1:19" x14ac:dyDescent="0.25">
      <c r="A13" s="168">
        <v>12</v>
      </c>
      <c r="B13" s="169" t="s">
        <v>644</v>
      </c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>
        <f t="shared" si="0"/>
        <v>0</v>
      </c>
    </row>
    <row r="14" spans="1:19" x14ac:dyDescent="0.25">
      <c r="A14" s="168">
        <v>13</v>
      </c>
      <c r="B14" s="169" t="s">
        <v>87</v>
      </c>
      <c r="C14" s="169"/>
      <c r="D14" s="169"/>
      <c r="E14" s="169"/>
      <c r="F14" s="169"/>
      <c r="G14" s="169"/>
      <c r="H14" s="169" t="s">
        <v>26</v>
      </c>
      <c r="I14" s="169" t="s">
        <v>26</v>
      </c>
      <c r="J14" s="169" t="s">
        <v>84</v>
      </c>
      <c r="K14" s="169"/>
      <c r="L14" s="169"/>
      <c r="M14" s="169"/>
      <c r="N14" s="169"/>
      <c r="O14" s="169"/>
      <c r="P14" s="169"/>
      <c r="Q14" s="169"/>
      <c r="R14" s="169"/>
      <c r="S14">
        <f t="shared" si="0"/>
        <v>28</v>
      </c>
    </row>
    <row r="15" spans="1:19" x14ac:dyDescent="0.25">
      <c r="A15" s="168">
        <v>14</v>
      </c>
      <c r="B15" s="169" t="s">
        <v>95</v>
      </c>
      <c r="C15" s="169"/>
      <c r="D15" s="169"/>
      <c r="E15" s="169" t="s">
        <v>26</v>
      </c>
      <c r="F15" s="169" t="s">
        <v>26</v>
      </c>
      <c r="G15" s="169" t="s">
        <v>26</v>
      </c>
      <c r="H15" s="169"/>
      <c r="I15" s="169" t="s">
        <v>26</v>
      </c>
      <c r="J15" s="169"/>
      <c r="K15" s="169"/>
      <c r="L15" s="169"/>
      <c r="M15" s="169"/>
      <c r="N15" s="169"/>
      <c r="O15" s="169"/>
      <c r="P15" s="169"/>
      <c r="Q15" s="169"/>
      <c r="R15" s="169"/>
      <c r="S15">
        <f t="shared" si="0"/>
        <v>44</v>
      </c>
    </row>
    <row r="16" spans="1:19" x14ac:dyDescent="0.25">
      <c r="A16" s="168">
        <v>15</v>
      </c>
      <c r="B16" s="169" t="s">
        <v>97</v>
      </c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>
        <f t="shared" si="0"/>
        <v>0</v>
      </c>
    </row>
    <row r="17" spans="1:19" x14ac:dyDescent="0.25">
      <c r="A17" s="168">
        <v>16</v>
      </c>
      <c r="B17" s="169" t="s">
        <v>96</v>
      </c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>
        <f t="shared" si="0"/>
        <v>0</v>
      </c>
    </row>
    <row r="18" spans="1:19" x14ac:dyDescent="0.25">
      <c r="A18" s="168">
        <v>17</v>
      </c>
      <c r="B18" s="169" t="s">
        <v>98</v>
      </c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>
        <f t="shared" si="0"/>
        <v>0</v>
      </c>
    </row>
    <row r="19" spans="1:19" x14ac:dyDescent="0.25">
      <c r="A19" s="168">
        <v>18</v>
      </c>
      <c r="B19" s="169" t="s">
        <v>99</v>
      </c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>
        <f t="shared" si="0"/>
        <v>0</v>
      </c>
    </row>
    <row r="20" spans="1:19" x14ac:dyDescent="0.25">
      <c r="A20" s="168">
        <v>19</v>
      </c>
      <c r="B20" s="169" t="s">
        <v>617</v>
      </c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>
        <f t="shared" si="0"/>
        <v>0</v>
      </c>
    </row>
    <row r="21" spans="1:19" x14ac:dyDescent="0.25">
      <c r="A21" s="168">
        <v>20</v>
      </c>
      <c r="B21" s="169" t="s">
        <v>618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>
        <f t="shared" si="0"/>
        <v>0</v>
      </c>
    </row>
    <row r="22" spans="1:19" x14ac:dyDescent="0.25">
      <c r="A22" s="168">
        <v>21</v>
      </c>
      <c r="B22" s="169" t="s">
        <v>629</v>
      </c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>
        <f t="shared" si="0"/>
        <v>0</v>
      </c>
    </row>
    <row r="23" spans="1:19" x14ac:dyDescent="0.25">
      <c r="A23" s="168">
        <v>22</v>
      </c>
      <c r="B23" s="169" t="s">
        <v>619</v>
      </c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>
        <f t="shared" si="0"/>
        <v>0</v>
      </c>
    </row>
    <row r="24" spans="1:19" x14ac:dyDescent="0.25">
      <c r="A24" s="168">
        <v>23</v>
      </c>
      <c r="B24" s="169" t="s">
        <v>620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>
        <f t="shared" si="0"/>
        <v>0</v>
      </c>
    </row>
    <row r="25" spans="1:19" x14ac:dyDescent="0.25">
      <c r="A25" s="168">
        <v>24</v>
      </c>
      <c r="B25" s="169" t="s">
        <v>622</v>
      </c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>
        <f t="shared" si="0"/>
        <v>0</v>
      </c>
    </row>
    <row r="26" spans="1:19" x14ac:dyDescent="0.25">
      <c r="A26" s="168">
        <v>25</v>
      </c>
      <c r="B26" s="169" t="s">
        <v>661</v>
      </c>
      <c r="C26" s="169" t="s">
        <v>84</v>
      </c>
      <c r="D26" s="169"/>
      <c r="E26" s="169" t="s">
        <v>26</v>
      </c>
      <c r="F26" s="169" t="s">
        <v>26</v>
      </c>
      <c r="G26" s="169" t="s">
        <v>26</v>
      </c>
      <c r="H26" s="169"/>
      <c r="I26" s="169" t="s">
        <v>26</v>
      </c>
      <c r="J26" s="169" t="s">
        <v>84</v>
      </c>
      <c r="K26" s="169"/>
      <c r="L26" s="169"/>
      <c r="M26" s="169"/>
      <c r="N26" s="169"/>
      <c r="O26" s="169"/>
      <c r="P26" s="169"/>
      <c r="Q26" s="169"/>
      <c r="R26" s="169"/>
      <c r="S26">
        <f t="shared" si="0"/>
        <v>56</v>
      </c>
    </row>
    <row r="27" spans="1:19" x14ac:dyDescent="0.25">
      <c r="A27" s="168">
        <v>26</v>
      </c>
      <c r="B27" s="169" t="s">
        <v>623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>
        <f t="shared" si="0"/>
        <v>0</v>
      </c>
    </row>
    <row r="28" spans="1:19" x14ac:dyDescent="0.25">
      <c r="A28" s="168">
        <v>27</v>
      </c>
      <c r="B28" s="169" t="s">
        <v>624</v>
      </c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>
        <f t="shared" si="0"/>
        <v>0</v>
      </c>
    </row>
    <row r="29" spans="1:19" x14ac:dyDescent="0.25">
      <c r="A29" s="168">
        <v>28</v>
      </c>
      <c r="B29" s="169" t="s">
        <v>625</v>
      </c>
      <c r="C29" s="169"/>
      <c r="D29" s="169"/>
      <c r="E29" s="169" t="s">
        <v>26</v>
      </c>
      <c r="F29" s="169" t="s">
        <v>64</v>
      </c>
      <c r="G29" s="169" t="s">
        <v>26</v>
      </c>
      <c r="H29" s="169" t="s">
        <v>25</v>
      </c>
      <c r="I29" s="169" t="s">
        <v>25</v>
      </c>
      <c r="J29" s="169"/>
      <c r="K29" s="169"/>
      <c r="L29" s="169"/>
      <c r="M29" s="169"/>
      <c r="N29" s="169"/>
      <c r="O29" s="169"/>
      <c r="P29" s="169"/>
      <c r="Q29" s="169"/>
      <c r="R29" s="169"/>
      <c r="S29">
        <f t="shared" si="0"/>
        <v>50</v>
      </c>
    </row>
    <row r="30" spans="1:19" x14ac:dyDescent="0.25">
      <c r="A30" s="168">
        <v>29</v>
      </c>
      <c r="B30" s="169" t="s">
        <v>626</v>
      </c>
      <c r="C30" s="169"/>
      <c r="D30" s="169"/>
      <c r="E30" s="169" t="s">
        <v>26</v>
      </c>
      <c r="F30" s="169" t="s">
        <v>26</v>
      </c>
      <c r="G30" s="169" t="s">
        <v>26</v>
      </c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>
        <f t="shared" si="0"/>
        <v>33</v>
      </c>
    </row>
    <row r="31" spans="1:19" x14ac:dyDescent="0.25">
      <c r="A31" s="168">
        <v>30</v>
      </c>
      <c r="B31" s="169" t="s">
        <v>631</v>
      </c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>
        <f t="shared" si="0"/>
        <v>0</v>
      </c>
    </row>
    <row r="32" spans="1:19" x14ac:dyDescent="0.25">
      <c r="A32" s="168">
        <v>31</v>
      </c>
      <c r="B32" s="169" t="s">
        <v>627</v>
      </c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>
        <f t="shared" si="0"/>
        <v>0</v>
      </c>
    </row>
    <row r="33" spans="1:19" x14ac:dyDescent="0.25">
      <c r="A33" s="168">
        <v>32</v>
      </c>
      <c r="B33" s="169" t="s">
        <v>34</v>
      </c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>
        <f t="shared" si="0"/>
        <v>0</v>
      </c>
    </row>
    <row r="34" spans="1:19" x14ac:dyDescent="0.25">
      <c r="A34" s="168">
        <v>33</v>
      </c>
      <c r="B34" s="169" t="s">
        <v>628</v>
      </c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>
        <f t="shared" si="0"/>
        <v>0</v>
      </c>
    </row>
    <row r="35" spans="1:19" x14ac:dyDescent="0.25">
      <c r="A35" s="168">
        <v>34</v>
      </c>
      <c r="B35" s="169" t="s">
        <v>621</v>
      </c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>
        <f t="shared" si="0"/>
        <v>0</v>
      </c>
    </row>
    <row r="36" spans="1:19" x14ac:dyDescent="0.25">
      <c r="A36" s="168">
        <v>35</v>
      </c>
      <c r="B36" s="169" t="s">
        <v>45</v>
      </c>
      <c r="C36" s="169"/>
      <c r="D36" s="169"/>
      <c r="E36" s="169"/>
      <c r="F36" s="169"/>
      <c r="G36" s="169"/>
      <c r="H36" s="169" t="s">
        <v>26</v>
      </c>
      <c r="I36" s="169" t="s">
        <v>26</v>
      </c>
      <c r="J36" s="169" t="s">
        <v>84</v>
      </c>
      <c r="K36" s="169"/>
      <c r="L36" s="169"/>
      <c r="M36" s="169"/>
      <c r="N36" s="169"/>
      <c r="O36" s="169"/>
      <c r="P36" s="169"/>
      <c r="Q36" s="169"/>
      <c r="R36" s="169"/>
      <c r="S36">
        <f t="shared" si="0"/>
        <v>28</v>
      </c>
    </row>
    <row r="37" spans="1:19" x14ac:dyDescent="0.25">
      <c r="A37" s="168">
        <v>36</v>
      </c>
      <c r="B37" s="169" t="s">
        <v>634</v>
      </c>
      <c r="C37" s="169" t="s">
        <v>84</v>
      </c>
      <c r="D37" s="169"/>
      <c r="E37" s="169" t="s">
        <v>26</v>
      </c>
      <c r="F37" s="169" t="s">
        <v>26</v>
      </c>
      <c r="G37" s="169" t="s">
        <v>26</v>
      </c>
      <c r="H37" s="169"/>
      <c r="I37" s="169" t="s">
        <v>26</v>
      </c>
      <c r="J37" s="169"/>
      <c r="K37" s="169"/>
      <c r="L37" s="169"/>
      <c r="M37" s="169"/>
      <c r="N37" s="169"/>
      <c r="O37" s="169"/>
      <c r="P37" s="169"/>
      <c r="Q37" s="169"/>
      <c r="R37" s="169"/>
      <c r="S37">
        <f t="shared" si="0"/>
        <v>50</v>
      </c>
    </row>
    <row r="38" spans="1:19" x14ac:dyDescent="0.25">
      <c r="A38" s="168">
        <v>37</v>
      </c>
      <c r="B38" s="169" t="s">
        <v>647</v>
      </c>
      <c r="C38" s="169"/>
      <c r="D38" s="169"/>
      <c r="E38" s="169"/>
      <c r="F38" s="169"/>
      <c r="G38" s="169"/>
      <c r="H38" s="169" t="s">
        <v>26</v>
      </c>
      <c r="I38" s="169" t="s">
        <v>25</v>
      </c>
      <c r="J38" s="169"/>
      <c r="K38" s="169"/>
      <c r="L38" s="169"/>
      <c r="M38" s="169"/>
      <c r="N38" s="169"/>
      <c r="O38" s="169"/>
      <c r="P38" s="169"/>
      <c r="Q38" s="169"/>
      <c r="R38" s="169"/>
      <c r="S38">
        <f t="shared" si="0"/>
        <v>20</v>
      </c>
    </row>
    <row r="39" spans="1:19" x14ac:dyDescent="0.25">
      <c r="A39" s="168">
        <v>38</v>
      </c>
      <c r="B39" s="169" t="s">
        <v>632</v>
      </c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>
        <f t="shared" si="0"/>
        <v>0</v>
      </c>
    </row>
    <row r="40" spans="1:19" x14ac:dyDescent="0.25">
      <c r="A40" s="168">
        <v>39</v>
      </c>
      <c r="B40" s="169" t="s">
        <v>633</v>
      </c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>
        <f t="shared" si="0"/>
        <v>0</v>
      </c>
    </row>
    <row r="41" spans="1:19" x14ac:dyDescent="0.25">
      <c r="A41" s="168">
        <v>40</v>
      </c>
      <c r="B41" s="169" t="s">
        <v>635</v>
      </c>
      <c r="C41" s="169"/>
      <c r="D41" s="169"/>
      <c r="E41" s="169" t="s">
        <v>26</v>
      </c>
      <c r="F41" s="169" t="s">
        <v>26</v>
      </c>
      <c r="G41" s="169" t="s">
        <v>26</v>
      </c>
      <c r="H41" s="169" t="s">
        <v>26</v>
      </c>
      <c r="I41" s="169" t="s">
        <v>26</v>
      </c>
      <c r="J41" s="169"/>
      <c r="K41" s="169"/>
      <c r="L41" s="169"/>
      <c r="M41" s="169"/>
      <c r="N41" s="169"/>
      <c r="O41" s="169"/>
      <c r="P41" s="169"/>
      <c r="Q41" s="169"/>
      <c r="R41" s="169"/>
      <c r="S41">
        <f t="shared" si="0"/>
        <v>55</v>
      </c>
    </row>
    <row r="42" spans="1:19" x14ac:dyDescent="0.25">
      <c r="A42" s="168">
        <v>41</v>
      </c>
      <c r="B42" s="169" t="s">
        <v>636</v>
      </c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>
        <f t="shared" si="0"/>
        <v>0</v>
      </c>
    </row>
    <row r="43" spans="1:19" x14ac:dyDescent="0.25">
      <c r="A43" s="168">
        <v>42</v>
      </c>
      <c r="B43" s="169" t="s">
        <v>637</v>
      </c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>
        <f t="shared" si="0"/>
        <v>0</v>
      </c>
    </row>
    <row r="44" spans="1:19" x14ac:dyDescent="0.25">
      <c r="A44" s="168">
        <v>43</v>
      </c>
      <c r="B44" s="169" t="s">
        <v>638</v>
      </c>
      <c r="C44" s="169"/>
      <c r="D44" s="169"/>
      <c r="E44" s="169" t="s">
        <v>26</v>
      </c>
      <c r="F44" s="169" t="s">
        <v>26</v>
      </c>
      <c r="G44" s="169"/>
      <c r="H44" s="169" t="s">
        <v>26</v>
      </c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>
        <f t="shared" si="0"/>
        <v>33</v>
      </c>
    </row>
    <row r="45" spans="1:19" x14ac:dyDescent="0.25">
      <c r="A45" s="168">
        <v>44</v>
      </c>
      <c r="B45" s="169" t="s">
        <v>630</v>
      </c>
      <c r="C45" s="169"/>
      <c r="D45" s="169"/>
      <c r="E45" s="169" t="s">
        <v>26</v>
      </c>
      <c r="F45" s="169" t="s">
        <v>26</v>
      </c>
      <c r="G45" s="169" t="s">
        <v>26</v>
      </c>
      <c r="H45" s="169" t="s">
        <v>26</v>
      </c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>
        <f t="shared" si="0"/>
        <v>44</v>
      </c>
    </row>
    <row r="46" spans="1:19" x14ac:dyDescent="0.25">
      <c r="A46" s="168">
        <v>45</v>
      </c>
      <c r="B46" s="169" t="s">
        <v>639</v>
      </c>
      <c r="C46" s="169" t="s">
        <v>84</v>
      </c>
      <c r="D46" s="169"/>
      <c r="E46" s="169" t="s">
        <v>26</v>
      </c>
      <c r="F46" s="169" t="s">
        <v>26</v>
      </c>
      <c r="G46" s="169" t="s">
        <v>26</v>
      </c>
      <c r="H46" s="169" t="s">
        <v>26</v>
      </c>
      <c r="I46" s="169" t="s">
        <v>26</v>
      </c>
      <c r="J46" s="169"/>
      <c r="K46" s="169"/>
      <c r="L46" s="169"/>
      <c r="M46" s="169"/>
      <c r="N46" s="169"/>
      <c r="O46" s="169"/>
      <c r="P46" s="169"/>
      <c r="Q46" s="169"/>
      <c r="R46" s="169"/>
      <c r="S46">
        <f t="shared" si="0"/>
        <v>61</v>
      </c>
    </row>
    <row r="47" spans="1:19" x14ac:dyDescent="0.25">
      <c r="A47" s="168">
        <v>46</v>
      </c>
      <c r="B47" s="169" t="s">
        <v>641</v>
      </c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>
        <f t="shared" si="0"/>
        <v>0</v>
      </c>
    </row>
    <row r="48" spans="1:19" x14ac:dyDescent="0.25">
      <c r="A48" s="168">
        <v>47</v>
      </c>
      <c r="B48" s="169" t="s">
        <v>642</v>
      </c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>
        <f t="shared" si="0"/>
        <v>0</v>
      </c>
    </row>
    <row r="49" spans="1:19" x14ac:dyDescent="0.25">
      <c r="A49" s="168">
        <v>48</v>
      </c>
      <c r="B49" s="169" t="s">
        <v>645</v>
      </c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>
        <f t="shared" si="0"/>
        <v>0</v>
      </c>
    </row>
    <row r="50" spans="1:19" x14ac:dyDescent="0.25">
      <c r="A50" s="168">
        <v>49</v>
      </c>
      <c r="B50" s="169" t="s">
        <v>643</v>
      </c>
      <c r="C50" s="169"/>
      <c r="D50" s="169"/>
      <c r="E50" s="169" t="s">
        <v>26</v>
      </c>
      <c r="F50" s="169" t="s">
        <v>26</v>
      </c>
      <c r="G50" s="169" t="s">
        <v>64</v>
      </c>
      <c r="H50" s="169" t="s">
        <v>26</v>
      </c>
      <c r="I50" s="169"/>
      <c r="J50" s="169" t="s">
        <v>84</v>
      </c>
      <c r="K50" s="169"/>
      <c r="L50" s="169"/>
      <c r="M50" s="169"/>
      <c r="N50" s="169"/>
      <c r="O50" s="169"/>
      <c r="P50" s="169"/>
      <c r="Q50" s="169"/>
      <c r="R50" s="169"/>
      <c r="S50">
        <f t="shared" si="0"/>
        <v>49</v>
      </c>
    </row>
    <row r="51" spans="1:19" x14ac:dyDescent="0.25">
      <c r="A51" s="168">
        <v>50</v>
      </c>
      <c r="B51" s="169" t="s">
        <v>640</v>
      </c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>
        <f t="shared" si="0"/>
        <v>0</v>
      </c>
    </row>
    <row r="52" spans="1:19" x14ac:dyDescent="0.25">
      <c r="A52" s="168">
        <v>51</v>
      </c>
      <c r="B52" s="169" t="s">
        <v>646</v>
      </c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>
        <f t="shared" si="0"/>
        <v>0</v>
      </c>
    </row>
    <row r="53" spans="1:19" x14ac:dyDescent="0.25">
      <c r="A53" s="168">
        <v>52</v>
      </c>
      <c r="B53" s="169" t="s">
        <v>660</v>
      </c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>
        <f t="shared" si="0"/>
        <v>0</v>
      </c>
    </row>
    <row r="54" spans="1:19" x14ac:dyDescent="0.25">
      <c r="A54" s="168">
        <v>53</v>
      </c>
      <c r="B54" s="169" t="s">
        <v>648</v>
      </c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>
        <f t="shared" si="0"/>
        <v>0</v>
      </c>
    </row>
    <row r="55" spans="1:19" x14ac:dyDescent="0.25">
      <c r="A55" s="168">
        <v>54</v>
      </c>
      <c r="B55" s="169" t="s">
        <v>649</v>
      </c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>
        <f t="shared" si="0"/>
        <v>0</v>
      </c>
    </row>
    <row r="56" spans="1:19" x14ac:dyDescent="0.25">
      <c r="A56" s="168">
        <v>55</v>
      </c>
      <c r="B56" s="169" t="s">
        <v>650</v>
      </c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>
        <f t="shared" si="0"/>
        <v>0</v>
      </c>
    </row>
    <row r="57" spans="1:19" x14ac:dyDescent="0.25">
      <c r="A57" s="168">
        <v>56</v>
      </c>
      <c r="B57" s="169" t="s">
        <v>652</v>
      </c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>
        <f t="shared" si="0"/>
        <v>0</v>
      </c>
    </row>
    <row r="58" spans="1:19" x14ac:dyDescent="0.25">
      <c r="A58" s="168">
        <v>57</v>
      </c>
      <c r="B58" s="169" t="s">
        <v>653</v>
      </c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>
        <f t="shared" si="0"/>
        <v>0</v>
      </c>
    </row>
    <row r="59" spans="1:19" x14ac:dyDescent="0.25">
      <c r="A59" s="168">
        <v>58</v>
      </c>
      <c r="B59" s="169" t="s">
        <v>654</v>
      </c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>
        <f t="shared" si="0"/>
        <v>0</v>
      </c>
    </row>
    <row r="60" spans="1:19" x14ac:dyDescent="0.25">
      <c r="A60" s="168">
        <v>59</v>
      </c>
      <c r="B60" s="169" t="s">
        <v>655</v>
      </c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>
        <f t="shared" si="0"/>
        <v>0</v>
      </c>
    </row>
    <row r="61" spans="1:19" x14ac:dyDescent="0.25">
      <c r="A61" s="168">
        <v>60</v>
      </c>
      <c r="B61" s="169" t="s">
        <v>656</v>
      </c>
      <c r="C61" s="169"/>
      <c r="D61" s="169"/>
      <c r="E61" s="169" t="s">
        <v>26</v>
      </c>
      <c r="F61" s="169" t="s">
        <v>26</v>
      </c>
      <c r="G61" s="169" t="s">
        <v>26</v>
      </c>
      <c r="H61" s="169" t="s">
        <v>26</v>
      </c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>
        <f t="shared" si="0"/>
        <v>44</v>
      </c>
    </row>
    <row r="62" spans="1:19" x14ac:dyDescent="0.25">
      <c r="A62" s="168">
        <v>61</v>
      </c>
      <c r="B62" s="169" t="s">
        <v>658</v>
      </c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>
        <f t="shared" si="0"/>
        <v>0</v>
      </c>
    </row>
    <row r="63" spans="1:19" x14ac:dyDescent="0.25">
      <c r="A63" s="168">
        <v>62</v>
      </c>
      <c r="B63" s="169" t="s">
        <v>659</v>
      </c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>
        <f t="shared" si="0"/>
        <v>0</v>
      </c>
    </row>
    <row r="64" spans="1:19" x14ac:dyDescent="0.25">
      <c r="A64" s="168">
        <v>63</v>
      </c>
      <c r="B64" s="169" t="s">
        <v>20</v>
      </c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>
        <f t="shared" si="0"/>
        <v>0</v>
      </c>
    </row>
    <row r="65" spans="1:19" x14ac:dyDescent="0.25">
      <c r="A65" s="168">
        <v>64</v>
      </c>
      <c r="B65" s="169" t="s">
        <v>662</v>
      </c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>
        <f t="shared" si="0"/>
        <v>0</v>
      </c>
    </row>
    <row r="66" spans="1:19" x14ac:dyDescent="0.25">
      <c r="A66" s="168">
        <v>65</v>
      </c>
      <c r="B66" s="169" t="s">
        <v>663</v>
      </c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>
        <f t="shared" ref="S66:S72" si="1">C66+D66+E66+F66+G66+H66+I66+J66+K66+L66+M66+N66+O66+P66+Q66+R66</f>
        <v>0</v>
      </c>
    </row>
    <row r="67" spans="1:19" x14ac:dyDescent="0.25">
      <c r="A67" s="168">
        <v>66</v>
      </c>
      <c r="B67" s="169" t="s">
        <v>665</v>
      </c>
      <c r="C67" s="169"/>
      <c r="D67" s="169"/>
      <c r="E67" s="169"/>
      <c r="F67" s="169" t="s">
        <v>26</v>
      </c>
      <c r="G67" s="169" t="s">
        <v>65</v>
      </c>
      <c r="H67" s="169" t="s">
        <v>65</v>
      </c>
      <c r="I67" s="169" t="s">
        <v>26</v>
      </c>
      <c r="J67" s="169"/>
      <c r="K67" s="169"/>
      <c r="L67" s="169"/>
      <c r="M67" s="169"/>
      <c r="N67" s="169"/>
      <c r="O67" s="169"/>
      <c r="P67" s="169"/>
      <c r="Q67" s="169"/>
      <c r="R67" s="169"/>
      <c r="S67">
        <f t="shared" si="1"/>
        <v>46</v>
      </c>
    </row>
    <row r="68" spans="1:19" x14ac:dyDescent="0.25">
      <c r="A68" s="168">
        <v>67</v>
      </c>
      <c r="B68" s="169" t="s">
        <v>666</v>
      </c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>
        <f t="shared" si="1"/>
        <v>0</v>
      </c>
    </row>
    <row r="69" spans="1:19" x14ac:dyDescent="0.25">
      <c r="A69" s="168">
        <v>68</v>
      </c>
      <c r="B69" s="169" t="s">
        <v>667</v>
      </c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>
        <f t="shared" si="1"/>
        <v>0</v>
      </c>
    </row>
    <row r="70" spans="1:19" x14ac:dyDescent="0.25">
      <c r="A70" s="168">
        <v>69</v>
      </c>
      <c r="B70" s="169" t="s">
        <v>668</v>
      </c>
      <c r="C70" s="169" t="s">
        <v>84</v>
      </c>
      <c r="D70" s="169"/>
      <c r="E70" s="169" t="s">
        <v>26</v>
      </c>
      <c r="F70" s="169" t="s">
        <v>26</v>
      </c>
      <c r="G70" s="169" t="s">
        <v>26</v>
      </c>
      <c r="H70" s="169" t="s">
        <v>26</v>
      </c>
      <c r="I70" s="169" t="s">
        <v>26</v>
      </c>
      <c r="J70" s="169"/>
      <c r="K70" s="169"/>
      <c r="L70" s="169"/>
      <c r="M70" s="169"/>
      <c r="N70" s="169"/>
      <c r="O70" s="169"/>
      <c r="P70" s="169"/>
      <c r="Q70" s="169"/>
      <c r="R70" s="169"/>
      <c r="S70">
        <f t="shared" si="1"/>
        <v>61</v>
      </c>
    </row>
    <row r="71" spans="1:19" x14ac:dyDescent="0.25">
      <c r="A71" s="168">
        <v>70</v>
      </c>
      <c r="B71" s="169" t="s">
        <v>671</v>
      </c>
      <c r="C71" s="169"/>
      <c r="D71" s="169"/>
      <c r="E71" s="169"/>
      <c r="F71" s="169"/>
      <c r="G71" s="169" t="s">
        <v>26</v>
      </c>
      <c r="H71" s="169" t="s">
        <v>26</v>
      </c>
      <c r="I71" s="169" t="s">
        <v>26</v>
      </c>
      <c r="J71" s="169" t="s">
        <v>84</v>
      </c>
      <c r="K71" s="169"/>
      <c r="L71" s="169"/>
      <c r="M71" s="169"/>
      <c r="N71" s="169"/>
      <c r="O71" s="169"/>
      <c r="P71" s="169"/>
      <c r="Q71" s="169"/>
      <c r="R71" s="169"/>
      <c r="S71">
        <f t="shared" si="1"/>
        <v>39</v>
      </c>
    </row>
    <row r="72" spans="1:19" x14ac:dyDescent="0.25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>
        <f t="shared" si="1"/>
        <v>0</v>
      </c>
    </row>
    <row r="73" spans="1:19" x14ac:dyDescent="0.25">
      <c r="A73" s="168"/>
      <c r="B73" s="169"/>
      <c r="C73" s="149"/>
    </row>
    <row r="74" spans="1:19" x14ac:dyDescent="0.25">
      <c r="A74" s="168"/>
      <c r="B74" s="169"/>
      <c r="C74" s="149"/>
    </row>
    <row r="75" spans="1:19" x14ac:dyDescent="0.25">
      <c r="A75" s="168"/>
      <c r="B75" s="169"/>
      <c r="C75" s="149"/>
    </row>
    <row r="76" spans="1:19" x14ac:dyDescent="0.25">
      <c r="A76" s="168"/>
      <c r="B76" s="169"/>
      <c r="C76" s="149"/>
    </row>
    <row r="77" spans="1:19" x14ac:dyDescent="0.25">
      <c r="A77" s="202"/>
      <c r="B77" s="202"/>
      <c r="C77" s="149"/>
    </row>
    <row r="78" spans="1:19" x14ac:dyDescent="0.25">
      <c r="A78" s="167"/>
      <c r="B78" s="16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S77"/>
  <sheetViews>
    <sheetView topLeftCell="A61" zoomScale="70" zoomScaleNormal="70" workbookViewId="0">
      <selection activeCell="S2" sqref="S2:S72"/>
    </sheetView>
  </sheetViews>
  <sheetFormatPr defaultRowHeight="15" x14ac:dyDescent="0.25"/>
  <cols>
    <col min="2" max="2" width="30.5703125" bestFit="1" customWidth="1"/>
  </cols>
  <sheetData>
    <row r="1" spans="1:19" x14ac:dyDescent="0.25">
      <c r="A1" s="203" t="s">
        <v>1</v>
      </c>
      <c r="B1" s="203" t="s">
        <v>6</v>
      </c>
      <c r="C1" s="203" t="s">
        <v>46</v>
      </c>
      <c r="D1" s="203" t="s">
        <v>47</v>
      </c>
      <c r="E1" s="203" t="s">
        <v>48</v>
      </c>
      <c r="F1" s="203" t="s">
        <v>49</v>
      </c>
      <c r="G1" s="203" t="s">
        <v>50</v>
      </c>
      <c r="H1" s="203" t="s">
        <v>51</v>
      </c>
      <c r="I1" s="203" t="s">
        <v>52</v>
      </c>
      <c r="J1" s="203" t="s">
        <v>53</v>
      </c>
      <c r="K1" s="203" t="s">
        <v>54</v>
      </c>
      <c r="L1" s="203" t="s">
        <v>55</v>
      </c>
      <c r="M1" s="203" t="s">
        <v>56</v>
      </c>
      <c r="N1" s="203" t="s">
        <v>57</v>
      </c>
      <c r="O1" s="203" t="s">
        <v>58</v>
      </c>
      <c r="P1" s="203" t="s">
        <v>59</v>
      </c>
      <c r="Q1" s="203" t="s">
        <v>669</v>
      </c>
      <c r="R1" s="203" t="s">
        <v>670</v>
      </c>
      <c r="S1" s="203" t="s">
        <v>2</v>
      </c>
    </row>
    <row r="2" spans="1:19" x14ac:dyDescent="0.25">
      <c r="A2" s="180">
        <v>1</v>
      </c>
      <c r="B2" s="181" t="s">
        <v>10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>
        <f t="shared" ref="S2:S65" si="0">C2+D2+E2+F2+G2+H2+I2+J2+K2+L2+M2+N2+O2+P2+Q2+R2</f>
        <v>0</v>
      </c>
    </row>
    <row r="3" spans="1:19" x14ac:dyDescent="0.25">
      <c r="A3" s="180">
        <v>2</v>
      </c>
      <c r="B3" s="181" t="s">
        <v>11</v>
      </c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>
        <f t="shared" si="0"/>
        <v>0</v>
      </c>
    </row>
    <row r="4" spans="1:19" x14ac:dyDescent="0.25">
      <c r="A4" s="180">
        <v>3</v>
      </c>
      <c r="B4" s="181" t="s">
        <v>12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>
        <f t="shared" si="0"/>
        <v>0</v>
      </c>
    </row>
    <row r="5" spans="1:19" x14ac:dyDescent="0.25">
      <c r="A5" s="180">
        <v>4</v>
      </c>
      <c r="B5" s="181" t="s">
        <v>664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>
        <f t="shared" si="0"/>
        <v>0</v>
      </c>
    </row>
    <row r="6" spans="1:19" x14ac:dyDescent="0.25">
      <c r="A6" s="180">
        <v>5</v>
      </c>
      <c r="B6" s="181" t="s">
        <v>14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>
        <f t="shared" si="0"/>
        <v>0</v>
      </c>
    </row>
    <row r="7" spans="1:19" x14ac:dyDescent="0.25">
      <c r="A7" s="180">
        <v>6</v>
      </c>
      <c r="B7" s="181" t="s">
        <v>15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>
        <f t="shared" si="0"/>
        <v>0</v>
      </c>
    </row>
    <row r="8" spans="1:19" x14ac:dyDescent="0.25">
      <c r="A8" s="180">
        <v>7</v>
      </c>
      <c r="B8" s="181" t="s">
        <v>16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>
        <f t="shared" si="0"/>
        <v>0</v>
      </c>
    </row>
    <row r="9" spans="1:19" x14ac:dyDescent="0.25">
      <c r="A9" s="180">
        <v>8</v>
      </c>
      <c r="B9" s="181" t="s">
        <v>4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>
        <f t="shared" si="0"/>
        <v>0</v>
      </c>
    </row>
    <row r="10" spans="1:19" x14ac:dyDescent="0.25">
      <c r="A10" s="180">
        <v>9</v>
      </c>
      <c r="B10" s="181" t="s">
        <v>5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>
        <f t="shared" si="0"/>
        <v>0</v>
      </c>
    </row>
    <row r="11" spans="1:19" x14ac:dyDescent="0.25">
      <c r="A11" s="180">
        <v>10</v>
      </c>
      <c r="B11" s="181" t="s">
        <v>38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>
        <f t="shared" si="0"/>
        <v>0</v>
      </c>
    </row>
    <row r="12" spans="1:19" x14ac:dyDescent="0.25">
      <c r="A12" s="180">
        <v>11</v>
      </c>
      <c r="B12" s="181" t="s">
        <v>43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>
        <f t="shared" si="0"/>
        <v>0</v>
      </c>
    </row>
    <row r="13" spans="1:19" x14ac:dyDescent="0.25">
      <c r="A13" s="180">
        <v>12</v>
      </c>
      <c r="B13" s="181" t="s">
        <v>644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>
        <f t="shared" si="0"/>
        <v>0</v>
      </c>
    </row>
    <row r="14" spans="1:19" x14ac:dyDescent="0.25">
      <c r="A14" s="180">
        <v>13</v>
      </c>
      <c r="B14" s="181" t="s">
        <v>87</v>
      </c>
      <c r="C14" s="181" t="s">
        <v>54</v>
      </c>
      <c r="D14" s="181"/>
      <c r="E14" s="181" t="s">
        <v>65</v>
      </c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>
        <f t="shared" si="0"/>
        <v>36</v>
      </c>
    </row>
    <row r="15" spans="1:19" x14ac:dyDescent="0.25">
      <c r="A15" s="180">
        <v>14</v>
      </c>
      <c r="B15" s="181" t="s">
        <v>95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>
        <f t="shared" si="0"/>
        <v>0</v>
      </c>
    </row>
    <row r="16" spans="1:19" x14ac:dyDescent="0.25">
      <c r="A16" s="180">
        <v>15</v>
      </c>
      <c r="B16" s="181" t="s">
        <v>97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>
        <f t="shared" si="0"/>
        <v>0</v>
      </c>
    </row>
    <row r="17" spans="1:19" x14ac:dyDescent="0.25">
      <c r="A17" s="180">
        <v>16</v>
      </c>
      <c r="B17" s="181" t="s">
        <v>96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>
        <f t="shared" si="0"/>
        <v>0</v>
      </c>
    </row>
    <row r="18" spans="1:19" x14ac:dyDescent="0.25">
      <c r="A18" s="180">
        <v>17</v>
      </c>
      <c r="B18" s="181" t="s">
        <v>98</v>
      </c>
      <c r="C18" s="181" t="s">
        <v>54</v>
      </c>
      <c r="D18" s="181" t="s">
        <v>54</v>
      </c>
      <c r="E18" s="181" t="s">
        <v>54</v>
      </c>
      <c r="F18" s="181" t="s">
        <v>54</v>
      </c>
      <c r="G18" s="181" t="s">
        <v>54</v>
      </c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>
        <f t="shared" si="0"/>
        <v>120</v>
      </c>
    </row>
    <row r="19" spans="1:19" x14ac:dyDescent="0.25">
      <c r="A19" s="180">
        <v>18</v>
      </c>
      <c r="B19" s="181" t="s">
        <v>99</v>
      </c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>
        <f t="shared" si="0"/>
        <v>0</v>
      </c>
    </row>
    <row r="20" spans="1:19" x14ac:dyDescent="0.25">
      <c r="A20" s="180">
        <v>19</v>
      </c>
      <c r="B20" s="181" t="s">
        <v>617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>
        <f t="shared" si="0"/>
        <v>0</v>
      </c>
    </row>
    <row r="21" spans="1:19" x14ac:dyDescent="0.25">
      <c r="A21" s="180">
        <v>20</v>
      </c>
      <c r="B21" s="181" t="s">
        <v>618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>
        <f t="shared" si="0"/>
        <v>0</v>
      </c>
    </row>
    <row r="22" spans="1:19" x14ac:dyDescent="0.25">
      <c r="A22" s="180">
        <v>21</v>
      </c>
      <c r="B22" s="181" t="s">
        <v>629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>
        <f t="shared" si="0"/>
        <v>0</v>
      </c>
    </row>
    <row r="23" spans="1:19" x14ac:dyDescent="0.25">
      <c r="A23" s="180">
        <v>22</v>
      </c>
      <c r="B23" s="181" t="s">
        <v>619</v>
      </c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>
        <f t="shared" si="0"/>
        <v>0</v>
      </c>
    </row>
    <row r="24" spans="1:19" x14ac:dyDescent="0.25">
      <c r="A24" s="180">
        <v>23</v>
      </c>
      <c r="B24" s="181" t="s">
        <v>620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>
        <f t="shared" si="0"/>
        <v>0</v>
      </c>
    </row>
    <row r="25" spans="1:19" x14ac:dyDescent="0.25">
      <c r="A25" s="180">
        <v>24</v>
      </c>
      <c r="B25" s="181" t="s">
        <v>622</v>
      </c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>
        <f t="shared" si="0"/>
        <v>0</v>
      </c>
    </row>
    <row r="26" spans="1:19" x14ac:dyDescent="0.25">
      <c r="A26" s="180">
        <v>25</v>
      </c>
      <c r="B26" s="181" t="s">
        <v>661</v>
      </c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>
        <f t="shared" si="0"/>
        <v>0</v>
      </c>
    </row>
    <row r="27" spans="1:19" x14ac:dyDescent="0.25">
      <c r="A27" s="180">
        <v>26</v>
      </c>
      <c r="B27" s="181" t="s">
        <v>623</v>
      </c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>
        <f t="shared" si="0"/>
        <v>0</v>
      </c>
    </row>
    <row r="28" spans="1:19" x14ac:dyDescent="0.25">
      <c r="A28" s="180">
        <v>27</v>
      </c>
      <c r="B28" s="181" t="s">
        <v>624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>
        <f t="shared" si="0"/>
        <v>0</v>
      </c>
    </row>
    <row r="29" spans="1:19" x14ac:dyDescent="0.25">
      <c r="A29" s="180">
        <v>28</v>
      </c>
      <c r="B29" s="181" t="s">
        <v>625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>
        <f t="shared" si="0"/>
        <v>0</v>
      </c>
    </row>
    <row r="30" spans="1:19" x14ac:dyDescent="0.25">
      <c r="A30" s="180">
        <v>29</v>
      </c>
      <c r="B30" s="181" t="s">
        <v>626</v>
      </c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>
        <f t="shared" si="0"/>
        <v>0</v>
      </c>
    </row>
    <row r="31" spans="1:19" x14ac:dyDescent="0.25">
      <c r="A31" s="180">
        <v>30</v>
      </c>
      <c r="B31" s="181" t="s">
        <v>631</v>
      </c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>
        <f t="shared" si="0"/>
        <v>0</v>
      </c>
    </row>
    <row r="32" spans="1:19" x14ac:dyDescent="0.25">
      <c r="A32" s="180">
        <v>31</v>
      </c>
      <c r="B32" s="181" t="s">
        <v>627</v>
      </c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>
        <f t="shared" si="0"/>
        <v>0</v>
      </c>
    </row>
    <row r="33" spans="1:19" x14ac:dyDescent="0.25">
      <c r="A33" s="180">
        <v>32</v>
      </c>
      <c r="B33" s="181" t="s">
        <v>34</v>
      </c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>
        <f t="shared" si="0"/>
        <v>0</v>
      </c>
    </row>
    <row r="34" spans="1:19" x14ac:dyDescent="0.25">
      <c r="A34" s="180">
        <v>33</v>
      </c>
      <c r="B34" s="181" t="s">
        <v>628</v>
      </c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>
        <f t="shared" si="0"/>
        <v>0</v>
      </c>
    </row>
    <row r="35" spans="1:19" x14ac:dyDescent="0.25">
      <c r="A35" s="180">
        <v>34</v>
      </c>
      <c r="B35" s="181" t="s">
        <v>621</v>
      </c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>
        <f t="shared" si="0"/>
        <v>0</v>
      </c>
    </row>
    <row r="36" spans="1:19" x14ac:dyDescent="0.25">
      <c r="A36" s="180">
        <v>35</v>
      </c>
      <c r="B36" s="181" t="s">
        <v>45</v>
      </c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>
        <f t="shared" si="0"/>
        <v>0</v>
      </c>
    </row>
    <row r="37" spans="1:19" x14ac:dyDescent="0.25">
      <c r="A37" s="180">
        <v>36</v>
      </c>
      <c r="B37" s="181" t="s">
        <v>634</v>
      </c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>
        <f t="shared" si="0"/>
        <v>0</v>
      </c>
    </row>
    <row r="38" spans="1:19" x14ac:dyDescent="0.25">
      <c r="A38" s="180">
        <v>37</v>
      </c>
      <c r="B38" s="181" t="s">
        <v>647</v>
      </c>
      <c r="C38" s="181" t="s">
        <v>54</v>
      </c>
      <c r="D38" s="181" t="s">
        <v>54</v>
      </c>
      <c r="E38" s="181" t="s">
        <v>54</v>
      </c>
      <c r="F38" s="181" t="s">
        <v>54</v>
      </c>
      <c r="G38" s="181" t="s">
        <v>54</v>
      </c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>
        <f t="shared" si="0"/>
        <v>120</v>
      </c>
    </row>
    <row r="39" spans="1:19" x14ac:dyDescent="0.25">
      <c r="A39" s="180">
        <v>38</v>
      </c>
      <c r="B39" s="181" t="s">
        <v>632</v>
      </c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>
        <f t="shared" si="0"/>
        <v>0</v>
      </c>
    </row>
    <row r="40" spans="1:19" x14ac:dyDescent="0.25">
      <c r="A40" s="180">
        <v>39</v>
      </c>
      <c r="B40" s="181" t="s">
        <v>633</v>
      </c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>
        <f t="shared" si="0"/>
        <v>0</v>
      </c>
    </row>
    <row r="41" spans="1:19" x14ac:dyDescent="0.25">
      <c r="A41" s="180">
        <v>40</v>
      </c>
      <c r="B41" s="181" t="s">
        <v>635</v>
      </c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>
        <f t="shared" si="0"/>
        <v>0</v>
      </c>
    </row>
    <row r="42" spans="1:19" x14ac:dyDescent="0.25">
      <c r="A42" s="180">
        <v>41</v>
      </c>
      <c r="B42" s="181" t="s">
        <v>636</v>
      </c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>
        <f t="shared" si="0"/>
        <v>0</v>
      </c>
    </row>
    <row r="43" spans="1:19" x14ac:dyDescent="0.25">
      <c r="A43" s="180">
        <v>42</v>
      </c>
      <c r="B43" s="181" t="s">
        <v>637</v>
      </c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>
        <f t="shared" si="0"/>
        <v>0</v>
      </c>
    </row>
    <row r="44" spans="1:19" x14ac:dyDescent="0.25">
      <c r="A44" s="180">
        <v>43</v>
      </c>
      <c r="B44" s="181" t="s">
        <v>638</v>
      </c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>
        <f t="shared" si="0"/>
        <v>0</v>
      </c>
    </row>
    <row r="45" spans="1:19" x14ac:dyDescent="0.25">
      <c r="A45" s="180">
        <v>44</v>
      </c>
      <c r="B45" s="181" t="s">
        <v>630</v>
      </c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>
        <f t="shared" si="0"/>
        <v>0</v>
      </c>
    </row>
    <row r="46" spans="1:19" x14ac:dyDescent="0.25">
      <c r="A46" s="180">
        <v>45</v>
      </c>
      <c r="B46" s="181" t="s">
        <v>639</v>
      </c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>
        <f t="shared" si="0"/>
        <v>0</v>
      </c>
    </row>
    <row r="47" spans="1:19" x14ac:dyDescent="0.25">
      <c r="A47" s="180">
        <v>46</v>
      </c>
      <c r="B47" s="181" t="s">
        <v>641</v>
      </c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>
        <f t="shared" si="0"/>
        <v>0</v>
      </c>
    </row>
    <row r="48" spans="1:19" x14ac:dyDescent="0.25">
      <c r="A48" s="180">
        <v>47</v>
      </c>
      <c r="B48" s="181" t="s">
        <v>642</v>
      </c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>
        <f t="shared" si="0"/>
        <v>0</v>
      </c>
    </row>
    <row r="49" spans="1:19" x14ac:dyDescent="0.25">
      <c r="A49" s="180">
        <v>48</v>
      </c>
      <c r="B49" s="181" t="s">
        <v>645</v>
      </c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>
        <f t="shared" si="0"/>
        <v>0</v>
      </c>
    </row>
    <row r="50" spans="1:19" x14ac:dyDescent="0.25">
      <c r="A50" s="180">
        <v>49</v>
      </c>
      <c r="B50" s="181" t="s">
        <v>643</v>
      </c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>
        <f t="shared" si="0"/>
        <v>0</v>
      </c>
    </row>
    <row r="51" spans="1:19" x14ac:dyDescent="0.25">
      <c r="A51" s="180">
        <v>50</v>
      </c>
      <c r="B51" s="181" t="s">
        <v>640</v>
      </c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>
        <f t="shared" si="0"/>
        <v>0</v>
      </c>
    </row>
    <row r="52" spans="1:19" x14ac:dyDescent="0.25">
      <c r="A52" s="180">
        <v>51</v>
      </c>
      <c r="B52" s="181" t="s">
        <v>646</v>
      </c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>
        <f t="shared" si="0"/>
        <v>0</v>
      </c>
    </row>
    <row r="53" spans="1:19" x14ac:dyDescent="0.25">
      <c r="A53" s="180">
        <v>52</v>
      </c>
      <c r="B53" s="181" t="s">
        <v>660</v>
      </c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>
        <f t="shared" si="0"/>
        <v>0</v>
      </c>
    </row>
    <row r="54" spans="1:19" x14ac:dyDescent="0.25">
      <c r="A54" s="180">
        <v>53</v>
      </c>
      <c r="B54" s="181" t="s">
        <v>648</v>
      </c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>
        <f t="shared" si="0"/>
        <v>0</v>
      </c>
    </row>
    <row r="55" spans="1:19" x14ac:dyDescent="0.25">
      <c r="A55" s="180">
        <v>54</v>
      </c>
      <c r="B55" s="181" t="s">
        <v>649</v>
      </c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>
        <f t="shared" si="0"/>
        <v>0</v>
      </c>
    </row>
    <row r="56" spans="1:19" x14ac:dyDescent="0.25">
      <c r="A56" s="180">
        <v>55</v>
      </c>
      <c r="B56" s="181" t="s">
        <v>650</v>
      </c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>
        <f t="shared" si="0"/>
        <v>0</v>
      </c>
    </row>
    <row r="57" spans="1:19" x14ac:dyDescent="0.25">
      <c r="A57" s="180">
        <v>56</v>
      </c>
      <c r="B57" s="181" t="s">
        <v>652</v>
      </c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>
        <f t="shared" si="0"/>
        <v>0</v>
      </c>
    </row>
    <row r="58" spans="1:19" x14ac:dyDescent="0.25">
      <c r="A58" s="180">
        <v>57</v>
      </c>
      <c r="B58" s="181" t="s">
        <v>653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>
        <f t="shared" si="0"/>
        <v>0</v>
      </c>
    </row>
    <row r="59" spans="1:19" x14ac:dyDescent="0.25">
      <c r="A59" s="180">
        <v>58</v>
      </c>
      <c r="B59" s="181" t="s">
        <v>654</v>
      </c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>
        <f t="shared" si="0"/>
        <v>0</v>
      </c>
    </row>
    <row r="60" spans="1:19" x14ac:dyDescent="0.25">
      <c r="A60" s="180">
        <v>59</v>
      </c>
      <c r="B60" s="181" t="s">
        <v>655</v>
      </c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>
        <f t="shared" si="0"/>
        <v>0</v>
      </c>
    </row>
    <row r="61" spans="1:19" x14ac:dyDescent="0.25">
      <c r="A61" s="180">
        <v>60</v>
      </c>
      <c r="B61" s="181" t="s">
        <v>656</v>
      </c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>
        <f t="shared" si="0"/>
        <v>0</v>
      </c>
    </row>
    <row r="62" spans="1:19" x14ac:dyDescent="0.25">
      <c r="A62" s="180">
        <v>61</v>
      </c>
      <c r="B62" s="181" t="s">
        <v>658</v>
      </c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>
        <f t="shared" si="0"/>
        <v>0</v>
      </c>
    </row>
    <row r="63" spans="1:19" x14ac:dyDescent="0.25">
      <c r="A63" s="180">
        <v>62</v>
      </c>
      <c r="B63" s="181" t="s">
        <v>659</v>
      </c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>
        <f t="shared" si="0"/>
        <v>0</v>
      </c>
    </row>
    <row r="64" spans="1:19" x14ac:dyDescent="0.25">
      <c r="A64" s="180">
        <v>63</v>
      </c>
      <c r="B64" s="181" t="s">
        <v>20</v>
      </c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>
        <f t="shared" si="0"/>
        <v>0</v>
      </c>
    </row>
    <row r="65" spans="1:19" x14ac:dyDescent="0.25">
      <c r="A65" s="180">
        <v>64</v>
      </c>
      <c r="B65" s="181" t="s">
        <v>662</v>
      </c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>
        <f t="shared" si="0"/>
        <v>0</v>
      </c>
    </row>
    <row r="66" spans="1:19" x14ac:dyDescent="0.25">
      <c r="A66" s="180">
        <v>65</v>
      </c>
      <c r="B66" s="181" t="s">
        <v>663</v>
      </c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>
        <f t="shared" ref="S66:S72" si="1">C66+D66+E66+F66+G66+H66+I66+J66+K66+L66+M66+N66+O66+P66+Q66+R66</f>
        <v>0</v>
      </c>
    </row>
    <row r="67" spans="1:19" x14ac:dyDescent="0.25">
      <c r="A67" s="180">
        <v>66</v>
      </c>
      <c r="B67" s="181" t="s">
        <v>665</v>
      </c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>
        <f t="shared" si="1"/>
        <v>0</v>
      </c>
    </row>
    <row r="68" spans="1:19" x14ac:dyDescent="0.25">
      <c r="A68" s="180">
        <v>67</v>
      </c>
      <c r="B68" s="181" t="s">
        <v>666</v>
      </c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>
        <f t="shared" si="1"/>
        <v>0</v>
      </c>
    </row>
    <row r="69" spans="1:19" x14ac:dyDescent="0.25">
      <c r="A69" s="180">
        <v>68</v>
      </c>
      <c r="B69" s="181" t="s">
        <v>667</v>
      </c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>
        <f t="shared" si="1"/>
        <v>0</v>
      </c>
    </row>
    <row r="70" spans="1:19" x14ac:dyDescent="0.25">
      <c r="A70" s="180">
        <v>69</v>
      </c>
      <c r="B70" s="181" t="s">
        <v>668</v>
      </c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>
        <f t="shared" si="1"/>
        <v>0</v>
      </c>
    </row>
    <row r="71" spans="1:19" x14ac:dyDescent="0.25">
      <c r="A71" s="180">
        <v>70</v>
      </c>
      <c r="B71" s="181" t="s">
        <v>671</v>
      </c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>
        <f t="shared" si="1"/>
        <v>0</v>
      </c>
    </row>
    <row r="72" spans="1:19" x14ac:dyDescent="0.25">
      <c r="A72" s="203"/>
      <c r="B72" s="203"/>
      <c r="C72" s="203"/>
      <c r="D72" s="203"/>
      <c r="E72" s="203"/>
      <c r="F72" s="203"/>
      <c r="G72" s="203"/>
      <c r="H72" s="203"/>
      <c r="I72" s="203"/>
      <c r="J72" s="203"/>
      <c r="K72" s="203"/>
      <c r="L72" s="203"/>
      <c r="M72" s="203"/>
      <c r="N72" s="203"/>
      <c r="O72" s="203"/>
      <c r="P72" s="203"/>
      <c r="Q72" s="203"/>
      <c r="R72" s="203"/>
      <c r="S72">
        <f t="shared" si="1"/>
        <v>0</v>
      </c>
    </row>
    <row r="73" spans="1:19" x14ac:dyDescent="0.25">
      <c r="A73" s="180"/>
      <c r="B73" s="181"/>
      <c r="C73" s="149"/>
    </row>
    <row r="74" spans="1:19" x14ac:dyDescent="0.25">
      <c r="A74" s="180"/>
      <c r="B74" s="181"/>
      <c r="C74" s="149"/>
    </row>
    <row r="75" spans="1:19" x14ac:dyDescent="0.25">
      <c r="A75" s="180"/>
      <c r="B75" s="181"/>
      <c r="C75" s="149"/>
    </row>
    <row r="76" spans="1:19" x14ac:dyDescent="0.25">
      <c r="A76" s="180"/>
      <c r="B76" s="181"/>
      <c r="C76" s="149"/>
    </row>
    <row r="77" spans="1:19" x14ac:dyDescent="0.25">
      <c r="A77" s="203"/>
      <c r="B77" s="203"/>
      <c r="C77" s="14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7"/>
  <dimension ref="A1:AF34"/>
  <sheetViews>
    <sheetView workbookViewId="0">
      <selection activeCell="V25" sqref="V25"/>
    </sheetView>
  </sheetViews>
  <sheetFormatPr defaultColWidth="8.85546875" defaultRowHeight="15" outlineLevelCol="1" x14ac:dyDescent="0.25"/>
  <cols>
    <col min="1" max="1" width="3.42578125" style="99" customWidth="1"/>
    <col min="2" max="2" width="29.140625" style="99" customWidth="1"/>
    <col min="3" max="4" width="3.5703125" style="99" customWidth="1"/>
    <col min="5" max="5" width="3.42578125" customWidth="1"/>
    <col min="6" max="10" width="3.5703125" style="99" customWidth="1"/>
    <col min="11" max="12" width="3.5703125" style="99" hidden="1" customWidth="1"/>
    <col min="13" max="17" width="3.5703125" style="99" customWidth="1"/>
    <col min="18" max="19" width="6.42578125" style="99" customWidth="1"/>
    <col min="20" max="31" width="8.85546875" style="99" customWidth="1" outlineLevel="1"/>
    <col min="32" max="32" width="7.140625" style="99" customWidth="1"/>
    <col min="33" max="16384" width="8.85546875" style="99"/>
  </cols>
  <sheetData>
    <row r="1" spans="1:32" x14ac:dyDescent="0.25">
      <c r="A1" s="98" t="s">
        <v>1</v>
      </c>
      <c r="B1" s="98" t="s">
        <v>6</v>
      </c>
      <c r="C1" s="98" t="s">
        <v>60</v>
      </c>
      <c r="D1" s="98" t="s">
        <v>61</v>
      </c>
      <c r="E1" s="124" t="s">
        <v>62</v>
      </c>
      <c r="F1" s="98" t="s">
        <v>63</v>
      </c>
      <c r="G1" s="98" t="s">
        <v>83</v>
      </c>
      <c r="H1" s="98" t="s">
        <v>84</v>
      </c>
      <c r="I1" s="98" t="s">
        <v>85</v>
      </c>
      <c r="J1" s="98" t="s">
        <v>24</v>
      </c>
      <c r="K1" s="98" t="s">
        <v>25</v>
      </c>
      <c r="L1" s="98" t="s">
        <v>64</v>
      </c>
      <c r="M1" s="98" t="s">
        <v>26</v>
      </c>
      <c r="N1" s="98" t="s">
        <v>65</v>
      </c>
      <c r="O1" s="98" t="s">
        <v>66</v>
      </c>
      <c r="P1" s="98" t="s">
        <v>67</v>
      </c>
      <c r="Q1" s="98" t="s">
        <v>86</v>
      </c>
      <c r="R1" s="122">
        <f>SUM(R2:R25)</f>
        <v>2105</v>
      </c>
      <c r="S1" s="122" t="s">
        <v>81</v>
      </c>
      <c r="T1" s="115" t="s">
        <v>89</v>
      </c>
      <c r="U1" s="115"/>
      <c r="V1" s="117" t="s">
        <v>90</v>
      </c>
      <c r="W1" s="117"/>
      <c r="X1" s="118" t="s">
        <v>91</v>
      </c>
      <c r="Y1" s="118"/>
      <c r="Z1" s="119" t="s">
        <v>92</v>
      </c>
      <c r="AA1" s="119"/>
      <c r="AB1" s="120" t="s">
        <v>93</v>
      </c>
      <c r="AC1" s="120"/>
      <c r="AD1" s="121" t="s">
        <v>94</v>
      </c>
      <c r="AE1" s="123"/>
    </row>
    <row r="2" spans="1:32" x14ac:dyDescent="0.25">
      <c r="A2" s="100">
        <v>1</v>
      </c>
      <c r="B2" s="101" t="s">
        <v>80</v>
      </c>
      <c r="C2" s="102">
        <v>11</v>
      </c>
      <c r="D2" s="103">
        <v>11</v>
      </c>
      <c r="E2" s="101"/>
      <c r="F2" s="103">
        <v>11</v>
      </c>
      <c r="G2" s="103">
        <v>11</v>
      </c>
      <c r="H2" s="103">
        <v>11</v>
      </c>
      <c r="I2" s="103">
        <v>11</v>
      </c>
      <c r="J2" s="103">
        <v>5</v>
      </c>
      <c r="K2" s="101"/>
      <c r="L2" s="101"/>
      <c r="M2" s="103">
        <v>9</v>
      </c>
      <c r="N2" s="104">
        <v>10</v>
      </c>
      <c r="O2" s="101"/>
      <c r="P2" s="104">
        <v>10</v>
      </c>
      <c r="Q2" s="105">
        <v>10</v>
      </c>
      <c r="R2" s="99">
        <f t="shared" ref="R2:R25" si="0">D2+C2+E2+F2+G2+H2+I2+J2+K2+L2+M2+N2+O2+P2+Q2</f>
        <v>110</v>
      </c>
      <c r="S2" s="99">
        <v>160</v>
      </c>
      <c r="U2" s="99">
        <f>T2*S2</f>
        <v>0</v>
      </c>
      <c r="V2" s="99">
        <f>C2+D2+F2+G2+H2+I2+J2+M2</f>
        <v>80</v>
      </c>
      <c r="W2" s="99">
        <f>V2*$S2</f>
        <v>12800</v>
      </c>
      <c r="X2" s="99">
        <f>Q2</f>
        <v>10</v>
      </c>
      <c r="Y2" s="99">
        <f t="shared" ref="Y2:AA26" si="1">X2*$S2</f>
        <v>1600</v>
      </c>
      <c r="Z2" s="99">
        <f>N2+P2</f>
        <v>20</v>
      </c>
      <c r="AA2" s="99">
        <f t="shared" si="1"/>
        <v>3200</v>
      </c>
      <c r="AC2" s="99">
        <f t="shared" ref="AC2:AE17" si="2">AB2*$S2</f>
        <v>0</v>
      </c>
      <c r="AE2" s="99">
        <f t="shared" si="2"/>
        <v>0</v>
      </c>
      <c r="AF2" s="99">
        <f>+V2+X2+Z2+AB2+AD2+T2-R2</f>
        <v>0</v>
      </c>
    </row>
    <row r="3" spans="1:32" x14ac:dyDescent="0.25">
      <c r="A3" s="100">
        <v>2</v>
      </c>
      <c r="B3" s="101" t="s">
        <v>18</v>
      </c>
      <c r="C3" s="101">
        <v>11</v>
      </c>
      <c r="D3" s="101">
        <v>11</v>
      </c>
      <c r="E3" s="101">
        <v>8</v>
      </c>
      <c r="F3" s="101">
        <v>11</v>
      </c>
      <c r="G3" s="101">
        <v>11</v>
      </c>
      <c r="H3" s="101">
        <v>11</v>
      </c>
      <c r="I3" s="101">
        <v>11</v>
      </c>
      <c r="J3" s="101">
        <v>5</v>
      </c>
      <c r="K3" s="101"/>
      <c r="L3" s="101"/>
      <c r="M3" s="101"/>
      <c r="N3" s="101">
        <v>7</v>
      </c>
      <c r="O3" s="101">
        <v>11</v>
      </c>
      <c r="P3" s="101">
        <v>10</v>
      </c>
      <c r="Q3" s="101">
        <v>10</v>
      </c>
      <c r="R3" s="99">
        <f t="shared" si="0"/>
        <v>117</v>
      </c>
      <c r="S3" s="99">
        <v>160</v>
      </c>
      <c r="U3" s="99">
        <f t="shared" ref="U3:U26" si="3">T3*S3</f>
        <v>0</v>
      </c>
      <c r="W3" s="99">
        <f t="shared" ref="W3:W26" si="4">V3*S3</f>
        <v>0</v>
      </c>
      <c r="Y3" s="99">
        <f t="shared" si="1"/>
        <v>0</v>
      </c>
      <c r="AA3" s="99">
        <f t="shared" si="1"/>
        <v>0</v>
      </c>
      <c r="AC3" s="99">
        <f t="shared" ref="AC3" si="5">AB3*$S3</f>
        <v>0</v>
      </c>
      <c r="AE3" s="99">
        <f t="shared" si="2"/>
        <v>0</v>
      </c>
      <c r="AF3" s="99">
        <f t="shared" ref="AF3:AF27" si="6">+V3+X3+Z3+AB3+AD3+T3-R3</f>
        <v>-117</v>
      </c>
    </row>
    <row r="4" spans="1:32" x14ac:dyDescent="0.25">
      <c r="A4" s="100">
        <v>3</v>
      </c>
      <c r="B4" s="101" t="s">
        <v>3</v>
      </c>
      <c r="C4" s="101"/>
      <c r="D4" s="101"/>
      <c r="E4" s="101"/>
      <c r="F4" s="101"/>
      <c r="G4" s="104">
        <v>11</v>
      </c>
      <c r="H4" s="104">
        <v>11</v>
      </c>
      <c r="I4" s="104">
        <v>11</v>
      </c>
      <c r="J4" s="104">
        <v>5</v>
      </c>
      <c r="K4" s="101"/>
      <c r="L4" s="101"/>
      <c r="M4" s="104">
        <v>9</v>
      </c>
      <c r="N4" s="104">
        <v>10</v>
      </c>
      <c r="O4" s="104">
        <v>11</v>
      </c>
      <c r="P4" s="104">
        <v>10</v>
      </c>
      <c r="Q4" s="105">
        <v>10</v>
      </c>
      <c r="R4" s="99">
        <f t="shared" si="0"/>
        <v>88</v>
      </c>
      <c r="S4" s="99">
        <v>130</v>
      </c>
      <c r="U4" s="99">
        <f t="shared" si="3"/>
        <v>0</v>
      </c>
      <c r="W4" s="99">
        <f t="shared" si="4"/>
        <v>0</v>
      </c>
      <c r="X4" s="99">
        <f>Q4</f>
        <v>10</v>
      </c>
      <c r="Y4" s="99">
        <f t="shared" si="1"/>
        <v>1300</v>
      </c>
      <c r="Z4" s="99">
        <f>G4+H4+I4+J4+M4+N4+O4+P4</f>
        <v>78</v>
      </c>
      <c r="AA4" s="99">
        <f t="shared" si="1"/>
        <v>10140</v>
      </c>
      <c r="AC4" s="99">
        <f t="shared" ref="AC4" si="7">AB4*$S4</f>
        <v>0</v>
      </c>
      <c r="AE4" s="99">
        <f t="shared" si="2"/>
        <v>0</v>
      </c>
      <c r="AF4" s="99">
        <f t="shared" si="6"/>
        <v>0</v>
      </c>
    </row>
    <row r="5" spans="1:32" x14ac:dyDescent="0.25">
      <c r="A5" s="100">
        <v>4</v>
      </c>
      <c r="B5" s="101" t="s">
        <v>10</v>
      </c>
      <c r="C5" s="103">
        <v>11</v>
      </c>
      <c r="D5" s="103">
        <v>11</v>
      </c>
      <c r="E5" s="101"/>
      <c r="F5" s="103">
        <v>11</v>
      </c>
      <c r="G5" s="103">
        <v>11</v>
      </c>
      <c r="H5" s="106">
        <v>11</v>
      </c>
      <c r="I5" s="106">
        <v>11</v>
      </c>
      <c r="J5" s="106">
        <v>5</v>
      </c>
      <c r="K5" s="101"/>
      <c r="L5" s="101"/>
      <c r="M5" s="106">
        <v>9</v>
      </c>
      <c r="N5" s="106">
        <v>10</v>
      </c>
      <c r="O5" s="106">
        <v>11</v>
      </c>
      <c r="P5" s="106">
        <v>10</v>
      </c>
      <c r="Q5" s="106">
        <v>10</v>
      </c>
      <c r="R5" s="99">
        <f t="shared" si="0"/>
        <v>121</v>
      </c>
      <c r="S5" s="99">
        <v>130</v>
      </c>
      <c r="T5" s="99">
        <f>H5+I5+J5+M5+N5+O5+P5+Q5</f>
        <v>77</v>
      </c>
      <c r="U5" s="99">
        <f t="shared" si="3"/>
        <v>10010</v>
      </c>
      <c r="V5" s="99">
        <f>C5+D5+F5+G5</f>
        <v>44</v>
      </c>
      <c r="W5" s="99">
        <f t="shared" si="4"/>
        <v>5720</v>
      </c>
      <c r="Y5" s="99">
        <f t="shared" si="1"/>
        <v>0</v>
      </c>
      <c r="AA5" s="99">
        <f t="shared" si="1"/>
        <v>0</v>
      </c>
      <c r="AC5" s="99">
        <f t="shared" ref="AC5" si="8">AB5*$S5</f>
        <v>0</v>
      </c>
      <c r="AE5" s="99">
        <f t="shared" si="2"/>
        <v>0</v>
      </c>
      <c r="AF5" s="99">
        <f t="shared" si="6"/>
        <v>0</v>
      </c>
    </row>
    <row r="6" spans="1:32" x14ac:dyDescent="0.25">
      <c r="A6" s="100">
        <v>5</v>
      </c>
      <c r="B6" s="101" t="s">
        <v>11</v>
      </c>
      <c r="C6" s="103">
        <v>11</v>
      </c>
      <c r="D6" s="103">
        <v>11</v>
      </c>
      <c r="E6" s="103">
        <v>8</v>
      </c>
      <c r="F6" s="103">
        <v>11</v>
      </c>
      <c r="G6" s="103">
        <v>11</v>
      </c>
      <c r="H6" s="107"/>
      <c r="I6" s="106">
        <v>11</v>
      </c>
      <c r="J6" s="106">
        <v>5</v>
      </c>
      <c r="K6" s="101"/>
      <c r="L6" s="101"/>
      <c r="M6" s="106">
        <v>9</v>
      </c>
      <c r="N6" s="106">
        <v>10</v>
      </c>
      <c r="O6" s="106">
        <v>11</v>
      </c>
      <c r="P6" s="106">
        <v>10</v>
      </c>
      <c r="Q6" s="106">
        <v>10</v>
      </c>
      <c r="R6" s="99">
        <f t="shared" si="0"/>
        <v>118</v>
      </c>
      <c r="S6" s="99">
        <v>130</v>
      </c>
      <c r="T6" s="99">
        <f>Q6+P6+O6+N6+J6+M6+I6</f>
        <v>66</v>
      </c>
      <c r="U6" s="99">
        <f t="shared" si="3"/>
        <v>8580</v>
      </c>
      <c r="V6" s="99">
        <f>C6+D6+E6+F6+G6</f>
        <v>52</v>
      </c>
      <c r="W6" s="99">
        <f t="shared" si="4"/>
        <v>6760</v>
      </c>
      <c r="Y6" s="99">
        <f t="shared" si="1"/>
        <v>0</v>
      </c>
      <c r="AA6" s="99">
        <f t="shared" si="1"/>
        <v>0</v>
      </c>
      <c r="AC6" s="99">
        <f t="shared" ref="AC6" si="9">AB6*$S6</f>
        <v>0</v>
      </c>
      <c r="AE6" s="99">
        <f t="shared" si="2"/>
        <v>0</v>
      </c>
      <c r="AF6" s="99">
        <f t="shared" si="6"/>
        <v>0</v>
      </c>
    </row>
    <row r="7" spans="1:32" x14ac:dyDescent="0.25">
      <c r="A7" s="100">
        <v>6</v>
      </c>
      <c r="B7" s="101" t="s">
        <v>12</v>
      </c>
      <c r="C7" s="103">
        <v>11</v>
      </c>
      <c r="D7" s="103">
        <v>11</v>
      </c>
      <c r="E7" s="101"/>
      <c r="F7" s="103">
        <v>11</v>
      </c>
      <c r="G7" s="103">
        <v>11</v>
      </c>
      <c r="H7" s="101"/>
      <c r="I7" s="101"/>
      <c r="J7" s="101"/>
      <c r="K7" s="101"/>
      <c r="L7" s="101"/>
      <c r="M7" s="103">
        <v>9</v>
      </c>
      <c r="N7" s="106">
        <v>7</v>
      </c>
      <c r="O7" s="106">
        <v>11</v>
      </c>
      <c r="P7" s="106">
        <v>10</v>
      </c>
      <c r="Q7" s="106">
        <v>10</v>
      </c>
      <c r="R7" s="99">
        <f t="shared" si="0"/>
        <v>91</v>
      </c>
      <c r="S7" s="99">
        <v>130</v>
      </c>
      <c r="T7" s="99">
        <f>N7+O7+P7+Q7</f>
        <v>38</v>
      </c>
      <c r="U7" s="99">
        <f t="shared" si="3"/>
        <v>4940</v>
      </c>
      <c r="V7" s="99">
        <f>C7+D7+F7+G7+M7</f>
        <v>53</v>
      </c>
      <c r="W7" s="99">
        <f t="shared" si="4"/>
        <v>6890</v>
      </c>
      <c r="Y7" s="99">
        <f t="shared" si="1"/>
        <v>0</v>
      </c>
      <c r="AA7" s="99">
        <f t="shared" si="1"/>
        <v>0</v>
      </c>
      <c r="AC7" s="99">
        <f t="shared" ref="AC7" si="10">AB7*$S7</f>
        <v>0</v>
      </c>
      <c r="AE7" s="99">
        <f t="shared" si="2"/>
        <v>0</v>
      </c>
      <c r="AF7" s="99">
        <f t="shared" si="6"/>
        <v>0</v>
      </c>
    </row>
    <row r="8" spans="1:32" x14ac:dyDescent="0.25">
      <c r="A8" s="100">
        <v>7</v>
      </c>
      <c r="B8" s="101" t="s">
        <v>13</v>
      </c>
      <c r="C8" s="103">
        <v>11</v>
      </c>
      <c r="D8" s="103">
        <v>11</v>
      </c>
      <c r="E8" s="103">
        <v>8</v>
      </c>
      <c r="F8" s="103">
        <v>11</v>
      </c>
      <c r="G8" s="103">
        <v>11</v>
      </c>
      <c r="H8" s="103">
        <v>11</v>
      </c>
      <c r="I8" s="103">
        <v>11</v>
      </c>
      <c r="J8" s="103">
        <v>5</v>
      </c>
      <c r="K8" s="101"/>
      <c r="L8" s="101"/>
      <c r="M8" s="101"/>
      <c r="N8" s="108">
        <v>7</v>
      </c>
      <c r="O8" s="101"/>
      <c r="P8" s="105">
        <v>10</v>
      </c>
      <c r="Q8" s="105">
        <v>10</v>
      </c>
      <c r="R8" s="99">
        <f t="shared" si="0"/>
        <v>106</v>
      </c>
      <c r="S8" s="99">
        <v>150</v>
      </c>
      <c r="U8" s="99">
        <f t="shared" si="3"/>
        <v>0</v>
      </c>
      <c r="V8" s="99">
        <f>C8+D8+E8+F8+G8+H8+I8+J8</f>
        <v>79</v>
      </c>
      <c r="W8" s="99">
        <f t="shared" si="4"/>
        <v>11850</v>
      </c>
      <c r="X8" s="99">
        <f>P8+Q8</f>
        <v>20</v>
      </c>
      <c r="Y8" s="99">
        <f t="shared" si="1"/>
        <v>3000</v>
      </c>
      <c r="AA8" s="99">
        <f t="shared" si="1"/>
        <v>0</v>
      </c>
      <c r="AC8" s="99">
        <f t="shared" ref="AC8" si="11">AB8*$S8</f>
        <v>0</v>
      </c>
      <c r="AD8" s="99">
        <f>N8</f>
        <v>7</v>
      </c>
      <c r="AE8" s="99">
        <f t="shared" si="2"/>
        <v>1050</v>
      </c>
      <c r="AF8" s="99">
        <f t="shared" si="6"/>
        <v>0</v>
      </c>
    </row>
    <row r="9" spans="1:32" x14ac:dyDescent="0.25">
      <c r="A9" s="100">
        <v>8</v>
      </c>
      <c r="B9" s="101" t="s">
        <v>14</v>
      </c>
      <c r="C9" s="103">
        <v>11</v>
      </c>
      <c r="D9" s="103">
        <v>11</v>
      </c>
      <c r="E9" s="101"/>
      <c r="F9" s="103">
        <v>11</v>
      </c>
      <c r="G9" s="103">
        <v>11</v>
      </c>
      <c r="H9" s="103">
        <v>11</v>
      </c>
      <c r="I9" s="103">
        <v>11</v>
      </c>
      <c r="J9" s="103">
        <v>5</v>
      </c>
      <c r="K9" s="101"/>
      <c r="L9" s="101"/>
      <c r="M9" s="101"/>
      <c r="N9" s="106">
        <v>7</v>
      </c>
      <c r="O9" s="101"/>
      <c r="P9" s="106">
        <v>10</v>
      </c>
      <c r="Q9" s="106">
        <v>10</v>
      </c>
      <c r="R9" s="99">
        <f t="shared" si="0"/>
        <v>98</v>
      </c>
      <c r="S9" s="99">
        <v>130</v>
      </c>
      <c r="T9" s="99">
        <f>Q9+P9+N9</f>
        <v>27</v>
      </c>
      <c r="U9" s="99">
        <f t="shared" si="3"/>
        <v>3510</v>
      </c>
      <c r="V9" s="99">
        <f>C9+D9+F9+G9+H9+I9+J9</f>
        <v>71</v>
      </c>
      <c r="W9" s="99">
        <f t="shared" si="4"/>
        <v>9230</v>
      </c>
      <c r="Y9" s="99">
        <f t="shared" si="1"/>
        <v>0</v>
      </c>
      <c r="AA9" s="99">
        <f t="shared" si="1"/>
        <v>0</v>
      </c>
      <c r="AC9" s="99">
        <f t="shared" ref="AC9" si="12">AB9*$S9</f>
        <v>0</v>
      </c>
      <c r="AE9" s="99">
        <f t="shared" si="2"/>
        <v>0</v>
      </c>
      <c r="AF9" s="99">
        <f t="shared" si="6"/>
        <v>0</v>
      </c>
    </row>
    <row r="10" spans="1:32" x14ac:dyDescent="0.25">
      <c r="A10" s="100">
        <v>9</v>
      </c>
      <c r="B10" s="101" t="s">
        <v>15</v>
      </c>
      <c r="C10" s="101"/>
      <c r="D10" s="101"/>
      <c r="E10" s="101"/>
      <c r="F10" s="103">
        <v>11</v>
      </c>
      <c r="G10" s="103">
        <v>11</v>
      </c>
      <c r="H10" s="103">
        <v>11</v>
      </c>
      <c r="I10" s="103">
        <v>11</v>
      </c>
      <c r="J10" s="101"/>
      <c r="K10" s="101"/>
      <c r="L10" s="101"/>
      <c r="M10" s="101"/>
      <c r="N10" s="101"/>
      <c r="O10" s="101"/>
      <c r="P10" s="101"/>
      <c r="Q10" s="101"/>
      <c r="R10" s="99">
        <f t="shared" si="0"/>
        <v>44</v>
      </c>
      <c r="S10" s="99">
        <v>130</v>
      </c>
      <c r="U10" s="99">
        <f t="shared" si="3"/>
        <v>0</v>
      </c>
      <c r="V10" s="99">
        <f>F10+G10+H10+I10</f>
        <v>44</v>
      </c>
      <c r="W10" s="99">
        <f t="shared" si="4"/>
        <v>5720</v>
      </c>
      <c r="Y10" s="99">
        <f t="shared" si="1"/>
        <v>0</v>
      </c>
      <c r="AA10" s="99">
        <f t="shared" si="1"/>
        <v>0</v>
      </c>
      <c r="AC10" s="99">
        <f t="shared" ref="AC10" si="13">AB10*$S10</f>
        <v>0</v>
      </c>
      <c r="AE10" s="99">
        <f t="shared" si="2"/>
        <v>0</v>
      </c>
      <c r="AF10" s="99">
        <f t="shared" si="6"/>
        <v>0</v>
      </c>
    </row>
    <row r="11" spans="1:32" x14ac:dyDescent="0.25">
      <c r="A11" s="100">
        <v>10</v>
      </c>
      <c r="B11" s="101" t="s">
        <v>16</v>
      </c>
      <c r="C11" s="103">
        <v>11</v>
      </c>
      <c r="D11" s="103">
        <v>11</v>
      </c>
      <c r="E11" s="103">
        <v>8</v>
      </c>
      <c r="F11" s="103">
        <v>11</v>
      </c>
      <c r="G11" s="103">
        <v>11</v>
      </c>
      <c r="H11" s="103">
        <v>11</v>
      </c>
      <c r="I11" s="109">
        <v>12</v>
      </c>
      <c r="J11" s="109">
        <v>5</v>
      </c>
      <c r="K11" s="101"/>
      <c r="L11" s="101"/>
      <c r="M11" s="101"/>
      <c r="N11" s="101"/>
      <c r="O11" s="104">
        <v>11</v>
      </c>
      <c r="P11" s="101"/>
      <c r="Q11" s="101"/>
      <c r="R11" s="99">
        <f t="shared" si="0"/>
        <v>91</v>
      </c>
      <c r="S11" s="99">
        <v>150</v>
      </c>
      <c r="U11" s="99">
        <f t="shared" si="3"/>
        <v>0</v>
      </c>
      <c r="V11" s="99">
        <f>C11+D11+E11+F11+G11+H11</f>
        <v>63</v>
      </c>
      <c r="W11" s="99">
        <f t="shared" si="4"/>
        <v>9450</v>
      </c>
      <c r="Y11" s="99">
        <f t="shared" si="1"/>
        <v>0</v>
      </c>
      <c r="Z11" s="99">
        <f>O11</f>
        <v>11</v>
      </c>
      <c r="AA11" s="99">
        <f t="shared" si="1"/>
        <v>1650</v>
      </c>
      <c r="AB11" s="99">
        <f>I11+J11</f>
        <v>17</v>
      </c>
      <c r="AC11" s="99">
        <f t="shared" ref="AC11" si="14">AB11*$S11</f>
        <v>2550</v>
      </c>
      <c r="AE11" s="99">
        <f t="shared" si="2"/>
        <v>0</v>
      </c>
      <c r="AF11" s="99">
        <f t="shared" si="6"/>
        <v>0</v>
      </c>
    </row>
    <row r="12" spans="1:32" x14ac:dyDescent="0.25">
      <c r="A12" s="100">
        <v>11</v>
      </c>
      <c r="B12" s="101" t="s">
        <v>34</v>
      </c>
      <c r="C12" s="103">
        <v>11</v>
      </c>
      <c r="D12" s="103">
        <v>11</v>
      </c>
      <c r="E12" s="103">
        <v>8</v>
      </c>
      <c r="F12" s="103">
        <v>11</v>
      </c>
      <c r="G12" s="103">
        <v>11</v>
      </c>
      <c r="H12" s="103">
        <v>11</v>
      </c>
      <c r="I12" s="109">
        <v>11</v>
      </c>
      <c r="J12" s="109">
        <v>5</v>
      </c>
      <c r="K12" s="101"/>
      <c r="L12" s="101"/>
      <c r="M12" s="101"/>
      <c r="N12" s="106">
        <v>7</v>
      </c>
      <c r="O12" s="101"/>
      <c r="P12" s="105">
        <v>10</v>
      </c>
      <c r="Q12" s="105">
        <v>10</v>
      </c>
      <c r="R12" s="99">
        <f t="shared" si="0"/>
        <v>106</v>
      </c>
      <c r="S12" s="99">
        <v>130</v>
      </c>
      <c r="T12" s="99">
        <f>N12</f>
        <v>7</v>
      </c>
      <c r="U12" s="99">
        <f t="shared" si="3"/>
        <v>910</v>
      </c>
      <c r="V12" s="99">
        <f>C12+D12+E12+F12+G12+H12</f>
        <v>63</v>
      </c>
      <c r="W12" s="99">
        <f t="shared" si="4"/>
        <v>8190</v>
      </c>
      <c r="X12" s="99">
        <f>P12+Q12</f>
        <v>20</v>
      </c>
      <c r="Y12" s="99">
        <f t="shared" si="1"/>
        <v>2600</v>
      </c>
      <c r="AA12" s="99">
        <f t="shared" si="1"/>
        <v>0</v>
      </c>
      <c r="AB12" s="99">
        <f>I12+J12</f>
        <v>16</v>
      </c>
      <c r="AC12" s="99">
        <f t="shared" ref="AC12" si="15">AB12*$S12</f>
        <v>2080</v>
      </c>
      <c r="AE12" s="99">
        <f t="shared" si="2"/>
        <v>0</v>
      </c>
      <c r="AF12" s="99">
        <f t="shared" si="6"/>
        <v>0</v>
      </c>
    </row>
    <row r="13" spans="1:32" x14ac:dyDescent="0.25">
      <c r="A13" s="100">
        <v>12</v>
      </c>
      <c r="B13" s="101" t="s">
        <v>4</v>
      </c>
      <c r="C13" s="101"/>
      <c r="D13" s="101"/>
      <c r="E13" s="101"/>
      <c r="F13" s="101"/>
      <c r="G13" s="101"/>
      <c r="H13" s="106">
        <v>11</v>
      </c>
      <c r="I13" s="106">
        <v>11</v>
      </c>
      <c r="J13" s="106">
        <v>5</v>
      </c>
      <c r="K13" s="101"/>
      <c r="L13" s="101"/>
      <c r="M13" s="101"/>
      <c r="N13" s="106">
        <v>7</v>
      </c>
      <c r="O13" s="105">
        <v>11</v>
      </c>
      <c r="P13" s="101"/>
      <c r="Q13" s="101"/>
      <c r="R13" s="99">
        <f t="shared" si="0"/>
        <v>45</v>
      </c>
      <c r="S13" s="99">
        <v>130</v>
      </c>
      <c r="T13" s="99">
        <f>H13+I13+J13+N13</f>
        <v>34</v>
      </c>
      <c r="U13" s="99">
        <f t="shared" si="3"/>
        <v>4420</v>
      </c>
      <c r="W13" s="99">
        <f t="shared" si="4"/>
        <v>0</v>
      </c>
      <c r="X13" s="99">
        <f>O13</f>
        <v>11</v>
      </c>
      <c r="Y13" s="99">
        <f t="shared" si="1"/>
        <v>1430</v>
      </c>
      <c r="AA13" s="99">
        <f t="shared" si="1"/>
        <v>0</v>
      </c>
      <c r="AC13" s="99">
        <f t="shared" ref="AC13" si="16">AB13*$S13</f>
        <v>0</v>
      </c>
      <c r="AE13" s="99">
        <f t="shared" si="2"/>
        <v>0</v>
      </c>
      <c r="AF13" s="99">
        <f t="shared" si="6"/>
        <v>0</v>
      </c>
    </row>
    <row r="14" spans="1:32" x14ac:dyDescent="0.25">
      <c r="A14" s="100">
        <v>13</v>
      </c>
      <c r="B14" s="101" t="s">
        <v>5</v>
      </c>
      <c r="C14" s="106">
        <v>11</v>
      </c>
      <c r="D14" s="106">
        <v>11</v>
      </c>
      <c r="E14" s="101"/>
      <c r="F14" s="106">
        <v>11</v>
      </c>
      <c r="G14" s="106">
        <v>11</v>
      </c>
      <c r="H14" s="101"/>
      <c r="I14" s="101"/>
      <c r="J14" s="101"/>
      <c r="K14" s="101"/>
      <c r="L14" s="101"/>
      <c r="M14" s="101"/>
      <c r="N14" s="106">
        <v>7</v>
      </c>
      <c r="O14" s="106">
        <v>11</v>
      </c>
      <c r="P14" s="101"/>
      <c r="Q14" s="106">
        <v>10</v>
      </c>
      <c r="R14" s="99">
        <f t="shared" si="0"/>
        <v>72</v>
      </c>
      <c r="S14" s="99">
        <v>130</v>
      </c>
      <c r="T14" s="99">
        <f>C14+D14+F14+G14+N14+O14+Q14</f>
        <v>72</v>
      </c>
      <c r="U14" s="99">
        <f t="shared" si="3"/>
        <v>9360</v>
      </c>
      <c r="W14" s="99">
        <f t="shared" si="4"/>
        <v>0</v>
      </c>
      <c r="Y14" s="99">
        <f t="shared" si="1"/>
        <v>0</v>
      </c>
      <c r="AA14" s="99">
        <f t="shared" si="1"/>
        <v>0</v>
      </c>
      <c r="AC14" s="99">
        <f t="shared" ref="AC14" si="17">AB14*$S14</f>
        <v>0</v>
      </c>
      <c r="AE14" s="99">
        <f t="shared" si="2"/>
        <v>0</v>
      </c>
      <c r="AF14" s="99">
        <f t="shared" si="6"/>
        <v>0</v>
      </c>
    </row>
    <row r="15" spans="1:32" x14ac:dyDescent="0.25">
      <c r="A15" s="100">
        <v>14</v>
      </c>
      <c r="B15" s="101" t="s">
        <v>17</v>
      </c>
      <c r="C15" s="103">
        <v>11</v>
      </c>
      <c r="D15" s="103">
        <v>11</v>
      </c>
      <c r="E15" s="103">
        <v>8</v>
      </c>
      <c r="F15" s="103">
        <v>11</v>
      </c>
      <c r="G15" s="103">
        <v>11</v>
      </c>
      <c r="H15" s="103">
        <v>11</v>
      </c>
      <c r="I15" s="103">
        <v>11</v>
      </c>
      <c r="J15" s="103">
        <v>5</v>
      </c>
      <c r="K15" s="101"/>
      <c r="L15" s="101"/>
      <c r="M15" s="101"/>
      <c r="N15" s="110">
        <v>7</v>
      </c>
      <c r="O15" s="101"/>
      <c r="P15" s="105">
        <v>10</v>
      </c>
      <c r="Q15" s="105">
        <v>10</v>
      </c>
      <c r="R15" s="99">
        <f t="shared" si="0"/>
        <v>106</v>
      </c>
      <c r="S15" s="99">
        <v>150</v>
      </c>
      <c r="U15" s="99">
        <f t="shared" si="3"/>
        <v>0</v>
      </c>
      <c r="V15" s="99">
        <f>C15+D15+E15+F15+G15+H15+I15+J15</f>
        <v>79</v>
      </c>
      <c r="W15" s="99">
        <f t="shared" si="4"/>
        <v>11850</v>
      </c>
      <c r="X15" s="99">
        <f>P15+Q15</f>
        <v>20</v>
      </c>
      <c r="Y15" s="99">
        <f t="shared" si="1"/>
        <v>3000</v>
      </c>
      <c r="AA15" s="99">
        <f t="shared" si="1"/>
        <v>0</v>
      </c>
      <c r="AC15" s="99">
        <f t="shared" ref="AC15" si="18">AB15*$S15</f>
        <v>0</v>
      </c>
      <c r="AD15" s="99">
        <f>N15</f>
        <v>7</v>
      </c>
      <c r="AE15" s="99">
        <f t="shared" si="2"/>
        <v>1050</v>
      </c>
      <c r="AF15" s="99">
        <f t="shared" si="6"/>
        <v>0</v>
      </c>
    </row>
    <row r="16" spans="1:32" x14ac:dyDescent="0.25">
      <c r="A16" s="100">
        <v>15</v>
      </c>
      <c r="B16" s="101" t="s">
        <v>37</v>
      </c>
      <c r="C16" s="103">
        <v>11</v>
      </c>
      <c r="D16" s="103">
        <v>11</v>
      </c>
      <c r="E16" s="101"/>
      <c r="F16" s="101"/>
      <c r="G16" s="103">
        <v>11</v>
      </c>
      <c r="H16" s="101"/>
      <c r="I16" s="101"/>
      <c r="J16" s="101"/>
      <c r="K16" s="101"/>
      <c r="L16" s="101"/>
      <c r="M16" s="101"/>
      <c r="N16" s="106">
        <v>7</v>
      </c>
      <c r="O16" s="101"/>
      <c r="P16" s="101"/>
      <c r="Q16" s="101"/>
      <c r="R16" s="99">
        <f t="shared" si="0"/>
        <v>40</v>
      </c>
      <c r="S16" s="99">
        <v>150</v>
      </c>
      <c r="T16" s="99">
        <f>N16</f>
        <v>7</v>
      </c>
      <c r="U16" s="99">
        <f t="shared" si="3"/>
        <v>1050</v>
      </c>
      <c r="V16" s="99">
        <f>C16+D16+G16</f>
        <v>33</v>
      </c>
      <c r="W16" s="99">
        <f t="shared" si="4"/>
        <v>4950</v>
      </c>
      <c r="Y16" s="99">
        <f t="shared" si="1"/>
        <v>0</v>
      </c>
      <c r="AA16" s="99">
        <f t="shared" si="1"/>
        <v>0</v>
      </c>
      <c r="AC16" s="99">
        <f t="shared" ref="AC16" si="19">AB16*$S16</f>
        <v>0</v>
      </c>
      <c r="AE16" s="99">
        <f t="shared" si="2"/>
        <v>0</v>
      </c>
      <c r="AF16" s="99">
        <f t="shared" si="6"/>
        <v>0</v>
      </c>
    </row>
    <row r="17" spans="1:32" x14ac:dyDescent="0.25">
      <c r="A17" s="100">
        <v>16</v>
      </c>
      <c r="B17" s="101" t="s">
        <v>38</v>
      </c>
      <c r="C17" s="106">
        <v>11</v>
      </c>
      <c r="D17" s="106">
        <v>11</v>
      </c>
      <c r="E17" s="101"/>
      <c r="F17" s="106">
        <v>11</v>
      </c>
      <c r="G17" s="106">
        <v>11</v>
      </c>
      <c r="H17" s="106">
        <v>11</v>
      </c>
      <c r="I17" s="106">
        <v>11</v>
      </c>
      <c r="J17" s="106">
        <v>5</v>
      </c>
      <c r="K17" s="101"/>
      <c r="L17" s="101"/>
      <c r="M17" s="106">
        <v>9</v>
      </c>
      <c r="N17" s="106">
        <v>7</v>
      </c>
      <c r="O17" s="101"/>
      <c r="P17" s="106">
        <v>10</v>
      </c>
      <c r="Q17" s="106">
        <v>10</v>
      </c>
      <c r="R17" s="99">
        <f t="shared" si="0"/>
        <v>107</v>
      </c>
      <c r="S17" s="99">
        <v>150</v>
      </c>
      <c r="T17" s="99">
        <f>C17+D17+F17+G17+H17+I17+J17+M17+N17+P17+Q17</f>
        <v>107</v>
      </c>
      <c r="U17" s="99">
        <f t="shared" si="3"/>
        <v>16050</v>
      </c>
      <c r="W17" s="99">
        <f t="shared" si="4"/>
        <v>0</v>
      </c>
      <c r="Y17" s="99">
        <f t="shared" si="1"/>
        <v>0</v>
      </c>
      <c r="AA17" s="99">
        <f t="shared" si="1"/>
        <v>0</v>
      </c>
      <c r="AC17" s="99">
        <f t="shared" ref="AC17" si="20">AB17*$S17</f>
        <v>0</v>
      </c>
      <c r="AE17" s="99">
        <f t="shared" si="2"/>
        <v>0</v>
      </c>
      <c r="AF17" s="99">
        <f t="shared" si="6"/>
        <v>0</v>
      </c>
    </row>
    <row r="18" spans="1:32" x14ac:dyDescent="0.25">
      <c r="A18" s="100">
        <v>17</v>
      </c>
      <c r="B18" s="101" t="s">
        <v>7</v>
      </c>
      <c r="C18" s="106">
        <v>11</v>
      </c>
      <c r="D18" s="106">
        <v>11</v>
      </c>
      <c r="E18" s="101"/>
      <c r="F18" s="101"/>
      <c r="G18" s="106">
        <v>11</v>
      </c>
      <c r="H18" s="106">
        <v>11</v>
      </c>
      <c r="I18" s="106">
        <v>11</v>
      </c>
      <c r="J18" s="106">
        <v>5</v>
      </c>
      <c r="K18" s="101"/>
      <c r="L18" s="101"/>
      <c r="M18" s="101"/>
      <c r="N18" s="106">
        <v>7</v>
      </c>
      <c r="O18" s="101"/>
      <c r="P18" s="105">
        <v>10</v>
      </c>
      <c r="Q18" s="105">
        <v>10</v>
      </c>
      <c r="R18" s="99">
        <f t="shared" si="0"/>
        <v>87</v>
      </c>
      <c r="S18" s="99">
        <v>150</v>
      </c>
      <c r="T18" s="99">
        <f>C18+D18+G18+H18+I18+J18+N18</f>
        <v>67</v>
      </c>
      <c r="U18" s="99">
        <f t="shared" si="3"/>
        <v>10050</v>
      </c>
      <c r="W18" s="99">
        <f t="shared" si="4"/>
        <v>0</v>
      </c>
      <c r="X18" s="99">
        <f>P18+Q18</f>
        <v>20</v>
      </c>
      <c r="Y18" s="99">
        <f t="shared" si="1"/>
        <v>3000</v>
      </c>
      <c r="AA18" s="99">
        <f t="shared" si="1"/>
        <v>0</v>
      </c>
      <c r="AC18" s="99">
        <f t="shared" ref="AC18" si="21">AB18*$S18</f>
        <v>0</v>
      </c>
      <c r="AE18" s="99">
        <f t="shared" ref="AE18:AE26" si="22">AD18*$S18</f>
        <v>0</v>
      </c>
      <c r="AF18" s="99">
        <f t="shared" si="6"/>
        <v>0</v>
      </c>
    </row>
    <row r="19" spans="1:32" x14ac:dyDescent="0.25">
      <c r="A19" s="100">
        <v>18</v>
      </c>
      <c r="B19" s="101" t="s">
        <v>19</v>
      </c>
      <c r="C19" s="103">
        <v>11</v>
      </c>
      <c r="D19" s="103">
        <v>11</v>
      </c>
      <c r="E19" s="111"/>
      <c r="F19" s="103">
        <v>11</v>
      </c>
      <c r="G19" s="103">
        <v>11</v>
      </c>
      <c r="H19" s="103">
        <v>11</v>
      </c>
      <c r="I19" s="103">
        <v>11</v>
      </c>
      <c r="J19" s="103">
        <v>5</v>
      </c>
      <c r="K19" s="111"/>
      <c r="L19" s="111"/>
      <c r="M19" s="111"/>
      <c r="N19" s="104">
        <v>7</v>
      </c>
      <c r="O19" s="101"/>
      <c r="P19" s="101"/>
      <c r="Q19" s="101"/>
      <c r="R19" s="99">
        <f t="shared" si="0"/>
        <v>78</v>
      </c>
      <c r="S19" s="99">
        <v>150</v>
      </c>
      <c r="U19" s="99">
        <f t="shared" si="3"/>
        <v>0</v>
      </c>
      <c r="V19" s="99">
        <f>C19+D19+F19+G19+H19+I19+J19</f>
        <v>71</v>
      </c>
      <c r="W19" s="99">
        <f t="shared" si="4"/>
        <v>10650</v>
      </c>
      <c r="Y19" s="99">
        <f t="shared" si="1"/>
        <v>0</v>
      </c>
      <c r="Z19" s="99">
        <f>N19</f>
        <v>7</v>
      </c>
      <c r="AA19" s="99">
        <f t="shared" si="1"/>
        <v>1050</v>
      </c>
      <c r="AC19" s="99">
        <f t="shared" ref="AC19" si="23">AB19*$S19</f>
        <v>0</v>
      </c>
      <c r="AE19" s="99">
        <f t="shared" si="22"/>
        <v>0</v>
      </c>
      <c r="AF19" s="99">
        <f t="shared" si="6"/>
        <v>0</v>
      </c>
    </row>
    <row r="20" spans="1:32" x14ac:dyDescent="0.25">
      <c r="A20" s="100">
        <v>19</v>
      </c>
      <c r="B20" s="101" t="s">
        <v>20</v>
      </c>
      <c r="C20" s="106">
        <v>11</v>
      </c>
      <c r="D20" s="106">
        <v>11</v>
      </c>
      <c r="E20" s="106">
        <v>8</v>
      </c>
      <c r="F20" s="106">
        <v>11</v>
      </c>
      <c r="G20" s="106">
        <v>11</v>
      </c>
      <c r="H20" s="106">
        <v>11</v>
      </c>
      <c r="I20" s="106">
        <v>11</v>
      </c>
      <c r="J20" s="106">
        <v>5</v>
      </c>
      <c r="K20" s="101"/>
      <c r="L20" s="101"/>
      <c r="M20" s="101"/>
      <c r="N20" s="110">
        <v>7</v>
      </c>
      <c r="O20" s="101"/>
      <c r="P20" s="105">
        <v>10</v>
      </c>
      <c r="Q20" s="105">
        <v>10</v>
      </c>
      <c r="R20" s="99">
        <f t="shared" si="0"/>
        <v>106</v>
      </c>
      <c r="S20" s="99">
        <v>150</v>
      </c>
      <c r="T20" s="99">
        <f>C20+D20+E20+F20+G20+H20+I20+J20</f>
        <v>79</v>
      </c>
      <c r="U20" s="99">
        <f t="shared" si="3"/>
        <v>11850</v>
      </c>
      <c r="W20" s="99">
        <f t="shared" si="4"/>
        <v>0</v>
      </c>
      <c r="X20" s="99">
        <f>P20+Q20</f>
        <v>20</v>
      </c>
      <c r="Y20" s="99">
        <f t="shared" si="1"/>
        <v>3000</v>
      </c>
      <c r="AA20" s="99">
        <f t="shared" si="1"/>
        <v>0</v>
      </c>
      <c r="AC20" s="99">
        <f t="shared" ref="AC20" si="24">AB20*$S20</f>
        <v>0</v>
      </c>
      <c r="AD20" s="99">
        <f>N20</f>
        <v>7</v>
      </c>
      <c r="AE20" s="99">
        <f t="shared" si="22"/>
        <v>1050</v>
      </c>
      <c r="AF20" s="99">
        <f t="shared" si="6"/>
        <v>0</v>
      </c>
    </row>
    <row r="21" spans="1:32" x14ac:dyDescent="0.25">
      <c r="A21" s="100">
        <v>20</v>
      </c>
      <c r="B21" s="101" t="s">
        <v>77</v>
      </c>
      <c r="C21" s="106">
        <v>11</v>
      </c>
      <c r="D21" s="106">
        <v>11</v>
      </c>
      <c r="E21" s="106">
        <v>8</v>
      </c>
      <c r="F21" s="106">
        <v>11</v>
      </c>
      <c r="G21" s="106">
        <v>11</v>
      </c>
      <c r="H21" s="106">
        <v>11</v>
      </c>
      <c r="I21" s="106">
        <v>11</v>
      </c>
      <c r="J21" s="106">
        <v>5</v>
      </c>
      <c r="K21" s="101"/>
      <c r="L21" s="101"/>
      <c r="M21" s="101"/>
      <c r="N21" s="110">
        <v>7</v>
      </c>
      <c r="O21" s="101"/>
      <c r="P21" s="105">
        <v>10</v>
      </c>
      <c r="Q21" s="105">
        <v>10</v>
      </c>
      <c r="R21" s="99">
        <f t="shared" si="0"/>
        <v>106</v>
      </c>
      <c r="S21" s="99">
        <v>150</v>
      </c>
      <c r="T21" s="99">
        <f>C21+D21+E21+F21+G21+H21+I21+J21</f>
        <v>79</v>
      </c>
      <c r="U21" s="99">
        <f t="shared" si="3"/>
        <v>11850</v>
      </c>
      <c r="W21" s="99">
        <f t="shared" si="4"/>
        <v>0</v>
      </c>
      <c r="X21" s="99">
        <f>P21+Q21</f>
        <v>20</v>
      </c>
      <c r="Y21" s="99">
        <f t="shared" si="1"/>
        <v>3000</v>
      </c>
      <c r="AA21" s="99">
        <f t="shared" si="1"/>
        <v>0</v>
      </c>
      <c r="AC21" s="99">
        <f t="shared" ref="AC21" si="25">AB21*$S21</f>
        <v>0</v>
      </c>
      <c r="AD21" s="99">
        <f>N21</f>
        <v>7</v>
      </c>
      <c r="AE21" s="99">
        <f t="shared" si="22"/>
        <v>1050</v>
      </c>
      <c r="AF21" s="99">
        <f t="shared" si="6"/>
        <v>0</v>
      </c>
    </row>
    <row r="22" spans="1:32" x14ac:dyDescent="0.25">
      <c r="A22" s="100">
        <v>21</v>
      </c>
      <c r="B22" s="101" t="s">
        <v>21</v>
      </c>
      <c r="C22" s="106">
        <v>11</v>
      </c>
      <c r="D22" s="106">
        <v>11</v>
      </c>
      <c r="E22" s="101"/>
      <c r="F22" s="106">
        <v>11</v>
      </c>
      <c r="G22" s="106">
        <v>11</v>
      </c>
      <c r="H22" s="101"/>
      <c r="I22" s="101"/>
      <c r="J22" s="101"/>
      <c r="K22" s="101"/>
      <c r="L22" s="101"/>
      <c r="M22" s="106">
        <v>9</v>
      </c>
      <c r="N22" s="106">
        <v>7</v>
      </c>
      <c r="O22" s="106">
        <v>11</v>
      </c>
      <c r="P22" s="101"/>
      <c r="Q22" s="101"/>
      <c r="R22" s="99">
        <f t="shared" si="0"/>
        <v>71</v>
      </c>
      <c r="S22" s="99">
        <v>130</v>
      </c>
      <c r="T22" s="99">
        <f>C22+D22+E22+F22+G22+M22+N22+O22</f>
        <v>71</v>
      </c>
      <c r="U22" s="99">
        <f t="shared" si="3"/>
        <v>9230</v>
      </c>
      <c r="W22" s="99">
        <f t="shared" si="4"/>
        <v>0</v>
      </c>
      <c r="Y22" s="99">
        <f t="shared" si="1"/>
        <v>0</v>
      </c>
      <c r="AA22" s="99">
        <f t="shared" si="1"/>
        <v>0</v>
      </c>
      <c r="AC22" s="99">
        <f t="shared" ref="AC22" si="26">AB22*$S22</f>
        <v>0</v>
      </c>
      <c r="AE22" s="99">
        <f t="shared" si="22"/>
        <v>0</v>
      </c>
      <c r="AF22" s="99">
        <f t="shared" si="6"/>
        <v>0</v>
      </c>
    </row>
    <row r="23" spans="1:32" x14ac:dyDescent="0.25">
      <c r="A23" s="100">
        <v>22</v>
      </c>
      <c r="B23" s="101" t="s">
        <v>43</v>
      </c>
      <c r="C23" s="106">
        <v>11</v>
      </c>
      <c r="D23" s="106">
        <v>11</v>
      </c>
      <c r="E23" s="101"/>
      <c r="F23" s="106">
        <v>11</v>
      </c>
      <c r="G23" s="106">
        <v>11</v>
      </c>
      <c r="H23" s="101"/>
      <c r="I23" s="101"/>
      <c r="J23" s="101"/>
      <c r="K23" s="101"/>
      <c r="L23" s="101"/>
      <c r="M23" s="106">
        <v>9</v>
      </c>
      <c r="N23" s="106">
        <v>7</v>
      </c>
      <c r="O23" s="106">
        <v>11</v>
      </c>
      <c r="P23" s="101"/>
      <c r="Q23" s="101"/>
      <c r="R23" s="99">
        <f t="shared" si="0"/>
        <v>71</v>
      </c>
      <c r="S23" s="99">
        <v>130</v>
      </c>
      <c r="T23" s="99">
        <f>C23+D23+E23+F23+G23+M23+N23+O23</f>
        <v>71</v>
      </c>
      <c r="U23" s="99">
        <f t="shared" si="3"/>
        <v>9230</v>
      </c>
      <c r="W23" s="99">
        <f t="shared" si="4"/>
        <v>0</v>
      </c>
      <c r="Y23" s="99">
        <f t="shared" si="1"/>
        <v>0</v>
      </c>
      <c r="AA23" s="99">
        <f t="shared" si="1"/>
        <v>0</v>
      </c>
      <c r="AC23" s="99">
        <f t="shared" ref="AC23" si="27">AB23*$S23</f>
        <v>0</v>
      </c>
      <c r="AE23" s="99">
        <f t="shared" si="22"/>
        <v>0</v>
      </c>
      <c r="AF23" s="99">
        <f t="shared" si="6"/>
        <v>0</v>
      </c>
    </row>
    <row r="24" spans="1:32" x14ac:dyDescent="0.25">
      <c r="A24" s="100">
        <v>23</v>
      </c>
      <c r="B24" s="101" t="s">
        <v>78</v>
      </c>
      <c r="C24" s="103">
        <v>11</v>
      </c>
      <c r="D24" s="103">
        <v>11</v>
      </c>
      <c r="E24" s="103">
        <v>8</v>
      </c>
      <c r="F24" s="103">
        <v>11</v>
      </c>
      <c r="G24" s="103">
        <v>11</v>
      </c>
      <c r="H24" s="103">
        <v>11</v>
      </c>
      <c r="I24" s="103">
        <v>11</v>
      </c>
      <c r="J24" s="101"/>
      <c r="K24" s="101"/>
      <c r="L24" s="101"/>
      <c r="M24" s="101"/>
      <c r="N24" s="101"/>
      <c r="O24" s="101"/>
      <c r="P24" s="101"/>
      <c r="Q24" s="101"/>
      <c r="R24" s="99">
        <f t="shared" si="0"/>
        <v>74</v>
      </c>
      <c r="S24" s="99">
        <v>150</v>
      </c>
      <c r="U24" s="99">
        <f t="shared" si="3"/>
        <v>0</v>
      </c>
      <c r="V24" s="99">
        <f>C24+D24+E24+F24+G24+H24+I24</f>
        <v>74</v>
      </c>
      <c r="W24" s="99">
        <f t="shared" si="4"/>
        <v>11100</v>
      </c>
      <c r="Y24" s="99">
        <f t="shared" si="1"/>
        <v>0</v>
      </c>
      <c r="AA24" s="99">
        <f t="shared" si="1"/>
        <v>0</v>
      </c>
      <c r="AC24" s="99">
        <f t="shared" ref="AC24" si="28">AB24*$S24</f>
        <v>0</v>
      </c>
      <c r="AE24" s="99">
        <f t="shared" si="22"/>
        <v>0</v>
      </c>
      <c r="AF24" s="99">
        <f t="shared" si="6"/>
        <v>0</v>
      </c>
    </row>
    <row r="25" spans="1:32" x14ac:dyDescent="0.25">
      <c r="A25" s="100">
        <v>24</v>
      </c>
      <c r="B25" s="101" t="s">
        <v>45</v>
      </c>
      <c r="C25" s="110">
        <v>11</v>
      </c>
      <c r="D25" s="110">
        <v>11</v>
      </c>
      <c r="E25" s="106">
        <v>8</v>
      </c>
      <c r="F25" s="106">
        <v>11</v>
      </c>
      <c r="G25" s="106">
        <v>11</v>
      </c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99">
        <f t="shared" si="0"/>
        <v>52</v>
      </c>
      <c r="S25" s="99">
        <v>130</v>
      </c>
      <c r="T25" s="99">
        <f>F25+G25</f>
        <v>22</v>
      </c>
      <c r="U25" s="99">
        <f t="shared" si="3"/>
        <v>2860</v>
      </c>
      <c r="W25" s="99">
        <f t="shared" si="4"/>
        <v>0</v>
      </c>
      <c r="Y25" s="99">
        <f t="shared" si="1"/>
        <v>0</v>
      </c>
      <c r="AA25" s="99">
        <f t="shared" si="1"/>
        <v>0</v>
      </c>
      <c r="AC25" s="99">
        <f t="shared" ref="AC25" si="29">AB25*$S25</f>
        <v>0</v>
      </c>
      <c r="AD25" s="99">
        <f>C25+D25+E25</f>
        <v>30</v>
      </c>
      <c r="AE25" s="99">
        <f t="shared" si="22"/>
        <v>3900</v>
      </c>
      <c r="AF25" s="99">
        <f t="shared" si="6"/>
        <v>0</v>
      </c>
    </row>
    <row r="26" spans="1:32" x14ac:dyDescent="0.25">
      <c r="A26" s="100">
        <v>25</v>
      </c>
      <c r="B26" s="101" t="s">
        <v>87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U26" s="99">
        <f t="shared" si="3"/>
        <v>0</v>
      </c>
      <c r="W26" s="99">
        <f t="shared" si="4"/>
        <v>0</v>
      </c>
      <c r="Y26" s="99">
        <f t="shared" si="1"/>
        <v>0</v>
      </c>
      <c r="AA26" s="99">
        <f t="shared" si="1"/>
        <v>0</v>
      </c>
      <c r="AC26" s="99">
        <f t="shared" ref="AC26" si="30">AB26*$S26</f>
        <v>0</v>
      </c>
      <c r="AE26" s="99">
        <f t="shared" si="22"/>
        <v>0</v>
      </c>
    </row>
    <row r="27" spans="1:32" x14ac:dyDescent="0.25">
      <c r="A27" s="98"/>
      <c r="B27" s="112"/>
      <c r="C27" s="112"/>
      <c r="D27" s="98"/>
      <c r="E27" s="124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9">
        <f>SUM(R2:R25)</f>
        <v>2105</v>
      </c>
      <c r="T27" s="99">
        <f>SUM(T2:T25)</f>
        <v>824</v>
      </c>
      <c r="U27" s="99">
        <f>SUM(U2:U26)</f>
        <v>113900</v>
      </c>
      <c r="V27" s="99">
        <f>SUM(V2:V25)</f>
        <v>806</v>
      </c>
      <c r="W27" s="99">
        <f>SUM(W2:W26)</f>
        <v>115160</v>
      </c>
      <c r="X27" s="99">
        <f>SUM(X2:X25)</f>
        <v>151</v>
      </c>
      <c r="Y27" s="99">
        <f>SUM(Y2:Y26)</f>
        <v>21930</v>
      </c>
      <c r="Z27" s="99">
        <f>SUM(Z2:Z25)</f>
        <v>116</v>
      </c>
      <c r="AA27" s="99">
        <f>SUM(AA2:AA26)</f>
        <v>16040</v>
      </c>
      <c r="AB27" s="99">
        <f>SUM(AB2:AB25)</f>
        <v>33</v>
      </c>
      <c r="AC27" s="99">
        <f>SUM(AC2:AC26)</f>
        <v>4630</v>
      </c>
      <c r="AD27" s="99">
        <f>SUM(AD2:AD25)</f>
        <v>58</v>
      </c>
      <c r="AE27" s="99">
        <f>SUM(AE2:AE26)</f>
        <v>8100</v>
      </c>
      <c r="AF27" s="99">
        <f t="shared" si="6"/>
        <v>-117</v>
      </c>
    </row>
    <row r="28" spans="1:32" x14ac:dyDescent="0.25">
      <c r="A28" s="113"/>
      <c r="B28" s="114" t="s">
        <v>88</v>
      </c>
      <c r="C28" s="114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</row>
    <row r="29" spans="1:32" x14ac:dyDescent="0.25">
      <c r="A29" s="113"/>
      <c r="B29" s="115" t="s">
        <v>89</v>
      </c>
      <c r="C29" s="114"/>
      <c r="D29" s="113"/>
      <c r="E29" s="113"/>
      <c r="F29" s="113"/>
      <c r="G29" s="116"/>
      <c r="H29" s="113"/>
      <c r="I29" s="113"/>
      <c r="J29" s="113"/>
      <c r="K29" s="113"/>
      <c r="L29" s="113"/>
      <c r="M29" s="113"/>
      <c r="N29" s="113"/>
      <c r="O29" s="113"/>
      <c r="P29" s="113"/>
      <c r="Q29" s="113"/>
    </row>
    <row r="30" spans="1:32" x14ac:dyDescent="0.25">
      <c r="A30" s="113"/>
      <c r="B30" s="117" t="s">
        <v>90</v>
      </c>
      <c r="C30" s="114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</row>
    <row r="31" spans="1:32" x14ac:dyDescent="0.25">
      <c r="B31" s="118" t="s">
        <v>91</v>
      </c>
      <c r="C31" s="114"/>
    </row>
    <row r="32" spans="1:32" x14ac:dyDescent="0.25">
      <c r="B32" s="119" t="s">
        <v>92</v>
      </c>
      <c r="C32" s="114"/>
    </row>
    <row r="33" spans="2:3" x14ac:dyDescent="0.25">
      <c r="B33" s="120" t="s">
        <v>93</v>
      </c>
      <c r="C33" s="114"/>
    </row>
    <row r="34" spans="2:3" x14ac:dyDescent="0.25">
      <c r="B34" s="121" t="s">
        <v>94</v>
      </c>
      <c r="C34" s="114"/>
    </row>
  </sheetData>
  <autoFilter ref="A1:Q27" xr:uid="{00000000-0009-0000-0000-00000C000000}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8"/>
  <dimension ref="A1:AI29"/>
  <sheetViews>
    <sheetView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12.5703125" defaultRowHeight="15" x14ac:dyDescent="0.25"/>
  <cols>
    <col min="1" max="1" width="4.5703125" style="2" customWidth="1"/>
    <col min="2" max="2" width="41.5703125" style="1" customWidth="1"/>
    <col min="3" max="16" width="3.5703125" style="3" customWidth="1"/>
    <col min="17" max="17" width="13.140625" style="3" customWidth="1"/>
    <col min="18" max="18" width="10.5703125" style="3" customWidth="1"/>
    <col min="19" max="20" width="16.140625" style="4" customWidth="1"/>
    <col min="21" max="22" width="13.140625" style="4" customWidth="1"/>
    <col min="23" max="26" width="14.85546875" style="4" customWidth="1"/>
    <col min="27" max="28" width="13" style="4" customWidth="1"/>
    <col min="29" max="30" width="13.42578125" style="4" customWidth="1"/>
    <col min="31" max="31" width="12.5703125" style="4"/>
    <col min="32" max="32" width="12.5703125" style="1"/>
    <col min="33" max="33" width="4.5703125" style="1" customWidth="1"/>
    <col min="34" max="34" width="36.140625" style="1" bestFit="1" customWidth="1"/>
    <col min="35" max="35" width="6.140625" style="1" customWidth="1"/>
    <col min="36" max="16384" width="12.5703125" style="1"/>
  </cols>
  <sheetData>
    <row r="1" spans="1:35" ht="38.450000000000003" customHeight="1" x14ac:dyDescent="0.25">
      <c r="A1" s="11" t="s">
        <v>1</v>
      </c>
      <c r="B1" s="11" t="s">
        <v>6</v>
      </c>
      <c r="C1" s="11" t="s">
        <v>46</v>
      </c>
      <c r="D1" s="11" t="s">
        <v>47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58</v>
      </c>
      <c r="P1" s="11" t="s">
        <v>59</v>
      </c>
      <c r="Q1" s="12" t="s">
        <v>2</v>
      </c>
      <c r="R1" s="75" t="s">
        <v>81</v>
      </c>
      <c r="S1" s="71" t="s">
        <v>69</v>
      </c>
      <c r="T1" s="71" t="str">
        <f>S1</f>
        <v>Піддони</v>
      </c>
      <c r="U1" s="16" t="s">
        <v>70</v>
      </c>
      <c r="V1" s="16" t="str">
        <f>U1</f>
        <v>Кутики монтаж</v>
      </c>
      <c r="W1" s="19" t="s">
        <v>71</v>
      </c>
      <c r="X1" s="19" t="str">
        <f>W1</f>
        <v>Огородження</v>
      </c>
      <c r="Y1" s="24" t="s">
        <v>74</v>
      </c>
      <c r="Z1" s="24" t="str">
        <f>Y1</f>
        <v>Битовка</v>
      </c>
      <c r="AA1" s="14" t="s">
        <v>72</v>
      </c>
      <c r="AB1" s="14" t="str">
        <f>AA1</f>
        <v>Ремонт кран балки</v>
      </c>
      <c r="AC1" s="14" t="s">
        <v>73</v>
      </c>
      <c r="AD1" s="14" t="str">
        <f>AC1</f>
        <v>ИТР</v>
      </c>
      <c r="AE1" s="22" t="s">
        <v>68</v>
      </c>
      <c r="AG1" s="1" t="s">
        <v>82</v>
      </c>
    </row>
    <row r="2" spans="1:35" x14ac:dyDescent="0.25">
      <c r="A2" s="8">
        <v>1</v>
      </c>
      <c r="B2" s="9" t="s">
        <v>41</v>
      </c>
      <c r="C2" s="10" t="s">
        <v>26</v>
      </c>
      <c r="D2" s="10" t="s">
        <v>25</v>
      </c>
      <c r="E2" s="10"/>
      <c r="F2" s="10" t="s">
        <v>26</v>
      </c>
      <c r="G2" s="10"/>
      <c r="H2" s="10" t="s">
        <v>26</v>
      </c>
      <c r="I2" s="10" t="s">
        <v>26</v>
      </c>
      <c r="J2" s="10" t="s">
        <v>26</v>
      </c>
      <c r="K2" s="15" t="s">
        <v>26</v>
      </c>
      <c r="L2" s="10"/>
      <c r="M2" s="10"/>
      <c r="N2" s="15" t="s">
        <v>26</v>
      </c>
      <c r="O2" s="15" t="s">
        <v>26</v>
      </c>
      <c r="P2" s="15">
        <v>11</v>
      </c>
      <c r="Q2" s="13">
        <f>C2+D2+E2+F2+G2+H2+I2+J2+O2+N2+M2+L2+K2+P2</f>
        <v>108</v>
      </c>
      <c r="R2" s="76" t="e">
        <f>INDEX(#REF!,MATCH(B2,#REF!,0))</f>
        <v>#REF!</v>
      </c>
      <c r="S2" s="72">
        <f>N2+O2+P2+K2</f>
        <v>44</v>
      </c>
      <c r="T2" s="72" t="e">
        <f>S2*R2</f>
        <v>#REF!</v>
      </c>
      <c r="U2" s="17">
        <f>C2+D2+F2+H2+I2+J2</f>
        <v>64</v>
      </c>
      <c r="V2" s="17" t="e">
        <f>U2*R2</f>
        <v>#REF!</v>
      </c>
      <c r="W2" s="20"/>
      <c r="X2" s="20" t="e">
        <f>W2*R2</f>
        <v>#REF!</v>
      </c>
      <c r="Y2" s="25"/>
      <c r="Z2" s="25" t="e">
        <f>Y2*R2</f>
        <v>#REF!</v>
      </c>
      <c r="AA2" s="5"/>
      <c r="AB2" s="5" t="e">
        <f>AA2*R2</f>
        <v>#REF!</v>
      </c>
      <c r="AC2" s="5"/>
      <c r="AD2" s="5" t="e">
        <f>AC2*R2</f>
        <v>#REF!</v>
      </c>
      <c r="AE2" s="35"/>
      <c r="AF2" s="7" t="e">
        <f>Q2-SUM(S2:AC2)</f>
        <v>#REF!</v>
      </c>
    </row>
    <row r="3" spans="1:35" x14ac:dyDescent="0.25">
      <c r="A3" s="8">
        <v>2</v>
      </c>
      <c r="B3" s="9" t="s">
        <v>36</v>
      </c>
      <c r="C3" s="10" t="s">
        <v>26</v>
      </c>
      <c r="D3" s="10" t="s">
        <v>25</v>
      </c>
      <c r="E3" s="10"/>
      <c r="F3" s="10" t="s">
        <v>26</v>
      </c>
      <c r="G3" s="10" t="s">
        <v>26</v>
      </c>
      <c r="H3" s="10" t="s">
        <v>26</v>
      </c>
      <c r="I3" s="10" t="s">
        <v>26</v>
      </c>
      <c r="J3" s="10" t="s">
        <v>26</v>
      </c>
      <c r="K3" s="10" t="s">
        <v>26</v>
      </c>
      <c r="L3" s="10"/>
      <c r="M3" s="10" t="s">
        <v>26</v>
      </c>
      <c r="N3" s="10" t="s">
        <v>26</v>
      </c>
      <c r="O3" s="10">
        <v>13</v>
      </c>
      <c r="P3" s="10">
        <v>12</v>
      </c>
      <c r="Q3" s="13">
        <f t="shared" ref="Q3:Q25" si="0">C3+D3+E3+F3+G3+H3+I3+J3+O3+N3+M3+L3+K3+P3</f>
        <v>133</v>
      </c>
      <c r="R3" s="76" t="e">
        <f>INDEX(#REF!,MATCH(B3,#REF!,0))</f>
        <v>#REF!</v>
      </c>
      <c r="S3" s="72"/>
      <c r="T3" s="72" t="e">
        <f t="shared" ref="T3:T25" si="1">S3*R3</f>
        <v>#REF!</v>
      </c>
      <c r="U3" s="17"/>
      <c r="V3" s="17" t="e">
        <f t="shared" ref="V3:V25" si="2">U3*R3</f>
        <v>#REF!</v>
      </c>
      <c r="W3" s="20"/>
      <c r="X3" s="20" t="e">
        <f t="shared" ref="X3:X25" si="3">W3*R3</f>
        <v>#REF!</v>
      </c>
      <c r="Y3" s="25"/>
      <c r="Z3" s="25" t="e">
        <f t="shared" ref="Z3:Z25" si="4">Y3*R3</f>
        <v>#REF!</v>
      </c>
      <c r="AA3" s="5"/>
      <c r="AB3" s="5" t="e">
        <f t="shared" ref="AB3:AB25" si="5">AA3*R3</f>
        <v>#REF!</v>
      </c>
      <c r="AC3" s="5">
        <f>C3+D3+F3+G3+H3+I3+J3+K3+M3+N3+O3+P3</f>
        <v>133</v>
      </c>
      <c r="AD3" s="5" t="e">
        <f>AC3*R3</f>
        <v>#REF!</v>
      </c>
      <c r="AE3" s="35"/>
      <c r="AF3" s="7" t="e">
        <f t="shared" ref="AF3" si="6">Q3-SUM(S3:AC3)</f>
        <v>#REF!</v>
      </c>
    </row>
    <row r="4" spans="1:35" x14ac:dyDescent="0.25">
      <c r="A4" s="8">
        <v>3</v>
      </c>
      <c r="B4" s="9" t="s">
        <v>3</v>
      </c>
      <c r="C4" s="18" t="s">
        <v>26</v>
      </c>
      <c r="D4" s="34"/>
      <c r="E4" s="34"/>
      <c r="F4" s="18" t="s">
        <v>26</v>
      </c>
      <c r="G4" s="23">
        <v>11</v>
      </c>
      <c r="H4" s="18" t="s">
        <v>26</v>
      </c>
      <c r="I4" s="23">
        <v>11</v>
      </c>
      <c r="J4" s="23">
        <v>11</v>
      </c>
      <c r="K4" s="10">
        <v>11</v>
      </c>
      <c r="L4" s="34"/>
      <c r="M4" s="15" t="s">
        <v>26</v>
      </c>
      <c r="N4" s="15" t="s">
        <v>26</v>
      </c>
      <c r="O4" s="15" t="s">
        <v>26</v>
      </c>
      <c r="P4" s="15">
        <v>11</v>
      </c>
      <c r="Q4" s="13">
        <f t="shared" si="0"/>
        <v>121</v>
      </c>
      <c r="R4" s="76" t="e">
        <f>INDEX(#REF!,MATCH(B4,#REF!,0))</f>
        <v>#REF!</v>
      </c>
      <c r="S4" s="72">
        <f>M4+N4+O4+P4</f>
        <v>44</v>
      </c>
      <c r="T4" s="72" t="e">
        <f t="shared" si="1"/>
        <v>#REF!</v>
      </c>
      <c r="U4" s="17">
        <f>C4+F4+H4+L4+K4</f>
        <v>44</v>
      </c>
      <c r="V4" s="17" t="e">
        <f t="shared" si="2"/>
        <v>#REF!</v>
      </c>
      <c r="W4" s="20"/>
      <c r="X4" s="20" t="e">
        <f t="shared" si="3"/>
        <v>#REF!</v>
      </c>
      <c r="Y4" s="25"/>
      <c r="Z4" s="25" t="e">
        <f t="shared" si="4"/>
        <v>#REF!</v>
      </c>
      <c r="AA4" s="5"/>
      <c r="AB4" s="5" t="e">
        <f t="shared" si="5"/>
        <v>#REF!</v>
      </c>
      <c r="AC4" s="5"/>
      <c r="AD4" s="5" t="e">
        <f t="shared" ref="AD4:AD25" si="7">AC4*R4</f>
        <v>#REF!</v>
      </c>
      <c r="AE4" s="35">
        <f>G4+I4+J4</f>
        <v>33</v>
      </c>
      <c r="AF4" s="7" t="e">
        <f>Q4-SUM(S4:AC4)-AE4</f>
        <v>#REF!</v>
      </c>
      <c r="AG4" s="1">
        <v>33</v>
      </c>
      <c r="AH4" s="50" t="s">
        <v>3</v>
      </c>
      <c r="AI4" s="1">
        <f>AG4-AE4</f>
        <v>0</v>
      </c>
    </row>
    <row r="5" spans="1:35" x14ac:dyDescent="0.25">
      <c r="A5" s="8">
        <v>4</v>
      </c>
      <c r="B5" s="9" t="s">
        <v>27</v>
      </c>
      <c r="C5" s="23">
        <v>11</v>
      </c>
      <c r="D5" s="34"/>
      <c r="E5" s="34"/>
      <c r="F5" s="21" t="s">
        <v>26</v>
      </c>
      <c r="G5" s="21" t="s">
        <v>26</v>
      </c>
      <c r="H5" s="21" t="s">
        <v>26</v>
      </c>
      <c r="I5" s="21" t="s">
        <v>26</v>
      </c>
      <c r="J5" s="21" t="s">
        <v>26</v>
      </c>
      <c r="K5" s="21" t="s">
        <v>26</v>
      </c>
      <c r="L5" s="10"/>
      <c r="M5" s="15" t="s">
        <v>26</v>
      </c>
      <c r="N5" s="15" t="s">
        <v>26</v>
      </c>
      <c r="O5" s="15" t="s">
        <v>26</v>
      </c>
      <c r="P5" s="15">
        <v>11</v>
      </c>
      <c r="Q5" s="13">
        <f t="shared" si="0"/>
        <v>121</v>
      </c>
      <c r="R5" s="76" t="e">
        <f>INDEX(#REF!,MATCH(B5,#REF!,0))</f>
        <v>#REF!</v>
      </c>
      <c r="S5" s="72">
        <f>M5+N5+O5+P5</f>
        <v>44</v>
      </c>
      <c r="T5" s="72" t="e">
        <f t="shared" si="1"/>
        <v>#REF!</v>
      </c>
      <c r="U5" s="17"/>
      <c r="V5" s="17" t="e">
        <f t="shared" si="2"/>
        <v>#REF!</v>
      </c>
      <c r="W5" s="20">
        <f>F5+G5+H5+I5+J5+K5</f>
        <v>66</v>
      </c>
      <c r="X5" s="20" t="e">
        <f t="shared" si="3"/>
        <v>#REF!</v>
      </c>
      <c r="Y5" s="25"/>
      <c r="Z5" s="25" t="e">
        <f t="shared" si="4"/>
        <v>#REF!</v>
      </c>
      <c r="AA5" s="5"/>
      <c r="AB5" s="5" t="e">
        <f t="shared" si="5"/>
        <v>#REF!</v>
      </c>
      <c r="AC5" s="5"/>
      <c r="AD5" s="5" t="e">
        <f t="shared" si="7"/>
        <v>#REF!</v>
      </c>
      <c r="AE5" s="35">
        <f>C5</f>
        <v>11</v>
      </c>
      <c r="AF5" s="49" t="e">
        <f t="shared" ref="AF5:AF25" si="8">Q5-SUM(S5:AC5)-AE5</f>
        <v>#REF!</v>
      </c>
      <c r="AG5" s="1">
        <v>11</v>
      </c>
      <c r="AH5" s="50" t="s">
        <v>10</v>
      </c>
      <c r="AI5" s="1">
        <f t="shared" ref="AI5:AI24" si="9">AG5-AE5</f>
        <v>0</v>
      </c>
    </row>
    <row r="6" spans="1:35" x14ac:dyDescent="0.25">
      <c r="A6" s="8">
        <v>5</v>
      </c>
      <c r="B6" s="9" t="s">
        <v>28</v>
      </c>
      <c r="C6" s="23">
        <v>11</v>
      </c>
      <c r="D6" s="34"/>
      <c r="E6" s="34"/>
      <c r="F6" s="23">
        <v>11</v>
      </c>
      <c r="G6" s="34"/>
      <c r="H6" s="23">
        <v>11</v>
      </c>
      <c r="I6" s="23">
        <v>11</v>
      </c>
      <c r="J6" s="23">
        <v>11</v>
      </c>
      <c r="K6" s="10"/>
      <c r="L6" s="10"/>
      <c r="M6" s="15" t="s">
        <v>26</v>
      </c>
      <c r="N6" s="15" t="s">
        <v>26</v>
      </c>
      <c r="O6" s="15" t="s">
        <v>26</v>
      </c>
      <c r="P6" s="15">
        <v>11</v>
      </c>
      <c r="Q6" s="13">
        <f t="shared" si="0"/>
        <v>99</v>
      </c>
      <c r="R6" s="76" t="e">
        <f>INDEX(#REF!,MATCH(B6,#REF!,0))</f>
        <v>#REF!</v>
      </c>
      <c r="S6" s="72">
        <f>M6+N6+O6+P6</f>
        <v>44</v>
      </c>
      <c r="T6" s="72" t="e">
        <f t="shared" si="1"/>
        <v>#REF!</v>
      </c>
      <c r="U6" s="17"/>
      <c r="V6" s="17" t="e">
        <f t="shared" si="2"/>
        <v>#REF!</v>
      </c>
      <c r="W6" s="20"/>
      <c r="X6" s="20" t="e">
        <f t="shared" si="3"/>
        <v>#REF!</v>
      </c>
      <c r="Y6" s="25"/>
      <c r="Z6" s="25" t="e">
        <f t="shared" si="4"/>
        <v>#REF!</v>
      </c>
      <c r="AA6" s="5"/>
      <c r="AB6" s="5" t="e">
        <f t="shared" si="5"/>
        <v>#REF!</v>
      </c>
      <c r="AC6" s="5"/>
      <c r="AD6" s="5" t="e">
        <f t="shared" si="7"/>
        <v>#REF!</v>
      </c>
      <c r="AE6" s="35">
        <f>C6+F6+H6+I6+J6</f>
        <v>55</v>
      </c>
      <c r="AF6" s="7" t="e">
        <f t="shared" si="8"/>
        <v>#REF!</v>
      </c>
      <c r="AG6" s="51">
        <v>55</v>
      </c>
      <c r="AH6" s="52" t="s">
        <v>11</v>
      </c>
      <c r="AI6" s="53">
        <f t="shared" si="9"/>
        <v>0</v>
      </c>
    </row>
    <row r="7" spans="1:35" x14ac:dyDescent="0.25">
      <c r="A7" s="8">
        <v>6</v>
      </c>
      <c r="B7" s="9" t="s">
        <v>29</v>
      </c>
      <c r="C7" s="34"/>
      <c r="D7" s="34"/>
      <c r="E7" s="34"/>
      <c r="F7" s="23">
        <v>11</v>
      </c>
      <c r="G7" s="23">
        <v>11</v>
      </c>
      <c r="H7" s="23">
        <v>11</v>
      </c>
      <c r="I7" s="23">
        <v>11</v>
      </c>
      <c r="J7" s="23">
        <v>11</v>
      </c>
      <c r="K7" s="10"/>
      <c r="L7" s="10"/>
      <c r="M7" s="15" t="s">
        <v>26</v>
      </c>
      <c r="N7" s="15" t="s">
        <v>26</v>
      </c>
      <c r="O7" s="15" t="s">
        <v>26</v>
      </c>
      <c r="P7" s="15">
        <v>11</v>
      </c>
      <c r="Q7" s="13">
        <f t="shared" si="0"/>
        <v>99</v>
      </c>
      <c r="R7" s="76" t="e">
        <f>INDEX(#REF!,MATCH(B7,#REF!,0))</f>
        <v>#REF!</v>
      </c>
      <c r="S7" s="72">
        <f>M7+N7+O7+P7</f>
        <v>44</v>
      </c>
      <c r="T7" s="72" t="e">
        <f t="shared" si="1"/>
        <v>#REF!</v>
      </c>
      <c r="U7" s="17"/>
      <c r="V7" s="17" t="e">
        <f t="shared" si="2"/>
        <v>#REF!</v>
      </c>
      <c r="W7" s="20"/>
      <c r="X7" s="20" t="e">
        <f t="shared" si="3"/>
        <v>#REF!</v>
      </c>
      <c r="Y7" s="25"/>
      <c r="Z7" s="25" t="e">
        <f t="shared" si="4"/>
        <v>#REF!</v>
      </c>
      <c r="AA7" s="5"/>
      <c r="AB7" s="5" t="e">
        <f t="shared" si="5"/>
        <v>#REF!</v>
      </c>
      <c r="AC7" s="5"/>
      <c r="AD7" s="5" t="e">
        <f t="shared" si="7"/>
        <v>#REF!</v>
      </c>
      <c r="AE7" s="35">
        <f>F7+G7+H7+I7+J7</f>
        <v>55</v>
      </c>
      <c r="AF7" s="7" t="e">
        <f t="shared" si="8"/>
        <v>#REF!</v>
      </c>
      <c r="AG7" s="51">
        <v>55</v>
      </c>
      <c r="AH7" s="52" t="s">
        <v>12</v>
      </c>
      <c r="AI7" s="53">
        <f t="shared" si="9"/>
        <v>0</v>
      </c>
    </row>
    <row r="8" spans="1:35" x14ac:dyDescent="0.25">
      <c r="A8" s="8">
        <v>7</v>
      </c>
      <c r="B8" s="9" t="s">
        <v>30</v>
      </c>
      <c r="C8" s="10" t="s">
        <v>26</v>
      </c>
      <c r="D8" s="10" t="s">
        <v>25</v>
      </c>
      <c r="E8" s="10"/>
      <c r="F8" s="10" t="s">
        <v>26</v>
      </c>
      <c r="G8" s="10"/>
      <c r="H8" s="10" t="s">
        <v>26</v>
      </c>
      <c r="I8" s="15" t="s">
        <v>26</v>
      </c>
      <c r="J8" s="15" t="s">
        <v>26</v>
      </c>
      <c r="K8" s="15" t="s">
        <v>26</v>
      </c>
      <c r="L8" s="15" t="s">
        <v>24</v>
      </c>
      <c r="M8" s="15" t="s">
        <v>26</v>
      </c>
      <c r="N8" s="15" t="s">
        <v>26</v>
      </c>
      <c r="O8" s="15" t="s">
        <v>26</v>
      </c>
      <c r="P8" s="15">
        <v>11</v>
      </c>
      <c r="Q8" s="13">
        <f t="shared" si="0"/>
        <v>127</v>
      </c>
      <c r="R8" s="76" t="e">
        <f>INDEX(#REF!,MATCH(B8,#REF!,0))</f>
        <v>#REF!</v>
      </c>
      <c r="S8" s="72">
        <f>M8+N8+O8+P8+L8+K8+J8+I8</f>
        <v>85</v>
      </c>
      <c r="T8" s="72" t="e">
        <f t="shared" si="1"/>
        <v>#REF!</v>
      </c>
      <c r="U8" s="17"/>
      <c r="V8" s="17" t="e">
        <f t="shared" si="2"/>
        <v>#REF!</v>
      </c>
      <c r="W8" s="20"/>
      <c r="X8" s="20" t="e">
        <f t="shared" si="3"/>
        <v>#REF!</v>
      </c>
      <c r="Y8" s="25"/>
      <c r="Z8" s="25" t="e">
        <f t="shared" si="4"/>
        <v>#REF!</v>
      </c>
      <c r="AA8" s="5">
        <f>C8+D8+F8+H8</f>
        <v>42</v>
      </c>
      <c r="AB8" s="5" t="e">
        <f t="shared" si="5"/>
        <v>#REF!</v>
      </c>
      <c r="AC8" s="5"/>
      <c r="AD8" s="5" t="e">
        <f t="shared" si="7"/>
        <v>#REF!</v>
      </c>
      <c r="AE8" s="35"/>
      <c r="AF8" s="7" t="e">
        <f t="shared" si="8"/>
        <v>#REF!</v>
      </c>
      <c r="AI8" s="48"/>
    </row>
    <row r="9" spans="1:35" x14ac:dyDescent="0.25">
      <c r="A9" s="8">
        <v>8</v>
      </c>
      <c r="B9" s="9" t="s">
        <v>31</v>
      </c>
      <c r="C9" s="10" t="s">
        <v>26</v>
      </c>
      <c r="D9" s="10" t="s">
        <v>25</v>
      </c>
      <c r="E9" s="10"/>
      <c r="F9" s="10" t="s">
        <v>26</v>
      </c>
      <c r="G9" s="10"/>
      <c r="H9" s="10" t="s">
        <v>26</v>
      </c>
      <c r="I9" s="10" t="s">
        <v>26</v>
      </c>
      <c r="J9" s="10" t="s">
        <v>26</v>
      </c>
      <c r="K9" s="10" t="s">
        <v>26</v>
      </c>
      <c r="L9" s="10"/>
      <c r="M9" s="10" t="s">
        <v>26</v>
      </c>
      <c r="N9" s="10" t="s">
        <v>26</v>
      </c>
      <c r="O9" s="10">
        <v>12</v>
      </c>
      <c r="P9" s="15">
        <v>11</v>
      </c>
      <c r="Q9" s="13">
        <f t="shared" si="0"/>
        <v>120</v>
      </c>
      <c r="R9" s="76" t="e">
        <f>INDEX(#REF!,MATCH(B9,#REF!,0))</f>
        <v>#REF!</v>
      </c>
      <c r="S9" s="72">
        <f>P9</f>
        <v>11</v>
      </c>
      <c r="T9" s="72" t="e">
        <f t="shared" si="1"/>
        <v>#REF!</v>
      </c>
      <c r="U9" s="17"/>
      <c r="V9" s="17" t="e">
        <f t="shared" si="2"/>
        <v>#REF!</v>
      </c>
      <c r="W9" s="20">
        <v>45</v>
      </c>
      <c r="X9" s="20" t="e">
        <f t="shared" si="3"/>
        <v>#REF!</v>
      </c>
      <c r="Y9" s="25">
        <f>C9+D9+F9+H9+I9+J9</f>
        <v>64</v>
      </c>
      <c r="Z9" s="25" t="e">
        <f t="shared" si="4"/>
        <v>#REF!</v>
      </c>
      <c r="AA9" s="5"/>
      <c r="AB9" s="5" t="e">
        <f t="shared" si="5"/>
        <v>#REF!</v>
      </c>
      <c r="AC9" s="5"/>
      <c r="AD9" s="5" t="e">
        <f t="shared" si="7"/>
        <v>#REF!</v>
      </c>
      <c r="AE9" s="35"/>
      <c r="AF9" s="7" t="e">
        <f t="shared" si="8"/>
        <v>#REF!</v>
      </c>
      <c r="AI9" s="48"/>
    </row>
    <row r="10" spans="1:35" x14ac:dyDescent="0.25">
      <c r="A10" s="8">
        <v>9</v>
      </c>
      <c r="B10" s="9" t="s">
        <v>32</v>
      </c>
      <c r="C10" s="10" t="s">
        <v>26</v>
      </c>
      <c r="D10" s="10" t="s">
        <v>25</v>
      </c>
      <c r="E10" s="10"/>
      <c r="F10" s="10" t="s">
        <v>26</v>
      </c>
      <c r="G10" s="10" t="s">
        <v>26</v>
      </c>
      <c r="H10" s="10" t="s">
        <v>26</v>
      </c>
      <c r="I10" s="15" t="s">
        <v>26</v>
      </c>
      <c r="J10" s="15" t="s">
        <v>26</v>
      </c>
      <c r="K10" s="15" t="s">
        <v>26</v>
      </c>
      <c r="L10" s="15" t="s">
        <v>24</v>
      </c>
      <c r="M10" s="15" t="s">
        <v>26</v>
      </c>
      <c r="N10" s="15" t="s">
        <v>26</v>
      </c>
      <c r="O10" s="15"/>
      <c r="P10" s="10"/>
      <c r="Q10" s="13">
        <f t="shared" si="0"/>
        <v>116</v>
      </c>
      <c r="R10" s="76" t="e">
        <f>INDEX(#REF!,MATCH(B10,#REF!,0))</f>
        <v>#REF!</v>
      </c>
      <c r="S10" s="72">
        <f>I10+J10+K10+L10+M10+N10+O10</f>
        <v>63</v>
      </c>
      <c r="T10" s="72" t="e">
        <f t="shared" si="1"/>
        <v>#REF!</v>
      </c>
      <c r="U10" s="17"/>
      <c r="V10" s="17" t="e">
        <f t="shared" si="2"/>
        <v>#REF!</v>
      </c>
      <c r="W10" s="20">
        <f>C10+D10+F10+G10+H10</f>
        <v>53</v>
      </c>
      <c r="X10" s="20" t="e">
        <f t="shared" si="3"/>
        <v>#REF!</v>
      </c>
      <c r="Y10" s="25"/>
      <c r="Z10" s="25" t="e">
        <f t="shared" si="4"/>
        <v>#REF!</v>
      </c>
      <c r="AA10" s="5"/>
      <c r="AB10" s="5" t="e">
        <f t="shared" si="5"/>
        <v>#REF!</v>
      </c>
      <c r="AC10" s="5"/>
      <c r="AD10" s="5" t="e">
        <f t="shared" si="7"/>
        <v>#REF!</v>
      </c>
      <c r="AE10" s="35"/>
      <c r="AF10" s="7" t="e">
        <f t="shared" si="8"/>
        <v>#REF!</v>
      </c>
      <c r="AI10" s="48"/>
    </row>
    <row r="11" spans="1:35" x14ac:dyDescent="0.25">
      <c r="A11" s="8">
        <v>10</v>
      </c>
      <c r="B11" s="9" t="s">
        <v>33</v>
      </c>
      <c r="C11" s="10" t="s">
        <v>26</v>
      </c>
      <c r="D11" s="10" t="s">
        <v>25</v>
      </c>
      <c r="E11" s="10"/>
      <c r="F11" s="10" t="s">
        <v>26</v>
      </c>
      <c r="G11" s="10" t="s">
        <v>26</v>
      </c>
      <c r="H11" s="10" t="s">
        <v>26</v>
      </c>
      <c r="I11" s="10" t="s">
        <v>26</v>
      </c>
      <c r="J11" s="10" t="s">
        <v>26</v>
      </c>
      <c r="K11" s="10" t="s">
        <v>26</v>
      </c>
      <c r="L11" s="10"/>
      <c r="M11" s="10" t="s">
        <v>26</v>
      </c>
      <c r="N11" s="10" t="s">
        <v>26</v>
      </c>
      <c r="O11" s="10" t="s">
        <v>26</v>
      </c>
      <c r="P11" s="10">
        <v>11</v>
      </c>
      <c r="Q11" s="13">
        <f t="shared" si="0"/>
        <v>130</v>
      </c>
      <c r="R11" s="76" t="e">
        <f>INDEX(#REF!,MATCH(B11,#REF!,0))</f>
        <v>#REF!</v>
      </c>
      <c r="S11" s="72">
        <f>N11+O11+P11</f>
        <v>33</v>
      </c>
      <c r="T11" s="72" t="e">
        <f t="shared" si="1"/>
        <v>#REF!</v>
      </c>
      <c r="U11" s="17">
        <f>C11+D11+F11+G11+H11+I11+J11+K11+M11</f>
        <v>97</v>
      </c>
      <c r="V11" s="17" t="e">
        <f t="shared" si="2"/>
        <v>#REF!</v>
      </c>
      <c r="W11" s="20"/>
      <c r="X11" s="20" t="e">
        <f t="shared" si="3"/>
        <v>#REF!</v>
      </c>
      <c r="Y11" s="25"/>
      <c r="Z11" s="25" t="e">
        <f t="shared" si="4"/>
        <v>#REF!</v>
      </c>
      <c r="AA11" s="5"/>
      <c r="AB11" s="5" t="e">
        <f t="shared" si="5"/>
        <v>#REF!</v>
      </c>
      <c r="AC11" s="5"/>
      <c r="AD11" s="5" t="e">
        <f t="shared" si="7"/>
        <v>#REF!</v>
      </c>
      <c r="AE11" s="35"/>
      <c r="AF11" s="7" t="e">
        <f t="shared" si="8"/>
        <v>#REF!</v>
      </c>
      <c r="AI11" s="48"/>
    </row>
    <row r="12" spans="1:35" x14ac:dyDescent="0.25">
      <c r="A12" s="8">
        <v>11</v>
      </c>
      <c r="B12" s="9" t="s">
        <v>34</v>
      </c>
      <c r="C12" s="18" t="s">
        <v>26</v>
      </c>
      <c r="D12" s="18" t="s">
        <v>25</v>
      </c>
      <c r="E12" s="18"/>
      <c r="F12" s="18" t="s">
        <v>26</v>
      </c>
      <c r="G12" s="18" t="s">
        <v>26</v>
      </c>
      <c r="H12" s="18" t="s">
        <v>26</v>
      </c>
      <c r="I12" s="10" t="s">
        <v>26</v>
      </c>
      <c r="J12" s="10" t="s">
        <v>26</v>
      </c>
      <c r="K12" s="10" t="s">
        <v>26</v>
      </c>
      <c r="L12" s="10"/>
      <c r="M12" s="10" t="s">
        <v>26</v>
      </c>
      <c r="N12" s="10" t="s">
        <v>26</v>
      </c>
      <c r="O12" s="10">
        <v>14</v>
      </c>
      <c r="P12" s="10">
        <v>11</v>
      </c>
      <c r="Q12" s="13">
        <f t="shared" si="0"/>
        <v>133</v>
      </c>
      <c r="R12" s="76" t="e">
        <f>INDEX(#REF!,MATCH(B12,#REF!,0))</f>
        <v>#REF!</v>
      </c>
      <c r="S12" s="72"/>
      <c r="T12" s="72" t="e">
        <f t="shared" si="1"/>
        <v>#REF!</v>
      </c>
      <c r="U12" s="17">
        <f>C12+D12+F12+G12+H12</f>
        <v>53</v>
      </c>
      <c r="V12" s="17" t="e">
        <f t="shared" si="2"/>
        <v>#REF!</v>
      </c>
      <c r="W12" s="20">
        <v>11</v>
      </c>
      <c r="X12" s="20" t="e">
        <f t="shared" si="3"/>
        <v>#REF!</v>
      </c>
      <c r="Y12" s="25">
        <f>I12+J12+K12+M12+N12+O12</f>
        <v>69</v>
      </c>
      <c r="Z12" s="25" t="e">
        <f t="shared" si="4"/>
        <v>#REF!</v>
      </c>
      <c r="AA12" s="5"/>
      <c r="AB12" s="5" t="e">
        <f t="shared" si="5"/>
        <v>#REF!</v>
      </c>
      <c r="AC12" s="5"/>
      <c r="AD12" s="5" t="e">
        <f t="shared" si="7"/>
        <v>#REF!</v>
      </c>
      <c r="AE12" s="35"/>
      <c r="AF12" s="7" t="e">
        <f t="shared" si="8"/>
        <v>#REF!</v>
      </c>
      <c r="AI12" s="48"/>
    </row>
    <row r="13" spans="1:35" x14ac:dyDescent="0.25">
      <c r="A13" s="8">
        <v>12</v>
      </c>
      <c r="B13" s="9" t="s">
        <v>4</v>
      </c>
      <c r="C13" s="23">
        <v>11</v>
      </c>
      <c r="D13" s="34"/>
      <c r="E13" s="34"/>
      <c r="F13" s="23">
        <v>11</v>
      </c>
      <c r="G13" s="23">
        <v>12</v>
      </c>
      <c r="H13" s="34"/>
      <c r="I13" s="34"/>
      <c r="J13" s="34"/>
      <c r="K13" s="34"/>
      <c r="L13" s="34"/>
      <c r="M13" s="34"/>
      <c r="N13" s="34"/>
      <c r="O13" s="34"/>
      <c r="P13" s="34"/>
      <c r="Q13" s="13">
        <f t="shared" si="0"/>
        <v>34</v>
      </c>
      <c r="R13" s="76" t="e">
        <f>INDEX(#REF!,MATCH(B13,#REF!,0))</f>
        <v>#REF!</v>
      </c>
      <c r="S13" s="72"/>
      <c r="T13" s="72" t="e">
        <f t="shared" si="1"/>
        <v>#REF!</v>
      </c>
      <c r="U13" s="17"/>
      <c r="V13" s="17" t="e">
        <f t="shared" si="2"/>
        <v>#REF!</v>
      </c>
      <c r="W13" s="20"/>
      <c r="X13" s="20" t="e">
        <f t="shared" si="3"/>
        <v>#REF!</v>
      </c>
      <c r="Y13" s="25"/>
      <c r="Z13" s="25" t="e">
        <f t="shared" si="4"/>
        <v>#REF!</v>
      </c>
      <c r="AA13" s="5"/>
      <c r="AB13" s="5" t="e">
        <f t="shared" si="5"/>
        <v>#REF!</v>
      </c>
      <c r="AC13" s="5"/>
      <c r="AD13" s="5" t="e">
        <f t="shared" si="7"/>
        <v>#REF!</v>
      </c>
      <c r="AE13" s="35">
        <f>C13+F13+G13</f>
        <v>34</v>
      </c>
      <c r="AF13" s="7" t="e">
        <f t="shared" si="8"/>
        <v>#REF!</v>
      </c>
      <c r="AG13" s="51">
        <v>34</v>
      </c>
      <c r="AH13" s="52" t="s">
        <v>4</v>
      </c>
      <c r="AI13" s="53">
        <f t="shared" si="9"/>
        <v>0</v>
      </c>
    </row>
    <row r="14" spans="1:35" x14ac:dyDescent="0.25">
      <c r="A14" s="8">
        <v>13</v>
      </c>
      <c r="B14" s="9" t="s">
        <v>5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5" t="s">
        <v>26</v>
      </c>
      <c r="O14" s="15" t="s">
        <v>26</v>
      </c>
      <c r="P14" s="15">
        <v>11</v>
      </c>
      <c r="Q14" s="13">
        <f t="shared" si="0"/>
        <v>33</v>
      </c>
      <c r="R14" s="76" t="e">
        <f>INDEX(#REF!,MATCH(B14,#REF!,0))</f>
        <v>#REF!</v>
      </c>
      <c r="S14" s="72">
        <f>N14+O14+P14</f>
        <v>33</v>
      </c>
      <c r="T14" s="72" t="e">
        <f t="shared" si="1"/>
        <v>#REF!</v>
      </c>
      <c r="U14" s="17"/>
      <c r="V14" s="17" t="e">
        <f t="shared" si="2"/>
        <v>#REF!</v>
      </c>
      <c r="W14" s="20"/>
      <c r="X14" s="20" t="e">
        <f t="shared" si="3"/>
        <v>#REF!</v>
      </c>
      <c r="Y14" s="25"/>
      <c r="Z14" s="25" t="e">
        <f t="shared" si="4"/>
        <v>#REF!</v>
      </c>
      <c r="AA14" s="5"/>
      <c r="AB14" s="5" t="e">
        <f t="shared" si="5"/>
        <v>#REF!</v>
      </c>
      <c r="AC14" s="5"/>
      <c r="AD14" s="5" t="e">
        <f t="shared" si="7"/>
        <v>#REF!</v>
      </c>
      <c r="AE14" s="35"/>
      <c r="AF14" s="7" t="e">
        <f t="shared" si="8"/>
        <v>#REF!</v>
      </c>
    </row>
    <row r="15" spans="1:35" x14ac:dyDescent="0.25">
      <c r="A15" s="8">
        <v>14</v>
      </c>
      <c r="B15" s="9" t="s">
        <v>35</v>
      </c>
      <c r="C15" s="23">
        <v>12</v>
      </c>
      <c r="D15" s="10"/>
      <c r="E15" s="10"/>
      <c r="F15" s="10" t="s">
        <v>26</v>
      </c>
      <c r="G15" s="10" t="s">
        <v>26</v>
      </c>
      <c r="H15" s="10" t="s">
        <v>26</v>
      </c>
      <c r="I15" s="15" t="s">
        <v>26</v>
      </c>
      <c r="J15" s="15" t="s">
        <v>26</v>
      </c>
      <c r="K15" s="15" t="s">
        <v>26</v>
      </c>
      <c r="L15" s="15" t="s">
        <v>24</v>
      </c>
      <c r="M15" s="15" t="s">
        <v>26</v>
      </c>
      <c r="N15" s="15" t="s">
        <v>26</v>
      </c>
      <c r="O15" s="15">
        <v>13</v>
      </c>
      <c r="P15" s="15">
        <v>12</v>
      </c>
      <c r="Q15" s="13">
        <f t="shared" si="0"/>
        <v>133</v>
      </c>
      <c r="R15" s="76" t="e">
        <f>INDEX(#REF!,MATCH(B15,#REF!,0))</f>
        <v>#REF!</v>
      </c>
      <c r="S15" s="72">
        <f>I15+J15+K15+L15+M15+N15+O15+P15</f>
        <v>88</v>
      </c>
      <c r="T15" s="72" t="e">
        <f t="shared" si="1"/>
        <v>#REF!</v>
      </c>
      <c r="U15" s="17"/>
      <c r="V15" s="17" t="e">
        <f t="shared" si="2"/>
        <v>#REF!</v>
      </c>
      <c r="W15" s="20">
        <v>33</v>
      </c>
      <c r="X15" s="20" t="e">
        <f t="shared" si="3"/>
        <v>#REF!</v>
      </c>
      <c r="Y15" s="25"/>
      <c r="Z15" s="25" t="e">
        <f t="shared" si="4"/>
        <v>#REF!</v>
      </c>
      <c r="AA15" s="5"/>
      <c r="AB15" s="5" t="e">
        <f t="shared" si="5"/>
        <v>#REF!</v>
      </c>
      <c r="AC15" s="5"/>
      <c r="AD15" s="5" t="e">
        <f t="shared" si="7"/>
        <v>#REF!</v>
      </c>
      <c r="AE15" s="35">
        <f>C15</f>
        <v>12</v>
      </c>
      <c r="AF15" s="7" t="e">
        <f t="shared" si="8"/>
        <v>#REF!</v>
      </c>
      <c r="AG15" s="1">
        <v>12</v>
      </c>
      <c r="AH15" s="50" t="s">
        <v>17</v>
      </c>
      <c r="AI15" s="1">
        <f t="shared" si="9"/>
        <v>0</v>
      </c>
    </row>
    <row r="16" spans="1:35" x14ac:dyDescent="0.25">
      <c r="A16" s="8">
        <v>15</v>
      </c>
      <c r="B16" s="9" t="s">
        <v>37</v>
      </c>
      <c r="C16" s="10"/>
      <c r="D16" s="10"/>
      <c r="E16" s="10"/>
      <c r="F16" s="10"/>
      <c r="G16" s="10"/>
      <c r="H16" s="10"/>
      <c r="I16" s="10"/>
      <c r="J16" s="15" t="s">
        <v>26</v>
      </c>
      <c r="K16" s="15" t="s">
        <v>26</v>
      </c>
      <c r="L16" s="15"/>
      <c r="M16" s="15" t="s">
        <v>26</v>
      </c>
      <c r="N16" s="15" t="s">
        <v>26</v>
      </c>
      <c r="O16" s="15" t="s">
        <v>26</v>
      </c>
      <c r="P16" s="15">
        <v>11</v>
      </c>
      <c r="Q16" s="13">
        <f t="shared" si="0"/>
        <v>66</v>
      </c>
      <c r="R16" s="76" t="e">
        <f>INDEX(#REF!,MATCH(B16,#REF!,0))</f>
        <v>#REF!</v>
      </c>
      <c r="S16" s="72">
        <f>J16+K16+L16+M16+N16+O16+P16</f>
        <v>66</v>
      </c>
      <c r="T16" s="72" t="e">
        <f t="shared" si="1"/>
        <v>#REF!</v>
      </c>
      <c r="U16" s="17"/>
      <c r="V16" s="17" t="e">
        <f t="shared" si="2"/>
        <v>#REF!</v>
      </c>
      <c r="W16" s="20"/>
      <c r="X16" s="20" t="e">
        <f t="shared" si="3"/>
        <v>#REF!</v>
      </c>
      <c r="Y16" s="25"/>
      <c r="Z16" s="25" t="e">
        <f t="shared" si="4"/>
        <v>#REF!</v>
      </c>
      <c r="AA16" s="5"/>
      <c r="AB16" s="5" t="e">
        <f t="shared" si="5"/>
        <v>#REF!</v>
      </c>
      <c r="AC16" s="5"/>
      <c r="AD16" s="5" t="e">
        <f t="shared" si="7"/>
        <v>#REF!</v>
      </c>
      <c r="AE16" s="35"/>
      <c r="AF16" s="7" t="e">
        <f t="shared" si="8"/>
        <v>#REF!</v>
      </c>
    </row>
    <row r="17" spans="1:35" x14ac:dyDescent="0.25">
      <c r="A17" s="8">
        <v>16</v>
      </c>
      <c r="B17" s="9" t="s">
        <v>38</v>
      </c>
      <c r="C17" s="10"/>
      <c r="D17" s="10" t="s">
        <v>25</v>
      </c>
      <c r="E17" s="10"/>
      <c r="F17" s="10" t="s">
        <v>26</v>
      </c>
      <c r="G17" s="10" t="s">
        <v>26</v>
      </c>
      <c r="H17" s="10" t="s">
        <v>26</v>
      </c>
      <c r="I17" s="10" t="s">
        <v>26</v>
      </c>
      <c r="J17" s="10" t="s">
        <v>26</v>
      </c>
      <c r="K17" s="10" t="s">
        <v>26</v>
      </c>
      <c r="L17" s="10"/>
      <c r="M17" s="10" t="s">
        <v>26</v>
      </c>
      <c r="N17" s="10" t="s">
        <v>26</v>
      </c>
      <c r="O17" s="10" t="s">
        <v>26</v>
      </c>
      <c r="P17" s="10">
        <v>11</v>
      </c>
      <c r="Q17" s="13">
        <f t="shared" si="0"/>
        <v>119</v>
      </c>
      <c r="R17" s="76" t="e">
        <f>INDEX(#REF!,MATCH(B17,#REF!,0))</f>
        <v>#REF!</v>
      </c>
      <c r="S17" s="72"/>
      <c r="T17" s="72" t="e">
        <f t="shared" si="1"/>
        <v>#REF!</v>
      </c>
      <c r="U17" s="17">
        <f>D17+F17+G17+H17+I17+J17+K17+M17</f>
        <v>86</v>
      </c>
      <c r="V17" s="17" t="e">
        <f t="shared" si="2"/>
        <v>#REF!</v>
      </c>
      <c r="W17" s="20"/>
      <c r="X17" s="20" t="e">
        <f t="shared" si="3"/>
        <v>#REF!</v>
      </c>
      <c r="Y17" s="25">
        <f>N17+O17+P17</f>
        <v>33</v>
      </c>
      <c r="Z17" s="25" t="e">
        <f t="shared" si="4"/>
        <v>#REF!</v>
      </c>
      <c r="AA17" s="5"/>
      <c r="AB17" s="5" t="e">
        <f t="shared" si="5"/>
        <v>#REF!</v>
      </c>
      <c r="AC17" s="5"/>
      <c r="AD17" s="5" t="e">
        <f t="shared" si="7"/>
        <v>#REF!</v>
      </c>
      <c r="AE17" s="35"/>
      <c r="AF17" s="7" t="e">
        <f t="shared" si="8"/>
        <v>#REF!</v>
      </c>
    </row>
    <row r="18" spans="1:35" x14ac:dyDescent="0.25">
      <c r="A18" s="8">
        <v>17</v>
      </c>
      <c r="B18" s="9" t="s">
        <v>7</v>
      </c>
      <c r="C18" s="10" t="s">
        <v>26</v>
      </c>
      <c r="D18" s="10"/>
      <c r="E18" s="10"/>
      <c r="F18" s="10" t="s">
        <v>26</v>
      </c>
      <c r="G18" s="10" t="s">
        <v>26</v>
      </c>
      <c r="H18" s="10" t="s">
        <v>26</v>
      </c>
      <c r="I18" s="10" t="s">
        <v>26</v>
      </c>
      <c r="J18" s="15" t="s">
        <v>26</v>
      </c>
      <c r="K18" s="15" t="s">
        <v>26</v>
      </c>
      <c r="L18" s="15"/>
      <c r="M18" s="15"/>
      <c r="N18" s="15" t="s">
        <v>26</v>
      </c>
      <c r="O18" s="15" t="s">
        <v>26</v>
      </c>
      <c r="P18" s="15">
        <v>11</v>
      </c>
      <c r="Q18" s="13">
        <f t="shared" si="0"/>
        <v>110</v>
      </c>
      <c r="R18" s="76" t="e">
        <f>INDEX(#REF!,MATCH(B18,#REF!,0))</f>
        <v>#REF!</v>
      </c>
      <c r="S18" s="72">
        <f>J18+K18+N18+O18+P18</f>
        <v>55</v>
      </c>
      <c r="T18" s="72" t="e">
        <f t="shared" si="1"/>
        <v>#REF!</v>
      </c>
      <c r="U18" s="17"/>
      <c r="V18" s="17" t="e">
        <f t="shared" si="2"/>
        <v>#REF!</v>
      </c>
      <c r="W18" s="20">
        <f>J18+K18+N18+O18+P18</f>
        <v>55</v>
      </c>
      <c r="X18" s="20" t="e">
        <f t="shared" si="3"/>
        <v>#REF!</v>
      </c>
      <c r="Y18" s="25"/>
      <c r="Z18" s="25" t="e">
        <f t="shared" si="4"/>
        <v>#REF!</v>
      </c>
      <c r="AA18" s="5"/>
      <c r="AB18" s="5" t="e">
        <f t="shared" si="5"/>
        <v>#REF!</v>
      </c>
      <c r="AC18" s="5"/>
      <c r="AD18" s="5" t="e">
        <f t="shared" si="7"/>
        <v>#REF!</v>
      </c>
      <c r="AE18" s="35"/>
      <c r="AF18" s="7" t="e">
        <f t="shared" si="8"/>
        <v>#REF!</v>
      </c>
    </row>
    <row r="19" spans="1:35" x14ac:dyDescent="0.25">
      <c r="A19" s="8">
        <v>18</v>
      </c>
      <c r="B19" s="9" t="s">
        <v>39</v>
      </c>
      <c r="C19" s="23">
        <v>11</v>
      </c>
      <c r="D19" s="10"/>
      <c r="E19" s="10"/>
      <c r="F19" s="36" t="s">
        <v>26</v>
      </c>
      <c r="G19" s="36" t="s">
        <v>26</v>
      </c>
      <c r="H19" s="36" t="s">
        <v>26</v>
      </c>
      <c r="I19" s="15" t="s">
        <v>26</v>
      </c>
      <c r="J19" s="15" t="s">
        <v>26</v>
      </c>
      <c r="K19" s="15" t="s">
        <v>26</v>
      </c>
      <c r="L19" s="15"/>
      <c r="M19" s="15">
        <v>11</v>
      </c>
      <c r="N19" s="15" t="s">
        <v>26</v>
      </c>
      <c r="O19" s="15">
        <v>13</v>
      </c>
      <c r="P19" s="15">
        <v>12</v>
      </c>
      <c r="Q19" s="13">
        <f t="shared" si="0"/>
        <v>124</v>
      </c>
      <c r="R19" s="76" t="e">
        <f>INDEX(#REF!,MATCH(B19,#REF!,0))</f>
        <v>#REF!</v>
      </c>
      <c r="S19" s="72">
        <f>I19+J19+K19+M19+N19+O19+P19</f>
        <v>80</v>
      </c>
      <c r="T19" s="72" t="e">
        <f t="shared" si="1"/>
        <v>#REF!</v>
      </c>
      <c r="U19" s="17"/>
      <c r="V19" s="17" t="e">
        <f t="shared" si="2"/>
        <v>#REF!</v>
      </c>
      <c r="W19" s="20">
        <f>F19+G19+H19</f>
        <v>33</v>
      </c>
      <c r="X19" s="20" t="e">
        <f t="shared" si="3"/>
        <v>#REF!</v>
      </c>
      <c r="Y19" s="25"/>
      <c r="Z19" s="25" t="e">
        <f t="shared" si="4"/>
        <v>#REF!</v>
      </c>
      <c r="AA19" s="5"/>
      <c r="AB19" s="5" t="e">
        <f t="shared" si="5"/>
        <v>#REF!</v>
      </c>
      <c r="AC19" s="5"/>
      <c r="AD19" s="5" t="e">
        <f t="shared" si="7"/>
        <v>#REF!</v>
      </c>
      <c r="AE19" s="35">
        <f>C19</f>
        <v>11</v>
      </c>
      <c r="AF19" s="7" t="e">
        <f t="shared" si="8"/>
        <v>#REF!</v>
      </c>
      <c r="AG19" s="1">
        <v>11</v>
      </c>
      <c r="AH19" s="50" t="s">
        <v>19</v>
      </c>
      <c r="AI19" s="1">
        <f t="shared" si="9"/>
        <v>0</v>
      </c>
    </row>
    <row r="20" spans="1:35" x14ac:dyDescent="0.25">
      <c r="A20" s="8">
        <v>19</v>
      </c>
      <c r="B20" s="9" t="s">
        <v>40</v>
      </c>
      <c r="C20" s="21" t="s">
        <v>26</v>
      </c>
      <c r="D20" s="21" t="s">
        <v>25</v>
      </c>
      <c r="E20" s="21"/>
      <c r="F20" s="21" t="s">
        <v>26</v>
      </c>
      <c r="G20" s="21" t="s">
        <v>26</v>
      </c>
      <c r="H20" s="21" t="s">
        <v>26</v>
      </c>
      <c r="I20" s="21" t="s">
        <v>26</v>
      </c>
      <c r="J20" s="21" t="s">
        <v>26</v>
      </c>
      <c r="K20" s="15" t="s">
        <v>26</v>
      </c>
      <c r="L20" s="15" t="s">
        <v>62</v>
      </c>
      <c r="M20" s="15" t="s">
        <v>26</v>
      </c>
      <c r="N20" s="15" t="s">
        <v>26</v>
      </c>
      <c r="O20" s="15" t="s">
        <v>26</v>
      </c>
      <c r="P20" s="15">
        <v>11</v>
      </c>
      <c r="Q20" s="13">
        <f t="shared" si="0"/>
        <v>133</v>
      </c>
      <c r="R20" s="76" t="e">
        <f>INDEX(#REF!,MATCH(B20,#REF!,0))</f>
        <v>#REF!</v>
      </c>
      <c r="S20" s="72">
        <f>K20+L20+M20+N20+O20+P20</f>
        <v>58</v>
      </c>
      <c r="T20" s="72" t="e">
        <f t="shared" si="1"/>
        <v>#REF!</v>
      </c>
      <c r="U20" s="17"/>
      <c r="V20" s="17" t="e">
        <f t="shared" si="2"/>
        <v>#REF!</v>
      </c>
      <c r="W20" s="20">
        <f>C20+D20+F20+G20+H20+I20+J20</f>
        <v>75</v>
      </c>
      <c r="X20" s="20" t="e">
        <f t="shared" si="3"/>
        <v>#REF!</v>
      </c>
      <c r="Y20" s="25"/>
      <c r="Z20" s="25" t="e">
        <f t="shared" si="4"/>
        <v>#REF!</v>
      </c>
      <c r="AA20" s="5"/>
      <c r="AB20" s="5" t="e">
        <f t="shared" si="5"/>
        <v>#REF!</v>
      </c>
      <c r="AC20" s="5"/>
      <c r="AD20" s="5" t="e">
        <f t="shared" si="7"/>
        <v>#REF!</v>
      </c>
      <c r="AE20" s="35"/>
      <c r="AF20" s="7" t="e">
        <f t="shared" si="8"/>
        <v>#REF!</v>
      </c>
    </row>
    <row r="21" spans="1:35" x14ac:dyDescent="0.25">
      <c r="A21" s="8">
        <v>20</v>
      </c>
      <c r="B21" s="9" t="s">
        <v>42</v>
      </c>
      <c r="C21" s="23">
        <v>11</v>
      </c>
      <c r="D21" s="10"/>
      <c r="E21" s="10"/>
      <c r="F21" s="21" t="s">
        <v>26</v>
      </c>
      <c r="G21" s="21"/>
      <c r="H21" s="21" t="s">
        <v>26</v>
      </c>
      <c r="I21" s="21" t="s">
        <v>26</v>
      </c>
      <c r="J21" s="21" t="s">
        <v>26</v>
      </c>
      <c r="K21" s="15" t="s">
        <v>26</v>
      </c>
      <c r="L21" s="15" t="s">
        <v>24</v>
      </c>
      <c r="M21" s="15" t="s">
        <v>26</v>
      </c>
      <c r="N21" s="15" t="s">
        <v>26</v>
      </c>
      <c r="O21" s="15" t="s">
        <v>26</v>
      </c>
      <c r="P21" s="15">
        <v>11</v>
      </c>
      <c r="Q21" s="13">
        <f t="shared" si="0"/>
        <v>118</v>
      </c>
      <c r="R21" s="76" t="e">
        <f>INDEX(#REF!,MATCH(B21,#REF!,0))</f>
        <v>#REF!</v>
      </c>
      <c r="S21" s="72">
        <f>K21+L21+M21+N21+O21+P21</f>
        <v>63</v>
      </c>
      <c r="T21" s="72" t="e">
        <f t="shared" si="1"/>
        <v>#REF!</v>
      </c>
      <c r="U21" s="17"/>
      <c r="V21" s="17" t="e">
        <f t="shared" si="2"/>
        <v>#REF!</v>
      </c>
      <c r="W21" s="20">
        <f>F21+H21+I21+J21</f>
        <v>44</v>
      </c>
      <c r="X21" s="20" t="e">
        <f t="shared" si="3"/>
        <v>#REF!</v>
      </c>
      <c r="Y21" s="25"/>
      <c r="Z21" s="25" t="e">
        <f t="shared" si="4"/>
        <v>#REF!</v>
      </c>
      <c r="AA21" s="5"/>
      <c r="AB21" s="5" t="e">
        <f t="shared" si="5"/>
        <v>#REF!</v>
      </c>
      <c r="AC21" s="5"/>
      <c r="AD21" s="5" t="e">
        <f t="shared" si="7"/>
        <v>#REF!</v>
      </c>
      <c r="AE21" s="35">
        <f>C21</f>
        <v>11</v>
      </c>
      <c r="AF21" s="7" t="e">
        <f t="shared" si="8"/>
        <v>#REF!</v>
      </c>
      <c r="AG21" s="1">
        <v>11</v>
      </c>
      <c r="AH21" s="50" t="s">
        <v>9</v>
      </c>
      <c r="AI21" s="1">
        <f t="shared" si="9"/>
        <v>0</v>
      </c>
    </row>
    <row r="22" spans="1:35" x14ac:dyDescent="0.25">
      <c r="A22" s="8">
        <v>21</v>
      </c>
      <c r="B22" s="9" t="s">
        <v>21</v>
      </c>
      <c r="C22" s="18" t="s">
        <v>26</v>
      </c>
      <c r="D22" s="18" t="s">
        <v>25</v>
      </c>
      <c r="E22" s="34"/>
      <c r="F22" s="23">
        <v>11</v>
      </c>
      <c r="G22" s="23">
        <v>11</v>
      </c>
      <c r="H22" s="23">
        <v>11</v>
      </c>
      <c r="I22" s="23">
        <v>11</v>
      </c>
      <c r="J22" s="23">
        <v>11</v>
      </c>
      <c r="K22" s="15">
        <v>11</v>
      </c>
      <c r="L22" s="34"/>
      <c r="M22" s="15" t="s">
        <v>26</v>
      </c>
      <c r="N22" s="15" t="s">
        <v>26</v>
      </c>
      <c r="O22" s="15" t="s">
        <v>26</v>
      </c>
      <c r="P22" s="15">
        <v>11</v>
      </c>
      <c r="Q22" s="13">
        <f t="shared" si="0"/>
        <v>130</v>
      </c>
      <c r="R22" s="76" t="e">
        <f>INDEX(#REF!,MATCH(B22,#REF!,0))</f>
        <v>#REF!</v>
      </c>
      <c r="S22" s="72">
        <f>L22+M22+N22+O22+P22+K22</f>
        <v>55</v>
      </c>
      <c r="T22" s="72" t="e">
        <f t="shared" si="1"/>
        <v>#REF!</v>
      </c>
      <c r="U22" s="17">
        <f>C22+D22</f>
        <v>20</v>
      </c>
      <c r="V22" s="17" t="e">
        <f t="shared" si="2"/>
        <v>#REF!</v>
      </c>
      <c r="W22" s="20"/>
      <c r="X22" s="20" t="e">
        <f t="shared" si="3"/>
        <v>#REF!</v>
      </c>
      <c r="Y22" s="25"/>
      <c r="Z22" s="25" t="e">
        <f t="shared" si="4"/>
        <v>#REF!</v>
      </c>
      <c r="AA22" s="5"/>
      <c r="AB22" s="5" t="e">
        <f t="shared" si="5"/>
        <v>#REF!</v>
      </c>
      <c r="AC22" s="5"/>
      <c r="AD22" s="5" t="e">
        <f t="shared" si="7"/>
        <v>#REF!</v>
      </c>
      <c r="AE22" s="35">
        <f>F22+G22+H22+I22+J22</f>
        <v>55</v>
      </c>
      <c r="AF22" s="7" t="e">
        <f t="shared" si="8"/>
        <v>#REF!</v>
      </c>
      <c r="AG22" s="51">
        <v>55</v>
      </c>
      <c r="AH22" s="52" t="s">
        <v>21</v>
      </c>
      <c r="AI22" s="53">
        <f t="shared" si="9"/>
        <v>0</v>
      </c>
    </row>
    <row r="23" spans="1:35" x14ac:dyDescent="0.25">
      <c r="A23" s="8">
        <v>22</v>
      </c>
      <c r="B23" s="9" t="s">
        <v>43</v>
      </c>
      <c r="C23" s="18" t="s">
        <v>26</v>
      </c>
      <c r="D23" s="18" t="s">
        <v>25</v>
      </c>
      <c r="E23" s="10"/>
      <c r="F23" s="23">
        <v>11</v>
      </c>
      <c r="G23" s="23">
        <v>11</v>
      </c>
      <c r="H23" s="23">
        <v>12</v>
      </c>
      <c r="I23" s="23">
        <v>12</v>
      </c>
      <c r="J23" s="23">
        <v>12</v>
      </c>
      <c r="K23" s="10"/>
      <c r="L23" s="10"/>
      <c r="M23" s="10"/>
      <c r="N23" s="10"/>
      <c r="O23" s="10"/>
      <c r="P23" s="21">
        <v>11</v>
      </c>
      <c r="Q23" s="13">
        <f t="shared" si="0"/>
        <v>89</v>
      </c>
      <c r="R23" s="76" t="e">
        <f>INDEX(#REF!,MATCH(B23,#REF!,0))</f>
        <v>#REF!</v>
      </c>
      <c r="S23" s="72"/>
      <c r="T23" s="72" t="e">
        <f t="shared" si="1"/>
        <v>#REF!</v>
      </c>
      <c r="U23" s="17">
        <f>C23+D23</f>
        <v>20</v>
      </c>
      <c r="V23" s="17" t="e">
        <f t="shared" si="2"/>
        <v>#REF!</v>
      </c>
      <c r="W23" s="20">
        <f>P23</f>
        <v>11</v>
      </c>
      <c r="X23" s="20" t="e">
        <f t="shared" si="3"/>
        <v>#REF!</v>
      </c>
      <c r="Y23" s="25"/>
      <c r="Z23" s="25" t="e">
        <f t="shared" si="4"/>
        <v>#REF!</v>
      </c>
      <c r="AA23" s="5"/>
      <c r="AB23" s="5" t="e">
        <f t="shared" si="5"/>
        <v>#REF!</v>
      </c>
      <c r="AC23" s="5"/>
      <c r="AD23" s="5" t="e">
        <f t="shared" si="7"/>
        <v>#REF!</v>
      </c>
      <c r="AE23" s="35">
        <f>F23+G23+H23+I23+J23</f>
        <v>58</v>
      </c>
      <c r="AF23" s="7" t="e">
        <f t="shared" si="8"/>
        <v>#REF!</v>
      </c>
      <c r="AG23" s="51">
        <v>58</v>
      </c>
      <c r="AH23" s="52" t="s">
        <v>22</v>
      </c>
      <c r="AI23" s="53">
        <f t="shared" si="9"/>
        <v>0</v>
      </c>
    </row>
    <row r="24" spans="1:35" x14ac:dyDescent="0.25">
      <c r="A24" s="8">
        <v>23</v>
      </c>
      <c r="B24" s="9" t="s">
        <v>44</v>
      </c>
      <c r="C24" s="23">
        <v>11</v>
      </c>
      <c r="D24" s="10"/>
      <c r="E24" s="10"/>
      <c r="F24" s="21" t="s">
        <v>64</v>
      </c>
      <c r="G24" s="21" t="s">
        <v>26</v>
      </c>
      <c r="H24" s="21" t="s">
        <v>26</v>
      </c>
      <c r="I24" s="21" t="s">
        <v>26</v>
      </c>
      <c r="J24" s="21" t="s">
        <v>26</v>
      </c>
      <c r="K24" s="21" t="s">
        <v>26</v>
      </c>
      <c r="L24" s="21" t="s">
        <v>24</v>
      </c>
      <c r="M24" s="21" t="s">
        <v>26</v>
      </c>
      <c r="N24" s="15" t="s">
        <v>26</v>
      </c>
      <c r="O24" s="15" t="s">
        <v>26</v>
      </c>
      <c r="P24" s="15">
        <v>11</v>
      </c>
      <c r="Q24" s="13">
        <f t="shared" si="0"/>
        <v>128</v>
      </c>
      <c r="R24" s="76" t="e">
        <f>INDEX(#REF!,MATCH(B24,#REF!,0))</f>
        <v>#REF!</v>
      </c>
      <c r="S24" s="72">
        <f>N24+O24+P24</f>
        <v>33</v>
      </c>
      <c r="T24" s="72" t="e">
        <f t="shared" si="1"/>
        <v>#REF!</v>
      </c>
      <c r="U24" s="17"/>
      <c r="V24" s="17" t="e">
        <f t="shared" si="2"/>
        <v>#REF!</v>
      </c>
      <c r="W24" s="20">
        <f>F24+G24+H24+I24+J24+K24+L24+M24</f>
        <v>84</v>
      </c>
      <c r="X24" s="20" t="e">
        <f t="shared" si="3"/>
        <v>#REF!</v>
      </c>
      <c r="Y24" s="25"/>
      <c r="Z24" s="25" t="e">
        <f t="shared" si="4"/>
        <v>#REF!</v>
      </c>
      <c r="AA24" s="5"/>
      <c r="AB24" s="5" t="e">
        <f t="shared" si="5"/>
        <v>#REF!</v>
      </c>
      <c r="AC24" s="5"/>
      <c r="AD24" s="5" t="e">
        <f t="shared" si="7"/>
        <v>#REF!</v>
      </c>
      <c r="AE24" s="35">
        <f>C24</f>
        <v>11</v>
      </c>
      <c r="AF24" s="7" t="e">
        <f t="shared" si="8"/>
        <v>#REF!</v>
      </c>
      <c r="AG24" s="1">
        <v>11</v>
      </c>
      <c r="AH24" s="50" t="s">
        <v>23</v>
      </c>
      <c r="AI24" s="1">
        <f t="shared" si="9"/>
        <v>0</v>
      </c>
    </row>
    <row r="25" spans="1:35" ht="15.75" thickBot="1" x14ac:dyDescent="0.3">
      <c r="A25" s="62">
        <v>24</v>
      </c>
      <c r="B25" s="63" t="s">
        <v>45</v>
      </c>
      <c r="C25" s="64" t="s">
        <v>26</v>
      </c>
      <c r="D25" s="64" t="s">
        <v>25</v>
      </c>
      <c r="E25" s="64"/>
      <c r="F25" s="64" t="s">
        <v>26</v>
      </c>
      <c r="G25" s="64" t="s">
        <v>26</v>
      </c>
      <c r="H25" s="64" t="s">
        <v>26</v>
      </c>
      <c r="I25" s="64" t="s">
        <v>26</v>
      </c>
      <c r="J25" s="64" t="s">
        <v>26</v>
      </c>
      <c r="K25" s="64" t="s">
        <v>26</v>
      </c>
      <c r="L25" s="64" t="s">
        <v>24</v>
      </c>
      <c r="M25" s="64" t="s">
        <v>26</v>
      </c>
      <c r="N25" s="64" t="s">
        <v>26</v>
      </c>
      <c r="O25" s="64">
        <v>13</v>
      </c>
      <c r="P25" s="64">
        <v>12</v>
      </c>
      <c r="Q25" s="65">
        <f t="shared" si="0"/>
        <v>141</v>
      </c>
      <c r="R25" s="84" t="e">
        <f>INDEX(#REF!,MATCH(B25,#REF!,0))</f>
        <v>#REF!</v>
      </c>
      <c r="S25" s="78"/>
      <c r="T25" s="73" t="e">
        <f t="shared" si="1"/>
        <v>#REF!</v>
      </c>
      <c r="U25" s="66"/>
      <c r="V25" s="66" t="e">
        <f t="shared" si="2"/>
        <v>#REF!</v>
      </c>
      <c r="W25" s="67"/>
      <c r="X25" s="67" t="e">
        <f t="shared" si="3"/>
        <v>#REF!</v>
      </c>
      <c r="Y25" s="68">
        <f>O25</f>
        <v>13</v>
      </c>
      <c r="Z25" s="68" t="e">
        <f t="shared" si="4"/>
        <v>#REF!</v>
      </c>
      <c r="AA25" s="69">
        <f>C25+D25+F25+G25+H25+I25+J25+K25+L25+M25+N25+P25</f>
        <v>128</v>
      </c>
      <c r="AB25" s="69" t="e">
        <f t="shared" si="5"/>
        <v>#REF!</v>
      </c>
      <c r="AC25" s="69"/>
      <c r="AD25" s="69" t="e">
        <f t="shared" si="7"/>
        <v>#REF!</v>
      </c>
      <c r="AE25" s="70"/>
      <c r="AF25" s="7" t="e">
        <f t="shared" si="8"/>
        <v>#REF!</v>
      </c>
    </row>
    <row r="26" spans="1:35" ht="15.75" thickBot="1" x14ac:dyDescent="0.3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6">
        <f>SUM(Q2:Q25)</f>
        <v>2665</v>
      </c>
      <c r="R26" s="77">
        <f>S26+U26+W26+Y26+AA26</f>
        <v>2186</v>
      </c>
      <c r="S26" s="74">
        <f t="shared" ref="S26:AD26" si="10">SUM(S2:S25)</f>
        <v>943</v>
      </c>
      <c r="T26" s="83" t="e">
        <f t="shared" si="10"/>
        <v>#REF!</v>
      </c>
      <c r="U26" s="57">
        <f t="shared" si="10"/>
        <v>384</v>
      </c>
      <c r="V26" s="82" t="e">
        <f t="shared" si="10"/>
        <v>#REF!</v>
      </c>
      <c r="W26" s="58">
        <f t="shared" si="10"/>
        <v>510</v>
      </c>
      <c r="X26" s="81" t="e">
        <f>SUM(X2:X25)</f>
        <v>#REF!</v>
      </c>
      <c r="Y26" s="59">
        <f>SUM(Y2:Y25)</f>
        <v>179</v>
      </c>
      <c r="Z26" s="79" t="e">
        <f>SUM(Z2:Z25)</f>
        <v>#REF!</v>
      </c>
      <c r="AA26" s="60">
        <f t="shared" si="10"/>
        <v>170</v>
      </c>
      <c r="AB26" s="80" t="e">
        <f t="shared" si="10"/>
        <v>#REF!</v>
      </c>
      <c r="AC26" s="60">
        <f t="shared" si="10"/>
        <v>133</v>
      </c>
      <c r="AD26" s="80" t="e">
        <f t="shared" si="10"/>
        <v>#REF!</v>
      </c>
      <c r="AE26" s="61">
        <f>SUM(AE2:AE25)</f>
        <v>346</v>
      </c>
    </row>
    <row r="27" spans="1:35" x14ac:dyDescent="0.25">
      <c r="S27" s="91">
        <f>S26/$R$26</f>
        <v>0.43138151875571823</v>
      </c>
      <c r="T27" s="91"/>
      <c r="U27" s="85">
        <f>U26/$R$26</f>
        <v>0.17566331198536139</v>
      </c>
      <c r="V27" s="85"/>
      <c r="W27" s="94">
        <f>W26/$R$26</f>
        <v>0.23330283623055809</v>
      </c>
      <c r="X27" s="94"/>
      <c r="Y27" s="85">
        <f>Y26/$R$26</f>
        <v>8.1884720951509601E-2</v>
      </c>
      <c r="Z27" s="85"/>
      <c r="AA27" s="85">
        <f>AA26/$R$26</f>
        <v>7.7767612076852705E-2</v>
      </c>
    </row>
    <row r="28" spans="1:35" x14ac:dyDescent="0.25">
      <c r="S28" s="72">
        <f>ROUND($AC$26*S27,0)</f>
        <v>57</v>
      </c>
      <c r="T28" s="92" t="e">
        <f>ROUND(S27*$AD$26,0)</f>
        <v>#REF!</v>
      </c>
      <c r="U28" s="17">
        <f>ROUND($AC$26*U27,0)</f>
        <v>23</v>
      </c>
      <c r="V28" s="93" t="e">
        <f>ROUND(U27*$AD$26,0)</f>
        <v>#REF!</v>
      </c>
      <c r="W28" s="95">
        <f>ROUND($AC$26*W27,0)</f>
        <v>31</v>
      </c>
      <c r="X28" s="96" t="e">
        <f>ROUND(W27*$AD$26,0)</f>
        <v>#REF!</v>
      </c>
      <c r="Y28" s="87">
        <f>ROUND($AC$26*Y27,0)+1</f>
        <v>12</v>
      </c>
      <c r="Z28" s="89" t="e">
        <f>ROUND(Y27*$AD$26,0)-1</f>
        <v>#REF!</v>
      </c>
      <c r="AA28" s="86">
        <f>ROUND($AC$26*AA27,0)</f>
        <v>10</v>
      </c>
      <c r="AB28" s="88" t="e">
        <f>ROUND(AA27*$AD$26,0)</f>
        <v>#REF!</v>
      </c>
    </row>
    <row r="29" spans="1:35" x14ac:dyDescent="0.25">
      <c r="S29" s="72">
        <f>S26+S28</f>
        <v>1000</v>
      </c>
      <c r="T29" s="92" t="e">
        <f>T26+T28</f>
        <v>#REF!</v>
      </c>
      <c r="U29" s="17">
        <f t="shared" ref="U29:AB29" si="11">U26+U28</f>
        <v>407</v>
      </c>
      <c r="V29" s="93" t="e">
        <f t="shared" si="11"/>
        <v>#REF!</v>
      </c>
      <c r="W29" s="95">
        <f t="shared" si="11"/>
        <v>541</v>
      </c>
      <c r="X29" s="97" t="e">
        <f t="shared" si="11"/>
        <v>#REF!</v>
      </c>
      <c r="Y29" s="86">
        <f t="shared" si="11"/>
        <v>191</v>
      </c>
      <c r="Z29" s="90" t="e">
        <f t="shared" si="11"/>
        <v>#REF!</v>
      </c>
      <c r="AA29" s="86">
        <f t="shared" si="11"/>
        <v>180</v>
      </c>
      <c r="AB29" s="90" t="e">
        <f t="shared" si="11"/>
        <v>#REF!</v>
      </c>
      <c r="AE29" s="4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9">
    <pageSetUpPr fitToPage="1"/>
  </sheetPr>
  <dimension ref="A1:R16"/>
  <sheetViews>
    <sheetView zoomScale="90" zoomScaleNormal="90" workbookViewId="0">
      <selection activeCell="Q14" sqref="Q2:Q14"/>
    </sheetView>
  </sheetViews>
  <sheetFormatPr defaultRowHeight="15" x14ac:dyDescent="0.25"/>
  <cols>
    <col min="1" max="1" width="8.140625" customWidth="1"/>
    <col min="2" max="2" width="56.5703125" customWidth="1"/>
    <col min="3" max="16" width="7.42578125" customWidth="1"/>
    <col min="17" max="18" width="16.42578125" customWidth="1"/>
    <col min="19" max="239" width="8" customWidth="1"/>
    <col min="240" max="240" width="8.140625" customWidth="1"/>
    <col min="241" max="241" width="27.42578125" customWidth="1"/>
    <col min="242" max="270" width="7.42578125" customWidth="1"/>
    <col min="271" max="272" width="18.140625" customWidth="1"/>
    <col min="273" max="274" width="16.42578125" customWidth="1"/>
    <col min="275" max="495" width="8" customWidth="1"/>
    <col min="496" max="496" width="8.140625" customWidth="1"/>
    <col min="497" max="497" width="27.42578125" customWidth="1"/>
    <col min="498" max="526" width="7.42578125" customWidth="1"/>
    <col min="527" max="528" width="18.140625" customWidth="1"/>
    <col min="529" max="530" width="16.42578125" customWidth="1"/>
    <col min="531" max="751" width="8" customWidth="1"/>
    <col min="752" max="752" width="8.140625" customWidth="1"/>
    <col min="753" max="753" width="27.42578125" customWidth="1"/>
    <col min="754" max="782" width="7.42578125" customWidth="1"/>
    <col min="783" max="784" width="18.140625" customWidth="1"/>
    <col min="785" max="786" width="16.42578125" customWidth="1"/>
    <col min="787" max="1007" width="8" customWidth="1"/>
    <col min="1008" max="1008" width="8.140625" customWidth="1"/>
    <col min="1009" max="1009" width="27.42578125" customWidth="1"/>
    <col min="1010" max="1038" width="7.42578125" customWidth="1"/>
    <col min="1039" max="1040" width="18.140625" customWidth="1"/>
    <col min="1041" max="1042" width="16.42578125" customWidth="1"/>
    <col min="1043" max="1263" width="8" customWidth="1"/>
    <col min="1264" max="1264" width="8.140625" customWidth="1"/>
    <col min="1265" max="1265" width="27.42578125" customWidth="1"/>
    <col min="1266" max="1294" width="7.42578125" customWidth="1"/>
    <col min="1295" max="1296" width="18.140625" customWidth="1"/>
    <col min="1297" max="1298" width="16.42578125" customWidth="1"/>
    <col min="1299" max="1519" width="8" customWidth="1"/>
    <col min="1520" max="1520" width="8.140625" customWidth="1"/>
    <col min="1521" max="1521" width="27.42578125" customWidth="1"/>
    <col min="1522" max="1550" width="7.42578125" customWidth="1"/>
    <col min="1551" max="1552" width="18.140625" customWidth="1"/>
    <col min="1553" max="1554" width="16.42578125" customWidth="1"/>
    <col min="1555" max="1775" width="8" customWidth="1"/>
    <col min="1776" max="1776" width="8.140625" customWidth="1"/>
    <col min="1777" max="1777" width="27.42578125" customWidth="1"/>
    <col min="1778" max="1806" width="7.42578125" customWidth="1"/>
    <col min="1807" max="1808" width="18.140625" customWidth="1"/>
    <col min="1809" max="1810" width="16.42578125" customWidth="1"/>
    <col min="1811" max="2031" width="8" customWidth="1"/>
    <col min="2032" max="2032" width="8.140625" customWidth="1"/>
    <col min="2033" max="2033" width="27.42578125" customWidth="1"/>
    <col min="2034" max="2062" width="7.42578125" customWidth="1"/>
    <col min="2063" max="2064" width="18.140625" customWidth="1"/>
    <col min="2065" max="2066" width="16.42578125" customWidth="1"/>
    <col min="2067" max="2287" width="8" customWidth="1"/>
    <col min="2288" max="2288" width="8.140625" customWidth="1"/>
    <col min="2289" max="2289" width="27.42578125" customWidth="1"/>
    <col min="2290" max="2318" width="7.42578125" customWidth="1"/>
    <col min="2319" max="2320" width="18.140625" customWidth="1"/>
    <col min="2321" max="2322" width="16.42578125" customWidth="1"/>
    <col min="2323" max="2543" width="8" customWidth="1"/>
    <col min="2544" max="2544" width="8.140625" customWidth="1"/>
    <col min="2545" max="2545" width="27.42578125" customWidth="1"/>
    <col min="2546" max="2574" width="7.42578125" customWidth="1"/>
    <col min="2575" max="2576" width="18.140625" customWidth="1"/>
    <col min="2577" max="2578" width="16.42578125" customWidth="1"/>
    <col min="2579" max="2799" width="8" customWidth="1"/>
    <col min="2800" max="2800" width="8.140625" customWidth="1"/>
    <col min="2801" max="2801" width="27.42578125" customWidth="1"/>
    <col min="2802" max="2830" width="7.42578125" customWidth="1"/>
    <col min="2831" max="2832" width="18.140625" customWidth="1"/>
    <col min="2833" max="2834" width="16.42578125" customWidth="1"/>
    <col min="2835" max="3055" width="8" customWidth="1"/>
    <col min="3056" max="3056" width="8.140625" customWidth="1"/>
    <col min="3057" max="3057" width="27.42578125" customWidth="1"/>
    <col min="3058" max="3086" width="7.42578125" customWidth="1"/>
    <col min="3087" max="3088" width="18.140625" customWidth="1"/>
    <col min="3089" max="3090" width="16.42578125" customWidth="1"/>
    <col min="3091" max="3311" width="8" customWidth="1"/>
    <col min="3312" max="3312" width="8.140625" customWidth="1"/>
    <col min="3313" max="3313" width="27.42578125" customWidth="1"/>
    <col min="3314" max="3342" width="7.42578125" customWidth="1"/>
    <col min="3343" max="3344" width="18.140625" customWidth="1"/>
    <col min="3345" max="3346" width="16.42578125" customWidth="1"/>
    <col min="3347" max="3567" width="8" customWidth="1"/>
    <col min="3568" max="3568" width="8.140625" customWidth="1"/>
    <col min="3569" max="3569" width="27.42578125" customWidth="1"/>
    <col min="3570" max="3598" width="7.42578125" customWidth="1"/>
    <col min="3599" max="3600" width="18.140625" customWidth="1"/>
    <col min="3601" max="3602" width="16.42578125" customWidth="1"/>
    <col min="3603" max="3823" width="8" customWidth="1"/>
    <col min="3824" max="3824" width="8.140625" customWidth="1"/>
    <col min="3825" max="3825" width="27.42578125" customWidth="1"/>
    <col min="3826" max="3854" width="7.42578125" customWidth="1"/>
    <col min="3855" max="3856" width="18.140625" customWidth="1"/>
    <col min="3857" max="3858" width="16.42578125" customWidth="1"/>
    <col min="3859" max="4079" width="8" customWidth="1"/>
    <col min="4080" max="4080" width="8.140625" customWidth="1"/>
    <col min="4081" max="4081" width="27.42578125" customWidth="1"/>
    <col min="4082" max="4110" width="7.42578125" customWidth="1"/>
    <col min="4111" max="4112" width="18.140625" customWidth="1"/>
    <col min="4113" max="4114" width="16.42578125" customWidth="1"/>
    <col min="4115" max="4335" width="8" customWidth="1"/>
    <col min="4336" max="4336" width="8.140625" customWidth="1"/>
    <col min="4337" max="4337" width="27.42578125" customWidth="1"/>
    <col min="4338" max="4366" width="7.42578125" customWidth="1"/>
    <col min="4367" max="4368" width="18.140625" customWidth="1"/>
    <col min="4369" max="4370" width="16.42578125" customWidth="1"/>
    <col min="4371" max="4591" width="8" customWidth="1"/>
    <col min="4592" max="4592" width="8.140625" customWidth="1"/>
    <col min="4593" max="4593" width="27.42578125" customWidth="1"/>
    <col min="4594" max="4622" width="7.42578125" customWidth="1"/>
    <col min="4623" max="4624" width="18.140625" customWidth="1"/>
    <col min="4625" max="4626" width="16.42578125" customWidth="1"/>
    <col min="4627" max="4847" width="8" customWidth="1"/>
    <col min="4848" max="4848" width="8.140625" customWidth="1"/>
    <col min="4849" max="4849" width="27.42578125" customWidth="1"/>
    <col min="4850" max="4878" width="7.42578125" customWidth="1"/>
    <col min="4879" max="4880" width="18.140625" customWidth="1"/>
    <col min="4881" max="4882" width="16.42578125" customWidth="1"/>
    <col min="4883" max="5103" width="8" customWidth="1"/>
    <col min="5104" max="5104" width="8.140625" customWidth="1"/>
    <col min="5105" max="5105" width="27.42578125" customWidth="1"/>
    <col min="5106" max="5134" width="7.42578125" customWidth="1"/>
    <col min="5135" max="5136" width="18.140625" customWidth="1"/>
    <col min="5137" max="5138" width="16.42578125" customWidth="1"/>
    <col min="5139" max="5359" width="8" customWidth="1"/>
    <col min="5360" max="5360" width="8.140625" customWidth="1"/>
    <col min="5361" max="5361" width="27.42578125" customWidth="1"/>
    <col min="5362" max="5390" width="7.42578125" customWidth="1"/>
    <col min="5391" max="5392" width="18.140625" customWidth="1"/>
    <col min="5393" max="5394" width="16.42578125" customWidth="1"/>
    <col min="5395" max="5615" width="8" customWidth="1"/>
    <col min="5616" max="5616" width="8.140625" customWidth="1"/>
    <col min="5617" max="5617" width="27.42578125" customWidth="1"/>
    <col min="5618" max="5646" width="7.42578125" customWidth="1"/>
    <col min="5647" max="5648" width="18.140625" customWidth="1"/>
    <col min="5649" max="5650" width="16.42578125" customWidth="1"/>
    <col min="5651" max="5871" width="8" customWidth="1"/>
    <col min="5872" max="5872" width="8.140625" customWidth="1"/>
    <col min="5873" max="5873" width="27.42578125" customWidth="1"/>
    <col min="5874" max="5902" width="7.42578125" customWidth="1"/>
    <col min="5903" max="5904" width="18.140625" customWidth="1"/>
    <col min="5905" max="5906" width="16.42578125" customWidth="1"/>
    <col min="5907" max="6127" width="8" customWidth="1"/>
    <col min="6128" max="6128" width="8.140625" customWidth="1"/>
    <col min="6129" max="6129" width="27.42578125" customWidth="1"/>
    <col min="6130" max="6158" width="7.42578125" customWidth="1"/>
    <col min="6159" max="6160" width="18.140625" customWidth="1"/>
    <col min="6161" max="6162" width="16.42578125" customWidth="1"/>
    <col min="6163" max="6383" width="8" customWidth="1"/>
    <col min="6384" max="6384" width="8.140625" customWidth="1"/>
    <col min="6385" max="6385" width="27.42578125" customWidth="1"/>
    <col min="6386" max="6414" width="7.42578125" customWidth="1"/>
    <col min="6415" max="6416" width="18.140625" customWidth="1"/>
    <col min="6417" max="6418" width="16.42578125" customWidth="1"/>
    <col min="6419" max="6639" width="8" customWidth="1"/>
    <col min="6640" max="6640" width="8.140625" customWidth="1"/>
    <col min="6641" max="6641" width="27.42578125" customWidth="1"/>
    <col min="6642" max="6670" width="7.42578125" customWidth="1"/>
    <col min="6671" max="6672" width="18.140625" customWidth="1"/>
    <col min="6673" max="6674" width="16.42578125" customWidth="1"/>
    <col min="6675" max="6895" width="8" customWidth="1"/>
    <col min="6896" max="6896" width="8.140625" customWidth="1"/>
    <col min="6897" max="6897" width="27.42578125" customWidth="1"/>
    <col min="6898" max="6926" width="7.42578125" customWidth="1"/>
    <col min="6927" max="6928" width="18.140625" customWidth="1"/>
    <col min="6929" max="6930" width="16.42578125" customWidth="1"/>
    <col min="6931" max="7151" width="8" customWidth="1"/>
    <col min="7152" max="7152" width="8.140625" customWidth="1"/>
    <col min="7153" max="7153" width="27.42578125" customWidth="1"/>
    <col min="7154" max="7182" width="7.42578125" customWidth="1"/>
    <col min="7183" max="7184" width="18.140625" customWidth="1"/>
    <col min="7185" max="7186" width="16.42578125" customWidth="1"/>
    <col min="7187" max="7407" width="8" customWidth="1"/>
    <col min="7408" max="7408" width="8.140625" customWidth="1"/>
    <col min="7409" max="7409" width="27.42578125" customWidth="1"/>
    <col min="7410" max="7438" width="7.42578125" customWidth="1"/>
    <col min="7439" max="7440" width="18.140625" customWidth="1"/>
    <col min="7441" max="7442" width="16.42578125" customWidth="1"/>
    <col min="7443" max="7663" width="8" customWidth="1"/>
    <col min="7664" max="7664" width="8.140625" customWidth="1"/>
    <col min="7665" max="7665" width="27.42578125" customWidth="1"/>
    <col min="7666" max="7694" width="7.42578125" customWidth="1"/>
    <col min="7695" max="7696" width="18.140625" customWidth="1"/>
    <col min="7697" max="7698" width="16.42578125" customWidth="1"/>
    <col min="7699" max="7919" width="8" customWidth="1"/>
    <col min="7920" max="7920" width="8.140625" customWidth="1"/>
    <col min="7921" max="7921" width="27.42578125" customWidth="1"/>
    <col min="7922" max="7950" width="7.42578125" customWidth="1"/>
    <col min="7951" max="7952" width="18.140625" customWidth="1"/>
    <col min="7953" max="7954" width="16.42578125" customWidth="1"/>
    <col min="7955" max="8175" width="8" customWidth="1"/>
    <col min="8176" max="8176" width="8.140625" customWidth="1"/>
    <col min="8177" max="8177" width="27.42578125" customWidth="1"/>
    <col min="8178" max="8206" width="7.42578125" customWidth="1"/>
    <col min="8207" max="8208" width="18.140625" customWidth="1"/>
    <col min="8209" max="8210" width="16.42578125" customWidth="1"/>
    <col min="8211" max="8431" width="8" customWidth="1"/>
    <col min="8432" max="8432" width="8.140625" customWidth="1"/>
    <col min="8433" max="8433" width="27.42578125" customWidth="1"/>
    <col min="8434" max="8462" width="7.42578125" customWidth="1"/>
    <col min="8463" max="8464" width="18.140625" customWidth="1"/>
    <col min="8465" max="8466" width="16.42578125" customWidth="1"/>
    <col min="8467" max="8687" width="8" customWidth="1"/>
    <col min="8688" max="8688" width="8.140625" customWidth="1"/>
    <col min="8689" max="8689" width="27.42578125" customWidth="1"/>
    <col min="8690" max="8718" width="7.42578125" customWidth="1"/>
    <col min="8719" max="8720" width="18.140625" customWidth="1"/>
    <col min="8721" max="8722" width="16.42578125" customWidth="1"/>
    <col min="8723" max="8943" width="8" customWidth="1"/>
    <col min="8944" max="8944" width="8.140625" customWidth="1"/>
    <col min="8945" max="8945" width="27.42578125" customWidth="1"/>
    <col min="8946" max="8974" width="7.42578125" customWidth="1"/>
    <col min="8975" max="8976" width="18.140625" customWidth="1"/>
    <col min="8977" max="8978" width="16.42578125" customWidth="1"/>
    <col min="8979" max="9199" width="8" customWidth="1"/>
    <col min="9200" max="9200" width="8.140625" customWidth="1"/>
    <col min="9201" max="9201" width="27.42578125" customWidth="1"/>
    <col min="9202" max="9230" width="7.42578125" customWidth="1"/>
    <col min="9231" max="9232" width="18.140625" customWidth="1"/>
    <col min="9233" max="9234" width="16.42578125" customWidth="1"/>
    <col min="9235" max="9455" width="8" customWidth="1"/>
    <col min="9456" max="9456" width="8.140625" customWidth="1"/>
    <col min="9457" max="9457" width="27.42578125" customWidth="1"/>
    <col min="9458" max="9486" width="7.42578125" customWidth="1"/>
    <col min="9487" max="9488" width="18.140625" customWidth="1"/>
    <col min="9489" max="9490" width="16.42578125" customWidth="1"/>
    <col min="9491" max="9711" width="8" customWidth="1"/>
    <col min="9712" max="9712" width="8.140625" customWidth="1"/>
    <col min="9713" max="9713" width="27.42578125" customWidth="1"/>
    <col min="9714" max="9742" width="7.42578125" customWidth="1"/>
    <col min="9743" max="9744" width="18.140625" customWidth="1"/>
    <col min="9745" max="9746" width="16.42578125" customWidth="1"/>
    <col min="9747" max="9967" width="8" customWidth="1"/>
    <col min="9968" max="9968" width="8.140625" customWidth="1"/>
    <col min="9969" max="9969" width="27.42578125" customWidth="1"/>
    <col min="9970" max="9998" width="7.42578125" customWidth="1"/>
    <col min="9999" max="10000" width="18.140625" customWidth="1"/>
    <col min="10001" max="10002" width="16.42578125" customWidth="1"/>
    <col min="10003" max="10223" width="8" customWidth="1"/>
    <col min="10224" max="10224" width="8.140625" customWidth="1"/>
    <col min="10225" max="10225" width="27.42578125" customWidth="1"/>
    <col min="10226" max="10254" width="7.42578125" customWidth="1"/>
    <col min="10255" max="10256" width="18.140625" customWidth="1"/>
    <col min="10257" max="10258" width="16.42578125" customWidth="1"/>
    <col min="10259" max="10479" width="8" customWidth="1"/>
    <col min="10480" max="10480" width="8.140625" customWidth="1"/>
    <col min="10481" max="10481" width="27.42578125" customWidth="1"/>
    <col min="10482" max="10510" width="7.42578125" customWidth="1"/>
    <col min="10511" max="10512" width="18.140625" customWidth="1"/>
    <col min="10513" max="10514" width="16.42578125" customWidth="1"/>
    <col min="10515" max="10735" width="8" customWidth="1"/>
    <col min="10736" max="10736" width="8.140625" customWidth="1"/>
    <col min="10737" max="10737" width="27.42578125" customWidth="1"/>
    <col min="10738" max="10766" width="7.42578125" customWidth="1"/>
    <col min="10767" max="10768" width="18.140625" customWidth="1"/>
    <col min="10769" max="10770" width="16.42578125" customWidth="1"/>
    <col min="10771" max="10991" width="8" customWidth="1"/>
    <col min="10992" max="10992" width="8.140625" customWidth="1"/>
    <col min="10993" max="10993" width="27.42578125" customWidth="1"/>
    <col min="10994" max="11022" width="7.42578125" customWidth="1"/>
    <col min="11023" max="11024" width="18.140625" customWidth="1"/>
    <col min="11025" max="11026" width="16.42578125" customWidth="1"/>
    <col min="11027" max="11247" width="8" customWidth="1"/>
    <col min="11248" max="11248" width="8.140625" customWidth="1"/>
    <col min="11249" max="11249" width="27.42578125" customWidth="1"/>
    <col min="11250" max="11278" width="7.42578125" customWidth="1"/>
    <col min="11279" max="11280" width="18.140625" customWidth="1"/>
    <col min="11281" max="11282" width="16.42578125" customWidth="1"/>
    <col min="11283" max="11503" width="8" customWidth="1"/>
    <col min="11504" max="11504" width="8.140625" customWidth="1"/>
    <col min="11505" max="11505" width="27.42578125" customWidth="1"/>
    <col min="11506" max="11534" width="7.42578125" customWidth="1"/>
    <col min="11535" max="11536" width="18.140625" customWidth="1"/>
    <col min="11537" max="11538" width="16.42578125" customWidth="1"/>
    <col min="11539" max="11759" width="8" customWidth="1"/>
    <col min="11760" max="11760" width="8.140625" customWidth="1"/>
    <col min="11761" max="11761" width="27.42578125" customWidth="1"/>
    <col min="11762" max="11790" width="7.42578125" customWidth="1"/>
    <col min="11791" max="11792" width="18.140625" customWidth="1"/>
    <col min="11793" max="11794" width="16.42578125" customWidth="1"/>
    <col min="11795" max="12015" width="8" customWidth="1"/>
    <col min="12016" max="12016" width="8.140625" customWidth="1"/>
    <col min="12017" max="12017" width="27.42578125" customWidth="1"/>
    <col min="12018" max="12046" width="7.42578125" customWidth="1"/>
    <col min="12047" max="12048" width="18.140625" customWidth="1"/>
    <col min="12049" max="12050" width="16.42578125" customWidth="1"/>
    <col min="12051" max="12271" width="8" customWidth="1"/>
    <col min="12272" max="12272" width="8.140625" customWidth="1"/>
    <col min="12273" max="12273" width="27.42578125" customWidth="1"/>
    <col min="12274" max="12302" width="7.42578125" customWidth="1"/>
    <col min="12303" max="12304" width="18.140625" customWidth="1"/>
    <col min="12305" max="12306" width="16.42578125" customWidth="1"/>
    <col min="12307" max="12527" width="8" customWidth="1"/>
    <col min="12528" max="12528" width="8.140625" customWidth="1"/>
    <col min="12529" max="12529" width="27.42578125" customWidth="1"/>
    <col min="12530" max="12558" width="7.42578125" customWidth="1"/>
    <col min="12559" max="12560" width="18.140625" customWidth="1"/>
    <col min="12561" max="12562" width="16.42578125" customWidth="1"/>
    <col min="12563" max="12783" width="8" customWidth="1"/>
    <col min="12784" max="12784" width="8.140625" customWidth="1"/>
    <col min="12785" max="12785" width="27.42578125" customWidth="1"/>
    <col min="12786" max="12814" width="7.42578125" customWidth="1"/>
    <col min="12815" max="12816" width="18.140625" customWidth="1"/>
    <col min="12817" max="12818" width="16.42578125" customWidth="1"/>
    <col min="12819" max="13039" width="8" customWidth="1"/>
    <col min="13040" max="13040" width="8.140625" customWidth="1"/>
    <col min="13041" max="13041" width="27.42578125" customWidth="1"/>
    <col min="13042" max="13070" width="7.42578125" customWidth="1"/>
    <col min="13071" max="13072" width="18.140625" customWidth="1"/>
    <col min="13073" max="13074" width="16.42578125" customWidth="1"/>
    <col min="13075" max="13295" width="8" customWidth="1"/>
    <col min="13296" max="13296" width="8.140625" customWidth="1"/>
    <col min="13297" max="13297" width="27.42578125" customWidth="1"/>
    <col min="13298" max="13326" width="7.42578125" customWidth="1"/>
    <col min="13327" max="13328" width="18.140625" customWidth="1"/>
    <col min="13329" max="13330" width="16.42578125" customWidth="1"/>
    <col min="13331" max="13551" width="8" customWidth="1"/>
    <col min="13552" max="13552" width="8.140625" customWidth="1"/>
    <col min="13553" max="13553" width="27.42578125" customWidth="1"/>
    <col min="13554" max="13582" width="7.42578125" customWidth="1"/>
    <col min="13583" max="13584" width="18.140625" customWidth="1"/>
    <col min="13585" max="13586" width="16.42578125" customWidth="1"/>
    <col min="13587" max="13807" width="8" customWidth="1"/>
    <col min="13808" max="13808" width="8.140625" customWidth="1"/>
    <col min="13809" max="13809" width="27.42578125" customWidth="1"/>
    <col min="13810" max="13838" width="7.42578125" customWidth="1"/>
    <col min="13839" max="13840" width="18.140625" customWidth="1"/>
    <col min="13841" max="13842" width="16.42578125" customWidth="1"/>
    <col min="13843" max="14063" width="8" customWidth="1"/>
    <col min="14064" max="14064" width="8.140625" customWidth="1"/>
    <col min="14065" max="14065" width="27.42578125" customWidth="1"/>
    <col min="14066" max="14094" width="7.42578125" customWidth="1"/>
    <col min="14095" max="14096" width="18.140625" customWidth="1"/>
    <col min="14097" max="14098" width="16.42578125" customWidth="1"/>
    <col min="14099" max="14319" width="8" customWidth="1"/>
    <col min="14320" max="14320" width="8.140625" customWidth="1"/>
    <col min="14321" max="14321" width="27.42578125" customWidth="1"/>
    <col min="14322" max="14350" width="7.42578125" customWidth="1"/>
    <col min="14351" max="14352" width="18.140625" customWidth="1"/>
    <col min="14353" max="14354" width="16.42578125" customWidth="1"/>
    <col min="14355" max="14575" width="8" customWidth="1"/>
    <col min="14576" max="14576" width="8.140625" customWidth="1"/>
    <col min="14577" max="14577" width="27.42578125" customWidth="1"/>
    <col min="14578" max="14606" width="7.42578125" customWidth="1"/>
    <col min="14607" max="14608" width="18.140625" customWidth="1"/>
    <col min="14609" max="14610" width="16.42578125" customWidth="1"/>
    <col min="14611" max="14831" width="8" customWidth="1"/>
    <col min="14832" max="14832" width="8.140625" customWidth="1"/>
    <col min="14833" max="14833" width="27.42578125" customWidth="1"/>
    <col min="14834" max="14862" width="7.42578125" customWidth="1"/>
    <col min="14863" max="14864" width="18.140625" customWidth="1"/>
    <col min="14865" max="14866" width="16.42578125" customWidth="1"/>
    <col min="14867" max="15087" width="8" customWidth="1"/>
    <col min="15088" max="15088" width="8.140625" customWidth="1"/>
    <col min="15089" max="15089" width="27.42578125" customWidth="1"/>
    <col min="15090" max="15118" width="7.42578125" customWidth="1"/>
    <col min="15119" max="15120" width="18.140625" customWidth="1"/>
    <col min="15121" max="15122" width="16.42578125" customWidth="1"/>
    <col min="15123" max="15343" width="8" customWidth="1"/>
    <col min="15344" max="15344" width="8.140625" customWidth="1"/>
    <col min="15345" max="15345" width="27.42578125" customWidth="1"/>
    <col min="15346" max="15374" width="7.42578125" customWidth="1"/>
    <col min="15375" max="15376" width="18.140625" customWidth="1"/>
    <col min="15377" max="15378" width="16.42578125" customWidth="1"/>
    <col min="15379" max="15599" width="8" customWidth="1"/>
    <col min="15600" max="15600" width="8.140625" customWidth="1"/>
    <col min="15601" max="15601" width="27.42578125" customWidth="1"/>
    <col min="15602" max="15630" width="7.42578125" customWidth="1"/>
    <col min="15631" max="15632" width="18.140625" customWidth="1"/>
    <col min="15633" max="15634" width="16.42578125" customWidth="1"/>
    <col min="15635" max="15855" width="8" customWidth="1"/>
    <col min="15856" max="15856" width="8.140625" customWidth="1"/>
    <col min="15857" max="15857" width="27.42578125" customWidth="1"/>
    <col min="15858" max="15886" width="7.42578125" customWidth="1"/>
    <col min="15887" max="15888" width="18.140625" customWidth="1"/>
    <col min="15889" max="15890" width="16.42578125" customWidth="1"/>
    <col min="15891" max="16111" width="8" customWidth="1"/>
    <col min="16112" max="16112" width="8.140625" customWidth="1"/>
    <col min="16113" max="16113" width="27.42578125" customWidth="1"/>
    <col min="16114" max="16142" width="7.42578125" customWidth="1"/>
    <col min="16143" max="16144" width="18.140625" customWidth="1"/>
    <col min="16145" max="16146" width="16.42578125" customWidth="1"/>
    <col min="16147" max="16384" width="8" customWidth="1"/>
  </cols>
  <sheetData>
    <row r="1" spans="1:18" x14ac:dyDescent="0.25">
      <c r="A1" s="26" t="s">
        <v>1</v>
      </c>
      <c r="B1" s="26" t="s">
        <v>6</v>
      </c>
      <c r="C1" s="26" t="s">
        <v>46</v>
      </c>
      <c r="D1" s="26" t="s">
        <v>47</v>
      </c>
      <c r="E1" s="26" t="s">
        <v>48</v>
      </c>
      <c r="F1" s="26" t="s">
        <v>49</v>
      </c>
      <c r="G1" s="26" t="s">
        <v>50</v>
      </c>
      <c r="H1" s="26" t="s">
        <v>51</v>
      </c>
      <c r="I1" s="26" t="s">
        <v>52</v>
      </c>
      <c r="J1" s="26" t="s">
        <v>53</v>
      </c>
      <c r="K1" s="26" t="s">
        <v>54</v>
      </c>
      <c r="L1" s="26" t="s">
        <v>55</v>
      </c>
      <c r="M1" s="26" t="s">
        <v>56</v>
      </c>
      <c r="N1" s="26" t="s">
        <v>57</v>
      </c>
      <c r="O1" s="26" t="s">
        <v>58</v>
      </c>
      <c r="P1" s="26" t="s">
        <v>59</v>
      </c>
      <c r="Q1" s="32" t="s">
        <v>75</v>
      </c>
      <c r="R1" s="27" t="s">
        <v>2</v>
      </c>
    </row>
    <row r="2" spans="1:18" x14ac:dyDescent="0.25">
      <c r="A2" s="28">
        <v>1</v>
      </c>
      <c r="B2" s="29" t="s">
        <v>10</v>
      </c>
      <c r="C2" s="29" t="s">
        <v>26</v>
      </c>
      <c r="D2" s="29"/>
      <c r="E2" s="29"/>
      <c r="F2" s="37"/>
      <c r="G2" s="29"/>
      <c r="H2" s="29"/>
      <c r="I2" s="29"/>
      <c r="J2" s="29"/>
      <c r="K2" s="29"/>
      <c r="L2" s="29"/>
      <c r="M2" s="29"/>
      <c r="N2" s="29"/>
      <c r="O2" s="29"/>
      <c r="P2" s="29"/>
      <c r="Q2" s="28">
        <f>P2+O2+N2+M2+L2+K2+J2+I2+H2+G2+F2+E2+D2+C2</f>
        <v>11</v>
      </c>
      <c r="R2" s="30">
        <v>86</v>
      </c>
    </row>
    <row r="3" spans="1:18" x14ac:dyDescent="0.25">
      <c r="A3" s="28">
        <v>2</v>
      </c>
      <c r="B3" s="29" t="s">
        <v>11</v>
      </c>
      <c r="C3" s="29" t="s">
        <v>26</v>
      </c>
      <c r="D3" s="29"/>
      <c r="E3" s="29"/>
      <c r="F3" s="37">
        <v>11</v>
      </c>
      <c r="G3" s="29"/>
      <c r="H3" s="29" t="s">
        <v>26</v>
      </c>
      <c r="I3" s="29" t="s">
        <v>26</v>
      </c>
      <c r="J3" s="29" t="s">
        <v>26</v>
      </c>
      <c r="K3" s="29"/>
      <c r="L3" s="29"/>
      <c r="M3" s="29"/>
      <c r="N3" s="29"/>
      <c r="O3" s="29"/>
      <c r="P3" s="29"/>
      <c r="Q3" s="28">
        <f t="shared" ref="Q3:Q14" si="0">P3+O3+N3+M3+L3+K3+J3+I3+H3+G3+F3+E3+D3+C3</f>
        <v>55</v>
      </c>
      <c r="R3" s="30">
        <v>137</v>
      </c>
    </row>
    <row r="4" spans="1:18" x14ac:dyDescent="0.25">
      <c r="A4" s="28">
        <v>3</v>
      </c>
      <c r="B4" s="29" t="s">
        <v>12</v>
      </c>
      <c r="C4" s="29"/>
      <c r="D4" s="29"/>
      <c r="E4" s="29"/>
      <c r="F4" s="37">
        <v>11</v>
      </c>
      <c r="G4" s="29" t="s">
        <v>26</v>
      </c>
      <c r="H4" s="29" t="s">
        <v>26</v>
      </c>
      <c r="I4" s="29" t="s">
        <v>26</v>
      </c>
      <c r="J4" s="29" t="s">
        <v>26</v>
      </c>
      <c r="K4" s="29"/>
      <c r="L4" s="29"/>
      <c r="M4" s="29"/>
      <c r="N4" s="29"/>
      <c r="O4" s="29"/>
      <c r="P4" s="29"/>
      <c r="Q4" s="28">
        <f t="shared" si="0"/>
        <v>55</v>
      </c>
      <c r="R4" s="30">
        <v>95</v>
      </c>
    </row>
    <row r="5" spans="1:18" x14ac:dyDescent="0.25">
      <c r="A5" s="28">
        <v>4</v>
      </c>
      <c r="B5" s="29" t="s">
        <v>4</v>
      </c>
      <c r="C5" s="29" t="s">
        <v>26</v>
      </c>
      <c r="D5" s="29"/>
      <c r="E5" s="29"/>
      <c r="F5" s="37">
        <v>12</v>
      </c>
      <c r="G5" s="29" t="s">
        <v>26</v>
      </c>
      <c r="H5" s="29"/>
      <c r="I5" s="29"/>
      <c r="J5" s="29"/>
      <c r="K5" s="29"/>
      <c r="L5" s="29"/>
      <c r="M5" s="29"/>
      <c r="N5" s="29"/>
      <c r="O5" s="29"/>
      <c r="P5" s="29"/>
      <c r="Q5" s="28">
        <f t="shared" si="0"/>
        <v>34</v>
      </c>
      <c r="R5" s="30">
        <v>116</v>
      </c>
    </row>
    <row r="6" spans="1:18" x14ac:dyDescent="0.25">
      <c r="A6" s="28">
        <v>5</v>
      </c>
      <c r="B6" s="29" t="s">
        <v>76</v>
      </c>
      <c r="C6" s="29" t="s">
        <v>65</v>
      </c>
      <c r="D6" s="29"/>
      <c r="E6" s="29"/>
      <c r="F6" s="37"/>
      <c r="G6" s="29"/>
      <c r="H6" s="29"/>
      <c r="I6" s="29"/>
      <c r="J6" s="29"/>
      <c r="K6" s="29"/>
      <c r="L6" s="29"/>
      <c r="M6" s="29"/>
      <c r="N6" s="29"/>
      <c r="O6" s="29"/>
      <c r="P6" s="29"/>
      <c r="Q6" s="28">
        <f t="shared" si="0"/>
        <v>12</v>
      </c>
      <c r="R6" s="30">
        <v>98</v>
      </c>
    </row>
    <row r="7" spans="1:18" x14ac:dyDescent="0.25">
      <c r="A7" s="28">
        <v>6</v>
      </c>
      <c r="B7" s="29" t="s">
        <v>19</v>
      </c>
      <c r="C7" s="29" t="s">
        <v>26</v>
      </c>
      <c r="D7" s="29"/>
      <c r="E7" s="29"/>
      <c r="F7" s="37"/>
      <c r="G7" s="29"/>
      <c r="H7" s="29"/>
      <c r="I7" s="29"/>
      <c r="J7" s="29"/>
      <c r="K7" s="29"/>
      <c r="L7" s="29"/>
      <c r="M7" s="29"/>
      <c r="N7" s="29"/>
      <c r="O7" s="29"/>
      <c r="P7" s="29"/>
      <c r="Q7" s="28">
        <f t="shared" si="0"/>
        <v>11</v>
      </c>
      <c r="R7" s="30">
        <v>95</v>
      </c>
    </row>
    <row r="8" spans="1:18" x14ac:dyDescent="0.25">
      <c r="A8" s="28">
        <v>7</v>
      </c>
      <c r="B8" s="29" t="s">
        <v>77</v>
      </c>
      <c r="C8" s="29" t="s">
        <v>26</v>
      </c>
      <c r="D8" s="29"/>
      <c r="E8" s="29"/>
      <c r="F8" s="37"/>
      <c r="G8" s="29"/>
      <c r="H8" s="29"/>
      <c r="I8" s="29"/>
      <c r="J8" s="29"/>
      <c r="K8" s="29"/>
      <c r="L8" s="29"/>
      <c r="M8" s="29"/>
      <c r="N8" s="29"/>
      <c r="O8" s="29"/>
      <c r="P8" s="29"/>
      <c r="Q8" s="28">
        <f t="shared" si="0"/>
        <v>11</v>
      </c>
      <c r="R8" s="30">
        <v>106</v>
      </c>
    </row>
    <row r="9" spans="1:18" x14ac:dyDescent="0.25">
      <c r="A9" s="28">
        <v>8</v>
      </c>
      <c r="B9" s="29" t="s">
        <v>78</v>
      </c>
      <c r="C9" s="29" t="s">
        <v>26</v>
      </c>
      <c r="D9" s="29"/>
      <c r="E9" s="29"/>
      <c r="F9" s="37"/>
      <c r="G9" s="29"/>
      <c r="H9" s="29"/>
      <c r="I9" s="29"/>
      <c r="J9" s="29"/>
      <c r="K9" s="29"/>
      <c r="L9" s="29"/>
      <c r="M9" s="29"/>
      <c r="N9" s="29"/>
      <c r="O9" s="29"/>
      <c r="P9" s="29"/>
      <c r="Q9" s="28">
        <f t="shared" si="0"/>
        <v>11</v>
      </c>
      <c r="R9" s="30">
        <v>84</v>
      </c>
    </row>
    <row r="10" spans="1:18" x14ac:dyDescent="0.25">
      <c r="A10" s="28">
        <v>9</v>
      </c>
      <c r="B10" s="29" t="s">
        <v>3</v>
      </c>
      <c r="C10" s="29"/>
      <c r="D10" s="29"/>
      <c r="E10" s="29"/>
      <c r="F10" s="37"/>
      <c r="G10" s="29" t="s">
        <v>26</v>
      </c>
      <c r="H10" s="29"/>
      <c r="I10" s="29" t="s">
        <v>26</v>
      </c>
      <c r="J10" s="29" t="s">
        <v>26</v>
      </c>
      <c r="K10" s="29"/>
      <c r="L10" s="29"/>
      <c r="M10" s="29"/>
      <c r="N10" s="29"/>
      <c r="O10" s="29"/>
      <c r="P10" s="29"/>
      <c r="Q10" s="28">
        <f t="shared" si="0"/>
        <v>33</v>
      </c>
      <c r="R10" s="30">
        <v>33</v>
      </c>
    </row>
    <row r="11" spans="1:18" x14ac:dyDescent="0.25">
      <c r="A11" s="28">
        <v>10</v>
      </c>
      <c r="B11" s="29" t="s">
        <v>20</v>
      </c>
      <c r="C11" s="29"/>
      <c r="D11" s="29"/>
      <c r="E11" s="29"/>
      <c r="F11" s="37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8">
        <f t="shared" si="0"/>
        <v>0</v>
      </c>
      <c r="R11" s="30">
        <v>0</v>
      </c>
    </row>
    <row r="12" spans="1:18" x14ac:dyDescent="0.25">
      <c r="A12" s="28">
        <v>11</v>
      </c>
      <c r="B12" s="29" t="s">
        <v>21</v>
      </c>
      <c r="C12" s="29"/>
      <c r="D12" s="29"/>
      <c r="E12" s="29"/>
      <c r="F12" s="37">
        <v>11</v>
      </c>
      <c r="G12" s="29">
        <v>12</v>
      </c>
      <c r="H12" s="29">
        <v>12</v>
      </c>
      <c r="I12" s="29">
        <v>12</v>
      </c>
      <c r="J12" s="29">
        <v>12</v>
      </c>
      <c r="K12" s="29"/>
      <c r="L12" s="29"/>
      <c r="M12" s="29"/>
      <c r="N12" s="29"/>
      <c r="O12" s="29"/>
      <c r="P12" s="29"/>
      <c r="Q12" s="28">
        <f t="shared" si="0"/>
        <v>59</v>
      </c>
      <c r="R12" s="30">
        <v>44</v>
      </c>
    </row>
    <row r="13" spans="1:18" x14ac:dyDescent="0.25">
      <c r="A13" s="28">
        <v>12</v>
      </c>
      <c r="B13" s="29" t="s">
        <v>43</v>
      </c>
      <c r="C13" s="29"/>
      <c r="D13" s="29"/>
      <c r="E13" s="29"/>
      <c r="F13" s="37">
        <v>11</v>
      </c>
      <c r="G13" s="29" t="s">
        <v>26</v>
      </c>
      <c r="H13" s="29" t="s">
        <v>26</v>
      </c>
      <c r="I13" s="29" t="s">
        <v>26</v>
      </c>
      <c r="J13" s="29" t="s">
        <v>26</v>
      </c>
      <c r="K13" s="29"/>
      <c r="L13" s="29"/>
      <c r="M13" s="29"/>
      <c r="N13" s="29"/>
      <c r="O13" s="29"/>
      <c r="P13" s="29"/>
      <c r="Q13" s="28">
        <f t="shared" si="0"/>
        <v>55</v>
      </c>
      <c r="R13" s="30">
        <v>44</v>
      </c>
    </row>
    <row r="14" spans="1:18" x14ac:dyDescent="0.25">
      <c r="A14" s="28">
        <v>13</v>
      </c>
      <c r="B14" s="29" t="s">
        <v>45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8">
        <f t="shared" si="0"/>
        <v>0</v>
      </c>
      <c r="R14" s="30">
        <v>0</v>
      </c>
    </row>
    <row r="15" spans="1:18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33"/>
      <c r="R15" s="31">
        <v>938</v>
      </c>
    </row>
    <row r="16" spans="1:18" x14ac:dyDescent="0.25">
      <c r="B16" s="38" t="s">
        <v>79</v>
      </c>
    </row>
  </sheetData>
  <pageMargins left="0" right="0" top="0.74803149606299213" bottom="0.74803149606299213" header="0.31496062992125984" footer="0.31496062992125984"/>
  <pageSetup paperSize="9" scale="73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0"/>
  <dimension ref="A1:Q26"/>
  <sheetViews>
    <sheetView workbookViewId="0">
      <selection activeCell="C2" sqref="C2:P25"/>
    </sheetView>
  </sheetViews>
  <sheetFormatPr defaultColWidth="8.85546875" defaultRowHeight="15.75" x14ac:dyDescent="0.25"/>
  <cols>
    <col min="1" max="1" width="6.42578125" style="6" customWidth="1"/>
    <col min="2" max="2" width="42.42578125" style="6" customWidth="1"/>
    <col min="3" max="16" width="8.85546875" style="6"/>
    <col min="17" max="17" width="13.5703125" style="6" customWidth="1"/>
    <col min="18" max="16384" width="8.85546875" style="6"/>
  </cols>
  <sheetData>
    <row r="1" spans="1:17" ht="78.599999999999994" customHeight="1" x14ac:dyDescent="0.25">
      <c r="A1" s="39" t="s">
        <v>1</v>
      </c>
      <c r="B1" s="41" t="s">
        <v>6</v>
      </c>
      <c r="C1" s="47">
        <v>45338</v>
      </c>
      <c r="D1" s="47">
        <v>45339</v>
      </c>
      <c r="E1" s="47">
        <v>45340</v>
      </c>
      <c r="F1" s="47">
        <v>45341</v>
      </c>
      <c r="G1" s="47">
        <v>45342</v>
      </c>
      <c r="H1" s="47">
        <v>45343</v>
      </c>
      <c r="I1" s="47">
        <v>45344</v>
      </c>
      <c r="J1" s="47">
        <v>45345</v>
      </c>
      <c r="K1" s="47">
        <v>45346</v>
      </c>
      <c r="L1" s="47">
        <v>45347</v>
      </c>
      <c r="M1" s="47">
        <v>45348</v>
      </c>
      <c r="N1" s="47">
        <v>45349</v>
      </c>
      <c r="O1" s="47">
        <v>45350</v>
      </c>
      <c r="P1" s="47">
        <v>45351</v>
      </c>
      <c r="Q1" s="43" t="s">
        <v>2</v>
      </c>
    </row>
    <row r="2" spans="1:17" x14ac:dyDescent="0.25">
      <c r="A2" s="40">
        <v>1</v>
      </c>
      <c r="B2" s="42" t="s">
        <v>80</v>
      </c>
      <c r="C2" s="44" t="s">
        <v>26</v>
      </c>
      <c r="D2" s="44" t="s">
        <v>25</v>
      </c>
      <c r="E2" s="44"/>
      <c r="F2" s="44" t="s">
        <v>26</v>
      </c>
      <c r="G2" s="44"/>
      <c r="H2" s="44" t="s">
        <v>26</v>
      </c>
      <c r="I2" s="44" t="s">
        <v>26</v>
      </c>
      <c r="J2" s="44" t="s">
        <v>26</v>
      </c>
      <c r="K2" s="44" t="s">
        <v>26</v>
      </c>
      <c r="L2" s="44"/>
      <c r="M2" s="44"/>
      <c r="N2" s="44" t="s">
        <v>26</v>
      </c>
      <c r="O2" s="44" t="s">
        <v>26</v>
      </c>
      <c r="P2" s="44" t="s">
        <v>26</v>
      </c>
      <c r="Q2" s="45">
        <f>P2+O2+N2+M2+L2+K2+J2+I2+H2+G2+F2+E2+D2+C2</f>
        <v>108</v>
      </c>
    </row>
    <row r="3" spans="1:17" x14ac:dyDescent="0.25">
      <c r="A3" s="40">
        <v>2</v>
      </c>
      <c r="B3" s="42" t="s">
        <v>18</v>
      </c>
      <c r="C3" s="44" t="s">
        <v>26</v>
      </c>
      <c r="D3" s="44" t="s">
        <v>25</v>
      </c>
      <c r="E3" s="44"/>
      <c r="F3" s="44" t="s">
        <v>26</v>
      </c>
      <c r="G3" s="44" t="s">
        <v>26</v>
      </c>
      <c r="H3" s="44" t="s">
        <v>26</v>
      </c>
      <c r="I3" s="44" t="s">
        <v>26</v>
      </c>
      <c r="J3" s="44" t="s">
        <v>26</v>
      </c>
      <c r="K3" s="44" t="s">
        <v>26</v>
      </c>
      <c r="L3" s="44"/>
      <c r="M3" s="44" t="s">
        <v>26</v>
      </c>
      <c r="N3" s="44" t="s">
        <v>26</v>
      </c>
      <c r="O3" s="44" t="s">
        <v>66</v>
      </c>
      <c r="P3" s="44" t="s">
        <v>65</v>
      </c>
      <c r="Q3" s="45">
        <f t="shared" ref="Q3:Q25" si="0">P3+O3+N3+M3+L3+K3+J3+I3+H3+G3+F3+E3+D3+C3</f>
        <v>133</v>
      </c>
    </row>
    <row r="4" spans="1:17" x14ac:dyDescent="0.25">
      <c r="A4" s="40">
        <v>3</v>
      </c>
      <c r="B4" s="42" t="s">
        <v>3</v>
      </c>
      <c r="C4" s="44" t="s">
        <v>26</v>
      </c>
      <c r="D4" s="44"/>
      <c r="E4" s="44"/>
      <c r="F4" s="44" t="s">
        <v>26</v>
      </c>
      <c r="G4" s="44"/>
      <c r="H4" s="44" t="s">
        <v>26</v>
      </c>
      <c r="I4" s="44"/>
      <c r="J4" s="44"/>
      <c r="K4" s="44"/>
      <c r="L4" s="44" t="s">
        <v>26</v>
      </c>
      <c r="M4" s="44" t="s">
        <v>26</v>
      </c>
      <c r="N4" s="44" t="s">
        <v>26</v>
      </c>
      <c r="O4" s="44" t="s">
        <v>26</v>
      </c>
      <c r="P4" s="44" t="s">
        <v>26</v>
      </c>
      <c r="Q4" s="45">
        <f t="shared" si="0"/>
        <v>88</v>
      </c>
    </row>
    <row r="5" spans="1:17" x14ac:dyDescent="0.25">
      <c r="A5" s="40">
        <v>4</v>
      </c>
      <c r="B5" s="42" t="s">
        <v>10</v>
      </c>
      <c r="C5" s="44"/>
      <c r="D5" s="44"/>
      <c r="E5" s="44"/>
      <c r="F5" s="44" t="s">
        <v>26</v>
      </c>
      <c r="G5" s="44" t="s">
        <v>26</v>
      </c>
      <c r="H5" s="44" t="s">
        <v>26</v>
      </c>
      <c r="I5" s="44" t="s">
        <v>26</v>
      </c>
      <c r="J5" s="44" t="s">
        <v>26</v>
      </c>
      <c r="K5" s="44" t="s">
        <v>26</v>
      </c>
      <c r="L5" s="44"/>
      <c r="M5" s="44" t="s">
        <v>26</v>
      </c>
      <c r="N5" s="44" t="s">
        <v>26</v>
      </c>
      <c r="O5" s="44" t="s">
        <v>26</v>
      </c>
      <c r="P5" s="44" t="s">
        <v>26</v>
      </c>
      <c r="Q5" s="45">
        <f t="shared" si="0"/>
        <v>110</v>
      </c>
    </row>
    <row r="6" spans="1:17" x14ac:dyDescent="0.25">
      <c r="A6" s="40">
        <v>5</v>
      </c>
      <c r="B6" s="42" t="s">
        <v>11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 t="s">
        <v>26</v>
      </c>
      <c r="N6" s="44" t="s">
        <v>26</v>
      </c>
      <c r="O6" s="44" t="s">
        <v>26</v>
      </c>
      <c r="P6" s="44" t="s">
        <v>26</v>
      </c>
      <c r="Q6" s="45">
        <f t="shared" si="0"/>
        <v>44</v>
      </c>
    </row>
    <row r="7" spans="1:17" x14ac:dyDescent="0.25">
      <c r="A7" s="40">
        <v>6</v>
      </c>
      <c r="B7" s="42" t="s">
        <v>12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 t="s">
        <v>26</v>
      </c>
      <c r="N7" s="44" t="s">
        <v>26</v>
      </c>
      <c r="O7" s="44" t="s">
        <v>26</v>
      </c>
      <c r="P7" s="44" t="s">
        <v>26</v>
      </c>
      <c r="Q7" s="45">
        <f t="shared" si="0"/>
        <v>44</v>
      </c>
    </row>
    <row r="8" spans="1:17" x14ac:dyDescent="0.25">
      <c r="A8" s="40">
        <v>7</v>
      </c>
      <c r="B8" s="42" t="s">
        <v>13</v>
      </c>
      <c r="C8" s="44" t="s">
        <v>26</v>
      </c>
      <c r="D8" s="44" t="s">
        <v>25</v>
      </c>
      <c r="E8" s="44"/>
      <c r="F8" s="44" t="s">
        <v>26</v>
      </c>
      <c r="G8" s="44"/>
      <c r="H8" s="44" t="s">
        <v>26</v>
      </c>
      <c r="I8" s="44" t="s">
        <v>26</v>
      </c>
      <c r="J8" s="44" t="s">
        <v>26</v>
      </c>
      <c r="K8" s="44" t="s">
        <v>26</v>
      </c>
      <c r="L8" s="44" t="s">
        <v>24</v>
      </c>
      <c r="M8" s="44" t="s">
        <v>26</v>
      </c>
      <c r="N8" s="44" t="s">
        <v>26</v>
      </c>
      <c r="O8" s="44" t="s">
        <v>26</v>
      </c>
      <c r="P8" s="44" t="s">
        <v>26</v>
      </c>
      <c r="Q8" s="45">
        <f t="shared" si="0"/>
        <v>127</v>
      </c>
    </row>
    <row r="9" spans="1:17" x14ac:dyDescent="0.25">
      <c r="A9" s="40">
        <v>8</v>
      </c>
      <c r="B9" s="42" t="s">
        <v>14</v>
      </c>
      <c r="C9" s="44" t="s">
        <v>26</v>
      </c>
      <c r="D9" s="44" t="s">
        <v>25</v>
      </c>
      <c r="E9" s="44"/>
      <c r="F9" s="44" t="s">
        <v>26</v>
      </c>
      <c r="G9" s="44"/>
      <c r="H9" s="44" t="s">
        <v>26</v>
      </c>
      <c r="I9" s="44" t="s">
        <v>26</v>
      </c>
      <c r="J9" s="44" t="s">
        <v>26</v>
      </c>
      <c r="K9" s="44" t="s">
        <v>26</v>
      </c>
      <c r="L9" s="44"/>
      <c r="M9" s="44" t="s">
        <v>26</v>
      </c>
      <c r="N9" s="44" t="s">
        <v>26</v>
      </c>
      <c r="O9" s="44" t="s">
        <v>65</v>
      </c>
      <c r="P9" s="44" t="s">
        <v>26</v>
      </c>
      <c r="Q9" s="45">
        <f t="shared" si="0"/>
        <v>120</v>
      </c>
    </row>
    <row r="10" spans="1:17" x14ac:dyDescent="0.25">
      <c r="A10" s="40">
        <v>9</v>
      </c>
      <c r="B10" s="42" t="s">
        <v>15</v>
      </c>
      <c r="C10" s="44" t="s">
        <v>26</v>
      </c>
      <c r="D10" s="44" t="s">
        <v>25</v>
      </c>
      <c r="E10" s="44"/>
      <c r="F10" s="44" t="s">
        <v>26</v>
      </c>
      <c r="G10" s="44" t="s">
        <v>26</v>
      </c>
      <c r="H10" s="44" t="s">
        <v>26</v>
      </c>
      <c r="I10" s="44" t="s">
        <v>26</v>
      </c>
      <c r="J10" s="44" t="s">
        <v>26</v>
      </c>
      <c r="K10" s="44" t="s">
        <v>26</v>
      </c>
      <c r="L10" s="44" t="s">
        <v>24</v>
      </c>
      <c r="M10" s="44" t="s">
        <v>26</v>
      </c>
      <c r="N10" s="44" t="s">
        <v>26</v>
      </c>
      <c r="O10" s="44"/>
      <c r="P10" s="44"/>
      <c r="Q10" s="45">
        <f t="shared" si="0"/>
        <v>116</v>
      </c>
    </row>
    <row r="11" spans="1:17" x14ac:dyDescent="0.25">
      <c r="A11" s="40">
        <v>10</v>
      </c>
      <c r="B11" s="42" t="s">
        <v>16</v>
      </c>
      <c r="C11" s="44" t="s">
        <v>26</v>
      </c>
      <c r="D11" s="44" t="s">
        <v>25</v>
      </c>
      <c r="E11" s="44"/>
      <c r="F11" s="44" t="s">
        <v>26</v>
      </c>
      <c r="G11" s="44" t="s">
        <v>26</v>
      </c>
      <c r="H11" s="44" t="s">
        <v>26</v>
      </c>
      <c r="I11" s="44" t="s">
        <v>26</v>
      </c>
      <c r="J11" s="44" t="s">
        <v>26</v>
      </c>
      <c r="K11" s="44" t="s">
        <v>26</v>
      </c>
      <c r="L11" s="44"/>
      <c r="M11" s="44" t="s">
        <v>26</v>
      </c>
      <c r="N11" s="44" t="s">
        <v>26</v>
      </c>
      <c r="O11" s="44" t="s">
        <v>26</v>
      </c>
      <c r="P11" s="44" t="s">
        <v>26</v>
      </c>
      <c r="Q11" s="45">
        <f t="shared" si="0"/>
        <v>130</v>
      </c>
    </row>
    <row r="12" spans="1:17" x14ac:dyDescent="0.25">
      <c r="A12" s="40">
        <v>11</v>
      </c>
      <c r="B12" s="42" t="s">
        <v>34</v>
      </c>
      <c r="C12" s="44" t="s">
        <v>26</v>
      </c>
      <c r="D12" s="44" t="s">
        <v>25</v>
      </c>
      <c r="E12" s="44"/>
      <c r="F12" s="44" t="s">
        <v>26</v>
      </c>
      <c r="G12" s="44" t="s">
        <v>26</v>
      </c>
      <c r="H12" s="44" t="s">
        <v>26</v>
      </c>
      <c r="I12" s="44" t="s">
        <v>26</v>
      </c>
      <c r="J12" s="44" t="s">
        <v>26</v>
      </c>
      <c r="K12" s="44" t="s">
        <v>26</v>
      </c>
      <c r="L12" s="44"/>
      <c r="M12" s="44" t="s">
        <v>26</v>
      </c>
      <c r="N12" s="44" t="s">
        <v>26</v>
      </c>
      <c r="O12" s="44" t="s">
        <v>67</v>
      </c>
      <c r="P12" s="44" t="s">
        <v>26</v>
      </c>
      <c r="Q12" s="45">
        <f t="shared" si="0"/>
        <v>133</v>
      </c>
    </row>
    <row r="13" spans="1:17" x14ac:dyDescent="0.25">
      <c r="A13" s="40">
        <v>12</v>
      </c>
      <c r="B13" s="42" t="s">
        <v>4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5">
        <f t="shared" si="0"/>
        <v>0</v>
      </c>
    </row>
    <row r="14" spans="1:17" x14ac:dyDescent="0.25">
      <c r="A14" s="40">
        <v>13</v>
      </c>
      <c r="B14" s="42" t="s">
        <v>5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 t="s">
        <v>26</v>
      </c>
      <c r="O14" s="44" t="s">
        <v>26</v>
      </c>
      <c r="P14" s="44" t="s">
        <v>26</v>
      </c>
      <c r="Q14" s="45">
        <f t="shared" si="0"/>
        <v>33</v>
      </c>
    </row>
    <row r="15" spans="1:17" x14ac:dyDescent="0.25">
      <c r="A15" s="40">
        <v>14</v>
      </c>
      <c r="B15" s="42" t="s">
        <v>17</v>
      </c>
      <c r="C15" s="44"/>
      <c r="D15" s="44"/>
      <c r="E15" s="44"/>
      <c r="F15" s="44" t="s">
        <v>26</v>
      </c>
      <c r="G15" s="44" t="s">
        <v>26</v>
      </c>
      <c r="H15" s="44" t="s">
        <v>26</v>
      </c>
      <c r="I15" s="44" t="s">
        <v>26</v>
      </c>
      <c r="J15" s="44" t="s">
        <v>26</v>
      </c>
      <c r="K15" s="44" t="s">
        <v>26</v>
      </c>
      <c r="L15" s="44" t="s">
        <v>24</v>
      </c>
      <c r="M15" s="44" t="s">
        <v>26</v>
      </c>
      <c r="N15" s="44" t="s">
        <v>26</v>
      </c>
      <c r="O15" s="44" t="s">
        <v>66</v>
      </c>
      <c r="P15" s="44" t="s">
        <v>65</v>
      </c>
      <c r="Q15" s="45">
        <f t="shared" si="0"/>
        <v>121</v>
      </c>
    </row>
    <row r="16" spans="1:17" x14ac:dyDescent="0.25">
      <c r="A16" s="40">
        <v>15</v>
      </c>
      <c r="B16" s="42" t="s">
        <v>37</v>
      </c>
      <c r="C16" s="44"/>
      <c r="D16" s="44"/>
      <c r="E16" s="44"/>
      <c r="F16" s="44"/>
      <c r="G16" s="44"/>
      <c r="H16" s="44"/>
      <c r="I16" s="44"/>
      <c r="J16" s="44" t="s">
        <v>26</v>
      </c>
      <c r="K16" s="44" t="s">
        <v>26</v>
      </c>
      <c r="L16" s="44"/>
      <c r="M16" s="44" t="s">
        <v>26</v>
      </c>
      <c r="N16" s="44" t="s">
        <v>26</v>
      </c>
      <c r="O16" s="44" t="s">
        <v>26</v>
      </c>
      <c r="P16" s="44" t="s">
        <v>26</v>
      </c>
      <c r="Q16" s="45">
        <f t="shared" si="0"/>
        <v>66</v>
      </c>
    </row>
    <row r="17" spans="1:17" x14ac:dyDescent="0.25">
      <c r="A17" s="40">
        <v>16</v>
      </c>
      <c r="B17" s="42" t="s">
        <v>38</v>
      </c>
      <c r="C17" s="44"/>
      <c r="D17" s="44" t="s">
        <v>25</v>
      </c>
      <c r="E17" s="44"/>
      <c r="F17" s="44" t="s">
        <v>26</v>
      </c>
      <c r="G17" s="44" t="s">
        <v>26</v>
      </c>
      <c r="H17" s="44" t="s">
        <v>26</v>
      </c>
      <c r="I17" s="44" t="s">
        <v>26</v>
      </c>
      <c r="J17" s="44" t="s">
        <v>26</v>
      </c>
      <c r="K17" s="44" t="s">
        <v>26</v>
      </c>
      <c r="L17" s="44"/>
      <c r="M17" s="44" t="s">
        <v>26</v>
      </c>
      <c r="N17" s="44" t="s">
        <v>26</v>
      </c>
      <c r="O17" s="44" t="s">
        <v>26</v>
      </c>
      <c r="P17" s="44" t="s">
        <v>26</v>
      </c>
      <c r="Q17" s="45">
        <f t="shared" si="0"/>
        <v>119</v>
      </c>
    </row>
    <row r="18" spans="1:17" x14ac:dyDescent="0.25">
      <c r="A18" s="40">
        <v>17</v>
      </c>
      <c r="B18" s="42" t="s">
        <v>7</v>
      </c>
      <c r="C18" s="44" t="s">
        <v>26</v>
      </c>
      <c r="D18" s="44"/>
      <c r="E18" s="44"/>
      <c r="F18" s="44" t="s">
        <v>26</v>
      </c>
      <c r="G18" s="44" t="s">
        <v>26</v>
      </c>
      <c r="H18" s="44" t="s">
        <v>26</v>
      </c>
      <c r="I18" s="44" t="s">
        <v>26</v>
      </c>
      <c r="J18" s="44" t="s">
        <v>26</v>
      </c>
      <c r="K18" s="44" t="s">
        <v>26</v>
      </c>
      <c r="L18" s="44"/>
      <c r="M18" s="44"/>
      <c r="N18" s="44" t="s">
        <v>26</v>
      </c>
      <c r="O18" s="44" t="s">
        <v>26</v>
      </c>
      <c r="P18" s="44" t="s">
        <v>26</v>
      </c>
      <c r="Q18" s="45">
        <f t="shared" si="0"/>
        <v>110</v>
      </c>
    </row>
    <row r="19" spans="1:17" x14ac:dyDescent="0.25">
      <c r="A19" s="40">
        <v>18</v>
      </c>
      <c r="B19" s="42" t="s">
        <v>19</v>
      </c>
      <c r="C19" s="44"/>
      <c r="D19" s="44"/>
      <c r="E19" s="44"/>
      <c r="F19" s="44" t="s">
        <v>26</v>
      </c>
      <c r="G19" s="44" t="s">
        <v>26</v>
      </c>
      <c r="H19" s="44" t="s">
        <v>26</v>
      </c>
      <c r="I19" s="44" t="s">
        <v>26</v>
      </c>
      <c r="J19" s="44" t="s">
        <v>26</v>
      </c>
      <c r="K19" s="44" t="s">
        <v>26</v>
      </c>
      <c r="L19" s="44"/>
      <c r="M19" s="44" t="s">
        <v>26</v>
      </c>
      <c r="N19" s="44" t="s">
        <v>26</v>
      </c>
      <c r="O19" s="44" t="s">
        <v>66</v>
      </c>
      <c r="P19" s="44" t="s">
        <v>65</v>
      </c>
      <c r="Q19" s="45">
        <f t="shared" si="0"/>
        <v>113</v>
      </c>
    </row>
    <row r="20" spans="1:17" x14ac:dyDescent="0.25">
      <c r="A20" s="40">
        <v>19</v>
      </c>
      <c r="B20" s="42" t="s">
        <v>40</v>
      </c>
      <c r="C20" s="44" t="s">
        <v>26</v>
      </c>
      <c r="D20" s="44" t="s">
        <v>25</v>
      </c>
      <c r="E20" s="44"/>
      <c r="F20" s="44" t="s">
        <v>26</v>
      </c>
      <c r="G20" s="44" t="s">
        <v>26</v>
      </c>
      <c r="H20" s="44" t="s">
        <v>26</v>
      </c>
      <c r="I20" s="44" t="s">
        <v>26</v>
      </c>
      <c r="J20" s="44" t="s">
        <v>26</v>
      </c>
      <c r="K20" s="44" t="s">
        <v>26</v>
      </c>
      <c r="L20" s="44" t="s">
        <v>62</v>
      </c>
      <c r="M20" s="44" t="s">
        <v>26</v>
      </c>
      <c r="N20" s="44" t="s">
        <v>26</v>
      </c>
      <c r="O20" s="44" t="s">
        <v>26</v>
      </c>
      <c r="P20" s="44" t="s">
        <v>26</v>
      </c>
      <c r="Q20" s="45">
        <f t="shared" si="0"/>
        <v>133</v>
      </c>
    </row>
    <row r="21" spans="1:17" x14ac:dyDescent="0.25">
      <c r="A21" s="40">
        <v>20</v>
      </c>
      <c r="B21" s="42" t="s">
        <v>77</v>
      </c>
      <c r="C21" s="44"/>
      <c r="D21" s="44"/>
      <c r="E21" s="44"/>
      <c r="F21" s="44" t="s">
        <v>26</v>
      </c>
      <c r="G21" s="44"/>
      <c r="H21" s="44" t="s">
        <v>26</v>
      </c>
      <c r="I21" s="44" t="s">
        <v>26</v>
      </c>
      <c r="J21" s="44" t="s">
        <v>26</v>
      </c>
      <c r="K21" s="44" t="s">
        <v>26</v>
      </c>
      <c r="L21" s="44" t="s">
        <v>24</v>
      </c>
      <c r="M21" s="44" t="s">
        <v>26</v>
      </c>
      <c r="N21" s="44" t="s">
        <v>26</v>
      </c>
      <c r="O21" s="44" t="s">
        <v>26</v>
      </c>
      <c r="P21" s="44" t="s">
        <v>26</v>
      </c>
      <c r="Q21" s="45">
        <f t="shared" si="0"/>
        <v>107</v>
      </c>
    </row>
    <row r="22" spans="1:17" x14ac:dyDescent="0.25">
      <c r="A22" s="40">
        <v>21</v>
      </c>
      <c r="B22" s="42" t="s">
        <v>21</v>
      </c>
      <c r="C22" s="44" t="s">
        <v>26</v>
      </c>
      <c r="D22" s="44" t="s">
        <v>25</v>
      </c>
      <c r="E22" s="44"/>
      <c r="F22" s="44"/>
      <c r="G22" s="44"/>
      <c r="H22" s="44"/>
      <c r="I22" s="44"/>
      <c r="J22" s="44"/>
      <c r="K22" s="44"/>
      <c r="L22" s="44" t="s">
        <v>26</v>
      </c>
      <c r="M22" s="44" t="s">
        <v>26</v>
      </c>
      <c r="N22" s="44" t="s">
        <v>26</v>
      </c>
      <c r="O22" s="44" t="s">
        <v>26</v>
      </c>
      <c r="P22" s="44" t="s">
        <v>26</v>
      </c>
      <c r="Q22" s="45">
        <f t="shared" si="0"/>
        <v>75</v>
      </c>
    </row>
    <row r="23" spans="1:17" x14ac:dyDescent="0.25">
      <c r="A23" s="40">
        <v>22</v>
      </c>
      <c r="B23" s="42" t="s">
        <v>43</v>
      </c>
      <c r="C23" s="44" t="s">
        <v>26</v>
      </c>
      <c r="D23" s="44" t="s">
        <v>25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 t="s">
        <v>26</v>
      </c>
      <c r="Q23" s="45">
        <f t="shared" si="0"/>
        <v>31</v>
      </c>
    </row>
    <row r="24" spans="1:17" x14ac:dyDescent="0.25">
      <c r="A24" s="40">
        <v>23</v>
      </c>
      <c r="B24" s="42" t="s">
        <v>78</v>
      </c>
      <c r="C24" s="44"/>
      <c r="D24" s="44"/>
      <c r="E24" s="44"/>
      <c r="F24" s="44" t="s">
        <v>64</v>
      </c>
      <c r="G24" s="44" t="s">
        <v>26</v>
      </c>
      <c r="H24" s="44" t="s">
        <v>26</v>
      </c>
      <c r="I24" s="44" t="s">
        <v>26</v>
      </c>
      <c r="J24" s="44" t="s">
        <v>26</v>
      </c>
      <c r="K24" s="44" t="s">
        <v>26</v>
      </c>
      <c r="L24" s="44" t="s">
        <v>24</v>
      </c>
      <c r="M24" s="44" t="s">
        <v>26</v>
      </c>
      <c r="N24" s="44" t="s">
        <v>26</v>
      </c>
      <c r="O24" s="44" t="s">
        <v>26</v>
      </c>
      <c r="P24" s="44" t="s">
        <v>26</v>
      </c>
      <c r="Q24" s="45">
        <f t="shared" si="0"/>
        <v>117</v>
      </c>
    </row>
    <row r="25" spans="1:17" x14ac:dyDescent="0.25">
      <c r="A25" s="40">
        <v>24</v>
      </c>
      <c r="B25" s="42" t="s">
        <v>45</v>
      </c>
      <c r="C25" s="44" t="s">
        <v>26</v>
      </c>
      <c r="D25" s="44" t="s">
        <v>25</v>
      </c>
      <c r="E25" s="44"/>
      <c r="F25" s="44" t="s">
        <v>26</v>
      </c>
      <c r="G25" s="44" t="s">
        <v>26</v>
      </c>
      <c r="H25" s="44" t="s">
        <v>26</v>
      </c>
      <c r="I25" s="44" t="s">
        <v>26</v>
      </c>
      <c r="J25" s="44" t="s">
        <v>26</v>
      </c>
      <c r="K25" s="44" t="s">
        <v>26</v>
      </c>
      <c r="L25" s="44" t="s">
        <v>24</v>
      </c>
      <c r="M25" s="44" t="s">
        <v>26</v>
      </c>
      <c r="N25" s="44" t="s">
        <v>26</v>
      </c>
      <c r="O25" s="44" t="s">
        <v>66</v>
      </c>
      <c r="P25" s="44" t="s">
        <v>65</v>
      </c>
      <c r="Q25" s="45">
        <f t="shared" si="0"/>
        <v>141</v>
      </c>
    </row>
    <row r="26" spans="1:17" x14ac:dyDescent="0.25">
      <c r="A26" s="39"/>
      <c r="B26" s="41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6">
        <f>SUM(Q2:Q25)</f>
        <v>2319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Лист2</vt:lpstr>
      <vt:lpstr>Лист1</vt:lpstr>
      <vt:lpstr>Табель цех 16 по 30 серпня</vt:lpstr>
      <vt:lpstr>Цо</vt:lpstr>
      <vt:lpstr>ИТР</vt:lpstr>
      <vt:lpstr>IRS</vt:lpstr>
      <vt:lpstr>Катеринополь</vt:lpstr>
      <vt:lpstr>Червоний хрест</vt:lpstr>
      <vt:lpstr>ООН 2025</vt:lpstr>
      <vt:lpstr>Кернел</vt:lpstr>
      <vt:lpstr>Глобино Мк</vt:lpstr>
      <vt:lpstr>МД Франківськ</vt:lpstr>
      <vt:lpstr>Распределени</vt:lpstr>
      <vt:lpstr>Загальна по роботам</vt:lpstr>
      <vt:lpstr>1С Крушинка</vt:lpstr>
      <vt:lpstr>1С цех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cfo</cp:lastModifiedBy>
  <cp:lastPrinted>2024-07-31T08:29:56Z</cp:lastPrinted>
  <dcterms:created xsi:type="dcterms:W3CDTF">2015-06-05T18:17:20Z</dcterms:created>
  <dcterms:modified xsi:type="dcterms:W3CDTF">2025-09-22T20:20:27Z</dcterms:modified>
</cp:coreProperties>
</file>
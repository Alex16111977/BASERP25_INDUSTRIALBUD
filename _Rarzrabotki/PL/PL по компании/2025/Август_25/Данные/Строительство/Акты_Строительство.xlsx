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Август_2025\Данные\Строительство\"/>
    </mc:Choice>
  </mc:AlternateContent>
  <xr:revisionPtr revIDLastSave="0" documentId="13_ncr:1_{97EC1E92-2E65-4052-9DC3-5555672CA272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definedNames>
    <definedName name="_xlnm._FilterDatabase" localSheetId="0" hidden="1">Sheet1!$A$1:$I$56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0" i="1" l="1"/>
  <c r="D61" i="1"/>
  <c r="D59" i="1"/>
  <c r="D62" i="1" s="1"/>
  <c r="D56" i="1"/>
  <c r="D63" i="1" l="1"/>
</calcChain>
</file>

<file path=xl/sharedStrings.xml><?xml version="1.0" encoding="utf-8"?>
<sst xmlns="http://schemas.openxmlformats.org/spreadsheetml/2006/main" count="444" uniqueCount="170">
  <si>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</si>
  <si>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</si>
  <si>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</si>
  <si>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</si>
  <si>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</si>
  <si>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</si>
  <si>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</si>
  <si>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</si>
  <si>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</si>
  <si>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грн</t>
  </si>
  <si>
    <t>ТОВ "ІНДАСТРІАЛБУД"</t>
  </si>
  <si>
    <t>АСТАРТА АГРО ПРОТЕЇН ТОВ</t>
  </si>
  <si>
    <t>Виробничий (Глобине-2)</t>
  </si>
  <si>
    <t>Хлань Елена</t>
  </si>
  <si>
    <t>07.08.2025 21:00:02</t>
  </si>
  <si>
    <t>ІБ00-000498</t>
  </si>
  <si>
    <t>КАТЕРИНОПІЛЬСЬКИЙ ЕЛЕВАТОР ТОВ</t>
  </si>
  <si>
    <t>Виробничий (Катеринопіль МХП)</t>
  </si>
  <si>
    <t>Акт 3 (Транспортна галерея) списання цех, мшп</t>
  </si>
  <si>
    <t>12.08.2025 09:15:59</t>
  </si>
  <si>
    <t>ІБ00-000457</t>
  </si>
  <si>
    <t>Аулова Маргарита</t>
  </si>
  <si>
    <t>Акт 27/1.3-ТХ (Цех екстракції поз. 3 ГБ)</t>
  </si>
  <si>
    <t>12.08.2025 14:42:48</t>
  </si>
  <si>
    <t>ІБ00-000432</t>
  </si>
  <si>
    <t xml:space="preserve"> Акт 15/1.26_Б</t>
  </si>
  <si>
    <t>12.08.2025 14:43:21</t>
  </si>
  <si>
    <t>ІБ00-000433</t>
  </si>
  <si>
    <t xml:space="preserve"> Акт 17/1.1-КБ (АПК) (печатка Глобине)</t>
  </si>
  <si>
    <t>12.08.2025 14:43:55</t>
  </si>
  <si>
    <t>ІБ00-000434</t>
  </si>
  <si>
    <t xml:space="preserve"> Акт 3/1.1-АР</t>
  </si>
  <si>
    <t>12.08.2025 14:44:29</t>
  </si>
  <si>
    <t>ІБ00-000435</t>
  </si>
  <si>
    <t>Акт 61/1.3-КМ(Цех екстракції поз. 3 ГБ)</t>
  </si>
  <si>
    <t>12.08.2025 14:46:57</t>
  </si>
  <si>
    <t>ІБ00-000436</t>
  </si>
  <si>
    <t xml:space="preserve"> Акт 1/1.7-КБ</t>
  </si>
  <si>
    <t>12.08.2025 14:47:39</t>
  </si>
  <si>
    <t>ІБ00-000437</t>
  </si>
  <si>
    <t xml:space="preserve"> Акт 27/1.9-КБ (СПК)</t>
  </si>
  <si>
    <t>12.08.2025 14:48:16</t>
  </si>
  <si>
    <t>ІБ00-000438</t>
  </si>
  <si>
    <t xml:space="preserve"> Акт 19/1.9-ЗБ</t>
  </si>
  <si>
    <t>12.08.2025 14:48:52</t>
  </si>
  <si>
    <t>ІБ00-000439</t>
  </si>
  <si>
    <t xml:space="preserve"> Акт 13/1.9-КМ (СПК)</t>
  </si>
  <si>
    <t>12.08.2025 14:49:34</t>
  </si>
  <si>
    <t>ІБ00-000440</t>
  </si>
  <si>
    <t xml:space="preserve"> Акт 16/1.10-КБ</t>
  </si>
  <si>
    <t>12.08.2025 14:50:13</t>
  </si>
  <si>
    <t>ІБ00-000441</t>
  </si>
  <si>
    <t xml:space="preserve"> Акт 21/1.14-КМ (Котельня)</t>
  </si>
  <si>
    <t>12.08.2025 14:50:57</t>
  </si>
  <si>
    <t>ІБ00-000442</t>
  </si>
  <si>
    <t xml:space="preserve"> Акт 14/1.14-АР (Котельня)</t>
  </si>
  <si>
    <t>13.08.2025 09:13:15</t>
  </si>
  <si>
    <t>ІБ00-000456</t>
  </si>
  <si>
    <t xml:space="preserve"> Акт 2/1.7-КБ</t>
  </si>
  <si>
    <t>13.08.2025 09:16:52</t>
  </si>
  <si>
    <t>ІБ00-000458</t>
  </si>
  <si>
    <t xml:space="preserve"> Акт 20/1.9-ЗБ матеріали підрядника, без списань</t>
  </si>
  <si>
    <t>13.08.2025 09:17:48</t>
  </si>
  <si>
    <t>ІБ00-000459</t>
  </si>
  <si>
    <t xml:space="preserve"> Акт 14/1.9-КМ (СПК)</t>
  </si>
  <si>
    <t>13.08.2025 09:38:51</t>
  </si>
  <si>
    <t>ІБ00-000463</t>
  </si>
  <si>
    <t>Акт 28/1.3-ТХ (Цех екстракції поз. 3 ГБ)</t>
  </si>
  <si>
    <t>13.08.2025 15:27:20</t>
  </si>
  <si>
    <t>ІБ00-000452</t>
  </si>
  <si>
    <t xml:space="preserve"> Акт 1/1.16-КМ (Пожежний резервуар) списання цех</t>
  </si>
  <si>
    <t>13.08.2025 15:33:55</t>
  </si>
  <si>
    <t>ІБ00-000453</t>
  </si>
  <si>
    <t>Акт 62/1.3-КМ(Цех екстракції поз. 3 ГБ)</t>
  </si>
  <si>
    <t>13.08.2025 15:35:37</t>
  </si>
  <si>
    <t>ІБ00-000454</t>
  </si>
  <si>
    <t xml:space="preserve"> Акт 28/1.9-КБ (СПК)</t>
  </si>
  <si>
    <t>13.08.2025 15:37:38</t>
  </si>
  <si>
    <t>ІБ00-000455</t>
  </si>
  <si>
    <t xml:space="preserve"> Акт 17/1.10-КБ</t>
  </si>
  <si>
    <t>19.08.2025 00:00:00</t>
  </si>
  <si>
    <t>ІБ00-000460</t>
  </si>
  <si>
    <t>Акт 3/1.5-ТХ (Насосна пожежогасіння поз.7 по ГП)</t>
  </si>
  <si>
    <t>ІБ00-000464</t>
  </si>
  <si>
    <t xml:space="preserve"> Акт 24/1.14-КБ (Котельня)</t>
  </si>
  <si>
    <t>ІБ00-000468</t>
  </si>
  <si>
    <t xml:space="preserve"> Акт 3/1.7-КБ</t>
  </si>
  <si>
    <t>ІБ00-000469</t>
  </si>
  <si>
    <t xml:space="preserve"> Акт 18/1.1-КБ (АПК) (печатка Глобине)</t>
  </si>
  <si>
    <t>ІБ00-000472</t>
  </si>
  <si>
    <t>Акт 63/1.3-КМ(Цех екстракції поз. 3 ГБ)</t>
  </si>
  <si>
    <t>ІБ00-000473</t>
  </si>
  <si>
    <t xml:space="preserve"> Акт 15/1.14-АР (Котельня)</t>
  </si>
  <si>
    <t>ІБ00-000476</t>
  </si>
  <si>
    <t xml:space="preserve"> Акт 21/1.9-ЗБ матеріали підрядника , без списань</t>
  </si>
  <si>
    <t>ІБ00-000477</t>
  </si>
  <si>
    <t xml:space="preserve"> Акт 15/1.9-КМ (СПК)</t>
  </si>
  <si>
    <t>ІБ00-000478</t>
  </si>
  <si>
    <t xml:space="preserve"> Акт 29/1.9-КБ (СПК)</t>
  </si>
  <si>
    <t>ІБ00-000479</t>
  </si>
  <si>
    <t xml:space="preserve"> Акт 18/1.10-КБ</t>
  </si>
  <si>
    <t>19.08.2025 15:40:20</t>
  </si>
  <si>
    <t>ІБ00-000475</t>
  </si>
  <si>
    <t xml:space="preserve"> Акт 3/1.10-ЗБ</t>
  </si>
  <si>
    <t>22.08.2025 14:37:46</t>
  </si>
  <si>
    <t>ІБ00-000470</t>
  </si>
  <si>
    <t>Акт 29/1.3-ТХ (Цех екстракції поз. 3 ГБ)</t>
  </si>
  <si>
    <t>22.08.2025 14:38:23</t>
  </si>
  <si>
    <t>ІБ00-000471</t>
  </si>
  <si>
    <t>Акт 3/1.5-АР (насосна,градирня)</t>
  </si>
  <si>
    <t>22.08.2025 18:06:02</t>
  </si>
  <si>
    <t>ІБ00-000511</t>
  </si>
  <si>
    <t>Акт 4 (Охолодження макухи)</t>
  </si>
  <si>
    <t>22.08.2025 18:06:03</t>
  </si>
  <si>
    <t>ІБ00-000512</t>
  </si>
  <si>
    <t>Акт 7 № 09/05/2025ВО від 09.05.2025</t>
  </si>
  <si>
    <t>25.08.2025 11:31:34</t>
  </si>
  <si>
    <t>ІБ00-000501</t>
  </si>
  <si>
    <t>АГРОФІРМА ІМ. ДОВЖЕНКА ТОВ</t>
  </si>
  <si>
    <t>Виробничий (Астарта_Тищенки)</t>
  </si>
  <si>
    <t>Ємність освітлених вод Акт  3-01</t>
  </si>
  <si>
    <t>25.08.2025 11:33:29</t>
  </si>
  <si>
    <t>ІБ00-000502</t>
  </si>
  <si>
    <t>Корівник № 7 Акт  2-01</t>
  </si>
  <si>
    <t>26.08.2025 23:53:29</t>
  </si>
  <si>
    <t>ІБ00-000528</t>
  </si>
  <si>
    <t>Акт 1 ДУ 8</t>
  </si>
  <si>
    <t>27.08.2025 14:28:27</t>
  </si>
  <si>
    <t>ІБ00-000490</t>
  </si>
  <si>
    <t>Акт 64/1.3-КМ(Цех екстракції поз. 3 ГБ)</t>
  </si>
  <si>
    <t>27.08.2025 14:30:35</t>
  </si>
  <si>
    <t>ІБ00-000492</t>
  </si>
  <si>
    <t>Акт 30/1.3-ТХ (Цех екстракції поз. 3 ГБ)</t>
  </si>
  <si>
    <t>29.08.2025 00:00:00</t>
  </si>
  <si>
    <t>ІБ00-000484</t>
  </si>
  <si>
    <t xml:space="preserve"> Акт 16/1.26_Б</t>
  </si>
  <si>
    <t>ІБ00-000486</t>
  </si>
  <si>
    <t xml:space="preserve"> Акт 16/1.14-АР (Котельня)</t>
  </si>
  <si>
    <t>ІБ00-000495</t>
  </si>
  <si>
    <t>Акт 4/1.5-ТХ (Насосна ), тільки мшп</t>
  </si>
  <si>
    <t>ІБ00-000496</t>
  </si>
  <si>
    <t>Акт 2/1.5-ТХ (Насосна пожежогасіння поз.7 по ГП) матеріали підрядника, без списань</t>
  </si>
  <si>
    <t>ІБ00-000497</t>
  </si>
  <si>
    <t>Акт 9/1.5-КБ (насосна,градирня)</t>
  </si>
  <si>
    <t>ІБ00-000504</t>
  </si>
  <si>
    <t>Акт 65/1.3-КМ(Цех екстракції поз. 3 ГБ)</t>
  </si>
  <si>
    <t>29.08.2025 14:23:14</t>
  </si>
  <si>
    <t>ІБ00-000485</t>
  </si>
  <si>
    <t xml:space="preserve"> Акт 2/1.16-КМ (Пожежний резервуар)</t>
  </si>
  <si>
    <t>29.08.2025 14:24:29</t>
  </si>
  <si>
    <t>ІБ00-000487</t>
  </si>
  <si>
    <t xml:space="preserve"> Акт 19/1.10-КБ</t>
  </si>
  <si>
    <t>29.08.2025 14:25:18</t>
  </si>
  <si>
    <t>ІБ00-000488</t>
  </si>
  <si>
    <t xml:space="preserve"> Акт 16/1.9-КМ (СПК)</t>
  </si>
  <si>
    <t>29.08.2025 14:27:54</t>
  </si>
  <si>
    <t>ІБ00-000489</t>
  </si>
  <si>
    <t xml:space="preserve"> Акт 22/1.9-ЗБ (матеріали підрядника Капіталбудмонтаж)</t>
  </si>
  <si>
    <t>29.08.2025 14:30:03</t>
  </si>
  <si>
    <t>ІБ00-000491</t>
  </si>
  <si>
    <t xml:space="preserve"> Акт 19/1.1-КБ (АПК)</t>
  </si>
  <si>
    <t>29.08.2025 14:31:12</t>
  </si>
  <si>
    <t>ІБ00-000493</t>
  </si>
  <si>
    <t xml:space="preserve"> Акт 4/1.7-КБ</t>
  </si>
  <si>
    <t>29.08.2025 14:31:45</t>
  </si>
  <si>
    <t>ІБ00-000494</t>
  </si>
  <si>
    <t xml:space="preserve"> Акт 4/1.1-АР</t>
  </si>
  <si>
    <t>Астарта.Тищенки</t>
  </si>
  <si>
    <t>Глобино-2</t>
  </si>
  <si>
    <t>МХП Катеринополь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</si>
</sst>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4" fontId="4" fillId="0" borderId="0" xfId="0" applyNumberFormat="1" applyFont="1"/>
  </cellXfs>
  <cellStyles count="2">
    <cellStyle name="Обычный" xfId="0" builtinId="0"/>
    <cellStyle name="Обычный_Sheet1" xfId="1" xr:uid="{388F58CD-059B-414E-BC42-E5DD63A58F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50" workbookViewId="0">
      <selection activeCell="D67" sqref="D67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50.5546875" bestFit="1" customWidth="1"/>
    <col min="4" max="4" width="12.33203125" bestFit="1" customWidth="1"/>
    <col min="5" max="5" width="7.6640625" bestFit="1" customWidth="1"/>
    <col min="6" max="6" width="24.109375" bestFit="1" customWidth="1"/>
    <col min="7" max="7" width="16.6640625" bestFit="1" customWidth="1"/>
    <col min="8" max="8" width="14.5546875" bestFit="1" customWidth="1"/>
    <col min="9" max="9" width="59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14</v>
      </c>
      <c r="B2" s="2" t="s">
        <v>15</v>
      </c>
      <c r="C2" s="2" t="s">
        <v>16</v>
      </c>
      <c r="D2" s="3">
        <v>666510.85</v>
      </c>
      <c r="E2" s="2" t="s">
        <v>9</v>
      </c>
      <c r="F2" s="2" t="s">
        <v>17</v>
      </c>
      <c r="G2" s="2" t="s">
        <v>10</v>
      </c>
      <c r="H2" s="2" t="s">
        <v>13</v>
      </c>
      <c r="I2" s="2" t="s">
        <v>18</v>
      </c>
    </row>
    <row r="3" spans="1:9" x14ac:dyDescent="0.3">
      <c r="A3" s="2" t="s">
        <v>19</v>
      </c>
      <c r="B3" s="2" t="s">
        <v>20</v>
      </c>
      <c r="C3" s="2" t="s">
        <v>11</v>
      </c>
      <c r="D3" s="3">
        <v>6459297.1900000004</v>
      </c>
      <c r="E3" s="2" t="s">
        <v>9</v>
      </c>
      <c r="F3" s="2" t="s">
        <v>12</v>
      </c>
      <c r="G3" s="2" t="s">
        <v>10</v>
      </c>
      <c r="H3" s="2" t="s">
        <v>21</v>
      </c>
      <c r="I3" s="2" t="s">
        <v>22</v>
      </c>
    </row>
    <row r="4" spans="1:9" x14ac:dyDescent="0.3">
      <c r="A4" s="2" t="s">
        <v>23</v>
      </c>
      <c r="B4" s="2" t="s">
        <v>24</v>
      </c>
      <c r="C4" s="2" t="s">
        <v>11</v>
      </c>
      <c r="D4" s="3">
        <v>421086.11</v>
      </c>
      <c r="E4" s="2" t="s">
        <v>9</v>
      </c>
      <c r="F4" s="2" t="s">
        <v>12</v>
      </c>
      <c r="G4" s="2" t="s">
        <v>10</v>
      </c>
      <c r="H4" s="2" t="s">
        <v>13</v>
      </c>
      <c r="I4" s="2" t="s">
        <v>25</v>
      </c>
    </row>
    <row r="5" spans="1:9" x14ac:dyDescent="0.3">
      <c r="A5" s="2" t="s">
        <v>26</v>
      </c>
      <c r="B5" s="2" t="s">
        <v>27</v>
      </c>
      <c r="C5" s="2" t="s">
        <v>11</v>
      </c>
      <c r="D5" s="3">
        <v>214332.47</v>
      </c>
      <c r="E5" s="2" t="s">
        <v>9</v>
      </c>
      <c r="F5" s="2" t="s">
        <v>12</v>
      </c>
      <c r="G5" s="2" t="s">
        <v>10</v>
      </c>
      <c r="H5" s="2" t="s">
        <v>13</v>
      </c>
      <c r="I5" s="2" t="s">
        <v>28</v>
      </c>
    </row>
    <row r="6" spans="1:9" x14ac:dyDescent="0.3">
      <c r="A6" s="2" t="s">
        <v>29</v>
      </c>
      <c r="B6" s="2" t="s">
        <v>30</v>
      </c>
      <c r="C6" s="2" t="s">
        <v>11</v>
      </c>
      <c r="D6" s="3">
        <v>174747.6</v>
      </c>
      <c r="E6" s="2" t="s">
        <v>9</v>
      </c>
      <c r="F6" s="2" t="s">
        <v>12</v>
      </c>
      <c r="G6" s="2" t="s">
        <v>10</v>
      </c>
      <c r="H6" s="2" t="s">
        <v>13</v>
      </c>
      <c r="I6" s="2" t="s">
        <v>31</v>
      </c>
    </row>
    <row r="7" spans="1:9" x14ac:dyDescent="0.3">
      <c r="A7" s="2" t="s">
        <v>32</v>
      </c>
      <c r="B7" s="2" t="s">
        <v>33</v>
      </c>
      <c r="C7" s="2" t="s">
        <v>11</v>
      </c>
      <c r="D7" s="3">
        <v>422773.04</v>
      </c>
      <c r="E7" s="2" t="s">
        <v>9</v>
      </c>
      <c r="F7" s="2" t="s">
        <v>12</v>
      </c>
      <c r="G7" s="2" t="s">
        <v>10</v>
      </c>
      <c r="H7" s="2" t="s">
        <v>13</v>
      </c>
      <c r="I7" s="2" t="s">
        <v>34</v>
      </c>
    </row>
    <row r="8" spans="1:9" x14ac:dyDescent="0.3">
      <c r="A8" s="2" t="s">
        <v>35</v>
      </c>
      <c r="B8" s="2" t="s">
        <v>36</v>
      </c>
      <c r="C8" s="2" t="s">
        <v>11</v>
      </c>
      <c r="D8" s="3">
        <v>93361.32</v>
      </c>
      <c r="E8" s="2" t="s">
        <v>9</v>
      </c>
      <c r="F8" s="2" t="s">
        <v>12</v>
      </c>
      <c r="G8" s="2" t="s">
        <v>10</v>
      </c>
      <c r="H8" s="2" t="s">
        <v>13</v>
      </c>
      <c r="I8" s="2" t="s">
        <v>37</v>
      </c>
    </row>
    <row r="9" spans="1:9" x14ac:dyDescent="0.3">
      <c r="A9" s="2" t="s">
        <v>38</v>
      </c>
      <c r="B9" s="2" t="s">
        <v>39</v>
      </c>
      <c r="C9" s="2" t="s">
        <v>11</v>
      </c>
      <c r="D9" s="3">
        <v>187204.46</v>
      </c>
      <c r="E9" s="2" t="s">
        <v>9</v>
      </c>
      <c r="F9" s="2" t="s">
        <v>12</v>
      </c>
      <c r="G9" s="2" t="s">
        <v>10</v>
      </c>
      <c r="H9" s="2" t="s">
        <v>13</v>
      </c>
      <c r="I9" s="2" t="s">
        <v>40</v>
      </c>
    </row>
    <row r="10" spans="1:9" x14ac:dyDescent="0.3">
      <c r="A10" s="2" t="s">
        <v>41</v>
      </c>
      <c r="B10" s="2" t="s">
        <v>42</v>
      </c>
      <c r="C10" s="2" t="s">
        <v>11</v>
      </c>
      <c r="D10" s="3">
        <v>504976.01</v>
      </c>
      <c r="E10" s="2" t="s">
        <v>9</v>
      </c>
      <c r="F10" s="2" t="s">
        <v>12</v>
      </c>
      <c r="G10" s="2" t="s">
        <v>10</v>
      </c>
      <c r="H10" s="2" t="s">
        <v>13</v>
      </c>
      <c r="I10" s="2" t="s">
        <v>43</v>
      </c>
    </row>
    <row r="11" spans="1:9" x14ac:dyDescent="0.3">
      <c r="A11" s="2" t="s">
        <v>44</v>
      </c>
      <c r="B11" s="2" t="s">
        <v>45</v>
      </c>
      <c r="C11" s="2" t="s">
        <v>11</v>
      </c>
      <c r="D11" s="3">
        <v>190758.35</v>
      </c>
      <c r="E11" s="2" t="s">
        <v>9</v>
      </c>
      <c r="F11" s="2" t="s">
        <v>12</v>
      </c>
      <c r="G11" s="2" t="s">
        <v>10</v>
      </c>
      <c r="H11" s="2" t="s">
        <v>13</v>
      </c>
      <c r="I11" s="2" t="s">
        <v>46</v>
      </c>
    </row>
    <row r="12" spans="1:9" x14ac:dyDescent="0.3">
      <c r="A12" s="2" t="s">
        <v>47</v>
      </c>
      <c r="B12" s="2" t="s">
        <v>48</v>
      </c>
      <c r="C12" s="2" t="s">
        <v>11</v>
      </c>
      <c r="D12" s="3">
        <v>15274.72</v>
      </c>
      <c r="E12" s="2" t="s">
        <v>9</v>
      </c>
      <c r="F12" s="2" t="s">
        <v>12</v>
      </c>
      <c r="G12" s="2" t="s">
        <v>10</v>
      </c>
      <c r="H12" s="2" t="s">
        <v>13</v>
      </c>
      <c r="I12" s="2" t="s">
        <v>49</v>
      </c>
    </row>
    <row r="13" spans="1:9" x14ac:dyDescent="0.3">
      <c r="A13" s="2" t="s">
        <v>50</v>
      </c>
      <c r="B13" s="2" t="s">
        <v>51</v>
      </c>
      <c r="C13" s="2" t="s">
        <v>11</v>
      </c>
      <c r="D13" s="3">
        <v>84989.94</v>
      </c>
      <c r="E13" s="2" t="s">
        <v>9</v>
      </c>
      <c r="F13" s="2" t="s">
        <v>12</v>
      </c>
      <c r="G13" s="2" t="s">
        <v>10</v>
      </c>
      <c r="H13" s="2" t="s">
        <v>13</v>
      </c>
      <c r="I13" s="2" t="s">
        <v>52</v>
      </c>
    </row>
    <row r="14" spans="1:9" x14ac:dyDescent="0.3">
      <c r="A14" s="2" t="s">
        <v>53</v>
      </c>
      <c r="B14" s="2" t="s">
        <v>54</v>
      </c>
      <c r="C14" s="2" t="s">
        <v>11</v>
      </c>
      <c r="D14" s="3">
        <v>210509.3</v>
      </c>
      <c r="E14" s="2" t="s">
        <v>9</v>
      </c>
      <c r="F14" s="2" t="s">
        <v>12</v>
      </c>
      <c r="G14" s="2" t="s">
        <v>10</v>
      </c>
      <c r="H14" s="2" t="s">
        <v>13</v>
      </c>
      <c r="I14" s="2" t="s">
        <v>55</v>
      </c>
    </row>
    <row r="15" spans="1:9" x14ac:dyDescent="0.3">
      <c r="A15" s="2" t="s">
        <v>56</v>
      </c>
      <c r="B15" s="2" t="s">
        <v>57</v>
      </c>
      <c r="C15" s="2" t="s">
        <v>11</v>
      </c>
      <c r="D15" s="3">
        <v>281081.78000000003</v>
      </c>
      <c r="E15" s="2" t="s">
        <v>9</v>
      </c>
      <c r="F15" s="2" t="s">
        <v>12</v>
      </c>
      <c r="G15" s="2" t="s">
        <v>10</v>
      </c>
      <c r="H15" s="2" t="s">
        <v>21</v>
      </c>
      <c r="I15" s="2" t="s">
        <v>58</v>
      </c>
    </row>
    <row r="16" spans="1:9" x14ac:dyDescent="0.3">
      <c r="A16" s="2" t="s">
        <v>59</v>
      </c>
      <c r="B16" s="2" t="s">
        <v>60</v>
      </c>
      <c r="C16" s="2" t="s">
        <v>11</v>
      </c>
      <c r="D16" s="3">
        <v>929963.12</v>
      </c>
      <c r="E16" s="2" t="s">
        <v>9</v>
      </c>
      <c r="F16" s="2" t="s">
        <v>12</v>
      </c>
      <c r="G16" s="2" t="s">
        <v>10</v>
      </c>
      <c r="H16" s="2" t="s">
        <v>21</v>
      </c>
      <c r="I16" s="2" t="s">
        <v>61</v>
      </c>
    </row>
    <row r="17" spans="1:9" x14ac:dyDescent="0.3">
      <c r="A17" s="2" t="s">
        <v>62</v>
      </c>
      <c r="B17" s="2" t="s">
        <v>63</v>
      </c>
      <c r="C17" s="2" t="s">
        <v>11</v>
      </c>
      <c r="D17" s="3">
        <v>512578.14</v>
      </c>
      <c r="E17" s="2" t="s">
        <v>9</v>
      </c>
      <c r="F17" s="2" t="s">
        <v>12</v>
      </c>
      <c r="G17" s="2" t="s">
        <v>10</v>
      </c>
      <c r="H17" s="2" t="s">
        <v>21</v>
      </c>
      <c r="I17" s="2" t="s">
        <v>64</v>
      </c>
    </row>
    <row r="18" spans="1:9" x14ac:dyDescent="0.3">
      <c r="A18" s="2" t="s">
        <v>65</v>
      </c>
      <c r="B18" s="2" t="s">
        <v>66</v>
      </c>
      <c r="C18" s="2" t="s">
        <v>11</v>
      </c>
      <c r="D18" s="3">
        <v>7027277.7999999998</v>
      </c>
      <c r="E18" s="2" t="s">
        <v>9</v>
      </c>
      <c r="F18" s="2" t="s">
        <v>12</v>
      </c>
      <c r="G18" s="2" t="s">
        <v>10</v>
      </c>
      <c r="H18" s="2" t="s">
        <v>13</v>
      </c>
      <c r="I18" s="2" t="s">
        <v>67</v>
      </c>
    </row>
    <row r="19" spans="1:9" x14ac:dyDescent="0.3">
      <c r="A19" s="2" t="s">
        <v>68</v>
      </c>
      <c r="B19" s="2" t="s">
        <v>69</v>
      </c>
      <c r="C19" s="2" t="s">
        <v>11</v>
      </c>
      <c r="D19" s="3">
        <v>1378449.89</v>
      </c>
      <c r="E19" s="2" t="s">
        <v>9</v>
      </c>
      <c r="F19" s="2" t="s">
        <v>12</v>
      </c>
      <c r="G19" s="2" t="s">
        <v>10</v>
      </c>
      <c r="H19" s="2" t="s">
        <v>13</v>
      </c>
      <c r="I19" s="2" t="s">
        <v>70</v>
      </c>
    </row>
    <row r="20" spans="1:9" x14ac:dyDescent="0.3">
      <c r="A20" s="2" t="s">
        <v>71</v>
      </c>
      <c r="B20" s="2" t="s">
        <v>72</v>
      </c>
      <c r="C20" s="2" t="s">
        <v>11</v>
      </c>
      <c r="D20" s="3">
        <v>309149.46999999997</v>
      </c>
      <c r="E20" s="2" t="s">
        <v>9</v>
      </c>
      <c r="F20" s="2" t="s">
        <v>12</v>
      </c>
      <c r="G20" s="2" t="s">
        <v>10</v>
      </c>
      <c r="H20" s="2" t="s">
        <v>13</v>
      </c>
      <c r="I20" s="2" t="s">
        <v>73</v>
      </c>
    </row>
    <row r="21" spans="1:9" x14ac:dyDescent="0.3">
      <c r="A21" s="2" t="s">
        <v>74</v>
      </c>
      <c r="B21" s="2" t="s">
        <v>75</v>
      </c>
      <c r="C21" s="2" t="s">
        <v>11</v>
      </c>
      <c r="D21" s="3">
        <v>79887.86</v>
      </c>
      <c r="E21" s="2" t="s">
        <v>9</v>
      </c>
      <c r="F21" s="2" t="s">
        <v>12</v>
      </c>
      <c r="G21" s="2" t="s">
        <v>10</v>
      </c>
      <c r="H21" s="2" t="s">
        <v>13</v>
      </c>
      <c r="I21" s="2" t="s">
        <v>76</v>
      </c>
    </row>
    <row r="22" spans="1:9" x14ac:dyDescent="0.3">
      <c r="A22" s="2" t="s">
        <v>77</v>
      </c>
      <c r="B22" s="2" t="s">
        <v>78</v>
      </c>
      <c r="C22" s="2" t="s">
        <v>11</v>
      </c>
      <c r="D22" s="3">
        <v>13590.18</v>
      </c>
      <c r="E22" s="2" t="s">
        <v>9</v>
      </c>
      <c r="F22" s="2" t="s">
        <v>12</v>
      </c>
      <c r="G22" s="2" t="s">
        <v>10</v>
      </c>
      <c r="H22" s="2" t="s">
        <v>13</v>
      </c>
      <c r="I22" s="2" t="s">
        <v>79</v>
      </c>
    </row>
    <row r="23" spans="1:9" x14ac:dyDescent="0.3">
      <c r="A23" s="2" t="s">
        <v>80</v>
      </c>
      <c r="B23" s="2" t="s">
        <v>81</v>
      </c>
      <c r="C23" s="2" t="s">
        <v>11</v>
      </c>
      <c r="D23" s="3">
        <v>804573.62</v>
      </c>
      <c r="E23" s="2" t="s">
        <v>9</v>
      </c>
      <c r="F23" s="2" t="s">
        <v>12</v>
      </c>
      <c r="G23" s="2" t="s">
        <v>10</v>
      </c>
      <c r="H23" s="2" t="s">
        <v>21</v>
      </c>
      <c r="I23" s="2" t="s">
        <v>82</v>
      </c>
    </row>
    <row r="24" spans="1:9" x14ac:dyDescent="0.3">
      <c r="A24" s="2" t="s">
        <v>80</v>
      </c>
      <c r="B24" s="2" t="s">
        <v>83</v>
      </c>
      <c r="C24" s="2" t="s">
        <v>11</v>
      </c>
      <c r="D24" s="3">
        <v>304776.19</v>
      </c>
      <c r="E24" s="2" t="s">
        <v>9</v>
      </c>
      <c r="F24" s="2" t="s">
        <v>12</v>
      </c>
      <c r="G24" s="2" t="s">
        <v>10</v>
      </c>
      <c r="H24" s="2" t="s">
        <v>13</v>
      </c>
      <c r="I24" s="2" t="s">
        <v>84</v>
      </c>
    </row>
    <row r="25" spans="1:9" x14ac:dyDescent="0.3">
      <c r="A25" s="2" t="s">
        <v>80</v>
      </c>
      <c r="B25" s="2" t="s">
        <v>85</v>
      </c>
      <c r="C25" s="2" t="s">
        <v>11</v>
      </c>
      <c r="D25" s="3">
        <v>316232.32000000001</v>
      </c>
      <c r="E25" s="2" t="s">
        <v>9</v>
      </c>
      <c r="F25" s="2" t="s">
        <v>12</v>
      </c>
      <c r="G25" s="2" t="s">
        <v>10</v>
      </c>
      <c r="H25" s="2" t="s">
        <v>13</v>
      </c>
      <c r="I25" s="2" t="s">
        <v>86</v>
      </c>
    </row>
    <row r="26" spans="1:9" x14ac:dyDescent="0.3">
      <c r="A26" s="2" t="s">
        <v>80</v>
      </c>
      <c r="B26" s="2" t="s">
        <v>87</v>
      </c>
      <c r="C26" s="2" t="s">
        <v>11</v>
      </c>
      <c r="D26" s="3">
        <v>61024.5</v>
      </c>
      <c r="E26" s="2" t="s">
        <v>9</v>
      </c>
      <c r="F26" s="2" t="s">
        <v>12</v>
      </c>
      <c r="G26" s="2" t="s">
        <v>10</v>
      </c>
      <c r="H26" s="2" t="s">
        <v>13</v>
      </c>
      <c r="I26" s="2" t="s">
        <v>88</v>
      </c>
    </row>
    <row r="27" spans="1:9" x14ac:dyDescent="0.3">
      <c r="A27" s="2" t="s">
        <v>80</v>
      </c>
      <c r="B27" s="2" t="s">
        <v>89</v>
      </c>
      <c r="C27" s="2" t="s">
        <v>11</v>
      </c>
      <c r="D27" s="3">
        <v>1013317.64</v>
      </c>
      <c r="E27" s="2" t="s">
        <v>9</v>
      </c>
      <c r="F27" s="2" t="s">
        <v>12</v>
      </c>
      <c r="G27" s="2" t="s">
        <v>10</v>
      </c>
      <c r="H27" s="2" t="s">
        <v>13</v>
      </c>
      <c r="I27" s="2" t="s">
        <v>90</v>
      </c>
    </row>
    <row r="28" spans="1:9" x14ac:dyDescent="0.3">
      <c r="A28" s="2" t="s">
        <v>80</v>
      </c>
      <c r="B28" s="2" t="s">
        <v>91</v>
      </c>
      <c r="C28" s="2" t="s">
        <v>11</v>
      </c>
      <c r="D28" s="3">
        <v>84424.45</v>
      </c>
      <c r="E28" s="2" t="s">
        <v>9</v>
      </c>
      <c r="F28" s="2" t="s">
        <v>12</v>
      </c>
      <c r="G28" s="2" t="s">
        <v>10</v>
      </c>
      <c r="H28" s="2" t="s">
        <v>13</v>
      </c>
      <c r="I28" s="2" t="s">
        <v>92</v>
      </c>
    </row>
    <row r="29" spans="1:9" x14ac:dyDescent="0.3">
      <c r="A29" s="2" t="s">
        <v>80</v>
      </c>
      <c r="B29" s="2" t="s">
        <v>93</v>
      </c>
      <c r="C29" s="2" t="s">
        <v>11</v>
      </c>
      <c r="D29" s="3">
        <v>1044516.82</v>
      </c>
      <c r="E29" s="2" t="s">
        <v>9</v>
      </c>
      <c r="F29" s="2" t="s">
        <v>12</v>
      </c>
      <c r="G29" s="2" t="s">
        <v>10</v>
      </c>
      <c r="H29" s="2" t="s">
        <v>13</v>
      </c>
      <c r="I29" s="2" t="s">
        <v>94</v>
      </c>
    </row>
    <row r="30" spans="1:9" x14ac:dyDescent="0.3">
      <c r="A30" s="2" t="s">
        <v>80</v>
      </c>
      <c r="B30" s="2" t="s">
        <v>95</v>
      </c>
      <c r="C30" s="2" t="s">
        <v>11</v>
      </c>
      <c r="D30" s="3">
        <v>113071.02</v>
      </c>
      <c r="E30" s="2" t="s">
        <v>9</v>
      </c>
      <c r="F30" s="2" t="s">
        <v>12</v>
      </c>
      <c r="G30" s="2" t="s">
        <v>10</v>
      </c>
      <c r="H30" s="2" t="s">
        <v>13</v>
      </c>
      <c r="I30" s="2" t="s">
        <v>96</v>
      </c>
    </row>
    <row r="31" spans="1:9" x14ac:dyDescent="0.3">
      <c r="A31" s="2" t="s">
        <v>80</v>
      </c>
      <c r="B31" s="2" t="s">
        <v>97</v>
      </c>
      <c r="C31" s="2" t="s">
        <v>11</v>
      </c>
      <c r="D31" s="3">
        <v>23440.97</v>
      </c>
      <c r="E31" s="2" t="s">
        <v>9</v>
      </c>
      <c r="F31" s="2" t="s">
        <v>12</v>
      </c>
      <c r="G31" s="2" t="s">
        <v>10</v>
      </c>
      <c r="H31" s="2" t="s">
        <v>13</v>
      </c>
      <c r="I31" s="2" t="s">
        <v>98</v>
      </c>
    </row>
    <row r="32" spans="1:9" x14ac:dyDescent="0.3">
      <c r="A32" s="2" t="s">
        <v>80</v>
      </c>
      <c r="B32" s="2" t="s">
        <v>99</v>
      </c>
      <c r="C32" s="2" t="s">
        <v>11</v>
      </c>
      <c r="D32" s="3">
        <v>70872.62</v>
      </c>
      <c r="E32" s="2" t="s">
        <v>9</v>
      </c>
      <c r="F32" s="2" t="s">
        <v>12</v>
      </c>
      <c r="G32" s="2" t="s">
        <v>10</v>
      </c>
      <c r="H32" s="2" t="s">
        <v>13</v>
      </c>
      <c r="I32" s="2" t="s">
        <v>100</v>
      </c>
    </row>
    <row r="33" spans="1:9" x14ac:dyDescent="0.3">
      <c r="A33" s="2" t="s">
        <v>101</v>
      </c>
      <c r="B33" s="2" t="s">
        <v>102</v>
      </c>
      <c r="C33" s="2" t="s">
        <v>11</v>
      </c>
      <c r="D33" s="3">
        <v>649178.21</v>
      </c>
      <c r="E33" s="2" t="s">
        <v>9</v>
      </c>
      <c r="F33" s="2" t="s">
        <v>12</v>
      </c>
      <c r="G33" s="2" t="s">
        <v>10</v>
      </c>
      <c r="H33" s="2" t="s">
        <v>13</v>
      </c>
      <c r="I33" s="2" t="s">
        <v>103</v>
      </c>
    </row>
    <row r="34" spans="1:9" x14ac:dyDescent="0.3">
      <c r="A34" s="2" t="s">
        <v>104</v>
      </c>
      <c r="B34" s="2" t="s">
        <v>105</v>
      </c>
      <c r="C34" s="2" t="s">
        <v>11</v>
      </c>
      <c r="D34" s="3">
        <v>1718590.1</v>
      </c>
      <c r="E34" s="2" t="s">
        <v>9</v>
      </c>
      <c r="F34" s="2" t="s">
        <v>12</v>
      </c>
      <c r="G34" s="2" t="s">
        <v>10</v>
      </c>
      <c r="H34" s="2" t="s">
        <v>13</v>
      </c>
      <c r="I34" s="2" t="s">
        <v>106</v>
      </c>
    </row>
    <row r="35" spans="1:9" x14ac:dyDescent="0.3">
      <c r="A35" s="2" t="s">
        <v>107</v>
      </c>
      <c r="B35" s="2" t="s">
        <v>108</v>
      </c>
      <c r="C35" s="2" t="s">
        <v>11</v>
      </c>
      <c r="D35" s="3">
        <v>39387.9</v>
      </c>
      <c r="E35" s="2" t="s">
        <v>9</v>
      </c>
      <c r="F35" s="2" t="s">
        <v>12</v>
      </c>
      <c r="G35" s="2" t="s">
        <v>10</v>
      </c>
      <c r="H35" s="2" t="s">
        <v>13</v>
      </c>
      <c r="I35" s="2" t="s">
        <v>109</v>
      </c>
    </row>
    <row r="36" spans="1:9" x14ac:dyDescent="0.3">
      <c r="A36" s="2" t="s">
        <v>110</v>
      </c>
      <c r="B36" s="2" t="s">
        <v>111</v>
      </c>
      <c r="C36" s="2" t="s">
        <v>16</v>
      </c>
      <c r="D36" s="3">
        <v>393478.33</v>
      </c>
      <c r="E36" s="2" t="s">
        <v>9</v>
      </c>
      <c r="F36" s="2" t="s">
        <v>17</v>
      </c>
      <c r="G36" s="2" t="s">
        <v>10</v>
      </c>
      <c r="H36" s="2" t="s">
        <v>13</v>
      </c>
      <c r="I36" s="2" t="s">
        <v>112</v>
      </c>
    </row>
    <row r="37" spans="1:9" x14ac:dyDescent="0.3">
      <c r="A37" s="2" t="s">
        <v>113</v>
      </c>
      <c r="B37" s="2" t="s">
        <v>114</v>
      </c>
      <c r="C37" s="2" t="s">
        <v>16</v>
      </c>
      <c r="D37" s="3">
        <v>682350.28</v>
      </c>
      <c r="E37" s="2" t="s">
        <v>9</v>
      </c>
      <c r="F37" s="2" t="s">
        <v>17</v>
      </c>
      <c r="G37" s="2" t="s">
        <v>10</v>
      </c>
      <c r="H37" s="2" t="s">
        <v>13</v>
      </c>
      <c r="I37" s="2" t="s">
        <v>115</v>
      </c>
    </row>
    <row r="38" spans="1:9" x14ac:dyDescent="0.3">
      <c r="A38" s="2" t="s">
        <v>116</v>
      </c>
      <c r="B38" s="2" t="s">
        <v>117</v>
      </c>
      <c r="C38" s="2" t="s">
        <v>118</v>
      </c>
      <c r="D38" s="3">
        <v>1298868.72</v>
      </c>
      <c r="E38" s="2" t="s">
        <v>9</v>
      </c>
      <c r="F38" s="2" t="s">
        <v>119</v>
      </c>
      <c r="G38" s="2" t="s">
        <v>10</v>
      </c>
      <c r="H38" s="2" t="s">
        <v>13</v>
      </c>
      <c r="I38" s="2" t="s">
        <v>120</v>
      </c>
    </row>
    <row r="39" spans="1:9" x14ac:dyDescent="0.3">
      <c r="A39" s="2" t="s">
        <v>121</v>
      </c>
      <c r="B39" s="2" t="s">
        <v>122</v>
      </c>
      <c r="C39" s="2" t="s">
        <v>118</v>
      </c>
      <c r="D39" s="3">
        <v>645018.02</v>
      </c>
      <c r="E39" s="2" t="s">
        <v>9</v>
      </c>
      <c r="F39" s="2" t="s">
        <v>119</v>
      </c>
      <c r="G39" s="2" t="s">
        <v>10</v>
      </c>
      <c r="H39" s="2" t="s">
        <v>13</v>
      </c>
      <c r="I39" s="2" t="s">
        <v>123</v>
      </c>
    </row>
    <row r="40" spans="1:9" x14ac:dyDescent="0.3">
      <c r="A40" s="2" t="s">
        <v>124</v>
      </c>
      <c r="B40" s="2" t="s">
        <v>125</v>
      </c>
      <c r="C40" s="2" t="s">
        <v>16</v>
      </c>
      <c r="D40" s="3">
        <v>38205.86</v>
      </c>
      <c r="E40" s="2" t="s">
        <v>9</v>
      </c>
      <c r="F40" s="2" t="s">
        <v>17</v>
      </c>
      <c r="G40" s="2" t="s">
        <v>10</v>
      </c>
      <c r="H40" s="2" t="s">
        <v>13</v>
      </c>
      <c r="I40" s="2" t="s">
        <v>126</v>
      </c>
    </row>
    <row r="41" spans="1:9" x14ac:dyDescent="0.3">
      <c r="A41" s="2" t="s">
        <v>127</v>
      </c>
      <c r="B41" s="2" t="s">
        <v>128</v>
      </c>
      <c r="C41" s="2" t="s">
        <v>11</v>
      </c>
      <c r="D41" s="3">
        <v>673248.29</v>
      </c>
      <c r="E41" s="2" t="s">
        <v>9</v>
      </c>
      <c r="F41" s="2" t="s">
        <v>12</v>
      </c>
      <c r="G41" s="2" t="s">
        <v>10</v>
      </c>
      <c r="H41" s="2" t="s">
        <v>13</v>
      </c>
      <c r="I41" s="2" t="s">
        <v>129</v>
      </c>
    </row>
    <row r="42" spans="1:9" x14ac:dyDescent="0.3">
      <c r="A42" s="2" t="s">
        <v>130</v>
      </c>
      <c r="B42" s="2" t="s">
        <v>131</v>
      </c>
      <c r="C42" s="2" t="s">
        <v>11</v>
      </c>
      <c r="D42" s="3">
        <v>6628939.9400000004</v>
      </c>
      <c r="E42" s="2" t="s">
        <v>9</v>
      </c>
      <c r="F42" s="2" t="s">
        <v>12</v>
      </c>
      <c r="G42" s="2" t="s">
        <v>10</v>
      </c>
      <c r="H42" s="2" t="s">
        <v>13</v>
      </c>
      <c r="I42" s="2" t="s">
        <v>132</v>
      </c>
    </row>
    <row r="43" spans="1:9" x14ac:dyDescent="0.3">
      <c r="A43" s="2" t="s">
        <v>133</v>
      </c>
      <c r="B43" s="2" t="s">
        <v>134</v>
      </c>
      <c r="C43" s="2" t="s">
        <v>11</v>
      </c>
      <c r="D43" s="3">
        <v>64080</v>
      </c>
      <c r="E43" s="2" t="s">
        <v>9</v>
      </c>
      <c r="F43" s="2" t="s">
        <v>12</v>
      </c>
      <c r="G43" s="2" t="s">
        <v>10</v>
      </c>
      <c r="H43" s="2" t="s">
        <v>13</v>
      </c>
      <c r="I43" s="2" t="s">
        <v>135</v>
      </c>
    </row>
    <row r="44" spans="1:9" x14ac:dyDescent="0.3">
      <c r="A44" s="2" t="s">
        <v>133</v>
      </c>
      <c r="B44" s="2" t="s">
        <v>136</v>
      </c>
      <c r="C44" s="2" t="s">
        <v>11</v>
      </c>
      <c r="D44" s="3">
        <v>396348.41</v>
      </c>
      <c r="E44" s="2" t="s">
        <v>9</v>
      </c>
      <c r="F44" s="2" t="s">
        <v>12</v>
      </c>
      <c r="G44" s="2" t="s">
        <v>10</v>
      </c>
      <c r="H44" s="2" t="s">
        <v>13</v>
      </c>
      <c r="I44" s="2" t="s">
        <v>137</v>
      </c>
    </row>
    <row r="45" spans="1:9" x14ac:dyDescent="0.3">
      <c r="A45" s="2" t="s">
        <v>133</v>
      </c>
      <c r="B45" s="2" t="s">
        <v>138</v>
      </c>
      <c r="C45" s="2" t="s">
        <v>11</v>
      </c>
      <c r="D45" s="3">
        <v>486980.06</v>
      </c>
      <c r="E45" s="2" t="s">
        <v>9</v>
      </c>
      <c r="F45" s="2" t="s">
        <v>12</v>
      </c>
      <c r="G45" s="2" t="s">
        <v>10</v>
      </c>
      <c r="H45" s="2" t="s">
        <v>13</v>
      </c>
      <c r="I45" s="2" t="s">
        <v>139</v>
      </c>
    </row>
    <row r="46" spans="1:9" x14ac:dyDescent="0.3">
      <c r="A46" s="2" t="s">
        <v>133</v>
      </c>
      <c r="B46" s="2" t="s">
        <v>140</v>
      </c>
      <c r="C46" s="2" t="s">
        <v>11</v>
      </c>
      <c r="D46" s="3">
        <v>678269.98</v>
      </c>
      <c r="E46" s="2" t="s">
        <v>9</v>
      </c>
      <c r="F46" s="2" t="s">
        <v>12</v>
      </c>
      <c r="G46" s="2" t="s">
        <v>10</v>
      </c>
      <c r="H46" s="2" t="s">
        <v>13</v>
      </c>
      <c r="I46" s="2" t="s">
        <v>141</v>
      </c>
    </row>
    <row r="47" spans="1:9" x14ac:dyDescent="0.3">
      <c r="A47" s="2" t="s">
        <v>133</v>
      </c>
      <c r="B47" s="2" t="s">
        <v>142</v>
      </c>
      <c r="C47" s="2" t="s">
        <v>11</v>
      </c>
      <c r="D47" s="3">
        <v>110582.17</v>
      </c>
      <c r="E47" s="2" t="s">
        <v>9</v>
      </c>
      <c r="F47" s="2" t="s">
        <v>12</v>
      </c>
      <c r="G47" s="2" t="s">
        <v>10</v>
      </c>
      <c r="H47" s="2" t="s">
        <v>13</v>
      </c>
      <c r="I47" s="2" t="s">
        <v>143</v>
      </c>
    </row>
    <row r="48" spans="1:9" x14ac:dyDescent="0.3">
      <c r="A48" s="2" t="s">
        <v>133</v>
      </c>
      <c r="B48" s="2" t="s">
        <v>144</v>
      </c>
      <c r="C48" s="2" t="s">
        <v>11</v>
      </c>
      <c r="D48" s="3">
        <v>1607309.32</v>
      </c>
      <c r="E48" s="2" t="s">
        <v>9</v>
      </c>
      <c r="F48" s="2" t="s">
        <v>12</v>
      </c>
      <c r="G48" s="2" t="s">
        <v>10</v>
      </c>
      <c r="H48" s="2" t="s">
        <v>13</v>
      </c>
      <c r="I48" s="2" t="s">
        <v>145</v>
      </c>
    </row>
    <row r="49" spans="1:9" x14ac:dyDescent="0.3">
      <c r="A49" s="2" t="s">
        <v>146</v>
      </c>
      <c r="B49" s="2" t="s">
        <v>147</v>
      </c>
      <c r="C49" s="2" t="s">
        <v>11</v>
      </c>
      <c r="D49" s="3">
        <v>165192.94</v>
      </c>
      <c r="E49" s="2" t="s">
        <v>9</v>
      </c>
      <c r="F49" s="2" t="s">
        <v>12</v>
      </c>
      <c r="G49" s="2" t="s">
        <v>10</v>
      </c>
      <c r="H49" s="2" t="s">
        <v>13</v>
      </c>
      <c r="I49" s="2" t="s">
        <v>148</v>
      </c>
    </row>
    <row r="50" spans="1:9" x14ac:dyDescent="0.3">
      <c r="A50" s="2" t="s">
        <v>149</v>
      </c>
      <c r="B50" s="2" t="s">
        <v>150</v>
      </c>
      <c r="C50" s="2" t="s">
        <v>11</v>
      </c>
      <c r="D50" s="3">
        <v>72704.47</v>
      </c>
      <c r="E50" s="2" t="s">
        <v>9</v>
      </c>
      <c r="F50" s="2" t="s">
        <v>12</v>
      </c>
      <c r="G50" s="2" t="s">
        <v>10</v>
      </c>
      <c r="H50" s="2" t="s">
        <v>13</v>
      </c>
      <c r="I50" s="2" t="s">
        <v>151</v>
      </c>
    </row>
    <row r="51" spans="1:9" x14ac:dyDescent="0.3">
      <c r="A51" s="2" t="s">
        <v>152</v>
      </c>
      <c r="B51" s="2" t="s">
        <v>153</v>
      </c>
      <c r="C51" s="2" t="s">
        <v>11</v>
      </c>
      <c r="D51" s="3">
        <v>935948.74</v>
      </c>
      <c r="E51" s="2" t="s">
        <v>9</v>
      </c>
      <c r="F51" s="2" t="s">
        <v>12</v>
      </c>
      <c r="G51" s="2" t="s">
        <v>10</v>
      </c>
      <c r="H51" s="2" t="s">
        <v>13</v>
      </c>
      <c r="I51" s="2" t="s">
        <v>154</v>
      </c>
    </row>
    <row r="52" spans="1:9" x14ac:dyDescent="0.3">
      <c r="A52" s="2" t="s">
        <v>155</v>
      </c>
      <c r="B52" s="2" t="s">
        <v>156</v>
      </c>
      <c r="C52" s="2" t="s">
        <v>11</v>
      </c>
      <c r="D52" s="3">
        <v>1103124.7</v>
      </c>
      <c r="E52" s="2" t="s">
        <v>9</v>
      </c>
      <c r="F52" s="2" t="s">
        <v>12</v>
      </c>
      <c r="G52" s="2" t="s">
        <v>10</v>
      </c>
      <c r="H52" s="2" t="s">
        <v>13</v>
      </c>
      <c r="I52" s="2" t="s">
        <v>157</v>
      </c>
    </row>
    <row r="53" spans="1:9" x14ac:dyDescent="0.3">
      <c r="A53" s="2" t="s">
        <v>158</v>
      </c>
      <c r="B53" s="2" t="s">
        <v>159</v>
      </c>
      <c r="C53" s="2" t="s">
        <v>11</v>
      </c>
      <c r="D53" s="3">
        <v>340247.54</v>
      </c>
      <c r="E53" s="2" t="s">
        <v>9</v>
      </c>
      <c r="F53" s="2" t="s">
        <v>12</v>
      </c>
      <c r="G53" s="2" t="s">
        <v>10</v>
      </c>
      <c r="H53" s="2" t="s">
        <v>13</v>
      </c>
      <c r="I53" s="2" t="s">
        <v>160</v>
      </c>
    </row>
    <row r="54" spans="1:9" x14ac:dyDescent="0.3">
      <c r="A54" s="2" t="s">
        <v>161</v>
      </c>
      <c r="B54" s="2" t="s">
        <v>162</v>
      </c>
      <c r="C54" s="2" t="s">
        <v>11</v>
      </c>
      <c r="D54" s="3">
        <v>277223.59999999998</v>
      </c>
      <c r="E54" s="2" t="s">
        <v>9</v>
      </c>
      <c r="F54" s="2" t="s">
        <v>12</v>
      </c>
      <c r="G54" s="2" t="s">
        <v>10</v>
      </c>
      <c r="H54" s="2" t="s">
        <v>13</v>
      </c>
      <c r="I54" s="2" t="s">
        <v>163</v>
      </c>
    </row>
    <row r="55" spans="1:9" x14ac:dyDescent="0.3">
      <c r="A55" s="2" t="s">
        <v>164</v>
      </c>
      <c r="B55" s="2" t="s">
        <v>165</v>
      </c>
      <c r="C55" s="2" t="s">
        <v>11</v>
      </c>
      <c r="D55" s="3">
        <v>167826.96</v>
      </c>
      <c r="E55" s="2" t="s">
        <v>9</v>
      </c>
      <c r="F55" s="2" t="s">
        <v>12</v>
      </c>
      <c r="G55" s="2" t="s">
        <v>10</v>
      </c>
      <c r="H55" s="2" t="s">
        <v>13</v>
      </c>
      <c r="I55" s="2" t="s">
        <v>166</v>
      </c>
    </row>
    <row r="56" spans="1:9" x14ac:dyDescent="0.3">
      <c r="D56" s="4">
        <f>SUM(D2:D55)</f>
        <v>43187154.289999999</v>
      </c>
    </row>
    <row r="59" spans="1:9" x14ac:dyDescent="0.3">
      <c r="D59" s="4">
        <f>D38+D39</f>
        <v>1943886.74</v>
      </c>
      <c r="F59" t="s">
        <v>167</v>
      </c>
    </row>
    <row r="60" spans="1:9" x14ac:dyDescent="0.3">
      <c r="D60" s="4">
        <f>D3+D4+D5+D6+D7+D8+D9+D10+D11+D12+D13+D14+D15+D16+D17+D18+D19+D20+D21+D22+D23+D24+D25+D26+D27+D28+D29+D30+D31+D32+D33+D34+D35+D41+D42+D43+D44+D45+D46+D47+D48+D49+D50+D51+D52+D53+D54+D55</f>
        <v>39462722.230000004</v>
      </c>
      <c r="F60" t="s">
        <v>168</v>
      </c>
    </row>
    <row r="61" spans="1:9" x14ac:dyDescent="0.3">
      <c r="D61" s="4">
        <f>D2+D36+D37+D40</f>
        <v>1780545.32</v>
      </c>
      <c r="F61" t="s">
        <v>169</v>
      </c>
    </row>
    <row r="62" spans="1:9" x14ac:dyDescent="0.3">
      <c r="D62" s="4">
        <f>SUM(D59:D61)</f>
        <v>43187154.290000007</v>
      </c>
    </row>
    <row r="63" spans="1:9" x14ac:dyDescent="0.3">
      <c r="D63" s="5">
        <f>D62-D56</f>
        <v>0</v>
      </c>
    </row>
  </sheetData>
  <autoFilter ref="A1:I56" xr:uid="{978A2CCA-224C-48E9-9724-69EBC4A1BD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2025-09-22T14:35:55Z</dcterms:modified>
</cp:coreProperties>
</file>
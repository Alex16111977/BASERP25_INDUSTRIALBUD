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Березень_26\Данные\Строительство\"/>
    </mc:Choice>
  </mc:AlternateContent>
  <xr:revisionPtr revIDLastSave="0" documentId="13_ncr:1_{C3D1EB6B-394F-4415-9BF1-9824812EF1A5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Sheet1!$A$85:$K$85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1" i="1" l="1"/>
  <c r="E114" i="1"/>
  <c r="E113" i="1"/>
  <c r="E110" i="1"/>
  <c r="E83" i="1"/>
  <c r="E79" i="1"/>
  <c r="E82" i="1"/>
  <c r="E80" i="1" l="1"/>
</calcChain>
</file>

<file path=xl/sharedStrings.xml><?xml version="1.0" encoding="utf-8"?>
<sst xmlns="http://schemas.openxmlformats.org/spreadsheetml/2006/main" count="957" uniqueCount="322">
  <si>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</si>
  <si>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</si>
  <si>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</si>
  <si>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</si>
  <si>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</si>
  <si>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</si>
  <si>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</si>
  <si>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</si>
  <si>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</si>
  <si>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</si>
  <si>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Так</t>
  </si>
  <si>
    <t>ІБ00-000045</t>
  </si>
  <si>
    <t>АСТАРТА АГРО ПРОТЕЇН ТОВ</t>
  </si>
  <si>
    <t>грн</t>
  </si>
  <si>
    <t>Виробничий (Глобине-2)</t>
  </si>
  <si>
    <t>ТОВ "ІНДАСТРІАЛБУД"</t>
  </si>
  <si>
    <t>Хлань Елена</t>
  </si>
  <si>
    <t>ІБ00-000050</t>
  </si>
  <si>
    <t>ІБ00-000051</t>
  </si>
  <si>
    <t>ІБ00-000052</t>
  </si>
  <si>
    <t>ІБ00-000053</t>
  </si>
  <si>
    <t>ІБ00-000054</t>
  </si>
  <si>
    <t>ІБ00-000055</t>
  </si>
  <si>
    <t>ІБ00-000056</t>
  </si>
  <si>
    <t>ІБ00-000057</t>
  </si>
  <si>
    <t>ІБ00-000061</t>
  </si>
  <si>
    <t>ІБ00-000062</t>
  </si>
  <si>
    <t>ІБ00-000063</t>
  </si>
  <si>
    <t>ІБ00-000065</t>
  </si>
  <si>
    <t>ІБ00-000066</t>
  </si>
  <si>
    <t>ІБ00-000067</t>
  </si>
  <si>
    <t>ГЛОБИНСЬКИЙ ПЕРЕРОБНИЙ ЗАВОД ТОВ</t>
  </si>
  <si>
    <t>ІБ00-000064</t>
  </si>
  <si>
    <t>АГРОФІРМА ІМ. ДОВЖЕНКА ТОВ</t>
  </si>
  <si>
    <t>Виробничий (Астарта_Тищенки)</t>
  </si>
  <si>
    <t>Аулова Маргарита</t>
  </si>
  <si>
    <t>Астарта.Тищенки</t>
  </si>
  <si>
    <t>Глобино-2</t>
  </si>
  <si>
    <t>Вид операції</t>
  </si>
  <si>
    <t>Склад</t>
  </si>
  <si>
    <t>Продаж, комісія</t>
  </si>
  <si>
    <t>Астарта_Тищенки</t>
  </si>
  <si>
    <t>Цех екстракції (Глобине)</t>
  </si>
  <si>
    <t>спец 12</t>
  </si>
  <si>
    <t>ІБ00-000038</t>
  </si>
  <si>
    <t>02.03.2026 11:32:43</t>
  </si>
  <si>
    <t>ІБ00-000123</t>
  </si>
  <si>
    <t>Акт 113/1.3-КМ(Цех екстракції поз. 3 ГБ)</t>
  </si>
  <si>
    <t>02.03.2026 11:34:21</t>
  </si>
  <si>
    <t>ІБ00-000125</t>
  </si>
  <si>
    <t xml:space="preserve"> Акт 26/1.26_Б</t>
  </si>
  <si>
    <t>02.03.2026 11:35:14</t>
  </si>
  <si>
    <t>ІБ00-000126</t>
  </si>
  <si>
    <t xml:space="preserve"> Акт 27/1.9-ЗБ</t>
  </si>
  <si>
    <t>02.03.2026 12:40:06</t>
  </si>
  <si>
    <t>ІБ00-000127</t>
  </si>
  <si>
    <t xml:space="preserve"> Акт 11/1.10-АР</t>
  </si>
  <si>
    <t>02.03.2026 12:40:47</t>
  </si>
  <si>
    <t>ІБ00-000128</t>
  </si>
  <si>
    <t xml:space="preserve"> Акт 12/1.3-АР</t>
  </si>
  <si>
    <t>02.03.2026 12:42:19</t>
  </si>
  <si>
    <t>ІБ00-000130</t>
  </si>
  <si>
    <t>Акт 114/1.3-КМ(Цех екстракції поз. 3 ГБ)</t>
  </si>
  <si>
    <t>02.03.2026 12:43:34</t>
  </si>
  <si>
    <t>ІБ00-000131</t>
  </si>
  <si>
    <t xml:space="preserve"> Акт 35/1.14-АР (Котельня)</t>
  </si>
  <si>
    <t>02.03.2026 12:44:11</t>
  </si>
  <si>
    <t>ІБ00-000132</t>
  </si>
  <si>
    <t xml:space="preserve"> Акт 29/1.1-АР</t>
  </si>
  <si>
    <t>05.03.2026 11:31:55</t>
  </si>
  <si>
    <t>ІБ00-000122</t>
  </si>
  <si>
    <t xml:space="preserve"> Акт 3/1.16-АР (Пожежний резервуар) </t>
  </si>
  <si>
    <t>05.03.2026 11:33:24</t>
  </si>
  <si>
    <t>ІБ00-000124</t>
  </si>
  <si>
    <t>Акт 57/1.3-ТХ(Цех екстракції поз. 3 ГБ)</t>
  </si>
  <si>
    <t>05.03.2026 12:41:34</t>
  </si>
  <si>
    <t>ІБ00-000129</t>
  </si>
  <si>
    <t xml:space="preserve"> Акт 39/1.9-КМ (СПК)</t>
  </si>
  <si>
    <t>09.03.2026 14:01:45</t>
  </si>
  <si>
    <t>ІБ00-000141</t>
  </si>
  <si>
    <t>Акт 58/1.3-ТХ(Цех екстракції поз. 3 ГБ)</t>
  </si>
  <si>
    <t>09.03.2026 14:03:04</t>
  </si>
  <si>
    <t>ІБ00-000143</t>
  </si>
  <si>
    <t>Акт 115/1.3-КМ(Цех екстракції поз. 3 ГБ)</t>
  </si>
  <si>
    <t>09.03.2026 14:03:30</t>
  </si>
  <si>
    <t>ІБ00-000144</t>
  </si>
  <si>
    <t>Акт 116/1.3-КМ(Цех екстракції поз. 3 ГБ)</t>
  </si>
  <si>
    <t>09.03.2026 14:04:43</t>
  </si>
  <si>
    <t>ІБ00-000146</t>
  </si>
  <si>
    <t>Акт 5/1.6-КМ (транспортна галерея)</t>
  </si>
  <si>
    <t>09.03.2026 14:05:32</t>
  </si>
  <si>
    <t>ІБ00-000147</t>
  </si>
  <si>
    <t xml:space="preserve"> Акт 12/1.10-АР</t>
  </si>
  <si>
    <t>09.03.2026 14:06:40</t>
  </si>
  <si>
    <t>ІБ00-000149</t>
  </si>
  <si>
    <t xml:space="preserve"> Акт 13/1.3-АР</t>
  </si>
  <si>
    <t>09.03.2026 14:07:15</t>
  </si>
  <si>
    <t>ІБ00-000150</t>
  </si>
  <si>
    <t xml:space="preserve"> Акт 40/1.9-КМ (СПК)</t>
  </si>
  <si>
    <t>09.03.2026 14:08:03</t>
  </si>
  <si>
    <t>ІБ00-000151</t>
  </si>
  <si>
    <t xml:space="preserve"> Акт 10/1.17-КБ Очисні Споруди Дніпроаквабуд</t>
  </si>
  <si>
    <t>09.03.2026 14:09:46</t>
  </si>
  <si>
    <t>ІБ00-000153</t>
  </si>
  <si>
    <t>Акт 8/1.5-ТХ (Насосна пожежогасіння поз.7 по ГП)</t>
  </si>
  <si>
    <t>09.03.2026 14:40:42</t>
  </si>
  <si>
    <t>ІБ00-000155</t>
  </si>
  <si>
    <t>Акт 1/1.28-КМ (Естакада інженерних комунікацій)</t>
  </si>
  <si>
    <t>10.03.2026 00:00:00</t>
  </si>
  <si>
    <t>ІББП-000159</t>
  </si>
  <si>
    <t xml:space="preserve"> Акт 31/1.1-АР</t>
  </si>
  <si>
    <t>ІББП-000160</t>
  </si>
  <si>
    <t xml:space="preserve"> Акт 14/1.3-АР</t>
  </si>
  <si>
    <t>ІББП-000162</t>
  </si>
  <si>
    <t xml:space="preserve"> Акт 27/1.14-КБ (Котельня)</t>
  </si>
  <si>
    <t>ІББП-000165</t>
  </si>
  <si>
    <t xml:space="preserve"> Акт 27/1.26_Б робота техніки</t>
  </si>
  <si>
    <t>ІББП-000166</t>
  </si>
  <si>
    <t>Акт 118/1.3-КМ(Цех екстракції поз. 3 ГБ)</t>
  </si>
  <si>
    <t>ІББП-000167</t>
  </si>
  <si>
    <t>Акт 117/1.3-КМ(Цех екстракції поз. 3 ГБ)</t>
  </si>
  <si>
    <t>ІББП-000168</t>
  </si>
  <si>
    <t>Акт 59/1.3-ТХ(Цех екстракції поз. 3 ГБ)</t>
  </si>
  <si>
    <t>ІББП-000169</t>
  </si>
  <si>
    <t xml:space="preserve"> Акт 3/1.12-АР меляса</t>
  </si>
  <si>
    <t>ІББП-000171</t>
  </si>
  <si>
    <t>Акт 40/1.3-КБ(Цех екстракції поз. 3 ГБ)</t>
  </si>
  <si>
    <t>ІББП-000172</t>
  </si>
  <si>
    <t xml:space="preserve"> Акт 41/1.9-КМ (СПК)</t>
  </si>
  <si>
    <t>ІББП-000173</t>
  </si>
  <si>
    <t xml:space="preserve"> Акт 8/1.10-КМ</t>
  </si>
  <si>
    <t>10.03.2026 07:57:19</t>
  </si>
  <si>
    <t>ІБ00-000192</t>
  </si>
  <si>
    <t>Акт 64/1.3-ТХ(Цех екстракції поз. 3 ГБ)  Ютем</t>
  </si>
  <si>
    <t>10.03.2026 08:00:04</t>
  </si>
  <si>
    <t>ІБ00-000193</t>
  </si>
  <si>
    <t>Акт 63/1.3-ТХ(Цех екстракції поз. 3 ГБ)  Ютем</t>
  </si>
  <si>
    <t>10.03.2026 08:02:30</t>
  </si>
  <si>
    <t>ІБ00-000194</t>
  </si>
  <si>
    <t>Акт 62/1.3-ТХ(Цех екстракції поз. 3 ГБ)  Ютем</t>
  </si>
  <si>
    <t>10.03.2026 08:03:34</t>
  </si>
  <si>
    <t>ІБ00-000195</t>
  </si>
  <si>
    <t>Акт 60/1.3-ТХ(Цех екстракції поз. 3 ГБ) Південьмонтаж</t>
  </si>
  <si>
    <t>10.03.2026 14:01:10</t>
  </si>
  <si>
    <t>ІБ00-000140</t>
  </si>
  <si>
    <t xml:space="preserve"> Акт 2/1.1-ВК (АПК)</t>
  </si>
  <si>
    <t>10.03.2026 14:53:15</t>
  </si>
  <si>
    <t>ІБ00-000191</t>
  </si>
  <si>
    <t xml:space="preserve"> Акт 4/1.16-АР (Пожежний резервуар) </t>
  </si>
  <si>
    <t>10.03.2026 15:18:43</t>
  </si>
  <si>
    <t>ІББП-000161</t>
  </si>
  <si>
    <t>Акт 5/1.5-АР (насосна,градирня)</t>
  </si>
  <si>
    <t>10.03.2026 15:20:30</t>
  </si>
  <si>
    <t>ІББП-000163</t>
  </si>
  <si>
    <t>Акт 61/1.3-ТХ (Цех екстракції поз. 3 ГБ)</t>
  </si>
  <si>
    <t>10.03.2026 15:27:11</t>
  </si>
  <si>
    <t>ІББП-000170</t>
  </si>
  <si>
    <t xml:space="preserve"> Акт 1/1.12-ТХ меляса Акім</t>
  </si>
  <si>
    <t>12.03.2026 00:00:00</t>
  </si>
  <si>
    <t>ІБ00-000110</t>
  </si>
  <si>
    <t>Акт 56/1.3-ТХ(Цех екстракції поз. 3 ГБ) Котлогаз</t>
  </si>
  <si>
    <t>ІБ00-000142</t>
  </si>
  <si>
    <t xml:space="preserve"> Акт 30/1.1-АР</t>
  </si>
  <si>
    <t>17.03.2026 00:00:00</t>
  </si>
  <si>
    <t>ІББП-000164</t>
  </si>
  <si>
    <t xml:space="preserve"> Акт 3/1.14-ВК (Котельня)</t>
  </si>
  <si>
    <t>17.03.2026 14:08:38</t>
  </si>
  <si>
    <t>ІБ00-000152</t>
  </si>
  <si>
    <t xml:space="preserve"> Акт 26/1.14-КБ (Котельня)</t>
  </si>
  <si>
    <t>23.03.2026 00:00:00</t>
  </si>
  <si>
    <t>ІБ00-000213</t>
  </si>
  <si>
    <t xml:space="preserve"> Акт 42/1.9-КМ (СПК)</t>
  </si>
  <si>
    <t>23.03.2026 11:32:40</t>
  </si>
  <si>
    <t>ІБ00-000198</t>
  </si>
  <si>
    <t xml:space="preserve"> Акт 32/1.1-АР</t>
  </si>
  <si>
    <t>23.03.2026 11:33:28</t>
  </si>
  <si>
    <t>ІБ00-000200</t>
  </si>
  <si>
    <t xml:space="preserve"> Акт 15/1.3-АР</t>
  </si>
  <si>
    <t>23.03.2026 11:35:42</t>
  </si>
  <si>
    <t>ІБ00-000202</t>
  </si>
  <si>
    <t xml:space="preserve"> Акт 36/1.14-АР (Котельня)</t>
  </si>
  <si>
    <t>23.03.2026 11:37:23</t>
  </si>
  <si>
    <t>ІБ00-000203</t>
  </si>
  <si>
    <t>Акт 1/1.4-КМ (резервуар для зберігання розчинника)</t>
  </si>
  <si>
    <t>23.03.2026 11:38:25</t>
  </si>
  <si>
    <t>ІБ00-000205</t>
  </si>
  <si>
    <t>Акт 2/1.28-КМ (Естакада інженерних комунікацій)</t>
  </si>
  <si>
    <t>23.03.2026 11:39:23</t>
  </si>
  <si>
    <t>ІБ00-000207</t>
  </si>
  <si>
    <t>Акт 65/1.3-ТХ(Цех екстракції поз. 3 ГБ)</t>
  </si>
  <si>
    <t>23.03.2026 11:40:50</t>
  </si>
  <si>
    <t>ІБ00-000209</t>
  </si>
  <si>
    <t>Акт 119/1.3-КМ(Цех екстракції поз. 3 ГБ)</t>
  </si>
  <si>
    <t>25.03.2026 11:02:51</t>
  </si>
  <si>
    <t>ІБ00-000212</t>
  </si>
  <si>
    <t xml:space="preserve"> Акт 43/1.9-КМ (СПК)</t>
  </si>
  <si>
    <t>25.03.2026 11:33:04</t>
  </si>
  <si>
    <t>ІБ00-000199</t>
  </si>
  <si>
    <t xml:space="preserve"> Акт 28/1.26_Б</t>
  </si>
  <si>
    <t>25.03.2026 11:39:06</t>
  </si>
  <si>
    <t>ІБ00-000206</t>
  </si>
  <si>
    <t>Акт 66/1.3-ТХ(Цех екстракції поз. 3 ГБ)</t>
  </si>
  <si>
    <t>25.03.2026 11:41:11</t>
  </si>
  <si>
    <t>ІБ00-000210</t>
  </si>
  <si>
    <t>Акт 120/1.3-КМ(Цех екстракції поз. 3 ГБ)</t>
  </si>
  <si>
    <t>30.03.2026 11:42:43</t>
  </si>
  <si>
    <t>ІБ00-000211</t>
  </si>
  <si>
    <t>Акт 67/1.3-ТХ(Цех екстракції поз. 3 ГБ)</t>
  </si>
  <si>
    <t>30.03.2026 13:42:14</t>
  </si>
  <si>
    <t>ІБ00-000214</t>
  </si>
  <si>
    <t xml:space="preserve"> Акт 44/1.9-КМ (СПК)</t>
  </si>
  <si>
    <t>30.03.2026 13:44:34</t>
  </si>
  <si>
    <t>ІБ00-000215</t>
  </si>
  <si>
    <t xml:space="preserve"> Акт 33/1.1-АР</t>
  </si>
  <si>
    <t>30.03.2026 13:45:45</t>
  </si>
  <si>
    <t>ІБ00-000216</t>
  </si>
  <si>
    <t>Акт 68/1.3-ТХ(Цех екстракції поз. 3 ГБ)</t>
  </si>
  <si>
    <t>30.03.2026 13:46:21</t>
  </si>
  <si>
    <t>ІБ00-000217</t>
  </si>
  <si>
    <t>Акт 69/1.3-ТХ(Цех екстракції поз. 3 ГБ)</t>
  </si>
  <si>
    <t>30.03.2026 13:51:20</t>
  </si>
  <si>
    <t>ІБ00-000218</t>
  </si>
  <si>
    <t xml:space="preserve"> Акт 37/1.14-АР (Котельня)</t>
  </si>
  <si>
    <t>30.03.2026 13:54:14</t>
  </si>
  <si>
    <t>ІБ00-000219</t>
  </si>
  <si>
    <t xml:space="preserve"> Акт 1/1.11-КБ </t>
  </si>
  <si>
    <t>30.03.2026 13:56:53</t>
  </si>
  <si>
    <t>ІБ00-000220</t>
  </si>
  <si>
    <t>Акт 121/1.3-КМ(Цех екстракції поз. 3 ГБ)</t>
  </si>
  <si>
    <t>30.03.2026 13:57:14</t>
  </si>
  <si>
    <t>ІБ00-000221</t>
  </si>
  <si>
    <t>Акт 122/1.3-КМ(Цех екстракції поз. 3 ГБ)</t>
  </si>
  <si>
    <t>30.03.2026 14:00:07</t>
  </si>
  <si>
    <t>ІБ00-000222</t>
  </si>
  <si>
    <t xml:space="preserve"> Акт 29/1.26_Б</t>
  </si>
  <si>
    <t>30.03.2026 14:01:50</t>
  </si>
  <si>
    <t>ІБ00-000223</t>
  </si>
  <si>
    <t xml:space="preserve"> Акт 16/1.3-АР</t>
  </si>
  <si>
    <t>30.03.2026 14:02:33</t>
  </si>
  <si>
    <t>ІБ00-000224</t>
  </si>
  <si>
    <t xml:space="preserve"> Акт 13/1.10-АР</t>
  </si>
  <si>
    <t>06.03.2026 12:44:53</t>
  </si>
  <si>
    <t>ІБ00-000133</t>
  </si>
  <si>
    <t>Акт 22/ГПЗ</t>
  </si>
  <si>
    <t>16.03.2026 00:00:00</t>
  </si>
  <si>
    <t>ІБ00-000154</t>
  </si>
  <si>
    <t>Акт 23/ГПЗ</t>
  </si>
  <si>
    <t>27.03.2026 00:00:00</t>
  </si>
  <si>
    <t>ІБ00-000208</t>
  </si>
  <si>
    <t>Акт 24/ГПЗ</t>
  </si>
  <si>
    <t>30.03.2026 00:00:00</t>
  </si>
  <si>
    <t>ІБ00-000230</t>
  </si>
  <si>
    <t>Доїльно-молочний блок Акт 4-22</t>
  </si>
  <si>
    <t>ІБ00-000231</t>
  </si>
  <si>
    <t>Ємність освітлених вод Акт  3-08</t>
  </si>
  <si>
    <t>ІБ00-000232</t>
  </si>
  <si>
    <t>Корівник № 6 Акт  1-18</t>
  </si>
  <si>
    <t>ІБ00-000233</t>
  </si>
  <si>
    <t>Корівник №7 АВР № 2-24</t>
  </si>
  <si>
    <t>30.03.2026 14:03:22</t>
  </si>
  <si>
    <t>ІБ00-000225</t>
  </si>
  <si>
    <t>Акт 25/ГПЗ</t>
  </si>
  <si>
    <t>04.03.2026 10:38:51</t>
  </si>
  <si>
    <t>ІБ00-000042</t>
  </si>
  <si>
    <t>сп 25</t>
  </si>
  <si>
    <t>04.03.2026 12:38:51</t>
  </si>
  <si>
    <t>ІБ00-000043</t>
  </si>
  <si>
    <t>сп 12</t>
  </si>
  <si>
    <t>04.03.2026 13:29:28</t>
  </si>
  <si>
    <t>ІБ00-000044</t>
  </si>
  <si>
    <t xml:space="preserve">сп 11 </t>
  </si>
  <si>
    <t>04.03.2026 14:38:20</t>
  </si>
  <si>
    <t>ЗВК_Глобіне</t>
  </si>
  <si>
    <t>сп 14</t>
  </si>
  <si>
    <t>05.03.2026 10:50:42</t>
  </si>
  <si>
    <t>сп 23</t>
  </si>
  <si>
    <t>10.03.2026 11:27:14</t>
  </si>
  <si>
    <t>Резервуар для зберігання розчинника(Глобине)</t>
  </si>
  <si>
    <t>спец 28</t>
  </si>
  <si>
    <t>11.03.2026 14:58:14</t>
  </si>
  <si>
    <t>сп 12 (немає ТТН 2)</t>
  </si>
  <si>
    <t>11.03.2026 15:00:00</t>
  </si>
  <si>
    <t>Транспортна галерея Естакада 3.5 (Глобине)</t>
  </si>
  <si>
    <t>скан сп 18</t>
  </si>
  <si>
    <t>11.03.2026 15:10:00</t>
  </si>
  <si>
    <t>Транспортна галерея Естакада 3.4 (Глобине)</t>
  </si>
  <si>
    <t>скан сп 15</t>
  </si>
  <si>
    <t>12.03.2026 12:39:44</t>
  </si>
  <si>
    <t>ІБ00-000039</t>
  </si>
  <si>
    <t>13.03.2026 09:39:44</t>
  </si>
  <si>
    <t>Транспортна галерея (Глобине)</t>
  </si>
  <si>
    <t>скан сп 16</t>
  </si>
  <si>
    <t>13.03.2026 15:21:39</t>
  </si>
  <si>
    <t>скан сп 31</t>
  </si>
  <si>
    <t>13.03.2026 16:30:34</t>
  </si>
  <si>
    <t>скан сп 30</t>
  </si>
  <si>
    <t>13.03.2026 16:56:20</t>
  </si>
  <si>
    <t>ІБ00-000058</t>
  </si>
  <si>
    <t>ІБ00-000059</t>
  </si>
  <si>
    <t xml:space="preserve">скан сп 10 </t>
  </si>
  <si>
    <t>16.03.2026 12:00:11</t>
  </si>
  <si>
    <t>ІБ00-000060</t>
  </si>
  <si>
    <t>Пожежений резервуар (Глобине)</t>
  </si>
  <si>
    <t>скан сп 20</t>
  </si>
  <si>
    <t>16.03.2026 12:00:12</t>
  </si>
  <si>
    <t>скан сп 22</t>
  </si>
  <si>
    <t>16.03.2026 12:00:13</t>
  </si>
  <si>
    <t>скан сп 28</t>
  </si>
  <si>
    <t>17.03.2026 08:23:12</t>
  </si>
  <si>
    <t>Резервуарний парк соєвої меляси (Глобине)</t>
  </si>
  <si>
    <t>сп 30</t>
  </si>
  <si>
    <t>20.03.2026 10:40:43</t>
  </si>
  <si>
    <t>Глобине-2</t>
  </si>
  <si>
    <t>сп 32</t>
  </si>
  <si>
    <t>20.03.2026 11:23:05</t>
  </si>
  <si>
    <t>скан сп 12</t>
  </si>
  <si>
    <t>23.03.2026 08:52:49</t>
  </si>
  <si>
    <t>24.03.2026 10:31:25</t>
  </si>
  <si>
    <t>скан сп 32</t>
  </si>
  <si>
    <t>24.03.2026 16:56:11</t>
  </si>
  <si>
    <t>СПК (Глобине)</t>
  </si>
  <si>
    <t>сп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</si>
</sst>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63"/>
      <name val="Arial"/>
      <family val="2"/>
    </font>
    <font>
      <sz val="10"/>
      <color indexed="6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4" fontId="2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left" vertical="top"/>
    </xf>
    <xf numFmtId="2" fontId="2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Sheet1" xfId="1" xr:uid="{B803CB3A-D9C6-4338-B1F1-6D269481D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tabSelected="1" workbookViewId="0">
      <selection activeCell="G79" sqref="G79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8.77734375" bestFit="1" customWidth="1"/>
    <col min="4" max="4" width="31.33203125" bestFit="1" customWidth="1"/>
    <col min="5" max="5" width="12.33203125" bestFit="1" customWidth="1"/>
    <col min="6" max="6" width="7.6640625" bestFit="1" customWidth="1"/>
    <col min="7" max="7" width="22.6640625" bestFit="1" customWidth="1"/>
    <col min="8" max="8" width="16.6640625" bestFit="1" customWidth="1"/>
    <col min="9" max="9" width="14.5546875" bestFit="1" customWidth="1"/>
    <col min="10" max="10" width="43.5546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45</v>
      </c>
      <c r="C2" s="1" t="s">
        <v>46</v>
      </c>
      <c r="D2" s="1" t="s">
        <v>12</v>
      </c>
      <c r="E2" s="2">
        <v>205838.58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47</v>
      </c>
    </row>
    <row r="3" spans="1:10" x14ac:dyDescent="0.3">
      <c r="A3" s="1" t="s">
        <v>10</v>
      </c>
      <c r="B3" s="1" t="s">
        <v>48</v>
      </c>
      <c r="C3" s="1" t="s">
        <v>49</v>
      </c>
      <c r="D3" s="1" t="s">
        <v>12</v>
      </c>
      <c r="E3" s="2">
        <v>281034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50</v>
      </c>
    </row>
    <row r="4" spans="1:10" x14ac:dyDescent="0.3">
      <c r="A4" s="1" t="s">
        <v>10</v>
      </c>
      <c r="B4" s="1" t="s">
        <v>51</v>
      </c>
      <c r="C4" s="1" t="s">
        <v>52</v>
      </c>
      <c r="D4" s="1" t="s">
        <v>12</v>
      </c>
      <c r="E4" s="2">
        <v>51610.49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53</v>
      </c>
    </row>
    <row r="5" spans="1:10" x14ac:dyDescent="0.3">
      <c r="A5" s="1" t="s">
        <v>10</v>
      </c>
      <c r="B5" s="1" t="s">
        <v>54</v>
      </c>
      <c r="C5" s="1" t="s">
        <v>55</v>
      </c>
      <c r="D5" s="1" t="s">
        <v>12</v>
      </c>
      <c r="E5" s="2">
        <v>147034.20000000001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56</v>
      </c>
    </row>
    <row r="6" spans="1:10" x14ac:dyDescent="0.3">
      <c r="A6" s="1" t="s">
        <v>10</v>
      </c>
      <c r="B6" s="1" t="s">
        <v>57</v>
      </c>
      <c r="C6" s="1" t="s">
        <v>58</v>
      </c>
      <c r="D6" s="1" t="s">
        <v>12</v>
      </c>
      <c r="E6" s="2">
        <v>514812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59</v>
      </c>
    </row>
    <row r="7" spans="1:10" x14ac:dyDescent="0.3">
      <c r="A7" s="1" t="s">
        <v>10</v>
      </c>
      <c r="B7" s="1" t="s">
        <v>60</v>
      </c>
      <c r="C7" s="1" t="s">
        <v>61</v>
      </c>
      <c r="D7" s="1" t="s">
        <v>12</v>
      </c>
      <c r="E7" s="2">
        <v>357320.6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62</v>
      </c>
    </row>
    <row r="8" spans="1:10" x14ac:dyDescent="0.3">
      <c r="A8" s="1" t="s">
        <v>10</v>
      </c>
      <c r="B8" s="1" t="s">
        <v>63</v>
      </c>
      <c r="C8" s="1" t="s">
        <v>64</v>
      </c>
      <c r="D8" s="1" t="s">
        <v>12</v>
      </c>
      <c r="E8" s="2">
        <v>61961.2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65</v>
      </c>
    </row>
    <row r="9" spans="1:10" x14ac:dyDescent="0.3">
      <c r="A9" s="1" t="s">
        <v>10</v>
      </c>
      <c r="B9" s="1" t="s">
        <v>66</v>
      </c>
      <c r="C9" s="1" t="s">
        <v>67</v>
      </c>
      <c r="D9" s="1" t="s">
        <v>12</v>
      </c>
      <c r="E9" s="2">
        <v>243451.85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68</v>
      </c>
    </row>
    <row r="10" spans="1:10" x14ac:dyDescent="0.3">
      <c r="A10" s="1" t="s">
        <v>10</v>
      </c>
      <c r="B10" s="1" t="s">
        <v>69</v>
      </c>
      <c r="C10" s="1" t="s">
        <v>70</v>
      </c>
      <c r="D10" s="1" t="s">
        <v>12</v>
      </c>
      <c r="E10" s="2">
        <v>250218.16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71</v>
      </c>
    </row>
    <row r="11" spans="1:10" x14ac:dyDescent="0.3">
      <c r="A11" s="1" t="s">
        <v>10</v>
      </c>
      <c r="B11" s="1" t="s">
        <v>72</v>
      </c>
      <c r="C11" s="1" t="s">
        <v>73</v>
      </c>
      <c r="D11" s="1" t="s">
        <v>12</v>
      </c>
      <c r="E11" s="2">
        <v>156397.20000000001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74</v>
      </c>
    </row>
    <row r="12" spans="1:10" x14ac:dyDescent="0.3">
      <c r="A12" s="1" t="s">
        <v>10</v>
      </c>
      <c r="B12" s="1" t="s">
        <v>75</v>
      </c>
      <c r="C12" s="1" t="s">
        <v>76</v>
      </c>
      <c r="D12" s="1" t="s">
        <v>12</v>
      </c>
      <c r="E12" s="2">
        <v>1535663.28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77</v>
      </c>
    </row>
    <row r="13" spans="1:10" x14ac:dyDescent="0.3">
      <c r="A13" s="1" t="s">
        <v>10</v>
      </c>
      <c r="B13" s="1" t="s">
        <v>241</v>
      </c>
      <c r="C13" s="1" t="s">
        <v>242</v>
      </c>
      <c r="D13" s="1" t="s">
        <v>31</v>
      </c>
      <c r="E13" s="2">
        <v>98917.08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243</v>
      </c>
    </row>
    <row r="14" spans="1:10" x14ac:dyDescent="0.3">
      <c r="A14" s="1" t="s">
        <v>10</v>
      </c>
      <c r="B14" s="1" t="s">
        <v>78</v>
      </c>
      <c r="C14" s="1" t="s">
        <v>79</v>
      </c>
      <c r="D14" s="1" t="s">
        <v>12</v>
      </c>
      <c r="E14" s="2">
        <v>55744.38</v>
      </c>
      <c r="F14" s="1" t="s">
        <v>13</v>
      </c>
      <c r="G14" s="1" t="s">
        <v>14</v>
      </c>
      <c r="H14" s="1" t="s">
        <v>15</v>
      </c>
      <c r="I14" s="1" t="s">
        <v>16</v>
      </c>
      <c r="J14" s="1" t="s">
        <v>80</v>
      </c>
    </row>
    <row r="15" spans="1:10" x14ac:dyDescent="0.3">
      <c r="A15" s="1" t="s">
        <v>10</v>
      </c>
      <c r="B15" s="1" t="s">
        <v>81</v>
      </c>
      <c r="C15" s="1" t="s">
        <v>82</v>
      </c>
      <c r="D15" s="1" t="s">
        <v>12</v>
      </c>
      <c r="E15" s="2">
        <v>329869.09999999998</v>
      </c>
      <c r="F15" s="1" t="s">
        <v>13</v>
      </c>
      <c r="G15" s="1" t="s">
        <v>14</v>
      </c>
      <c r="H15" s="1" t="s">
        <v>15</v>
      </c>
      <c r="I15" s="1" t="s">
        <v>16</v>
      </c>
      <c r="J15" s="1" t="s">
        <v>83</v>
      </c>
    </row>
    <row r="16" spans="1:10" x14ac:dyDescent="0.3">
      <c r="A16" s="1" t="s">
        <v>10</v>
      </c>
      <c r="B16" s="1" t="s">
        <v>84</v>
      </c>
      <c r="C16" s="1" t="s">
        <v>85</v>
      </c>
      <c r="D16" s="1" t="s">
        <v>12</v>
      </c>
      <c r="E16" s="2">
        <v>59328.44</v>
      </c>
      <c r="F16" s="1" t="s">
        <v>13</v>
      </c>
      <c r="G16" s="1" t="s">
        <v>14</v>
      </c>
      <c r="H16" s="1" t="s">
        <v>15</v>
      </c>
      <c r="I16" s="1" t="s">
        <v>16</v>
      </c>
      <c r="J16" s="1" t="s">
        <v>86</v>
      </c>
    </row>
    <row r="17" spans="1:10" x14ac:dyDescent="0.3">
      <c r="A17" s="1" t="s">
        <v>10</v>
      </c>
      <c r="B17" s="1" t="s">
        <v>87</v>
      </c>
      <c r="C17" s="1" t="s">
        <v>88</v>
      </c>
      <c r="D17" s="1" t="s">
        <v>12</v>
      </c>
      <c r="E17" s="2">
        <v>180538.54</v>
      </c>
      <c r="F17" s="1" t="s">
        <v>13</v>
      </c>
      <c r="G17" s="1" t="s">
        <v>14</v>
      </c>
      <c r="H17" s="1" t="s">
        <v>15</v>
      </c>
      <c r="I17" s="1" t="s">
        <v>16</v>
      </c>
      <c r="J17" s="1" t="s">
        <v>89</v>
      </c>
    </row>
    <row r="18" spans="1:10" x14ac:dyDescent="0.3">
      <c r="A18" s="1" t="s">
        <v>10</v>
      </c>
      <c r="B18" s="1" t="s">
        <v>90</v>
      </c>
      <c r="C18" s="1" t="s">
        <v>91</v>
      </c>
      <c r="D18" s="1" t="s">
        <v>12</v>
      </c>
      <c r="E18" s="2">
        <v>116890.07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92</v>
      </c>
    </row>
    <row r="19" spans="1:10" x14ac:dyDescent="0.3">
      <c r="A19" s="1" t="s">
        <v>10</v>
      </c>
      <c r="B19" s="1" t="s">
        <v>93</v>
      </c>
      <c r="C19" s="1" t="s">
        <v>94</v>
      </c>
      <c r="D19" s="1" t="s">
        <v>12</v>
      </c>
      <c r="E19" s="2">
        <v>669912</v>
      </c>
      <c r="F19" s="1" t="s">
        <v>13</v>
      </c>
      <c r="G19" s="1" t="s">
        <v>14</v>
      </c>
      <c r="H19" s="1" t="s">
        <v>15</v>
      </c>
      <c r="I19" s="1" t="s">
        <v>16</v>
      </c>
      <c r="J19" s="1" t="s">
        <v>95</v>
      </c>
    </row>
    <row r="20" spans="1:10" x14ac:dyDescent="0.3">
      <c r="A20" s="1" t="s">
        <v>10</v>
      </c>
      <c r="B20" s="1" t="s">
        <v>96</v>
      </c>
      <c r="C20" s="1" t="s">
        <v>97</v>
      </c>
      <c r="D20" s="1" t="s">
        <v>12</v>
      </c>
      <c r="E20" s="2">
        <v>451751.08</v>
      </c>
      <c r="F20" s="1" t="s">
        <v>13</v>
      </c>
      <c r="G20" s="1" t="s">
        <v>14</v>
      </c>
      <c r="H20" s="1" t="s">
        <v>15</v>
      </c>
      <c r="I20" s="1" t="s">
        <v>16</v>
      </c>
      <c r="J20" s="1" t="s">
        <v>98</v>
      </c>
    </row>
    <row r="21" spans="1:10" x14ac:dyDescent="0.3">
      <c r="A21" s="1" t="s">
        <v>10</v>
      </c>
      <c r="B21" s="1" t="s">
        <v>99</v>
      </c>
      <c r="C21" s="1" t="s">
        <v>100</v>
      </c>
      <c r="D21" s="1" t="s">
        <v>12</v>
      </c>
      <c r="E21" s="2">
        <v>368985.04</v>
      </c>
      <c r="F21" s="1" t="s">
        <v>13</v>
      </c>
      <c r="G21" s="1" t="s">
        <v>14</v>
      </c>
      <c r="H21" s="1" t="s">
        <v>15</v>
      </c>
      <c r="I21" s="1" t="s">
        <v>16</v>
      </c>
      <c r="J21" s="1" t="s">
        <v>101</v>
      </c>
    </row>
    <row r="22" spans="1:10" x14ac:dyDescent="0.3">
      <c r="A22" s="1" t="s">
        <v>10</v>
      </c>
      <c r="B22" s="1" t="s">
        <v>102</v>
      </c>
      <c r="C22" s="1" t="s">
        <v>103</v>
      </c>
      <c r="D22" s="1" t="s">
        <v>12</v>
      </c>
      <c r="E22" s="2">
        <v>86467.199999999997</v>
      </c>
      <c r="F22" s="1" t="s">
        <v>13</v>
      </c>
      <c r="G22" s="1" t="s">
        <v>14</v>
      </c>
      <c r="H22" s="1" t="s">
        <v>15</v>
      </c>
      <c r="I22" s="1" t="s">
        <v>16</v>
      </c>
      <c r="J22" s="1" t="s">
        <v>104</v>
      </c>
    </row>
    <row r="23" spans="1:10" x14ac:dyDescent="0.3">
      <c r="A23" s="1" t="s">
        <v>10</v>
      </c>
      <c r="B23" s="1" t="s">
        <v>105</v>
      </c>
      <c r="C23" s="1" t="s">
        <v>106</v>
      </c>
      <c r="D23" s="1" t="s">
        <v>12</v>
      </c>
      <c r="E23" s="2">
        <v>728882.51</v>
      </c>
      <c r="F23" s="1" t="s">
        <v>13</v>
      </c>
      <c r="G23" s="1" t="s">
        <v>14</v>
      </c>
      <c r="H23" s="1" t="s">
        <v>15</v>
      </c>
      <c r="I23" s="1" t="s">
        <v>16</v>
      </c>
      <c r="J23" s="1" t="s">
        <v>107</v>
      </c>
    </row>
    <row r="24" spans="1:10" x14ac:dyDescent="0.3">
      <c r="A24" s="1" t="s">
        <v>10</v>
      </c>
      <c r="B24" s="1" t="s">
        <v>108</v>
      </c>
      <c r="C24" s="1" t="s">
        <v>109</v>
      </c>
      <c r="D24" s="1" t="s">
        <v>12</v>
      </c>
      <c r="E24" s="2">
        <v>853025.42</v>
      </c>
      <c r="F24" s="1" t="s">
        <v>13</v>
      </c>
      <c r="G24" s="1" t="s">
        <v>14</v>
      </c>
      <c r="H24" s="1" t="s">
        <v>15</v>
      </c>
      <c r="I24" s="1" t="s">
        <v>16</v>
      </c>
      <c r="J24" s="1" t="s">
        <v>110</v>
      </c>
    </row>
    <row r="25" spans="1:10" x14ac:dyDescent="0.3">
      <c r="A25" s="1" t="s">
        <v>10</v>
      </c>
      <c r="B25" s="1" t="s">
        <v>108</v>
      </c>
      <c r="C25" s="1" t="s">
        <v>111</v>
      </c>
      <c r="D25" s="1" t="s">
        <v>12</v>
      </c>
      <c r="E25" s="2">
        <v>644436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112</v>
      </c>
    </row>
    <row r="26" spans="1:10" x14ac:dyDescent="0.3">
      <c r="A26" s="1" t="s">
        <v>10</v>
      </c>
      <c r="B26" s="1" t="s">
        <v>108</v>
      </c>
      <c r="C26" s="1" t="s">
        <v>113</v>
      </c>
      <c r="D26" s="1" t="s">
        <v>12</v>
      </c>
      <c r="E26" s="2">
        <v>10318.030000000001</v>
      </c>
      <c r="F26" s="1" t="s">
        <v>13</v>
      </c>
      <c r="G26" s="1" t="s">
        <v>14</v>
      </c>
      <c r="H26" s="1" t="s">
        <v>15</v>
      </c>
      <c r="I26" s="1" t="s">
        <v>16</v>
      </c>
      <c r="J26" s="1" t="s">
        <v>114</v>
      </c>
    </row>
    <row r="27" spans="1:10" x14ac:dyDescent="0.3">
      <c r="A27" s="1" t="s">
        <v>10</v>
      </c>
      <c r="B27" s="1" t="s">
        <v>108</v>
      </c>
      <c r="C27" s="1" t="s">
        <v>115</v>
      </c>
      <c r="D27" s="1" t="s">
        <v>12</v>
      </c>
      <c r="E27" s="2">
        <v>74346</v>
      </c>
      <c r="F27" s="1" t="s">
        <v>13</v>
      </c>
      <c r="G27" s="1" t="s">
        <v>14</v>
      </c>
      <c r="H27" s="1" t="s">
        <v>15</v>
      </c>
      <c r="I27" s="1" t="s">
        <v>16</v>
      </c>
      <c r="J27" s="1" t="s">
        <v>116</v>
      </c>
    </row>
    <row r="28" spans="1:10" x14ac:dyDescent="0.3">
      <c r="A28" s="1" t="s">
        <v>10</v>
      </c>
      <c r="B28" s="1" t="s">
        <v>108</v>
      </c>
      <c r="C28" s="1" t="s">
        <v>117</v>
      </c>
      <c r="D28" s="1" t="s">
        <v>12</v>
      </c>
      <c r="E28" s="2">
        <v>502126.09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118</v>
      </c>
    </row>
    <row r="29" spans="1:10" x14ac:dyDescent="0.3">
      <c r="A29" s="1" t="s">
        <v>10</v>
      </c>
      <c r="B29" s="1" t="s">
        <v>108</v>
      </c>
      <c r="C29" s="1" t="s">
        <v>119</v>
      </c>
      <c r="D29" s="1" t="s">
        <v>12</v>
      </c>
      <c r="E29" s="2">
        <v>308369.77</v>
      </c>
      <c r="F29" s="1" t="s">
        <v>13</v>
      </c>
      <c r="G29" s="1" t="s">
        <v>14</v>
      </c>
      <c r="H29" s="1" t="s">
        <v>15</v>
      </c>
      <c r="I29" s="1" t="s">
        <v>16</v>
      </c>
      <c r="J29" s="1" t="s">
        <v>120</v>
      </c>
    </row>
    <row r="30" spans="1:10" x14ac:dyDescent="0.3">
      <c r="A30" s="1" t="s">
        <v>10</v>
      </c>
      <c r="B30" s="1" t="s">
        <v>108</v>
      </c>
      <c r="C30" s="1" t="s">
        <v>121</v>
      </c>
      <c r="D30" s="1" t="s">
        <v>12</v>
      </c>
      <c r="E30" s="2">
        <v>16799.900000000001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122</v>
      </c>
    </row>
    <row r="31" spans="1:10" x14ac:dyDescent="0.3">
      <c r="A31" s="1" t="s">
        <v>10</v>
      </c>
      <c r="B31" s="1" t="s">
        <v>108</v>
      </c>
      <c r="C31" s="1" t="s">
        <v>123</v>
      </c>
      <c r="D31" s="1" t="s">
        <v>12</v>
      </c>
      <c r="E31" s="2">
        <v>749478.40000000002</v>
      </c>
      <c r="F31" s="1" t="s">
        <v>13</v>
      </c>
      <c r="G31" s="1" t="s">
        <v>14</v>
      </c>
      <c r="H31" s="1" t="s">
        <v>15</v>
      </c>
      <c r="I31" s="1" t="s">
        <v>16</v>
      </c>
      <c r="J31" s="1" t="s">
        <v>124</v>
      </c>
    </row>
    <row r="32" spans="1:10" x14ac:dyDescent="0.3">
      <c r="A32" s="1" t="s">
        <v>10</v>
      </c>
      <c r="B32" s="1" t="s">
        <v>108</v>
      </c>
      <c r="C32" s="1" t="s">
        <v>125</v>
      </c>
      <c r="D32" s="1" t="s">
        <v>12</v>
      </c>
      <c r="E32" s="2">
        <v>13754.4</v>
      </c>
      <c r="F32" s="1" t="s">
        <v>13</v>
      </c>
      <c r="G32" s="1" t="s">
        <v>14</v>
      </c>
      <c r="H32" s="1" t="s">
        <v>15</v>
      </c>
      <c r="I32" s="1" t="s">
        <v>16</v>
      </c>
      <c r="J32" s="1" t="s">
        <v>126</v>
      </c>
    </row>
    <row r="33" spans="1:10" x14ac:dyDescent="0.3">
      <c r="A33" s="1" t="s">
        <v>10</v>
      </c>
      <c r="B33" s="1" t="s">
        <v>108</v>
      </c>
      <c r="C33" s="1" t="s">
        <v>127</v>
      </c>
      <c r="D33" s="1" t="s">
        <v>12</v>
      </c>
      <c r="E33" s="2">
        <v>1318137.42</v>
      </c>
      <c r="F33" s="1" t="s">
        <v>13</v>
      </c>
      <c r="G33" s="1" t="s">
        <v>14</v>
      </c>
      <c r="H33" s="1" t="s">
        <v>15</v>
      </c>
      <c r="I33" s="1" t="s">
        <v>16</v>
      </c>
      <c r="J33" s="1" t="s">
        <v>128</v>
      </c>
    </row>
    <row r="34" spans="1:10" x14ac:dyDescent="0.3">
      <c r="A34" s="1" t="s">
        <v>10</v>
      </c>
      <c r="B34" s="1" t="s">
        <v>108</v>
      </c>
      <c r="C34" s="1" t="s">
        <v>129</v>
      </c>
      <c r="D34" s="1" t="s">
        <v>12</v>
      </c>
      <c r="E34" s="2">
        <v>809124.43</v>
      </c>
      <c r="F34" s="1" t="s">
        <v>13</v>
      </c>
      <c r="G34" s="1" t="s">
        <v>14</v>
      </c>
      <c r="H34" s="1" t="s">
        <v>15</v>
      </c>
      <c r="I34" s="1" t="s">
        <v>16</v>
      </c>
      <c r="J34" s="1" t="s">
        <v>130</v>
      </c>
    </row>
    <row r="35" spans="1:10" x14ac:dyDescent="0.3">
      <c r="A35" s="1" t="s">
        <v>10</v>
      </c>
      <c r="B35" s="1" t="s">
        <v>131</v>
      </c>
      <c r="C35" s="1" t="s">
        <v>132</v>
      </c>
      <c r="D35" s="1" t="s">
        <v>12</v>
      </c>
      <c r="E35" s="2">
        <v>572762.53</v>
      </c>
      <c r="F35" s="1" t="s">
        <v>13</v>
      </c>
      <c r="G35" s="1" t="s">
        <v>14</v>
      </c>
      <c r="H35" s="1" t="s">
        <v>15</v>
      </c>
      <c r="I35" s="1" t="s">
        <v>16</v>
      </c>
      <c r="J35" s="1" t="s">
        <v>133</v>
      </c>
    </row>
    <row r="36" spans="1:10" x14ac:dyDescent="0.3">
      <c r="A36" s="1" t="s">
        <v>10</v>
      </c>
      <c r="B36" s="1" t="s">
        <v>134</v>
      </c>
      <c r="C36" s="1" t="s">
        <v>135</v>
      </c>
      <c r="D36" s="1" t="s">
        <v>12</v>
      </c>
      <c r="E36" s="2">
        <v>1608885.34</v>
      </c>
      <c r="F36" s="1" t="s">
        <v>13</v>
      </c>
      <c r="G36" s="1" t="s">
        <v>14</v>
      </c>
      <c r="H36" s="1" t="s">
        <v>15</v>
      </c>
      <c r="I36" s="1" t="s">
        <v>16</v>
      </c>
      <c r="J36" s="1" t="s">
        <v>136</v>
      </c>
    </row>
    <row r="37" spans="1:10" x14ac:dyDescent="0.3">
      <c r="A37" s="1" t="s">
        <v>10</v>
      </c>
      <c r="B37" s="1" t="s">
        <v>137</v>
      </c>
      <c r="C37" s="1" t="s">
        <v>138</v>
      </c>
      <c r="D37" s="1" t="s">
        <v>12</v>
      </c>
      <c r="E37" s="2">
        <v>1570087.76</v>
      </c>
      <c r="F37" s="1" t="s">
        <v>13</v>
      </c>
      <c r="G37" s="1" t="s">
        <v>14</v>
      </c>
      <c r="H37" s="1" t="s">
        <v>15</v>
      </c>
      <c r="I37" s="1" t="s">
        <v>16</v>
      </c>
      <c r="J37" s="1" t="s">
        <v>139</v>
      </c>
    </row>
    <row r="38" spans="1:10" x14ac:dyDescent="0.3">
      <c r="A38" s="1" t="s">
        <v>10</v>
      </c>
      <c r="B38" s="1" t="s">
        <v>140</v>
      </c>
      <c r="C38" s="1" t="s">
        <v>141</v>
      </c>
      <c r="D38" s="1" t="s">
        <v>12</v>
      </c>
      <c r="E38" s="2">
        <v>414457.91</v>
      </c>
      <c r="F38" s="1" t="s">
        <v>13</v>
      </c>
      <c r="G38" s="1" t="s">
        <v>14</v>
      </c>
      <c r="H38" s="1" t="s">
        <v>15</v>
      </c>
      <c r="I38" s="1" t="s">
        <v>16</v>
      </c>
      <c r="J38" s="1" t="s">
        <v>142</v>
      </c>
    </row>
    <row r="39" spans="1:10" x14ac:dyDescent="0.3">
      <c r="A39" s="1" t="s">
        <v>10</v>
      </c>
      <c r="B39" s="1" t="s">
        <v>143</v>
      </c>
      <c r="C39" s="1" t="s">
        <v>144</v>
      </c>
      <c r="D39" s="1" t="s">
        <v>12</v>
      </c>
      <c r="E39" s="2">
        <v>83262.740000000005</v>
      </c>
      <c r="F39" s="1" t="s">
        <v>13</v>
      </c>
      <c r="G39" s="1" t="s">
        <v>14</v>
      </c>
      <c r="H39" s="1" t="s">
        <v>15</v>
      </c>
      <c r="I39" s="1" t="s">
        <v>16</v>
      </c>
      <c r="J39" s="1" t="s">
        <v>145</v>
      </c>
    </row>
    <row r="40" spans="1:10" x14ac:dyDescent="0.3">
      <c r="A40" s="1" t="s">
        <v>10</v>
      </c>
      <c r="B40" s="1" t="s">
        <v>146</v>
      </c>
      <c r="C40" s="1" t="s">
        <v>147</v>
      </c>
      <c r="D40" s="1" t="s">
        <v>12</v>
      </c>
      <c r="E40" s="2">
        <v>357200</v>
      </c>
      <c r="F40" s="1" t="s">
        <v>13</v>
      </c>
      <c r="G40" s="1" t="s">
        <v>14</v>
      </c>
      <c r="H40" s="1" t="s">
        <v>15</v>
      </c>
      <c r="I40" s="1" t="s">
        <v>16</v>
      </c>
      <c r="J40" s="1" t="s">
        <v>148</v>
      </c>
    </row>
    <row r="41" spans="1:10" x14ac:dyDescent="0.3">
      <c r="A41" s="1" t="s">
        <v>10</v>
      </c>
      <c r="B41" s="1" t="s">
        <v>149</v>
      </c>
      <c r="C41" s="1" t="s">
        <v>150</v>
      </c>
      <c r="D41" s="1" t="s">
        <v>12</v>
      </c>
      <c r="E41" s="2">
        <v>61439.83</v>
      </c>
      <c r="F41" s="1" t="s">
        <v>13</v>
      </c>
      <c r="G41" s="1" t="s">
        <v>14</v>
      </c>
      <c r="H41" s="1" t="s">
        <v>15</v>
      </c>
      <c r="I41" s="1" t="s">
        <v>16</v>
      </c>
      <c r="J41" s="1" t="s">
        <v>151</v>
      </c>
    </row>
    <row r="42" spans="1:10" x14ac:dyDescent="0.3">
      <c r="A42" s="1" t="s">
        <v>10</v>
      </c>
      <c r="B42" s="1" t="s">
        <v>152</v>
      </c>
      <c r="C42" s="1" t="s">
        <v>153</v>
      </c>
      <c r="D42" s="1" t="s">
        <v>12</v>
      </c>
      <c r="E42" s="2">
        <v>1616403.76</v>
      </c>
      <c r="F42" s="1" t="s">
        <v>13</v>
      </c>
      <c r="G42" s="1" t="s">
        <v>14</v>
      </c>
      <c r="H42" s="1" t="s">
        <v>15</v>
      </c>
      <c r="I42" s="1" t="s">
        <v>16</v>
      </c>
      <c r="J42" s="1" t="s">
        <v>154</v>
      </c>
    </row>
    <row r="43" spans="1:10" x14ac:dyDescent="0.3">
      <c r="A43" s="1" t="s">
        <v>10</v>
      </c>
      <c r="B43" s="1" t="s">
        <v>155</v>
      </c>
      <c r="C43" s="1" t="s">
        <v>156</v>
      </c>
      <c r="D43" s="1" t="s">
        <v>12</v>
      </c>
      <c r="E43" s="2">
        <v>1229269.72</v>
      </c>
      <c r="F43" s="1" t="s">
        <v>13</v>
      </c>
      <c r="G43" s="1" t="s">
        <v>14</v>
      </c>
      <c r="H43" s="1" t="s">
        <v>15</v>
      </c>
      <c r="I43" s="1" t="s">
        <v>16</v>
      </c>
      <c r="J43" s="1" t="s">
        <v>157</v>
      </c>
    </row>
    <row r="44" spans="1:10" x14ac:dyDescent="0.3">
      <c r="A44" s="1" t="s">
        <v>10</v>
      </c>
      <c r="B44" s="1" t="s">
        <v>158</v>
      </c>
      <c r="C44" s="1" t="s">
        <v>159</v>
      </c>
      <c r="D44" s="1" t="s">
        <v>12</v>
      </c>
      <c r="E44" s="2">
        <v>1285936.31</v>
      </c>
      <c r="F44" s="1" t="s">
        <v>13</v>
      </c>
      <c r="G44" s="1" t="s">
        <v>14</v>
      </c>
      <c r="H44" s="1" t="s">
        <v>15</v>
      </c>
      <c r="I44" s="1" t="s">
        <v>16</v>
      </c>
      <c r="J44" s="1" t="s">
        <v>160</v>
      </c>
    </row>
    <row r="45" spans="1:10" x14ac:dyDescent="0.3">
      <c r="A45" s="1" t="s">
        <v>10</v>
      </c>
      <c r="B45" s="1" t="s">
        <v>158</v>
      </c>
      <c r="C45" s="1" t="s">
        <v>161</v>
      </c>
      <c r="D45" s="1" t="s">
        <v>12</v>
      </c>
      <c r="E45" s="2">
        <v>788093.65</v>
      </c>
      <c r="F45" s="1" t="s">
        <v>13</v>
      </c>
      <c r="G45" s="1" t="s">
        <v>14</v>
      </c>
      <c r="H45" s="1" t="s">
        <v>15</v>
      </c>
      <c r="I45" s="1" t="s">
        <v>16</v>
      </c>
      <c r="J45" s="1" t="s">
        <v>162</v>
      </c>
    </row>
    <row r="46" spans="1:10" x14ac:dyDescent="0.3">
      <c r="A46" s="1" t="s">
        <v>10</v>
      </c>
      <c r="B46" s="1" t="s">
        <v>244</v>
      </c>
      <c r="C46" s="1" t="s">
        <v>245</v>
      </c>
      <c r="D46" s="1" t="s">
        <v>31</v>
      </c>
      <c r="E46" s="2">
        <v>593244.1</v>
      </c>
      <c r="F46" s="1" t="s">
        <v>13</v>
      </c>
      <c r="G46" s="1" t="s">
        <v>14</v>
      </c>
      <c r="H46" s="1" t="s">
        <v>15</v>
      </c>
      <c r="I46" s="1" t="s">
        <v>16</v>
      </c>
      <c r="J46" s="1" t="s">
        <v>246</v>
      </c>
    </row>
    <row r="47" spans="1:10" x14ac:dyDescent="0.3">
      <c r="A47" s="1" t="s">
        <v>10</v>
      </c>
      <c r="B47" s="1" t="s">
        <v>163</v>
      </c>
      <c r="C47" s="1" t="s">
        <v>164</v>
      </c>
      <c r="D47" s="1" t="s">
        <v>12</v>
      </c>
      <c r="E47" s="2">
        <v>58505.68</v>
      </c>
      <c r="F47" s="1" t="s">
        <v>13</v>
      </c>
      <c r="G47" s="1" t="s">
        <v>14</v>
      </c>
      <c r="H47" s="1" t="s">
        <v>15</v>
      </c>
      <c r="I47" s="1" t="s">
        <v>16</v>
      </c>
      <c r="J47" s="1" t="s">
        <v>165</v>
      </c>
    </row>
    <row r="48" spans="1:10" x14ac:dyDescent="0.3">
      <c r="A48" s="1" t="s">
        <v>10</v>
      </c>
      <c r="B48" s="1" t="s">
        <v>166</v>
      </c>
      <c r="C48" s="1" t="s">
        <v>167</v>
      </c>
      <c r="D48" s="1" t="s">
        <v>12</v>
      </c>
      <c r="E48" s="2">
        <v>109707.16</v>
      </c>
      <c r="F48" s="1" t="s">
        <v>13</v>
      </c>
      <c r="G48" s="1" t="s">
        <v>14</v>
      </c>
      <c r="H48" s="1" t="s">
        <v>15</v>
      </c>
      <c r="I48" s="1" t="s">
        <v>16</v>
      </c>
      <c r="J48" s="1" t="s">
        <v>168</v>
      </c>
    </row>
    <row r="49" spans="1:10" x14ac:dyDescent="0.3">
      <c r="A49" s="1" t="s">
        <v>10</v>
      </c>
      <c r="B49" s="1" t="s">
        <v>169</v>
      </c>
      <c r="C49" s="1" t="s">
        <v>170</v>
      </c>
      <c r="D49" s="1" t="s">
        <v>12</v>
      </c>
      <c r="E49" s="2">
        <v>725868.96</v>
      </c>
      <c r="F49" s="1" t="s">
        <v>13</v>
      </c>
      <c r="G49" s="1" t="s">
        <v>14</v>
      </c>
      <c r="H49" s="1" t="s">
        <v>15</v>
      </c>
      <c r="I49" s="1" t="s">
        <v>16</v>
      </c>
      <c r="J49" s="1" t="s">
        <v>171</v>
      </c>
    </row>
    <row r="50" spans="1:10" x14ac:dyDescent="0.3">
      <c r="A50" s="1" t="s">
        <v>10</v>
      </c>
      <c r="B50" s="1" t="s">
        <v>172</v>
      </c>
      <c r="C50" s="1" t="s">
        <v>173</v>
      </c>
      <c r="D50" s="1" t="s">
        <v>12</v>
      </c>
      <c r="E50" s="2">
        <v>621709.43999999994</v>
      </c>
      <c r="F50" s="1" t="s">
        <v>13</v>
      </c>
      <c r="G50" s="1" t="s">
        <v>14</v>
      </c>
      <c r="H50" s="1" t="s">
        <v>15</v>
      </c>
      <c r="I50" s="1" t="s">
        <v>16</v>
      </c>
      <c r="J50" s="1" t="s">
        <v>174</v>
      </c>
    </row>
    <row r="51" spans="1:10" x14ac:dyDescent="0.3">
      <c r="A51" s="1" t="s">
        <v>10</v>
      </c>
      <c r="B51" s="1" t="s">
        <v>175</v>
      </c>
      <c r="C51" s="1" t="s">
        <v>176</v>
      </c>
      <c r="D51" s="1" t="s">
        <v>12</v>
      </c>
      <c r="E51" s="2">
        <v>838488</v>
      </c>
      <c r="F51" s="1" t="s">
        <v>13</v>
      </c>
      <c r="G51" s="1" t="s">
        <v>14</v>
      </c>
      <c r="H51" s="1" t="s">
        <v>15</v>
      </c>
      <c r="I51" s="1" t="s">
        <v>16</v>
      </c>
      <c r="J51" s="1" t="s">
        <v>177</v>
      </c>
    </row>
    <row r="52" spans="1:10" x14ac:dyDescent="0.3">
      <c r="A52" s="1" t="s">
        <v>10</v>
      </c>
      <c r="B52" s="1" t="s">
        <v>178</v>
      </c>
      <c r="C52" s="1" t="s">
        <v>179</v>
      </c>
      <c r="D52" s="1" t="s">
        <v>12</v>
      </c>
      <c r="E52" s="2">
        <v>204518.68</v>
      </c>
      <c r="F52" s="1" t="s">
        <v>13</v>
      </c>
      <c r="G52" s="1" t="s">
        <v>14</v>
      </c>
      <c r="H52" s="1" t="s">
        <v>15</v>
      </c>
      <c r="I52" s="1" t="s">
        <v>16</v>
      </c>
      <c r="J52" s="1" t="s">
        <v>180</v>
      </c>
    </row>
    <row r="53" spans="1:10" x14ac:dyDescent="0.3">
      <c r="A53" s="1" t="s">
        <v>10</v>
      </c>
      <c r="B53" s="1" t="s">
        <v>181</v>
      </c>
      <c r="C53" s="1" t="s">
        <v>182</v>
      </c>
      <c r="D53" s="1" t="s">
        <v>12</v>
      </c>
      <c r="E53" s="2">
        <v>361798.74</v>
      </c>
      <c r="F53" s="1" t="s">
        <v>13</v>
      </c>
      <c r="G53" s="1" t="s">
        <v>14</v>
      </c>
      <c r="H53" s="1" t="s">
        <v>15</v>
      </c>
      <c r="I53" s="1" t="s">
        <v>16</v>
      </c>
      <c r="J53" s="1" t="s">
        <v>183</v>
      </c>
    </row>
    <row r="54" spans="1:10" x14ac:dyDescent="0.3">
      <c r="A54" s="1" t="s">
        <v>10</v>
      </c>
      <c r="B54" s="1" t="s">
        <v>184</v>
      </c>
      <c r="C54" s="1" t="s">
        <v>185</v>
      </c>
      <c r="D54" s="1" t="s">
        <v>12</v>
      </c>
      <c r="E54" s="2">
        <v>261965.95</v>
      </c>
      <c r="F54" s="1" t="s">
        <v>13</v>
      </c>
      <c r="G54" s="1" t="s">
        <v>14</v>
      </c>
      <c r="H54" s="1" t="s">
        <v>15</v>
      </c>
      <c r="I54" s="1" t="s">
        <v>16</v>
      </c>
      <c r="J54" s="1" t="s">
        <v>186</v>
      </c>
    </row>
    <row r="55" spans="1:10" x14ac:dyDescent="0.3">
      <c r="A55" s="1" t="s">
        <v>10</v>
      </c>
      <c r="B55" s="1" t="s">
        <v>187</v>
      </c>
      <c r="C55" s="1" t="s">
        <v>188</v>
      </c>
      <c r="D55" s="1" t="s">
        <v>12</v>
      </c>
      <c r="E55" s="2">
        <v>22101.85</v>
      </c>
      <c r="F55" s="1" t="s">
        <v>13</v>
      </c>
      <c r="G55" s="1" t="s">
        <v>14</v>
      </c>
      <c r="H55" s="1" t="s">
        <v>15</v>
      </c>
      <c r="I55" s="1" t="s">
        <v>16</v>
      </c>
      <c r="J55" s="1" t="s">
        <v>189</v>
      </c>
    </row>
    <row r="56" spans="1:10" x14ac:dyDescent="0.3">
      <c r="A56" s="1" t="s">
        <v>10</v>
      </c>
      <c r="B56" s="1" t="s">
        <v>190</v>
      </c>
      <c r="C56" s="1" t="s">
        <v>191</v>
      </c>
      <c r="D56" s="1" t="s">
        <v>12</v>
      </c>
      <c r="E56" s="2">
        <v>216563.92</v>
      </c>
      <c r="F56" s="1" t="s">
        <v>13</v>
      </c>
      <c r="G56" s="1" t="s">
        <v>14</v>
      </c>
      <c r="H56" s="1" t="s">
        <v>15</v>
      </c>
      <c r="I56" s="1" t="s">
        <v>16</v>
      </c>
      <c r="J56" s="1" t="s">
        <v>192</v>
      </c>
    </row>
    <row r="57" spans="1:10" x14ac:dyDescent="0.3">
      <c r="A57" s="1" t="s">
        <v>10</v>
      </c>
      <c r="B57" s="1" t="s">
        <v>193</v>
      </c>
      <c r="C57" s="1" t="s">
        <v>194</v>
      </c>
      <c r="D57" s="1" t="s">
        <v>12</v>
      </c>
      <c r="E57" s="2">
        <v>730384.02</v>
      </c>
      <c r="F57" s="1" t="s">
        <v>13</v>
      </c>
      <c r="G57" s="1" t="s">
        <v>14</v>
      </c>
      <c r="H57" s="1" t="s">
        <v>15</v>
      </c>
      <c r="I57" s="1" t="s">
        <v>16</v>
      </c>
      <c r="J57" s="1" t="s">
        <v>195</v>
      </c>
    </row>
    <row r="58" spans="1:10" x14ac:dyDescent="0.3">
      <c r="A58" s="1" t="s">
        <v>10</v>
      </c>
      <c r="B58" s="1" t="s">
        <v>196</v>
      </c>
      <c r="C58" s="1" t="s">
        <v>197</v>
      </c>
      <c r="D58" s="1" t="s">
        <v>12</v>
      </c>
      <c r="E58" s="2">
        <v>38064.720000000001</v>
      </c>
      <c r="F58" s="1" t="s">
        <v>13</v>
      </c>
      <c r="G58" s="1" t="s">
        <v>14</v>
      </c>
      <c r="H58" s="1" t="s">
        <v>15</v>
      </c>
      <c r="I58" s="1" t="s">
        <v>16</v>
      </c>
      <c r="J58" s="1" t="s">
        <v>198</v>
      </c>
    </row>
    <row r="59" spans="1:10" x14ac:dyDescent="0.3">
      <c r="A59" s="1" t="s">
        <v>10</v>
      </c>
      <c r="B59" s="1" t="s">
        <v>199</v>
      </c>
      <c r="C59" s="1" t="s">
        <v>200</v>
      </c>
      <c r="D59" s="1" t="s">
        <v>12</v>
      </c>
      <c r="E59" s="2">
        <v>16799.900000000001</v>
      </c>
      <c r="F59" s="1" t="s">
        <v>13</v>
      </c>
      <c r="G59" s="1" t="s">
        <v>14</v>
      </c>
      <c r="H59" s="1" t="s">
        <v>15</v>
      </c>
      <c r="I59" s="1" t="s">
        <v>16</v>
      </c>
      <c r="J59" s="1" t="s">
        <v>201</v>
      </c>
    </row>
    <row r="60" spans="1:10" x14ac:dyDescent="0.3">
      <c r="A60" s="1" t="s">
        <v>10</v>
      </c>
      <c r="B60" s="1" t="s">
        <v>202</v>
      </c>
      <c r="C60" s="1" t="s">
        <v>203</v>
      </c>
      <c r="D60" s="1" t="s">
        <v>12</v>
      </c>
      <c r="E60" s="2">
        <v>199912.91</v>
      </c>
      <c r="F60" s="1" t="s">
        <v>13</v>
      </c>
      <c r="G60" s="1" t="s">
        <v>14</v>
      </c>
      <c r="H60" s="1" t="s">
        <v>15</v>
      </c>
      <c r="I60" s="1" t="s">
        <v>16</v>
      </c>
      <c r="J60" s="1" t="s">
        <v>204</v>
      </c>
    </row>
    <row r="61" spans="1:10" x14ac:dyDescent="0.3">
      <c r="A61" s="1" t="s">
        <v>10</v>
      </c>
      <c r="B61" s="1" t="s">
        <v>247</v>
      </c>
      <c r="C61" s="1" t="s">
        <v>248</v>
      </c>
      <c r="D61" s="1" t="s">
        <v>31</v>
      </c>
      <c r="E61" s="2">
        <v>53456.03</v>
      </c>
      <c r="F61" s="1" t="s">
        <v>13</v>
      </c>
      <c r="G61" s="1" t="s">
        <v>14</v>
      </c>
      <c r="H61" s="1" t="s">
        <v>15</v>
      </c>
      <c r="I61" s="1" t="s">
        <v>16</v>
      </c>
      <c r="J61" s="1" t="s">
        <v>249</v>
      </c>
    </row>
    <row r="62" spans="1:10" x14ac:dyDescent="0.3">
      <c r="A62" s="1" t="s">
        <v>10</v>
      </c>
      <c r="B62" s="1" t="s">
        <v>250</v>
      </c>
      <c r="C62" s="1" t="s">
        <v>251</v>
      </c>
      <c r="D62" s="1" t="s">
        <v>33</v>
      </c>
      <c r="E62" s="2">
        <v>574229.66</v>
      </c>
      <c r="F62" s="1" t="s">
        <v>13</v>
      </c>
      <c r="G62" s="1" t="s">
        <v>34</v>
      </c>
      <c r="H62" s="1" t="s">
        <v>15</v>
      </c>
      <c r="I62" s="1" t="s">
        <v>16</v>
      </c>
      <c r="J62" s="1" t="s">
        <v>252</v>
      </c>
    </row>
    <row r="63" spans="1:10" x14ac:dyDescent="0.3">
      <c r="A63" s="1" t="s">
        <v>10</v>
      </c>
      <c r="B63" s="1" t="s">
        <v>250</v>
      </c>
      <c r="C63" s="1" t="s">
        <v>253</v>
      </c>
      <c r="D63" s="1" t="s">
        <v>33</v>
      </c>
      <c r="E63" s="2">
        <v>21030.18</v>
      </c>
      <c r="F63" s="1" t="s">
        <v>13</v>
      </c>
      <c r="G63" s="1" t="s">
        <v>34</v>
      </c>
      <c r="H63" s="1" t="s">
        <v>15</v>
      </c>
      <c r="I63" s="1" t="s">
        <v>16</v>
      </c>
      <c r="J63" s="1" t="s">
        <v>254</v>
      </c>
    </row>
    <row r="64" spans="1:10" x14ac:dyDescent="0.3">
      <c r="A64" s="1" t="s">
        <v>10</v>
      </c>
      <c r="B64" s="1" t="s">
        <v>250</v>
      </c>
      <c r="C64" s="1" t="s">
        <v>255</v>
      </c>
      <c r="D64" s="1" t="s">
        <v>33</v>
      </c>
      <c r="E64" s="2">
        <v>51530.64</v>
      </c>
      <c r="F64" s="1" t="s">
        <v>13</v>
      </c>
      <c r="G64" s="1" t="s">
        <v>34</v>
      </c>
      <c r="H64" s="1" t="s">
        <v>15</v>
      </c>
      <c r="I64" s="1" t="s">
        <v>16</v>
      </c>
      <c r="J64" s="1" t="s">
        <v>256</v>
      </c>
    </row>
    <row r="65" spans="1:10" x14ac:dyDescent="0.3">
      <c r="A65" s="1" t="s">
        <v>10</v>
      </c>
      <c r="B65" s="1" t="s">
        <v>250</v>
      </c>
      <c r="C65" s="1" t="s">
        <v>257</v>
      </c>
      <c r="D65" s="1" t="s">
        <v>33</v>
      </c>
      <c r="E65" s="2">
        <v>188981.47</v>
      </c>
      <c r="F65" s="1" t="s">
        <v>13</v>
      </c>
      <c r="G65" s="1" t="s">
        <v>34</v>
      </c>
      <c r="H65" s="1" t="s">
        <v>15</v>
      </c>
      <c r="I65" s="1" t="s">
        <v>16</v>
      </c>
      <c r="J65" s="1" t="s">
        <v>258</v>
      </c>
    </row>
    <row r="66" spans="1:10" x14ac:dyDescent="0.3">
      <c r="A66" s="1" t="s">
        <v>10</v>
      </c>
      <c r="B66" s="1" t="s">
        <v>205</v>
      </c>
      <c r="C66" s="1" t="s">
        <v>206</v>
      </c>
      <c r="D66" s="1" t="s">
        <v>12</v>
      </c>
      <c r="E66" s="2">
        <v>183903.23</v>
      </c>
      <c r="F66" s="1" t="s">
        <v>13</v>
      </c>
      <c r="G66" s="1" t="s">
        <v>14</v>
      </c>
      <c r="H66" s="1" t="s">
        <v>15</v>
      </c>
      <c r="I66" s="1" t="s">
        <v>16</v>
      </c>
      <c r="J66" s="1" t="s">
        <v>207</v>
      </c>
    </row>
    <row r="67" spans="1:10" x14ac:dyDescent="0.3">
      <c r="A67" s="1" t="s">
        <v>10</v>
      </c>
      <c r="B67" s="1" t="s">
        <v>208</v>
      </c>
      <c r="C67" s="1" t="s">
        <v>209</v>
      </c>
      <c r="D67" s="1" t="s">
        <v>12</v>
      </c>
      <c r="E67" s="2">
        <v>904583.17</v>
      </c>
      <c r="F67" s="1" t="s">
        <v>13</v>
      </c>
      <c r="G67" s="1" t="s">
        <v>14</v>
      </c>
      <c r="H67" s="1" t="s">
        <v>15</v>
      </c>
      <c r="I67" s="1" t="s">
        <v>35</v>
      </c>
      <c r="J67" s="1" t="s">
        <v>210</v>
      </c>
    </row>
    <row r="68" spans="1:10" x14ac:dyDescent="0.3">
      <c r="A68" s="1" t="s">
        <v>10</v>
      </c>
      <c r="B68" s="1" t="s">
        <v>211</v>
      </c>
      <c r="C68" s="1" t="s">
        <v>212</v>
      </c>
      <c r="D68" s="1" t="s">
        <v>12</v>
      </c>
      <c r="E68" s="2">
        <v>1020692.75</v>
      </c>
      <c r="F68" s="1" t="s">
        <v>13</v>
      </c>
      <c r="G68" s="1" t="s">
        <v>14</v>
      </c>
      <c r="H68" s="1" t="s">
        <v>15</v>
      </c>
      <c r="I68" s="1" t="s">
        <v>35</v>
      </c>
      <c r="J68" s="1" t="s">
        <v>213</v>
      </c>
    </row>
    <row r="69" spans="1:10" x14ac:dyDescent="0.3">
      <c r="A69" s="1" t="s">
        <v>10</v>
      </c>
      <c r="B69" s="1" t="s">
        <v>214</v>
      </c>
      <c r="C69" s="1" t="s">
        <v>215</v>
      </c>
      <c r="D69" s="1" t="s">
        <v>12</v>
      </c>
      <c r="E69" s="2">
        <v>271471.31</v>
      </c>
      <c r="F69" s="1" t="s">
        <v>13</v>
      </c>
      <c r="G69" s="1" t="s">
        <v>14</v>
      </c>
      <c r="H69" s="1" t="s">
        <v>15</v>
      </c>
      <c r="I69" s="1" t="s">
        <v>35</v>
      </c>
      <c r="J69" s="1" t="s">
        <v>216</v>
      </c>
    </row>
    <row r="70" spans="1:10" x14ac:dyDescent="0.3">
      <c r="A70" s="1" t="s">
        <v>10</v>
      </c>
      <c r="B70" s="1" t="s">
        <v>217</v>
      </c>
      <c r="C70" s="1" t="s">
        <v>218</v>
      </c>
      <c r="D70" s="1" t="s">
        <v>12</v>
      </c>
      <c r="E70" s="2">
        <v>276237.77</v>
      </c>
      <c r="F70" s="1" t="s">
        <v>13</v>
      </c>
      <c r="G70" s="1" t="s">
        <v>14</v>
      </c>
      <c r="H70" s="1" t="s">
        <v>15</v>
      </c>
      <c r="I70" s="1" t="s">
        <v>35</v>
      </c>
      <c r="J70" s="1" t="s">
        <v>219</v>
      </c>
    </row>
    <row r="71" spans="1:10" x14ac:dyDescent="0.3">
      <c r="A71" s="1" t="s">
        <v>10</v>
      </c>
      <c r="B71" s="1" t="s">
        <v>220</v>
      </c>
      <c r="C71" s="1" t="s">
        <v>221</v>
      </c>
      <c r="D71" s="1" t="s">
        <v>12</v>
      </c>
      <c r="E71" s="2">
        <v>47853.95</v>
      </c>
      <c r="F71" s="1" t="s">
        <v>13</v>
      </c>
      <c r="G71" s="1" t="s">
        <v>14</v>
      </c>
      <c r="H71" s="1" t="s">
        <v>15</v>
      </c>
      <c r="I71" s="1" t="s">
        <v>35</v>
      </c>
      <c r="J71" s="1" t="s">
        <v>222</v>
      </c>
    </row>
    <row r="72" spans="1:10" x14ac:dyDescent="0.3">
      <c r="A72" s="1" t="s">
        <v>10</v>
      </c>
      <c r="B72" s="1" t="s">
        <v>223</v>
      </c>
      <c r="C72" s="1" t="s">
        <v>224</v>
      </c>
      <c r="D72" s="1" t="s">
        <v>12</v>
      </c>
      <c r="E72" s="2">
        <v>719844.28</v>
      </c>
      <c r="F72" s="1" t="s">
        <v>13</v>
      </c>
      <c r="G72" s="1" t="s">
        <v>14</v>
      </c>
      <c r="H72" s="1" t="s">
        <v>15</v>
      </c>
      <c r="I72" s="1" t="s">
        <v>35</v>
      </c>
      <c r="J72" s="1" t="s">
        <v>225</v>
      </c>
    </row>
    <row r="73" spans="1:10" x14ac:dyDescent="0.3">
      <c r="A73" s="1" t="s">
        <v>10</v>
      </c>
      <c r="B73" s="1" t="s">
        <v>226</v>
      </c>
      <c r="C73" s="1" t="s">
        <v>227</v>
      </c>
      <c r="D73" s="1" t="s">
        <v>12</v>
      </c>
      <c r="E73" s="2">
        <v>248812.91</v>
      </c>
      <c r="F73" s="1" t="s">
        <v>13</v>
      </c>
      <c r="G73" s="1" t="s">
        <v>14</v>
      </c>
      <c r="H73" s="1" t="s">
        <v>15</v>
      </c>
      <c r="I73" s="1" t="s">
        <v>35</v>
      </c>
      <c r="J73" s="1" t="s">
        <v>228</v>
      </c>
    </row>
    <row r="74" spans="1:10" x14ac:dyDescent="0.3">
      <c r="A74" s="1" t="s">
        <v>10</v>
      </c>
      <c r="B74" s="1" t="s">
        <v>229</v>
      </c>
      <c r="C74" s="1" t="s">
        <v>230</v>
      </c>
      <c r="D74" s="1" t="s">
        <v>12</v>
      </c>
      <c r="E74" s="2">
        <v>346259.05</v>
      </c>
      <c r="F74" s="1" t="s">
        <v>13</v>
      </c>
      <c r="G74" s="1" t="s">
        <v>14</v>
      </c>
      <c r="H74" s="1" t="s">
        <v>15</v>
      </c>
      <c r="I74" s="1" t="s">
        <v>35</v>
      </c>
      <c r="J74" s="1" t="s">
        <v>231</v>
      </c>
    </row>
    <row r="75" spans="1:10" x14ac:dyDescent="0.3">
      <c r="A75" s="1" t="s">
        <v>10</v>
      </c>
      <c r="B75" s="1" t="s">
        <v>232</v>
      </c>
      <c r="C75" s="1" t="s">
        <v>233</v>
      </c>
      <c r="D75" s="1" t="s">
        <v>12</v>
      </c>
      <c r="E75" s="2">
        <v>75649.919999999998</v>
      </c>
      <c r="F75" s="1" t="s">
        <v>13</v>
      </c>
      <c r="G75" s="1" t="s">
        <v>14</v>
      </c>
      <c r="H75" s="1" t="s">
        <v>15</v>
      </c>
      <c r="I75" s="1" t="s">
        <v>35</v>
      </c>
      <c r="J75" s="1" t="s">
        <v>234</v>
      </c>
    </row>
    <row r="76" spans="1:10" x14ac:dyDescent="0.3">
      <c r="A76" s="1" t="s">
        <v>10</v>
      </c>
      <c r="B76" s="1" t="s">
        <v>235</v>
      </c>
      <c r="C76" s="1" t="s">
        <v>236</v>
      </c>
      <c r="D76" s="1" t="s">
        <v>12</v>
      </c>
      <c r="E76" s="2">
        <v>610098.31999999995</v>
      </c>
      <c r="F76" s="1" t="s">
        <v>13</v>
      </c>
      <c r="G76" s="1" t="s">
        <v>14</v>
      </c>
      <c r="H76" s="1" t="s">
        <v>15</v>
      </c>
      <c r="I76" s="1" t="s">
        <v>35</v>
      </c>
      <c r="J76" s="1" t="s">
        <v>237</v>
      </c>
    </row>
    <row r="77" spans="1:10" x14ac:dyDescent="0.3">
      <c r="A77" s="1" t="s">
        <v>10</v>
      </c>
      <c r="B77" s="1" t="s">
        <v>238</v>
      </c>
      <c r="C77" s="1" t="s">
        <v>239</v>
      </c>
      <c r="D77" s="1" t="s">
        <v>12</v>
      </c>
      <c r="E77" s="2">
        <v>269491.58</v>
      </c>
      <c r="F77" s="1" t="s">
        <v>13</v>
      </c>
      <c r="G77" s="1" t="s">
        <v>14</v>
      </c>
      <c r="H77" s="1" t="s">
        <v>15</v>
      </c>
      <c r="I77" s="1" t="s">
        <v>35</v>
      </c>
      <c r="J77" s="1" t="s">
        <v>240</v>
      </c>
    </row>
    <row r="78" spans="1:10" x14ac:dyDescent="0.3">
      <c r="A78" s="1" t="s">
        <v>10</v>
      </c>
      <c r="B78" s="1" t="s">
        <v>259</v>
      </c>
      <c r="C78" s="1" t="s">
        <v>260</v>
      </c>
      <c r="D78" s="1" t="s">
        <v>31</v>
      </c>
      <c r="E78" s="2">
        <v>37410.160000000003</v>
      </c>
      <c r="F78" s="1" t="s">
        <v>13</v>
      </c>
      <c r="G78" s="1" t="s">
        <v>14</v>
      </c>
      <c r="H78" s="1" t="s">
        <v>15</v>
      </c>
      <c r="I78" s="1" t="s">
        <v>35</v>
      </c>
      <c r="J78" s="1" t="s">
        <v>261</v>
      </c>
    </row>
    <row r="79" spans="1:10" x14ac:dyDescent="0.3">
      <c r="E79" s="3">
        <f>SUBTOTAL(9,E2:E78)</f>
        <v>32741512.82</v>
      </c>
    </row>
    <row r="80" spans="1:10" x14ac:dyDescent="0.3">
      <c r="E80" s="3">
        <f>E79-E82-E83</f>
        <v>0</v>
      </c>
    </row>
    <row r="82" spans="1:11" x14ac:dyDescent="0.3">
      <c r="E82" s="3">
        <f>E62+E63+E65+E64</f>
        <v>835771.95000000007</v>
      </c>
      <c r="G82" t="s">
        <v>36</v>
      </c>
    </row>
    <row r="83" spans="1:11" x14ac:dyDescent="0.3">
      <c r="E83" s="3">
        <f>E2+E3+E4+E5+E6+E7+E8+E9+E10+E11+E12+E13+E14+E15+E16+E17+E18+E19+E20+E21+E22+E23+E24+E25+E26+E27+E28+E29+E30+E31+E32+E33+E34+E35+E37+E36++E38+E39+E40+E41+E42+E43+E44+E45+E46+E47+E48+E49+E50+E51+E52+E53+E54+E55+E56+E57+E58+E59+E61+E60+E66+E67+E68+E69+E70+E71+E72+E73+E74+E75+E76+E77+E78</f>
        <v>31905740.870000001</v>
      </c>
      <c r="G83" t="s">
        <v>37</v>
      </c>
    </row>
    <row r="85" spans="1:11" x14ac:dyDescent="0.3">
      <c r="A85" s="4" t="s">
        <v>0</v>
      </c>
      <c r="B85" s="4" t="s">
        <v>1</v>
      </c>
      <c r="C85" s="4" t="s">
        <v>2</v>
      </c>
      <c r="D85" s="4" t="s">
        <v>38</v>
      </c>
      <c r="E85" s="4" t="s">
        <v>4</v>
      </c>
      <c r="F85" s="4" t="s">
        <v>5</v>
      </c>
      <c r="G85" s="4" t="s">
        <v>3</v>
      </c>
      <c r="H85" s="4" t="s">
        <v>39</v>
      </c>
      <c r="I85" s="4" t="s">
        <v>7</v>
      </c>
      <c r="J85" s="4" t="s">
        <v>8</v>
      </c>
      <c r="K85" s="4" t="s">
        <v>9</v>
      </c>
    </row>
    <row r="86" spans="1:11" x14ac:dyDescent="0.3">
      <c r="A86" s="1" t="s">
        <v>10</v>
      </c>
      <c r="B86" s="1" t="s">
        <v>262</v>
      </c>
      <c r="C86" s="1" t="s">
        <v>263</v>
      </c>
      <c r="D86" s="1" t="s">
        <v>40</v>
      </c>
      <c r="E86" s="2">
        <v>757911.43</v>
      </c>
      <c r="F86" s="1" t="s">
        <v>13</v>
      </c>
      <c r="G86" s="1" t="s">
        <v>12</v>
      </c>
      <c r="H86" s="1" t="s">
        <v>42</v>
      </c>
      <c r="I86" s="1" t="s">
        <v>15</v>
      </c>
      <c r="J86" s="1" t="s">
        <v>35</v>
      </c>
      <c r="K86" s="1" t="s">
        <v>264</v>
      </c>
    </row>
    <row r="87" spans="1:11" x14ac:dyDescent="0.3">
      <c r="A87" s="1" t="s">
        <v>10</v>
      </c>
      <c r="B87" s="1" t="s">
        <v>265</v>
      </c>
      <c r="C87" s="1" t="s">
        <v>266</v>
      </c>
      <c r="D87" s="1" t="s">
        <v>40</v>
      </c>
      <c r="E87" s="2">
        <v>534487.27</v>
      </c>
      <c r="F87" s="1" t="s">
        <v>13</v>
      </c>
      <c r="G87" s="1" t="s">
        <v>12</v>
      </c>
      <c r="H87" s="1" t="s">
        <v>42</v>
      </c>
      <c r="I87" s="1" t="s">
        <v>15</v>
      </c>
      <c r="J87" s="1" t="s">
        <v>35</v>
      </c>
      <c r="K87" s="1" t="s">
        <v>267</v>
      </c>
    </row>
    <row r="88" spans="1:11" x14ac:dyDescent="0.3">
      <c r="A88" s="1" t="s">
        <v>10</v>
      </c>
      <c r="B88" s="1" t="s">
        <v>268</v>
      </c>
      <c r="C88" s="1" t="s">
        <v>269</v>
      </c>
      <c r="D88" s="1" t="s">
        <v>40</v>
      </c>
      <c r="E88" s="2">
        <v>66816.5</v>
      </c>
      <c r="F88" s="1" t="s">
        <v>13</v>
      </c>
      <c r="G88" s="1" t="s">
        <v>12</v>
      </c>
      <c r="H88" s="1" t="s">
        <v>42</v>
      </c>
      <c r="I88" s="1" t="s">
        <v>15</v>
      </c>
      <c r="J88" s="1" t="s">
        <v>35</v>
      </c>
      <c r="K88" s="1" t="s">
        <v>270</v>
      </c>
    </row>
    <row r="89" spans="1:11" x14ac:dyDescent="0.3">
      <c r="A89" s="1" t="s">
        <v>10</v>
      </c>
      <c r="B89" s="1" t="s">
        <v>271</v>
      </c>
      <c r="C89" s="1" t="s">
        <v>11</v>
      </c>
      <c r="D89" s="1" t="s">
        <v>40</v>
      </c>
      <c r="E89" s="2">
        <v>316021.19</v>
      </c>
      <c r="F89" s="1" t="s">
        <v>13</v>
      </c>
      <c r="G89" s="1" t="s">
        <v>12</v>
      </c>
      <c r="H89" s="1" t="s">
        <v>272</v>
      </c>
      <c r="I89" s="1" t="s">
        <v>15</v>
      </c>
      <c r="J89" s="1" t="s">
        <v>35</v>
      </c>
      <c r="K89" s="1" t="s">
        <v>273</v>
      </c>
    </row>
    <row r="90" spans="1:11" x14ac:dyDescent="0.3">
      <c r="A90" s="1" t="s">
        <v>10</v>
      </c>
      <c r="B90" s="1" t="s">
        <v>274</v>
      </c>
      <c r="C90" s="1" t="s">
        <v>17</v>
      </c>
      <c r="D90" s="1" t="s">
        <v>40</v>
      </c>
      <c r="E90" s="2">
        <v>473985.84</v>
      </c>
      <c r="F90" s="1" t="s">
        <v>13</v>
      </c>
      <c r="G90" s="1" t="s">
        <v>12</v>
      </c>
      <c r="H90" s="1" t="s">
        <v>272</v>
      </c>
      <c r="I90" s="1" t="s">
        <v>15</v>
      </c>
      <c r="J90" s="1" t="s">
        <v>35</v>
      </c>
      <c r="K90" s="1" t="s">
        <v>275</v>
      </c>
    </row>
    <row r="91" spans="1:11" x14ac:dyDescent="0.3">
      <c r="A91" s="1" t="s">
        <v>10</v>
      </c>
      <c r="B91" s="1" t="s">
        <v>276</v>
      </c>
      <c r="C91" s="1" t="s">
        <v>18</v>
      </c>
      <c r="D91" s="1" t="s">
        <v>40</v>
      </c>
      <c r="E91" s="2">
        <v>1858544.16</v>
      </c>
      <c r="F91" s="1" t="s">
        <v>13</v>
      </c>
      <c r="G91" s="1" t="s">
        <v>12</v>
      </c>
      <c r="H91" s="1" t="s">
        <v>277</v>
      </c>
      <c r="I91" s="1" t="s">
        <v>15</v>
      </c>
      <c r="J91" s="1" t="s">
        <v>35</v>
      </c>
      <c r="K91" s="1" t="s">
        <v>278</v>
      </c>
    </row>
    <row r="92" spans="1:11" x14ac:dyDescent="0.3">
      <c r="A92" s="1" t="s">
        <v>10</v>
      </c>
      <c r="B92" s="1" t="s">
        <v>279</v>
      </c>
      <c r="C92" s="1" t="s">
        <v>19</v>
      </c>
      <c r="D92" s="1" t="s">
        <v>40</v>
      </c>
      <c r="E92" s="2">
        <v>1903252.08</v>
      </c>
      <c r="F92" s="1" t="s">
        <v>13</v>
      </c>
      <c r="G92" s="1" t="s">
        <v>12</v>
      </c>
      <c r="H92" s="1" t="s">
        <v>42</v>
      </c>
      <c r="I92" s="1" t="s">
        <v>15</v>
      </c>
      <c r="J92" s="1" t="s">
        <v>35</v>
      </c>
      <c r="K92" s="1" t="s">
        <v>280</v>
      </c>
    </row>
    <row r="93" spans="1:11" x14ac:dyDescent="0.3">
      <c r="A93" s="1" t="s">
        <v>10</v>
      </c>
      <c r="B93" s="1" t="s">
        <v>281</v>
      </c>
      <c r="C93" s="1" t="s">
        <v>20</v>
      </c>
      <c r="D93" s="1" t="s">
        <v>40</v>
      </c>
      <c r="E93" s="2">
        <v>558791.04</v>
      </c>
      <c r="F93" s="1" t="s">
        <v>13</v>
      </c>
      <c r="G93" s="1" t="s">
        <v>12</v>
      </c>
      <c r="H93" s="1" t="s">
        <v>282</v>
      </c>
      <c r="I93" s="1" t="s">
        <v>15</v>
      </c>
      <c r="J93" s="1" t="s">
        <v>35</v>
      </c>
      <c r="K93" s="1" t="s">
        <v>283</v>
      </c>
    </row>
    <row r="94" spans="1:11" x14ac:dyDescent="0.3">
      <c r="A94" s="1" t="s">
        <v>10</v>
      </c>
      <c r="B94" s="1" t="s">
        <v>284</v>
      </c>
      <c r="C94" s="1" t="s">
        <v>21</v>
      </c>
      <c r="D94" s="1" t="s">
        <v>40</v>
      </c>
      <c r="E94" s="2">
        <v>786642.5</v>
      </c>
      <c r="F94" s="1" t="s">
        <v>13</v>
      </c>
      <c r="G94" s="1" t="s">
        <v>12</v>
      </c>
      <c r="H94" s="1" t="s">
        <v>285</v>
      </c>
      <c r="I94" s="1" t="s">
        <v>15</v>
      </c>
      <c r="J94" s="1" t="s">
        <v>35</v>
      </c>
      <c r="K94" s="1" t="s">
        <v>286</v>
      </c>
    </row>
    <row r="95" spans="1:11" x14ac:dyDescent="0.3">
      <c r="A95" s="1" t="s">
        <v>10</v>
      </c>
      <c r="B95" s="1" t="s">
        <v>287</v>
      </c>
      <c r="C95" s="1" t="s">
        <v>288</v>
      </c>
      <c r="D95" s="1" t="s">
        <v>40</v>
      </c>
      <c r="E95" s="2">
        <v>1195680.1000000001</v>
      </c>
      <c r="F95" s="1" t="s">
        <v>13</v>
      </c>
      <c r="G95" s="1" t="s">
        <v>33</v>
      </c>
      <c r="H95" s="1" t="s">
        <v>41</v>
      </c>
      <c r="I95" s="1" t="s">
        <v>15</v>
      </c>
      <c r="J95" s="1" t="s">
        <v>16</v>
      </c>
      <c r="K95" s="1"/>
    </row>
    <row r="96" spans="1:11" x14ac:dyDescent="0.3">
      <c r="A96" s="1" t="s">
        <v>10</v>
      </c>
      <c r="B96" s="1" t="s">
        <v>289</v>
      </c>
      <c r="C96" s="1" t="s">
        <v>22</v>
      </c>
      <c r="D96" s="1" t="s">
        <v>40</v>
      </c>
      <c r="E96" s="2">
        <v>1287089.8999999999</v>
      </c>
      <c r="F96" s="1" t="s">
        <v>13</v>
      </c>
      <c r="G96" s="1" t="s">
        <v>12</v>
      </c>
      <c r="H96" s="1" t="s">
        <v>290</v>
      </c>
      <c r="I96" s="1" t="s">
        <v>15</v>
      </c>
      <c r="J96" s="1" t="s">
        <v>35</v>
      </c>
      <c r="K96" s="1" t="s">
        <v>291</v>
      </c>
    </row>
    <row r="97" spans="1:11" x14ac:dyDescent="0.3">
      <c r="A97" s="1" t="s">
        <v>10</v>
      </c>
      <c r="B97" s="1" t="s">
        <v>292</v>
      </c>
      <c r="C97" s="1" t="s">
        <v>23</v>
      </c>
      <c r="D97" s="1" t="s">
        <v>40</v>
      </c>
      <c r="E97" s="2">
        <v>810456.9</v>
      </c>
      <c r="F97" s="1" t="s">
        <v>13</v>
      </c>
      <c r="G97" s="1" t="s">
        <v>12</v>
      </c>
      <c r="H97" s="1" t="s">
        <v>42</v>
      </c>
      <c r="I97" s="1" t="s">
        <v>15</v>
      </c>
      <c r="J97" s="1" t="s">
        <v>35</v>
      </c>
      <c r="K97" s="1" t="s">
        <v>293</v>
      </c>
    </row>
    <row r="98" spans="1:11" x14ac:dyDescent="0.3">
      <c r="A98" s="1" t="s">
        <v>10</v>
      </c>
      <c r="B98" s="1" t="s">
        <v>294</v>
      </c>
      <c r="C98" s="1" t="s">
        <v>24</v>
      </c>
      <c r="D98" s="1" t="s">
        <v>40</v>
      </c>
      <c r="E98" s="2">
        <v>2261017</v>
      </c>
      <c r="F98" s="1" t="s">
        <v>13</v>
      </c>
      <c r="G98" s="1" t="s">
        <v>12</v>
      </c>
      <c r="H98" s="1" t="s">
        <v>42</v>
      </c>
      <c r="I98" s="1" t="s">
        <v>15</v>
      </c>
      <c r="J98" s="1" t="s">
        <v>35</v>
      </c>
      <c r="K98" s="1" t="s">
        <v>295</v>
      </c>
    </row>
    <row r="99" spans="1:11" x14ac:dyDescent="0.3">
      <c r="A99" s="1" t="s">
        <v>10</v>
      </c>
      <c r="B99" s="1" t="s">
        <v>296</v>
      </c>
      <c r="C99" s="1" t="s">
        <v>297</v>
      </c>
      <c r="D99" s="1" t="s">
        <v>40</v>
      </c>
      <c r="E99" s="2">
        <v>159181.98000000001</v>
      </c>
      <c r="F99" s="1" t="s">
        <v>13</v>
      </c>
      <c r="G99" s="1" t="s">
        <v>12</v>
      </c>
      <c r="H99" s="1" t="s">
        <v>42</v>
      </c>
      <c r="I99" s="1" t="s">
        <v>15</v>
      </c>
      <c r="J99" s="1" t="s">
        <v>35</v>
      </c>
      <c r="K99" s="1" t="s">
        <v>295</v>
      </c>
    </row>
    <row r="100" spans="1:11" x14ac:dyDescent="0.3">
      <c r="A100" s="1" t="s">
        <v>10</v>
      </c>
      <c r="B100" s="1" t="s">
        <v>244</v>
      </c>
      <c r="C100" s="1" t="s">
        <v>298</v>
      </c>
      <c r="D100" s="1" t="s">
        <v>40</v>
      </c>
      <c r="E100" s="2">
        <v>9341.91</v>
      </c>
      <c r="F100" s="1" t="s">
        <v>13</v>
      </c>
      <c r="G100" s="1" t="s">
        <v>12</v>
      </c>
      <c r="H100" s="1" t="s">
        <v>272</v>
      </c>
      <c r="I100" s="1" t="s">
        <v>15</v>
      </c>
      <c r="J100" s="1" t="s">
        <v>35</v>
      </c>
      <c r="K100" s="1" t="s">
        <v>299</v>
      </c>
    </row>
    <row r="101" spans="1:11" x14ac:dyDescent="0.3">
      <c r="A101" s="1" t="s">
        <v>10</v>
      </c>
      <c r="B101" s="1" t="s">
        <v>300</v>
      </c>
      <c r="C101" s="1" t="s">
        <v>301</v>
      </c>
      <c r="D101" s="1" t="s">
        <v>40</v>
      </c>
      <c r="E101" s="2">
        <v>91264.2</v>
      </c>
      <c r="F101" s="1" t="s">
        <v>13</v>
      </c>
      <c r="G101" s="1" t="s">
        <v>12</v>
      </c>
      <c r="H101" s="1" t="s">
        <v>302</v>
      </c>
      <c r="I101" s="1" t="s">
        <v>15</v>
      </c>
      <c r="J101" s="1" t="s">
        <v>35</v>
      </c>
      <c r="K101" s="1" t="s">
        <v>303</v>
      </c>
    </row>
    <row r="102" spans="1:11" x14ac:dyDescent="0.3">
      <c r="A102" s="1" t="s">
        <v>10</v>
      </c>
      <c r="B102" s="1" t="s">
        <v>304</v>
      </c>
      <c r="C102" s="1" t="s">
        <v>25</v>
      </c>
      <c r="D102" s="1" t="s">
        <v>40</v>
      </c>
      <c r="E102" s="6">
        <v>385.3</v>
      </c>
      <c r="F102" s="1" t="s">
        <v>13</v>
      </c>
      <c r="G102" s="1" t="s">
        <v>12</v>
      </c>
      <c r="H102" s="1" t="s">
        <v>42</v>
      </c>
      <c r="I102" s="1" t="s">
        <v>15</v>
      </c>
      <c r="J102" s="1" t="s">
        <v>35</v>
      </c>
      <c r="K102" s="1" t="s">
        <v>305</v>
      </c>
    </row>
    <row r="103" spans="1:11" x14ac:dyDescent="0.3">
      <c r="A103" s="1" t="s">
        <v>10</v>
      </c>
      <c r="B103" s="1" t="s">
        <v>306</v>
      </c>
      <c r="C103" s="1" t="s">
        <v>26</v>
      </c>
      <c r="D103" s="1" t="s">
        <v>40</v>
      </c>
      <c r="E103" s="2">
        <v>249155.48</v>
      </c>
      <c r="F103" s="1" t="s">
        <v>13</v>
      </c>
      <c r="G103" s="1" t="s">
        <v>12</v>
      </c>
      <c r="H103" s="1" t="s">
        <v>277</v>
      </c>
      <c r="I103" s="1" t="s">
        <v>15</v>
      </c>
      <c r="J103" s="1" t="s">
        <v>35</v>
      </c>
      <c r="K103" s="1" t="s">
        <v>307</v>
      </c>
    </row>
    <row r="104" spans="1:11" x14ac:dyDescent="0.3">
      <c r="A104" s="1" t="s">
        <v>10</v>
      </c>
      <c r="B104" s="1" t="s">
        <v>308</v>
      </c>
      <c r="C104" s="1" t="s">
        <v>27</v>
      </c>
      <c r="D104" s="1" t="s">
        <v>40</v>
      </c>
      <c r="E104" s="2">
        <v>211890.76</v>
      </c>
      <c r="F104" s="1" t="s">
        <v>13</v>
      </c>
      <c r="G104" s="1" t="s">
        <v>12</v>
      </c>
      <c r="H104" s="1" t="s">
        <v>309</v>
      </c>
      <c r="I104" s="1" t="s">
        <v>15</v>
      </c>
      <c r="J104" s="1" t="s">
        <v>35</v>
      </c>
      <c r="K104" s="1" t="s">
        <v>310</v>
      </c>
    </row>
    <row r="105" spans="1:11" x14ac:dyDescent="0.3">
      <c r="A105" s="1" t="s">
        <v>10</v>
      </c>
      <c r="B105" s="1" t="s">
        <v>311</v>
      </c>
      <c r="C105" s="1" t="s">
        <v>32</v>
      </c>
      <c r="D105" s="1" t="s">
        <v>40</v>
      </c>
      <c r="E105" s="2">
        <v>665070.24</v>
      </c>
      <c r="F105" s="1" t="s">
        <v>13</v>
      </c>
      <c r="G105" s="1" t="s">
        <v>12</v>
      </c>
      <c r="H105" s="1" t="s">
        <v>312</v>
      </c>
      <c r="I105" s="1" t="s">
        <v>15</v>
      </c>
      <c r="J105" s="1" t="s">
        <v>35</v>
      </c>
      <c r="K105" s="1" t="s">
        <v>313</v>
      </c>
    </row>
    <row r="106" spans="1:11" x14ac:dyDescent="0.3">
      <c r="A106" s="1" t="s">
        <v>10</v>
      </c>
      <c r="B106" s="1" t="s">
        <v>314</v>
      </c>
      <c r="C106" s="1" t="s">
        <v>28</v>
      </c>
      <c r="D106" s="1" t="s">
        <v>40</v>
      </c>
      <c r="E106" s="2">
        <v>850416.58</v>
      </c>
      <c r="F106" s="1" t="s">
        <v>13</v>
      </c>
      <c r="G106" s="1" t="s">
        <v>12</v>
      </c>
      <c r="H106" s="1" t="s">
        <v>42</v>
      </c>
      <c r="I106" s="1" t="s">
        <v>15</v>
      </c>
      <c r="J106" s="1" t="s">
        <v>35</v>
      </c>
      <c r="K106" s="1" t="s">
        <v>315</v>
      </c>
    </row>
    <row r="107" spans="1:11" x14ac:dyDescent="0.3">
      <c r="A107" s="1" t="s">
        <v>10</v>
      </c>
      <c r="B107" s="1" t="s">
        <v>316</v>
      </c>
      <c r="C107" s="1" t="s">
        <v>44</v>
      </c>
      <c r="D107" s="1" t="s">
        <v>40</v>
      </c>
      <c r="E107" s="2">
        <v>188494.61</v>
      </c>
      <c r="F107" s="1" t="s">
        <v>13</v>
      </c>
      <c r="G107" s="1" t="s">
        <v>12</v>
      </c>
      <c r="H107" s="1" t="s">
        <v>42</v>
      </c>
      <c r="I107" s="1" t="s">
        <v>15</v>
      </c>
      <c r="J107" s="1" t="s">
        <v>35</v>
      </c>
      <c r="K107" s="1" t="s">
        <v>43</v>
      </c>
    </row>
    <row r="108" spans="1:11" x14ac:dyDescent="0.3">
      <c r="A108" s="1" t="s">
        <v>10</v>
      </c>
      <c r="B108" s="1" t="s">
        <v>317</v>
      </c>
      <c r="C108" s="1" t="s">
        <v>29</v>
      </c>
      <c r="D108" s="1" t="s">
        <v>40</v>
      </c>
      <c r="E108" s="2">
        <v>747135.24</v>
      </c>
      <c r="F108" s="1" t="s">
        <v>13</v>
      </c>
      <c r="G108" s="1" t="s">
        <v>12</v>
      </c>
      <c r="H108" s="1" t="s">
        <v>312</v>
      </c>
      <c r="I108" s="1" t="s">
        <v>15</v>
      </c>
      <c r="J108" s="1" t="s">
        <v>35</v>
      </c>
      <c r="K108" s="1" t="s">
        <v>318</v>
      </c>
    </row>
    <row r="109" spans="1:11" x14ac:dyDescent="0.3">
      <c r="A109" s="1" t="s">
        <v>10</v>
      </c>
      <c r="B109" s="1" t="s">
        <v>319</v>
      </c>
      <c r="C109" s="1" t="s">
        <v>30</v>
      </c>
      <c r="D109" s="1" t="s">
        <v>40</v>
      </c>
      <c r="E109" s="2">
        <v>957897.67</v>
      </c>
      <c r="F109" s="1" t="s">
        <v>13</v>
      </c>
      <c r="G109" s="1" t="s">
        <v>12</v>
      </c>
      <c r="H109" s="1" t="s">
        <v>320</v>
      </c>
      <c r="I109" s="1" t="s">
        <v>15</v>
      </c>
      <c r="J109" s="1" t="s">
        <v>35</v>
      </c>
      <c r="K109" s="1" t="s">
        <v>321</v>
      </c>
    </row>
    <row r="110" spans="1:11" x14ac:dyDescent="0.3">
      <c r="E110" s="3">
        <f>SUM(E86:E109)</f>
        <v>16940929.880000003</v>
      </c>
    </row>
    <row r="111" spans="1:11" x14ac:dyDescent="0.3">
      <c r="E111" s="3">
        <f>E110-E113-E114</f>
        <v>0</v>
      </c>
    </row>
    <row r="113" spans="5:7" x14ac:dyDescent="0.3">
      <c r="E113" s="3">
        <f>E95</f>
        <v>1195680.1000000001</v>
      </c>
      <c r="G113" t="s">
        <v>36</v>
      </c>
    </row>
    <row r="114" spans="5:7" x14ac:dyDescent="0.3">
      <c r="E114" s="3">
        <f>E86+E87+E88+E89+E90+E91+E92+E93+E94+E96+E98+E97+E99+E100+E101+E102+E103+E104+E105+E106+E107+E108+E109</f>
        <v>15745249.780000001</v>
      </c>
      <c r="G114" t="s">
        <v>37</v>
      </c>
    </row>
  </sheetData>
  <autoFilter ref="A85:K85" xr:uid="{B11A2902-857D-4CB5-B4B2-437B037A1387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2026-04-27T14:35:58Z</dcterms:modified>
</cp:coreProperties>
</file>
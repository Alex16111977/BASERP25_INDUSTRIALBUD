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6\Январь_26\Данные\Строительство\"/>
    </mc:Choice>
  </mc:AlternateContent>
  <xr:revisionPtr revIDLastSave="0" documentId="13_ncr:1_{992A6DC4-128D-4047-B223-37079996FF76}" xr6:coauthVersionLast="45" xr6:coauthVersionMax="45" xr10:uidLastSave="{00000000-0000-0000-0000-000000000000}"/>
  <bookViews>
    <workbookView xWindow="-108" yWindow="-108" windowWidth="23256" windowHeight="12600" activeTab="2" xr2:uid="{00000000-000D-0000-FFFF-FFFF00000000}"/>
  </bookViews>
  <sheets>
    <sheet name="Ретал.ГПУ" sheetId="1" r:id="rId1"/>
    <sheet name="Тищенки" sheetId="2" r:id="rId2"/>
    <sheet name="Глобино-2" sheetId="3" r:id="rId3"/>
  </sheets>
  <definedNames>
    <definedName name="_xlnm._FilterDatabase" localSheetId="2" hidden="1">'Глобино-2'!$B$1:$D$875</definedName>
    <definedName name="_xlnm._FilterDatabase" localSheetId="1" hidden="1">Тищенки!$B$1:$D$68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" i="1" l="1"/>
  <c r="J879" i="3" l="1"/>
  <c r="J877" i="3"/>
  <c r="J72" i="2"/>
  <c r="J70" i="2"/>
</calcChain>
</file>

<file path=xl/sharedStrings.xml><?xml version="1.0" encoding="utf-8"?>
<sst xmlns="http://schemas.openxmlformats.org/spreadsheetml/2006/main" count="7515" uniqueCount="942">
  <si>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</si>
  <si>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</si>
  <si>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</si>
  <si>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</si>
  <si>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</si>
  <si>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</si>
  <si>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</si>
  <si>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</si>
  <si>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Д</t>
  </si>
  <si>
    <t>16.01.2026</t>
  </si>
  <si>
    <t>Переміщення товарів ІБ00-000069 від 16.01.2026 11:00:00
Перемещение ТМЦ</t>
  </si>
  <si>
    <t>Обл. НДС
Колодка електр. б/з 2+2 гнізда
Переміщення товарів ІБ00-000069 від 16.01.2026 11:00:00
Глобине-2</t>
  </si>
  <si>
    <t>Обл. НДС
Колодка електр. б/з 2+2 гнізда
Авансовий звіт ІБ00-000410 від 24.12.2025 10:39:42
Астарта_Тищенки</t>
  </si>
  <si>
    <t>205</t>
  </si>
  <si>
    <t xml:space="preserve"> </t>
  </si>
  <si>
    <t>26.01.2026</t>
  </si>
  <si>
    <t>Надходження товарів і послуг ІБ00-000410 від 26.01.2026 11:27:12
Оприходованы ТМЦ</t>
  </si>
  <si>
    <t>Обл. НДС
Емаль ХВ-124 сіра,  кг
Надходження товарів і послуг ІБ00-000410 від 26.01.2026 11:27:12
Астарта_Тищенки</t>
  </si>
  <si>
    <t>ДНІПРО-СПЕЦЕМАЛЬ НВП ТОВ
Рахунки_Астарта. Тищенки
Рахунок на оплату постачальника ІБ00-000340 від 23.01.2026 20:00:03</t>
  </si>
  <si>
    <t>631</t>
  </si>
  <si>
    <t>31.01.2026</t>
  </si>
  <si>
    <t>Вимога-накладна ІБ00-000067 від 31.01.2026 20:00:00
Списаны ТМЦ</t>
  </si>
  <si>
    <t>Обл. НДС
Виробничий (Астарта_Тищенки)
Астарта_Тищенки
Прямі материальні виробничі витрати крім зворотніх відходів</t>
  </si>
  <si>
    <t>Обл. НДС
Бетон С 20/25  F150 W8 S3 M5
Надходження товарів і послуг ІБ00-007864 від 17.12.2025 11:00:00
Астарта_Тищенки</t>
  </si>
  <si>
    <t>231</t>
  </si>
  <si>
    <t>Обл. НДС
Бетон С 20/25  F150 W8 S3 M5
Надходження товарів і послуг ІБ00-007865 від 17.12.2025 11:00:00
Астарта_Тищенки</t>
  </si>
  <si>
    <t>Обл. НДС
Бетон С 20/25  F150 W8 S3 M5
Надходження товарів і послуг ІБ00-007866 від 17.12.2025 11:00:00
Астарта_Тищенки</t>
  </si>
  <si>
    <t>Обл. НДС
Бетон С 20/25  F150 W8 S3 M5
Надходження товарів і послуг ІБ00-007871 від 19.12.2025 11:00:00
Астарта_Тищенки</t>
  </si>
  <si>
    <t>Обл. НДС
Бетон С 20/25  F150 W8 S3 M5
Надходження товарів і послуг ІБ00-007874 від 19.12.2025 11:00:00
Астарта_Тищенки</t>
  </si>
  <si>
    <t>Обл. НДС
Бетон С 20/25  F150 W8 S3 M5
Надходження товарів і послуг ІБ00-007875 від 19.12.2025 11:00:00
Астарта_Тищенки</t>
  </si>
  <si>
    <t>Обл. НДС
Бетон С 20/25  F150 W8 S3 M5
Надходження товарів і послуг ІБ00-007878 від 19.12.2025 11:00:00
Астарта_Тищенки</t>
  </si>
  <si>
    <t>Обл. НДС
Бетон С 20/25  F150 W8 S3 M5
Надходження товарів і послуг ІБ00-007879 від 22.12.2025 11:00:00
Астарта_Тищенки</t>
  </si>
  <si>
    <t>Обл. НДС
Арматура композитна 10мм  100м
Надходження товарів і послуг ІБ00-006034 від 13.10.2025 11:00:00
Астарта_Тищенки</t>
  </si>
  <si>
    <t>Вимога-накладна ІБ00-000136 від 31.01.2026 20:00:00
Списаны ТМЦ</t>
  </si>
  <si>
    <t>Обл. НДС
Плита пустотна ПБ 48-15-8т
Надходження товарів і послуг ІБ00-006567 від 06.11.2025 11:00:00
Астарта_Тищенки</t>
  </si>
  <si>
    <t>Обл. НДС
Плита пустотна ПК 48-12-8т
Надходження товарів і послуг ІБ00-006540 від 07.11.2025 11:00:00
Астарта_Тищенки</t>
  </si>
  <si>
    <t>Обл. НДС
Щебінь 40-70
Надходження товарів і послуг ІБ00-006960 від 01.11.2025 11:00:00
Астарта_Тищенки</t>
  </si>
  <si>
    <t>Обл. НДС
Пісок, т
Надходження товарів і послуг ІБ00-007007 від 01.11.2025 11:00:00
Астарта_Тищенки</t>
  </si>
  <si>
    <t>Обл. НДС
Бетон С 20/25 S3 F250 W10 M5
Надходження товарів і послуг ІБ00-007872 від 19.12.2025 08:00:00
Астарта_Тищенки</t>
  </si>
  <si>
    <t>Обл. НДС
Арматура 10 міра (12-3760  А500С/А400С)
Надходження товарів і послуг ІБ00-006282 від 27.10.2025 11:00:00
Астарта_Тищенки</t>
  </si>
  <si>
    <t>Обл. НДС
Плівка п/е рукав 1500*150
Надходження товарів і послуг ІБ00-005851 від 01.10.2025 11:00:00
Астарта_Тищенки</t>
  </si>
  <si>
    <t>Вимога-накладна ІБ00-000099 від 31.01.2026 20:06:00
Списаны ТМЦ</t>
  </si>
  <si>
    <t>Обл. НДС
Пісок жовтий
Надходження товарів і послуг ІБ00-007343 від 01.11.2025 11:00:00
Астарта_Тищенки</t>
  </si>
  <si>
    <t>Обл. НДС
Пісок жовтий
Надходження товарів і послуг ІБ00-007344 від 01.11.2025 11:00:00
Астарта_Тищенки</t>
  </si>
  <si>
    <t>Вимога-накладна ІБ00-000100 від 31.01.2026 20:07:00
Списаны ТМЦ</t>
  </si>
  <si>
    <t>Обл. НДС
Пісок, т
Надходження товарів і послуг ІБ00-007008 від 01.11.2025 11:00:00
Астарта_Тищенки</t>
  </si>
  <si>
    <t>Обл. НДС
Пісок, т
Надходження товарів і послуг ІБ00-007009 від 01.11.2025 11:00:00
Астарта_Тищенки</t>
  </si>
  <si>
    <t>Обл. НДС
Пісок, т
Надходження товарів і послуг ІБ00-007010 від 01.11.2025 11:00:00
Астарта_Тищенки</t>
  </si>
  <si>
    <t>Обл. НДС
Пісок, т
Надходження товарів і послуг ІБ00-007011 від 01.11.2025 11:00:00
Астарта_Тищенки</t>
  </si>
  <si>
    <t>Обл. НДС
Пісок, т
Надходження товарів і послуг ІБ00-007012 від 01.11.2025 11:00:00
Астарта_Тищенки</t>
  </si>
  <si>
    <t>Вимога-накладна ІБ00-000092 від 31.01.2026 20:08:00
Списаны ТМЦ</t>
  </si>
  <si>
    <t>Обл. НДС
Цегла рядова повнотіла М100
Надходження товарів і послуг ІБ00-007209 від 20.11.2025 11:00:00
Астарта_Тищенки</t>
  </si>
  <si>
    <t>Обл. НДС
Перемичка проста 2ПБ 13-1-п
Надходження товарів і послуг ІБ00-007336 від 06.12.2025 11:00:00
Астарта_Тищенки</t>
  </si>
  <si>
    <t>Обл. НДС
Цемент ПЦ ІІ/А-3 500 , 25 кг
Надходження товарів і послуг ІБ00-007610 від 01.12.2025 11:00:00
Астарта_Тищенки</t>
  </si>
  <si>
    <t>Обл. НДС
Бетон С 20/25  F150 W8 S3 M5
Надходження товарів і послуг ІБ00-007880 від 22.12.2025 11:00:00
Астарта_Тищенки</t>
  </si>
  <si>
    <t>Обл. НДС
Арматура  8 мiра (12- 3760 А500С/А400С)
Надходження товарів і послуг ІБ00-005080 від 03.09.2025 11:00:00
Астарта_Тищенки</t>
  </si>
  <si>
    <t>Обл. НДС
Арматура  8 мiра (12- 3760 А500С/А400С)
Надходження товарів і послуг ІБ00-006208 від 24.10.2025 11:00:00
Астарта_Тищенки</t>
  </si>
  <si>
    <t>Обл. НДС
Арматура 12 міра (12-3760  А400С/А500С)
Надходження товарів і послуг ІБ00-005080 від 03.09.2025 11:00:00
Астарта_Тищенки</t>
  </si>
  <si>
    <t>Обл. НДС
Прокат арматурний №12 мм  А500С  12м
Надходження товарів і послуг ІБ00-004587 від 07.08.2025 11:00:00
Астарта_Тищенки</t>
  </si>
  <si>
    <t>Обл. НДС
Арматура 16 міра (12-3760  А500С/А400С)
Надходження товарів і послуг ІБ00-006282 від 27.10.2025 11:00:00
Астарта_Тищенки</t>
  </si>
  <si>
    <t>Обл. НДС
Дріт з/я т/о d 1,2 мм (3282-74)
Надходження товарів і послуг ІБ00-006985 від 21.11.2025 11:00:00
Астарта_Тищенки</t>
  </si>
  <si>
    <t>Обл. НДС
Фіксатор настил 30-40 (200 шт. в упак.)
Надходження товарів і послуг ІБ00-006997 від 04.11.2025 11:00:00
Астарта_Тищенки</t>
  </si>
  <si>
    <t>Вимога-накладна ІБ00-000101 від 31.01.2026 20:09:00
Списаны ТМЦ</t>
  </si>
  <si>
    <t>Обл. НДС
Саморіз  4,8*19 RAL 9006
Надходження товарів і послуг ІБ00-006553 від 24.10.2025 11:00:00
Астарта_Тищенки</t>
  </si>
  <si>
    <t>Вимога-накладна ІБ00-000135 від 31.01.2026 20:10:00
Списаны ТМЦ</t>
  </si>
  <si>
    <t>Обл. НДС
Газоблок 200*400*600 D500
Надходження товарів і послуг ІБ00-006856 від 06.11.2025 11:00:00
Астарта_Тищенки</t>
  </si>
  <si>
    <t>Обл. НДС
Газоблок 200*400*600 D500
Надходження товарів і послуг ІБ00-006855 від 07.11.2025 11:00:00
Астарта_Тищенки</t>
  </si>
  <si>
    <t>Обл. НДС
Клей для газобетону МР2 (25 кг)
Надходження товарів і послуг ІБ00-006272 від 17.10.2025 11:00:00
Астарта_Тищенки</t>
  </si>
  <si>
    <t>Списання товарів ІБ00-000048 від 31.01.2026 21:00:00
Списаны ТМЦ</t>
  </si>
  <si>
    <t>Обл. НДС
Дюбель розпірний 10*50 мм
Надходження товарів і послуг ІБ00-007851 від 12.12.2025 11:00:00
Астарта_Тищенки</t>
  </si>
  <si>
    <t>Закриття місяця ІБ00-000001 від 31.01.2026 23:58:59
Корректировка стоимости списания</t>
  </si>
  <si>
    <t>Списання товарів ІБ00-000008 від 31.01.2026 23:59:06
Списаны ТМЦ</t>
  </si>
  <si>
    <t>Обл. НДС
Анкер однорозпірний з гайкою ЦЖ 12*М10*120
Надходження товарів і послуг ІБ00-006853 від 01.11.2025 11:00:00
Астарта_Тищенки</t>
  </si>
  <si>
    <t>Обл. НДС
Анкер ЦЖ/ЦБ 10*165 клиновий з гайкою
Надходження товарів і послуг ІБ00-006853 від 01.11.2025 11:00:00
Астарта_Тищенки</t>
  </si>
  <si>
    <t>Обл. НДС
Плита OSB  15 мм
Надходження товарів і послуг ІБ00-007206 від 19.11.2025 11:00:00
Астарта_Тищенки</t>
  </si>
  <si>
    <t>Списання товарів ІБ00-000049 від 31.01.2026 23:59:30
Списаны ТМЦ</t>
  </si>
  <si>
    <t>Обл. НДС
Шпилька різьбова 10х1000 (DIN975, оц, 4,8)
Авансовий звіт ІБ00-000278 від 02.10.2025 18:25:46
Астарта_Тищенки</t>
  </si>
  <si>
    <t>Обл. НДС
Уайт-спірит аналог 0,75 кг
Авансовий звіт ІБ00-000410 від 24.12.2025 10:39:42
Астарта_Тищенки</t>
  </si>
  <si>
    <t>Обороти за період та сальдо на кінець</t>
  </si>
  <si>
    <t>01.01.2026</t>
  </si>
  <si>
    <t>Переміщення товарів ІБ00-000182 від 01.01.2026 00:00:00
Перемещение ТМЦ</t>
  </si>
  <si>
    <t>Обл. НДС
Арматура № 8  А500С, L=12000 мм
Переміщення товарів ІБ00-000182 від 01.01.2026 00:00:00
Пункт фасування та зберігання в бігбегах (Глобине)</t>
  </si>
  <si>
    <t>Обл. НДС
Арматура № 8  А500С, L=12000 мм
Переміщення товарів ІБ00-001158 від 01.10.2025 11:10:00
АПК (Глобине)</t>
  </si>
  <si>
    <t>Переміщення товарів ІБ00-000243 від 01.01.2026 11:02:54
Перемещение ТМЦ</t>
  </si>
  <si>
    <t>Обл. НДС
Труба 80х80х4 12,0-S235/S275
Переміщення товарів ІБ00-000243 від 01.01.2026 11:02:54
СПК (Глобине)</t>
  </si>
  <si>
    <t>Обл. НДС
Труба 80х80х4 12,0-S235/S275
Надходження товарів і послуг ІБ00-001808 від 22.04.2025 11:00:00
СПК (Глобине)</t>
  </si>
  <si>
    <t>Переміщення товарів ІБ00-000267 від 01.01.2026 11:02:55
Перемещение ТМЦ</t>
  </si>
  <si>
    <t>Обл. НДС
Електрод вольфрам WТ20 D 2.0мм 
Переміщення товарів ІБ00-000267 від 01.01.2026 11:02:55
Глобине-2</t>
  </si>
  <si>
    <t>Обл. НДС
Електрод вольфрам WТ20 D 2.0мм 
Авансовий звіт ІБ00-000247 від 15.09.2025 17:25:21
Глобине-2</t>
  </si>
  <si>
    <t>221</t>
  </si>
  <si>
    <t>Переміщення товарів ІБ00-000284 від 01.01.2026 11:02:56
Перемещение ТМЦ</t>
  </si>
  <si>
    <t>Обл. НДС
Пенекрит 25кг/відро
Переміщення товарів ІБ00-000284 від 01.01.2026 11:02:56
АПК (Глобине)</t>
  </si>
  <si>
    <t>Обл. НДС
Пенекрит 25кг/відро
Надходження товарів і послуг ІБ00-002340 від 08.05.2025 11:00:00
АПК (Глобине)</t>
  </si>
  <si>
    <t>02.01.2026</t>
  </si>
  <si>
    <t>Надходження товарів і послуг ІБ00-000449 від 02.01.2026 11:00:00
Оприходованы ТМЦ</t>
  </si>
  <si>
    <t>Обл. НДС
Дюбель сталев 8*60К для пор м-ів
Надходження товарів і послуг ІБ00-000449 від 02.01.2026 11:00:00
АПК (Глобине)</t>
  </si>
  <si>
    <t>АЛМЕТ ТОВ
№28 от 22.09.2022.( рахунки)_Глобине-2
Рахунок на оплату постачальника ІБ00-006520 від 01.12.2025 23:02:43</t>
  </si>
  <si>
    <t>06.01.2026</t>
  </si>
  <si>
    <t>Реалізація товарів і послуг ІБ00-000003 від 06.01.2026 00:00:00
Списаны ТМЦ</t>
  </si>
  <si>
    <t>&lt;...&gt;
&lt;...&gt;
Себестоимость реализованных покупных запасов</t>
  </si>
  <si>
    <t>Обл. НДС
Сендвіч-панель ТПК стінова 100 мм МВ 1180 мм відкр.замок С 0,5 PS/C 0,5 PS 6,930 (рапеція 9006 
Надходження товарів і послуг ІБ00-007411 від 11.12.2025 19:01:41
ГРП (Глобине)</t>
  </si>
  <si>
    <t>943</t>
  </si>
  <si>
    <t>Обл. НДС
Сендвіч-панель ТПК стінова 100 мм МВ 1180 мм відкр.замок С 0,5 PS/C 0,5 PS 6,180м) сріблястий
Надходження товарів і послуг ІБ00-007411 від 11.12.2025 19:01:41
ГРП (Глобине)</t>
  </si>
  <si>
    <t>Обл. НДС
Сендвіч-панель ТПК стінова 100 мм МВ 1180 мм відкр.замок С 0,5 PS/C 0,5 PS (4,180м) сріблястий
Надходження товарів і послуг ІБ00-007411 від 11.12.2025 19:01:41
ГРП (Глобине)</t>
  </si>
  <si>
    <t>Обл. НДС
Сендвіч-панель ТПК стінова 100 мм МВ 1180 мм відкр.замок С 0,5 PS/C 0,5 PS (2,080м) сріблястий
Надходження товарів і послуг ІБ00-007411 від 11.12.2025 19:01:41
ГРП (Глобине)</t>
  </si>
  <si>
    <t>Обл. НДС
Сендвіч-панель ТПК стінова 100 мм МВ 1180 мм відкр.замок С 0,5 PS/C 0,5 PS ( 2,900м) сріблястий
Надходження товарів і послуг ІБ00-007411 від 11.12.2025 19:01:41
ГРП (Глобине)</t>
  </si>
  <si>
    <t>Обл. НДС
Сендвіч-панель ТПК стінова 100 мм МВ 1150 мм відкр.замок С 0,5 PS/C 0,5 PS  6,180м синій/ тра
Надходження товарів і послуг ІБ00-007411 від 11.12.2025 19:01:41
ГРП (Глобине)</t>
  </si>
  <si>
    <t>Обл. НДС
Сендвіч-панель ТПК стінова 100 мм МВ 1150 мм відкр.замок С 0,5 PS/C 0,5 PS 4,190м синій/ тра
Надходження товарів і послуг ІБ00-007411 від 11.12.2025 19:01:41
ГРП (Глобине)</t>
  </si>
  <si>
    <t>Обл. НДС
Сендвіч-панель ТПК стінова 100 мм МВ 1150 мм відкр.замок С 0,5 PS/C 0,5 PS 4,180м синій/ тра
Надходження товарів і послуг ІБ00-007411 від 11.12.2025 19:01:41
ГРП (Глобине)</t>
  </si>
  <si>
    <t>Обл. НДС
Сендвіч-панель ТПК стінова 100 мм МВ 1150 мм відкр.замок С 0,5 PS/C 0,5 PS 4,100м синій/ тра
Надходження товарів і послуг ІБ00-007411 від 11.12.2025 19:01:41
ГРП (Глобине)</t>
  </si>
  <si>
    <t>Обл. НДС
Сендвіч-панель ТПК стінова 100 мм МВ 1150 мм відкр.замок С 0,5 PS/C 0,5 PS (2,670м) синій/ тра
Надходження товарів і послуг ІБ00-007411 від 11.12.2025 19:01:41
ГРП (Глобине)</t>
  </si>
  <si>
    <t>Обл. НДС
Ущільнювальна стрічка ТПК УП-1 ППЕ НХ (5х50мм 20м)
Надходження товарів і послуг ІБ00-007411 від 11.12.2025 19:01:41
ГРП (Глобине)</t>
  </si>
  <si>
    <t>Обл. НДС
Клей-герметик д/сендвіч-панелей Soudaflex 40 FC  (12 шт/уп) (600мл(шт.) білий)
Надходження товарів і послуг ІБ00-007411 від 11.12.2025 19:01:41
ГРП (Глобине)</t>
  </si>
  <si>
    <t>Обл. НДС
Самонаріз в метал до сендвіч-панелей 5,5х6,3/150 (9006 сріблястий (100шт))
Надходження товарів і послуг ІБ00-007411 від 11.12.2025 19:01:41
ГРП (Глобине)</t>
  </si>
  <si>
    <t>Обл. НДС
Самонаріз в метал до сендвіч-панелей 5,5х6,3/150 (5005 синій (100шт))
Надходження товарів і послуг ІБ00-007411 від 11.12.2025 19:01:41
ГРП (Глобине)</t>
  </si>
  <si>
    <t>Реалізація товарів і послуг ІБ00-000004 від 06.01.2026 00:00:00
Списаны ТМЦ</t>
  </si>
  <si>
    <t>Обл. НДС
Сендвіч-панель ТПК стінова 100 мм МВ 1150 мм відкр.замок С 0,5 PS/C 0,5 PS (8,340м) сріблястий
Надходження товарів і послуг ІБ00-007420 від 12.12.2025 00:00:00
Пожежений резервуар (Глобине)</t>
  </si>
  <si>
    <t>Обл. НДС
Сендвіч-панель ТПК стінова 100 мм МВ 1150 мм відкр.замок С 0,5 PS/C 0,5 PS (7,080м) сріблястий
Надходження товарів і послуг ІБ00-007420 від 12.12.2025 00:00:00
Пожежений резервуар (Глобине)</t>
  </si>
  <si>
    <t>Обл. НДС
Сендвіч-панель ТПК стінова 100 мм МВ 1150 мм відкр.замок С 0,5 PS/C 0,5 PS (6,050м) сріблястий
Надходження товарів і послуг ІБ00-007420 від 12.12.2025 00:00:00
Пожежений резервуар (Глобине)</t>
  </si>
  <si>
    <t>Обл. НДС
Сендвіч-панель ТПК стінова 100 мм МВ 1150 мм відкр.замок С 0,5 PS/C 0,5 PS (5,980м)6 сріблястий
Надходження товарів і послуг ІБ00-007420 від 12.12.2025 00:00:00
Пожежений резервуар (Глобине)</t>
  </si>
  <si>
    <t>Обл. НДС
Сендвіч-панель ТПК стінова 100 мм МВ 1150 мм відкр.замок С 0,5 PS/C 0,5 PS (5,970м) сріблястий
Надходження товарів і послуг ІБ00-007420 від 12.12.2025 00:00:00
Пожежений резервуар (Глобине)</t>
  </si>
  <si>
    <t>Обл. НДС
Сендвіч-панель ТПК стінова 100 мм МВ 1150 мм відкр.замок С 0,5 PS/C 0,5 PS (8,340м) 
Надходження товарів і послуг ІБ00-007420 від 12.12.2025 00:00:00
Пожежений резервуар (Глобине)</t>
  </si>
  <si>
    <t>Обл. НДС
Сендвіч-панель ТПК стінова 100 мм МВ 1150 мм відкр.замок С 0,5 PS/C 0,5 PS ( 7,080м) 5005 синій/ тра
Надходження товарів і послуг ІБ00-007420 від 12.12.2025 00:00:00
Пожежений резервуар (Глобине)</t>
  </si>
  <si>
    <t>Обл. НДС
Сендвіч-панель ТПК стінова 100 мм МВ 1150 мм відкр.замок С 0,5 PS/C 0,5 PS (5,970м) синій/ тра
Надходження товарів і послуг ІБ00-007420 від 12.12.2025 00:00:00
Пожежений резервуар (Глобине)</t>
  </si>
  <si>
    <t>Обл. НДС
Сендвіч-панель ТПК стінова 100 мм МВ 1150 мм відкр.замок С 0,5 PS/C 0,5 PS (5,560м) 5005 синій/ тра
Надходження товарів і послуг ІБ00-007420 від 12.12.2025 00:00:00
Пожежений резервуар (Глобине)</t>
  </si>
  <si>
    <t>Обл. НДС
Сендвіч-панель ТПК стінова 100 мм МВ 1150 мм відкр.замок С 0,5 PS/C 0,5 PS (4,000м) 5005 синій/ тра
Надходження товарів і послуг ІБ00-007420 від 12.12.2025 00:00:00
Пожежений резервуар (Глобине)</t>
  </si>
  <si>
    <t>Обл. НДС
Сендвіч-панель ТПК стінова 100 мм МВ 1150 мм відкр.замок С 0,5 PS/C 0,5 PS (3,560м) 5005 синій/ тра
Надходження товарів і послуг ІБ00-007420 від 12.12.2025 00:00:00
Пожежений резервуар (Глобине)</t>
  </si>
  <si>
    <t>Обл. НДС
Сендвіч-панель ТПК стінова 100 мм МВ 1150 мм відкр.замок С 0,5 PS/C 0,5 PS (2,670м) 5005 синій/ тра
Надходження товарів і послуг ІБ00-007420 від 12.12.2025 00:00:00
Пожежений резервуар (Глобине)</t>
  </si>
  <si>
    <t>Обл. НДС
Сендвіч-панель ТПК стінова 100 мм МВ 1150 мм відкр.замок С 0,5 PS/C 0,5 PS (2,060м) 5005 синій/ тра
Надходження товарів і послуг ІБ00-007420 від 12.12.2025 00:00:00
Пожежений резервуар (Глобине)</t>
  </si>
  <si>
    <t>Обл. НДС
Сендвіч-панель ТПК стінова 100 мм МВ 1150 мм відкр.замок С 0,5 PS/C 0,5 PS (3,980м) 5005 синій/ тра
Надходження товарів і послуг ІБ00-007420 від 12.12.2025 00:00:00
Пожежений резервуар (Глобине)</t>
  </si>
  <si>
    <t>Обл. НДС
Сендвіч-панель ТПК стінова 100 мм МВ 1150 мм відкр.замок С 0,5 PS/C 0,5 PS (3,080м) 5005 синій/ тра
Надходження товарів і послуг ІБ00-007420 від 12.12.2025 00:00:00
Пожежений резервуар (Глобине)</t>
  </si>
  <si>
    <t>Обл. НДС
Сендвіч-панель ТПК стінова 100 мм МВ 1150 мм відкр.замок С 0,5 PS/C 0,5 PS (3,590м) сріблястий
Надходження товарів і послуг ІБ00-007419 від 11.12.2025 19:01:47
Пожежений резервуар (Глобине)</t>
  </si>
  <si>
    <t>Обл. НДС
Сендвіч-панель ТПК стінова 100 мм МВ 1150 мм відкр.замок С 0,5 PS/C 0,5 PS (3,550м) сріблястий
Надходження товарів і послуг ІБ00-007419 від 11.12.2025 19:01:47
Пожежений резервуар (Глобине)</t>
  </si>
  <si>
    <t>Обл. НДС
Сендвіч-панель ТПК стінова 100 мм МВ 1150 мм відкр.замок С 0,5 PS/C 0,5 PS (2,670м) сріблястий
Надходження товарів і послуг ІБ00-007419 від 11.12.2025 19:01:47
Пожежений резервуар (Глобине)</t>
  </si>
  <si>
    <t>Обл. НДС
Сендвіч-панель ТПК стінова 100 мм МВ 1150 мм відкр.замок С 0,5 PS/C 0,5 PS (2,390м) сріблястий
Надходження товарів і послуг ІБ00-007419 від 11.12.2025 19:01:47
Пожежений резервуар (Глобине)</t>
  </si>
  <si>
    <t>Обл. НДС
Сендвіч-панель ТПК стінова 100 мм МВ 1150 мм відкр.замок С 0,5 PS/C 0,5 PS (2,290м) сріблястий
Надходження товарів і послуг ІБ00-007419 від 11.12.2025 19:01:47
Пожежений резервуар (Глобине)</t>
  </si>
  <si>
    <t>Обл. НДС
Ущільнювальна стрічка ТПК УП-1 ППЕ НХ (5х50мм 20м)
Надходження товарів і послуг ІБ00-007420 від 12.12.2025 00:00:00
Пожежений резервуар (Глобине)</t>
  </si>
  <si>
    <t>Обл. НДС
Клей-герметик д/сендвіч-панелей Soudaflex 40 FC  (12 шт/уп) (600мл(шт.) білий)
Надходження товарів і послуг ІБ00-007420 від 12.12.2025 00:00:00
Пожежений резервуар (Глобине)</t>
  </si>
  <si>
    <t>Обл. НДС
Самонаріз в метал до сендвіч-панелей 5,5х6,3/150 (9006 сріблястий (100шт))
Надходження товарів і послуг ІБ00-007420 від 12.12.2025 00:00:00
Пожежений резервуар (Глобине)</t>
  </si>
  <si>
    <t>Обл. НДС
Самонаріз в метал до сендвіч-панелей 5,5х6,3/150 (5005 синій (100шт))
Надходження товарів і послуг ІБ00-007420 від 12.12.2025 00:00:00
Пожежений резервуар (Глобине)</t>
  </si>
  <si>
    <t>Реалізація товарів і послуг ІБ00-000005 від 06.01.2026 00:00:00
Списаны ТМЦ</t>
  </si>
  <si>
    <t>Обл. НДС
Кільце опорне КО-6
Надходження товарів і послуг ІБ00-007446 від 16.12.2025 16:25:07
ЗВК_Глобіне</t>
  </si>
  <si>
    <t>Обл. НДС
Кільце КС 10-6
Надходження товарів і послуг ІБ00-007446 від 16.12.2025 16:25:07
ЗВК_Глобіне</t>
  </si>
  <si>
    <t>Обл. НДС
Кільце КС 10-9
Надходження товарів і послуг ІБ00-007446 від 16.12.2025 16:25:07
ЗВК_Глобіне</t>
  </si>
  <si>
    <t>Обл. НДС
Кільце залізобетонне КС 15-6
Надходження товарів і послуг ІБ00-007446 від 16.12.2025 16:25:07
ЗВК_Глобіне</t>
  </si>
  <si>
    <t>Обл. НДС
Кільце КС 15-9
Надходження товарів і послуг ІБ00-007446 від 16.12.2025 16:25:07
ЗВК_Глобіне</t>
  </si>
  <si>
    <t>Обл. НДС
Кільце КС 20-9
Надходження товарів і послуг ІБ00-007446 від 16.12.2025 16:25:07
ЗВК_Глобіне</t>
  </si>
  <si>
    <t>Обл. НДС
Кільце КС 7-3
Надходження товарів і послуг ІБ00-007446 від 16.12.2025 16:25:07
ЗВК_Глобіне</t>
  </si>
  <si>
    <t>Обл. НДС
Днище ПН-10
Надходження товарів і послуг ІБ00-007447 від 16.12.2025 16:28:35
ЗВК_Глобіне</t>
  </si>
  <si>
    <t>Обл. НДС
Днище ПН-15
Надходження товарів і послуг ІБ00-007447 від 16.12.2025 16:28:35
ЗВК_Глобіне</t>
  </si>
  <si>
    <t>Обл. НДС
Днище ПН-20
Надходження товарів і послуг ІБ00-007447 від 16.12.2025 16:28:35
ЗВК_Глобіне</t>
  </si>
  <si>
    <t>Обл. НДС
Кришка ПП 1-10-1
Надходження товарів і послуг ІБ00-007447 від 16.12.2025 16:28:35
ЗВК_Глобіне</t>
  </si>
  <si>
    <t>Обл. НДС
Кришка ПП 1-15-1
Надходження товарів і послуг ІБ00-007447 від 16.12.2025 16:28:35
ЗВК_Глобіне</t>
  </si>
  <si>
    <t>Обл. НДС
Кришка ПП 1-20-1
Надходження товарів і послуг ІБ00-007447 від 16.12.2025 16:28:35
ЗВК_Глобіне</t>
  </si>
  <si>
    <t>Реалізація товарів і послуг ІБ00-000006 від 06.01.2026 00:00:00
Списаны ТМЦ</t>
  </si>
  <si>
    <t>Обл. НДС
Кільце КС 7-3
Надходження товарів і послуг ІБ00-007523 від 19.12.2025 12:12:44
ЗВК_Глобіне</t>
  </si>
  <si>
    <t>Обл. НДС
Днище ПН-10
Надходження товарів і послуг ІБ00-007523 від 19.12.2025 12:12:44
ЗВК_Глобіне</t>
  </si>
  <si>
    <t>Обл. НДС
Днище ПН-15
Надходження товарів і послуг ІБ00-007523 від 19.12.2025 12:12:44
ЗВК_Глобіне</t>
  </si>
  <si>
    <t>Обл. НДС
Кришка ПП 1-15-1
Надходження товарів і послуг ІБ00-007523 від 19.12.2025 12:12:44
ЗВК_Глобіне</t>
  </si>
  <si>
    <t>Обл. НДС
Кільце опорне КО-6
Надходження товарів і послуг ІБ00-007522 від 19.12.2025 12:04:24
ЗВК_Глобіне</t>
  </si>
  <si>
    <t>Обл. НДС
Кільце КС 10-9
Надходження товарів і послуг ІБ00-007522 від 19.12.2025 12:04:24
ЗВК_Глобіне</t>
  </si>
  <si>
    <t>Обл. НДС
Кільце КС 15-9
Надходження товарів і послуг ІБ00-007522 від 19.12.2025 12:04:24
ЗВК_Глобіне</t>
  </si>
  <si>
    <t>Реалізація товарів і послуг ІБ00-000007 від 06.01.2026 00:00:00
Списаны ТМЦ</t>
  </si>
  <si>
    <t>Обл. НДС
Кільце КС 10-9
Надходження товарів і послуг ІБ00-007573 від 19.12.2025 18:11:55
ЗВК_Глобіне</t>
  </si>
  <si>
    <t>Обл. НДС
Кільце КС 10-9
Надходження товарів і послуг ІБ00-007574 від 22.12.2025 14:03:57
ЗВК_Глобіне</t>
  </si>
  <si>
    <t>Обл. НДС
Кільце КС 10-9
Надходження товарів і послуг ІБ00-007575 від 22.12.2025 15:45:25
ЗВК_Глобіне</t>
  </si>
  <si>
    <t>Обл. НДС
Кільце КС 15-9
Надходження товарів і послуг ІБ00-007573 від 19.12.2025 18:11:55
ЗВК_Глобіне</t>
  </si>
  <si>
    <t>Обл. НДС
Кільце КС 15-9
Надходження товарів і послуг ІБ00-007574 від 22.12.2025 14:03:57
ЗВК_Глобіне</t>
  </si>
  <si>
    <t>Обл. НДС
Кільце КС 15-9
Надходження товарів і послуг ІБ00-007575 від 22.12.2025 15:45:25
ЗВК_Глобіне</t>
  </si>
  <si>
    <t>Обл. НДС
Кільце КС 20-9
Надходження товарів і послуг ІБ00-007573 від 19.12.2025 18:11:55
ЗВК_Глобіне</t>
  </si>
  <si>
    <t>Обл. НДС
Кільце КС 20-9
Надходження товарів і послуг ІБ00-007575 від 22.12.2025 15:45:25
ЗВК_Глобіне</t>
  </si>
  <si>
    <t>Обл. НДС
Днище ПН-15
Надходження товарів і послуг ІБ00-007574 від 22.12.2025 14:03:57
ЗВК_Глобіне</t>
  </si>
  <si>
    <t>Обл. НДС
Днище ПН-20
Надходження товарів і послуг ІБ00-007573 від 19.12.2025 18:11:55
ЗВК_Глобіне</t>
  </si>
  <si>
    <t>Обл. НДС
Кришка ПП 1-10-1
Надходження товарів і послуг ІБ00-007574 від 22.12.2025 14:03:57
ЗВК_Глобіне</t>
  </si>
  <si>
    <t>Обл. НДС
Кришка ПП 1-15-1
Надходження товарів і послуг ІБ00-007574 від 22.12.2025 14:03:57
ЗВК_Глобіне</t>
  </si>
  <si>
    <t>Обл. НДС
Кришка ПП 1-20-1
Надходження товарів і послуг ІБ00-007573 від 19.12.2025 18:11:55
ЗВК_Глобіне</t>
  </si>
  <si>
    <t>Обл. НДС
Кільце опорне КО-6
Надходження товарів і послуг ІБ00-007575 від 22.12.2025 15:45:25
ЗВК_Глобіне</t>
  </si>
  <si>
    <t>Обл. НДС
Кільце КС 20-6
Надходження товарів і послуг ІБ00-007575 від 22.12.2025 15:45:25
ЗВК_Глобіне</t>
  </si>
  <si>
    <t>Обл. НДС
Днище ПН-10
Надходження товарів і послуг ІБ00-007575 від 22.12.2025 15:45:25
ЗВК_Глобіне</t>
  </si>
  <si>
    <t>Обл. НДС
Днище ПН-15
Надходження товарів і послуг ІБ00-007575 від 22.12.2025 15:45:25
ЗВК_Глобіне</t>
  </si>
  <si>
    <t>Надходження товарів і послуг ІБ00-000645 від 06.01.2026 11:00:00
Оприходованы ТМЦ (Зачет аванса поставщику)</t>
  </si>
  <si>
    <t>Обл. НДС
Дюбель для газобетону GB14
Надходження товарів і послуг ІБ00-000645 від 06.01.2026 11:00:00
АПК (Глобине)</t>
  </si>
  <si>
    <t>ЄВРОБОЛТ УКРАЇНА ТОВ
Рахунки_Глобине-2
Рахунок на оплату постачальника ІБ00-006077 від 02.12.2025 18:31:08</t>
  </si>
  <si>
    <t>07.01.2026</t>
  </si>
  <si>
    <t>Надходження товарів і послуг ІБ00-000430 від 07.01.2026 11:00:00
Оприходованы ТМЦ (Зачет аванса поставщику)</t>
  </si>
  <si>
    <t>Обл. НДС
Ущільнювальна стрічка ТПК УП-1 ППЕ НХ (5х50мм 20м)
Надходження товарів і послуг ІБ00-000430 від 07.01.2026 11:00:00
ГРП (Глобине)</t>
  </si>
  <si>
    <t>ТПК-ЦЕНТР ТОВ
Договір 13/20/П/011від 21.07.2020_Глобино-2
Рахунок на оплату постачальника ІБ00-004578 від 18.09.2025 20:53:02</t>
  </si>
  <si>
    <t>Обл. НДС
Ущільнювальна стрічка ТПК-УП-4 ППЕ (3х15мм 30м)
Надходження товарів і послуг ІБ00-000430 від 07.01.2026 11:00:00
ГРП (Глобине)</t>
  </si>
  <si>
    <t>Обл. НДС
Клей-герметик д/сендвіч- панелей Soudaflex 40 FC (12 шт/уп) (600мл(шт.) білий)
Надходження товарів і послуг ІБ00-000430 від 07.01.2026 11:00:00
ГРП (Глобине)</t>
  </si>
  <si>
    <t>Обл. НДС
Ущільнювач КН для с/п 1 м ППЕ НХ
Надходження товарів і послуг ІБ00-000430 від 07.01.2026 11:00:00
ГРП (Глобине)</t>
  </si>
  <si>
    <t>Обл. НДС
Самонаріз в метал до сендвіч-панелей 5,5*6,3/200 5005 синій
Надходження товарів і послуг ІБ00-000430 від 07.01.2026 11:00:00
ГРП (Глобине)</t>
  </si>
  <si>
    <t>Обл. НДС
Саморіз  4,8*19 для скріплення листів 250шт 5005 синій
Надходження товарів і послуг ІБ00-000430 від 07.01.2026 11:00:00
ГРП (Глобине)</t>
  </si>
  <si>
    <t>Надходження товарів і послуг ІБ00-000430 від 07.01.2026 11:00:00
Оприходованы ТМЦ</t>
  </si>
  <si>
    <t>Обл. НДС
Сендвіч-панель ТПК покрівельна 100мм МВ 1000мм С0,5 PS/C0,5 PS 7,230м покрів5005/трап9003
Надходження товарів і послуг ІБ00-000430 від 07.01.2026 11:00:00
ГРП (Глобине)</t>
  </si>
  <si>
    <t>Надходження товарів і послуг ІБ00-000431 від 07.01.2026 11:00:00
Оприходованы ТМЦ</t>
  </si>
  <si>
    <t>Обл. НДС
Сендвіч-панель ТПК покрівельна 100мм МВ 1000мм С0,5 PS/C0,5 PS 6,400м покрів5005/трап9003
Надходження товарів і послуг ІБ00-000431 від 07.01.2026 11:00:00
Пожежений резервуар (Глобине)</t>
  </si>
  <si>
    <t>ТПК-ЦЕНТР ТОВ
Договір 13/20/П/011від 21.07.2020_Глобино-2
Рахунок на оплату постачальника ІБ00-004581 від 18.09.2025 20:53:04</t>
  </si>
  <si>
    <t>08.01.2026</t>
  </si>
  <si>
    <t>Надходження товарів і послуг ІБ00-000036 від 08.01.2026 11:00:00
Оприходованы ТМЦ</t>
  </si>
  <si>
    <t>Обл. НДС
Бетон С20/25 W6 F75 P4 доб-10
Надходження товарів і послуг ІБ00-000036 від 08.01.2026 11:00:00
Пункт фасування та зберігання в бігбегах (Глобине)</t>
  </si>
  <si>
    <t>Кременчуцький річковий порт ПРАТ
Договір 112/Б від 15.10.2024_Глобине-2
Надходження товарів і послуг ІБ00-000036 від 08.01.2026 11:00:00</t>
  </si>
  <si>
    <t>Надходження товарів і послуг ІБ00-000373 від 08.01.2026 11:00:00
Оприходованы ТМЦ</t>
  </si>
  <si>
    <t>Обл. НДС
Кисень газ технічний  (40л/6,4 м3)
Надходження товарів і послуг ІБ00-000373 від 08.01.2026 11:00:00
Глобине-2</t>
  </si>
  <si>
    <t>Терещенко Т.В. ФОП
Договір 02/01/2025 від 02.01.2025_Глобине-2
Рахунок на оплату постачальника ІБ00-000323 від 08.01.2026 18:13:33</t>
  </si>
  <si>
    <t>Надходження дод. витрат ІБ00-000010 від 08.01.2026 11:10:00
Доп. расходы при поступлении товаров</t>
  </si>
  <si>
    <t>Кременчуцький річковий порт ПРАТ
Договір 112/Б від 15.10.2024_Глобине-2
Надходження дод. витрат ІБ00-000010 від 08.01.2026 11:10:00</t>
  </si>
  <si>
    <t>10.01.2026</t>
  </si>
  <si>
    <t>Надходження товарів і послуг ІБ00-000377 від 10.01.2026 11:00:00
Оприходованы ТМЦ</t>
  </si>
  <si>
    <t>Обл. НДС
Відсів гранітний фр.0-5 мм
Надходження товарів і послуг ІБ00-000377 від 10.01.2026 11:00:00
Транспортна галерея (Глобине)</t>
  </si>
  <si>
    <t>Венкрас Авто ПП
Договір 05/09/2024 від 05.09.2024_Глобине-2
Рахунок на оплату постачальника ІБ00-000327 від 10.01.2026 11:00:00</t>
  </si>
  <si>
    <t>12.01.2026</t>
  </si>
  <si>
    <t>Надходження товарів і послуг ІБ00-000374 від 12.01.2026 11:00:00
Оприходованы ТМЦ</t>
  </si>
  <si>
    <t>Обл. НДС
Відсів гранітний фр.0-5 мм
Надходження товарів і послуг ІБ00-000374 від 12.01.2026 11:00:00
Транспортна галерея (Глобине)</t>
  </si>
  <si>
    <t>Венкрас Авто ПП
Договір 05/09/2024 від 05.09.2024_Глобине-2
Рахунок на оплату постачальника ІБ00-000324 від 12.01.2026 17:58:36</t>
  </si>
  <si>
    <t>13.01.2026</t>
  </si>
  <si>
    <t>Надходження товарів і послуг ІБ00-000366 від 13.01.2026 11:00:00
Оприходованы ТМЦ</t>
  </si>
  <si>
    <t>Обл. НДС
Утеплювач для труб 42х6 
Надходження товарів і послуг ІБ00-000366 від 13.01.2026 11:00:00
Котельна (Глобине)</t>
  </si>
  <si>
    <t>Павленко Р.М. ФОП маг. Дюйм
Глобино-2_РАХУНКИ
Рахунок на оплату постачальника ІБ00-000195 від 13.01.2026 18:11:45</t>
  </si>
  <si>
    <t>Обл. НДС
Утеплювач для труб 22х6 
Надходження товарів і послуг ІБ00-000366 від 13.01.2026 11:00:00
Котельна (Глобине)</t>
  </si>
  <si>
    <t>Обл. НДС
Труба PPR PIPE d 20mm PN 20 скловолкно
Надходження товарів і послуг ІБ00-000366 від 13.01.2026 11:00:00
Котельна (Глобине)</t>
  </si>
  <si>
    <t>Обл. НДС
Кутник 90  PPR ф20**1008
Надходження товарів і послуг ІБ00-000366 від 13.01.2026 11:00:00
Котельна (Глобине)</t>
  </si>
  <si>
    <t>Обл. НДС
Кутник 90  PPR ф20*1/2 вн**1011
Надходження товарів і послуг ІБ00-000366 від 13.01.2026 11:00:00
Котельна (Глобине)</t>
  </si>
  <si>
    <t>Обл. НДС
Фумстрічка д/води STP-01 20м 19мм
Надходження товарів і послуг ІБ00-000366 від 13.01.2026 11:00:00
Котельна (Глобине)</t>
  </si>
  <si>
    <t>Обл. НДС
Футорка 3/4" * 1 1/42"3 (300/20)
Надходження товарів і послуг ІБ00-000366 від 13.01.2026 11:00:00
Котельна (Глобине)</t>
  </si>
  <si>
    <t>Обл. НДС
Трійник PPR 25**1013
Надходження товарів і послуг ІБ00-000366 від 13.01.2026 11:00:00
Котельна (Глобине)</t>
  </si>
  <si>
    <t>Обл. НДС
Муфта редукційна PPR ф25*20**1003
Надходження товарів і послуг ІБ00-000366 від 13.01.2026 11:00:00
Котельна (Глобине)</t>
  </si>
  <si>
    <t>Обл. НДС
Прокладка біконіт 3/4"
Надходження товарів і послуг ІБ00-000366 від 13.01.2026 11:00:00
Котельна (Глобине)</t>
  </si>
  <si>
    <t>Обл. НДС
Прокладка біконіт 1/2"
Надходження товарів і послуг ІБ00-000366 від 13.01.2026 11:00:00
Котельна (Глобине)</t>
  </si>
  <si>
    <t>Обл. НДС
Льон технічний
Надходження товарів і послуг ІБ00-000366 від 13.01.2026 11:00:00
Котельна (Глобине)</t>
  </si>
  <si>
    <t>Обл. НДС
Паста ущільнююча Unipak 75 гр.
Надходження товарів і послуг ІБ00-000366 від 13.01.2026 11:00:00
Котельна (Глобине)</t>
  </si>
  <si>
    <t>Обл. НДС
Кран кульовий ЗВ 1 1/4 
Надходження товарів і послуг ІБ00-000366 від 13.01.2026 11:00:00
Котельна (Глобине)</t>
  </si>
  <si>
    <t>Надходження товарів і послуг ІБ00-000367 від 13.01.2026 11:00:00
Оприходованы ТМЦ</t>
  </si>
  <si>
    <t>Обл. НДС
Труба ППР VS PLAST 40*6,7мм зі скловолокном
Надходження товарів і послуг ІБ00-000367 від 13.01.2026 11:00:00
Котельна (Глобине)</t>
  </si>
  <si>
    <t>Павленко Р.М. ФОП маг. Дюйм
Глобино-2_РАХУНКИ
Рахунок на оплату постачальника ІБ00-000194 від 13.01.2026 18:11:44</t>
  </si>
  <si>
    <t>Обл. НДС
Кутник 90  PPR ф40**1008
Надходження товарів і послуг ІБ00-000367 від 13.01.2026 11:00:00
Котельна (Глобине)</t>
  </si>
  <si>
    <t>Обл. НДС
Заглушка 50
Надходження товарів і послуг ІБ00-000367 від 13.01.2026 11:00:00
Котельна (Глобине)</t>
  </si>
  <si>
    <t>Обл. НДС
Заглушка (кришка) ф20**1025
Надходження товарів і послуг ІБ00-000367 від 13.01.2026 11:00:00
Котельна (Глобине)</t>
  </si>
  <si>
    <t>Обл. НДС
Пробка 1/2" зовн різьба
Надходження товарів і послуг ІБ00-000367 від 13.01.2026 11:00:00
Котельна (Глобине)</t>
  </si>
  <si>
    <t>Надходження товарів і послуг ІБ00-000375 від 13.01.2026 11:00:00
Оприходованы ТМЦ</t>
  </si>
  <si>
    <t>Обл. НДС
Відсів гранітний фр.0-5 мм
Надходження товарів і послуг ІБ00-000375 від 13.01.2026 11:00:00
Транспортна галерея (Глобине)</t>
  </si>
  <si>
    <t>Венкрас Авто ПП
Договір 05/09/2024 від 05.09.2024_Глобине-2
Рахунок на оплату постачальника ІБ00-000325 від 13.01.2026 18:11:56</t>
  </si>
  <si>
    <t>14.01.2026</t>
  </si>
  <si>
    <t>Реалізація товарів і послуг ІБ00-000011 від 14.01.2026 09:40:20
Списаны ТМЦ</t>
  </si>
  <si>
    <t>Обл. НДС
Кільце  КС 10-6
Надходження товарів і послуг ІБ00-007711 від 24.12.2025 11:00:00
ЗВК_Глобіне</t>
  </si>
  <si>
    <t>Обл. НДС
Кільце  КС 10-9
Надходження товарів і послуг ІБ00-007711 від 24.12.2025 11:00:00
ЗВК_Глобіне</t>
  </si>
  <si>
    <t>Обл. НДС
Кільце  КС 15-6
Надходження товарів і послуг ІБ00-007711 від 24.12.2025 11:00:00
ЗВК_Глобіне</t>
  </si>
  <si>
    <t>Обл. НДС
Кільце  КС 15-9
Надходження товарів і послуг ІБ00-007711 від 24.12.2025 11:00:00
ЗВК_Глобіне</t>
  </si>
  <si>
    <t>Обл. НДС
Кільце  КС 7-3
Надходження товарів і послуг ІБ00-007711 від 24.12.2025 11:00:00
ЗВК_Глобіне</t>
  </si>
  <si>
    <t>Обл. НДС
Днище ПН-10
Надходження товарів і послуг ІБ00-007711 від 24.12.2025 11:00:00
ЗВК_Глобіне</t>
  </si>
  <si>
    <t>Обл. НДС
Днище ПН-15
Надходження товарів і послуг ІБ00-007711 від 24.12.2025 11:00:00
ЗВК_Глобіне</t>
  </si>
  <si>
    <t>Обл. НДС
Кришка ПП 1-15-1
Надходження товарів і послуг ІБ00-007711 від 24.12.2025 11:00:00
ЗВК_Глобіне</t>
  </si>
  <si>
    <t>Реалізація товарів і послуг ІБ00-000012 від 14.01.2026 10:17:51
Списаны ТМЦ</t>
  </si>
  <si>
    <t>Обл. НДС
Сендвіч-панель ТПК покрівельна 100мм МВ 1000мм С0,5 PS/C0,5 PS 8,830м покрів5005/трап9003
Надходження товарів і послуг ІБ00-007810 від 29.12.2025 11:00:00
Пожежений резервуар (Глобине)</t>
  </si>
  <si>
    <t>Обл. НДС
Стрічка ущільнювальна ППЕ НХ 5х50х20 м
Надходження товарів і послуг ІБ00-007810 від 29.12.2025 11:00:00
Пожежений резервуар (Глобине)</t>
  </si>
  <si>
    <t>Обл. НДС
Ущільнювальна стрічка ТПК-УП-4 ППЕ (3х15мм 30м)
Надходження товарів і послуг ІБ00-007810 від 29.12.2025 11:00:00
Пожежений резервуар (Глобине)</t>
  </si>
  <si>
    <t>Обл. НДС
Клей-герметик д/сендвіч- панелей Soudaflex 40 FC (12 шт/уп) (600мл(шт.) білий)
Надходження товарів і послуг ІБ00-007810 від 29.12.2025 11:00:00
Пожежений резервуар (Глобине)</t>
  </si>
  <si>
    <t>Обл. НДС
Ущільнювач КН для с/п 1 м ППЕ НХ
Надходження товарів і послуг ІБ00-007810 від 29.12.2025 11:00:00
Пожежений резервуар (Глобине)</t>
  </si>
  <si>
    <t>Обл. НДС
Самонаріз в метал до сендвіч-панелей 5,5*6,3/200 5005 синій
Надходження товарів і послуг ІБ00-007810 від 29.12.2025 11:00:00
Пожежений резервуар (Глобине)</t>
  </si>
  <si>
    <t>Обл. НДС
Саморіз  4,8*19 для скріплення листів 250шт 5005 синій
Надходження товарів і послуг ІБ00-007810 від 29.12.2025 11:00:00
Пожежений резервуар (Глобине)</t>
  </si>
  <si>
    <t>Реалізація товарів і послуг ІБ00-000013 від 14.01.2026 10:25:44
Списаны ТМЦ</t>
  </si>
  <si>
    <t>Обл. НДС
Сендвіч-панель ТПК стінова 100 мм МВ 1000 мм відкр.замок С 0,5 PS/C 0,45 PS 1100 мм 5,98
Переміщення товарів ІБ00-001500 від 01.12.2025 18:00:34
Цех екстракції (Глобине)</t>
  </si>
  <si>
    <t>Обл. НДС
Ущільнювальна стрічка ТПК УП-1 ППЕ НХ (5х50мм 20м)
Надходження товарів і послуг ІБ00-006364 від 28.10.2025 11:00:00
Цех екстракції (Глобине)</t>
  </si>
  <si>
    <t>Реалізація товарів і послуг ІБ00-000014 від 14.01.2026 10:35:08
Списаны ТМЦ</t>
  </si>
  <si>
    <t>Обл. НДС
Труба б/ш г/к ASTM A 106 Gr B 168,28*7,00мм
Надходження товарів і послуг ІБ00-005382 від 17.09.2025 11:00:00
Цех екстракції (Глобине)</t>
  </si>
  <si>
    <t>Обл. НДС
Труба б/ш г/к ASTM A 106 Gr B 219,08*8,18мм
Надходження товарів і послуг ІБ00-005382 від 17.09.2025 11:00:00
Цех екстракції (Глобине)</t>
  </si>
  <si>
    <t>Обл. НДС
Труба б/ш г/к ASTM A 106 Gr B 355,85*10,00мм
Надходження товарів і послуг ІБ00-005382 від 17.09.2025 11:00:00
Цех екстракції (Глобине)</t>
  </si>
  <si>
    <t>Обл. НДС
Труба б/ш г/к ASTM A 106 Gr B 60,33*3,91мм
Надходження товарів і послуг ІБ00-005382 від 17.09.2025 11:00:00
Цех екстракції (Глобине)</t>
  </si>
  <si>
    <t>Надходження товарів і послуг ІБ00-000112 від 14.01.2026 11:00:00
Оприходованы ТМЦ (Зачет аванса поставщику)</t>
  </si>
  <si>
    <t>Обл. НДС
Герметик всесезоний вініловий прозорий 300мл
Надходження товарів і послуг ІБ00-000112 від 14.01.2026 11:00:00
ГРП (Глобине)</t>
  </si>
  <si>
    <t>Будгурт ТОВ
РАХУНОК_Глобино-2
Рахунок на оплату постачальника ІБ00-000043 від 12.01.2026 17:58:07</t>
  </si>
  <si>
    <t>Надходження товарів і послуг ІБ00-000189 від 14.01.2026 11:00:00
Оприходованы ТМЦ (Зачет аванса поставщику)</t>
  </si>
  <si>
    <t>Обл. НДС
Болт М20*100  DIN 6914 
Надходження товарів і послуг ІБ00-000189 від 14.01.2026 11:00:00
Цех екстракції (Глобине)</t>
  </si>
  <si>
    <t>ЄВРОБОЛТ УКРАЇНА ТОВ
Рахунки_Глобине-2
Рахунок на оплату постачальника ІБ00-000035 від 01.01.2026 11:00:51</t>
  </si>
  <si>
    <t>Обл. НДС
Шайба 20  DIN6916
Надходження товарів і послуг ІБ00-000189 від 14.01.2026 11:00:00
Цех екстракції (Глобине)</t>
  </si>
  <si>
    <t>Обл. НДС
Гайка М20  DIN 6915 високоміц
Надходження товарів і послуг ІБ00-000189 від 14.01.2026 11:00:00
Цех екстракції (Глобине)</t>
  </si>
  <si>
    <t>Обл. НДС
Болт М 8*30 DIN 933 8,8 цб пр
Надходження товарів і послуг ІБ00-000189 від 14.01.2026 11:00:00
Цех екстракції (Глобине)</t>
  </si>
  <si>
    <t>Надходження товарів і послуг ІБ00-000376 від 14.01.2026 11:00:00
Оприходованы ТМЦ</t>
  </si>
  <si>
    <t>Обл. НДС
Відсів гранітний фр.0-5 мм
Надходження товарів і послуг ІБ00-000376 від 14.01.2026 11:00:00
Транспортна галерея (Глобине)</t>
  </si>
  <si>
    <t>Венкрас Авто ПП
Договір 05/09/2024 від 05.09.2024_Глобине-2
Рахунок на оплату постачальника ІБ00-000326 від 14.01.2026 19:00:41</t>
  </si>
  <si>
    <t>Переміщення товарів ІБ00-000353 від 14.01.2026 12:00:00
Перемещение ТМЦ</t>
  </si>
  <si>
    <t>Обл. НДС
Герметик всесезоний вініловий прозорий 300мл
Переміщення товарів ІБ00-000353 від 14.01.2026 12:00:00
Транспортна галерея (Глобине)</t>
  </si>
  <si>
    <t>15.01.2026</t>
  </si>
  <si>
    <t>Переміщення товарів ІБ00-000172 від 15.01.2026 00:00:00
Перемещение ТМЦ</t>
  </si>
  <si>
    <t>Обл. НДС
Арматура №12  А400С/500С,12м
Переміщення товарів ІБ00-000172 від 15.01.2026 00:00:00
Транспортна галерея (Глобине)</t>
  </si>
  <si>
    <t>Обл. НДС
Арматура №12  А400С/500С,12м
Переміщення товарів ІБ00-001432 від 28.11.2025 11:20:00
Очисні споруди (Глобине)</t>
  </si>
  <si>
    <t>Обл. НДС
Арматура №14  А400С/500С,12м
Переміщення товарів ІБ00-000172 від 15.01.2026 00:00:00
Транспортна галерея (Глобине)</t>
  </si>
  <si>
    <t>Обл. НДС
Арматура №14  А400С/500С,12м
Переміщення товарів ІБ00-001432 від 28.11.2025 11:20:00
Очисні споруди (Глобине)</t>
  </si>
  <si>
    <t>Надходження товарів і послуг ІБ00-000176 від 15.01.2026 11:00:00
Оприходованы ТМЦ</t>
  </si>
  <si>
    <t>Обл. НДС
Бетон С20/25 W6 F75 P4 доб-15
Надходження товарів і послуг ІБ00-000176 від 15.01.2026 11:00:00
Глобине-2</t>
  </si>
  <si>
    <t>Кременчуцький річковий порт ПРАТ
Договір 112/Б від 15.10.2024_Глобине-2
Надходження товарів і послуг ІБ00-000176 від 15.01.2026 11:00:00</t>
  </si>
  <si>
    <t>Надходження дод. витрат ІБ00-000034 від 15.01.2026 11:10:00
Доп. расходы при поступлении товаров</t>
  </si>
  <si>
    <t>Кременчуцький річковий порт ПРАТ
Договір 112/Б від 15.10.2024_Глобине-2
Надходження дод. витрат ІБ00-000034 від 15.01.2026 11:10:00</t>
  </si>
  <si>
    <t>Переміщення товарів ІБ00-000083 від 15.01.2026 11:20:00
Перемещение ТМЦ</t>
  </si>
  <si>
    <t>Обл. НДС
Бетон С20/25 W6 F75 P4 доб-15
Переміщення товарів ІБ00-000083 від 15.01.2026 11:20:00
Цех екстракції (Глобине)</t>
  </si>
  <si>
    <t>Переміщення товарів ІБ00-000084 від 15.01.2026 11:20:00
Перемещение ТМЦ</t>
  </si>
  <si>
    <t>Обл. НДС
Бетон С20/25 W6 F75 P4 доб-15
Переміщення товарів ІБ00-000084 від 15.01.2026 11:20:00
Транспортна галерея (Глобине)</t>
  </si>
  <si>
    <t>Переміщення товарів ІБ00-000085 від 15.01.2026 11:20:00
Перемещение ТМЦ</t>
  </si>
  <si>
    <t>Обл. НДС
Бетон С20/25 W6 F75 P4 доб-15
Переміщення товарів ІБ00-000085 від 15.01.2026 11:20:00
Транспортна галерея Естакада 3.5 (Глобине)</t>
  </si>
  <si>
    <t>Надходження товарів і послуг ІБ00-000109 від 15.01.2026 15:19:46
Оприходованы ТМЦ (Зачет аванса поставщику)</t>
  </si>
  <si>
    <t>Обл. НДС
Фланець надвижний приварний 18" SO, PN16, RF, 304L SS, TYPE 01B, BS EN1092-1
Надходження товарів і послуг ІБ00-000109 від 15.01.2026 15:19:46
Цех екстракції (Глобине)</t>
  </si>
  <si>
    <t>СПЕШАЛ ЕЛЛОЙЗ ТРЕЙДІНГ УКРАЇНА ТОВ
Дог.7/07  07.07.2025_Глобино-2
Рахунок на оплату постачальника ІБ00-005137 від 01.10.2025 23:00:13</t>
  </si>
  <si>
    <t>Обл. НДС
Фланець надвижний приварний 1/2" SO, PN16, RF, 304L SS, TYPE 12B, BS EN1092-1
Надходження товарів і послуг ІБ00-000109 від 15.01.2026 15:19:46
Цех екстракції (Глобине)</t>
  </si>
  <si>
    <t>Обл. НДС
Фланець надвижний приварний 3/4" SO, PN16, RF, 304L SS, TYPE 12B, BS EN1092-1
Надходження товарів і послуг ІБ00-000109 від 15.01.2026 15:19:46
Цех екстракції (Глобине)</t>
  </si>
  <si>
    <t>Обл. НДС
Фланець надвижний приварний 1" SO, PN16, RF, 304L SS, TYPE 12B, BS EN1092-1
Надходження товарів і послуг ІБ00-000109 від 15.01.2026 15:19:46
Цех екстракції (Глобине)</t>
  </si>
  <si>
    <t>Надходження товарів і послуг ІБ00-000109 від 15.01.2026 15:19:46
Оприходованы ТМЦ</t>
  </si>
  <si>
    <t>Обл. НДС
Фланець надвижний приварний 1 1/2"" SO, PN16, RF, 304L SS, TYPE 12B, BS EN1092-1
Надходження товарів і послуг ІБ00-000109 від 15.01.2026 15:19:46
Цех екстракції (Глобине)</t>
  </si>
  <si>
    <t>Обл. НДС
Фланець надвижний приварний 2 1/2"" SO, PN16, RF, 304L SS, TYPE 12B, BS EN1092-1
Надходження товарів і послуг ІБ00-000109 від 15.01.2026 15:19:46
Цех екстракції (Глобине)</t>
  </si>
  <si>
    <t>Обл. НДС
Фланець надвижний приварний 3" SO, PN16, RF, 304L SS, TYPE 12B, BS EN1092-1
Надходження товарів і послуг ІБ00-000109 від 15.01.2026 15:19:46
Цех екстракції (Глобине)</t>
  </si>
  <si>
    <t>Обл. НДС
Фланець надвижний приварний 4" SO, PN16, RF, 304L SS, TYPE 12B, BS EN1092-1
Надходження товарів і послуг ІБ00-000109 від 15.01.2026 15:19:46
Цех екстракції (Глобине)</t>
  </si>
  <si>
    <t>Обл. НДС
Фланець надвижний приварний 6" SO, PN16, RF, 304L SS, TYPE 12B, BS EN1092-1
Надходження товарів і послуг ІБ00-000109 від 15.01.2026 15:19:46
Цех екстракції (Глобине)</t>
  </si>
  <si>
    <t>Обл. НДС
Фланець надвижний приварний 8" SO, PN16, RF, 304L SS, TYPE 12B, BS EN1092-1
Надходження товарів і послуг ІБ00-000109 від 15.01.2026 15:19:46
Цех екстракції (Глобине)</t>
  </si>
  <si>
    <t>Обл. НДС
Фланець надвижний приварний 10" SO, PN16, RF, 304L SS, TYPE 12B, BS EN1092-1
Надходження товарів і послуг ІБ00-000109 від 15.01.2026 15:19:46
Цех екстракції (Глобине)</t>
  </si>
  <si>
    <t>Обл. НДС
Фланець надвижний приварний 12" SO, PN16, RF, 304L SS, TYPE 12B, BS EN1092-1
Надходження товарів і послуг ІБ00-000109 від 15.01.2026 15:19:46
Цех екстракції (Глобине)</t>
  </si>
  <si>
    <t>Обл. НДС
Фланець надвижний приварний 14" SO, PN16, RF, 304L SS, TYPE 12B, BS EN1092-1
Надходження товарів і послуг ІБ00-000109 від 15.01.2026 15:19:46
Цех екстракції (Глобине)</t>
  </si>
  <si>
    <t>Обл. НДС
Фланець надвижний приварний 16" SO, PN16, RF, 304L SS, TYPE 12B, BS EN1092-1
Надходження товарів і послуг ІБ00-000109 від 15.01.2026 15:19:46
Цех екстракції (Глобине)</t>
  </si>
  <si>
    <t>Обл. НДС
Фланець надвижний приварний 1/2" SO, PN40, RF, 304L SS, TYPE 12B, BS EN1092-1
Надходження товарів і послуг ІБ00-000109 від 15.01.2026 15:19:46
Цех екстракції (Глобине)</t>
  </si>
  <si>
    <t>Обл. НДС
Фланець надвижний приварний 1" SO, PN40, RF, 304L SS, TYPE 12B, BS EN1092-1
Надходження товарів і послуг ІБ00-000109 від 15.01.2026 15:19:46
Цех екстракції (Глобине)</t>
  </si>
  <si>
    <t>Обл. НДС
Фланець надвижний приварний 1 1/2" SO, PN40, RF, 304L SS, TYPE 12B, BS EN1092-1
Надходження товарів і послуг ІБ00-000109 від 15.01.2026 15:19:46
Цех екстракції (Глобине)</t>
  </si>
  <si>
    <t>Обл. НДС
Фланець надвижний приварний 2" SO, PN40, RF, 304L SS, TYPE 12B, BS EN1092-1
Надходження товарів і послуг ІБ00-000109 від 15.01.2026 15:19:46
Цех екстракції (Глобине)</t>
  </si>
  <si>
    <t>Обл. НДС
Фланець надвижний приварний 3" SO, PN40, RF, 304L SS, TYPE 12B, BS EN1092-1
Надходження товарів і послуг ІБ00-000109 від 15.01.2026 15:19:46
Цех екстракції (Глобине)</t>
  </si>
  <si>
    <t>Обл. НДС
Фланець надвижний приварний 20" SO, PN16, RF, 304L SS, TYPE 01B, BS EN1092-1
Надходження товарів і послуг ІБ00-000109 від 15.01.2026 15:19:46
Цех екстракції (Глобине)</t>
  </si>
  <si>
    <t>Надходження товарів і послуг ІБ00-000110 від 15.01.2026 15:38:30
Оприходованы ТМЦ (Зачет аванса поставщику)</t>
  </si>
  <si>
    <t>Обл. НДС
Фланець надвижний приварний 10" SO, PN10, RF, 304L SS, TYPE 12B, BS EN1092-1
Надходження товарів і послуг ІБ00-000110 від 15.01.2026 15:38:30
Цех екстракції (Глобине)</t>
  </si>
  <si>
    <t>СПЕШАЛ ЕЛЛОЙЗ ТРЕЙДІНГ УКРАЇНА ТОВ
Дог.7/07  07.07.2025_Глобино-2
Рахунок на оплату постачальника ІБ00-003844 від 19.08.2025 21:48:52</t>
  </si>
  <si>
    <t>Обл. НДС
Фланець надвижний приварний 18" SO, PN16, RF, 304L SS, TYPE 01B, BS EN1092-1
Надходження товарів і послуг ІБ00-000110 від 15.01.2026 15:38:30
Цех екстракції (Глобине)</t>
  </si>
  <si>
    <t>Обл. НДС
Фланець надвижний приварний 1/2" SO, PN16, RF, 304L SS, TYPE 12B, BS EN1092-1
Надходження товарів і послуг ІБ00-000110 від 15.01.2026 15:38:30
Цех екстракції (Глобине)</t>
  </si>
  <si>
    <t>Обл. НДС
Фланець надвижний приварний 3/4" SO, PN16, RF, 304L SS, TYPE 12B, BS EN1092-1
Надходження товарів і послуг ІБ00-000110 від 15.01.2026 15:38:30
Цех екстракції (Глобине)</t>
  </si>
  <si>
    <t>Обл. НДС
Фланець надвижний приварний 1" SO, PN16, RF, 304L SS, TYPE 12B, BS EN1092-1
Надходження товарів і послуг ІБ00-000110 від 15.01.2026 15:38:30
Цех екстракції (Глобине)</t>
  </si>
  <si>
    <t>Обл. НДС
Фланець надвижний приварний 1 1/4"" SO, PN16, RF, 304L SS, TYPE 12B, BS EN1092-1
Надходження товарів і послуг ІБ00-000110 від 15.01.2026 15:38:30
Цех екстракції (Глобине)</t>
  </si>
  <si>
    <t>Обл. НДС
Фланець надвижний приварний 1 1/2"" SO, PN16, RF, 304L SS, TYPE 12B, BS EN1092-1
Надходження товарів і послуг ІБ00-000110 від 15.01.2026 15:38:30
Цех екстракції (Глобине)</t>
  </si>
  <si>
    <t>Обл. НДС
Фланець надвижний приварний 2 1/2"" SO, PN16, RF, 304L SS, TYPE 12B, BS EN1092-1
Надходження товарів і послуг ІБ00-000110 від 15.01.2026 15:38:30
Цех екстракції (Глобине)</t>
  </si>
  <si>
    <t>Обл. НДС
Фланець надвижний приварний 3" SO, PN16, RF, 304L SS, TYPE 12B, BS EN1092-1
Надходження товарів і послуг ІБ00-000110 від 15.01.2026 15:38:30
Цех екстракції (Глобине)</t>
  </si>
  <si>
    <t>Обл. НДС
Фланець надвижний приварний 4" SO, PN16, RF, 304L SS, TYPE 12B, BS EN1092-1
Надходження товарів і послуг ІБ00-000110 від 15.01.2026 15:38:30
Цех екстракції (Глобине)</t>
  </si>
  <si>
    <t>Обл. НДС
Фланець надвижний приварний 6" SO, PN16, RF, 304L SS, TYPE 12B, BS EN1092-1
Надходження товарів і послуг ІБ00-000110 від 15.01.2026 15:38:30
Цех екстракції (Глобине)</t>
  </si>
  <si>
    <t>Обл. НДС
Фланець надвижний приварний 8" SO, PN16, RF, 304L SS, TYPE 12B, BS EN1092-1
Надходження товарів і послуг ІБ00-000110 від 15.01.2026 15:38:30
Цех екстракції (Глобине)</t>
  </si>
  <si>
    <t>Надходження товарів і послуг ІБ00-000110 від 15.01.2026 15:38:30
Оприходованы ТМЦ</t>
  </si>
  <si>
    <t>Обл. НДС
Фланець надвижний приварний 10" SO, PN16, RF, 304L SS, TYPE 12B, BS EN1092-1
Надходження товарів і послуг ІБ00-000110 від 15.01.2026 15:38:30
Цех екстракції (Глобине)</t>
  </si>
  <si>
    <t>Обл. НДС
Фланець надвижний приварний 12" SO, PN16, RF, 304L SS, TYPE 12B, BS EN1092-1
Надходження товарів і послуг ІБ00-000110 від 15.01.2026 15:38:30
Цех екстракції (Глобине)</t>
  </si>
  <si>
    <t>Обл. НДС
Фланець надвижний приварний 14" SO, PN16, RF, 304L SS, TYPE 12B, BS EN1092-1
Надходження товарів і послуг ІБ00-000110 від 15.01.2026 15:38:30
Цех екстракції (Глобине)</t>
  </si>
  <si>
    <t>Обл. НДС
Фланець надвижний приварний 16" SO, PN16, RF, 304L SS, TYPE 12B, BS EN1092-1
Надходження товарів і послуг ІБ00-000110 від 15.01.2026 15:38:30
Цех екстракції (Глобине)</t>
  </si>
  <si>
    <t>Обл. НДС
Фланець надвижний приварний 1/2" SO, PN40, RF, 304L SS, TYPE 12B, BS EN1092-1
Надходження товарів і послуг ІБ00-000110 від 15.01.2026 15:38:30
Цех екстракції (Глобине)</t>
  </si>
  <si>
    <t>Обл. НДС
Фланець надвижний приварний 1" SO, PN40, RF, 304L SS, TYPE 12B, BS EN1092-1
Надходження товарів і послуг ІБ00-000110 від 15.01.2026 15:38:30
Цех екстракції (Глобине)</t>
  </si>
  <si>
    <t>Обл. НДС
Фланець надвижний приварний 1 1/4" SO, PN40, RF, 304L SS, TYPE 12B, BS EN1092-1
Надходження товарів і послуг ІБ00-000110 від 15.01.2026 15:38:30
Цех екстракції (Глобине)</t>
  </si>
  <si>
    <t>Обл. НДС
Фланець надвижний приварний 1 1/2" SO, PN40, RF, 304L SS, TYPE 12B, BS EN1092-1
Надходження товарів і послуг ІБ00-000110 від 15.01.2026 15:38:30
Цех екстракції (Глобине)</t>
  </si>
  <si>
    <t>Обл. НДС
Фланець надвижний приварний 2" SO, PN40, RF, 304L SS, TYPE 12B, BS EN1092-1
Надходження товарів і послуг ІБ00-000110 від 15.01.2026 15:38:30
Цех екстракції (Глобине)</t>
  </si>
  <si>
    <t>Обл. НДС
Фланець надвижний приварний 3" SO, PN40, RF, 304L SS, TYPE 12B, BS EN1092-1
Надходження товарів і послуг ІБ00-000110 від 15.01.2026 15:38:30
Цех екстракції (Глобине)</t>
  </si>
  <si>
    <t>Обл. НДС
Фланець надвижний приварний 6" SO, PN40, RF, 304L SS, TYPE 12B, BS EN1092-1
Надходження товарів і послуг ІБ00-000110 від 15.01.2026 15:38:30
Цех екстракції (Глобине)</t>
  </si>
  <si>
    <t>Обл. НДС
Фланець надвижний приварний 8" SO, PN40, RF, 304L SS, TYPE 12B, BS EN1092-1
Надходження товарів і послуг ІБ00-000110 від 15.01.2026 15:38:30
Цех екстракції (Глобине)</t>
  </si>
  <si>
    <t>Обл. НДС
Фланець надвижний приварний 24" SO, PN6, RF, 316L SS, TYPE 01B, BS EN1092-1
Надходження товарів і послуг ІБ00-000110 від 15.01.2026 15:38:30
Цех екстракції (Глобине)</t>
  </si>
  <si>
    <t>Обл. НДС
Фланець надвижний приварний 6" SO, PN6, RF, 304L SS, TYPE 12B, BS EN1092-1
Надходження товарів і послуг ІБ00-000110 від 15.01.2026 15:38:30
Цех екстракції (Глобине)</t>
  </si>
  <si>
    <t>Обл. НДС
Фланець надвижний приварний 10" SO, PN6, RF, 304L SS, TYPE 12B, BS EN1092-1
Надходження товарів і послуг ІБ00-000110 від 15.01.2026 15:38:30
Цех екстракції (Глобине)</t>
  </si>
  <si>
    <t>Обл. НДС
Фланець надвижний приварний 12" SO, PN6, RF, 304L SS, TYPE 12B, BS EN1092-1
Надходження товарів і послуг ІБ00-000110 від 15.01.2026 15:38:30
Цех екстракції (Глобине)</t>
  </si>
  <si>
    <t>Переміщення товарів ІБ00-000171 від 15.01.2026 18:48:51
Перемещение ТМЦ</t>
  </si>
  <si>
    <t>Обл. НДС
Круг 10 (6,05- 3760 3пс/А240с)
Переміщення товарів ІБ00-000171 від 15.01.2026 18:48:51
Транспортна галерея (Глобине)</t>
  </si>
  <si>
    <t>Обл. НДС
Круг 10 (6,05- 3760 3пс/А240с)
Надходження товарів і послуг ІБ00-001657 від 01.04.2025 11:00:00
Транспортна галерея (Глобине)</t>
  </si>
  <si>
    <t>Переміщення товарів ІБ00-000183 від 15.01.2026 18:48:52
Перемещение ТМЦ</t>
  </si>
  <si>
    <t>Обл. НДС
Грунт-емаль ПФ-012 Р RAL7024
Переміщення товарів ІБ00-000183 від 15.01.2026 18:48:52
Пункт фасування та зберігання в бігбегах (Глобине)</t>
  </si>
  <si>
    <t>Обл. НДС
Грунт-емаль ПФ-012 Р RAL7024
Надходження товарів і послуг ІБ00-008130 від 01.12.2025 11:00:00
СПК (Глобине)</t>
  </si>
  <si>
    <t>Обл. НДС
Розчинник "White Spirit" (л)
Переміщення товарів ІБ00-000183 від 15.01.2026 18:48:52
Пункт фасування та зберігання в бігбегах (Глобине)</t>
  </si>
  <si>
    <t>Обл. НДС
Розчинник "White Spirit" (л)
Надходження товарів і послуг ІБ00-007688 від 10.12.2025 11:00:00
СПК (Глобине)</t>
  </si>
  <si>
    <t>Реалізація товарів і послуг ІБ00-000015 від 16.01.2026 08:28:18
Списаны ТМЦ</t>
  </si>
  <si>
    <t>Реалізація товарів і послуг ІБ00-000016 від 16.01.2026 08:39:32
Списаны ТМЦ</t>
  </si>
  <si>
    <t>Вимога-накладна ІБ00-000062 від 16.01.2026 18:01:04
Списаны ТМЦ</t>
  </si>
  <si>
    <t>Обл. НДС
Виробничий (Глобине-2)
Глобине-2
Прямі материальні виробничі витрати крім зворотніх відходів</t>
  </si>
  <si>
    <t>Обл. НДС
Бетон С20/25 W6 F75 P4
Надходження товарів і послуг ІБ00-007903 від 16.12.2025 11:00:00
Транспортна галерея (Глобине)</t>
  </si>
  <si>
    <t>19.01.2026</t>
  </si>
  <si>
    <t>Надходження товарів і послуг ІБ00-000136 від 19.01.2026 17:25:40
Оприходованы ТМЦ</t>
  </si>
  <si>
    <t>Обл. НДС
Фланець плоский приварний DN 450/457, type 01, PN16, вуглецева сталь P250GH / 1.0460 EN 1092-1
Надходження товарів і послуг ІБ00-000136 від 19.01.2026 17:25:40
Цех екстракції (Глобине)</t>
  </si>
  <si>
    <t>СПЕШАЛ ЕЛЛОЙЗ ТРЕЙДІНГ УКРАЇНА ТОВ
Дог.7/07  07.07.2025_Глобино-2
Рахунок на оплату постачальника ІБ00-005136 від 01.10.2025 23:00:12</t>
  </si>
  <si>
    <t>Обл. НДС
Фланець плоский приварний DN 500/508, type 01, PN16, вуглецева сталь P250GH / 1.0460 EN 1092-1
Надходження товарів і послуг ІБ00-000136 від 19.01.2026 17:25:40
Цех екстракції (Глобине)</t>
  </si>
  <si>
    <t>Обл. НДС
Фланець плоский приварний DN 600/610, type 01, PN16, вуглецева сталь P250GH / 1.0460 EN 1092-1
Надходження товарів і послуг ІБ00-000136 від 19.01.2026 17:25:40
Цех екстракції (Глобине)</t>
  </si>
  <si>
    <t>Обл. НДС
Фланець надвижний приварний DN 200/219,1, SO, PN16, вуглецева сталь P250GH / 1.0460 EN 10222-2, APZ 
Надходження товарів і послуг ІБ00-000136 від 19.01.2026 17:25:40
Цех екстракції (Глобине)</t>
  </si>
  <si>
    <t>Обл. НДС
Фланець надвижний приварний DN 50/60,3, SO, PN40, вуглецева сталь P250GH / 1.0460 EN 10222-2, APZ DI
Надходження товарів і послуг ІБ00-000136 від 19.01.2026 17:25:40
Цех екстракції (Глобине)</t>
  </si>
  <si>
    <t>Обл. НДС
Фланець надвижний приварний DN 100/114,3, SO, PN40, вуглецева сталь P250GH / 1.0460 EN 10222-2, APZ 
Надходження товарів і послуг ІБ00-000136 від 19.01.2026 17:25:40
Цех екстракції (Глобине)</t>
  </si>
  <si>
    <t>Обл. НДС
Фланець надвижний приварний DN 150/168,3, SO, PN40, вуглецева сталь P250GH / 1.0460 EN 10222-2, APZ 
Надходження товарів і послуг ІБ00-000136 від 19.01.2026 17:25:40
Цех екстракції (Глобине)</t>
  </si>
  <si>
    <t>Обл. НДС
Фланець надвижний приварний DN 200/219,1, SO, PN40, вуглецева сталь P250GH / 1.0460 EN 10222-2, APZ 
Надходження товарів і послуг ІБ00-000136 від 19.01.2026 17:25:40
Цех екстракції (Глобине)</t>
  </si>
  <si>
    <t>Обл. НДС
Фланець надвижний приварний DN 250/273, SO, PN40, вуглецева сталь P250GH / 1.0460 EN 10222-2, APZ DI
Надходження товарів і послуг ІБ00-000136 від 19.01.2026 17:25:40
Цех екстракції (Глобине)</t>
  </si>
  <si>
    <t>Обл. НДС
Трійник безшовний 20'' STD вуглецева сталь ASTM A 234 WPB
Надходження товарів і послуг ІБ00-000136 від 19.01.2026 17:25:40
Цех екстракції (Глобине)</t>
  </si>
  <si>
    <t>Обл. НДС
Трійник безшовний редукційний 20"х 14" STD вуглецева сталь ASTM A 234 WPB
Надходження товарів і послуг ІБ00-000136 від 19.01.2026 17:25:40
Цех екстракції (Глобине)</t>
  </si>
  <si>
    <t>20.01.2026</t>
  </si>
  <si>
    <t>Надходження товарів і послуг ІБ00-000226 від 20.01.2026 11:00:00
Оприходованы ТМЦ (Зачет аванса поставщику)</t>
  </si>
  <si>
    <t>Обл. НДС
Кутник 100х100х7 мм (пог.м)
Надходження товарів і послуг ІБ00-000226 від 20.01.2026 11:00:00
Глобине-2</t>
  </si>
  <si>
    <t>АВ МЕТАЛ ГРУП ТОВ
Дог 2420/Р от 05.10.2023від 05.10.2023_Глобино-2
Рахунок на оплату постачальника ІБ00-000032 від 01.01.2026 11:00:48</t>
  </si>
  <si>
    <t>Надходження товарів і послуг ІБ00-000227 від 20.01.2026 11:00:00
Оприходованы ТМЦ (Зачет аванса поставщику)</t>
  </si>
  <si>
    <t>Обл. НДС
Кутник 100х100х7 мм (пог.м)
Надходження товарів і послуг ІБ00-000227 від 20.01.2026 11:00:00
Очисні споруди (Глобине)</t>
  </si>
  <si>
    <t>АВ МЕТАЛ ГРУП ТОВ
Дог 2420/Р от 05.10.2023від 05.10.2023_Глобино-2
Рахунок на оплату постачальника ІБ00-000033 від 01.01.2026 11:00:49</t>
  </si>
  <si>
    <t>Переміщення товарів ІБ00-000110 від 20.01.2026 11:10:00
Перемещение ТМЦ</t>
  </si>
  <si>
    <t>Обл. НДС
Кутник 100х100х7 мм (пог.м)
Переміщення товарів ІБ00-000110 від 20.01.2026 11:10:00
Цех екстракції (Глобине)</t>
  </si>
  <si>
    <t>Переміщення товарів ІБ00-000111 від 20.01.2026 11:10:00
Перемещение ТМЦ</t>
  </si>
  <si>
    <t>Обл. НДС
Кутник 100х100х7 мм (пог.м)
Переміщення товарів ІБ00-000111 від 20.01.2026 11:10:00
АПК (Глобине)</t>
  </si>
  <si>
    <t>Переміщення товарів ІБ00-000112 від 20.01.2026 11:10:00
Перемещение ТМЦ</t>
  </si>
  <si>
    <t>Обл. НДС
Кутник 100х100х7 мм (пог.м)
Переміщення товарів ІБ00-000112 від 20.01.2026 11:10:00
Очисні споруди (Глобине)</t>
  </si>
  <si>
    <t>21.01.2026</t>
  </si>
  <si>
    <t>Авансовий звіт ІБ00-000024 від 21.01.2026 00:00:00
Оприходованы ТМЦ</t>
  </si>
  <si>
    <t>Обл. НДС
Протиморозна суміш для бетону 
Авансовий звіт ІБ00-000024 від 21.01.2026 00:00:00
Глобине-2</t>
  </si>
  <si>
    <t>Старіков Сергій Вікторович</t>
  </si>
  <si>
    <t>3721</t>
  </si>
  <si>
    <t>Обл. НДС
Бур по бетону 
Авансовий звіт ІБ00-000024 від 21.01.2026 00:00:00
Глобине-2</t>
  </si>
  <si>
    <t>Обл. НДС
Кран кульовий 25
Авансовий звіт ІБ00-000024 від 21.01.2026 00:00:00
Глобине-2</t>
  </si>
  <si>
    <t>Реалізація товарів і послуг ІБ00-000018 від 21.01.2026 08:46:22
Списаны ТМЦ</t>
  </si>
  <si>
    <t>Надходження товарів і послуг ІБ00-000222 від 21.01.2026 11:00:00
Оприходованы ТМЦ (Зачет аванса поставщику)</t>
  </si>
  <si>
    <t>Обл. НДС
Кільце опорне КО-6
Надходження товарів і послуг ІБ00-000222 від 21.01.2026 11:00:00
ЗВК_Глобіне</t>
  </si>
  <si>
    <t>ТЕПЛОАРМАТУРА ТОВ
Рахунки_Глобино-2
Рахунок на оплату постачальника ІБ00-006018 від 24.11.2025 17:17:01</t>
  </si>
  <si>
    <t>Обл. НДС
Кільце  КС 10-6
Надходження товарів і послуг ІБ00-000222 від 21.01.2026 11:00:00
ЗВК_Глобіне</t>
  </si>
  <si>
    <t>Обл. НДС
Кільце  КС 10-9
Надходження товарів і послуг ІБ00-000222 від 21.01.2026 11:00:00
ЗВК_Глобіне</t>
  </si>
  <si>
    <t>Обл. НДС
Кільце  КС 15-6
Надходження товарів і послуг ІБ00-000222 від 21.01.2026 11:00:00
ЗВК_Глобіне</t>
  </si>
  <si>
    <t>Обл. НДС
Кільце  КС 7-3
Надходження товарів і послуг ІБ00-000222 від 21.01.2026 11:00:00
ЗВК_Глобіне</t>
  </si>
  <si>
    <t>Обл. НДС
Днище ПН-10
Надходження товарів і послуг ІБ00-000222 від 21.01.2026 11:00:00
ЗВК_Глобіне</t>
  </si>
  <si>
    <t>Надходження товарів і послуг ІБ00-000222 від 21.01.2026 11:00:00
Оприходованы ТМЦ</t>
  </si>
  <si>
    <t>Обл. НДС
Кришка ПП 1-15-1
Надходження товарів і послуг ІБ00-000222 від 21.01.2026 11:00:00
ЗВК_Глобіне</t>
  </si>
  <si>
    <t>Надходження товарів і послуг ІБ00-000224 від 21.01.2026 11:00:00
Оприходованы ТМЦ</t>
  </si>
  <si>
    <t>Обл. НДС
Саморіз  г/к метал 3,5*25
Надходження товарів і послуг ІБ00-000224 від 21.01.2026 11:00:00
АПК (Глобине)</t>
  </si>
  <si>
    <t>ЄВРОБОЛТ УКРАЇНА ТОВ
Рахунки_Глобине-2
Рахунок на оплату постачальника ІБ00-000232 від 13.01.2026 18:11:49</t>
  </si>
  <si>
    <t>Обл. НДС
Саморіз  г/к метал 3,5*35
Надходження товарів і послуг ІБ00-000224 від 21.01.2026 11:00:00
АПК (Глобине)</t>
  </si>
  <si>
    <t>Обл. НДС
Саморіз  г/к метал 4,8*90
Надходження товарів і послуг ІБ00-000224 від 21.01.2026 11:00:00
АПК (Глобине)</t>
  </si>
  <si>
    <t>Обл. НДС
Саморіз 3,5*9,5 DIN7504 свердло (блоха)
Надходження товарів і послуг ІБ00-000224 від 21.01.2026 11:00:00
АПК (Глобине)</t>
  </si>
  <si>
    <t>Надходження товарів і послуг ІБ00-000225 від 21.01.2026 11:00:00
Оприходованы ТМЦ</t>
  </si>
  <si>
    <t>Обл. НДС
Саморіз  4,2*75
Надходження товарів і послуг ІБ00-000225 від 21.01.2026 11:00:00
АПК (Глобине)</t>
  </si>
  <si>
    <t>ЄВРОБОЛТ УКРАЇНА ТОВ
Рахунки_Глобине-2
Рахунок на оплату постачальника ІБ00-000235 від 13.01.2026 18:11:50</t>
  </si>
  <si>
    <t>Надходження товарів і послуг ІБ00-000232 від 21.01.2026 11:00:00
Оприходованы ТМЦ</t>
  </si>
  <si>
    <t>Обл. НДС
Гайка М14  DIN 934 шестигранна цб
Надходження товарів і послуг ІБ00-000232 від 21.01.2026 11:00:00
Пункт фасування та зберігання в бігбегах (Глобине)</t>
  </si>
  <si>
    <t>ЄВРОБОЛТ УКРАЇНА ТОВ
Рахунки_Глобине-2
Рахунок на оплату постачальника ІБ00-000248 від 13.01.2026 18:11:52</t>
  </si>
  <si>
    <t>Обл. НДС
Шайба плоська DIN 125 М36 140 HV ЦБ
Надходження товарів і послуг ІБ00-000232 від 21.01.2026 11:00:00
Пункт фасування та зберігання в бігбегах (Глобине)</t>
  </si>
  <si>
    <t>Обл. НДС
Гайка М36 DIN 934  
Надходження товарів і послуг ІБ00-000232 від 21.01.2026 11:00:00
Пункт фасування та зберігання в бігбегах (Глобине)</t>
  </si>
  <si>
    <t>Надходження товарів і послуг ІБ00-000234 від 21.01.2026 11:00:00
Оприходованы ТМЦ</t>
  </si>
  <si>
    <t>Обл. НДС
Шпилька  М14х1000  975    
Надходження товарів і послуг ІБ00-000234 від 21.01.2026 11:00:00
Цех екстракції (Глобине)</t>
  </si>
  <si>
    <t>ЄВРОБОЛТ УКРАЇНА ТОВ
Рахунки_Глобине-2
Рахунок на оплату постачальника ІБ00-000249 від 13.01.2026 18:11:53</t>
  </si>
  <si>
    <t>Обл. НДС
Шпилька  М16х1000 DIN 975 8.8цб
Надходження товарів і послуг ІБ00-000234 від 21.01.2026 11:00:00
Цех екстракції (Глобине)</t>
  </si>
  <si>
    <t>Обл. НДС
Шпилька  М20х1000
Надходження товарів і послуг ІБ00-000234 від 21.01.2026 11:00:00
Цех екстракції (Глобине)</t>
  </si>
  <si>
    <t>Обл. НДС
Шпилька  М24х1000 DIN 975
Надходження товарів і послуг ІБ00-000234 від 21.01.2026 11:00:00
Цех екстракції (Глобине)</t>
  </si>
  <si>
    <t>Обл. НДС
Гайка DIN934 M14 8 цинк
Надходження товарів і послуг ІБ00-000234 від 21.01.2026 11:00:00
Цех екстракції (Глобине)</t>
  </si>
  <si>
    <t>Обл. НДС
Гайка DIN934 M16 8 цинк
Надходження товарів і послуг ІБ00-000234 від 21.01.2026 11:00:00
Цех екстракції (Глобине)</t>
  </si>
  <si>
    <t>Обл. НДС
Гайка DIN934 M20 8 цинк
Надходження товарів і послуг ІБ00-000234 від 21.01.2026 11:00:00
Цех екстракції (Глобине)</t>
  </si>
  <si>
    <t>Обл. НДС
Гайка DIN934 M24 8 цинк
Надходження товарів і послуг ІБ00-000234 від 21.01.2026 11:00:00
Цех екстракції (Глобине)</t>
  </si>
  <si>
    <t>Обл. НДС
Шайба М14*44 200HV збільш DIN9021
Надходження товарів і послуг ІБ00-000234 від 21.01.2026 11:00:00
Цех екстракції (Глобине)</t>
  </si>
  <si>
    <t>Обл. НДС
Шайба М16*50 200HV збільш DIN9021
Надходження товарів і послуг ІБ00-000234 від 21.01.2026 11:00:00
Цех екстракції (Глобине)</t>
  </si>
  <si>
    <t>Обл. НДС
Шайба М20*60 200HV збільш DIN9021
Надходження товарів і послуг ІБ00-000234 від 21.01.2026 11:00:00
Цех екстракції (Глобине)</t>
  </si>
  <si>
    <t>Обл. НДС
Шайба М24*72 200HV збільш DIN9021
Надходження товарів і послуг ІБ00-000234 від 21.01.2026 11:00:00
Цех екстракції (Глобине)</t>
  </si>
  <si>
    <t>Обл. НДС
Анкер хімічний 410 мл 
Надходження товарів і послуг ІБ00-000234 від 21.01.2026 11:00:00
Цех екстракції (Глобине)</t>
  </si>
  <si>
    <t>Обл. НДС
Змішувач  д/хіманкера
Надходження товарів і послуг ІБ00-000234 від 21.01.2026 11:00:00
Цех екстракції (Глобине)</t>
  </si>
  <si>
    <t>Надходження товарів і послуг ІБ00-000457 від 21.01.2026 11:00:00
Оприходованы ТМЦ (Зачет аванса поставщику)</t>
  </si>
  <si>
    <t>Обл. НДС
Блок фундаментних болтів БФБ-1
Надходження товарів і послуг ІБ00-000457 від 21.01.2026 11:00:00
Транспортна галерея (Глобине)</t>
  </si>
  <si>
    <t>МАЛИН МЕТАЛ ТОВ
0512-П от 05.12.2024від 05.12.2024_Глобине 2
Рахунок на оплату постачальника ІБ00-006132 від 01.12.2025 23:00:31</t>
  </si>
  <si>
    <t>Переміщення товарів ІБ00-000354 від 21.01.2026 12:00:00
Перемещение ТМЦ</t>
  </si>
  <si>
    <t>Обл. НДС
Анкер хімічний 410 мл 
Переміщення товарів ІБ00-000354 від 21.01.2026 12:00:00
Транспортна галерея (Глобине)</t>
  </si>
  <si>
    <t>Переміщення товарів ІБ00-000355 від 21.01.2026 12:00:00
Перемещение ТМЦ</t>
  </si>
  <si>
    <t>Обл. НДС
Анкер хімічний 410 мл 
Переміщення товарів ІБ00-000355 від 21.01.2026 12:00:00
ГРП (Глобине)</t>
  </si>
  <si>
    <t>Вимога-накладна ІБ00-000113 від 21.01.2026 13:00:00
Списаны ТМЦ</t>
  </si>
  <si>
    <t>Вимога-накладна ІБ00-000114 від 21.01.2026 13:00:00
Списаны ТМЦ</t>
  </si>
  <si>
    <t>Вимога-накладна ІБ00-000129 від 21.01.2026 13:00:00
Списаны ТМЦ</t>
  </si>
  <si>
    <t>Вимога-накладна ІБ00-000133 від 21.01.2026 13:00:00
Списаны ТМЦ</t>
  </si>
  <si>
    <t>Авансовий звіт ІБ00-000025 від 21.01.2026 16:13:16
Оприходованы ТМЦ</t>
  </si>
  <si>
    <t>Обл. НДС
Саморізи
Авансовий звіт ІБ00-000025 від 21.01.2026 16:13:16
Глобине-2</t>
  </si>
  <si>
    <t>Обл. НДС
Дюбель
Авансовий звіт ІБ00-000025 від 21.01.2026 16:13:16
Глобине-2</t>
  </si>
  <si>
    <t>Обл. НДС
Міксер 
Авансовий звіт ІБ00-000025 від 21.01.2026 16:13:16
Глобине-2</t>
  </si>
  <si>
    <t>Обл. НДС
Колодка клемна 20 А
Авансовий звіт ІБ00-000025 від 21.01.2026 16:13:16
Глобине-2</t>
  </si>
  <si>
    <t>Обл. НДС
проводи, кабелі та електромонтажні пристрої 27.3
Авансовий звіт ІБ00-000025 від 21.01.2026 16:13:16
Глобине-2</t>
  </si>
  <si>
    <t>Обл. НДС
Комплект кріплення
Авансовий звіт ІБ00-000025 від 21.01.2026 16:13:16
Глобине-2</t>
  </si>
  <si>
    <t>Обл. НДС
Оздоблювальні матеріали 20.30
Авансовий звіт ІБ00-000025 від 21.01.2026 16:13:16
Глобине-2</t>
  </si>
  <si>
    <t>Надходження товарів і послуг ІБ00-000195 від 21.01.2026 18:42:38
Оприходованы ТМЦ (Зачет аванса поставщику)</t>
  </si>
  <si>
    <t>Обл. НДС
Сендвіч-панель ТПК покрівельна 100 мм МВ 1000 мм С 0,5 PS/C 0,5 PS (5005 синій 11,570м)
Надходження товарів і послуг ІБ00-000195 від 21.01.2026 18:42:38
Цех екстракції (Глобине)</t>
  </si>
  <si>
    <t>ТПК-ЦЕНТР ТОВ
Договір 13/20/П/011від 21.07.2020_Глобино-2
Рахунок на оплату постачальника ІБ00-005149 від 07.10.2025 22:00:01</t>
  </si>
  <si>
    <t>Обл. НДС
Сендвіч-панель ТПК покрівельна 100 мм МВ 1000 мм С 0,5 PS/C 0,5 PS (покрівельна 5005 синій/ 10.84
Надходження товарів і послуг ІБ00-000195 від 21.01.2026 18:42:38
Цех екстракції (Глобине)</t>
  </si>
  <si>
    <t>Обл. НДС
Ущільнювальна стрічка ТПК УП-1 ППЕ НХ (5х50мм 20м)
Надходження товарів і послуг ІБ00-000195 від 21.01.2026 18:42:38
Цех екстракції (Глобине)</t>
  </si>
  <si>
    <t>Обл. НДС
Ущільнювальна стрічка ТПК-УП-4 ППЕ (3х15мм 30м)
Надходження товарів і послуг ІБ00-000195 від 21.01.2026 18:42:38
Цех екстракції (Глобине)</t>
  </si>
  <si>
    <t>Обл. НДС
Клей-герметик д/сендвіч-панелей Soudaflex 40 FC  (12 шт/уп) (600мл(шт.) білий)
Надходження товарів і послуг ІБ00-000195 від 21.01.2026 18:42:38
Цех екстракції (Глобине)</t>
  </si>
  <si>
    <t>Обл. НДС
Ущільнювач КН для с/п 1 м ППЕ НХ
Надходження товарів і послуг ІБ00-000195 від 21.01.2026 18:42:38
Цех екстракції (Глобине)</t>
  </si>
  <si>
    <t>Обл. НДС
Самонаріз в метал до сендвіч-панелей 5,5х6,3/200 (5005 синій  (50шт.))
Надходження товарів і послуг ІБ00-000195 від 21.01.2026 18:42:38
Цех екстракції (Глобине)</t>
  </si>
  <si>
    <t>Обл. НДС
Саморіз 4,8х19 для скріплення листів Wkret-Met WSBP (250 шт/уп.), свердлення до 2 мм (5005 cиній (25
Надходження товарів і послуг ІБ00-000195 від 21.01.2026 18:42:38
Цех екстракції (Глобине)</t>
  </si>
  <si>
    <t>22.01.2026</t>
  </si>
  <si>
    <t>Надходження товарів і послуг ІБ00-000206 від 22.01.2026 00:00:00
Оприходованы ТМЦ (Зачет аванса поставщику)</t>
  </si>
  <si>
    <t>Обл. НДС
Сендвіч-панель ТПК покрівельна 100 мм МВ 1000 мм С 0,5 PS/C 0,5 PS, білий  11,57
Надходження товарів і послуг ІБ00-000206 від 22.01.2026 00:00:00
Цех екстракції (Глобине)</t>
  </si>
  <si>
    <t>Обл. НДС
Сендвіч-панель ТПК покрівельна 100 мм МВ 1000 мм С 0,5 PS/C 0,5 PS білий, 10.840
Надходження товарів і послуг ІБ00-000206 від 22.01.2026 00:00:00
Цех екстракції (Глобине)</t>
  </si>
  <si>
    <t>Обл. НДС
Сендвіч-панель ТПК покрівельна 100 мм МВ 1000 мм С 0,5 PS/C 0,5 PS білий 5,88
Надходження товарів і послуг ІБ00-000206 від 22.01.2026 00:00:00
Цех екстракції (Глобине)</t>
  </si>
  <si>
    <t>Надходження товарів і послуг ІБ00-000207 від 22.01.2026 00:00:00
Оприходованы ТМЦ (Зачет аванса поставщику)</t>
  </si>
  <si>
    <t>Обл. НДС
Сендвіч-панель ТПК покрівельна 100 мм МВ 1000 мм С 0,5 PS/C 0,5 PS білий 9,76
Надходження товарів і послуг ІБ00-000207 від 22.01.2026 00:00:00
Цех екстракції (Глобине)</t>
  </si>
  <si>
    <t>Надходження товарів і послуг ІБ00-000211 від 22.01.2026 11:00:00
Оприходованы ТМЦ</t>
  </si>
  <si>
    <t>Обл. НДС
Бетон С20/25 W6 F75 P4 доб-15
Надходження товарів і послуг ІБ00-000211 від 22.01.2026 11:00:00
Цех екстракції (Глобине)</t>
  </si>
  <si>
    <t>Кременчуцький річковий порт ПРАТ
Договір 112/Б від 15.10.2024_Глобине-2
Надходження товарів і послуг ІБ00-000211 від 22.01.2026 11:00:00</t>
  </si>
  <si>
    <t>Надходження товарів і послуг ІБ00-000346 від 22.01.2026 11:00:00
Оприходованы ТМЦ</t>
  </si>
  <si>
    <t>Обл. НДС
Кільце опорне КО-6
Надходження товарів і послуг ІБ00-000346 від 22.01.2026 11:00:00
ЗВК_Глобіне</t>
  </si>
  <si>
    <t>Обл. НДС
Кільце  КС 10-6
Надходження товарів і послуг ІБ00-000346 від 22.01.2026 11:00:00
ЗВК_Глобіне</t>
  </si>
  <si>
    <t>Обл. НДС
Кільце  КС 7-3
Надходження товарів і послуг ІБ00-000346 від 22.01.2026 11:00:00
ЗВК_Глобіне</t>
  </si>
  <si>
    <t>Обл. НДС
Кришка ПП 1-10-1
Надходження товарів і послуг ІБ00-000346 від 22.01.2026 11:00:00
ЗВК_Глобіне</t>
  </si>
  <si>
    <t>Надходження товарів і послуг ІБ00-000368 від 22.01.2026 11:00:00
Оприходованы ТМЦ</t>
  </si>
  <si>
    <t>Обл. НДС
Хомут 2" 59-65мм М8
Надходження товарів і послуг ІБ00-000368 від 22.01.2026 11:00:00
АПК (Глобине)</t>
  </si>
  <si>
    <t>Павленко Р.М. ФОП маг. Дюйм
Глобино-2_РАХУНКИ
Рахунок на оплату постачальника ІБ00-000193 від 20.01.2026 17:47:35</t>
  </si>
  <si>
    <t>Обл. НДС
Хомут 4" 105-112мм М8 к-кт
Надходження товарів і послуг ІБ00-000368 від 22.01.2026 11:00:00
АПК (Глобине)</t>
  </si>
  <si>
    <t>Обл. НДС
Шпилька М10х1000
Надходження товарів і послуг ІБ00-000368 від 22.01.2026 11:00:00
АПК (Глобине)</t>
  </si>
  <si>
    <t>Обл. НДС
Герметик силікон  280 мл
Надходження товарів і послуг ІБ00-000368 від 22.01.2026 11:00:00
АПК (Глобине)</t>
  </si>
  <si>
    <t>Обл. НДС
Кран кульовий кутовий 1/2"*1/2" н/ж
Надходження товарів і послуг ІБ00-000368 від 22.01.2026 11:00:00
АПК (Глобине)</t>
  </si>
  <si>
    <t>Обл. НДС
Кран кульовий прямий з накид гайкою 1/2" НВ PN40
Надходження товарів і послуг ІБ00-000368 від 22.01.2026 11:00:00
АПК (Глобине)</t>
  </si>
  <si>
    <t>Надходження товарів і послуг ІБ00-000450 від 22.01.2026 11:00:00
Оприходованы ТМЦ (Зачет аванса поставщику)</t>
  </si>
  <si>
    <t>Обл. НДС
Решітковий настил KOZ 34*38/30*3/оц/1344*1141
Надходження товарів і послуг ІБ00-000450 від 22.01.2026 11:00:00
Резервуарний парк соєвої меляси (Глобине)</t>
  </si>
  <si>
    <t>Червоноградський завод металоконструкцій
Договір поставки № 44 від 11.06.2020 р._Глобино-2
Рахунок на оплату постачальника ІБ00-005953 від 01.12.2025 18:00:27</t>
  </si>
  <si>
    <t>Обл. НДС
Решітковий настил KOZ 34*38/30*3/оц/1744*947
Надходження товарів і послуг ІБ00-000450 від 22.01.2026 11:00:00
Резервуарний парк соєвої меляси (Глобине)</t>
  </si>
  <si>
    <t>Обл. НДС
Решітковий настил KOZ/34x38/30x3 оц. /844*723       
Надходження товарів і послуг ІБ00-000450 від 22.01.2026 11:00:00
Резервуарний парк соєвої меляси (Глобине)</t>
  </si>
  <si>
    <t>Обл. НДС
Решітковий настил KOZ/34x38/30x3 оц. /844*873       
Надходження товарів і послуг ІБ00-000450 від 22.01.2026 11:00:00
Резервуарний парк соєвої меляси (Глобине)</t>
  </si>
  <si>
    <t>Обл. НДС
Решітковий настил KOZ 34*38/40*3/оц/ 825*895
Надходження товарів і послуг ІБ00-000450 від 22.01.2026 11:00:00
Резервуарний парк соєвої меляси (Глобине)</t>
  </si>
  <si>
    <t>Обл. НДС
Решітковий настил KOZ 34*38/40*3/оц/ 825*706
Надходження товарів і послуг ІБ00-000450 від 22.01.2026 11:00:00
Резервуарний парк соєвої меляси (Глобине)</t>
  </si>
  <si>
    <t>Обл. НДС
Решітковий настил KOZ 34*38/40*3/оц/544*415
Надходження товарів і послуг ІБ00-000450 від 22.01.2026 11:00:00
Резервуарний парк соєвої меляси (Глобине)</t>
  </si>
  <si>
    <t>Обл. НДС
Решітковий настил KOZ 34*38/40*3/оц/519*586
Надходження товарів і послуг ІБ00-000450 від 22.01.2026 11:00:00
Резервуарний парк соєвої меляси (Глобине)</t>
  </si>
  <si>
    <t>Обл. НДС
Решітковий настил KOZ 34*38/40*3/оц/544*1087
Надходження товарів і послуг ІБ00-000450 від 22.01.2026 11:00:00
Резервуарний парк соєвої меляси (Глобине)</t>
  </si>
  <si>
    <t>Обл. НДС
Решітковий настил KOZ 34*38/30*3/оц/1225*706
Надходження товарів і послуг ІБ00-000450 від 22.01.2026 11:00:00
Резервуарний парк соєвої меляси (Глобине)</t>
  </si>
  <si>
    <t>Обл. НДС
Решітковий настил KOZ 34*38/30*3/оц/828*394
Надходження товарів і послуг ІБ00-000450 від 22.01.2026 11:00:00
Резервуарний парк соєвої меляси (Глобине)</t>
  </si>
  <si>
    <t>Обл. НДС
Решітковий настил KOZ 34*38/30*3/оц/ 2088*1000
Надходження товарів і послуг ІБ00-000450 від 22.01.2026 11:00:00
Резервуарний парк соєвої меляси (Глобине)</t>
  </si>
  <si>
    <t>Обл. НДС
Решітковий настил KOZ 34*38/30*3/оц/ 2088*700
Надходження товарів і послуг ІБ00-000450 від 22.01.2026 11:00:00
Резервуарний парк соєвої меляси (Глобине)</t>
  </si>
  <si>
    <t>Надходження товарів і послуг ІБ00-000450 від 22.01.2026 11:00:00
Оприходованы ТМЦ</t>
  </si>
  <si>
    <t>Обл. НДС
Решітковий настил KOZ 34*38/30*3/оц/ 2088*1032
Надходження товарів і послуг ІБ00-000450 від 22.01.2026 11:00:00
Резервуарний парк соєвої меляси (Глобине)</t>
  </si>
  <si>
    <t>Обл. НДС
Решітковий настил KOZ 34*38/30*3/оц/988*1000
Надходження товарів і послуг ІБ00-000450 від 22.01.2026 11:00:00
Резервуарний парк соєвої меляси (Глобине)</t>
  </si>
  <si>
    <t>Обл. НДС
Решітковий настил KOZ 34*38/30*3/оц/988*608
Надходження товарів і послуг ІБ00-000450 від 22.01.2026 11:00:00
Резервуарний парк соєвої меляси (Глобине)</t>
  </si>
  <si>
    <t>Обл. НДС
Решітковий настил KOZ 34*38/40*3/оц/ 2088*312
Надходження товарів і послуг ІБ00-000450 від 22.01.2026 11:00:00
Резервуарний парк соєвої меляси (Глобине)</t>
  </si>
  <si>
    <t>Обл. НДС
Решітковий настил KOZ 34*38/30*3/оц/800*1000
Надходження товарів і послуг ІБ00-000450 від 22.01.2026 11:00:00
Резервуарний парк соєвої меляси (Глобине)</t>
  </si>
  <si>
    <t>Обл. НДС
Решітковий настил KOZ 34*38/30*3/оц/2900*1000
Надходження товарів і послуг ІБ00-000450 від 22.01.2026 11:00:00
Резервуарний парк соєвої меляси (Глобине)</t>
  </si>
  <si>
    <t>Обл. НДС
Решітковий настил KOZ 34*38/30*3/оц/828*72
Надходження товарів і послуг ІБ00-000450 від 22.01.2026 11:00:00
Резервуарний парк соєвої меляси (Глобине)</t>
  </si>
  <si>
    <t>Обл. НДС
Решітковий настил KOZ 34*38/30*3/оц/828*1000
Надходження товарів і послуг ІБ00-000450 від 22.01.2026 11:00:00
Резервуарний парк соєвої меляси (Глобине)</t>
  </si>
  <si>
    <t>Обл. НДС
Сходинки SOZ/34*38/25*3/оц/700*205
Надходження товарів і послуг ІБ00-000450 від 22.01.2026 11:00:00
Резервуарний парк соєвої меляси (Глобине)</t>
  </si>
  <si>
    <t>Обл. НДС
Кріплення стандартні
Надходження товарів і послуг ІБ00-000450 від 22.01.2026 11:00:00
Резервуарний парк соєвої меляси (Глобине)</t>
  </si>
  <si>
    <t>Обл. НДС
Кріплення гакове до швелера 14
Надходження товарів і послуг ІБ00-000450 від 22.01.2026 11:00:00
Резервуарний парк соєвої меляси (Глобине)</t>
  </si>
  <si>
    <t>Обл. НДС
Кріплення гакове до швелера 16
Надходження товарів і послуг ІБ00-000450 від 22.01.2026 11:00:00
Резервуарний парк соєвої меляси (Глобине)</t>
  </si>
  <si>
    <t>Обл. НДС
Затиск для з'єднання решіток/ Х
Надходження товарів і послуг ІБ00-000450 від 22.01.2026 11:00:00
Резервуарний парк соєвої меляси (Глобине)</t>
  </si>
  <si>
    <t>Обл. НДС
Скоба 7мм з отв
Надходження товарів і послуг ІБ00-000450 від 22.01.2026 11:00:00
Резервуарний парк соєвої меляси (Глобине)</t>
  </si>
  <si>
    <t>Обл. НДС
Самонаріз 6,3х60
Надходження товарів і послуг ІБ00-000450 від 22.01.2026 11:00:00
Резервуарний парк соєвої меляси (Глобине)</t>
  </si>
  <si>
    <t>Обл. НДС
Кріплення для сходинок
Надходження товарів і послуг ІБ00-000450 від 22.01.2026 11:00:00
Резервуарний парк соєвої меляси (Глобине)</t>
  </si>
  <si>
    <t>Надходження товарів і послуг ІБ00-000452 від 22.01.2026 11:00:00
Оприходованы ТМЦ (Зачет аванса поставщику)</t>
  </si>
  <si>
    <t>Обл. НДС
Решітковий настил KOZ 34*38/30*3/оц/1226*1184
Надходження товарів і послуг ІБ00-000452 від 22.01.2026 11:00:00
Транспортна галерея Естакада 3.4 (Глобине)</t>
  </si>
  <si>
    <t>Червоноградський завод металоконструкцій
Договір поставки № 44 від 11.06.2020 р._Глобино-2
Рахунок на оплату постачальника ІБ00-005945 від 01.12.2025 18:00:25</t>
  </si>
  <si>
    <t>Обл. НДС
Решітковий настил KOZ 34*38/30*3/оц/2336*1184
Надходження товарів і послуг ІБ00-000452 від 22.01.2026 11:00:00
Транспортна галерея Естакада 3.4 (Глобине)</t>
  </si>
  <si>
    <t>Обл. НДС
Решітковий настил KOZ 34*38/30*3/оц/1226*1000
Надходження товарів і послуг ІБ00-000452 від 22.01.2026 11:00:00
Транспортна галерея Естакада 3.4 (Глобине)</t>
  </si>
  <si>
    <t>Обл. НДС
Решітковий настил KOZ 34*38/30*3/оц/2300*1000
Надходження товарів і послуг ІБ00-000452 від 22.01.2026 11:00:00
Транспортна галерея Естакада 3.4 (Глобине)</t>
  </si>
  <si>
    <t>Обл. НДС
Решітковий настил KOZ 34*38/30*3/оц/2422*1046
Надходження товарів і послуг ІБ00-000452 від 22.01.2026 11:00:00
Транспортна галерея Естакада 3.4 (Глобине)</t>
  </si>
  <si>
    <t>Обл. НДС
Решітковий настил KOZ 34*38/30*3/оц/2422*1000
Надходження товарів і послуг ІБ00-000452 від 22.01.2026 11:00:00
Транспортна галерея Естакада 3.4 (Глобине)</t>
  </si>
  <si>
    <t>Обл. НДС
Решітковий настил KOZ 34*38/30*3/оц/2300*380
Надходження товарів і послуг ІБ00-000452 від 22.01.2026 11:00:00
Транспортна галерея Естакада 3.4 (Глобине)</t>
  </si>
  <si>
    <t>Обл. НДС
Решітковий настил KOZ 34*38/30*3/оц/1104*210
Надходження товарів і послуг ІБ00-000452 від 22.01.2026 11:00:00
Транспортна галерея Естакада 3.4 (Глобине)</t>
  </si>
  <si>
    <t>Обл. НДС
Решітковий настил KOZ 34*38/30*3/оц/ 2200*1000
Надходження товарів і послуг ІБ00-000452 від 22.01.2026 11:00:00
Транспортна галерея Естакада 3.4 (Глобине)</t>
  </si>
  <si>
    <t>Обл. НДС
Решітковий настил KOZ 34*38/30*3/оц/ 1500*1000
Надходження товарів і послуг ІБ00-000452 від 22.01.2026 11:00:00
Транспортна галерея Естакада 3.4 (Глобине)</t>
  </si>
  <si>
    <t>Обл. НДС
Решітковий настил KOZ 34*38/30*3/оц/ 1800*1000
Надходження товарів і послуг ІБ00-000452 від 22.01.2026 11:00:00
Транспортна галерея Естакада 3.4 (Глобине)</t>
  </si>
  <si>
    <t>Обл. НДС
Решітковий настил KOZ 34*38/30*3/оц/2200*380
Надходження товарів і послуг ІБ00-000452 від 22.01.2026 11:00:00
Транспортна галерея Естакада 3.4 (Глобине)</t>
  </si>
  <si>
    <t>Надходження товарів і послуг ІБ00-000452 від 22.01.2026 11:00:00
Оприходованы ТМЦ</t>
  </si>
  <si>
    <t>Обл. НДС
Решітковий настил KOZ 34*38/30*3/оц/1500*380
Надходження товарів і послуг ІБ00-000452 від 22.01.2026 11:00:00
Транспортна галерея Естакада 3.4 (Глобине)</t>
  </si>
  <si>
    <t>Обл. НДС
Решітковий настил KOZ 34*38/30*3/оц/1800*380
Надходження товарів і послуг ІБ00-000452 від 22.01.2026 11:00:00
Транспортна галерея Естакада 3.4 (Глобине)</t>
  </si>
  <si>
    <t>Обл. НДС
Решітковий настил KOZ 34*38/30*3/оц/2200*210
Надходження товарів і послуг ІБ00-000452 від 22.01.2026 11:00:00
Транспортна галерея Естакада 3.4 (Глобине)</t>
  </si>
  <si>
    <t>Обл. НДС
Решітковий настил KOZ/34x38/30x3 оц. /  2400*944
Надходження товарів і послуг ІБ00-000452 від 22.01.2026 11:00:00
Транспортна галерея Естакада 3.4 (Глобине)</t>
  </si>
  <si>
    <t>Обл. НДС
Решітковий настил KOZ 34*38/30*3/оц/2400*380
Надходження товарів і послуг ІБ00-000452 від 22.01.2026 11:00:00
Транспортна галерея Естакада 3.4 (Глобине)</t>
  </si>
  <si>
    <t>Обл. НДС
Решітковий настил KOZ 34*38/30*3/оц/2400*210
Надходження товарів і послуг ІБ00-000452 від 22.01.2026 11:00:00
Транспортна галерея Естакада 3.4 (Глобине)</t>
  </si>
  <si>
    <t>Обл. НДС
Решітковий настил KOZ 34*38/30*3/оц/636*1000
Надходження товарів і послуг ІБ00-000452 від 22.01.2026 11:00:00
Транспортна галерея Естакада 3.4 (Глобине)</t>
  </si>
  <si>
    <t>Обл. НДС
Решітковий настил KOZ 34*38/30*3/оц/636*472
Надходження товарів і послуг ІБ00-000452 від 22.01.2026 11:00:00
Транспортна галерея Естакада 3.4 (Глобине)</t>
  </si>
  <si>
    <t>Обл. НДС
Решітковий настил KOZ 34*38/30*3/оц/1070*210
Надходження товарів і послуг ІБ00-000452 від 22.01.2026 11:00:00
Транспортна галерея Естакада 3.4 (Глобине)</t>
  </si>
  <si>
    <t>Обл. НДС
Решітковий настил KOZ 34*38/40*3/оц/ 2170*210
Надходження товарів і послуг ІБ00-000452 від 22.01.2026 11:00:00
Транспортна галерея Естакада 3.4 (Глобине)</t>
  </si>
  <si>
    <t>Обл. НДС
Решітковий настил KOZ 34*38/30*3/оц/1800*210
Надходження товарів і послуг ІБ00-000452 від 22.01.2026 11:00:00
Транспортна галерея Естакада 3.4 (Глобине)</t>
  </si>
  <si>
    <t>Обл. НДС
Решітковий настил KOZ 34*38/30*3/оц/2300*210
Надходження товарів і послуг ІБ00-000452 від 22.01.2026 11:00:00
Транспортна галерея Естакада 3.4 (Глобине)</t>
  </si>
  <si>
    <t>Обл. НДС
Решітковий настил KOZ 34*38/30*3/оц/1500*210
Надходження товарів і послуг ІБ00-000452 від 22.01.2026 11:00:00
Транспортна галерея Естакада 3.4 (Глобине)</t>
  </si>
  <si>
    <t>Обл. НДС
Решітковий настил KOZ/34x38/30x3 оц. /  2400X1000
Надходження товарів і послуг ІБ00-000452 від 22.01.2026 11:00:00
Транспортна галерея Естакада 3.4 (Глобине)</t>
  </si>
  <si>
    <t>Обл. НДС
Решітковий настил KOZ 34*38/30*3/оц/2660*210
Надходження товарів і послуг ІБ00-000452 від 22.01.2026 11:00:00
Транспортна галерея Естакада 3.4 (Глобине)</t>
  </si>
  <si>
    <t>Обл. НДС
Решітковий настил KOZ/34x38/30x3 оц. /  518*944
Надходження товарів і послуг ІБ00-000452 від 22.01.2026 11:00:00
Транспортна галерея Естакада 3.4 (Глобине)</t>
  </si>
  <si>
    <t>Обл. НДС
Решітковий настил KOZ/34x38/30x3 оц. /912X972       
Надходження товарів і послуг ІБ00-000452 від 22.01.2026 11:00:00
Транспортна галерея Естакада 3.4 (Глобине)</t>
  </si>
  <si>
    <t>Обл. НДС
Решітковий настил KOZ/34x38/30x3 оц. /  2110X380        
Надходження товарів і послуг ІБ00-000452 від 22.01.2026 11:00:00
Транспортна галерея Естакада 3.4 (Глобине)</t>
  </si>
  <si>
    <t>Обл. НДС
Решітковий настил KOZ 34*38/30*3/оц/926*911
Надходження товарів і послуг ІБ00-000452 від 22.01.2026 11:00:00
Транспортна галерея Естакада 3.4 (Глобине)</t>
  </si>
  <si>
    <t>Обл. НДС
Решітковий настил KOZ 34*38/30*3/оц/926*1000
Надходження товарів і послуг ІБ00-000452 від 22.01.2026 11:00:00
Транспортна галерея Естакада 3.4 (Глобине)</t>
  </si>
  <si>
    <t>Обл. НДС
Решітковий настил KOZ 34*38/30*3/оц/1329*772
Надходження товарів і послуг ІБ00-000452 від 22.01.2026 11:00:00
Транспортна галерея Естакада 3.4 (Глобине)</t>
  </si>
  <si>
    <t>Обл. НДС
Решітковий настил KOZ 34*38/30*3/оц/1329*1000
Надходження товарів і послуг ІБ00-000452 від 22.01.2026 11:00:00
Транспортна галерея Естакада 3.4 (Глобине)</t>
  </si>
  <si>
    <t>Обл. НДС
Решітковий настил KOZ/34x38/30x3 оц. /2079*1000
Надходження товарів і послуг ІБ00-000452 від 22.01.2026 11:00:00
Транспортна галерея Естакада 3.4 (Глобине)</t>
  </si>
  <si>
    <t>Обл. НДС
Решітковий настил KOZ/34x38/30x3 оц. /  1693X1000
Надходження товарів і послуг ІБ00-000452 від 22.01.2026 11:00:00
Транспортна галерея Естакада 3.4 (Глобине)</t>
  </si>
  <si>
    <t>Обл. НДС
Решітковий настил KOZ/34x38/30x3 оц. /  1693X1255
Надходження товарів і послуг ІБ00-000452 від 22.01.2026 11:00:00
Транспортна галерея Естакада 3.4 (Глобине)</t>
  </si>
  <si>
    <t>Обл. НДС
Решітковий настил KOZ 34*38/30*3/оц/1912*380
Надходження товарів і послуг ІБ00-000452 від 22.01.2026 11:00:00
Транспортна галерея Естакада 3.4 (Глобине)</t>
  </si>
  <si>
    <t>Обл. НДС
Решітковий настил KOZ 34*38/30*3/оц/1000*1000
Надходження товарів і послуг ІБ00-000452 від 22.01.2026 11:00:00
Транспортна галерея Естакада 3.4 (Глобине)</t>
  </si>
  <si>
    <t>Обл. НДС
Решітковий настил KOZ 34*38/30*3/оц/1061*976
Надходження товарів і послуг ІБ00-000452 від 22.01.2026 11:00:00
Транспортна галерея Естакада 3.4 (Глобине)</t>
  </si>
  <si>
    <t>Обл. НДС
Решітковий настил KOZ 34*38/30*3/оц/ 907*204
Надходження товарів і послуг ІБ00-000452 від 22.01.2026 11:00:00
Транспортна галерея Естакада 3.4 (Глобине)</t>
  </si>
  <si>
    <t>Обл. НДС
Решітковий настил KOZ/34x38/30x3 оц. /  2007X999        
Надходження товарів і послуг ІБ00-000452 від 22.01.2026 11:00:00
Транспортна галерея Естакада 3.4 (Глобине)</t>
  </si>
  <si>
    <t>Обл. НДС
Решітковий настил KOZ/34x38/30x3 оц. /  2007X380    
Надходження товарів і послуг ІБ00-000452 від 22.01.2026 11:00:00
Транспортна галерея Естакада 3.4 (Глобине)</t>
  </si>
  <si>
    <t>Обл. НДС
Решітковий настил KOZ/34x38/30x3 оц. /  2007X204
Надходження товарів і послуг ІБ00-000452 від 22.01.2026 11:00:00
Транспортна галерея Естакада 3.4 (Глобине)</t>
  </si>
  <si>
    <t>Обл. НДС
Решітковий настил KOZ 34*38/30*3/оц/ 1992*999
Надходження товарів і послуг ІБ00-000452 від 22.01.2026 11:00:00
Транспортна галерея Естакада 3.4 (Глобине)</t>
  </si>
  <si>
    <t>Обл. НДС
Решітковий настил KOZ 34*38/30*3/оц/ 1992*380
Надходження товарів і послуг ІБ00-000452 від 22.01.2026 11:00:00
Транспортна галерея Естакада 3.4 (Глобине)</t>
  </si>
  <si>
    <t>Обл. НДС
Решітковий настил KOZ 34*38/30*3/оц/1993*204
Надходження товарів і послуг ІБ00-000452 від 22.01.2026 11:00:00
Транспортна галерея Естакада 3.4 (Глобине)</t>
  </si>
  <si>
    <t>Обл. НДС
Решітковий настил KOZ 34*38/30*3/оц/1993*999
Надходження товарів і послуг ІБ00-000452 від 22.01.2026 11:00:00
Транспортна галерея Естакада 3.4 (Глобине)</t>
  </si>
  <si>
    <t>Обл. НДС
Решітковий настил KOZ 34*38/30*3/оц/1993*380
Надходження товарів і послуг ІБ00-000452 від 22.01.2026 11:00:00
Транспортна галерея Естакада 3.4 (Глобине)</t>
  </si>
  <si>
    <t>Обл. НДС
Решітковий настил KOZ 34*38/30*3/оц/1993*205
Надходження товарів і послуг ІБ00-000452 від 22.01.2026 11:00:00
Транспортна галерея Естакада 3.4 (Глобине)</t>
  </si>
  <si>
    <t>Обл. НДС
Решітковий настил KOZ 34*38/30*3/оц/2008*1000
Надходження товарів і послуг ІБ00-000452 від 22.01.2026 11:00:00
Транспортна галерея Естакада 3.4 (Глобине)</t>
  </si>
  <si>
    <t>Обл. НДС
Решітковий настил KOZ 34*38/30*3/оц/2008*380
Надходження товарів і послуг ІБ00-000452 від 22.01.2026 11:00:00
Транспортна галерея Естакада 3.4 (Глобине)</t>
  </si>
  <si>
    <t>Обл. НДС
Решітковий настил KOZ 34*38/30*3/оц/2008*204
Надходження товарів і послуг ІБ00-000452 від 22.01.2026 11:00:00
Транспортна галерея Естакада 3.4 (Глобине)</t>
  </si>
  <si>
    <t>Обл. НДС
Решітковий настил KOZ 34*38/30*3/оц/ 2162*1000
Надходження товарів і послуг ІБ00-000452 від 22.01.2026 11:00:00
Транспортна галерея Естакада 3.4 (Глобине)</t>
  </si>
  <si>
    <t>Обл. НДС
Решітковий настил KOZ 34*38/30*3/оц/ 2162*380
Надходження товарів і послуг ІБ00-000452 від 22.01.2026 11:00:00
Транспортна галерея Естакада 3.4 (Глобине)</t>
  </si>
  <si>
    <t>Обл. НДС
Решітковий настил KOZ 34*38/30*3/оц/ 2162*204
Надходження товарів і послуг ІБ00-000452 від 22.01.2026 11:00:00
Транспортна галерея Естакада 3.4 (Глобине)</t>
  </si>
  <si>
    <t>Обл. НДС
Решітковий настил KOZ 34*38/30*3/оц/600*704
Надходження товарів і послуг ІБ00-000452 від 22.01.2026 11:00:00
Транспортна галерея Естакада 3.4 (Глобине)</t>
  </si>
  <si>
    <t>Обл. НДС
Решітковий настил KOZ 34*38/30*3/оц/2172*1000
Надходження товарів і послуг ІБ00-000452 від 22.01.2026 11:00:00
Транспортна галерея Естакада 3.4 (Глобине)</t>
  </si>
  <si>
    <t>Обл. НДС
Решітковий настил KOZ 34*38/30*3/оц/2172*380
Надходження товарів і послуг ІБ00-000452 від 22.01.2026 11:00:00
Транспортна галерея Естакада 3.4 (Глобине)</t>
  </si>
  <si>
    <t>Обл. НДС
Решітковий настил KOZ 34*38/30*3/оц/2172*204
Надходження товарів і послуг ІБ00-000452 від 22.01.2026 11:00:00
Транспортна галерея Естакада 3.4 (Глобине)</t>
  </si>
  <si>
    <t>Обл. НДС
Решітковий настил KOZ 34*38/30*3/оц/2000*1000
Надходження товарів і послуг ІБ00-000452 від 22.01.2026 11:00:00
Транспортна галерея Естакада 3.4 (Глобине)</t>
  </si>
  <si>
    <t>Обл. НДС
Решітковий настил KOZ 34*38/30*3/оц/2000*380
Надходження товарів і послуг ІБ00-000452 від 22.01.2026 11:00:00
Транспортна галерея Естакада 3.4 (Глобине)</t>
  </si>
  <si>
    <t>Обл. НДС
Решітковий настил KOZ 34*38/30*3/оц/2000*204
Надходження товарів і послуг ІБ00-000452 від 22.01.2026 11:00:00
Транспортна галерея Естакада 3.4 (Глобине)</t>
  </si>
  <si>
    <t>Обл. НДС
Решітковий настил KOZ 34*38/30*3/оц/1800*204
Надходження товарів і послуг ІБ00-000452 від 22.01.2026 11:00:00
Транспортна галерея Естакада 3.4 (Глобине)</t>
  </si>
  <si>
    <t>Обл. НДС
Решітковий настил KOZ 34*38/30*3/оц/1270*1000
Надходження товарів і послуг ІБ00-000452 від 22.01.2026 11:00:00
Транспортна галерея Естакада 3.4 (Глобине)</t>
  </si>
  <si>
    <t>Обл. НДС
Решітковий настил KOZ 34*38/30*3/оц/1270*380
Надходження товарів і послуг ІБ00-000452 від 22.01.2026 11:00:00
Транспортна галерея Естакада 3.4 (Глобине)</t>
  </si>
  <si>
    <t>Обл. НДС
Решітковий настил KOZ 34*38/30*3/оц/1270*210
Надходження товарів і послуг ІБ00-000452 від 22.01.2026 11:00:00
Транспортна галерея Естакада 3.4 (Глобине)</t>
  </si>
  <si>
    <t>Обл. НДС
Решітковий настил KOZ 34*38/30*3/оц/2400*1000
Надходження товарів і послуг ІБ00-000452 від 22.01.2026 11:00:00
Транспортна галерея Естакада 3.4 (Глобине)</t>
  </si>
  <si>
    <t>Обл. НДС
Решітковий настил KOZ 34*38/30*3/оц/ 2248*580
Надходження товарів і послуг ІБ00-000452 від 22.01.2026 11:00:00
Транспортна галерея Естакада 3.4 (Глобине)</t>
  </si>
  <si>
    <t>Обл. НДС
Решітковий настил KOZ 34*38/30*3/оц/ 1144*580
Надходження товарів і послуг ІБ00-000452 від 22.01.2026 11:00:00
Транспортна галерея Естакада 3.4 (Глобине)</t>
  </si>
  <si>
    <t>Обл. НДС
Решітковий настил KOZ 34*38/30*3/оц/ 1848*1000
Надходження товарів і послуг ІБ00-000452 від 22.01.2026 11:00:00
Транспортна галерея Естакада 3.4 (Глобине)</t>
  </si>
  <si>
    <t>Обл. НДС
Решітковий настил KOZ 34*38/30*3/оц/ 1848*378
Надходження товарів і послуг ІБ00-000452 від 22.01.2026 11:00:00
Транспортна галерея Естакада 3.4 (Глобине)</t>
  </si>
  <si>
    <t>Обл. НДС
Решітковий настил KOZ 34*38/40*3/оц/1460*210
Надходження товарів і послуг ІБ00-000452 від 22.01.2026 11:00:00
Транспортна галерея Естакада 3.4 (Глобине)</t>
  </si>
  <si>
    <t>Обл. НДС
Решітковий настил KOZ 34*38/40*3/оц/2202*1000
Надходження товарів і послуг ІБ00-000452 від 22.01.2026 11:00:00
Транспортна галерея Естакада 3.4 (Глобине)</t>
  </si>
  <si>
    <t>Обл. НДС
Решітковий настил KOZ 34*38/40*3/оц/2202*380
Надходження товарів і послуг ІБ00-000452 від 22.01.2026 11:00:00
Транспортна галерея Естакада 3.4 (Глобине)</t>
  </si>
  <si>
    <t>Обл. НДС
Решітковий настил KOZ 34*38/30*3/оц/2512*210
Надходження товарів і послуг ІБ00-000452 від 22.01.2026 11:00:00
Транспортна галерея Естакада 3.4 (Глобине)</t>
  </si>
  <si>
    <t>Обл. НДС
Решітковий настил KOZ 34*38/30*3/оц/ 1998*1000
Надходження товарів і послуг ІБ00-000452 від 22.01.2026 11:00:00
Транспортна галерея Естакада 3.4 (Глобине)</t>
  </si>
  <si>
    <t>Обл. НДС
Решітковий настил KOZ 34*38/30*3/оц/ 1998*380
Надходження товарів і послуг ІБ00-000452 від 22.01.2026 11:00:00
Транспортна галерея Естакада 3.4 (Глобине)</t>
  </si>
  <si>
    <t>Обл. НДС
Решітковий настил KOZ 34*38/30*3/оц/ 1998*210
Надходження товарів і послуг ІБ00-000452 від 22.01.2026 11:00:00
Транспортна галерея Естакада 3.4 (Глобине)</t>
  </si>
  <si>
    <t>Обл. НДС
Решітковий настил KOZ 34*38/30*3/оц/1600*1000
Надходження товарів і послуг ІБ00-000452 від 22.01.2026 11:00:00
Транспортна галерея Естакада 3.4 (Глобине)</t>
  </si>
  <si>
    <t>Обл. НДС
Решітковий настил KOZ 34*38/30*3/оц/1600*380
Надходження товарів і послуг ІБ00-000452 від 22.01.2026 11:00:00
Транспортна галерея Естакада 3.4 (Глобине)</t>
  </si>
  <si>
    <t>Обл. НДС
Решітковий настил KOZ 34*38/30*3/оц/1971*210
Надходження товарів і послуг ІБ00-000452 від 22.01.2026 11:00:00
Транспортна галерея Естакада 3.4 (Глобине)</t>
  </si>
  <si>
    <t>Обл. НДС
Решітковий настил KOZ 34*38/30*3/оц/1169*210
Надходження товарів і послуг ІБ00-000452 від 22.01.2026 11:00:00
Транспортна галерея Естакада 3.4 (Глобине)</t>
  </si>
  <si>
    <t>Обл. НДС
Решітковий настил KOZ 34*38/30*3/оц/2000*210
Надходження товарів і послуг ІБ00-000452 від 22.01.2026 11:00:00
Транспортна галерея Естакада 3.4 (Глобине)</t>
  </si>
  <si>
    <t>Обл. НДС
Решітковий настил KOZ 34*38/30*3/оц/ 1000*380
Надходження товарів і послуг ІБ00-000452 від 22.01.2026 11:00:00
Транспортна галерея Естакада 3.4 (Глобине)</t>
  </si>
  <si>
    <t>Обл. НДС
Решітковий настил KOZ 34*38/30*3/оц/1000*210
Надходження товарів і послуг ІБ00-000452 від 22.01.2026 11:00:00
Транспортна галерея Естакада 3.4 (Глобине)</t>
  </si>
  <si>
    <t>Обл. НДС
Решітковий настил KOZ 34*38/30*3/оц/1100*732
Надходження товарів і послуг ІБ00-000452 від 22.01.2026 11:00:00
Транспортна галерея Естакада 3.4 (Глобине)</t>
  </si>
  <si>
    <t>Обл. НДС
Решітковий настил KOZ 34*38/30*3/оц/1100*1000
Надходження товарів і послуг ІБ00-000452 від 22.01.2026 11:00:00
Транспортна галерея Естакада 3.4 (Глобине)</t>
  </si>
  <si>
    <t>Обл. НДС
Решітковий настил KOZ 34*38/30*3/оц/1292*1000
Надходження товарів і послуг ІБ00-000452 від 22.01.2026 11:00:00
Транспортна галерея Естакада 3.4 (Глобине)</t>
  </si>
  <si>
    <t>Обл. НДС
Решітковий настил KOZ 34*38/30*3/оц/1292*732
Надходження товарів і послуг ІБ00-000452 від 22.01.2026 11:00:00
Транспортна галерея Естакада 3.4 (Глобине)</t>
  </si>
  <si>
    <t>Обл. НДС
Решітковий настил KOР 33*33/30*2/ос/790*690
Надходження товарів і послуг ІБ00-000452 від 22.01.2026 11:00:00
Транспортна галерея Естакада 3.4 (Глобине)</t>
  </si>
  <si>
    <t>Обл. НДС
Решітковий настил KOР 33*33/30*2/ос/838*696
Надходження товарів і послуг ІБ00-000452 від 22.01.2026 11:00:00
Транспортна галерея Естакада 3.4 (Глобине)</t>
  </si>
  <si>
    <t>Обл. НДС
Решітковий настил KOР 33*33/30*2/ос/980*696
Надходження товарів і послуг ІБ00-000452 від 22.01.2026 11:00:00
Транспортна галерея Естакада 3.4 (Глобине)</t>
  </si>
  <si>
    <t>Обл. НДС
Решітковий настил KOР 33*33/30*2/ос/830*696
Надходження товарів і послуг ІБ00-000452 від 22.01.2026 11:00:00
Транспортна галерея Естакада 3.4 (Глобине)</t>
  </si>
  <si>
    <t>Обл. НДС
Решітковий настил KOZ 34*38/30*3/оц/1522*1058
Надходження товарів і послуг ІБ00-000452 від 22.01.2026 11:00:00
Транспортна галерея Естакада 3.4 (Глобине)</t>
  </si>
  <si>
    <t>Обл. НДС
Решітковий настил KOZ 34*38/30*3/оц/1486*1058
Надходження товарів і послуг ІБ00-000452 від 22.01.2026 11:00:00
Транспортна галерея Естакада 3.4 (Глобине)</t>
  </si>
  <si>
    <t>Обл. НДС
Решітковий настил KOZ 34*38/30*3/оц/644*752
Надходження товарів і послуг ІБ00-000452 від 22.01.2026 11:00:00
Транспортна галерея Естакада 3.4 (Глобине)</t>
  </si>
  <si>
    <t>Обл. НДС
Решітковий настил KOZ/34x38/30x3 оц. /1422*1000
Надходження товарів і послуг ІБ00-000452 від 22.01.2026 11:00:00
Транспортна галерея Естакада 3.4 (Глобине)</t>
  </si>
  <si>
    <t>Обл. НДС
Решітковий настил KOZ/34x38/30x3 оц. /1586*1000
Надходження товарів і послуг ІБ00-000452 від 22.01.2026 11:00:00
Транспортна галерея Естакада 3.4 (Глобине)</t>
  </si>
  <si>
    <t>Обл. НДС
Решітковий настил KOZ/34x38/30x3 оц. /1586*448
Надходження товарів і послуг ІБ00-000452 від 22.01.2026 11:00:00
Транспортна галерея Естакада 3.4 (Глобине)</t>
  </si>
  <si>
    <t>Обл. НДС
Решітковий настил KOZ/34x38/30x3 оц. /1422*448
Надходження товарів і послуг ІБ00-000452 від 22.01.2026 11:00:00
Транспортна галерея Естакада 3.4 (Глобине)</t>
  </si>
  <si>
    <t>Обл. НДС
Решітковий настил KOР 33*33/30*2/ос/716*696
Надходження товарів і послуг ІБ00-000452 від 22.01.2026 11:00:00
Транспортна галерея Естакада 3.4 (Глобине)</t>
  </si>
  <si>
    <t>Обл. НДС
Решітковий настил KOР 33*33/30*2/ос/836*696
Надходження товарів і послуг ІБ00-000452 від 22.01.2026 11:00:00
Транспортна галерея Естакада 3.4 (Глобине)</t>
  </si>
  <si>
    <t>Обл. НДС
Сходинки S6 SOZ/34*38/25*3/оц
Надходження товарів і послуг ІБ00-000452 від 22.01.2026 11:00:00
Транспортна галерея Естакада 3.4 (Глобине)</t>
  </si>
  <si>
    <t>Обл. НДС
Кріплення стандартні
Надходження товарів і послуг ІБ00-000452 від 22.01.2026 11:00:00
Транспортна галерея Естакада 3.4 (Глобине)</t>
  </si>
  <si>
    <t>Обл. НДС
Кріплення гакове до профіля 100*100
Надходження товарів і послуг ІБ00-000452 від 22.01.2026 11:00:00
Транспортна галерея Естакада 3.4 (Глобине)</t>
  </si>
  <si>
    <t>Обл. НДС
Кріплення гакове до профіля 80*80
Надходження товарів і послуг ІБ00-000452 від 22.01.2026 11:00:00
Транспортна галерея Естакада 3.4 (Глобине)</t>
  </si>
  <si>
    <t>Обл. НДС
Кріплення гакове до швелера 16
Надходження товарів і послуг ІБ00-000452 від 22.01.2026 11:00:00
Транспортна галерея Естакада 3.4 (Глобине)</t>
  </si>
  <si>
    <t>Обл. НДС
Кріплення для сходинок
Надходження товарів і послуг ІБ00-000452 від 22.01.2026 11:00:00
Транспортна галерея Естакада 3.4 (Глобине)</t>
  </si>
  <si>
    <t>Надходження дод. витрат ІБ00-000038 від 22.01.2026 11:10:00
Доп. расходы при поступлении товаров</t>
  </si>
  <si>
    <t>Кременчуцький річковий порт ПРАТ
Договір 112/Б від 15.10.2024_Глобине-2
Надходження дод. витрат ІБ00-000038 від 22.01.2026 11:10:00</t>
  </si>
  <si>
    <t>Реалізація товарів і послуг ІБ00-000020 від 22.01.2026 11:47:29
Списаны ТМЦ</t>
  </si>
  <si>
    <t>Вимога-накладна ІБ00-000126 від 22.01.2026 13:00:00
Списаны ТМЦ</t>
  </si>
  <si>
    <t>Обл. НДС
Бетон С20/25 W6 F75 P4
Переміщення товарів ІБ00-001043 від 06.10.2025 11:20:00
Цех екстракції (Глобине)</t>
  </si>
  <si>
    <t>Обл. НДС
Бетон С20/25 W6 F75 P4
Переміщення товарів ІБ00-001514 від 25.11.2025 11:20:00
Цех екстракції (Глобине)</t>
  </si>
  <si>
    <t>Обл. НДС
Бетон С 20/25  F75 W6 Р4
Переміщення товарів ІБ00-001448 від 17.11.2025 11:20:00
Цех екстракції (Глобине)</t>
  </si>
  <si>
    <t>Надходження товарів і послуг ІБ00-000363 від 22.01.2026 17:40:50
Оприходованы ТМЦ</t>
  </si>
  <si>
    <t>Обл. НДС
Шпілька М20*1000 оц
Надходження товарів і послуг ІБ00-000363 від 22.01.2026 17:40:50
Насосна Градирня (Глобине)</t>
  </si>
  <si>
    <t>ЄВРОБОЛТ УКРАЇНА ТОВ
Рахунки_Глобине-2
Рахунок на оплату постачальника ІБ00-000319 від 16.01.2026 18:00:54</t>
  </si>
  <si>
    <t>Обл. НДС
Шпілька М27*1000 оц
Надходження товарів і послуг ІБ00-000363 від 22.01.2026 17:40:50
Насосна Градирня (Глобине)</t>
  </si>
  <si>
    <t>23.01.2026</t>
  </si>
  <si>
    <t>Реалізація товарів і послуг ІБ00-000021 від 23.01.2026 10:39:19
Списаны ТМЦ</t>
  </si>
  <si>
    <t>Надходження товарів і послуг ІБ00-000364 від 23.01.2026 11:00:00
Оприходованы ТМЦ (Зачет аванса поставщику)</t>
  </si>
  <si>
    <t>Обл. НДС
Болт М 24*125 EN14399/4
Надходження товарів і послуг ІБ00-000364 від 23.01.2026 11:00:00
Цех екстракції (Глобине)</t>
  </si>
  <si>
    <t>ЄВРОБОЛТ УКРАЇНА ТОВ
Рахунки_Глобине-2
Рахунок на оплату постачальника ІБ00-000036 від 01.01.2026 11:00:52</t>
  </si>
  <si>
    <t>Обл. НДС
Болт М24*100  ЕN 14399/4
Надходження товарів і послуг ІБ00-000364 від 23.01.2026 11:00:00
Цех екстракції (Глобине)</t>
  </si>
  <si>
    <t>Обл. НДС
Болт М20*80  DIN 6914
Надходження товарів і послуг ІБ00-000364 від 23.01.2026 11:00:00
Цех екстракції (Глобине)</t>
  </si>
  <si>
    <t>Надходження товарів і послуг ІБ00-000364 від 23.01.2026 11:00:00
Оприходованы ТМЦ</t>
  </si>
  <si>
    <t>Обл. НДС
Гайка М24  ЕN 14399/4Мо
Надходження товарів і послуг ІБ00-000364 від 23.01.2026 11:00:00
Цех екстракції (Глобине)</t>
  </si>
  <si>
    <t>Надходження товарів і послуг ІБ00-000650 від 23.01.2026 11:00:00
Оприходованы ТМЦ</t>
  </si>
  <si>
    <t>Обл. НДС
Відсів 0-5
Надходження товарів і послуг ІБ00-000650 від 23.01.2026 11:00:00
Транспортна галерея (Глобине)</t>
  </si>
  <si>
    <t>Венкрас Авто ПП
Договір 05/09/2024 від 05.09.2024_Глобине-2
Рахунок на оплату постачальника ІБ00-000546 від 23.01.2026 20:00:11</t>
  </si>
  <si>
    <t>Надходження дод. витрат ІБ00-000062 від 23.01.2026 11:10:00
Доп. расходы при поступлении товаров</t>
  </si>
  <si>
    <t>25.01.2026</t>
  </si>
  <si>
    <t>Надходження товарів і послуг ІБ00-000448 від 25.01.2026 11:00:00
Оприходованы ТМЦ</t>
  </si>
  <si>
    <t>Обл. НДС
Спецпланка (295) 9006
Надходження товарів і послуг ІБ00-000448 від 25.01.2026 11:00:00
Котельна (Глобине)</t>
  </si>
  <si>
    <t>АЛМЕТ ТОВ
№28 от 22.09.2022.( рахунки)_Глобине-2
Рахунок на оплату постачальника ІБ00-000400 від 16.01.2026 18:01:07</t>
  </si>
  <si>
    <t>Обл. НДС
Спецпланка (305)
Надходження товарів і послуг ІБ00-000448 від 25.01.2026 11:00:00
Котельна (Глобине)</t>
  </si>
  <si>
    <t>Обл. НДС
Спецпланка (190) 9006
Надходження товарів і послуг ІБ00-000448 від 25.01.2026 11:00:00
Котельна (Глобине)</t>
  </si>
  <si>
    <t>Обл. НДС
Спецпланка (165) 9006
Надходження товарів і послуг ІБ00-000448 від 25.01.2026 11:00:00
Котельна (Глобине)</t>
  </si>
  <si>
    <t>Обл. НДС
Спецпланка (245) 9006
Надходження товарів і послуг ІБ00-000448 від 25.01.2026 11:00:00
Котельна (Глобине)</t>
  </si>
  <si>
    <t>Обл. НДС
Спецпланка (255) 9006
Надходження товарів і послуг ІБ00-000448 від 25.01.2026 11:00:00
Котельна (Глобине)</t>
  </si>
  <si>
    <t>Вимога-накладна ІБ00-000063 від 26.01.2026 00:00:00
Списаны ТМЦ</t>
  </si>
  <si>
    <t>Вимога-накладна ІБ00-000064 від 26.01.2026 00:00:00
Списаны ТМЦ</t>
  </si>
  <si>
    <t>Списання товарів ІБ00-000005 від 26.01.2026 20:00:00
Списаны ТМЦ</t>
  </si>
  <si>
    <t>Вимога-накладна ІБ00-000065 від 26.01.2026 20:00:08
Списаны ТМЦ</t>
  </si>
  <si>
    <t>Обл. НДС
Лист ЛГК 12,5*1200*2500 (шт)
Надходження товарів і послуг ІБ00-007643 від 19.12.2025 11:00:00
АПК (Глобине)</t>
  </si>
  <si>
    <t>Обл. НДС
Стрічка ППЕ НХ 5мм*30мм*20м
Надходження товарів і послуг ІБ00-005315 від 18.09.2025 11:00:00
АПК (Глобине)</t>
  </si>
  <si>
    <t>Обл. НДС
Профіль CW-100/50/4м 0.55мм
Надходження товарів і послуг ІБ00-007090 від 28.11.2025 11:00:00
АПК (Глобине)</t>
  </si>
  <si>
    <t>Обл. НДС
Профіль CD-60  4м 0,55мм (шт)
Надходження товарів і послуг ІБ00-005315 від 18.09.2025 11:00:00
АПК (Глобине)</t>
  </si>
  <si>
    <t>Обл. НДС
Грунт СТ-17/10л
Надходження товарів і послуг ІБ00-006829 від 11.11.2025 11:00:00
АПК (Глобине)</t>
  </si>
  <si>
    <t>Обл. НДС
Грунтовка глибокопроникаюча СТ17/10л
Надходження товарів і послуг ІБ00-006148 від 16.10.2025 11:00:00
АПК (Глобине)</t>
  </si>
  <si>
    <t>Вимога-накладна ІБ00-000066 від 26.01.2026 20:00:11
Списаны ТМЦ</t>
  </si>
  <si>
    <t>Обл. НДС
Арматура 12 міра (12-3760  А500С/А400С)
Надходження товарів і послуг ІБ00-005811 від 07.10.2025 11:00:00
Пункт фасування та зберігання в бігбегах (Глобине)</t>
  </si>
  <si>
    <t>Обл. НДС
Бетон С20/25 W6 F75 P4 доб-10
Переміщення товарів ІБ00-001708 від 24.12.2025 11:20:00
Пункт фасування та зберігання в бігбегах (Глобине)</t>
  </si>
  <si>
    <t>Обл. НДС
Плівка ПЕ рукав 1500 х 200мкм м2
Надходження товарів і послуг ІБ00-006743 від 01.11.2025 12:00:15
Пункт фасування та зберігання в бігбегах (Глобине)</t>
  </si>
  <si>
    <t>27.01.2026</t>
  </si>
  <si>
    <t>Надходження товарів і послуг ІБ00-000503 від 27.01.2026 11:00:00
Оприходованы ТМЦ</t>
  </si>
  <si>
    <t>Обл. НДС
Плита гіпсокартонна 12,5*1200*2500мм вологост
Надходження товарів і послуг ІБ00-000503 від 27.01.2026 11:00:00
АПК (Глобине)</t>
  </si>
  <si>
    <t>Лозовий Микола Миколайович ФОП
РАХУНКИ_Глобино-2
Рахунок на оплату постачальника ІБ00-000255 від 27.01.2026 17:40:16</t>
  </si>
  <si>
    <t>Обл. НДС
Профіль UD 28*22  3м 0,4мм 1/30/720шт
Надходження товарів і послуг ІБ00-000503 від 27.01.2026 11:00:00
АПК (Глобине)</t>
  </si>
  <si>
    <t>Обл. НДС
Підвіс прямий оц 60/125 0,9мм
Надходження товарів і послуг ІБ00-000503 від 27.01.2026 11:00:00
АПК (Глобине)</t>
  </si>
  <si>
    <t>Обл. НДС
Клей для плитки (25 кг)
Надходження товарів і послуг ІБ00-000503 від 27.01.2026 11:00:00
АПК (Глобине)</t>
  </si>
  <si>
    <t>Обл. НДС
Грунт глибокого проникнення з/в універсальна 10л
Надходження товарів і послуг ІБ00-000503 від 27.01.2026 11:00:00
АПК (Глобине)</t>
  </si>
  <si>
    <t>Обл. НДС
Шпаклівка гіпсова для швів 5кг
Надходження товарів і послуг ІБ00-000503 від 27.01.2026 11:00:00
АПК (Глобине)</t>
  </si>
  <si>
    <t>Обл. НДС
Шпаклівка гіпсова для швів 10кг
Надходження товарів і послуг ІБ00-000503 від 27.01.2026 11:00:00
АПК (Глобине)</t>
  </si>
  <si>
    <t>Обл. НДС
Кут перфорований пластиковий 25*25мм білий 3 м
Надходження товарів і послуг ІБ00-000503 від 27.01.2026 11:00:00
АПК (Глобине)</t>
  </si>
  <si>
    <t>Вимога-накладна ІБ00-000116 від 27.01.2026 12:00:00
Списаны ТМЦ</t>
  </si>
  <si>
    <t>Вимога-накладна ІБ00-000117 від 27.01.2026 12:00:00
Списаны ТМЦ</t>
  </si>
  <si>
    <t>Обл. НДС
Шпаклівка фініш 25кг
Надходження товарів і послуг ІБ00-008142 від 19.12.2025 11:00:00
АПК (Глобине)</t>
  </si>
  <si>
    <t>Вимога-накладна ІБ00-000130 від 27.01.2026 13:00:00
Списаны ТМЦ</t>
  </si>
  <si>
    <t>29.01.2026</t>
  </si>
  <si>
    <t>Переміщення товарів ІБ00-000244 від 29.01.2026 00:00:00
Перемещение ТМЦ</t>
  </si>
  <si>
    <t>Обл. НДС
Грунт-емаль ПФ-012 Р RAL7024
Переміщення товарів ІБ00-000244 від 29.01.2026 00:00:00
Пункт фасування та зберігання в бігбегах (Глобине)</t>
  </si>
  <si>
    <t>Обл. НДС
Розчинник "White Spirit"
Переміщення товарів ІБ00-000244 від 29.01.2026 00:00:00
Пункт фасування та зберігання в бігбегах (Глобине)</t>
  </si>
  <si>
    <t>Обл. НДС
Розчинник "White Spirit"
Надходження товарів і послуг ІБ00-002704 від 27.05.2025 11:00:00
СПК (Глобине)</t>
  </si>
  <si>
    <t>Обл. НДС
Розчинник "White Spirit" (л)
Переміщення товарів ІБ00-000244 від 29.01.2026 00:00:00
Пункт фасування та зберігання в бігбегах (Глобине)</t>
  </si>
  <si>
    <t>Надходження товарів і послуг ІБ00-000285 від 29.01.2026 18:09:31
Оприходованы ТМЦ</t>
  </si>
  <si>
    <t>Обл. НДС
Відвід безшовний 90° A/SA182 ASME B16.11 F304/304L 1/2'' 3000LBS
Надходження товарів і послуг ІБ00-000285 від 29.01.2026 18:09:31
Цех екстракції (Глобине)</t>
  </si>
  <si>
    <t>СПЕШАЛ ЕЛЛОЙЗ ТРЕЙДІНГ УКРАЇНА ТОВ
Дог.7/07  07.07.2025_Глобино-2
Рахунок на оплату постачальника ІБ00-003845 від 19.08.2025 21:48:53</t>
  </si>
  <si>
    <t>Обл. НДС
Відвід зварний 45° 3' SCH10S LR A/SA403 ASME B16.9 WP304/304L-W
Надходження товарів і послуг ІБ00-000285 від 29.01.2026 18:09:31
Цех екстракції (Глобине)</t>
  </si>
  <si>
    <t>Обл. НДС
Відвід зварний 45° 14' SCH10S LR A/SA403 ASME B16.9 WP304/304L-W /ASTM A312
Надходження товарів і послуг ІБ00-000285 від 29.01.2026 18:09:31
Цех екстракції (Глобине)</t>
  </si>
  <si>
    <t>Надходження товарів і послуг ІБ00-000288 від 29.01.2026 18:09:33
Оприходованы ТМЦ</t>
  </si>
  <si>
    <t>Обл. НДС
Перехід ексцентричний зварний 18'' х 10' SCH10S A/SA403 ASME B16.9 WP304/304L-W
Надходження товарів і послуг ІБ00-000288 від 29.01.2026 18:09:33
Цех екстракції (Глобине)</t>
  </si>
  <si>
    <t>СПЕШАЛ ЕЛЛОЙЗ ТРЕЙДІНГ УКРАЇНА ТОВ
Дог.7/07  07.07.2025_Глобино-2
Рахунок на оплату постачальника ІБ00-003843 від 19.08.2025 21:48:51</t>
  </si>
  <si>
    <t>Надходження товарів і послуг ІБ00-000293 від 29.01.2026 18:09:34
Оприходованы ТМЦ</t>
  </si>
  <si>
    <t>Обл. НДС
Фланець глухий 6" PN16, RF, 304L SS, TYPE 05B, BS EN1092-1
Надходження товарів і послуг ІБ00-000293 від 29.01.2026 18:09:34
Цех екстракції (Глобине)</t>
  </si>
  <si>
    <t>Обл. НДС
Фланець глухий 18" PN16, RF, 304L SS, TYPE 05B, BS EN1092-1
Надходження товарів і послуг ІБ00-000293 від 29.01.2026 18:09:34
Цех екстракції (Глобине)</t>
  </si>
  <si>
    <t>Надходження товарів і послуг ІБ00-000298 від 29.01.2026 18:09:41
Оприходованы ТМЦ</t>
  </si>
  <si>
    <t>Обл. НДС
Відвід зварний 45° 3' SCH10S LR A/SA403 ASME B16.9 WP304/304L-W
Надходження товарів і послуг ІБ00-000298 від 29.01.2026 18:09:41
Цех екстракції (Глобине)</t>
  </si>
  <si>
    <t>Обл. НДС
Відвід зварний 45° 14' SCH10S LR A/SA403 ASME B16.9 WP304/304L-W /ASTM A312
Надходження товарів і послуг ІБ00-000298 від 29.01.2026 18:09:41
Цех екстракції (Глобине)</t>
  </si>
  <si>
    <t>Обл. НДС
Відвід безшовний 45° 1' SCH40S LR A/SA403 ASME B16.9 WP304/304L-W
Надходження товарів і послуг ІБ00-000298 від 29.01.2026 18:09:41
Цех екстракції (Глобине)</t>
  </si>
  <si>
    <t>Обл. НДС
Трійник безшовний 1/2'' SW A/SA182 ASME B16.11 F304/304L 3000LBS (PN 100)
Надходження товарів і послуг ІБ00-000298 від 29.01.2026 18:09:41
Цех екстракції (Глобине)</t>
  </si>
  <si>
    <t>Обл. НДС
Перехід ексцентричний зварний 20'' х 12' SCH10S A/SA403 ASME B16.9 WP304/304L-W
Надходження товарів і послуг ІБ00-000298 від 29.01.2026 18:09:41
Цех екстракції (Глобине)</t>
  </si>
  <si>
    <t>Обл. НДС
Фланець глухий 2"x1/2" з різьбовим отвором під 15NB, PN16, RF, AISI 304L, тип 05B, BS EN1092-1
Надходження товарів і послуг ІБ00-000298 від 29.01.2026 18:09:41
Цех екстракції (Глобине)</t>
  </si>
  <si>
    <t>Обл. НДС
Заглушка різьба внутр. 1/2" Class 3000 (PN 100), EN 10226-1, ASTM A182 F304L
Надходження товарів і послуг ІБ00-000298 від 29.01.2026 18:09:41
Цех екстракції (Глобине)</t>
  </si>
  <si>
    <t>Обл. НДС
Заглушка різьба внутр. 1" Class 3000 (PN 100), EN 10226-1, ASTM A182 F304L
Надходження товарів і послуг ІБ00-000298 від 29.01.2026 18:09:41
Цех екстракції (Глобине)</t>
  </si>
  <si>
    <t>Обл. НДС
Муфта DN15, PN100, перехідна SW x G ½", нержавіюча сталь 1.4306 (304L), EN 10241
Надходження товарів і послуг ІБ00-000298 від 29.01.2026 18:09:41
Цех екстракції (Глобине)</t>
  </si>
  <si>
    <t>Обл. НДС
Муфта DN25, PN100, перехідна SW x G 1", нержавіюча сталь 1.4306 (304L), EN 10241
Надходження товарів і послуг ІБ00-000298 від 29.01.2026 18:09:41
Цех екстракції (Глобине)</t>
  </si>
  <si>
    <t>Обл. НДС
Втулка перехідна DN25×DN15, різьба G, нерж.сталь 1.4306 (304L), внутр/зовн.EN 10241
Надходження товарів і послуг ІБ00-000298 від 29.01.2026 18:09:41
Цех екстракції (Глобине)</t>
  </si>
  <si>
    <t>Обл. НДС
Втулка перехідна DN20×DN15, різьба G, нерж.сталь 1.4306 (304L), внутр/зовн.EN 10241
Надходження товарів і послуг ІБ00-000298 від 29.01.2026 18:09:41
Цех екстракції (Глобине)</t>
  </si>
  <si>
    <t>Обл. НДС
З'єднання різьбове під зварювання 1 1/2'' З/З SW UNION TP.304L клас 3000 (PN 100)
Надходження товарів і послуг ІБ00-000298 від 29.01.2026 18:09:41
Цех екстракції (Глобине)</t>
  </si>
  <si>
    <t>Обл. НДС
З'єднання різьбове під зварювання 3/4'' З/З SW UNION A/SA 182 ASME B16.11 F304/304L 3000 LBS (PN 100
Надходження товарів і послуг ІБ00-000298 від 29.01.2026 18:09:41
Цех екстракції (Глобине)</t>
  </si>
  <si>
    <t>Обл. НДС
З'єднання різьбове під зварювання 1/2'' З/З SW UNION A/SA 182 ASME B16.11 F304/304L 3000 LBS (PN 100
Надходження товарів і послуг ІБ00-000298 від 29.01.2026 18:09:41
Цех екстракції (Глобине)</t>
  </si>
  <si>
    <t>Обл. НДС
Нипель трубний 1/2" (DN15) PBE, довжина 50  мм (2"), Sch 40S, зварний, нерж.сталь 1.4306 (304L), AST
Надходження товарів і послуг ІБ00-000298 від 29.01.2026 18:09:41
Цех екстракції (Глобине)</t>
  </si>
  <si>
    <t>Обл. НДС
Нипель трубний 1/2" (DN15) PBE, довжина 100  мм (4"), Sch 40S, зварний, нерж.сталь 1.4306 (304L), AS
Надходження товарів і послуг ІБ00-000298 від 29.01.2026 18:09:41
Цех екстракції (Глобине)</t>
  </si>
  <si>
    <t>Обл. НДС
Нипель трубний 1" (DN25) PBE, довжина 100  мм (4"), Sch 40S, зварний, нерж.сталь 1.4306 (304L), ASTM
Надходження товарів і послуг ІБ00-000298 від 29.01.2026 18:09:41
Цех екстракції (Глобине)</t>
  </si>
  <si>
    <t>Обл. НДС
Ніпель трубний різьба одностороння DN15 (1/2") TOE, довжина 50 мм (2") S/40S, 1.4306 (304L), EN 1024
Надходження товарів і послуг ІБ00-000298 від 29.01.2026 18:09:41
Цех екстракції (Глобине)</t>
  </si>
  <si>
    <t>Обл. НДС
Ніпель трубний різьба одностороння DN15 (1/2") TOE, довжина 100 мм (4") S/40S, 1.4306 (304L), EN 102
Надходження товарів і послуг ІБ00-000298 від 29.01.2026 18:09:41
Цех екстракції (Глобине)</t>
  </si>
  <si>
    <t>Обл. НДС
Ніпель трубний різьба одностороння DN20 (3/4") TOE, довжина 100 мм (4") S/40S, 1.4306 (304L), EN 102
Надходження товарів і послуг ІБ00-000298 від 29.01.2026 18:09:41
Цех екстракції (Глобине)</t>
  </si>
  <si>
    <t>Обл. НДС
Ніпель трубний різьба одностороння DN25 (1") TOE, довжина 100 мм (4") S/40S, 1.4306 (304L), EN 10241
Надходження товарів і послуг ІБ00-000298 від 29.01.2026 18:09:41
Цех екстракції (Глобине)</t>
  </si>
  <si>
    <t>Обл. НДС
Ніпель трубний різьба одностороння DN40 (1 1/2") TOE, довжина 100 мм (4") S/40S, 1.4306 (304L), EN 1
Надходження товарів і послуг ІБ00-000298 від 29.01.2026 18:09:41
Цех екстракції (Глобине)</t>
  </si>
  <si>
    <t>Обл. НДС
Ніпель трубний різьба одностороння DN50 (2") TOE, довжина 100 мм (4") S/40S, 1.4306 (304L), EN 10241
Надходження товарів і послуг ІБ00-000298 від 29.01.2026 18:09:41
Цех екстракції (Глобине)</t>
  </si>
  <si>
    <t>Обл. НДС
Ніпель трубний різьба одностороння DN15 (1/2") TOE, довжина 150 мм (6") S/40S, 1.4306 (304L), EN 102
Надходження товарів і послуг ІБ00-000298 від 29.01.2026 18:09:41
Цех екстракції (Глобине)</t>
  </si>
  <si>
    <t>Обл. НДС
Врізка зварна колінна 12"x6"  Елболет S/10S, ASTM A312-TP304L
Надходження товарів і послуг ІБ00-000298 від 29.01.2026 18:09:41
Цех екстракції (Глобине)</t>
  </si>
  <si>
    <t>Обл. НДС
Врізка різьбова колінна 2"x1/2" Елболет ТРД  S/40S, BSPT R ½", 1.4306 (304L), EN 10241
Надходження товарів і послуг ІБ00-000298 від 29.01.2026 18:09:41
Цех екстракції (Глобине)</t>
  </si>
  <si>
    <t>Обл. НДС
Врізка різьбова колінна 3"x1 ½" Елболет ТРД  S/40S, BSPT R 1 ½", 1.4306 (304L), EN 10241
Надходження товарів і послуг ІБ00-000298 від 29.01.2026 18:09:41
Цех екстракції (Глобине)</t>
  </si>
  <si>
    <t>Обл. НДС
Відгалуження зварне різьбове Тредолет 2"x½", клас 3000 (PN 100), BSP R ½", 1.4306 (304L), EN 10241 /
Надходження товарів і послуг ІБ00-000298 від 29.01.2026 18:09:41
Цех екстракції (Глобине)</t>
  </si>
  <si>
    <t>Обл. НДС
Відгалуження зварне різьбове Тредолет 3"x½", клас 3000 (PN 100), BSP R ½", 1.4306 (304L), EN 10241 /
Надходження товарів і послуг ІБ00-000298 від 29.01.2026 18:09:41
Цех екстракції (Глобине)</t>
  </si>
  <si>
    <t>Обл. НДС
Відгалуження зварне різьбове Тредолет 6"x1", клас 3000 (PN 100), BSP R 1", 1.4306 (304L), EN 10241 /
Надходження товарів і послуг ІБ00-000298 від 29.01.2026 18:09:41
Цех екстракції (Глобине)</t>
  </si>
  <si>
    <t>Обл. НДС
Відгалуження зварне різьбове Тредолет 8"x1", клас 3000 (PN 100), BSP R 1", 1.4306 (304L), EN 10241 /
Надходження товарів і послуг ІБ00-000298 від 29.01.2026 18:09:41
Цех екстракції (Глобине)</t>
  </si>
  <si>
    <t>Обл. НДС
Відгалуження зварне різьбове Тредолет 12"x2", клас 3000 (PN 100), BSP R 2", 1.4306 (304L), EN 10241 
Надходження товарів і послуг ІБ00-000298 від 29.01.2026 18:09:41
Цех екстракції (Глобине)</t>
  </si>
  <si>
    <t>Обл. НДС
Відгалуження зварне різьбове Тредолет 14"x1", клас 3000 (PN 100), BSP R 1", 1.4306 (304L), EN 10241 
Надходження товарів і послуг ІБ00-000298 від 29.01.2026 18:09:41
Цех екстракції (Глобине)</t>
  </si>
  <si>
    <t>Обл. НДС
Відгалуження зварне різьбове Тредолет 16"x1", клас 3000 (PN 100), BSP R 1", 1.4306 (304L), EN 10241 
Надходження товарів і послуг ІБ00-000298 від 29.01.2026 18:09:41
Цех екстракції (Глобине)</t>
  </si>
  <si>
    <t>Обл. НДС
Відгалуження зварне різьбове Тредолет 18"x1", клас 3000 (PN 100), BSP R 1", 1.4306 (304L), EN 10241 
Надходження товарів і послуг ІБ00-000298 від 29.01.2026 18:09:41
Цех екстракції (Глобине)</t>
  </si>
  <si>
    <t>Обл. НДС
Відгалуження зварне різьбове Тредолет 20"x1", клас 3000 (PN 100), BSP R 1", 1.4306 (304L), EN 10241 
Надходження товарів і послуг ІБ00-000298 від 29.01.2026 18:09:41
Цех екстракції (Глобине)</t>
  </si>
  <si>
    <t>Обл. НДС
Відгалуження зварне Велдолет 12"x6" S/10S, BW під зварювання, сталь 1.4306 (304L), ASTM A182
Надходження товарів і послуг ІБ00-000298 від 29.01.2026 18:09:41
Цех екстракції (Глобине)</t>
  </si>
  <si>
    <t>Обл. НДС
Відгалуження зварне Велдолет 1 1/2"x1/2" S/40S, BW під зварювання, сталь 1.4306 (304L), ASTM A182
Надходження товарів і послуг ІБ00-000298 від 29.01.2026 18:09:41
Цех екстракції (Глобине)</t>
  </si>
  <si>
    <t>Обл. НДС
Відгалуження зварне Велдолет 3"x1/2" S/40S, BW під зварювання, сталь 1.4306 (304L), ASTM A182
Надходження товарів і послуг ІБ00-000298 від 29.01.2026 18:09:41
Цех екстракції (Глобине)</t>
  </si>
  <si>
    <t>Обл. НДС
Відгалуження зварне Велдолет 6"x1/2" S/40S, BW під зварювання, сталь 1.4306 (304L), ASTM A182
Надходження товарів і послуг ІБ00-000298 від 29.01.2026 18:09:41
Цех екстракції (Глобине)</t>
  </si>
  <si>
    <t>Обл. НДС
Відгалуження зварне Велдолет 8"x1/2" S/40S, BW під зварювання, сталь 1.4306 (304L), ASTM A182
Надходження товарів і послуг ІБ00-000298 від 29.01.2026 18:09:41
Цех екстракції (Глобине)</t>
  </si>
  <si>
    <t>Обл. НДС
Відгалуження зварне Велдолет 12"x1/2" S/40S, BW під зварювання, сталь 1.4306 (304L), ASTM A182
Надходження товарів і послуг ІБ00-000298 від 29.01.2026 18:09:41
Цех екстракції (Глобине)</t>
  </si>
  <si>
    <t>Обл. НДС
Відгалуження зварне Велдолет 14"x1/2" S/40S, BW під зварювання, сталь 1.4306 (304L), ASTM A182
Надходження товарів і послуг ІБ00-000298 від 29.01.2026 18:09:41
Цех екстракції (Глобине)</t>
  </si>
  <si>
    <t>Обл. НДС
Відгалуження зварне Велдолет 18"x1/2" S/40S, BW під зварювання, сталь 1.4306 (304L), ASTM A182
Надходження товарів і послуг ІБ00-000298 від 29.01.2026 18:09:41
Цех екстракції (Глобине)</t>
  </si>
  <si>
    <t>Обл. НДС
Врізка зварна бокова (Lateral) 14", S10S, під зварювання BW,сталь 1.4306 (304L), ASTM A403
Надходження товарів і послуг ІБ00-000298 від 29.01.2026 18:09:41
Цех екстракції (Глобине)</t>
  </si>
  <si>
    <t>Обл. НДС
Трійник безшовний перехідний 2'' X 1/2" A/SA403 ASME B16.9 WP304/304L SCH40S
Надходження товарів і послуг ІБ00-000298 від 29.01.2026 18:09:41
Цех екстракції (Глобине)</t>
  </si>
  <si>
    <t>Обл. НДС
Заглушка шестикутна трубна 1½" (DN40), зовнішня різьба BSPT R 1½",  сталь 1.4306 (304L), EN ISO 7-1
Надходження товарів і послуг ІБ00-000298 від 29.01.2026 18:09:41
Цех екстракції (Глобине)</t>
  </si>
  <si>
    <t>Обл. НДС
Заглушка шестикутна трубна 2" (DN50), зовнішня різьба BSPT R 2",  сталь 1.4306 (304L), EN ISO 7-1
Надходження товарів і послуг ІБ00-000298 від 29.01.2026 18:09:41
Цех екстракції (Глобине)</t>
  </si>
  <si>
    <t>Надходження товарів і послуг ІБ00-000301 від 29.01.2026 18:09:50
Оприходованы ТМЦ</t>
  </si>
  <si>
    <t>Обл. НДС
Фланець глухий PN16 DN 600, B1, вуглецева сталь P250GH (1.0460), EN 1092-1
Надходження товарів і послуг ІБ00-000301 від 29.01.2026 18:09:50
Цех екстракції (Глобине)</t>
  </si>
  <si>
    <t>Обл. НДС
Фланець плоский приварний DN 300/323,9, type 01, PN16, вуглецева сталь P250GH / 1.0460 EN 1092-1
Надходження товарів і послуг ІБ00-000301 від 29.01.2026 18:09:50
Цех екстракції (Глобине)</t>
  </si>
  <si>
    <t>Обл. НДС
Фланець плоский приварний DN 350/355,6, type 01, PN16, вуглецева сталь P250GH / 1.0460 EN 1092-1
Надходження товарів і послуг ІБ00-000301 від 29.01.2026 18:09:50
Цех екстракції (Глобине)</t>
  </si>
  <si>
    <t>Обл. НДС
Фланець плоский приварний DN 400/406,4, type 01, PN16, вуглецева сталь P250GH / 1.0460 EN 1092-1
Надходження товарів і послуг ІБ00-000301 від 29.01.2026 18:09:50
Цех екстракції (Глобине)</t>
  </si>
  <si>
    <t>Обл. НДС
Фланець надвижний приварний DN 65/76,1, SO, PN16, вуглецева сталь P250GH / 1.0460 EN 10222-2, APZ DI
Надходження товарів і послуг ІБ00-000301 від 29.01.2026 18:09:50
Цех екстракції (Глобине)</t>
  </si>
  <si>
    <t>Обл. НДС
Фланець надвижний приварний DN 400/406,4, SO, PN16, вуглецева сталь P250GH / 1.0460 EN 10222-2, APZ 
Надходження товарів і послуг ІБ00-000301 від 29.01.2026 18:09:50
Цех екстракції (Глобине)</t>
  </si>
  <si>
    <t>30.01.2026</t>
  </si>
  <si>
    <t>Переміщення товарів ІБ00-000245 від 30.01.2026 08:00:00
Перемещение ТМЦ</t>
  </si>
  <si>
    <t>Обл. НДС
Пісок з відсіву дроблення щебеню фр. 0-5мм.
Переміщення товарів ІБ00-000245 від 30.01.2026 08:00:00
Транспортна галерея (Глобине)</t>
  </si>
  <si>
    <t>Обл. НДС
Пісок з відсіву дроблення щебеню фр. 0-5мм.
Переміщення товарів ІБ00-001612 від 01.12.2025 23:00:46
Транспортна галерея Естакада 3.4 (Глобине)</t>
  </si>
  <si>
    <t>Обл. НДС
Пісок з відсіву дроблення щебеню фр. 0-5мм.
Переміщення товарів ІБ00-001613 від 01.12.2025 23:00:47
Транспортна галерея Естакада 3.4 (Глобине)</t>
  </si>
  <si>
    <t>Переміщення товарів ІБ00-000246 від 30.01.2026 08:00:00
Перемещение ТМЦ</t>
  </si>
  <si>
    <t>Обл. НДС
Пісок з відсіву дроблення щебеню фр. 0-5мм.
Переміщення товарів ІБ00-000246 від 30.01.2026 08:00:00
Транспортна галерея (Глобине)</t>
  </si>
  <si>
    <t>Обл. НДС
Пісок з відсіву дроблення щебеню фр. 0-5мм.
Надходження товарів і послуг ІБ00-007979 від 25.12.2025 11:00:00
Генплан благоустрій (Глобине)</t>
  </si>
  <si>
    <t>Переміщення товарів ІБ00-000247 від 30.01.2026 08:00:00
Перемещение ТМЦ</t>
  </si>
  <si>
    <t>Обл. НДС
Пісок з відсіву дроблення щебеню фр. 0-5мм.
Переміщення товарів ІБ00-000247 від 30.01.2026 08:00:00
Транспортна галерея (Глобине)</t>
  </si>
  <si>
    <t>Обл. НДС
Пісок з відсіву дроблення щебеню фр. 0-5мм.
Переміщення товарів ІБ00-001049 від 03.10.2025 11:10:00
Насосна Градирня (Глобине)</t>
  </si>
  <si>
    <t>Переміщення товарів ІБ00-000248 від 30.01.2026 08:00:00
Перемещение ТМЦ</t>
  </si>
  <si>
    <t>Обл. НДС
Пісок з відсіву дроблення щебеню фр. 0-5мм.
Переміщення товарів ІБ00-000248 від 30.01.2026 08:00:00
Транспортна галерея (Глобине)</t>
  </si>
  <si>
    <t>Обл. НДС
Пісок з відсіву дроблення щебеню фр. 0-5мм.
Переміщення товарів ІБ00-001048 від 03.10.2025 11:10:00
Пожежений резервуар (Глобине)</t>
  </si>
  <si>
    <t>Переміщення товарів ІБ00-000249 від 30.01.2026 08:00:00
Перемещение ТМЦ</t>
  </si>
  <si>
    <t>Обл. НДС
Пісок з відсіву дроблення щебеню фр. 0-5мм.
Переміщення товарів ІБ00-000249 від 30.01.2026 08:00:00
Транспортна галерея (Глобине)</t>
  </si>
  <si>
    <t>Обл. НДС
Пісок з відсіву дроблення щебеню фр. 0-5мм.
Переміщення товарів ІБ00-001331 від 06.11.2025 11:20:00
Пункт фасування та зберігання в бігбегах (Глобине)</t>
  </si>
  <si>
    <t>Обл. НДС
Пісок з відсіву дроблення щебеню фр. 0-5мм.
Переміщення товарів ІБ00-001322 від 07.11.2025 11:20:00
Пункт фасування та зберігання в бігбегах (Глобине)</t>
  </si>
  <si>
    <t>Переміщення товарів ІБ00-000250 від 30.01.2026 08:00:00
Перемещение ТМЦ</t>
  </si>
  <si>
    <t>Обл. НДС
Пісок з відсіву дроблення щебеню фр. 0-5мм.
Переміщення товарів ІБ00-000250 від 30.01.2026 08:00:00
Транспортна галерея (Глобине)</t>
  </si>
  <si>
    <t>Обл. НДС
Пісок з відсіву дроблення щебеню фр. 0-5мм.
Переміщення товарів ІБ00-001734 від 04.12.2025 11:20:00
СПК (Глобине)</t>
  </si>
  <si>
    <t>Переміщення товарів ІБ00-000251 від 30.01.2026 08:00:00
Перемещение ТМЦ</t>
  </si>
  <si>
    <t>Обл. НДС
Пісок з відсіву дроблення щебеню фр. 0-5мм.
Переміщення товарів ІБ00-000251 від 30.01.2026 08:00:00
Транспортна галерея (Глобине)</t>
  </si>
  <si>
    <t>Обл. НДС
Пісок з відсіву дроблення щебеню фр. 0-5мм.
Переміщення товарів ІБ00-001321 від 07.11.2025 11:20:00
Транспортна галерея Естакада 3.5 (Глобине)</t>
  </si>
  <si>
    <t>Обл. НДС
Щебінь 20-40
Переміщення товарів ІБ00-000251 від 30.01.2026 08:00:00
Транспортна галерея (Глобине)</t>
  </si>
  <si>
    <t>Обл. НДС
Щебінь 20-40
Переміщення товарів ІБ00-001735 від 04.12.2025 11:20:00
Транспортна галерея Естакада 3.5 (Глобине)</t>
  </si>
  <si>
    <t>Переміщення товарів ІБ00-000253 від 30.01.2026 08:00:00
Перемещение ТМЦ</t>
  </si>
  <si>
    <t>Обл. НДС
Герметик Оксипласт 12кг
Переміщення товарів ІБ00-000253 від 30.01.2026 08:00:00
СПК (Глобине)</t>
  </si>
  <si>
    <t>Обл. НДС
Герметик Оксипласт 12кг
Надходження товарів і послуг ІБ00-005041 від 05.09.2025 11:00:00
Цех екстракції (Глобине)</t>
  </si>
  <si>
    <t>Обл. НДС
Джгут TS-6 (500м/п)
Переміщення товарів ІБ00-000253 від 30.01.2026 08:00:00
СПК (Глобине)</t>
  </si>
  <si>
    <t>Обл. НДС
Джгут TS-6 (500м/п)
Надходження товарів і послуг ІБ00-005041 від 05.09.2025 11:00:00
Цех екстракції (Глобине)</t>
  </si>
  <si>
    <t>Переміщення товарів ІБ00-000254 від 30.01.2026 08:00:00
Перемещение ТМЦ</t>
  </si>
  <si>
    <t>Обл. НДС
Електрод  АНО-21 ф 4 (5кг),  пач
Переміщення товарів ІБ00-000254 від 30.01.2026 08:00:00
Цех екстракції (Глобине)</t>
  </si>
  <si>
    <t>Обл. НДС
Електрод  АНО-21 ф 4 (5кг),  пач
Переміщення товарів ІБ00-000042 від 14.01.2026 14:42:48
Глобине-2</t>
  </si>
  <si>
    <t>Переміщення товарів ІБ00-000268 від 30.01.2026 08:00:00
Перемещение ТМЦ</t>
  </si>
  <si>
    <t>Обл. НДС
Муфта терморезисторна 110
Переміщення товарів ІБ00-000268 від 30.01.2026 08:00:00
АПК (Глобине)</t>
  </si>
  <si>
    <t>Обл. НДС
Муфта терморезисторна 110
Надходження товарів і послуг ІБ00-007154 від 24.11.2025 11:00:00
Котельна (Глобине)</t>
  </si>
  <si>
    <t>Обл. НДС
Муфта з'єднувальна ф32 мм
Переміщення товарів ІБ00-000268 від 30.01.2026 08:00:00
АПК (Глобине)</t>
  </si>
  <si>
    <t>Обл. НДС
Муфта з'єднувальна ф32 мм
Надходження товарів і послуг ІБ00-007154 від 24.11.2025 11:00:00
Котельна (Глобине)</t>
  </si>
  <si>
    <t>Обл. НДС
Труба поліпропіленова PP-R/F  РN 20 бар 20 мм сіра
Переміщення товарів ІБ00-000268 від 30.01.2026 08:00:00
АПК (Глобине)</t>
  </si>
  <si>
    <t>Обл. НДС
Труба поліпропіленова PP-R/F  РN 20 бар 20 мм сіра
Надходження товарів і послуг ІБ00-007154 від 24.11.2025 11:00:00
Котельна (Глобине)</t>
  </si>
  <si>
    <t>Обл. НДС
Труба поліпропіленова PP-R/F  РN 20 бар 25 мм сіра
Переміщення товарів ІБ00-000268 від 30.01.2026 08:00:00
АПК (Глобине)</t>
  </si>
  <si>
    <t>Обл. НДС
Труба поліпропіленова PP-R/F  РN 20 бар 25 мм сіра
Надходження товарів і послуг ІБ00-006725 від 04.11.2025 11:00:00
Котельна (Глобине)</t>
  </si>
  <si>
    <t>Обл. НДС
Кутник 90  PPR ф20**1008
Переміщення товарів ІБ00-000268 від 30.01.2026 08:00:00
АПК (Глобине)</t>
  </si>
  <si>
    <t>Обл. НДС
Куточок 90 PP-R D=25 mm сірий
Переміщення товарів ІБ00-000268 від 30.01.2026 08:00:00
АПК (Глобине)</t>
  </si>
  <si>
    <t>Обл. НДС
Куточок 90 PP-R D=25 mm сірий
Надходження товарів і послуг ІБ00-007154 від 24.11.2025 11:00:00
Котельна (Глобине)</t>
  </si>
  <si>
    <t>Обл. НДС
Перехідник, PP-R, D=25х20 мм, HB, сірий 3917400090
Переміщення товарів ІБ00-000268 від 30.01.2026 08:00:00
АПК (Глобине)</t>
  </si>
  <si>
    <t>Обл. НДС
Перехідник, PP-R, D=25х20 мм, HB, сірий 3917400090
Надходження товарів і послуг ІБ00-007151 від 24.11.2025 11:00:00
Котельна (Глобине)</t>
  </si>
  <si>
    <t>Обл. НДС
Перехідник, PP-R, D=32х20 мм, HB, сірий 
Переміщення товарів ІБ00-000268 від 30.01.2026 08:00:00
АПК (Глобине)</t>
  </si>
  <si>
    <t>Обл. НДС
Перехідник, PP-R, D=32х20 мм, HB, сірий 
Надходження товарів і послуг ІБ00-007154 від 24.11.2025 11:00:00
Котельна (Глобине)</t>
  </si>
  <si>
    <t>Обл. НДС
Перехідник, PP-R, D=32х25 мм, HB, сірий 3917400090
Переміщення товарів ІБ00-000268 від 30.01.2026 08:00:00
АПК (Глобине)</t>
  </si>
  <si>
    <t>Обл. НДС
Перехідник, PP-R, D=32х25 мм, HB, сірий 3917400090
Надходження товарів і послуг ІБ00-007154 від 24.11.2025 11:00:00
Котельна (Глобине)</t>
  </si>
  <si>
    <t>Обл. НДС
Трійник, редукційний, PP-R, D=25х20х25 мм,сірий 
Переміщення товарів ІБ00-000268 від 30.01.2026 08:00:00
АПК (Глобине)</t>
  </si>
  <si>
    <t>Обл. НДС
Трійник, редукційний, PP-R, D=25х20х25 мм,сірий 
Надходження товарів і послуг ІБ00-007154 від 24.11.2025 11:00:00
Котельна (Глобине)</t>
  </si>
  <si>
    <t>Обл. НДС
Трійник, редукційний, PP-R, D=32х25х32 мм,сірий 
Переміщення товарів ІБ00-000268 від 30.01.2026 08:00:00
АПК (Глобине)</t>
  </si>
  <si>
    <t>Обл. НДС
Трійник, редукційний, PP-R, D=32х25х32 мм,сірий 
Надходження товарів і послуг ІБ00-007154 від 24.11.2025 11:00:00
Котельна (Глобине)</t>
  </si>
  <si>
    <t>Обл. НДС
Трійник, PP-R, D = 25 мм, сірий 
Переміщення товарів ІБ00-000268 від 30.01.2026 08:00:00
АПК (Глобине)</t>
  </si>
  <si>
    <t>Обл. НДС
Трійник, PP-R, D = 25 мм, сірий 
Надходження товарів і послуг ІБ00-007154 від 24.11.2025 11:00:00
Котельна (Глобине)</t>
  </si>
  <si>
    <t>Обл. НДС
Трійник, PP-R, D=32 мм, сірий 3917400090
Переміщення товарів ІБ00-000268 від 30.01.2026 08:00:00
АПК (Глобине)</t>
  </si>
  <si>
    <t>Обл. НДС
Трійник, PP-R, D=32 мм, сірий 3917400090
Надходження товарів і послуг ІБ00-007154 від 24.11.2025 11:00:00
Котельна (Глобине)</t>
  </si>
  <si>
    <t>Обл. НДС
Заглушка колекторна D=1/2" В
Переміщення товарів ІБ00-000268 від 30.01.2026 08:00:00
АПК (Глобине)</t>
  </si>
  <si>
    <t>Обл. НДС
Заглушка колекторна D=1/2" В
Надходження товарів і послуг ІБ00-007151 від 24.11.2025 11:00:00
Котельна (Глобине)</t>
  </si>
  <si>
    <t>Обл. НДС
Хомут з прокладкою, M8/M10, 4 "(108-114 мм)
Переміщення товарів ІБ00-000268 від 30.01.2026 08:00:00
АПК (Глобине)</t>
  </si>
  <si>
    <t>Обл. НДС
Хомут з прокладкою, M8/M10, 4 "(108-114 мм)
Надходження товарів і послуг ІБ00-007151 від 24.11.2025 11:00:00
Котельна (Глобине)</t>
  </si>
  <si>
    <t>Обл. НДС
Хомут з прокладкою KSB1 M8 25-28 mm
Переміщення товарів ІБ00-000268 від 30.01.2026 08:00:00
АПК (Глобине)</t>
  </si>
  <si>
    <t>Обл. НДС
Хомут з прокладкою KSB1 M8 25-28 mm
Надходження товарів і послуг ІБ00-007151 від 24.11.2025 11:00:00
Котельна (Глобине)</t>
  </si>
  <si>
    <t>Обл. НДС
Хомут з прокладкою KSB1, M8, 57-61 мм
Переміщення товарів ІБ00-000268 від 30.01.2026 08:00:00
АПК (Глобине)</t>
  </si>
  <si>
    <t>Обл. НДС
Хомут з прокладкою KSB1, M8, 57-61 мм
Надходження товарів і послуг ІБ00-007151 від 24.11.2025 11:00:00
Котельна (Глобине)</t>
  </si>
  <si>
    <t>Обл. НДС
Хомут з прокладкою, M8, 1 1/4" (40-43 мм)
Переміщення товарів ІБ00-000268 від 30.01.2026 08:00:00
АПК (Глобине)</t>
  </si>
  <si>
    <t>Обл. НДС
Хомут з прокладкою, M8, 1 1/4" (40-43 мм)
Надходження товарів і послуг ІБ00-007151 від 24.11.2025 11:00:00
Котельна (Глобине)</t>
  </si>
  <si>
    <t>Обл. НДС
Труба поліпропіленова PP-R/F  РN 20 бар 32 мм сіра
Переміщення товарів ІБ00-000268 від 30.01.2026 08:00:00
АПК (Глобине)</t>
  </si>
  <si>
    <t>Обл. НДС
Труба поліпропіленова PP-R/F  РN 20 бар 32 мм сіра
Надходження товарів і послуг ІБ00-007154 від 24.11.2025 11:00:00
Котельна (Глобине)</t>
  </si>
  <si>
    <t>Надходження товарів і послуг ІБ00-000425 від 30.01.2026 11:00:00
Оприходованы ТМЦ (Зачет аванса поставщику)</t>
  </si>
  <si>
    <t>Обл. НДС
Аргон газоподіб.ТУ У 20.1-05761850-027:2018
Надходження товарів і послуг ІБ00-000425 від 30.01.2026 11:00:00
Глобине-2</t>
  </si>
  <si>
    <t>Тімекс ПП
Рахунки_Глобино-2
Рахунок на оплату постачальника ІБ00-003831 від 01.08.2025 22:37:25</t>
  </si>
  <si>
    <t>Обл. НДС
Діоксид вуглецю газоподібний, 20 кг
Надходження товарів і послуг ІБ00-000425 від 30.01.2026 11:00:00
Глобине-2</t>
  </si>
  <si>
    <t>Переміщення товарів ІБ00-000378 від 30.01.2026 12:00:00
Перемещение ТМЦ</t>
  </si>
  <si>
    <t>Обл. НДС
Діоксид вуглецю газоподібний, 20 кг
Переміщення товарів ІБ00-000378 від 30.01.2026 12:00:00
СПК (Глобине)</t>
  </si>
  <si>
    <t>Списання товарів ІБ00-000055 від 30.01.2026 13:00:00
Списаны ТМЦ</t>
  </si>
  <si>
    <t>Обл. НДС
Фанера ламінована 1250*2500*21 мм гл/гл
Переміщення товарів ІБ00-001786 від 31.12.2025 08:00:00
СПК (Глобине)</t>
  </si>
  <si>
    <t>Вимога-накладна ІБ00-000070 від 30.01.2026 19:00:29
Списаны ТМЦ</t>
  </si>
  <si>
    <t>Обл. НДС
Лист г/к  6*1500*3000 мм EN10051 S235JR
Переміщення товарів ІБ00-001430 від 28.11.2025 11:20:00
СПК (Глобине)</t>
  </si>
  <si>
    <t>Обл. НДС
Труба  80*80*3  ст1-3 пс L=12000
Переміщення товарів ІБ00-001434 від 28.11.2025 11:20:00
СПК (Глобине)</t>
  </si>
  <si>
    <t>Обл. НДС
Швелер 10 (UREAA 100) S235 JR, 6,05 м
Надходження товарів і послуг ІБ00-003704 від 14.07.2025 11:00:00
СПК (Глобине)</t>
  </si>
  <si>
    <t>Обл. НДС
Швелер 10У  (100 12,05 8240 3пс)
Переміщення товарів ІБ00-001434 від 28.11.2025 11:20:00
СПК (Глобине)</t>
  </si>
  <si>
    <t>Обл. НДС
Грунт ГФ-021 сірий
Надходження товарів і послуг ІБ00-008130 від 01.12.2025 11:00:00
СПК (Глобине)</t>
  </si>
  <si>
    <t>Обл. НДС
Грунт ГФ-021 сірий
Надходження товарів і послуг ІБ00-008131 від 01.12.2025 11:00:00
СПК (Глобине)</t>
  </si>
  <si>
    <t>Вимога-накладна ІБ00-000071 від 30.01.2026 19:00:32
Списаны ТМЦ</t>
  </si>
  <si>
    <t>Вимога-накладна ІБ00-000072 від 30.01.2026 19:00:35
Списаны ТМЦ</t>
  </si>
  <si>
    <t>Обл. НДС
Анкерний блок БФБ-1
Надходження товарів і послуг ІБ00-005505 від 01.09.2025 11:00:00
Транспортна галерея (Глобине)</t>
  </si>
  <si>
    <t>Обл. НДС
Блок  фундаментний БФБ-2
Надходження товарів і послуг ІБ00-008129 від 25.12.2025 11:00:00
Транспортна галерея (Глобине)</t>
  </si>
  <si>
    <t>Обл. НДС
Пісок з відсіву дроблення щебеню фр. 0-5мм.
Надходження товарів і послуг ІБ00-007978 від 24.12.2025 11:00:00
Транспортна галерея (Глобине)</t>
  </si>
  <si>
    <t>Обл. НДС
Бетон С20/25 W6 F75 P4
Переміщення товарів ІБ00-001728 від 30.12.2025 08:00:00
Транспортна галерея (Глобине)</t>
  </si>
  <si>
    <t>Списання товарів ІБ00-000040 від 30.01.2026 20:00:00
Списаны ТМЦ</t>
  </si>
  <si>
    <t>Обл. НДС
Дюбель "грибок" 6*60 
Надходження товарів і послуг ІБ00-005315 від 18.09.2025 11:00:00
АПК (Глобине)</t>
  </si>
  <si>
    <t>Обл. НДС
Сітка штукатурна  5 х5 мм (1*50 м) 160 г/кв.м
Надходження товарів і послуг ІБ00-006148 від 16.10.2025 11:00:00
АПК (Глобине)</t>
  </si>
  <si>
    <t>Вимога-накладна ІБ00-000073 від 30.01.2026 20:00:00
Списаны ТМЦ</t>
  </si>
  <si>
    <t>Обл. НДС
Швелер № 16П міра 12,00 м
Переміщення товарів ІБ00-001782 від 31.12.2025 08:00:00
СПК (Глобине)</t>
  </si>
  <si>
    <t>Обл. НДС
Швелер 20П міра L=12000.00мм 1-3 сп/пс 5 категорія
Надходження товарів і послуг ІБ00-006205 від 01.10.2025 11:00:00
СПК (Глобине)</t>
  </si>
  <si>
    <t>Обл. НДС
Швелер 30П міра 12,00 м 
Надходження товарів і послуг ІБ00-005060 від 29.08.2025 11:00:00
СПК (Глобине)</t>
  </si>
  <si>
    <t>Обл. НДС
Швелер гнутий 160*100*5 (160 6-S235JR)
Надходження товарів і послуг ІБ00-006175 від 22.10.2025 11:00:00
СПК (Глобине)</t>
  </si>
  <si>
    <t>Обл. НДС
кутики 75х75х5 мм; ст. 3сп5; 12 м
Переміщення товарів ІБ00-001160 від 01.10.2025 11:10:00
СПК (Глобине)</t>
  </si>
  <si>
    <t>Обл. НДС
Труба 100х100х4 (12,05- 8940:2019 08кп/1-3пс)
Надходження товарів і послуг ІБ00-003704 від 14.07.2025 11:00:00
СПК (Глобине)</t>
  </si>
  <si>
    <t>Обл. НДС
Труба профільна 100*100*5 мм, 12 м
Надходження товарів і послуг ІБ00-006214 від 01.10.2025 11:00:00
СПК (Глобине)</t>
  </si>
  <si>
    <t>Обл. НДС
Труба 100*100*4  ст1-3 пс L=12000
Надходження товарів і послуг ІБ00-006204 від 01.10.2025 11:00:00
СПК (Глобине)</t>
  </si>
  <si>
    <t>Обл. НДС
Труба профільна 120*120*4 L=12000 мм ст1-3 сп/пс
Надходження товарів і послуг ІБ00-006213 від 01.10.2025 11:00:00
СПК (Глобине)</t>
  </si>
  <si>
    <t>Обл. НДС
Грунт-емаль ПФ-012 Р RAL7024
Надходження товарів і послуг ІБ00-008131 від 01.12.2025 11:00:00
СПК (Глобине)</t>
  </si>
  <si>
    <t>Вимога-накладна ІБ00-000077 від 30.01.2026 20:05:00
Списаны ТМЦ</t>
  </si>
  <si>
    <t>Обл. НДС
Профілі сталеві листові Н-57 оцинк
Надходження товарів і послуг ІБ00-005804 від 03.10.2025 11:00:00
Котельна (Глобине)</t>
  </si>
  <si>
    <t>Обл. НДС
Профілі сталеві листові Н-57 оцинк
Надходження товарів і послуг ІБ00-006606 від 09.10.2025 11:00:00
Котельна (Глобине)</t>
  </si>
  <si>
    <t>Обл. НДС
Саморіз  4,8*19 RAL 9006
Надходження товарів і послуг ІБ00-003705 від 14.07.2025 11:00:00
Котельна (Глобине)</t>
  </si>
  <si>
    <t>Вимога-накладна ІБ00-000078 від 30.01.2026 20:10:00
Списаны ТМЦ</t>
  </si>
  <si>
    <t>Обл. НДС
Болт М20*65  DIN 933 
Надходження товарів і послуг ІБ00-006718 від 11.11.2025 22:53:43
Цех екстракції (Глобине)</t>
  </si>
  <si>
    <t>Обл. НДС
Гайка М20  DIN 934 8,8
Надходження товарів і послуг ІБ00-006718 від 11.11.2025 22:53:43
Цех екстракції (Глобине)</t>
  </si>
  <si>
    <t>Обл. НДС
Шайба плоська DIN 125 М20 140 HV ЦБ
Надходження товарів і послуг ІБ00-005312 від 18.09.2025 11:00:00
Цех екстракції (Глобине)</t>
  </si>
  <si>
    <t>Обл. НДС
Шайба плоська DIN 125 М20 140 HV ЦБ
Надходження товарів і послуг ІБ00-006718 від 11.11.2025 22:53:43
Цех екстракції (Глобине)</t>
  </si>
  <si>
    <t>Вимога-накладна ІБ00-000079 від 30.01.2026 20:30:00
Списаны ТМЦ</t>
  </si>
  <si>
    <t>Обл. НДС
Труба поліетиленова ПЕ 100 ВОДА SDR11 PN16 D= 20 х 2,0мм
Надходження товарів і послуг ІБ00-007700 від 16.12.2025 11:00:00
АПК (Глобине)</t>
  </si>
  <si>
    <t>Обл. НДС
Кутник 90  PPR ф20**1008
Надходження товарів і послуг ІБ00-008133 від 25.12.2025 11:11:11
АПК (Глобине)</t>
  </si>
  <si>
    <t>Обл. НДС
Кутник 90  PPR ф20**1008
Надходження товарів і послуг ІБ00-008112 від 29.12.2025 11:00:00
АПК (Глобине)</t>
  </si>
  <si>
    <t>Обл. НДС
Кутник 90  PPR ф32**1008
Надходження товарів і послуг ІБ00-008133 від 25.12.2025 11:11:11
АПК (Глобине)</t>
  </si>
  <si>
    <t>Обл. НДС
Трійник PPR 20**1013
Надходження товарів і послуг ІБ00-008133 від 25.12.2025 11:11:11
АПК (Глобине)</t>
  </si>
  <si>
    <t>Обл. НДС
Заглушка (кришка) ф20**1025
Надходження товарів і послуг ІБ00-008133 від 25.12.2025 11:11:11
АПК (Глобине)</t>
  </si>
  <si>
    <t>Обл. НДС
Ревізія 110
Надходження товарів і послуг ІБ00-008112 від 29.12.2025 11:00:00
АПК (Глобине)</t>
  </si>
  <si>
    <t>Обл. НДС
Відвід D=110 мм, 87 30
Надходження товарів і послуг ІБ00-007700 від 16.12.2025 11:00:00
АПК (Глобине)</t>
  </si>
  <si>
    <t>Обл. НДС
Відвід d 50 мм 87*30"
Надходження товарів і послуг ІБ00-007700 від 16.12.2025 11:00:00
АПК (Глобине)</t>
  </si>
  <si>
    <t>Обл. НДС
Трійник редукційний D=110-50 мм, 87° 30 ' 3917400090
Надходження товарів і послуг ІБ00-007700 від 16.12.2025 11:00:00
АПК (Глобине)</t>
  </si>
  <si>
    <t>Обл. НДС
Трійник D=50 mm 87* 30
Надходження товарів і послуг ІБ00-007700 від 16.12.2025 11:00:00
АПК (Глобине)</t>
  </si>
  <si>
    <t>Обл. НДС
Трійник ПВХ, кут=87 град., D=110х110 мм 
Надходження товарів і послуг ІБ00-007700 від 16.12.2025 11:00:00
АПК (Глобине)</t>
  </si>
  <si>
    <t>Обл. НДС
Коліно стик.SDR 11 110
Надходження товарів і послуг ІБ00-007699 від 17.12.2025 11:00:00
АПК (Глобине)</t>
  </si>
  <si>
    <t>Обл. НДС
Коліно стик.SDR 11 75
Надходження товарів і послуг ІБ00-007699 від 17.12.2025 11:00:00
АПК (Глобине)</t>
  </si>
  <si>
    <t>Обл. НДС
Перехід ексентричний D=110/50мм
Надходження товарів і послуг ІБ00-007700 від 16.12.2025 11:00:00
АПК (Глобине)</t>
  </si>
  <si>
    <t>Обл. НДС
Труба поліпропіленова, каналізаційна, d = 50 мм, l = 2000 мм 3917221000¶
Надходження товарів і послуг ІБ00-007700 від 16.12.2025 11:00:00
АПК (Глобине)</t>
  </si>
  <si>
    <t>Обл. НДС
Каналізаційна труба ПВХ, SN8, D = 110x3,4 мм, L = 2м
Надходження товарів і послуг ІБ00-007700 від 16.12.2025 11:00:00
АПК (Глобине)</t>
  </si>
  <si>
    <t>Обл. НДС
Труба поліпропіленова, каналізаційна, d=110 мм, l=2000 мм 
Надходження товарів і послуг ІБ00-007700 від 16.12.2025 11:00:00
АПК (Глобине)</t>
  </si>
  <si>
    <t>Списання товарів ІБ00-000037 від 30.01.2026 20:30:01
Списаны ТМЦ</t>
  </si>
  <si>
    <t>Вимога-накладна ІБ00-000080 від 30.01.2026 20:30:03
Списаны ТМЦ</t>
  </si>
  <si>
    <t>Обл. НДС
Сендвіч-панель ТПК стінова 100 мм МВ 1000 мм відкр.замок С 0,5 PS/C 0,5 PS 6,810м трап9006/трап9003
Надходження товарів і послуг ІБ00-007534 від 11.12.2025 11:00:00
Пункт фасування та зберігання в бігбегах (Глобине)</t>
  </si>
  <si>
    <t>Обл. НДС
Сендвіч-панель ТПК стінова 100 мм МВ 1000 мм відкр.замок С 0,5 PS/C 0,5 PS 6,300м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</si>
  <si>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1000 мм відкр.замок С 0,5 PS/C 0,5 PS 5,980м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</si>
  <si>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1000 мм відкр.замок С 0,5 PS/C 0,5 PS 2,00м трап9006/трап9003
Надходження товарів і послуг ІБ00-007534 від 11.12.2025 11:00:00
Пункт фасування та зберігання в бігбегах (Глобине)</t>
  </si>
  <si>
    <t>Обл. НДС
Сендвіч-панель ТПК стінова 100 мм МВ 1000 мм відкр.замок С 0,5 PS/C 0,5 PS 2,620м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</si>
  <si>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1180 мм відкр.замок С 0,5 PS/C 0,5 PS 8,400м трап9006/трап9003
Надходження товарів і послуг ІБ00-007535 від 12.12.2025 11:00:00
Пункт фасування та зберігання в бігбегах (Глобине)</t>
  </si>
  <si>
    <t>Обл. НДС
Сендвіч-панель ТПК стінова 100 мм МВ 1180 мм відкр.замок С 0,5 PS/C 0,5 PS 7,19м трап9006/трап9003
Надходження товарів і послуг ІБ00-007535 від 12.12.2025 11:00:00
Пункт фасування та зберігання в бігбегах (Глобине)</t>
  </si>
  <si>
    <t>Обл. НДС
Сендвіч-панель ТПК стінова 100 мм МВ 1180 мм відкр.замок С 0,5 PS/C 0,5 PS 4,940м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</si>
  <si>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1180 мм відкр.замок С 0,5 PS/C 0,5 PS 4,910м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</si>
  <si>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1180 мм відкр.замок С 0,5 PS/C 0,5 PS 4,480м трап9006/трап9003
Надходження товарів і послуг ІБ00-007534 від 11.12.2025 11:00:00
Пункт фасування та зберігання в бігбегах (Глобине)</t>
  </si>
  <si>
    <t>Обл. НДС
Сендвіч-панель ТПК стінова 100 мм МВ 1180 мм відкр.замок С 0,5 PS/C 0,5 PS 4,480м трап9006/трап9003
Надходження товарів і послуг ІБ00-007535 від 12.12.2025 11:00:00
Пункт фасування та зберігання в бігбегах (Глобине)</t>
  </si>
  <si>
    <t>Обл. НДС
Сендвіч-панель ТПК стінова 100 мм МВ 1180 мм відкр.замок С 0,5 PS/C 0,5 PS 4,100м трап9006/трап9003
Надходження товарів і послуг ІБ00-007534 від 11.12.2025 11:00:00
Пункт фасування та зберігання в бігбегах (Глобине)</t>
  </si>
  <si>
    <t>Обл. НДС
Сендвіч-панель ТПК стінова 100 мм МВ 1180 мм відкр.замок С 0,5 PS/C 0,5 PS 3,530м трап9006/трап9003
Надходження товарів і послуг ІБ00-007534 від 11.12.2025 11:00:00
Пункт фасування та зберігання в бігбегах (Глобине)</t>
  </si>
  <si>
    <t>Обл. НДС
Сендвіч-панель ТПК стінова 100 мм МВ 1180 мм відкр.замок С 0,5 PS/C 0,5 PS 2,690м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</si>
  <si>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1180 мм відкр.замок С 0,5 PS/C 0,5 PS 2,220м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</si>
  <si>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1180 мм відкр.замок С 0,5 PS/C 0,5 PS 3,000м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</si>
  <si>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1180 мм відкр.замок С 0,5 PS/C 0,5 PS 2,610м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</si>
  <si>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1180 мм відкр.замок С 0,5 PS/C 0,5 PS 2,430м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</si>
  <si>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1180 мм відкр.замок С 0,5 PS/C 0,5 PS 2,410м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</si>
  <si>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1180 мм відкр.замок С 0,5 PS/C 0,5 PS 2,010м трап9006/трап9003
Надходження товарів і послуг ІБ00-007534 від 11.12.2025 11:00:00
Пункт фасування та зберігання в бігбегах (Глобине)</t>
  </si>
  <si>
    <t>Обл. НДС
Сендвіч-панель ТПК стінова 100 мм МВ 1180 мм відкр.замок С 0,5 PS/C 0,5 PS 2,000м трап9006/трап9003
Надходження товарів і послуг ІБ00-007534 від 11.12.2025 11:00:00
Пункт фасування та зберігання в бігбегах (Глобине)</t>
  </si>
  <si>
    <t>Обл. НДС
Стрічка ущільнювальна ППЕ НХ 5х50х20 м
Надходження товарів і послуг ІБ00-007532 від 10.12.2025 11:00:00
Пункт фасування та зберігання в бігбегах (Глобине)</t>
  </si>
  <si>
    <t>Обл. НДС
Клей-герметик д/сендвіч- панелей Soudaflex 40 FC (12 шт/уп) (600мл(шт.) білий)
Надходження товарів і послуг ІБ00-007532 від 10.12.2025 11:00:00
Пункт фасування та зберігання в бігбегах (Глобине)</t>
  </si>
  <si>
    <t>Обл. НДС
Самонаріз в метал до сендвіч-панелей 5,5*6,3/150 9006 срібло
Надходження товарів і послуг ІБ00-007532 від 10.12.2025 11:00:00
Пункт фасування та зберігання в бігбегах (Глобине)</t>
  </si>
  <si>
    <t>Обл. НДС
Самонаріз в метал до сендвіч-панелей 5,5*6,3/200 5005 синій
Надходження товарів і послуг ІБ00-007642 від 17.12.2025 11:00:00
Пункт фасування та зберігання в бігбегах (Глобине)</t>
  </si>
  <si>
    <t>Обл. НДС
Самонаріз в метал до сендвіч-панелей 5,5*6,3/150 9003 білий
Надходження товарів і послуг ІБ00-007532 від 10.12.2025 11:00:00
Пункт фасування та зберігання в бігбегах (Глобине)</t>
  </si>
  <si>
    <t>Вимога-накладна ІБ00-000081 від 30.01.2026 20:30:05
Списаны ТМЦ</t>
  </si>
  <si>
    <t>Обл. НДС
Стрічка ущільнювальна ППЕ НХ 5х50х20 м
Надходження товарів і послуг ІБ00-007974 від 11.12.2025 11:00:00
АПК (Глобине)</t>
  </si>
  <si>
    <t>Обл. НДС
Дюбель розпірний UFІ 14/135
Надходження товарів і послуг ІБ00-007492 від 15.12.2025 11:00:00
АПК (Глобине)</t>
  </si>
  <si>
    <t>Обл. НДС
Профіль UD 27 4м 0,55мм (шт)
Надходження товарів і послуг ІБ00-005315 від 18.09.2025 11:00:00
АПК (Глобине)</t>
  </si>
  <si>
    <t>Обл. НДС
Плитка зовнішня SOLANO LIGHT GREY MATT 598*598*83
Надходження товарів і послуг ІБ00-006829 від 11.11.2025 11:00:00
АПК (Глобине)</t>
  </si>
  <si>
    <t>Обл. НДС
Затирка однокомпонентна антрацит 114/5кг Ultracolor Plus
Надходження товарів і послуг ІБ00-006829 від 11.11.2025 11:00:00
АПК (Глобине)</t>
  </si>
  <si>
    <t>Закриття місяця ІБ00-000001 від 31.01.2026 23:58:59
Корректировка стоимости перемещения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</si>
</sst>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color indexed="21"/>
      <name val="Arial"/>
    </font>
    <font>
      <sz val="8"/>
      <name val="Arial"/>
    </font>
    <font>
      <b/>
      <sz val="10"/>
      <color indexed="21"/>
      <name val="Arial"/>
    </font>
    <font>
      <sz val="8"/>
      <color indexed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0"/>
      </left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/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/>
      <top/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  <border>
      <left/>
      <right/>
      <top/>
      <bottom style="thin">
        <color indexed="60"/>
      </bottom>
      <diagonal/>
    </border>
    <border>
      <left/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/>
      <top style="thin">
        <color indexed="60"/>
      </top>
      <bottom style="thin">
        <color indexed="60"/>
      </bottom>
      <diagonal/>
    </border>
    <border>
      <left/>
      <right style="thin">
        <color indexed="60"/>
      </right>
      <top/>
      <bottom style="thin">
        <color indexed="6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9">
    <xf numFmtId="0" fontId="0" fillId="0" borderId="0" xfId="0"/>
    <xf numFmtId="4" fontId="0" fillId="0" borderId="0" xfId="0" applyNumberFormat="1"/>
    <xf numFmtId="0" fontId="2" fillId="2" borderId="1" xfId="1" applyNumberFormat="1" applyFont="1" applyFill="1" applyBorder="1" applyAlignment="1">
      <alignment vertical="top"/>
    </xf>
    <xf numFmtId="0" fontId="2" fillId="2" borderId="2" xfId="1" applyNumberFormat="1" applyFont="1" applyFill="1" applyBorder="1" applyAlignment="1">
      <alignment vertical="top"/>
    </xf>
    <xf numFmtId="0" fontId="2" fillId="2" borderId="3" xfId="1" applyNumberFormat="1" applyFont="1" applyFill="1" applyBorder="1" applyAlignment="1">
      <alignment vertical="top"/>
    </xf>
    <xf numFmtId="0" fontId="2" fillId="2" borderId="2" xfId="1" applyNumberFormat="1" applyFont="1" applyFill="1" applyBorder="1" applyAlignment="1">
      <alignment horizontal="center" vertical="top"/>
    </xf>
    <xf numFmtId="0" fontId="2" fillId="2" borderId="4" xfId="1" applyNumberFormat="1" applyFont="1" applyFill="1" applyBorder="1" applyAlignment="1">
      <alignment horizontal="center" vertical="top"/>
    </xf>
    <xf numFmtId="0" fontId="2" fillId="2" borderId="5" xfId="1" applyNumberFormat="1" applyFont="1" applyFill="1" applyBorder="1" applyAlignment="1">
      <alignment vertical="top"/>
    </xf>
    <xf numFmtId="0" fontId="2" fillId="2" borderId="6" xfId="1" applyNumberFormat="1" applyFont="1" applyFill="1" applyBorder="1" applyAlignment="1">
      <alignment vertical="top"/>
    </xf>
    <xf numFmtId="0" fontId="2" fillId="2" borderId="7" xfId="1" applyNumberFormat="1" applyFont="1" applyFill="1" applyBorder="1" applyAlignment="1">
      <alignment vertical="top"/>
    </xf>
    <xf numFmtId="0" fontId="2" fillId="2" borderId="4" xfId="1" applyNumberFormat="1" applyFont="1" applyFill="1" applyBorder="1" applyAlignment="1">
      <alignment vertical="top"/>
    </xf>
    <xf numFmtId="0" fontId="2" fillId="2" borderId="8" xfId="1" applyNumberFormat="1" applyFont="1" applyFill="1" applyBorder="1" applyAlignment="1">
      <alignment vertical="top"/>
    </xf>
    <xf numFmtId="0" fontId="2" fillId="2" borderId="8" xfId="1" applyNumberFormat="1" applyFont="1" applyFill="1" applyBorder="1" applyAlignment="1">
      <alignment vertical="top"/>
    </xf>
    <xf numFmtId="0" fontId="2" fillId="2" borderId="9" xfId="1" applyNumberFormat="1" applyFont="1" applyFill="1" applyBorder="1" applyAlignment="1">
      <alignment vertical="top"/>
    </xf>
    <xf numFmtId="0" fontId="2" fillId="2" borderId="10" xfId="1" applyNumberFormat="1" applyFont="1" applyFill="1" applyBorder="1" applyAlignment="1">
      <alignment vertical="top"/>
    </xf>
    <xf numFmtId="0" fontId="3" fillId="0" borderId="11" xfId="1" applyNumberFormat="1" applyFont="1" applyBorder="1" applyAlignment="1">
      <alignment vertical="top"/>
    </xf>
    <xf numFmtId="0" fontId="3" fillId="0" borderId="11" xfId="1" applyNumberFormat="1" applyFont="1" applyBorder="1" applyAlignment="1">
      <alignment vertical="top" wrapText="1"/>
    </xf>
    <xf numFmtId="0" fontId="3" fillId="0" borderId="11" xfId="1" applyNumberFormat="1" applyFont="1" applyBorder="1" applyAlignment="1">
      <alignment horizontal="left" vertical="top"/>
    </xf>
    <xf numFmtId="0" fontId="3" fillId="0" borderId="11" xfId="1" applyNumberFormat="1" applyFont="1" applyBorder="1" applyAlignment="1">
      <alignment horizontal="right" vertical="top" wrapText="1"/>
    </xf>
    <xf numFmtId="2" fontId="3" fillId="0" borderId="13" xfId="1" applyNumberFormat="1" applyFont="1" applyBorder="1" applyAlignment="1">
      <alignment horizontal="right" vertical="top" wrapText="1"/>
    </xf>
    <xf numFmtId="0" fontId="3" fillId="0" borderId="12" xfId="1" applyNumberFormat="1" applyFont="1" applyBorder="1" applyAlignment="1">
      <alignment horizontal="center" vertical="top"/>
    </xf>
    <xf numFmtId="4" fontId="3" fillId="0" borderId="13" xfId="1" applyNumberFormat="1" applyFont="1" applyBorder="1" applyAlignment="1">
      <alignment horizontal="right" vertical="top" wrapText="1"/>
    </xf>
    <xf numFmtId="4" fontId="3" fillId="0" borderId="11" xfId="1" applyNumberFormat="1" applyFont="1" applyBorder="1" applyAlignment="1">
      <alignment horizontal="right" vertical="top" wrapText="1"/>
    </xf>
    <xf numFmtId="0" fontId="3" fillId="0" borderId="13" xfId="1" applyNumberFormat="1" applyFont="1" applyBorder="1" applyAlignment="1">
      <alignment horizontal="right" vertical="top" wrapText="1"/>
    </xf>
    <xf numFmtId="4" fontId="3" fillId="0" borderId="13" xfId="1" applyNumberFormat="1" applyFont="1" applyBorder="1" applyAlignment="1">
      <alignment horizontal="right" vertical="top" wrapText="1"/>
    </xf>
    <xf numFmtId="0" fontId="4" fillId="2" borderId="11" xfId="1" applyNumberFormat="1" applyFont="1" applyFill="1" applyBorder="1" applyAlignment="1">
      <alignment vertical="top"/>
    </xf>
    <xf numFmtId="4" fontId="4" fillId="2" borderId="11" xfId="1" applyNumberFormat="1" applyFont="1" applyFill="1" applyBorder="1" applyAlignment="1">
      <alignment horizontal="right" vertical="top" wrapText="1"/>
    </xf>
    <xf numFmtId="0" fontId="4" fillId="2" borderId="12" xfId="1" applyNumberFormat="1" applyFont="1" applyFill="1" applyBorder="1" applyAlignment="1">
      <alignment horizontal="center" vertical="top"/>
    </xf>
    <xf numFmtId="4" fontId="4" fillId="2" borderId="13" xfId="1" applyNumberFormat="1" applyFont="1" applyFill="1" applyBorder="1" applyAlignment="1">
      <alignment horizontal="right" vertical="top" wrapText="1"/>
    </xf>
    <xf numFmtId="0" fontId="2" fillId="2" borderId="1" xfId="2" applyNumberFormat="1" applyFont="1" applyFill="1" applyBorder="1" applyAlignment="1">
      <alignment vertical="top"/>
    </xf>
    <xf numFmtId="0" fontId="2" fillId="2" borderId="2" xfId="2" applyNumberFormat="1" applyFont="1" applyFill="1" applyBorder="1" applyAlignment="1">
      <alignment vertical="top"/>
    </xf>
    <xf numFmtId="0" fontId="2" fillId="2" borderId="3" xfId="2" applyNumberFormat="1" applyFont="1" applyFill="1" applyBorder="1" applyAlignment="1">
      <alignment vertical="top"/>
    </xf>
    <xf numFmtId="0" fontId="2" fillId="2" borderId="2" xfId="2" applyNumberFormat="1" applyFont="1" applyFill="1" applyBorder="1" applyAlignment="1">
      <alignment horizontal="center" vertical="top"/>
    </xf>
    <xf numFmtId="0" fontId="2" fillId="2" borderId="4" xfId="2" applyNumberFormat="1" applyFont="1" applyFill="1" applyBorder="1" applyAlignment="1">
      <alignment horizontal="center" vertical="top"/>
    </xf>
    <xf numFmtId="0" fontId="2" fillId="2" borderId="5" xfId="2" applyNumberFormat="1" applyFont="1" applyFill="1" applyBorder="1" applyAlignment="1">
      <alignment vertical="top"/>
    </xf>
    <xf numFmtId="0" fontId="2" fillId="2" borderId="6" xfId="2" applyNumberFormat="1" applyFont="1" applyFill="1" applyBorder="1" applyAlignment="1">
      <alignment vertical="top"/>
    </xf>
    <xf numFmtId="0" fontId="2" fillId="2" borderId="7" xfId="2" applyNumberFormat="1" applyFont="1" applyFill="1" applyBorder="1" applyAlignment="1">
      <alignment vertical="top"/>
    </xf>
    <xf numFmtId="0" fontId="2" fillId="2" borderId="4" xfId="2" applyNumberFormat="1" applyFont="1" applyFill="1" applyBorder="1" applyAlignment="1">
      <alignment vertical="top"/>
    </xf>
    <xf numFmtId="0" fontId="2" fillId="2" borderId="8" xfId="2" applyNumberFormat="1" applyFont="1" applyFill="1" applyBorder="1" applyAlignment="1">
      <alignment vertical="top"/>
    </xf>
    <xf numFmtId="0" fontId="2" fillId="2" borderId="8" xfId="2" applyNumberFormat="1" applyFont="1" applyFill="1" applyBorder="1" applyAlignment="1">
      <alignment vertical="top"/>
    </xf>
    <xf numFmtId="0" fontId="2" fillId="2" borderId="9" xfId="2" applyNumberFormat="1" applyFont="1" applyFill="1" applyBorder="1" applyAlignment="1">
      <alignment vertical="top"/>
    </xf>
    <xf numFmtId="0" fontId="2" fillId="2" borderId="10" xfId="2" applyNumberFormat="1" applyFont="1" applyFill="1" applyBorder="1" applyAlignment="1">
      <alignment vertical="top"/>
    </xf>
    <xf numFmtId="0" fontId="3" fillId="0" borderId="11" xfId="2" applyNumberFormat="1" applyFont="1" applyBorder="1" applyAlignment="1">
      <alignment vertical="top"/>
    </xf>
    <xf numFmtId="0" fontId="3" fillId="0" borderId="11" xfId="2" applyNumberFormat="1" applyFont="1" applyBorder="1" applyAlignment="1">
      <alignment vertical="top" wrapText="1"/>
    </xf>
    <xf numFmtId="0" fontId="3" fillId="0" borderId="11" xfId="2" applyNumberFormat="1" applyFont="1" applyBorder="1" applyAlignment="1">
      <alignment horizontal="left" vertical="top"/>
    </xf>
    <xf numFmtId="0" fontId="3" fillId="0" borderId="11" xfId="2" applyNumberFormat="1" applyFont="1" applyBorder="1" applyAlignment="1">
      <alignment horizontal="right" vertical="top" wrapText="1"/>
    </xf>
    <xf numFmtId="4" fontId="3" fillId="0" borderId="13" xfId="2" applyNumberFormat="1" applyFont="1" applyBorder="1" applyAlignment="1">
      <alignment horizontal="right" vertical="top" wrapText="1"/>
    </xf>
    <xf numFmtId="0" fontId="3" fillId="0" borderId="12" xfId="2" applyNumberFormat="1" applyFont="1" applyBorder="1" applyAlignment="1">
      <alignment horizontal="center" vertical="top"/>
    </xf>
    <xf numFmtId="4" fontId="3" fillId="0" borderId="13" xfId="2" applyNumberFormat="1" applyFont="1" applyBorder="1" applyAlignment="1">
      <alignment horizontal="right" vertical="top" wrapText="1"/>
    </xf>
    <xf numFmtId="4" fontId="3" fillId="0" borderId="11" xfId="2" applyNumberFormat="1" applyFont="1" applyBorder="1" applyAlignment="1">
      <alignment horizontal="right" vertical="top" wrapText="1"/>
    </xf>
    <xf numFmtId="0" fontId="3" fillId="0" borderId="13" xfId="2" applyNumberFormat="1" applyFont="1" applyBorder="1" applyAlignment="1">
      <alignment horizontal="right" vertical="top" wrapText="1"/>
    </xf>
    <xf numFmtId="2" fontId="3" fillId="0" borderId="13" xfId="2" applyNumberFormat="1" applyFont="1" applyBorder="1" applyAlignment="1">
      <alignment horizontal="right" vertical="top" wrapText="1"/>
    </xf>
    <xf numFmtId="2" fontId="3" fillId="0" borderId="11" xfId="2" applyNumberFormat="1" applyFont="1" applyBorder="1" applyAlignment="1">
      <alignment horizontal="right" vertical="top" wrapText="1"/>
    </xf>
    <xf numFmtId="2" fontId="5" fillId="0" borderId="13" xfId="2" applyNumberFormat="1" applyFont="1" applyBorder="1" applyAlignment="1">
      <alignment horizontal="right" vertical="top" wrapText="1"/>
    </xf>
    <xf numFmtId="2" fontId="5" fillId="0" borderId="11" xfId="2" applyNumberFormat="1" applyFont="1" applyBorder="1" applyAlignment="1">
      <alignment horizontal="right" vertical="top" wrapText="1"/>
    </xf>
    <xf numFmtId="0" fontId="4" fillId="2" borderId="11" xfId="2" applyNumberFormat="1" applyFont="1" applyFill="1" applyBorder="1" applyAlignment="1">
      <alignment vertical="top"/>
    </xf>
    <xf numFmtId="4" fontId="4" fillId="2" borderId="11" xfId="2" applyNumberFormat="1" applyFont="1" applyFill="1" applyBorder="1" applyAlignment="1">
      <alignment horizontal="right" vertical="top" wrapText="1"/>
    </xf>
    <xf numFmtId="0" fontId="4" fillId="2" borderId="12" xfId="2" applyNumberFormat="1" applyFont="1" applyFill="1" applyBorder="1" applyAlignment="1">
      <alignment horizontal="center" vertical="top"/>
    </xf>
    <xf numFmtId="4" fontId="4" fillId="2" borderId="13" xfId="2" applyNumberFormat="1" applyFont="1" applyFill="1" applyBorder="1" applyAlignment="1">
      <alignment horizontal="right" vertical="top" wrapText="1"/>
    </xf>
  </cellXfs>
  <cellStyles count="3">
    <cellStyle name="Обычный" xfId="0" builtinId="0"/>
    <cellStyle name="Обычный_Глобино-2" xfId="2" xr:uid="{8CC7A15E-D10C-44D9-A7BC-AE8BAF6E7459}"/>
    <cellStyle name="Обычный_Тищенки" xfId="1" xr:uid="{B006697D-E7D6-4994-85EC-BB04CF7307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"/>
  <sheetViews>
    <sheetView topLeftCell="A2" workbookViewId="0">
      <selection activeCell="B4" sqref="B4"/>
    </sheetView>
  </sheetViews>
  <sheetFormatPr defaultRowHeight="14.4" x14ac:dyDescent="0.3"/>
  <sheetData>
    <row r="3" spans="2:2" x14ac:dyDescent="0.3">
      <c r="B3" s="1">
        <f>14599.48*1.2</f>
        <v>17519.376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F060-08A8-4EE8-8A12-9C2B8D8AA8F7}">
  <sheetPr filterMode="1"/>
  <dimension ref="A1:L72"/>
  <sheetViews>
    <sheetView topLeftCell="A67" workbookViewId="0">
      <selection activeCell="J72" sqref="J72"/>
    </sheetView>
  </sheetViews>
  <sheetFormatPr defaultRowHeight="14.4" x14ac:dyDescent="0.3"/>
  <cols>
    <col min="2" max="4" width="29" customWidth="1"/>
    <col min="10" max="10" width="9.88671875" bestFit="1" customWidth="1"/>
  </cols>
  <sheetData>
    <row r="1" spans="1:12" x14ac:dyDescent="0.3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5"/>
      <c r="G1" s="5"/>
      <c r="H1" s="6" t="s">
        <v>5</v>
      </c>
      <c r="I1" s="6"/>
      <c r="J1" s="6"/>
      <c r="K1" s="3" t="s">
        <v>6</v>
      </c>
      <c r="L1" s="3"/>
    </row>
    <row r="2" spans="1:12" hidden="1" x14ac:dyDescent="0.3">
      <c r="A2" s="7"/>
      <c r="B2" s="8"/>
      <c r="C2" s="8"/>
      <c r="D2" s="9"/>
      <c r="E2" s="10" t="s">
        <v>7</v>
      </c>
      <c r="F2" s="11"/>
      <c r="G2" s="11"/>
      <c r="H2" s="12" t="s">
        <v>7</v>
      </c>
      <c r="I2" s="13"/>
      <c r="J2" s="13"/>
      <c r="K2" s="7"/>
      <c r="L2" s="14"/>
    </row>
    <row r="3" spans="1:12" ht="51" hidden="1" x14ac:dyDescent="0.3">
      <c r="A3" s="15" t="s">
        <v>9</v>
      </c>
      <c r="B3" s="16" t="s">
        <v>10</v>
      </c>
      <c r="C3" s="16" t="s">
        <v>11</v>
      </c>
      <c r="D3" s="16" t="s">
        <v>12</v>
      </c>
      <c r="E3" s="17" t="s">
        <v>13</v>
      </c>
      <c r="F3" s="18" t="s">
        <v>14</v>
      </c>
      <c r="G3" s="18"/>
      <c r="H3" s="17" t="s">
        <v>13</v>
      </c>
      <c r="I3" s="19">
        <v>177</v>
      </c>
      <c r="J3" s="19"/>
      <c r="K3" s="20" t="s">
        <v>8</v>
      </c>
      <c r="L3" s="21">
        <v>8615749.5299999993</v>
      </c>
    </row>
    <row r="4" spans="1:12" ht="51" hidden="1" x14ac:dyDescent="0.3">
      <c r="A4" s="15" t="s">
        <v>15</v>
      </c>
      <c r="B4" s="16" t="s">
        <v>16</v>
      </c>
      <c r="C4" s="16" t="s">
        <v>17</v>
      </c>
      <c r="D4" s="16" t="s">
        <v>18</v>
      </c>
      <c r="E4" s="17" t="s">
        <v>13</v>
      </c>
      <c r="F4" s="22">
        <v>3433.75</v>
      </c>
      <c r="G4" s="22"/>
      <c r="H4" s="17" t="s">
        <v>19</v>
      </c>
      <c r="I4" s="23" t="s">
        <v>14</v>
      </c>
      <c r="J4" s="23"/>
      <c r="K4" s="20" t="s">
        <v>8</v>
      </c>
      <c r="L4" s="21">
        <v>8619183.2799999993</v>
      </c>
    </row>
    <row r="5" spans="1:12" ht="51" x14ac:dyDescent="0.3">
      <c r="A5" s="15" t="s">
        <v>20</v>
      </c>
      <c r="B5" s="16" t="s">
        <v>21</v>
      </c>
      <c r="C5" s="16" t="s">
        <v>22</v>
      </c>
      <c r="D5" s="16" t="s">
        <v>23</v>
      </c>
      <c r="E5" s="17" t="s">
        <v>24</v>
      </c>
      <c r="F5" s="18" t="s">
        <v>14</v>
      </c>
      <c r="G5" s="18"/>
      <c r="H5" s="17" t="s">
        <v>13</v>
      </c>
      <c r="I5" s="24">
        <v>14648.69</v>
      </c>
      <c r="J5" s="24"/>
      <c r="K5" s="20" t="s">
        <v>8</v>
      </c>
      <c r="L5" s="21">
        <v>8604534.5899999999</v>
      </c>
    </row>
    <row r="6" spans="1:12" ht="51" x14ac:dyDescent="0.3">
      <c r="A6" s="15" t="s">
        <v>20</v>
      </c>
      <c r="B6" s="16" t="s">
        <v>21</v>
      </c>
      <c r="C6" s="16" t="s">
        <v>22</v>
      </c>
      <c r="D6" s="16" t="s">
        <v>25</v>
      </c>
      <c r="E6" s="17" t="s">
        <v>24</v>
      </c>
      <c r="F6" s="18" t="s">
        <v>14</v>
      </c>
      <c r="G6" s="18"/>
      <c r="H6" s="17" t="s">
        <v>13</v>
      </c>
      <c r="I6" s="24">
        <v>2044</v>
      </c>
      <c r="J6" s="24"/>
      <c r="K6" s="20" t="s">
        <v>8</v>
      </c>
      <c r="L6" s="21">
        <v>8602490.5899999999</v>
      </c>
    </row>
    <row r="7" spans="1:12" ht="51" x14ac:dyDescent="0.3">
      <c r="A7" s="15" t="s">
        <v>20</v>
      </c>
      <c r="B7" s="16" t="s">
        <v>21</v>
      </c>
      <c r="C7" s="16" t="s">
        <v>22</v>
      </c>
      <c r="D7" s="16" t="s">
        <v>25</v>
      </c>
      <c r="E7" s="17" t="s">
        <v>24</v>
      </c>
      <c r="F7" s="18" t="s">
        <v>14</v>
      </c>
      <c r="G7" s="18"/>
      <c r="H7" s="17" t="s">
        <v>13</v>
      </c>
      <c r="I7" s="24">
        <v>36281.06</v>
      </c>
      <c r="J7" s="24"/>
      <c r="K7" s="20" t="s">
        <v>8</v>
      </c>
      <c r="L7" s="21">
        <v>8566209.5299999993</v>
      </c>
    </row>
    <row r="8" spans="1:12" ht="51" x14ac:dyDescent="0.3">
      <c r="A8" s="15" t="s">
        <v>20</v>
      </c>
      <c r="B8" s="16" t="s">
        <v>21</v>
      </c>
      <c r="C8" s="16" t="s">
        <v>22</v>
      </c>
      <c r="D8" s="16" t="s">
        <v>26</v>
      </c>
      <c r="E8" s="17" t="s">
        <v>24</v>
      </c>
      <c r="F8" s="18" t="s">
        <v>14</v>
      </c>
      <c r="G8" s="18"/>
      <c r="H8" s="17" t="s">
        <v>13</v>
      </c>
      <c r="I8" s="24">
        <v>2044</v>
      </c>
      <c r="J8" s="24"/>
      <c r="K8" s="20" t="s">
        <v>8</v>
      </c>
      <c r="L8" s="21">
        <v>8564165.5299999993</v>
      </c>
    </row>
    <row r="9" spans="1:12" ht="51" x14ac:dyDescent="0.3">
      <c r="A9" s="15" t="s">
        <v>20</v>
      </c>
      <c r="B9" s="16" t="s">
        <v>21</v>
      </c>
      <c r="C9" s="16" t="s">
        <v>22</v>
      </c>
      <c r="D9" s="16" t="s">
        <v>26</v>
      </c>
      <c r="E9" s="17" t="s">
        <v>24</v>
      </c>
      <c r="F9" s="18" t="s">
        <v>14</v>
      </c>
      <c r="G9" s="18"/>
      <c r="H9" s="17" t="s">
        <v>13</v>
      </c>
      <c r="I9" s="24">
        <v>36281.06</v>
      </c>
      <c r="J9" s="24"/>
      <c r="K9" s="20" t="s">
        <v>8</v>
      </c>
      <c r="L9" s="21">
        <v>8527884.4700000007</v>
      </c>
    </row>
    <row r="10" spans="1:12" ht="51" x14ac:dyDescent="0.3">
      <c r="A10" s="15" t="s">
        <v>20</v>
      </c>
      <c r="B10" s="16" t="s">
        <v>21</v>
      </c>
      <c r="C10" s="16" t="s">
        <v>22</v>
      </c>
      <c r="D10" s="16" t="s">
        <v>27</v>
      </c>
      <c r="E10" s="17" t="s">
        <v>24</v>
      </c>
      <c r="F10" s="18" t="s">
        <v>14</v>
      </c>
      <c r="G10" s="18"/>
      <c r="H10" s="17" t="s">
        <v>13</v>
      </c>
      <c r="I10" s="24">
        <v>2044</v>
      </c>
      <c r="J10" s="24"/>
      <c r="K10" s="20" t="s">
        <v>8</v>
      </c>
      <c r="L10" s="21">
        <v>8525840.4700000007</v>
      </c>
    </row>
    <row r="11" spans="1:12" ht="51" x14ac:dyDescent="0.3">
      <c r="A11" s="15" t="s">
        <v>20</v>
      </c>
      <c r="B11" s="16" t="s">
        <v>21</v>
      </c>
      <c r="C11" s="16" t="s">
        <v>22</v>
      </c>
      <c r="D11" s="16" t="s">
        <v>27</v>
      </c>
      <c r="E11" s="17" t="s">
        <v>24</v>
      </c>
      <c r="F11" s="18" t="s">
        <v>14</v>
      </c>
      <c r="G11" s="18"/>
      <c r="H11" s="17" t="s">
        <v>13</v>
      </c>
      <c r="I11" s="24">
        <v>36281.06</v>
      </c>
      <c r="J11" s="24"/>
      <c r="K11" s="20" t="s">
        <v>8</v>
      </c>
      <c r="L11" s="21">
        <v>8489559.4100000001</v>
      </c>
    </row>
    <row r="12" spans="1:12" ht="51" x14ac:dyDescent="0.3">
      <c r="A12" s="15" t="s">
        <v>20</v>
      </c>
      <c r="B12" s="16" t="s">
        <v>21</v>
      </c>
      <c r="C12" s="16" t="s">
        <v>22</v>
      </c>
      <c r="D12" s="16" t="s">
        <v>28</v>
      </c>
      <c r="E12" s="17" t="s">
        <v>24</v>
      </c>
      <c r="F12" s="18" t="s">
        <v>14</v>
      </c>
      <c r="G12" s="18"/>
      <c r="H12" s="17" t="s">
        <v>13</v>
      </c>
      <c r="I12" s="24">
        <v>2044</v>
      </c>
      <c r="J12" s="24"/>
      <c r="K12" s="20" t="s">
        <v>8</v>
      </c>
      <c r="L12" s="21">
        <v>8487515.4100000001</v>
      </c>
    </row>
    <row r="13" spans="1:12" ht="51" x14ac:dyDescent="0.3">
      <c r="A13" s="15" t="s">
        <v>20</v>
      </c>
      <c r="B13" s="16" t="s">
        <v>21</v>
      </c>
      <c r="C13" s="16" t="s">
        <v>22</v>
      </c>
      <c r="D13" s="16" t="s">
        <v>28</v>
      </c>
      <c r="E13" s="17" t="s">
        <v>24</v>
      </c>
      <c r="F13" s="18" t="s">
        <v>14</v>
      </c>
      <c r="G13" s="18"/>
      <c r="H13" s="17" t="s">
        <v>13</v>
      </c>
      <c r="I13" s="24">
        <v>36281.06</v>
      </c>
      <c r="J13" s="24"/>
      <c r="K13" s="20" t="s">
        <v>8</v>
      </c>
      <c r="L13" s="21">
        <v>8451234.3499999996</v>
      </c>
    </row>
    <row r="14" spans="1:12" ht="51" x14ac:dyDescent="0.3">
      <c r="A14" s="15" t="s">
        <v>20</v>
      </c>
      <c r="B14" s="16" t="s">
        <v>21</v>
      </c>
      <c r="C14" s="16" t="s">
        <v>22</v>
      </c>
      <c r="D14" s="16" t="s">
        <v>29</v>
      </c>
      <c r="E14" s="17" t="s">
        <v>24</v>
      </c>
      <c r="F14" s="18" t="s">
        <v>14</v>
      </c>
      <c r="G14" s="18"/>
      <c r="H14" s="17" t="s">
        <v>13</v>
      </c>
      <c r="I14" s="24">
        <v>1644</v>
      </c>
      <c r="J14" s="24"/>
      <c r="K14" s="20" t="s">
        <v>8</v>
      </c>
      <c r="L14" s="21">
        <v>8449590.3499999996</v>
      </c>
    </row>
    <row r="15" spans="1:12" ht="51" x14ac:dyDescent="0.3">
      <c r="A15" s="15" t="s">
        <v>20</v>
      </c>
      <c r="B15" s="16" t="s">
        <v>21</v>
      </c>
      <c r="C15" s="16" t="s">
        <v>22</v>
      </c>
      <c r="D15" s="16" t="s">
        <v>29</v>
      </c>
      <c r="E15" s="17" t="s">
        <v>24</v>
      </c>
      <c r="F15" s="18" t="s">
        <v>14</v>
      </c>
      <c r="G15" s="18"/>
      <c r="H15" s="17" t="s">
        <v>13</v>
      </c>
      <c r="I15" s="24">
        <v>22331</v>
      </c>
      <c r="J15" s="24"/>
      <c r="K15" s="20" t="s">
        <v>8</v>
      </c>
      <c r="L15" s="21">
        <v>8427259.3499999996</v>
      </c>
    </row>
    <row r="16" spans="1:12" ht="51" x14ac:dyDescent="0.3">
      <c r="A16" s="15" t="s">
        <v>20</v>
      </c>
      <c r="B16" s="16" t="s">
        <v>21</v>
      </c>
      <c r="C16" s="16" t="s">
        <v>22</v>
      </c>
      <c r="D16" s="16" t="s">
        <v>30</v>
      </c>
      <c r="E16" s="17" t="s">
        <v>24</v>
      </c>
      <c r="F16" s="18" t="s">
        <v>14</v>
      </c>
      <c r="G16" s="18"/>
      <c r="H16" s="17" t="s">
        <v>13</v>
      </c>
      <c r="I16" s="24">
        <v>10560.68</v>
      </c>
      <c r="J16" s="24"/>
      <c r="K16" s="20" t="s">
        <v>8</v>
      </c>
      <c r="L16" s="21">
        <v>8416698.6699999999</v>
      </c>
    </row>
    <row r="17" spans="1:12" ht="51" x14ac:dyDescent="0.3">
      <c r="A17" s="15" t="s">
        <v>20</v>
      </c>
      <c r="B17" s="16" t="s">
        <v>21</v>
      </c>
      <c r="C17" s="16" t="s">
        <v>22</v>
      </c>
      <c r="D17" s="16" t="s">
        <v>30</v>
      </c>
      <c r="E17" s="17" t="s">
        <v>24</v>
      </c>
      <c r="F17" s="18" t="s">
        <v>14</v>
      </c>
      <c r="G17" s="18"/>
      <c r="H17" s="17" t="s">
        <v>13</v>
      </c>
      <c r="I17" s="24">
        <v>27764.38</v>
      </c>
      <c r="J17" s="24"/>
      <c r="K17" s="20" t="s">
        <v>8</v>
      </c>
      <c r="L17" s="21">
        <v>8388934.2899999991</v>
      </c>
    </row>
    <row r="18" spans="1:12" ht="51" x14ac:dyDescent="0.3">
      <c r="A18" s="15" t="s">
        <v>20</v>
      </c>
      <c r="B18" s="16" t="s">
        <v>21</v>
      </c>
      <c r="C18" s="16" t="s">
        <v>22</v>
      </c>
      <c r="D18" s="16" t="s">
        <v>31</v>
      </c>
      <c r="E18" s="17" t="s">
        <v>24</v>
      </c>
      <c r="F18" s="18" t="s">
        <v>14</v>
      </c>
      <c r="G18" s="18"/>
      <c r="H18" s="17" t="s">
        <v>13</v>
      </c>
      <c r="I18" s="24">
        <v>2044</v>
      </c>
      <c r="J18" s="24"/>
      <c r="K18" s="20" t="s">
        <v>8</v>
      </c>
      <c r="L18" s="21">
        <v>8386890.29</v>
      </c>
    </row>
    <row r="19" spans="1:12" ht="51" x14ac:dyDescent="0.3">
      <c r="A19" s="15" t="s">
        <v>20</v>
      </c>
      <c r="B19" s="16" t="s">
        <v>21</v>
      </c>
      <c r="C19" s="16" t="s">
        <v>22</v>
      </c>
      <c r="D19" s="16" t="s">
        <v>32</v>
      </c>
      <c r="E19" s="17" t="s">
        <v>24</v>
      </c>
      <c r="F19" s="18" t="s">
        <v>14</v>
      </c>
      <c r="G19" s="18"/>
      <c r="H19" s="17" t="s">
        <v>13</v>
      </c>
      <c r="I19" s="24">
        <v>96530.62</v>
      </c>
      <c r="J19" s="24"/>
      <c r="K19" s="20" t="s">
        <v>8</v>
      </c>
      <c r="L19" s="21">
        <v>8290359.6699999999</v>
      </c>
    </row>
    <row r="20" spans="1:12" ht="51" x14ac:dyDescent="0.3">
      <c r="A20" s="15" t="s">
        <v>20</v>
      </c>
      <c r="B20" s="16" t="s">
        <v>33</v>
      </c>
      <c r="C20" s="16" t="s">
        <v>22</v>
      </c>
      <c r="D20" s="16" t="s">
        <v>34</v>
      </c>
      <c r="E20" s="17" t="s">
        <v>24</v>
      </c>
      <c r="F20" s="18" t="s">
        <v>14</v>
      </c>
      <c r="G20" s="18"/>
      <c r="H20" s="17" t="s">
        <v>13</v>
      </c>
      <c r="I20" s="24">
        <v>15173.24</v>
      </c>
      <c r="J20" s="24"/>
      <c r="K20" s="20" t="s">
        <v>8</v>
      </c>
      <c r="L20" s="21">
        <v>8275186.4299999997</v>
      </c>
    </row>
    <row r="21" spans="1:12" ht="51" x14ac:dyDescent="0.3">
      <c r="A21" s="15" t="s">
        <v>20</v>
      </c>
      <c r="B21" s="16" t="s">
        <v>33</v>
      </c>
      <c r="C21" s="16" t="s">
        <v>22</v>
      </c>
      <c r="D21" s="16" t="s">
        <v>34</v>
      </c>
      <c r="E21" s="17" t="s">
        <v>24</v>
      </c>
      <c r="F21" s="18" t="s">
        <v>14</v>
      </c>
      <c r="G21" s="18"/>
      <c r="H21" s="17" t="s">
        <v>13</v>
      </c>
      <c r="I21" s="24">
        <v>15173.23</v>
      </c>
      <c r="J21" s="24"/>
      <c r="K21" s="20" t="s">
        <v>8</v>
      </c>
      <c r="L21" s="21">
        <v>8260013.2000000002</v>
      </c>
    </row>
    <row r="22" spans="1:12" ht="51" x14ac:dyDescent="0.3">
      <c r="A22" s="15" t="s">
        <v>20</v>
      </c>
      <c r="B22" s="16" t="s">
        <v>33</v>
      </c>
      <c r="C22" s="16" t="s">
        <v>22</v>
      </c>
      <c r="D22" s="16" t="s">
        <v>35</v>
      </c>
      <c r="E22" s="17" t="s">
        <v>24</v>
      </c>
      <c r="F22" s="18" t="s">
        <v>14</v>
      </c>
      <c r="G22" s="18"/>
      <c r="H22" s="17" t="s">
        <v>13</v>
      </c>
      <c r="I22" s="24">
        <v>6044.4</v>
      </c>
      <c r="J22" s="24"/>
      <c r="K22" s="20" t="s">
        <v>8</v>
      </c>
      <c r="L22" s="21">
        <v>8253968.7999999998</v>
      </c>
    </row>
    <row r="23" spans="1:12" ht="51" x14ac:dyDescent="0.3">
      <c r="A23" s="15" t="s">
        <v>20</v>
      </c>
      <c r="B23" s="16" t="s">
        <v>33</v>
      </c>
      <c r="C23" s="16" t="s">
        <v>22</v>
      </c>
      <c r="D23" s="16" t="s">
        <v>36</v>
      </c>
      <c r="E23" s="17" t="s">
        <v>24</v>
      </c>
      <c r="F23" s="18" t="s">
        <v>14</v>
      </c>
      <c r="G23" s="18"/>
      <c r="H23" s="17" t="s">
        <v>13</v>
      </c>
      <c r="I23" s="19">
        <v>466.04</v>
      </c>
      <c r="J23" s="19"/>
      <c r="K23" s="20" t="s">
        <v>8</v>
      </c>
      <c r="L23" s="21">
        <v>8253502.7599999998</v>
      </c>
    </row>
    <row r="24" spans="1:12" ht="51" x14ac:dyDescent="0.3">
      <c r="A24" s="15" t="s">
        <v>20</v>
      </c>
      <c r="B24" s="16" t="s">
        <v>33</v>
      </c>
      <c r="C24" s="16" t="s">
        <v>22</v>
      </c>
      <c r="D24" s="16" t="s">
        <v>37</v>
      </c>
      <c r="E24" s="17" t="s">
        <v>24</v>
      </c>
      <c r="F24" s="18" t="s">
        <v>14</v>
      </c>
      <c r="G24" s="18"/>
      <c r="H24" s="17" t="s">
        <v>13</v>
      </c>
      <c r="I24" s="19">
        <v>763.67</v>
      </c>
      <c r="J24" s="19"/>
      <c r="K24" s="20" t="s">
        <v>8</v>
      </c>
      <c r="L24" s="21">
        <v>8252739.0899999999</v>
      </c>
    </row>
    <row r="25" spans="1:12" ht="51" x14ac:dyDescent="0.3">
      <c r="A25" s="15" t="s">
        <v>20</v>
      </c>
      <c r="B25" s="16" t="s">
        <v>33</v>
      </c>
      <c r="C25" s="16" t="s">
        <v>22</v>
      </c>
      <c r="D25" s="16" t="s">
        <v>38</v>
      </c>
      <c r="E25" s="17" t="s">
        <v>24</v>
      </c>
      <c r="F25" s="18" t="s">
        <v>14</v>
      </c>
      <c r="G25" s="18"/>
      <c r="H25" s="17" t="s">
        <v>13</v>
      </c>
      <c r="I25" s="24">
        <v>2267.69</v>
      </c>
      <c r="J25" s="24"/>
      <c r="K25" s="20" t="s">
        <v>8</v>
      </c>
      <c r="L25" s="21">
        <v>8250471.4000000004</v>
      </c>
    </row>
    <row r="26" spans="1:12" ht="61.2" x14ac:dyDescent="0.3">
      <c r="A26" s="15" t="s">
        <v>20</v>
      </c>
      <c r="B26" s="16" t="s">
        <v>33</v>
      </c>
      <c r="C26" s="16" t="s">
        <v>22</v>
      </c>
      <c r="D26" s="16" t="s">
        <v>39</v>
      </c>
      <c r="E26" s="17" t="s">
        <v>24</v>
      </c>
      <c r="F26" s="18" t="s">
        <v>14</v>
      </c>
      <c r="G26" s="18"/>
      <c r="H26" s="17" t="s">
        <v>13</v>
      </c>
      <c r="I26" s="24">
        <v>1187.31</v>
      </c>
      <c r="J26" s="24"/>
      <c r="K26" s="20" t="s">
        <v>8</v>
      </c>
      <c r="L26" s="21">
        <v>8249284.0899999999</v>
      </c>
    </row>
    <row r="27" spans="1:12" ht="51" x14ac:dyDescent="0.3">
      <c r="A27" s="15" t="s">
        <v>20</v>
      </c>
      <c r="B27" s="16" t="s">
        <v>33</v>
      </c>
      <c r="C27" s="16" t="s">
        <v>22</v>
      </c>
      <c r="D27" s="16" t="s">
        <v>40</v>
      </c>
      <c r="E27" s="17" t="s">
        <v>24</v>
      </c>
      <c r="F27" s="18" t="s">
        <v>14</v>
      </c>
      <c r="G27" s="18"/>
      <c r="H27" s="17" t="s">
        <v>13</v>
      </c>
      <c r="I27" s="19">
        <v>108.89</v>
      </c>
      <c r="J27" s="19"/>
      <c r="K27" s="20" t="s">
        <v>8</v>
      </c>
      <c r="L27" s="21">
        <v>8249175.2000000002</v>
      </c>
    </row>
    <row r="28" spans="1:12" ht="51" x14ac:dyDescent="0.3">
      <c r="A28" s="15" t="s">
        <v>20</v>
      </c>
      <c r="B28" s="16" t="s">
        <v>41</v>
      </c>
      <c r="C28" s="16" t="s">
        <v>22</v>
      </c>
      <c r="D28" s="16" t="s">
        <v>42</v>
      </c>
      <c r="E28" s="17" t="s">
        <v>24</v>
      </c>
      <c r="F28" s="18" t="s">
        <v>14</v>
      </c>
      <c r="G28" s="18"/>
      <c r="H28" s="17" t="s">
        <v>13</v>
      </c>
      <c r="I28" s="24">
        <v>13993.98</v>
      </c>
      <c r="J28" s="24"/>
      <c r="K28" s="20" t="s">
        <v>8</v>
      </c>
      <c r="L28" s="21">
        <v>8235181.2199999997</v>
      </c>
    </row>
    <row r="29" spans="1:12" ht="51" x14ac:dyDescent="0.3">
      <c r="A29" s="15" t="s">
        <v>20</v>
      </c>
      <c r="B29" s="16" t="s">
        <v>41</v>
      </c>
      <c r="C29" s="16" t="s">
        <v>22</v>
      </c>
      <c r="D29" s="16" t="s">
        <v>43</v>
      </c>
      <c r="E29" s="17" t="s">
        <v>24</v>
      </c>
      <c r="F29" s="18" t="s">
        <v>14</v>
      </c>
      <c r="G29" s="18"/>
      <c r="H29" s="17" t="s">
        <v>13</v>
      </c>
      <c r="I29" s="24">
        <v>59495.18</v>
      </c>
      <c r="J29" s="24"/>
      <c r="K29" s="20" t="s">
        <v>8</v>
      </c>
      <c r="L29" s="21">
        <v>8175686.04</v>
      </c>
    </row>
    <row r="30" spans="1:12" ht="51" x14ac:dyDescent="0.3">
      <c r="A30" s="15" t="s">
        <v>20</v>
      </c>
      <c r="B30" s="16" t="s">
        <v>44</v>
      </c>
      <c r="C30" s="16" t="s">
        <v>22</v>
      </c>
      <c r="D30" s="16" t="s">
        <v>43</v>
      </c>
      <c r="E30" s="17" t="s">
        <v>24</v>
      </c>
      <c r="F30" s="18" t="s">
        <v>14</v>
      </c>
      <c r="G30" s="18"/>
      <c r="H30" s="17" t="s">
        <v>13</v>
      </c>
      <c r="I30" s="24">
        <v>3152.57</v>
      </c>
      <c r="J30" s="24"/>
      <c r="K30" s="20" t="s">
        <v>8</v>
      </c>
      <c r="L30" s="21">
        <v>8172533.4699999997</v>
      </c>
    </row>
    <row r="31" spans="1:12" ht="51" x14ac:dyDescent="0.3">
      <c r="A31" s="15" t="s">
        <v>20</v>
      </c>
      <c r="B31" s="16" t="s">
        <v>44</v>
      </c>
      <c r="C31" s="16" t="s">
        <v>22</v>
      </c>
      <c r="D31" s="16" t="s">
        <v>37</v>
      </c>
      <c r="E31" s="17" t="s">
        <v>24</v>
      </c>
      <c r="F31" s="18" t="s">
        <v>14</v>
      </c>
      <c r="G31" s="18"/>
      <c r="H31" s="17" t="s">
        <v>13</v>
      </c>
      <c r="I31" s="24">
        <v>8027</v>
      </c>
      <c r="J31" s="24"/>
      <c r="K31" s="20" t="s">
        <v>8</v>
      </c>
      <c r="L31" s="21">
        <v>8164506.4699999997</v>
      </c>
    </row>
    <row r="32" spans="1:12" ht="51" x14ac:dyDescent="0.3">
      <c r="A32" s="15" t="s">
        <v>20</v>
      </c>
      <c r="B32" s="16" t="s">
        <v>44</v>
      </c>
      <c r="C32" s="16" t="s">
        <v>22</v>
      </c>
      <c r="D32" s="16" t="s">
        <v>45</v>
      </c>
      <c r="E32" s="17" t="s">
        <v>24</v>
      </c>
      <c r="F32" s="18" t="s">
        <v>14</v>
      </c>
      <c r="G32" s="18"/>
      <c r="H32" s="17" t="s">
        <v>13</v>
      </c>
      <c r="I32" s="24">
        <v>22542.58</v>
      </c>
      <c r="J32" s="24"/>
      <c r="K32" s="20" t="s">
        <v>8</v>
      </c>
      <c r="L32" s="21">
        <v>8141963.8899999997</v>
      </c>
    </row>
    <row r="33" spans="1:12" ht="51" x14ac:dyDescent="0.3">
      <c r="A33" s="15" t="s">
        <v>20</v>
      </c>
      <c r="B33" s="16" t="s">
        <v>44</v>
      </c>
      <c r="C33" s="16" t="s">
        <v>22</v>
      </c>
      <c r="D33" s="16" t="s">
        <v>46</v>
      </c>
      <c r="E33" s="17" t="s">
        <v>24</v>
      </c>
      <c r="F33" s="18" t="s">
        <v>14</v>
      </c>
      <c r="G33" s="18"/>
      <c r="H33" s="17" t="s">
        <v>13</v>
      </c>
      <c r="I33" s="24">
        <v>7902.74</v>
      </c>
      <c r="J33" s="24"/>
      <c r="K33" s="20" t="s">
        <v>8</v>
      </c>
      <c r="L33" s="21">
        <v>8134061.1500000004</v>
      </c>
    </row>
    <row r="34" spans="1:12" ht="51" x14ac:dyDescent="0.3">
      <c r="A34" s="15" t="s">
        <v>20</v>
      </c>
      <c r="B34" s="16" t="s">
        <v>44</v>
      </c>
      <c r="C34" s="16" t="s">
        <v>22</v>
      </c>
      <c r="D34" s="16" t="s">
        <v>46</v>
      </c>
      <c r="E34" s="17" t="s">
        <v>24</v>
      </c>
      <c r="F34" s="18" t="s">
        <v>14</v>
      </c>
      <c r="G34" s="18"/>
      <c r="H34" s="17" t="s">
        <v>13</v>
      </c>
      <c r="I34" s="24">
        <v>14954.87</v>
      </c>
      <c r="J34" s="24"/>
      <c r="K34" s="20" t="s">
        <v>8</v>
      </c>
      <c r="L34" s="21">
        <v>8119106.2800000003</v>
      </c>
    </row>
    <row r="35" spans="1:12" ht="51" x14ac:dyDescent="0.3">
      <c r="A35" s="15" t="s">
        <v>20</v>
      </c>
      <c r="B35" s="16" t="s">
        <v>44</v>
      </c>
      <c r="C35" s="16" t="s">
        <v>22</v>
      </c>
      <c r="D35" s="16" t="s">
        <v>47</v>
      </c>
      <c r="E35" s="17" t="s">
        <v>24</v>
      </c>
      <c r="F35" s="18" t="s">
        <v>14</v>
      </c>
      <c r="G35" s="18"/>
      <c r="H35" s="17" t="s">
        <v>13</v>
      </c>
      <c r="I35" s="24">
        <v>15261.74</v>
      </c>
      <c r="J35" s="24"/>
      <c r="K35" s="20" t="s">
        <v>8</v>
      </c>
      <c r="L35" s="21">
        <v>8103844.54</v>
      </c>
    </row>
    <row r="36" spans="1:12" ht="51" x14ac:dyDescent="0.3">
      <c r="A36" s="15" t="s">
        <v>20</v>
      </c>
      <c r="B36" s="16" t="s">
        <v>44</v>
      </c>
      <c r="C36" s="16" t="s">
        <v>22</v>
      </c>
      <c r="D36" s="16" t="s">
        <v>48</v>
      </c>
      <c r="E36" s="17" t="s">
        <v>24</v>
      </c>
      <c r="F36" s="18" t="s">
        <v>14</v>
      </c>
      <c r="G36" s="18"/>
      <c r="H36" s="17" t="s">
        <v>13</v>
      </c>
      <c r="I36" s="24">
        <v>22354.14</v>
      </c>
      <c r="J36" s="24"/>
      <c r="K36" s="20" t="s">
        <v>8</v>
      </c>
      <c r="L36" s="21">
        <v>8081490.4000000004</v>
      </c>
    </row>
    <row r="37" spans="1:12" ht="51" x14ac:dyDescent="0.3">
      <c r="A37" s="15" t="s">
        <v>20</v>
      </c>
      <c r="B37" s="16" t="s">
        <v>44</v>
      </c>
      <c r="C37" s="16" t="s">
        <v>22</v>
      </c>
      <c r="D37" s="16" t="s">
        <v>48</v>
      </c>
      <c r="E37" s="17" t="s">
        <v>24</v>
      </c>
      <c r="F37" s="18" t="s">
        <v>14</v>
      </c>
      <c r="G37" s="18"/>
      <c r="H37" s="17" t="s">
        <v>13</v>
      </c>
      <c r="I37" s="19">
        <v>60.09</v>
      </c>
      <c r="J37" s="19"/>
      <c r="K37" s="20" t="s">
        <v>8</v>
      </c>
      <c r="L37" s="21">
        <v>8081430.3099999996</v>
      </c>
    </row>
    <row r="38" spans="1:12" ht="51" x14ac:dyDescent="0.3">
      <c r="A38" s="15" t="s">
        <v>20</v>
      </c>
      <c r="B38" s="16" t="s">
        <v>44</v>
      </c>
      <c r="C38" s="16" t="s">
        <v>22</v>
      </c>
      <c r="D38" s="16" t="s">
        <v>49</v>
      </c>
      <c r="E38" s="17" t="s">
        <v>24</v>
      </c>
      <c r="F38" s="18" t="s">
        <v>14</v>
      </c>
      <c r="G38" s="18"/>
      <c r="H38" s="17" t="s">
        <v>13</v>
      </c>
      <c r="I38" s="24">
        <v>1107.5899999999999</v>
      </c>
      <c r="J38" s="24"/>
      <c r="K38" s="20" t="s">
        <v>8</v>
      </c>
      <c r="L38" s="21">
        <v>8080322.7199999997</v>
      </c>
    </row>
    <row r="39" spans="1:12" ht="51" x14ac:dyDescent="0.3">
      <c r="A39" s="15" t="s">
        <v>20</v>
      </c>
      <c r="B39" s="16" t="s">
        <v>50</v>
      </c>
      <c r="C39" s="16" t="s">
        <v>22</v>
      </c>
      <c r="D39" s="16" t="s">
        <v>31</v>
      </c>
      <c r="E39" s="17" t="s">
        <v>24</v>
      </c>
      <c r="F39" s="18" t="s">
        <v>14</v>
      </c>
      <c r="G39" s="18"/>
      <c r="H39" s="17" t="s">
        <v>13</v>
      </c>
      <c r="I39" s="24">
        <v>4581.97</v>
      </c>
      <c r="J39" s="24"/>
      <c r="K39" s="20" t="s">
        <v>8</v>
      </c>
      <c r="L39" s="21">
        <v>8075740.75</v>
      </c>
    </row>
    <row r="40" spans="1:12" ht="51" x14ac:dyDescent="0.3">
      <c r="A40" s="15" t="s">
        <v>20</v>
      </c>
      <c r="B40" s="16" t="s">
        <v>50</v>
      </c>
      <c r="C40" s="16" t="s">
        <v>22</v>
      </c>
      <c r="D40" s="16" t="s">
        <v>51</v>
      </c>
      <c r="E40" s="17" t="s">
        <v>24</v>
      </c>
      <c r="F40" s="18" t="s">
        <v>14</v>
      </c>
      <c r="G40" s="18"/>
      <c r="H40" s="17" t="s">
        <v>13</v>
      </c>
      <c r="I40" s="24">
        <v>12978</v>
      </c>
      <c r="J40" s="24"/>
      <c r="K40" s="20" t="s">
        <v>8</v>
      </c>
      <c r="L40" s="21">
        <v>8062762.75</v>
      </c>
    </row>
    <row r="41" spans="1:12" ht="51" x14ac:dyDescent="0.3">
      <c r="A41" s="15" t="s">
        <v>20</v>
      </c>
      <c r="B41" s="16" t="s">
        <v>50</v>
      </c>
      <c r="C41" s="16" t="s">
        <v>22</v>
      </c>
      <c r="D41" s="16" t="s">
        <v>51</v>
      </c>
      <c r="E41" s="17" t="s">
        <v>24</v>
      </c>
      <c r="F41" s="18" t="s">
        <v>14</v>
      </c>
      <c r="G41" s="18"/>
      <c r="H41" s="17" t="s">
        <v>13</v>
      </c>
      <c r="I41" s="24">
        <v>7028</v>
      </c>
      <c r="J41" s="24"/>
      <c r="K41" s="20" t="s">
        <v>8</v>
      </c>
      <c r="L41" s="21">
        <v>8055734.75</v>
      </c>
    </row>
    <row r="42" spans="1:12" ht="51" x14ac:dyDescent="0.3">
      <c r="A42" s="15" t="s">
        <v>20</v>
      </c>
      <c r="B42" s="16" t="s">
        <v>50</v>
      </c>
      <c r="C42" s="16" t="s">
        <v>22</v>
      </c>
      <c r="D42" s="16" t="s">
        <v>52</v>
      </c>
      <c r="E42" s="17" t="s">
        <v>24</v>
      </c>
      <c r="F42" s="18" t="s">
        <v>14</v>
      </c>
      <c r="G42" s="18"/>
      <c r="H42" s="17" t="s">
        <v>13</v>
      </c>
      <c r="I42" s="24">
        <v>1205.81</v>
      </c>
      <c r="J42" s="24"/>
      <c r="K42" s="20" t="s">
        <v>8</v>
      </c>
      <c r="L42" s="21">
        <v>8054528.9400000004</v>
      </c>
    </row>
    <row r="43" spans="1:12" ht="51" x14ac:dyDescent="0.3">
      <c r="A43" s="15" t="s">
        <v>20</v>
      </c>
      <c r="B43" s="16" t="s">
        <v>50</v>
      </c>
      <c r="C43" s="16" t="s">
        <v>22</v>
      </c>
      <c r="D43" s="16" t="s">
        <v>49</v>
      </c>
      <c r="E43" s="17" t="s">
        <v>24</v>
      </c>
      <c r="F43" s="18" t="s">
        <v>14</v>
      </c>
      <c r="G43" s="18"/>
      <c r="H43" s="17" t="s">
        <v>13</v>
      </c>
      <c r="I43" s="19">
        <v>661.28</v>
      </c>
      <c r="J43" s="19"/>
      <c r="K43" s="20" t="s">
        <v>8</v>
      </c>
      <c r="L43" s="21">
        <v>8053867.6600000001</v>
      </c>
    </row>
    <row r="44" spans="1:12" ht="51" x14ac:dyDescent="0.3">
      <c r="A44" s="15" t="s">
        <v>20</v>
      </c>
      <c r="B44" s="16" t="s">
        <v>50</v>
      </c>
      <c r="C44" s="16" t="s">
        <v>22</v>
      </c>
      <c r="D44" s="16" t="s">
        <v>53</v>
      </c>
      <c r="E44" s="17" t="s">
        <v>24</v>
      </c>
      <c r="F44" s="18" t="s">
        <v>14</v>
      </c>
      <c r="G44" s="18"/>
      <c r="H44" s="17" t="s">
        <v>13</v>
      </c>
      <c r="I44" s="24">
        <v>3289.28</v>
      </c>
      <c r="J44" s="24"/>
      <c r="K44" s="20" t="s">
        <v>8</v>
      </c>
      <c r="L44" s="21">
        <v>8050578.3799999999</v>
      </c>
    </row>
    <row r="45" spans="1:12" ht="51" x14ac:dyDescent="0.3">
      <c r="A45" s="15" t="s">
        <v>20</v>
      </c>
      <c r="B45" s="16" t="s">
        <v>50</v>
      </c>
      <c r="C45" s="16" t="s">
        <v>22</v>
      </c>
      <c r="D45" s="16" t="s">
        <v>31</v>
      </c>
      <c r="E45" s="17" t="s">
        <v>24</v>
      </c>
      <c r="F45" s="18" t="s">
        <v>14</v>
      </c>
      <c r="G45" s="18"/>
      <c r="H45" s="17" t="s">
        <v>13</v>
      </c>
      <c r="I45" s="19">
        <v>723.92</v>
      </c>
      <c r="J45" s="19"/>
      <c r="K45" s="20" t="s">
        <v>8</v>
      </c>
      <c r="L45" s="21">
        <v>8049854.46</v>
      </c>
    </row>
    <row r="46" spans="1:12" ht="51" x14ac:dyDescent="0.3">
      <c r="A46" s="15" t="s">
        <v>20</v>
      </c>
      <c r="B46" s="16" t="s">
        <v>50</v>
      </c>
      <c r="C46" s="16" t="s">
        <v>22</v>
      </c>
      <c r="D46" s="16" t="s">
        <v>31</v>
      </c>
      <c r="E46" s="17" t="s">
        <v>24</v>
      </c>
      <c r="F46" s="18" t="s">
        <v>14</v>
      </c>
      <c r="G46" s="18"/>
      <c r="H46" s="17" t="s">
        <v>13</v>
      </c>
      <c r="I46" s="24">
        <v>30975.17</v>
      </c>
      <c r="J46" s="24"/>
      <c r="K46" s="20" t="s">
        <v>8</v>
      </c>
      <c r="L46" s="21">
        <v>8018879.29</v>
      </c>
    </row>
    <row r="47" spans="1:12" ht="51" x14ac:dyDescent="0.3">
      <c r="A47" s="15" t="s">
        <v>20</v>
      </c>
      <c r="B47" s="16" t="s">
        <v>50</v>
      </c>
      <c r="C47" s="16" t="s">
        <v>22</v>
      </c>
      <c r="D47" s="16" t="s">
        <v>54</v>
      </c>
      <c r="E47" s="17" t="s">
        <v>24</v>
      </c>
      <c r="F47" s="18" t="s">
        <v>14</v>
      </c>
      <c r="G47" s="18"/>
      <c r="H47" s="17" t="s">
        <v>13</v>
      </c>
      <c r="I47" s="24">
        <v>7349.89</v>
      </c>
      <c r="J47" s="24"/>
      <c r="K47" s="20" t="s">
        <v>8</v>
      </c>
      <c r="L47" s="21">
        <v>8011529.4000000004</v>
      </c>
    </row>
    <row r="48" spans="1:12" ht="51" x14ac:dyDescent="0.3">
      <c r="A48" s="15" t="s">
        <v>20</v>
      </c>
      <c r="B48" s="16" t="s">
        <v>50</v>
      </c>
      <c r="C48" s="16" t="s">
        <v>22</v>
      </c>
      <c r="D48" s="16" t="s">
        <v>54</v>
      </c>
      <c r="E48" s="17" t="s">
        <v>24</v>
      </c>
      <c r="F48" s="18" t="s">
        <v>14</v>
      </c>
      <c r="G48" s="18"/>
      <c r="H48" s="17" t="s">
        <v>13</v>
      </c>
      <c r="I48" s="24">
        <v>8065.3</v>
      </c>
      <c r="J48" s="24"/>
      <c r="K48" s="20" t="s">
        <v>8</v>
      </c>
      <c r="L48" s="21">
        <v>8003464.0999999996</v>
      </c>
    </row>
    <row r="49" spans="1:12" ht="61.2" x14ac:dyDescent="0.3">
      <c r="A49" s="15" t="s">
        <v>20</v>
      </c>
      <c r="B49" s="16" t="s">
        <v>50</v>
      </c>
      <c r="C49" s="16" t="s">
        <v>22</v>
      </c>
      <c r="D49" s="16" t="s">
        <v>55</v>
      </c>
      <c r="E49" s="17" t="s">
        <v>24</v>
      </c>
      <c r="F49" s="18" t="s">
        <v>14</v>
      </c>
      <c r="G49" s="18"/>
      <c r="H49" s="17" t="s">
        <v>13</v>
      </c>
      <c r="I49" s="24">
        <v>1002.96</v>
      </c>
      <c r="J49" s="24"/>
      <c r="K49" s="20" t="s">
        <v>8</v>
      </c>
      <c r="L49" s="21">
        <v>8002461.1399999997</v>
      </c>
    </row>
    <row r="50" spans="1:12" ht="61.2" x14ac:dyDescent="0.3">
      <c r="A50" s="15" t="s">
        <v>20</v>
      </c>
      <c r="B50" s="16" t="s">
        <v>50</v>
      </c>
      <c r="C50" s="16" t="s">
        <v>22</v>
      </c>
      <c r="D50" s="16" t="s">
        <v>55</v>
      </c>
      <c r="E50" s="17" t="s">
        <v>24</v>
      </c>
      <c r="F50" s="18" t="s">
        <v>14</v>
      </c>
      <c r="G50" s="18"/>
      <c r="H50" s="17" t="s">
        <v>13</v>
      </c>
      <c r="I50" s="24">
        <v>3123.52</v>
      </c>
      <c r="J50" s="24"/>
      <c r="K50" s="20" t="s">
        <v>8</v>
      </c>
      <c r="L50" s="21">
        <v>7999337.6200000001</v>
      </c>
    </row>
    <row r="51" spans="1:12" ht="61.2" x14ac:dyDescent="0.3">
      <c r="A51" s="15" t="s">
        <v>20</v>
      </c>
      <c r="B51" s="16" t="s">
        <v>50</v>
      </c>
      <c r="C51" s="16" t="s">
        <v>22</v>
      </c>
      <c r="D51" s="16" t="s">
        <v>56</v>
      </c>
      <c r="E51" s="17" t="s">
        <v>24</v>
      </c>
      <c r="F51" s="18" t="s">
        <v>14</v>
      </c>
      <c r="G51" s="18"/>
      <c r="H51" s="17" t="s">
        <v>13</v>
      </c>
      <c r="I51" s="24">
        <v>2672.33</v>
      </c>
      <c r="J51" s="24"/>
      <c r="K51" s="20" t="s">
        <v>8</v>
      </c>
      <c r="L51" s="21">
        <v>7996665.29</v>
      </c>
    </row>
    <row r="52" spans="1:12" ht="61.2" x14ac:dyDescent="0.3">
      <c r="A52" s="15" t="s">
        <v>20</v>
      </c>
      <c r="B52" s="16" t="s">
        <v>50</v>
      </c>
      <c r="C52" s="16" t="s">
        <v>22</v>
      </c>
      <c r="D52" s="16" t="s">
        <v>57</v>
      </c>
      <c r="E52" s="17" t="s">
        <v>24</v>
      </c>
      <c r="F52" s="18" t="s">
        <v>14</v>
      </c>
      <c r="G52" s="18"/>
      <c r="H52" s="17" t="s">
        <v>13</v>
      </c>
      <c r="I52" s="24">
        <v>11115.48</v>
      </c>
      <c r="J52" s="24"/>
      <c r="K52" s="20" t="s">
        <v>8</v>
      </c>
      <c r="L52" s="21">
        <v>7985549.8099999996</v>
      </c>
    </row>
    <row r="53" spans="1:12" ht="51" x14ac:dyDescent="0.3">
      <c r="A53" s="15" t="s">
        <v>20</v>
      </c>
      <c r="B53" s="16" t="s">
        <v>50</v>
      </c>
      <c r="C53" s="16" t="s">
        <v>22</v>
      </c>
      <c r="D53" s="16" t="s">
        <v>58</v>
      </c>
      <c r="E53" s="17" t="s">
        <v>24</v>
      </c>
      <c r="F53" s="18" t="s">
        <v>14</v>
      </c>
      <c r="G53" s="18"/>
      <c r="H53" s="17" t="s">
        <v>13</v>
      </c>
      <c r="I53" s="24">
        <v>65078</v>
      </c>
      <c r="J53" s="24"/>
      <c r="K53" s="20" t="s">
        <v>8</v>
      </c>
      <c r="L53" s="21">
        <v>7920471.8099999996</v>
      </c>
    </row>
    <row r="54" spans="1:12" ht="61.2" x14ac:dyDescent="0.3">
      <c r="A54" s="15" t="s">
        <v>20</v>
      </c>
      <c r="B54" s="16" t="s">
        <v>50</v>
      </c>
      <c r="C54" s="16" t="s">
        <v>22</v>
      </c>
      <c r="D54" s="16" t="s">
        <v>59</v>
      </c>
      <c r="E54" s="17" t="s">
        <v>24</v>
      </c>
      <c r="F54" s="18" t="s">
        <v>14</v>
      </c>
      <c r="G54" s="18"/>
      <c r="H54" s="17" t="s">
        <v>13</v>
      </c>
      <c r="I54" s="24">
        <v>3400.02</v>
      </c>
      <c r="J54" s="24"/>
      <c r="K54" s="20" t="s">
        <v>8</v>
      </c>
      <c r="L54" s="21">
        <v>7917071.79</v>
      </c>
    </row>
    <row r="55" spans="1:12" ht="51" x14ac:dyDescent="0.3">
      <c r="A55" s="15" t="s">
        <v>20</v>
      </c>
      <c r="B55" s="16" t="s">
        <v>50</v>
      </c>
      <c r="C55" s="16" t="s">
        <v>22</v>
      </c>
      <c r="D55" s="16" t="s">
        <v>60</v>
      </c>
      <c r="E55" s="17" t="s">
        <v>24</v>
      </c>
      <c r="F55" s="18" t="s">
        <v>14</v>
      </c>
      <c r="G55" s="18"/>
      <c r="H55" s="17" t="s">
        <v>13</v>
      </c>
      <c r="I55" s="19">
        <v>105.3</v>
      </c>
      <c r="J55" s="19"/>
      <c r="K55" s="20" t="s">
        <v>8</v>
      </c>
      <c r="L55" s="21">
        <v>7916966.4900000002</v>
      </c>
    </row>
    <row r="56" spans="1:12" ht="51" x14ac:dyDescent="0.3">
      <c r="A56" s="15" t="s">
        <v>20</v>
      </c>
      <c r="B56" s="16" t="s">
        <v>50</v>
      </c>
      <c r="C56" s="16" t="s">
        <v>22</v>
      </c>
      <c r="D56" s="16" t="s">
        <v>61</v>
      </c>
      <c r="E56" s="17" t="s">
        <v>24</v>
      </c>
      <c r="F56" s="18" t="s">
        <v>14</v>
      </c>
      <c r="G56" s="18"/>
      <c r="H56" s="17" t="s">
        <v>13</v>
      </c>
      <c r="I56" s="24">
        <v>1306.5899999999999</v>
      </c>
      <c r="J56" s="24"/>
      <c r="K56" s="20" t="s">
        <v>8</v>
      </c>
      <c r="L56" s="21">
        <v>7915659.9000000004</v>
      </c>
    </row>
    <row r="57" spans="1:12" ht="51" x14ac:dyDescent="0.3">
      <c r="A57" s="15" t="s">
        <v>20</v>
      </c>
      <c r="B57" s="16" t="s">
        <v>62</v>
      </c>
      <c r="C57" s="16" t="s">
        <v>22</v>
      </c>
      <c r="D57" s="16" t="s">
        <v>63</v>
      </c>
      <c r="E57" s="17" t="s">
        <v>24</v>
      </c>
      <c r="F57" s="18" t="s">
        <v>14</v>
      </c>
      <c r="G57" s="18"/>
      <c r="H57" s="17" t="s">
        <v>13</v>
      </c>
      <c r="I57" s="24">
        <v>1822.68</v>
      </c>
      <c r="J57" s="24"/>
      <c r="K57" s="20" t="s">
        <v>8</v>
      </c>
      <c r="L57" s="21">
        <v>7913837.2199999997</v>
      </c>
    </row>
    <row r="58" spans="1:12" ht="51" x14ac:dyDescent="0.3">
      <c r="A58" s="15" t="s">
        <v>20</v>
      </c>
      <c r="B58" s="16" t="s">
        <v>64</v>
      </c>
      <c r="C58" s="16" t="s">
        <v>22</v>
      </c>
      <c r="D58" s="16" t="s">
        <v>65</v>
      </c>
      <c r="E58" s="17" t="s">
        <v>24</v>
      </c>
      <c r="F58" s="18" t="s">
        <v>14</v>
      </c>
      <c r="G58" s="18"/>
      <c r="H58" s="17" t="s">
        <v>13</v>
      </c>
      <c r="I58" s="24">
        <v>42565.41</v>
      </c>
      <c r="J58" s="24"/>
      <c r="K58" s="20" t="s">
        <v>8</v>
      </c>
      <c r="L58" s="21">
        <v>7871271.8099999996</v>
      </c>
    </row>
    <row r="59" spans="1:12" ht="51" x14ac:dyDescent="0.3">
      <c r="A59" s="15" t="s">
        <v>20</v>
      </c>
      <c r="B59" s="16" t="s">
        <v>64</v>
      </c>
      <c r="C59" s="16" t="s">
        <v>22</v>
      </c>
      <c r="D59" s="16" t="s">
        <v>66</v>
      </c>
      <c r="E59" s="17" t="s">
        <v>24</v>
      </c>
      <c r="F59" s="18" t="s">
        <v>14</v>
      </c>
      <c r="G59" s="18"/>
      <c r="H59" s="17" t="s">
        <v>13</v>
      </c>
      <c r="I59" s="24">
        <v>8106.08</v>
      </c>
      <c r="J59" s="24"/>
      <c r="K59" s="20" t="s">
        <v>8</v>
      </c>
      <c r="L59" s="21">
        <v>7863165.7300000004</v>
      </c>
    </row>
    <row r="60" spans="1:12" ht="51" x14ac:dyDescent="0.3">
      <c r="A60" s="15" t="s">
        <v>20</v>
      </c>
      <c r="B60" s="16" t="s">
        <v>64</v>
      </c>
      <c r="C60" s="16" t="s">
        <v>22</v>
      </c>
      <c r="D60" s="16" t="s">
        <v>67</v>
      </c>
      <c r="E60" s="17" t="s">
        <v>24</v>
      </c>
      <c r="F60" s="18" t="s">
        <v>14</v>
      </c>
      <c r="G60" s="18"/>
      <c r="H60" s="17" t="s">
        <v>13</v>
      </c>
      <c r="I60" s="24">
        <v>2426.42</v>
      </c>
      <c r="J60" s="24"/>
      <c r="K60" s="20" t="s">
        <v>8</v>
      </c>
      <c r="L60" s="21">
        <v>7860739.3099999996</v>
      </c>
    </row>
    <row r="61" spans="1:12" ht="51" x14ac:dyDescent="0.3">
      <c r="A61" s="15" t="s">
        <v>20</v>
      </c>
      <c r="B61" s="16" t="s">
        <v>68</v>
      </c>
      <c r="C61" s="16" t="s">
        <v>22</v>
      </c>
      <c r="D61" s="16" t="s">
        <v>69</v>
      </c>
      <c r="E61" s="17" t="s">
        <v>24</v>
      </c>
      <c r="F61" s="18" t="s">
        <v>14</v>
      </c>
      <c r="G61" s="18"/>
      <c r="H61" s="17" t="s">
        <v>13</v>
      </c>
      <c r="I61" s="19">
        <v>56.8</v>
      </c>
      <c r="J61" s="19"/>
      <c r="K61" s="20" t="s">
        <v>8</v>
      </c>
      <c r="L61" s="21">
        <v>7860682.5099999998</v>
      </c>
    </row>
    <row r="62" spans="1:12" ht="51" hidden="1" x14ac:dyDescent="0.3">
      <c r="A62" s="15" t="s">
        <v>20</v>
      </c>
      <c r="B62" s="16" t="s">
        <v>70</v>
      </c>
      <c r="C62" s="16" t="s">
        <v>22</v>
      </c>
      <c r="D62" s="16" t="s">
        <v>32</v>
      </c>
      <c r="E62" s="17" t="s">
        <v>24</v>
      </c>
      <c r="F62" s="18" t="s">
        <v>14</v>
      </c>
      <c r="G62" s="18"/>
      <c r="H62" s="17" t="s">
        <v>13</v>
      </c>
      <c r="I62" s="19">
        <v>0.01</v>
      </c>
      <c r="J62" s="19"/>
      <c r="K62" s="20" t="s">
        <v>8</v>
      </c>
      <c r="L62" s="21">
        <v>7860682.5</v>
      </c>
    </row>
    <row r="63" spans="1:12" ht="61.2" x14ac:dyDescent="0.3">
      <c r="A63" s="15" t="s">
        <v>20</v>
      </c>
      <c r="B63" s="16" t="s">
        <v>71</v>
      </c>
      <c r="C63" s="16" t="s">
        <v>22</v>
      </c>
      <c r="D63" s="16" t="s">
        <v>72</v>
      </c>
      <c r="E63" s="17" t="s">
        <v>24</v>
      </c>
      <c r="F63" s="18" t="s">
        <v>14</v>
      </c>
      <c r="G63" s="18"/>
      <c r="H63" s="17" t="s">
        <v>13</v>
      </c>
      <c r="I63" s="19">
        <v>566.4</v>
      </c>
      <c r="J63" s="19"/>
      <c r="K63" s="20" t="s">
        <v>8</v>
      </c>
      <c r="L63" s="21">
        <v>7860116.0999999996</v>
      </c>
    </row>
    <row r="64" spans="1:12" ht="51" x14ac:dyDescent="0.3">
      <c r="A64" s="15" t="s">
        <v>20</v>
      </c>
      <c r="B64" s="16" t="s">
        <v>71</v>
      </c>
      <c r="C64" s="16" t="s">
        <v>22</v>
      </c>
      <c r="D64" s="16" t="s">
        <v>73</v>
      </c>
      <c r="E64" s="17" t="s">
        <v>24</v>
      </c>
      <c r="F64" s="18" t="s">
        <v>14</v>
      </c>
      <c r="G64" s="18"/>
      <c r="H64" s="17" t="s">
        <v>13</v>
      </c>
      <c r="I64" s="24">
        <v>1113.28</v>
      </c>
      <c r="J64" s="24"/>
      <c r="K64" s="20" t="s">
        <v>8</v>
      </c>
      <c r="L64" s="21">
        <v>7859002.8200000003</v>
      </c>
    </row>
    <row r="65" spans="1:12" ht="51" x14ac:dyDescent="0.3">
      <c r="A65" s="15" t="s">
        <v>20</v>
      </c>
      <c r="B65" s="16" t="s">
        <v>71</v>
      </c>
      <c r="C65" s="16" t="s">
        <v>22</v>
      </c>
      <c r="D65" s="16" t="s">
        <v>74</v>
      </c>
      <c r="E65" s="17" t="s">
        <v>24</v>
      </c>
      <c r="F65" s="18" t="s">
        <v>14</v>
      </c>
      <c r="G65" s="18"/>
      <c r="H65" s="17" t="s">
        <v>13</v>
      </c>
      <c r="I65" s="24">
        <v>3212.49</v>
      </c>
      <c r="J65" s="24"/>
      <c r="K65" s="20" t="s">
        <v>8</v>
      </c>
      <c r="L65" s="21">
        <v>7855790.3300000001</v>
      </c>
    </row>
    <row r="66" spans="1:12" ht="61.2" x14ac:dyDescent="0.3">
      <c r="A66" s="15" t="s">
        <v>20</v>
      </c>
      <c r="B66" s="16" t="s">
        <v>75</v>
      </c>
      <c r="C66" s="16" t="s">
        <v>22</v>
      </c>
      <c r="D66" s="16" t="s">
        <v>76</v>
      </c>
      <c r="E66" s="17" t="s">
        <v>24</v>
      </c>
      <c r="F66" s="18" t="s">
        <v>14</v>
      </c>
      <c r="G66" s="18"/>
      <c r="H66" s="17" t="s">
        <v>13</v>
      </c>
      <c r="I66" s="19">
        <v>660</v>
      </c>
      <c r="J66" s="19"/>
      <c r="K66" s="20" t="s">
        <v>8</v>
      </c>
      <c r="L66" s="21">
        <v>7855130.3300000001</v>
      </c>
    </row>
    <row r="67" spans="1:12" ht="51" x14ac:dyDescent="0.3">
      <c r="A67" s="15" t="s">
        <v>20</v>
      </c>
      <c r="B67" s="16" t="s">
        <v>75</v>
      </c>
      <c r="C67" s="16" t="s">
        <v>22</v>
      </c>
      <c r="D67" s="16" t="s">
        <v>77</v>
      </c>
      <c r="E67" s="17" t="s">
        <v>24</v>
      </c>
      <c r="F67" s="18" t="s">
        <v>14</v>
      </c>
      <c r="G67" s="18"/>
      <c r="H67" s="17" t="s">
        <v>13</v>
      </c>
      <c r="I67" s="19">
        <v>495</v>
      </c>
      <c r="J67" s="19"/>
      <c r="K67" s="20" t="s">
        <v>8</v>
      </c>
      <c r="L67" s="21">
        <v>7854635.3300000001</v>
      </c>
    </row>
    <row r="68" spans="1:12" hidden="1" x14ac:dyDescent="0.3">
      <c r="A68" s="25" t="s">
        <v>78</v>
      </c>
      <c r="B68" s="25"/>
      <c r="C68" s="25"/>
      <c r="D68" s="25"/>
      <c r="E68" s="26">
        <v>3433.75</v>
      </c>
      <c r="F68" s="26"/>
      <c r="G68" s="26"/>
      <c r="H68" s="26">
        <v>764724.95</v>
      </c>
      <c r="I68" s="26"/>
      <c r="J68" s="26"/>
      <c r="K68" s="27" t="s">
        <v>8</v>
      </c>
      <c r="L68" s="28">
        <v>7854635.3300000001</v>
      </c>
    </row>
    <row r="70" spans="1:12" x14ac:dyDescent="0.3">
      <c r="J70" s="1">
        <f>SUBTOTAL(9,I5:J67)</f>
        <v>764547.94000000018</v>
      </c>
    </row>
    <row r="72" spans="1:12" x14ac:dyDescent="0.3">
      <c r="J72" s="1">
        <f>J70*1.2</f>
        <v>917457.52800000017</v>
      </c>
    </row>
  </sheetData>
  <autoFilter ref="B1:D68" xr:uid="{0C87E75B-07FB-47EF-80ED-4EC982648DFC}">
    <filterColumn colId="0">
      <filters>
        <filter val="Вимога-накладна ІБ00-000067 від 31.01.2026 20:00:00_x000a_Списаны ТМЦ"/>
        <filter val="Вимога-накладна ІБ00-000092 від 31.01.2026 20:08:00_x000a_Списаны ТМЦ"/>
        <filter val="Вимога-накладна ІБ00-000099 від 31.01.2026 20:06:00_x000a_Списаны ТМЦ"/>
        <filter val="Вимога-накладна ІБ00-000100 від 31.01.2026 20:07:00_x000a_Списаны ТМЦ"/>
        <filter val="Вимога-накладна ІБ00-000101 від 31.01.2026 20:09:00_x000a_Списаны ТМЦ"/>
        <filter val="Вимога-накладна ІБ00-000135 від 31.01.2026 20:10:00_x000a_Списаны ТМЦ"/>
        <filter val="Вимога-накладна ІБ00-000136 від 31.01.2026 20:00:00_x000a_Списаны ТМЦ"/>
        <filter val="Списання товарів ІБ00-000008 від 31.01.2026 23:59:06_x000a_Списаны ТМЦ"/>
        <filter val="Списання товарів ІБ00-000048 від 31.01.2026 21:00:00_x000a_Списаны ТМЦ"/>
        <filter val="Списання товарів ІБ00-000049 від 31.01.2026 23:59:30_x000a_Списаны ТМЦ"/>
      </filters>
    </filterColumn>
  </autoFilter>
  <mergeCells count="142">
    <mergeCell ref="F67:G67"/>
    <mergeCell ref="I67:J67"/>
    <mergeCell ref="A68:D68"/>
    <mergeCell ref="E68:G68"/>
    <mergeCell ref="H68:J68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C193F-92CF-4ECE-94C7-9000F89E3499}">
  <sheetPr filterMode="1"/>
  <dimension ref="A1:L879"/>
  <sheetViews>
    <sheetView tabSelected="1" topLeftCell="A867" workbookViewId="0">
      <selection activeCell="J879" sqref="J879"/>
    </sheetView>
  </sheetViews>
  <sheetFormatPr defaultRowHeight="14.4" x14ac:dyDescent="0.3"/>
  <cols>
    <col min="2" max="4" width="23" customWidth="1"/>
    <col min="5" max="5" width="11.33203125" bestFit="1" customWidth="1"/>
    <col min="10" max="10" width="12.33203125" bestFit="1" customWidth="1"/>
  </cols>
  <sheetData>
    <row r="1" spans="1:12" x14ac:dyDescent="0.3">
      <c r="A1" s="29" t="s">
        <v>0</v>
      </c>
      <c r="B1" s="30" t="s">
        <v>1</v>
      </c>
      <c r="C1" s="30" t="s">
        <v>2</v>
      </c>
      <c r="D1" s="31" t="s">
        <v>3</v>
      </c>
      <c r="E1" s="32" t="s">
        <v>4</v>
      </c>
      <c r="F1" s="32"/>
      <c r="G1" s="32"/>
      <c r="H1" s="33" t="s">
        <v>5</v>
      </c>
      <c r="I1" s="33"/>
      <c r="J1" s="33"/>
      <c r="K1" s="30" t="s">
        <v>6</v>
      </c>
      <c r="L1" s="30"/>
    </row>
    <row r="2" spans="1:12" hidden="1" x14ac:dyDescent="0.3">
      <c r="A2" s="34"/>
      <c r="B2" s="35"/>
      <c r="C2" s="35"/>
      <c r="D2" s="36"/>
      <c r="E2" s="37" t="s">
        <v>7</v>
      </c>
      <c r="F2" s="38"/>
      <c r="G2" s="38"/>
      <c r="H2" s="39" t="s">
        <v>7</v>
      </c>
      <c r="I2" s="40"/>
      <c r="J2" s="40"/>
      <c r="K2" s="34"/>
      <c r="L2" s="41"/>
    </row>
    <row r="3" spans="1:12" ht="71.400000000000006" hidden="1" x14ac:dyDescent="0.3">
      <c r="A3" s="42" t="s">
        <v>79</v>
      </c>
      <c r="B3" s="43" t="s">
        <v>80</v>
      </c>
      <c r="C3" s="43" t="s">
        <v>81</v>
      </c>
      <c r="D3" s="43" t="s">
        <v>82</v>
      </c>
      <c r="E3" s="44" t="s">
        <v>13</v>
      </c>
      <c r="F3" s="45" t="s">
        <v>14</v>
      </c>
      <c r="G3" s="45"/>
      <c r="H3" s="44" t="s">
        <v>13</v>
      </c>
      <c r="I3" s="46">
        <v>1070</v>
      </c>
      <c r="J3" s="46"/>
      <c r="K3" s="47" t="s">
        <v>8</v>
      </c>
      <c r="L3" s="48">
        <v>2035278.57</v>
      </c>
    </row>
    <row r="4" spans="1:12" ht="71.400000000000006" hidden="1" x14ac:dyDescent="0.3">
      <c r="A4" s="42" t="s">
        <v>79</v>
      </c>
      <c r="B4" s="43" t="s">
        <v>80</v>
      </c>
      <c r="C4" s="43" t="s">
        <v>81</v>
      </c>
      <c r="D4" s="43" t="s">
        <v>82</v>
      </c>
      <c r="E4" s="44" t="s">
        <v>13</v>
      </c>
      <c r="F4" s="49">
        <v>1070</v>
      </c>
      <c r="G4" s="49"/>
      <c r="H4" s="44" t="s">
        <v>13</v>
      </c>
      <c r="I4" s="50" t="s">
        <v>14</v>
      </c>
      <c r="J4" s="50"/>
      <c r="K4" s="47" t="s">
        <v>8</v>
      </c>
      <c r="L4" s="48">
        <v>2485293.25</v>
      </c>
    </row>
    <row r="5" spans="1:12" ht="61.2" hidden="1" x14ac:dyDescent="0.3">
      <c r="A5" s="42" t="s">
        <v>79</v>
      </c>
      <c r="B5" s="43" t="s">
        <v>83</v>
      </c>
      <c r="C5" s="43" t="s">
        <v>84</v>
      </c>
      <c r="D5" s="43" t="s">
        <v>85</v>
      </c>
      <c r="E5" s="44" t="s">
        <v>13</v>
      </c>
      <c r="F5" s="49">
        <v>66663.34</v>
      </c>
      <c r="G5" s="49"/>
      <c r="H5" s="44" t="s">
        <v>13</v>
      </c>
      <c r="I5" s="46">
        <v>66663.34</v>
      </c>
      <c r="J5" s="46"/>
      <c r="K5" s="47" t="s">
        <v>8</v>
      </c>
      <c r="L5" s="48">
        <v>4626117.3899999997</v>
      </c>
    </row>
    <row r="6" spans="1:12" ht="61.2" hidden="1" x14ac:dyDescent="0.3">
      <c r="A6" s="42" t="s">
        <v>79</v>
      </c>
      <c r="B6" s="43" t="s">
        <v>86</v>
      </c>
      <c r="C6" s="43" t="s">
        <v>87</v>
      </c>
      <c r="D6" s="43" t="s">
        <v>88</v>
      </c>
      <c r="E6" s="44" t="s">
        <v>89</v>
      </c>
      <c r="F6" s="45" t="s">
        <v>14</v>
      </c>
      <c r="G6" s="45"/>
      <c r="H6" s="44" t="s">
        <v>13</v>
      </c>
      <c r="I6" s="51">
        <v>800</v>
      </c>
      <c r="J6" s="51"/>
      <c r="K6" s="47" t="s">
        <v>8</v>
      </c>
      <c r="L6" s="48">
        <v>77645.119999999995</v>
      </c>
    </row>
    <row r="7" spans="1:12" ht="61.2" hidden="1" x14ac:dyDescent="0.3">
      <c r="A7" s="42" t="s">
        <v>79</v>
      </c>
      <c r="B7" s="43" t="s">
        <v>90</v>
      </c>
      <c r="C7" s="43" t="s">
        <v>91</v>
      </c>
      <c r="D7" s="43" t="s">
        <v>92</v>
      </c>
      <c r="E7" s="44" t="s">
        <v>13</v>
      </c>
      <c r="F7" s="49">
        <v>2437.5</v>
      </c>
      <c r="G7" s="49"/>
      <c r="H7" s="44" t="s">
        <v>13</v>
      </c>
      <c r="I7" s="46">
        <v>2437.5</v>
      </c>
      <c r="J7" s="46"/>
      <c r="K7" s="47" t="s">
        <v>8</v>
      </c>
      <c r="L7" s="48">
        <v>2035278.57</v>
      </c>
    </row>
    <row r="8" spans="1:12" ht="71.400000000000006" hidden="1" x14ac:dyDescent="0.3">
      <c r="A8" s="42" t="s">
        <v>93</v>
      </c>
      <c r="B8" s="43" t="s">
        <v>94</v>
      </c>
      <c r="C8" s="43" t="s">
        <v>95</v>
      </c>
      <c r="D8" s="43" t="s">
        <v>96</v>
      </c>
      <c r="E8" s="44" t="s">
        <v>13</v>
      </c>
      <c r="F8" s="49">
        <v>17250</v>
      </c>
      <c r="G8" s="49"/>
      <c r="H8" s="44" t="s">
        <v>19</v>
      </c>
      <c r="I8" s="50" t="s">
        <v>14</v>
      </c>
      <c r="J8" s="50"/>
      <c r="K8" s="47" t="s">
        <v>8</v>
      </c>
      <c r="L8" s="48">
        <v>2052528.57</v>
      </c>
    </row>
    <row r="9" spans="1:12" ht="91.8" x14ac:dyDescent="0.3">
      <c r="A9" s="42" t="s">
        <v>97</v>
      </c>
      <c r="B9" s="43" t="s">
        <v>98</v>
      </c>
      <c r="C9" s="43" t="s">
        <v>99</v>
      </c>
      <c r="D9" s="43" t="s">
        <v>100</v>
      </c>
      <c r="E9" s="44" t="s">
        <v>101</v>
      </c>
      <c r="F9" s="45" t="s">
        <v>14</v>
      </c>
      <c r="G9" s="45"/>
      <c r="H9" s="44" t="s">
        <v>13</v>
      </c>
      <c r="I9" s="46">
        <v>44976.25</v>
      </c>
      <c r="J9" s="46"/>
      <c r="K9" s="47" t="s">
        <v>8</v>
      </c>
      <c r="L9" s="48">
        <v>85266.36</v>
      </c>
    </row>
    <row r="10" spans="1:12" ht="91.8" x14ac:dyDescent="0.3">
      <c r="A10" s="42" t="s">
        <v>97</v>
      </c>
      <c r="B10" s="43" t="s">
        <v>98</v>
      </c>
      <c r="C10" s="43" t="s">
        <v>99</v>
      </c>
      <c r="D10" s="43" t="s">
        <v>102</v>
      </c>
      <c r="E10" s="44" t="s">
        <v>101</v>
      </c>
      <c r="F10" s="45" t="s">
        <v>14</v>
      </c>
      <c r="G10" s="45"/>
      <c r="H10" s="44" t="s">
        <v>13</v>
      </c>
      <c r="I10" s="46">
        <v>20054.38</v>
      </c>
      <c r="J10" s="46"/>
      <c r="K10" s="47" t="s">
        <v>8</v>
      </c>
      <c r="L10" s="48">
        <v>65211.98</v>
      </c>
    </row>
    <row r="11" spans="1:12" ht="91.8" x14ac:dyDescent="0.3">
      <c r="A11" s="42" t="s">
        <v>97</v>
      </c>
      <c r="B11" s="43" t="s">
        <v>98</v>
      </c>
      <c r="C11" s="43" t="s">
        <v>99</v>
      </c>
      <c r="D11" s="43" t="s">
        <v>103</v>
      </c>
      <c r="E11" s="44" t="s">
        <v>101</v>
      </c>
      <c r="F11" s="45" t="s">
        <v>14</v>
      </c>
      <c r="G11" s="45"/>
      <c r="H11" s="44" t="s">
        <v>13</v>
      </c>
      <c r="I11" s="46">
        <v>6781.5</v>
      </c>
      <c r="J11" s="46"/>
      <c r="K11" s="47" t="s">
        <v>8</v>
      </c>
      <c r="L11" s="48">
        <v>58430.48</v>
      </c>
    </row>
    <row r="12" spans="1:12" ht="91.8" x14ac:dyDescent="0.3">
      <c r="A12" s="42" t="s">
        <v>97</v>
      </c>
      <c r="B12" s="43" t="s">
        <v>98</v>
      </c>
      <c r="C12" s="43" t="s">
        <v>99</v>
      </c>
      <c r="D12" s="43" t="s">
        <v>104</v>
      </c>
      <c r="E12" s="44" t="s">
        <v>101</v>
      </c>
      <c r="F12" s="45" t="s">
        <v>14</v>
      </c>
      <c r="G12" s="45"/>
      <c r="H12" s="44" t="s">
        <v>13</v>
      </c>
      <c r="I12" s="46">
        <v>3374.25</v>
      </c>
      <c r="J12" s="46"/>
      <c r="K12" s="47" t="s">
        <v>8</v>
      </c>
      <c r="L12" s="48">
        <v>55056.23</v>
      </c>
    </row>
    <row r="13" spans="1:12" ht="91.8" x14ac:dyDescent="0.3">
      <c r="A13" s="42" t="s">
        <v>97</v>
      </c>
      <c r="B13" s="43" t="s">
        <v>98</v>
      </c>
      <c r="C13" s="43" t="s">
        <v>99</v>
      </c>
      <c r="D13" s="43" t="s">
        <v>105</v>
      </c>
      <c r="E13" s="44" t="s">
        <v>101</v>
      </c>
      <c r="F13" s="45" t="s">
        <v>14</v>
      </c>
      <c r="G13" s="45"/>
      <c r="H13" s="44" t="s">
        <v>13</v>
      </c>
      <c r="I13" s="46">
        <v>4705.25</v>
      </c>
      <c r="J13" s="46"/>
      <c r="K13" s="47" t="s">
        <v>8</v>
      </c>
      <c r="L13" s="48">
        <v>50350.98</v>
      </c>
    </row>
    <row r="14" spans="1:12" ht="91.8" x14ac:dyDescent="0.3">
      <c r="A14" s="42" t="s">
        <v>97</v>
      </c>
      <c r="B14" s="43" t="s">
        <v>98</v>
      </c>
      <c r="C14" s="43" t="s">
        <v>99</v>
      </c>
      <c r="D14" s="43" t="s">
        <v>106</v>
      </c>
      <c r="E14" s="44" t="s">
        <v>101</v>
      </c>
      <c r="F14" s="45" t="s">
        <v>14</v>
      </c>
      <c r="G14" s="45"/>
      <c r="H14" s="44" t="s">
        <v>13</v>
      </c>
      <c r="I14" s="46">
        <v>11963.43</v>
      </c>
      <c r="J14" s="46"/>
      <c r="K14" s="47" t="s">
        <v>8</v>
      </c>
      <c r="L14" s="48">
        <v>38387.550000000003</v>
      </c>
    </row>
    <row r="15" spans="1:12" ht="91.8" x14ac:dyDescent="0.3">
      <c r="A15" s="42" t="s">
        <v>97</v>
      </c>
      <c r="B15" s="43" t="s">
        <v>98</v>
      </c>
      <c r="C15" s="43" t="s">
        <v>99</v>
      </c>
      <c r="D15" s="43" t="s">
        <v>107</v>
      </c>
      <c r="E15" s="44" t="s">
        <v>101</v>
      </c>
      <c r="F15" s="45" t="s">
        <v>14</v>
      </c>
      <c r="G15" s="45"/>
      <c r="H15" s="44" t="s">
        <v>13</v>
      </c>
      <c r="I15" s="46">
        <v>8111.97</v>
      </c>
      <c r="J15" s="46"/>
      <c r="K15" s="47" t="s">
        <v>8</v>
      </c>
      <c r="L15" s="48">
        <v>30275.58</v>
      </c>
    </row>
    <row r="16" spans="1:12" ht="91.8" x14ac:dyDescent="0.3">
      <c r="A16" s="42" t="s">
        <v>97</v>
      </c>
      <c r="B16" s="43" t="s">
        <v>98</v>
      </c>
      <c r="C16" s="43" t="s">
        <v>99</v>
      </c>
      <c r="D16" s="43" t="s">
        <v>108</v>
      </c>
      <c r="E16" s="44" t="s">
        <v>101</v>
      </c>
      <c r="F16" s="45" t="s">
        <v>14</v>
      </c>
      <c r="G16" s="45"/>
      <c r="H16" s="44" t="s">
        <v>13</v>
      </c>
      <c r="I16" s="46">
        <v>8091.77</v>
      </c>
      <c r="J16" s="46"/>
      <c r="K16" s="47" t="s">
        <v>8</v>
      </c>
      <c r="L16" s="48">
        <v>22183.81</v>
      </c>
    </row>
    <row r="17" spans="1:12" ht="91.8" x14ac:dyDescent="0.3">
      <c r="A17" s="42" t="s">
        <v>97</v>
      </c>
      <c r="B17" s="43" t="s">
        <v>98</v>
      </c>
      <c r="C17" s="43" t="s">
        <v>99</v>
      </c>
      <c r="D17" s="43" t="s">
        <v>109</v>
      </c>
      <c r="E17" s="44" t="s">
        <v>101</v>
      </c>
      <c r="F17" s="45" t="s">
        <v>14</v>
      </c>
      <c r="G17" s="45"/>
      <c r="H17" s="44" t="s">
        <v>13</v>
      </c>
      <c r="I17" s="46">
        <v>7936.9</v>
      </c>
      <c r="J17" s="46"/>
      <c r="K17" s="47" t="s">
        <v>8</v>
      </c>
      <c r="L17" s="48">
        <v>14246.91</v>
      </c>
    </row>
    <row r="18" spans="1:12" ht="91.8" x14ac:dyDescent="0.3">
      <c r="A18" s="42" t="s">
        <v>97</v>
      </c>
      <c r="B18" s="43" t="s">
        <v>98</v>
      </c>
      <c r="C18" s="43" t="s">
        <v>99</v>
      </c>
      <c r="D18" s="43" t="s">
        <v>110</v>
      </c>
      <c r="E18" s="44" t="s">
        <v>101</v>
      </c>
      <c r="F18" s="45" t="s">
        <v>14</v>
      </c>
      <c r="G18" s="45"/>
      <c r="H18" s="44" t="s">
        <v>13</v>
      </c>
      <c r="I18" s="46">
        <v>5169.51</v>
      </c>
      <c r="J18" s="46"/>
      <c r="K18" s="47" t="s">
        <v>8</v>
      </c>
      <c r="L18" s="48">
        <v>9077.4</v>
      </c>
    </row>
    <row r="19" spans="1:12" ht="71.400000000000006" x14ac:dyDescent="0.3">
      <c r="A19" s="42" t="s">
        <v>97</v>
      </c>
      <c r="B19" s="43" t="s">
        <v>98</v>
      </c>
      <c r="C19" s="43" t="s">
        <v>99</v>
      </c>
      <c r="D19" s="43" t="s">
        <v>111</v>
      </c>
      <c r="E19" s="44" t="s">
        <v>101</v>
      </c>
      <c r="F19" s="45" t="s">
        <v>14</v>
      </c>
      <c r="G19" s="45"/>
      <c r="H19" s="44" t="s">
        <v>13</v>
      </c>
      <c r="I19" s="51">
        <v>700</v>
      </c>
      <c r="J19" s="51"/>
      <c r="K19" s="47" t="s">
        <v>8</v>
      </c>
      <c r="L19" s="48">
        <v>8377.4</v>
      </c>
    </row>
    <row r="20" spans="1:12" ht="81.599999999999994" x14ac:dyDescent="0.3">
      <c r="A20" s="42" t="s">
        <v>97</v>
      </c>
      <c r="B20" s="43" t="s">
        <v>98</v>
      </c>
      <c r="C20" s="43" t="s">
        <v>99</v>
      </c>
      <c r="D20" s="43" t="s">
        <v>112</v>
      </c>
      <c r="E20" s="44" t="s">
        <v>101</v>
      </c>
      <c r="F20" s="45" t="s">
        <v>14</v>
      </c>
      <c r="G20" s="45"/>
      <c r="H20" s="44" t="s">
        <v>13</v>
      </c>
      <c r="I20" s="46">
        <v>1625</v>
      </c>
      <c r="J20" s="46"/>
      <c r="K20" s="47" t="s">
        <v>8</v>
      </c>
      <c r="L20" s="48">
        <v>6752.4</v>
      </c>
    </row>
    <row r="21" spans="1:12" ht="81.599999999999994" x14ac:dyDescent="0.3">
      <c r="A21" s="42" t="s">
        <v>97</v>
      </c>
      <c r="B21" s="43" t="s">
        <v>98</v>
      </c>
      <c r="C21" s="43" t="s">
        <v>99</v>
      </c>
      <c r="D21" s="43" t="s">
        <v>113</v>
      </c>
      <c r="E21" s="44" t="s">
        <v>101</v>
      </c>
      <c r="F21" s="45" t="s">
        <v>14</v>
      </c>
      <c r="G21" s="45"/>
      <c r="H21" s="44" t="s">
        <v>13</v>
      </c>
      <c r="I21" s="46">
        <v>1208</v>
      </c>
      <c r="J21" s="46"/>
      <c r="K21" s="47" t="s">
        <v>8</v>
      </c>
      <c r="L21" s="48">
        <v>5544.4</v>
      </c>
    </row>
    <row r="22" spans="1:12" ht="81.599999999999994" x14ac:dyDescent="0.3">
      <c r="A22" s="42" t="s">
        <v>97</v>
      </c>
      <c r="B22" s="43" t="s">
        <v>98</v>
      </c>
      <c r="C22" s="43" t="s">
        <v>99</v>
      </c>
      <c r="D22" s="43" t="s">
        <v>114</v>
      </c>
      <c r="E22" s="44" t="s">
        <v>101</v>
      </c>
      <c r="F22" s="45" t="s">
        <v>14</v>
      </c>
      <c r="G22" s="45"/>
      <c r="H22" s="44" t="s">
        <v>13</v>
      </c>
      <c r="I22" s="46">
        <v>1208</v>
      </c>
      <c r="J22" s="46"/>
      <c r="K22" s="47" t="s">
        <v>8</v>
      </c>
      <c r="L22" s="48">
        <v>4336.3999999999996</v>
      </c>
    </row>
    <row r="23" spans="1:12" ht="91.8" x14ac:dyDescent="0.3">
      <c r="A23" s="42" t="s">
        <v>97</v>
      </c>
      <c r="B23" s="43" t="s">
        <v>115</v>
      </c>
      <c r="C23" s="43" t="s">
        <v>99</v>
      </c>
      <c r="D23" s="43" t="s">
        <v>116</v>
      </c>
      <c r="E23" s="44" t="s">
        <v>101</v>
      </c>
      <c r="F23" s="45" t="s">
        <v>14</v>
      </c>
      <c r="G23" s="45"/>
      <c r="H23" s="44" t="s">
        <v>13</v>
      </c>
      <c r="I23" s="46">
        <v>57945.47</v>
      </c>
      <c r="J23" s="46"/>
      <c r="K23" s="47" t="s">
        <v>8</v>
      </c>
      <c r="L23" s="48">
        <v>975492.62</v>
      </c>
    </row>
    <row r="24" spans="1:12" ht="91.8" x14ac:dyDescent="0.3">
      <c r="A24" s="42" t="s">
        <v>97</v>
      </c>
      <c r="B24" s="43" t="s">
        <v>115</v>
      </c>
      <c r="C24" s="43" t="s">
        <v>99</v>
      </c>
      <c r="D24" s="43" t="s">
        <v>117</v>
      </c>
      <c r="E24" s="44" t="s">
        <v>101</v>
      </c>
      <c r="F24" s="45" t="s">
        <v>14</v>
      </c>
      <c r="G24" s="45"/>
      <c r="H24" s="44" t="s">
        <v>13</v>
      </c>
      <c r="I24" s="46">
        <v>29514.67</v>
      </c>
      <c r="J24" s="46"/>
      <c r="K24" s="47" t="s">
        <v>8</v>
      </c>
      <c r="L24" s="48">
        <v>945977.95</v>
      </c>
    </row>
    <row r="25" spans="1:12" ht="91.8" x14ac:dyDescent="0.3">
      <c r="A25" s="42" t="s">
        <v>97</v>
      </c>
      <c r="B25" s="43" t="s">
        <v>115</v>
      </c>
      <c r="C25" s="43" t="s">
        <v>99</v>
      </c>
      <c r="D25" s="43" t="s">
        <v>118</v>
      </c>
      <c r="E25" s="44" t="s">
        <v>101</v>
      </c>
      <c r="F25" s="45" t="s">
        <v>14</v>
      </c>
      <c r="G25" s="45"/>
      <c r="H25" s="44" t="s">
        <v>13</v>
      </c>
      <c r="I25" s="46">
        <v>42035.38</v>
      </c>
      <c r="J25" s="46"/>
      <c r="K25" s="47" t="s">
        <v>8</v>
      </c>
      <c r="L25" s="48">
        <v>903942.57</v>
      </c>
    </row>
    <row r="26" spans="1:12" ht="91.8" x14ac:dyDescent="0.3">
      <c r="A26" s="42" t="s">
        <v>97</v>
      </c>
      <c r="B26" s="43" t="s">
        <v>115</v>
      </c>
      <c r="C26" s="43" t="s">
        <v>99</v>
      </c>
      <c r="D26" s="43" t="s">
        <v>119</v>
      </c>
      <c r="E26" s="44" t="s">
        <v>101</v>
      </c>
      <c r="F26" s="45" t="s">
        <v>14</v>
      </c>
      <c r="G26" s="45"/>
      <c r="H26" s="44" t="s">
        <v>13</v>
      </c>
      <c r="I26" s="46">
        <v>124645.28</v>
      </c>
      <c r="J26" s="46"/>
      <c r="K26" s="47" t="s">
        <v>8</v>
      </c>
      <c r="L26" s="48">
        <v>779297.29</v>
      </c>
    </row>
    <row r="27" spans="1:12" ht="91.8" x14ac:dyDescent="0.3">
      <c r="A27" s="42" t="s">
        <v>97</v>
      </c>
      <c r="B27" s="43" t="s">
        <v>115</v>
      </c>
      <c r="C27" s="43" t="s">
        <v>99</v>
      </c>
      <c r="D27" s="43" t="s">
        <v>120</v>
      </c>
      <c r="E27" s="44" t="s">
        <v>101</v>
      </c>
      <c r="F27" s="45" t="s">
        <v>14</v>
      </c>
      <c r="G27" s="45"/>
      <c r="H27" s="44" t="s">
        <v>13</v>
      </c>
      <c r="I27" s="46">
        <v>24887.97</v>
      </c>
      <c r="J27" s="46"/>
      <c r="K27" s="47" t="s">
        <v>8</v>
      </c>
      <c r="L27" s="48">
        <v>754409.32</v>
      </c>
    </row>
    <row r="28" spans="1:12" ht="81.599999999999994" x14ac:dyDescent="0.3">
      <c r="A28" s="42" t="s">
        <v>97</v>
      </c>
      <c r="B28" s="43" t="s">
        <v>115</v>
      </c>
      <c r="C28" s="43" t="s">
        <v>99</v>
      </c>
      <c r="D28" s="43" t="s">
        <v>121</v>
      </c>
      <c r="E28" s="44" t="s">
        <v>101</v>
      </c>
      <c r="F28" s="45" t="s">
        <v>14</v>
      </c>
      <c r="G28" s="45"/>
      <c r="H28" s="44" t="s">
        <v>13</v>
      </c>
      <c r="I28" s="46">
        <v>13027.74</v>
      </c>
      <c r="J28" s="46"/>
      <c r="K28" s="47" t="s">
        <v>8</v>
      </c>
      <c r="L28" s="48">
        <v>741381.58</v>
      </c>
    </row>
    <row r="29" spans="1:12" ht="91.8" x14ac:dyDescent="0.3">
      <c r="A29" s="42" t="s">
        <v>97</v>
      </c>
      <c r="B29" s="43" t="s">
        <v>115</v>
      </c>
      <c r="C29" s="43" t="s">
        <v>99</v>
      </c>
      <c r="D29" s="43" t="s">
        <v>122</v>
      </c>
      <c r="E29" s="44" t="s">
        <v>101</v>
      </c>
      <c r="F29" s="45" t="s">
        <v>14</v>
      </c>
      <c r="G29" s="45"/>
      <c r="H29" s="44" t="s">
        <v>13</v>
      </c>
      <c r="I29" s="46">
        <v>11059.52</v>
      </c>
      <c r="J29" s="46"/>
      <c r="K29" s="47" t="s">
        <v>8</v>
      </c>
      <c r="L29" s="48">
        <v>730322.06</v>
      </c>
    </row>
    <row r="30" spans="1:12" ht="91.8" x14ac:dyDescent="0.3">
      <c r="A30" s="42" t="s">
        <v>97</v>
      </c>
      <c r="B30" s="43" t="s">
        <v>115</v>
      </c>
      <c r="C30" s="43" t="s">
        <v>99</v>
      </c>
      <c r="D30" s="43" t="s">
        <v>123</v>
      </c>
      <c r="E30" s="44" t="s">
        <v>101</v>
      </c>
      <c r="F30" s="45" t="s">
        <v>14</v>
      </c>
      <c r="G30" s="45"/>
      <c r="H30" s="44" t="s">
        <v>13</v>
      </c>
      <c r="I30" s="46">
        <v>9326.2900000000009</v>
      </c>
      <c r="J30" s="46"/>
      <c r="K30" s="47" t="s">
        <v>8</v>
      </c>
      <c r="L30" s="48">
        <v>720995.77</v>
      </c>
    </row>
    <row r="31" spans="1:12" ht="91.8" x14ac:dyDescent="0.3">
      <c r="A31" s="42" t="s">
        <v>97</v>
      </c>
      <c r="B31" s="43" t="s">
        <v>115</v>
      </c>
      <c r="C31" s="43" t="s">
        <v>99</v>
      </c>
      <c r="D31" s="43" t="s">
        <v>124</v>
      </c>
      <c r="E31" s="44" t="s">
        <v>101</v>
      </c>
      <c r="F31" s="45" t="s">
        <v>14</v>
      </c>
      <c r="G31" s="45"/>
      <c r="H31" s="44" t="s">
        <v>13</v>
      </c>
      <c r="I31" s="46">
        <v>8685.16</v>
      </c>
      <c r="J31" s="46"/>
      <c r="K31" s="47" t="s">
        <v>8</v>
      </c>
      <c r="L31" s="48">
        <v>712310.61</v>
      </c>
    </row>
    <row r="32" spans="1:12" ht="91.8" x14ac:dyDescent="0.3">
      <c r="A32" s="42" t="s">
        <v>97</v>
      </c>
      <c r="B32" s="43" t="s">
        <v>115</v>
      </c>
      <c r="C32" s="43" t="s">
        <v>99</v>
      </c>
      <c r="D32" s="43" t="s">
        <v>125</v>
      </c>
      <c r="E32" s="44" t="s">
        <v>101</v>
      </c>
      <c r="F32" s="45" t="s">
        <v>14</v>
      </c>
      <c r="G32" s="45"/>
      <c r="H32" s="44" t="s">
        <v>13</v>
      </c>
      <c r="I32" s="46">
        <v>37489.910000000003</v>
      </c>
      <c r="J32" s="46"/>
      <c r="K32" s="47" t="s">
        <v>8</v>
      </c>
      <c r="L32" s="48">
        <v>674820.7</v>
      </c>
    </row>
    <row r="33" spans="1:12" ht="91.8" x14ac:dyDescent="0.3">
      <c r="A33" s="42" t="s">
        <v>97</v>
      </c>
      <c r="B33" s="43" t="s">
        <v>115</v>
      </c>
      <c r="C33" s="43" t="s">
        <v>99</v>
      </c>
      <c r="D33" s="43" t="s">
        <v>126</v>
      </c>
      <c r="E33" s="44" t="s">
        <v>101</v>
      </c>
      <c r="F33" s="45" t="s">
        <v>14</v>
      </c>
      <c r="G33" s="45"/>
      <c r="H33" s="44" t="s">
        <v>13</v>
      </c>
      <c r="I33" s="46">
        <v>5561</v>
      </c>
      <c r="J33" s="46"/>
      <c r="K33" s="47" t="s">
        <v>8</v>
      </c>
      <c r="L33" s="48">
        <v>669259.69999999995</v>
      </c>
    </row>
    <row r="34" spans="1:12" ht="91.8" x14ac:dyDescent="0.3">
      <c r="A34" s="42" t="s">
        <v>97</v>
      </c>
      <c r="B34" s="43" t="s">
        <v>115</v>
      </c>
      <c r="C34" s="43" t="s">
        <v>99</v>
      </c>
      <c r="D34" s="43" t="s">
        <v>127</v>
      </c>
      <c r="E34" s="44" t="s">
        <v>101</v>
      </c>
      <c r="F34" s="45" t="s">
        <v>14</v>
      </c>
      <c r="G34" s="45"/>
      <c r="H34" s="44" t="s">
        <v>13</v>
      </c>
      <c r="I34" s="46">
        <v>8341.5</v>
      </c>
      <c r="J34" s="46"/>
      <c r="K34" s="47" t="s">
        <v>8</v>
      </c>
      <c r="L34" s="48">
        <v>660918.19999999995</v>
      </c>
    </row>
    <row r="35" spans="1:12" ht="91.8" x14ac:dyDescent="0.3">
      <c r="A35" s="42" t="s">
        <v>97</v>
      </c>
      <c r="B35" s="43" t="s">
        <v>115</v>
      </c>
      <c r="C35" s="43" t="s">
        <v>99</v>
      </c>
      <c r="D35" s="43" t="s">
        <v>128</v>
      </c>
      <c r="E35" s="44" t="s">
        <v>101</v>
      </c>
      <c r="F35" s="45" t="s">
        <v>14</v>
      </c>
      <c r="G35" s="45"/>
      <c r="H35" s="44" t="s">
        <v>13</v>
      </c>
      <c r="I35" s="46">
        <v>6435.77</v>
      </c>
      <c r="J35" s="46"/>
      <c r="K35" s="47" t="s">
        <v>8</v>
      </c>
      <c r="L35" s="48">
        <v>654482.43000000005</v>
      </c>
    </row>
    <row r="36" spans="1:12" ht="91.8" x14ac:dyDescent="0.3">
      <c r="A36" s="42" t="s">
        <v>97</v>
      </c>
      <c r="B36" s="43" t="s">
        <v>115</v>
      </c>
      <c r="C36" s="43" t="s">
        <v>99</v>
      </c>
      <c r="D36" s="43" t="s">
        <v>129</v>
      </c>
      <c r="E36" s="44" t="s">
        <v>101</v>
      </c>
      <c r="F36" s="45" t="s">
        <v>14</v>
      </c>
      <c r="G36" s="45"/>
      <c r="H36" s="44" t="s">
        <v>13</v>
      </c>
      <c r="I36" s="46">
        <v>6217.08</v>
      </c>
      <c r="J36" s="46"/>
      <c r="K36" s="47" t="s">
        <v>8</v>
      </c>
      <c r="L36" s="48">
        <v>648265.35</v>
      </c>
    </row>
    <row r="37" spans="1:12" ht="91.8" x14ac:dyDescent="0.3">
      <c r="A37" s="42" t="s">
        <v>97</v>
      </c>
      <c r="B37" s="43" t="s">
        <v>115</v>
      </c>
      <c r="C37" s="43" t="s">
        <v>99</v>
      </c>
      <c r="D37" s="43" t="s">
        <v>130</v>
      </c>
      <c r="E37" s="44" t="s">
        <v>101</v>
      </c>
      <c r="F37" s="45" t="s">
        <v>14</v>
      </c>
      <c r="G37" s="45"/>
      <c r="H37" s="44" t="s">
        <v>13</v>
      </c>
      <c r="I37" s="46">
        <v>4811.2</v>
      </c>
      <c r="J37" s="46"/>
      <c r="K37" s="47" t="s">
        <v>8</v>
      </c>
      <c r="L37" s="48">
        <v>643454.15</v>
      </c>
    </row>
    <row r="38" spans="1:12" ht="91.8" x14ac:dyDescent="0.3">
      <c r="A38" s="42" t="s">
        <v>97</v>
      </c>
      <c r="B38" s="43" t="s">
        <v>115</v>
      </c>
      <c r="C38" s="43" t="s">
        <v>99</v>
      </c>
      <c r="D38" s="43" t="s">
        <v>131</v>
      </c>
      <c r="E38" s="44" t="s">
        <v>101</v>
      </c>
      <c r="F38" s="45" t="s">
        <v>14</v>
      </c>
      <c r="G38" s="45"/>
      <c r="H38" s="44" t="s">
        <v>13</v>
      </c>
      <c r="I38" s="46">
        <v>4989.1899999999996</v>
      </c>
      <c r="J38" s="46"/>
      <c r="K38" s="47" t="s">
        <v>8</v>
      </c>
      <c r="L38" s="48">
        <v>638464.96</v>
      </c>
    </row>
    <row r="39" spans="1:12" ht="91.8" x14ac:dyDescent="0.3">
      <c r="A39" s="42" t="s">
        <v>97</v>
      </c>
      <c r="B39" s="43" t="s">
        <v>115</v>
      </c>
      <c r="C39" s="43" t="s">
        <v>99</v>
      </c>
      <c r="D39" s="43" t="s">
        <v>132</v>
      </c>
      <c r="E39" s="44" t="s">
        <v>101</v>
      </c>
      <c r="F39" s="45" t="s">
        <v>14</v>
      </c>
      <c r="G39" s="45"/>
      <c r="H39" s="44" t="s">
        <v>13</v>
      </c>
      <c r="I39" s="46">
        <v>24665.64</v>
      </c>
      <c r="J39" s="46"/>
      <c r="K39" s="47" t="s">
        <v>8</v>
      </c>
      <c r="L39" s="48">
        <v>613799.31999999995</v>
      </c>
    </row>
    <row r="40" spans="1:12" ht="91.8" x14ac:dyDescent="0.3">
      <c r="A40" s="42" t="s">
        <v>97</v>
      </c>
      <c r="B40" s="43" t="s">
        <v>115</v>
      </c>
      <c r="C40" s="43" t="s">
        <v>99</v>
      </c>
      <c r="D40" s="43" t="s">
        <v>133</v>
      </c>
      <c r="E40" s="44" t="s">
        <v>101</v>
      </c>
      <c r="F40" s="45" t="s">
        <v>14</v>
      </c>
      <c r="G40" s="45"/>
      <c r="H40" s="44" t="s">
        <v>13</v>
      </c>
      <c r="I40" s="46">
        <v>7420.35</v>
      </c>
      <c r="J40" s="46"/>
      <c r="K40" s="47" t="s">
        <v>8</v>
      </c>
      <c r="L40" s="48">
        <v>606378.97</v>
      </c>
    </row>
    <row r="41" spans="1:12" ht="91.8" x14ac:dyDescent="0.3">
      <c r="A41" s="42" t="s">
        <v>97</v>
      </c>
      <c r="B41" s="43" t="s">
        <v>115</v>
      </c>
      <c r="C41" s="43" t="s">
        <v>99</v>
      </c>
      <c r="D41" s="43" t="s">
        <v>134</v>
      </c>
      <c r="E41" s="44" t="s">
        <v>101</v>
      </c>
      <c r="F41" s="45" t="s">
        <v>14</v>
      </c>
      <c r="G41" s="45"/>
      <c r="H41" s="44" t="s">
        <v>13</v>
      </c>
      <c r="I41" s="46">
        <v>6642.19</v>
      </c>
      <c r="J41" s="46"/>
      <c r="K41" s="47" t="s">
        <v>8</v>
      </c>
      <c r="L41" s="48">
        <v>599736.78</v>
      </c>
    </row>
    <row r="42" spans="1:12" ht="91.8" x14ac:dyDescent="0.3">
      <c r="A42" s="42" t="s">
        <v>97</v>
      </c>
      <c r="B42" s="43" t="s">
        <v>115</v>
      </c>
      <c r="C42" s="43" t="s">
        <v>99</v>
      </c>
      <c r="D42" s="43" t="s">
        <v>135</v>
      </c>
      <c r="E42" s="44" t="s">
        <v>101</v>
      </c>
      <c r="F42" s="45" t="s">
        <v>14</v>
      </c>
      <c r="G42" s="45"/>
      <c r="H42" s="44" t="s">
        <v>13</v>
      </c>
      <c r="I42" s="46">
        <v>3182.74</v>
      </c>
      <c r="J42" s="46"/>
      <c r="K42" s="47" t="s">
        <v>8</v>
      </c>
      <c r="L42" s="48">
        <v>596554.04</v>
      </c>
    </row>
    <row r="43" spans="1:12" ht="71.400000000000006" x14ac:dyDescent="0.3">
      <c r="A43" s="42" t="s">
        <v>97</v>
      </c>
      <c r="B43" s="43" t="s">
        <v>115</v>
      </c>
      <c r="C43" s="43" t="s">
        <v>99</v>
      </c>
      <c r="D43" s="43" t="s">
        <v>136</v>
      </c>
      <c r="E43" s="44" t="s">
        <v>101</v>
      </c>
      <c r="F43" s="45" t="s">
        <v>14</v>
      </c>
      <c r="G43" s="45"/>
      <c r="H43" s="44" t="s">
        <v>13</v>
      </c>
      <c r="I43" s="46">
        <v>1750</v>
      </c>
      <c r="J43" s="46"/>
      <c r="K43" s="47" t="s">
        <v>8</v>
      </c>
      <c r="L43" s="48">
        <v>594804.04</v>
      </c>
    </row>
    <row r="44" spans="1:12" ht="81.599999999999994" x14ac:dyDescent="0.3">
      <c r="A44" s="42" t="s">
        <v>97</v>
      </c>
      <c r="B44" s="43" t="s">
        <v>115</v>
      </c>
      <c r="C44" s="43" t="s">
        <v>99</v>
      </c>
      <c r="D44" s="43" t="s">
        <v>137</v>
      </c>
      <c r="E44" s="44" t="s">
        <v>101</v>
      </c>
      <c r="F44" s="45" t="s">
        <v>14</v>
      </c>
      <c r="G44" s="45"/>
      <c r="H44" s="44" t="s">
        <v>13</v>
      </c>
      <c r="I44" s="46">
        <v>6825</v>
      </c>
      <c r="J44" s="46"/>
      <c r="K44" s="47" t="s">
        <v>8</v>
      </c>
      <c r="L44" s="48">
        <v>587979.04</v>
      </c>
    </row>
    <row r="45" spans="1:12" ht="81.599999999999994" x14ac:dyDescent="0.3">
      <c r="A45" s="42" t="s">
        <v>97</v>
      </c>
      <c r="B45" s="43" t="s">
        <v>115</v>
      </c>
      <c r="C45" s="43" t="s">
        <v>99</v>
      </c>
      <c r="D45" s="43" t="s">
        <v>138</v>
      </c>
      <c r="E45" s="44" t="s">
        <v>101</v>
      </c>
      <c r="F45" s="45" t="s">
        <v>14</v>
      </c>
      <c r="G45" s="45"/>
      <c r="H45" s="44" t="s">
        <v>13</v>
      </c>
      <c r="I45" s="46">
        <v>4832</v>
      </c>
      <c r="J45" s="46"/>
      <c r="K45" s="47" t="s">
        <v>8</v>
      </c>
      <c r="L45" s="48">
        <v>583147.04</v>
      </c>
    </row>
    <row r="46" spans="1:12" ht="81.599999999999994" x14ac:dyDescent="0.3">
      <c r="A46" s="42" t="s">
        <v>97</v>
      </c>
      <c r="B46" s="43" t="s">
        <v>115</v>
      </c>
      <c r="C46" s="43" t="s">
        <v>99</v>
      </c>
      <c r="D46" s="43" t="s">
        <v>139</v>
      </c>
      <c r="E46" s="44" t="s">
        <v>101</v>
      </c>
      <c r="F46" s="45" t="s">
        <v>14</v>
      </c>
      <c r="G46" s="45"/>
      <c r="H46" s="44" t="s">
        <v>13</v>
      </c>
      <c r="I46" s="46">
        <v>2416</v>
      </c>
      <c r="J46" s="46"/>
      <c r="K46" s="47" t="s">
        <v>8</v>
      </c>
      <c r="L46" s="48">
        <v>580731.04</v>
      </c>
    </row>
    <row r="47" spans="1:12" ht="61.2" x14ac:dyDescent="0.3">
      <c r="A47" s="42" t="s">
        <v>97</v>
      </c>
      <c r="B47" s="43" t="s">
        <v>140</v>
      </c>
      <c r="C47" s="43" t="s">
        <v>99</v>
      </c>
      <c r="D47" s="43" t="s">
        <v>141</v>
      </c>
      <c r="E47" s="44" t="s">
        <v>101</v>
      </c>
      <c r="F47" s="45" t="s">
        <v>14</v>
      </c>
      <c r="G47" s="45"/>
      <c r="H47" s="44" t="s">
        <v>13</v>
      </c>
      <c r="I47" s="46">
        <v>7955.5</v>
      </c>
      <c r="J47" s="46"/>
      <c r="K47" s="47" t="s">
        <v>8</v>
      </c>
      <c r="L47" s="48">
        <v>1066468.92</v>
      </c>
    </row>
    <row r="48" spans="1:12" ht="61.2" x14ac:dyDescent="0.3">
      <c r="A48" s="42" t="s">
        <v>97</v>
      </c>
      <c r="B48" s="43" t="s">
        <v>140</v>
      </c>
      <c r="C48" s="43" t="s">
        <v>99</v>
      </c>
      <c r="D48" s="43" t="s">
        <v>142</v>
      </c>
      <c r="E48" s="44" t="s">
        <v>101</v>
      </c>
      <c r="F48" s="45" t="s">
        <v>14</v>
      </c>
      <c r="G48" s="45"/>
      <c r="H48" s="44" t="s">
        <v>13</v>
      </c>
      <c r="I48" s="46">
        <v>4650.45</v>
      </c>
      <c r="J48" s="46"/>
      <c r="K48" s="47" t="s">
        <v>8</v>
      </c>
      <c r="L48" s="48">
        <v>1061818.47</v>
      </c>
    </row>
    <row r="49" spans="1:12" ht="61.2" x14ac:dyDescent="0.3">
      <c r="A49" s="42" t="s">
        <v>97</v>
      </c>
      <c r="B49" s="43" t="s">
        <v>140</v>
      </c>
      <c r="C49" s="43" t="s">
        <v>99</v>
      </c>
      <c r="D49" s="43" t="s">
        <v>143</v>
      </c>
      <c r="E49" s="44" t="s">
        <v>101</v>
      </c>
      <c r="F49" s="45" t="s">
        <v>14</v>
      </c>
      <c r="G49" s="45"/>
      <c r="H49" s="44" t="s">
        <v>13</v>
      </c>
      <c r="I49" s="46">
        <v>20214.900000000001</v>
      </c>
      <c r="J49" s="46"/>
      <c r="K49" s="47" t="s">
        <v>8</v>
      </c>
      <c r="L49" s="48">
        <v>1041603.57</v>
      </c>
    </row>
    <row r="50" spans="1:12" ht="61.2" x14ac:dyDescent="0.3">
      <c r="A50" s="42" t="s">
        <v>97</v>
      </c>
      <c r="B50" s="43" t="s">
        <v>140</v>
      </c>
      <c r="C50" s="43" t="s">
        <v>99</v>
      </c>
      <c r="D50" s="43" t="s">
        <v>144</v>
      </c>
      <c r="E50" s="44" t="s">
        <v>101</v>
      </c>
      <c r="F50" s="45" t="s">
        <v>14</v>
      </c>
      <c r="G50" s="45"/>
      <c r="H50" s="44" t="s">
        <v>13</v>
      </c>
      <c r="I50" s="46">
        <v>2805.9</v>
      </c>
      <c r="J50" s="46"/>
      <c r="K50" s="47" t="s">
        <v>8</v>
      </c>
      <c r="L50" s="48">
        <v>1038797.67</v>
      </c>
    </row>
    <row r="51" spans="1:12" ht="61.2" x14ac:dyDescent="0.3">
      <c r="A51" s="42" t="s">
        <v>97</v>
      </c>
      <c r="B51" s="43" t="s">
        <v>140</v>
      </c>
      <c r="C51" s="43" t="s">
        <v>99</v>
      </c>
      <c r="D51" s="43" t="s">
        <v>145</v>
      </c>
      <c r="E51" s="44" t="s">
        <v>101</v>
      </c>
      <c r="F51" s="45" t="s">
        <v>14</v>
      </c>
      <c r="G51" s="45"/>
      <c r="H51" s="44" t="s">
        <v>13</v>
      </c>
      <c r="I51" s="46">
        <v>3483.05</v>
      </c>
      <c r="J51" s="46"/>
      <c r="K51" s="47" t="s">
        <v>8</v>
      </c>
      <c r="L51" s="48">
        <v>1035314.62</v>
      </c>
    </row>
    <row r="52" spans="1:12" ht="61.2" x14ac:dyDescent="0.3">
      <c r="A52" s="42" t="s">
        <v>97</v>
      </c>
      <c r="B52" s="43" t="s">
        <v>140</v>
      </c>
      <c r="C52" s="43" t="s">
        <v>99</v>
      </c>
      <c r="D52" s="43" t="s">
        <v>146</v>
      </c>
      <c r="E52" s="44" t="s">
        <v>101</v>
      </c>
      <c r="F52" s="45" t="s">
        <v>14</v>
      </c>
      <c r="G52" s="45"/>
      <c r="H52" s="44" t="s">
        <v>13</v>
      </c>
      <c r="I52" s="46">
        <v>49879.8</v>
      </c>
      <c r="J52" s="46"/>
      <c r="K52" s="47" t="s">
        <v>8</v>
      </c>
      <c r="L52" s="48">
        <v>985434.82</v>
      </c>
    </row>
    <row r="53" spans="1:12" ht="61.2" x14ac:dyDescent="0.3">
      <c r="A53" s="42" t="s">
        <v>97</v>
      </c>
      <c r="B53" s="43" t="s">
        <v>140</v>
      </c>
      <c r="C53" s="43" t="s">
        <v>99</v>
      </c>
      <c r="D53" s="43" t="s">
        <v>147</v>
      </c>
      <c r="E53" s="44" t="s">
        <v>101</v>
      </c>
      <c r="F53" s="45" t="s">
        <v>14</v>
      </c>
      <c r="G53" s="45"/>
      <c r="H53" s="44" t="s">
        <v>13</v>
      </c>
      <c r="I53" s="46">
        <v>11604</v>
      </c>
      <c r="J53" s="46"/>
      <c r="K53" s="47" t="s">
        <v>8</v>
      </c>
      <c r="L53" s="48">
        <v>973830.82</v>
      </c>
    </row>
    <row r="54" spans="1:12" ht="61.2" x14ac:dyDescent="0.3">
      <c r="A54" s="42" t="s">
        <v>97</v>
      </c>
      <c r="B54" s="43" t="s">
        <v>140</v>
      </c>
      <c r="C54" s="43" t="s">
        <v>99</v>
      </c>
      <c r="D54" s="43" t="s">
        <v>148</v>
      </c>
      <c r="E54" s="44" t="s">
        <v>101</v>
      </c>
      <c r="F54" s="45" t="s">
        <v>14</v>
      </c>
      <c r="G54" s="45"/>
      <c r="H54" s="44" t="s">
        <v>13</v>
      </c>
      <c r="I54" s="46">
        <v>10236.84</v>
      </c>
      <c r="J54" s="46"/>
      <c r="K54" s="47" t="s">
        <v>8</v>
      </c>
      <c r="L54" s="48">
        <v>963593.98</v>
      </c>
    </row>
    <row r="55" spans="1:12" ht="61.2" x14ac:dyDescent="0.3">
      <c r="A55" s="42" t="s">
        <v>97</v>
      </c>
      <c r="B55" s="43" t="s">
        <v>140</v>
      </c>
      <c r="C55" s="43" t="s">
        <v>99</v>
      </c>
      <c r="D55" s="43" t="s">
        <v>149</v>
      </c>
      <c r="E55" s="44" t="s">
        <v>101</v>
      </c>
      <c r="F55" s="45" t="s">
        <v>14</v>
      </c>
      <c r="G55" s="45"/>
      <c r="H55" s="44" t="s">
        <v>13</v>
      </c>
      <c r="I55" s="46">
        <v>3858.15</v>
      </c>
      <c r="J55" s="46"/>
      <c r="K55" s="47" t="s">
        <v>8</v>
      </c>
      <c r="L55" s="48">
        <v>959735.83</v>
      </c>
    </row>
    <row r="56" spans="1:12" ht="61.2" x14ac:dyDescent="0.3">
      <c r="A56" s="42" t="s">
        <v>97</v>
      </c>
      <c r="B56" s="43" t="s">
        <v>140</v>
      </c>
      <c r="C56" s="43" t="s">
        <v>99</v>
      </c>
      <c r="D56" s="43" t="s">
        <v>150</v>
      </c>
      <c r="E56" s="44" t="s">
        <v>101</v>
      </c>
      <c r="F56" s="45" t="s">
        <v>14</v>
      </c>
      <c r="G56" s="45"/>
      <c r="H56" s="44" t="s">
        <v>13</v>
      </c>
      <c r="I56" s="46">
        <v>17357.7</v>
      </c>
      <c r="J56" s="46"/>
      <c r="K56" s="47" t="s">
        <v>8</v>
      </c>
      <c r="L56" s="48">
        <v>942378.13</v>
      </c>
    </row>
    <row r="57" spans="1:12" ht="61.2" x14ac:dyDescent="0.3">
      <c r="A57" s="42" t="s">
        <v>97</v>
      </c>
      <c r="B57" s="43" t="s">
        <v>140</v>
      </c>
      <c r="C57" s="43" t="s">
        <v>99</v>
      </c>
      <c r="D57" s="43" t="s">
        <v>151</v>
      </c>
      <c r="E57" s="44" t="s">
        <v>101</v>
      </c>
      <c r="F57" s="45" t="s">
        <v>14</v>
      </c>
      <c r="G57" s="45"/>
      <c r="H57" s="44" t="s">
        <v>13</v>
      </c>
      <c r="I57" s="46">
        <v>9860.2199999999993</v>
      </c>
      <c r="J57" s="46"/>
      <c r="K57" s="47" t="s">
        <v>8</v>
      </c>
      <c r="L57" s="48">
        <v>932517.91</v>
      </c>
    </row>
    <row r="58" spans="1:12" ht="61.2" x14ac:dyDescent="0.3">
      <c r="A58" s="42" t="s">
        <v>97</v>
      </c>
      <c r="B58" s="43" t="s">
        <v>140</v>
      </c>
      <c r="C58" s="43" t="s">
        <v>99</v>
      </c>
      <c r="D58" s="43" t="s">
        <v>152</v>
      </c>
      <c r="E58" s="44" t="s">
        <v>101</v>
      </c>
      <c r="F58" s="45" t="s">
        <v>14</v>
      </c>
      <c r="G58" s="45"/>
      <c r="H58" s="44" t="s">
        <v>13</v>
      </c>
      <c r="I58" s="46">
        <v>3848.25</v>
      </c>
      <c r="J58" s="46"/>
      <c r="K58" s="47" t="s">
        <v>8</v>
      </c>
      <c r="L58" s="48">
        <v>928669.66</v>
      </c>
    </row>
    <row r="59" spans="1:12" ht="61.2" x14ac:dyDescent="0.3">
      <c r="A59" s="42" t="s">
        <v>97</v>
      </c>
      <c r="B59" s="43" t="s">
        <v>140</v>
      </c>
      <c r="C59" s="43" t="s">
        <v>99</v>
      </c>
      <c r="D59" s="43" t="s">
        <v>153</v>
      </c>
      <c r="E59" s="44" t="s">
        <v>101</v>
      </c>
      <c r="F59" s="45" t="s">
        <v>14</v>
      </c>
      <c r="G59" s="45"/>
      <c r="H59" s="44" t="s">
        <v>13</v>
      </c>
      <c r="I59" s="46">
        <v>18479.099999999999</v>
      </c>
      <c r="J59" s="46"/>
      <c r="K59" s="47" t="s">
        <v>8</v>
      </c>
      <c r="L59" s="48">
        <v>910190.56</v>
      </c>
    </row>
    <row r="60" spans="1:12" ht="61.2" x14ac:dyDescent="0.3">
      <c r="A60" s="42" t="s">
        <v>97</v>
      </c>
      <c r="B60" s="43" t="s">
        <v>154</v>
      </c>
      <c r="C60" s="43" t="s">
        <v>99</v>
      </c>
      <c r="D60" s="43" t="s">
        <v>155</v>
      </c>
      <c r="E60" s="44" t="s">
        <v>101</v>
      </c>
      <c r="F60" s="45" t="s">
        <v>14</v>
      </c>
      <c r="G60" s="45"/>
      <c r="H60" s="44" t="s">
        <v>13</v>
      </c>
      <c r="I60" s="46">
        <v>9670</v>
      </c>
      <c r="J60" s="46"/>
      <c r="K60" s="47" t="s">
        <v>8</v>
      </c>
      <c r="L60" s="48">
        <v>900520.56</v>
      </c>
    </row>
    <row r="61" spans="1:12" ht="61.2" x14ac:dyDescent="0.3">
      <c r="A61" s="42" t="s">
        <v>97</v>
      </c>
      <c r="B61" s="43" t="s">
        <v>154</v>
      </c>
      <c r="C61" s="43" t="s">
        <v>99</v>
      </c>
      <c r="D61" s="43" t="s">
        <v>156</v>
      </c>
      <c r="E61" s="44" t="s">
        <v>101</v>
      </c>
      <c r="F61" s="45" t="s">
        <v>14</v>
      </c>
      <c r="G61" s="45"/>
      <c r="H61" s="44" t="s">
        <v>13</v>
      </c>
      <c r="I61" s="46">
        <v>13649.12</v>
      </c>
      <c r="J61" s="46"/>
      <c r="K61" s="47" t="s">
        <v>8</v>
      </c>
      <c r="L61" s="48">
        <v>886871.44</v>
      </c>
    </row>
    <row r="62" spans="1:12" ht="61.2" x14ac:dyDescent="0.3">
      <c r="A62" s="42" t="s">
        <v>97</v>
      </c>
      <c r="B62" s="43" t="s">
        <v>154</v>
      </c>
      <c r="C62" s="43" t="s">
        <v>99</v>
      </c>
      <c r="D62" s="43" t="s">
        <v>157</v>
      </c>
      <c r="E62" s="44" t="s">
        <v>101</v>
      </c>
      <c r="F62" s="45" t="s">
        <v>14</v>
      </c>
      <c r="G62" s="45"/>
      <c r="H62" s="44" t="s">
        <v>13</v>
      </c>
      <c r="I62" s="46">
        <v>15432.6</v>
      </c>
      <c r="J62" s="46"/>
      <c r="K62" s="47" t="s">
        <v>8</v>
      </c>
      <c r="L62" s="48">
        <v>871438.84</v>
      </c>
    </row>
    <row r="63" spans="1:12" ht="61.2" x14ac:dyDescent="0.3">
      <c r="A63" s="42" t="s">
        <v>97</v>
      </c>
      <c r="B63" s="43" t="s">
        <v>154</v>
      </c>
      <c r="C63" s="43" t="s">
        <v>99</v>
      </c>
      <c r="D63" s="43" t="s">
        <v>158</v>
      </c>
      <c r="E63" s="44" t="s">
        <v>101</v>
      </c>
      <c r="F63" s="45" t="s">
        <v>14</v>
      </c>
      <c r="G63" s="45"/>
      <c r="H63" s="44" t="s">
        <v>13</v>
      </c>
      <c r="I63" s="46">
        <v>15393</v>
      </c>
      <c r="J63" s="46"/>
      <c r="K63" s="47" t="s">
        <v>8</v>
      </c>
      <c r="L63" s="48">
        <v>856045.84</v>
      </c>
    </row>
    <row r="64" spans="1:12" ht="61.2" x14ac:dyDescent="0.3">
      <c r="A64" s="42" t="s">
        <v>97</v>
      </c>
      <c r="B64" s="43" t="s">
        <v>154</v>
      </c>
      <c r="C64" s="43" t="s">
        <v>99</v>
      </c>
      <c r="D64" s="43" t="s">
        <v>159</v>
      </c>
      <c r="E64" s="44" t="s">
        <v>101</v>
      </c>
      <c r="F64" s="45" t="s">
        <v>14</v>
      </c>
      <c r="G64" s="45"/>
      <c r="H64" s="44" t="s">
        <v>13</v>
      </c>
      <c r="I64" s="46">
        <v>7955.5</v>
      </c>
      <c r="J64" s="46"/>
      <c r="K64" s="47" t="s">
        <v>8</v>
      </c>
      <c r="L64" s="48">
        <v>848090.34</v>
      </c>
    </row>
    <row r="65" spans="1:12" ht="61.2" x14ac:dyDescent="0.3">
      <c r="A65" s="42" t="s">
        <v>97</v>
      </c>
      <c r="B65" s="43" t="s">
        <v>154</v>
      </c>
      <c r="C65" s="43" t="s">
        <v>99</v>
      </c>
      <c r="D65" s="43" t="s">
        <v>160</v>
      </c>
      <c r="E65" s="44" t="s">
        <v>101</v>
      </c>
      <c r="F65" s="45" t="s">
        <v>14</v>
      </c>
      <c r="G65" s="45"/>
      <c r="H65" s="44" t="s">
        <v>13</v>
      </c>
      <c r="I65" s="46">
        <v>17968.8</v>
      </c>
      <c r="J65" s="46"/>
      <c r="K65" s="47" t="s">
        <v>8</v>
      </c>
      <c r="L65" s="48">
        <v>830121.54</v>
      </c>
    </row>
    <row r="66" spans="1:12" ht="61.2" x14ac:dyDescent="0.3">
      <c r="A66" s="42" t="s">
        <v>97</v>
      </c>
      <c r="B66" s="43" t="s">
        <v>154</v>
      </c>
      <c r="C66" s="43" t="s">
        <v>99</v>
      </c>
      <c r="D66" s="43" t="s">
        <v>161</v>
      </c>
      <c r="E66" s="44" t="s">
        <v>101</v>
      </c>
      <c r="F66" s="45" t="s">
        <v>14</v>
      </c>
      <c r="G66" s="45"/>
      <c r="H66" s="44" t="s">
        <v>13</v>
      </c>
      <c r="I66" s="46">
        <v>27864.400000000001</v>
      </c>
      <c r="J66" s="46"/>
      <c r="K66" s="47" t="s">
        <v>8</v>
      </c>
      <c r="L66" s="48">
        <v>802257.14</v>
      </c>
    </row>
    <row r="67" spans="1:12" ht="61.2" x14ac:dyDescent="0.3">
      <c r="A67" s="42" t="s">
        <v>97</v>
      </c>
      <c r="B67" s="43" t="s">
        <v>162</v>
      </c>
      <c r="C67" s="43" t="s">
        <v>99</v>
      </c>
      <c r="D67" s="43" t="s">
        <v>163</v>
      </c>
      <c r="E67" s="44" t="s">
        <v>101</v>
      </c>
      <c r="F67" s="45" t="s">
        <v>14</v>
      </c>
      <c r="G67" s="45"/>
      <c r="H67" s="44" t="s">
        <v>13</v>
      </c>
      <c r="I67" s="46">
        <v>4492.2</v>
      </c>
      <c r="J67" s="46"/>
      <c r="K67" s="47" t="s">
        <v>8</v>
      </c>
      <c r="L67" s="48">
        <v>797764.94</v>
      </c>
    </row>
    <row r="68" spans="1:12" ht="61.2" x14ac:dyDescent="0.3">
      <c r="A68" s="42" t="s">
        <v>97</v>
      </c>
      <c r="B68" s="43" t="s">
        <v>162</v>
      </c>
      <c r="C68" s="43" t="s">
        <v>99</v>
      </c>
      <c r="D68" s="43" t="s">
        <v>164</v>
      </c>
      <c r="E68" s="44" t="s">
        <v>101</v>
      </c>
      <c r="F68" s="45" t="s">
        <v>14</v>
      </c>
      <c r="G68" s="45"/>
      <c r="H68" s="44" t="s">
        <v>13</v>
      </c>
      <c r="I68" s="46">
        <v>15722.7</v>
      </c>
      <c r="J68" s="46"/>
      <c r="K68" s="47" t="s">
        <v>8</v>
      </c>
      <c r="L68" s="48">
        <v>782042.24</v>
      </c>
    </row>
    <row r="69" spans="1:12" ht="61.2" x14ac:dyDescent="0.3">
      <c r="A69" s="42" t="s">
        <v>97</v>
      </c>
      <c r="B69" s="43" t="s">
        <v>162</v>
      </c>
      <c r="C69" s="43" t="s">
        <v>99</v>
      </c>
      <c r="D69" s="43" t="s">
        <v>165</v>
      </c>
      <c r="E69" s="44" t="s">
        <v>101</v>
      </c>
      <c r="F69" s="45" t="s">
        <v>14</v>
      </c>
      <c r="G69" s="45"/>
      <c r="H69" s="44" t="s">
        <v>13</v>
      </c>
      <c r="I69" s="46">
        <v>13476.6</v>
      </c>
      <c r="J69" s="46"/>
      <c r="K69" s="47" t="s">
        <v>8</v>
      </c>
      <c r="L69" s="48">
        <v>768565.64</v>
      </c>
    </row>
    <row r="70" spans="1:12" ht="61.2" x14ac:dyDescent="0.3">
      <c r="A70" s="42" t="s">
        <v>97</v>
      </c>
      <c r="B70" s="43" t="s">
        <v>162</v>
      </c>
      <c r="C70" s="43" t="s">
        <v>99</v>
      </c>
      <c r="D70" s="43" t="s">
        <v>166</v>
      </c>
      <c r="E70" s="44" t="s">
        <v>101</v>
      </c>
      <c r="F70" s="45" t="s">
        <v>14</v>
      </c>
      <c r="G70" s="45"/>
      <c r="H70" s="44" t="s">
        <v>13</v>
      </c>
      <c r="I70" s="46">
        <v>17415.25</v>
      </c>
      <c r="J70" s="46"/>
      <c r="K70" s="47" t="s">
        <v>8</v>
      </c>
      <c r="L70" s="48">
        <v>751150.39</v>
      </c>
    </row>
    <row r="71" spans="1:12" ht="61.2" x14ac:dyDescent="0.3">
      <c r="A71" s="42" t="s">
        <v>97</v>
      </c>
      <c r="B71" s="43" t="s">
        <v>162</v>
      </c>
      <c r="C71" s="43" t="s">
        <v>99</v>
      </c>
      <c r="D71" s="43" t="s">
        <v>167</v>
      </c>
      <c r="E71" s="44" t="s">
        <v>101</v>
      </c>
      <c r="F71" s="45" t="s">
        <v>14</v>
      </c>
      <c r="G71" s="45"/>
      <c r="H71" s="44" t="s">
        <v>13</v>
      </c>
      <c r="I71" s="46">
        <v>24381.35</v>
      </c>
      <c r="J71" s="46"/>
      <c r="K71" s="47" t="s">
        <v>8</v>
      </c>
      <c r="L71" s="48">
        <v>726769.04</v>
      </c>
    </row>
    <row r="72" spans="1:12" ht="61.2" x14ac:dyDescent="0.3">
      <c r="A72" s="42" t="s">
        <v>97</v>
      </c>
      <c r="B72" s="43" t="s">
        <v>162</v>
      </c>
      <c r="C72" s="43" t="s">
        <v>99</v>
      </c>
      <c r="D72" s="43" t="s">
        <v>168</v>
      </c>
      <c r="E72" s="44" t="s">
        <v>101</v>
      </c>
      <c r="F72" s="45" t="s">
        <v>14</v>
      </c>
      <c r="G72" s="45"/>
      <c r="H72" s="44" t="s">
        <v>13</v>
      </c>
      <c r="I72" s="46">
        <v>20898.3</v>
      </c>
      <c r="J72" s="46"/>
      <c r="K72" s="47" t="s">
        <v>8</v>
      </c>
      <c r="L72" s="48">
        <v>705870.74</v>
      </c>
    </row>
    <row r="73" spans="1:12" ht="61.2" x14ac:dyDescent="0.3">
      <c r="A73" s="42" t="s">
        <v>97</v>
      </c>
      <c r="B73" s="43" t="s">
        <v>162</v>
      </c>
      <c r="C73" s="43" t="s">
        <v>99</v>
      </c>
      <c r="D73" s="43" t="s">
        <v>169</v>
      </c>
      <c r="E73" s="44" t="s">
        <v>101</v>
      </c>
      <c r="F73" s="45" t="s">
        <v>14</v>
      </c>
      <c r="G73" s="45"/>
      <c r="H73" s="44" t="s">
        <v>13</v>
      </c>
      <c r="I73" s="46">
        <v>27711</v>
      </c>
      <c r="J73" s="46"/>
      <c r="K73" s="47" t="s">
        <v>8</v>
      </c>
      <c r="L73" s="48">
        <v>678159.74</v>
      </c>
    </row>
    <row r="74" spans="1:12" ht="61.2" x14ac:dyDescent="0.3">
      <c r="A74" s="42" t="s">
        <v>97</v>
      </c>
      <c r="B74" s="43" t="s">
        <v>162</v>
      </c>
      <c r="C74" s="43" t="s">
        <v>99</v>
      </c>
      <c r="D74" s="43" t="s">
        <v>170</v>
      </c>
      <c r="E74" s="44" t="s">
        <v>101</v>
      </c>
      <c r="F74" s="45" t="s">
        <v>14</v>
      </c>
      <c r="G74" s="45"/>
      <c r="H74" s="44" t="s">
        <v>13</v>
      </c>
      <c r="I74" s="46">
        <v>16626.599999999999</v>
      </c>
      <c r="J74" s="46"/>
      <c r="K74" s="47" t="s">
        <v>8</v>
      </c>
      <c r="L74" s="48">
        <v>661533.14</v>
      </c>
    </row>
    <row r="75" spans="1:12" ht="61.2" x14ac:dyDescent="0.3">
      <c r="A75" s="42" t="s">
        <v>97</v>
      </c>
      <c r="B75" s="43" t="s">
        <v>162</v>
      </c>
      <c r="C75" s="43" t="s">
        <v>99</v>
      </c>
      <c r="D75" s="43" t="s">
        <v>171</v>
      </c>
      <c r="E75" s="44" t="s">
        <v>101</v>
      </c>
      <c r="F75" s="45" t="s">
        <v>14</v>
      </c>
      <c r="G75" s="45"/>
      <c r="H75" s="44" t="s">
        <v>13</v>
      </c>
      <c r="I75" s="46">
        <v>15432.6</v>
      </c>
      <c r="J75" s="46"/>
      <c r="K75" s="47" t="s">
        <v>8</v>
      </c>
      <c r="L75" s="48">
        <v>646100.54</v>
      </c>
    </row>
    <row r="76" spans="1:12" ht="61.2" x14ac:dyDescent="0.3">
      <c r="A76" s="42" t="s">
        <v>97</v>
      </c>
      <c r="B76" s="43" t="s">
        <v>162</v>
      </c>
      <c r="C76" s="43" t="s">
        <v>99</v>
      </c>
      <c r="D76" s="43" t="s">
        <v>172</v>
      </c>
      <c r="E76" s="44" t="s">
        <v>101</v>
      </c>
      <c r="F76" s="45" t="s">
        <v>14</v>
      </c>
      <c r="G76" s="45"/>
      <c r="H76" s="44" t="s">
        <v>13</v>
      </c>
      <c r="I76" s="46">
        <v>17357.7</v>
      </c>
      <c r="J76" s="46"/>
      <c r="K76" s="47" t="s">
        <v>8</v>
      </c>
      <c r="L76" s="48">
        <v>628742.84</v>
      </c>
    </row>
    <row r="77" spans="1:12" ht="61.2" x14ac:dyDescent="0.3">
      <c r="A77" s="42" t="s">
        <v>97</v>
      </c>
      <c r="B77" s="43" t="s">
        <v>162</v>
      </c>
      <c r="C77" s="43" t="s">
        <v>99</v>
      </c>
      <c r="D77" s="43" t="s">
        <v>173</v>
      </c>
      <c r="E77" s="44" t="s">
        <v>101</v>
      </c>
      <c r="F77" s="45" t="s">
        <v>14</v>
      </c>
      <c r="G77" s="45"/>
      <c r="H77" s="44" t="s">
        <v>13</v>
      </c>
      <c r="I77" s="46">
        <v>13146.96</v>
      </c>
      <c r="J77" s="46"/>
      <c r="K77" s="47" t="s">
        <v>8</v>
      </c>
      <c r="L77" s="48">
        <v>615595.88</v>
      </c>
    </row>
    <row r="78" spans="1:12" ht="61.2" x14ac:dyDescent="0.3">
      <c r="A78" s="42" t="s">
        <v>97</v>
      </c>
      <c r="B78" s="43" t="s">
        <v>162</v>
      </c>
      <c r="C78" s="43" t="s">
        <v>99</v>
      </c>
      <c r="D78" s="43" t="s">
        <v>174</v>
      </c>
      <c r="E78" s="44" t="s">
        <v>101</v>
      </c>
      <c r="F78" s="45" t="s">
        <v>14</v>
      </c>
      <c r="G78" s="45"/>
      <c r="H78" s="44" t="s">
        <v>13</v>
      </c>
      <c r="I78" s="46">
        <v>15393</v>
      </c>
      <c r="J78" s="46"/>
      <c r="K78" s="47" t="s">
        <v>8</v>
      </c>
      <c r="L78" s="48">
        <v>600202.88</v>
      </c>
    </row>
    <row r="79" spans="1:12" ht="61.2" x14ac:dyDescent="0.3">
      <c r="A79" s="42" t="s">
        <v>97</v>
      </c>
      <c r="B79" s="43" t="s">
        <v>162</v>
      </c>
      <c r="C79" s="43" t="s">
        <v>99</v>
      </c>
      <c r="D79" s="43" t="s">
        <v>175</v>
      </c>
      <c r="E79" s="44" t="s">
        <v>101</v>
      </c>
      <c r="F79" s="45" t="s">
        <v>14</v>
      </c>
      <c r="G79" s="45"/>
      <c r="H79" s="44" t="s">
        <v>13</v>
      </c>
      <c r="I79" s="46">
        <v>12319.4</v>
      </c>
      <c r="J79" s="46"/>
      <c r="K79" s="47" t="s">
        <v>8</v>
      </c>
      <c r="L79" s="48">
        <v>587883.48</v>
      </c>
    </row>
    <row r="80" spans="1:12" ht="61.2" x14ac:dyDescent="0.3">
      <c r="A80" s="42" t="s">
        <v>97</v>
      </c>
      <c r="B80" s="43" t="s">
        <v>162</v>
      </c>
      <c r="C80" s="43" t="s">
        <v>99</v>
      </c>
      <c r="D80" s="43" t="s">
        <v>176</v>
      </c>
      <c r="E80" s="44" t="s">
        <v>101</v>
      </c>
      <c r="F80" s="45" t="s">
        <v>14</v>
      </c>
      <c r="G80" s="45"/>
      <c r="H80" s="44" t="s">
        <v>13</v>
      </c>
      <c r="I80" s="46">
        <v>7955.5</v>
      </c>
      <c r="J80" s="46"/>
      <c r="K80" s="47" t="s">
        <v>8</v>
      </c>
      <c r="L80" s="48">
        <v>579927.98</v>
      </c>
    </row>
    <row r="81" spans="1:12" ht="61.2" x14ac:dyDescent="0.3">
      <c r="A81" s="42" t="s">
        <v>97</v>
      </c>
      <c r="B81" s="43" t="s">
        <v>162</v>
      </c>
      <c r="C81" s="43" t="s">
        <v>99</v>
      </c>
      <c r="D81" s="43" t="s">
        <v>177</v>
      </c>
      <c r="E81" s="44" t="s">
        <v>101</v>
      </c>
      <c r="F81" s="45" t="s">
        <v>14</v>
      </c>
      <c r="G81" s="45"/>
      <c r="H81" s="44" t="s">
        <v>13</v>
      </c>
      <c r="I81" s="46">
        <v>3976.55</v>
      </c>
      <c r="J81" s="46"/>
      <c r="K81" s="47" t="s">
        <v>8</v>
      </c>
      <c r="L81" s="48">
        <v>575951.43000000005</v>
      </c>
    </row>
    <row r="82" spans="1:12" ht="61.2" x14ac:dyDescent="0.3">
      <c r="A82" s="42" t="s">
        <v>97</v>
      </c>
      <c r="B82" s="43" t="s">
        <v>162</v>
      </c>
      <c r="C82" s="43" t="s">
        <v>99</v>
      </c>
      <c r="D82" s="43" t="s">
        <v>178</v>
      </c>
      <c r="E82" s="44" t="s">
        <v>101</v>
      </c>
      <c r="F82" s="45" t="s">
        <v>14</v>
      </c>
      <c r="G82" s="45"/>
      <c r="H82" s="44" t="s">
        <v>13</v>
      </c>
      <c r="I82" s="46">
        <v>8530.7000000000007</v>
      </c>
      <c r="J82" s="46"/>
      <c r="K82" s="47" t="s">
        <v>8</v>
      </c>
      <c r="L82" s="48">
        <v>567420.73</v>
      </c>
    </row>
    <row r="83" spans="1:12" ht="61.2" x14ac:dyDescent="0.3">
      <c r="A83" s="42" t="s">
        <v>97</v>
      </c>
      <c r="B83" s="43" t="s">
        <v>162</v>
      </c>
      <c r="C83" s="43" t="s">
        <v>99</v>
      </c>
      <c r="D83" s="43" t="s">
        <v>179</v>
      </c>
      <c r="E83" s="44" t="s">
        <v>101</v>
      </c>
      <c r="F83" s="45" t="s">
        <v>14</v>
      </c>
      <c r="G83" s="45"/>
      <c r="H83" s="44" t="s">
        <v>13</v>
      </c>
      <c r="I83" s="46">
        <v>23148.9</v>
      </c>
      <c r="J83" s="46"/>
      <c r="K83" s="47" t="s">
        <v>8</v>
      </c>
      <c r="L83" s="48">
        <v>544271.82999999996</v>
      </c>
    </row>
    <row r="84" spans="1:12" ht="61.2" hidden="1" x14ac:dyDescent="0.3">
      <c r="A84" s="42" t="s">
        <v>97</v>
      </c>
      <c r="B84" s="43" t="s">
        <v>180</v>
      </c>
      <c r="C84" s="43" t="s">
        <v>181</v>
      </c>
      <c r="D84" s="43" t="s">
        <v>182</v>
      </c>
      <c r="E84" s="44" t="s">
        <v>13</v>
      </c>
      <c r="F84" s="49">
        <v>38304</v>
      </c>
      <c r="G84" s="49"/>
      <c r="H84" s="44" t="s">
        <v>19</v>
      </c>
      <c r="I84" s="50" t="s">
        <v>14</v>
      </c>
      <c r="J84" s="50"/>
      <c r="K84" s="47" t="s">
        <v>8</v>
      </c>
      <c r="L84" s="48">
        <v>2090832.57</v>
      </c>
    </row>
    <row r="85" spans="1:12" ht="71.400000000000006" hidden="1" x14ac:dyDescent="0.3">
      <c r="A85" s="42" t="s">
        <v>183</v>
      </c>
      <c r="B85" s="43" t="s">
        <v>184</v>
      </c>
      <c r="C85" s="43" t="s">
        <v>185</v>
      </c>
      <c r="D85" s="43" t="s">
        <v>186</v>
      </c>
      <c r="E85" s="44" t="s">
        <v>13</v>
      </c>
      <c r="F85" s="52">
        <v>525</v>
      </c>
      <c r="G85" s="52"/>
      <c r="H85" s="44" t="s">
        <v>19</v>
      </c>
      <c r="I85" s="50" t="s">
        <v>14</v>
      </c>
      <c r="J85" s="50"/>
      <c r="K85" s="47" t="s">
        <v>8</v>
      </c>
      <c r="L85" s="48">
        <v>4861.3999999999996</v>
      </c>
    </row>
    <row r="86" spans="1:12" ht="71.400000000000006" hidden="1" x14ac:dyDescent="0.3">
      <c r="A86" s="42" t="s">
        <v>183</v>
      </c>
      <c r="B86" s="43" t="s">
        <v>184</v>
      </c>
      <c r="C86" s="43" t="s">
        <v>187</v>
      </c>
      <c r="D86" s="43" t="s">
        <v>186</v>
      </c>
      <c r="E86" s="44" t="s">
        <v>13</v>
      </c>
      <c r="F86" s="52">
        <v>225</v>
      </c>
      <c r="G86" s="52"/>
      <c r="H86" s="44" t="s">
        <v>19</v>
      </c>
      <c r="I86" s="50" t="s">
        <v>14</v>
      </c>
      <c r="J86" s="50"/>
      <c r="K86" s="47" t="s">
        <v>8</v>
      </c>
      <c r="L86" s="48">
        <v>5086.3999999999996</v>
      </c>
    </row>
    <row r="87" spans="1:12" ht="81.599999999999994" hidden="1" x14ac:dyDescent="0.3">
      <c r="A87" s="42" t="s">
        <v>183</v>
      </c>
      <c r="B87" s="43" t="s">
        <v>184</v>
      </c>
      <c r="C87" s="43" t="s">
        <v>188</v>
      </c>
      <c r="D87" s="43" t="s">
        <v>186</v>
      </c>
      <c r="E87" s="44" t="s">
        <v>13</v>
      </c>
      <c r="F87" s="52">
        <v>650</v>
      </c>
      <c r="G87" s="52"/>
      <c r="H87" s="44" t="s">
        <v>19</v>
      </c>
      <c r="I87" s="50" t="s">
        <v>14</v>
      </c>
      <c r="J87" s="50"/>
      <c r="K87" s="47" t="s">
        <v>8</v>
      </c>
      <c r="L87" s="48">
        <v>5736.4</v>
      </c>
    </row>
    <row r="88" spans="1:12" ht="71.400000000000006" hidden="1" x14ac:dyDescent="0.3">
      <c r="A88" s="42" t="s">
        <v>183</v>
      </c>
      <c r="B88" s="43" t="s">
        <v>184</v>
      </c>
      <c r="C88" s="43" t="s">
        <v>189</v>
      </c>
      <c r="D88" s="43" t="s">
        <v>186</v>
      </c>
      <c r="E88" s="44" t="s">
        <v>13</v>
      </c>
      <c r="F88" s="52">
        <v>210</v>
      </c>
      <c r="G88" s="52"/>
      <c r="H88" s="44" t="s">
        <v>19</v>
      </c>
      <c r="I88" s="50" t="s">
        <v>14</v>
      </c>
      <c r="J88" s="50"/>
      <c r="K88" s="47" t="s">
        <v>8</v>
      </c>
      <c r="L88" s="48">
        <v>5946.4</v>
      </c>
    </row>
    <row r="89" spans="1:12" ht="71.400000000000006" hidden="1" x14ac:dyDescent="0.3">
      <c r="A89" s="42" t="s">
        <v>183</v>
      </c>
      <c r="B89" s="43" t="s">
        <v>184</v>
      </c>
      <c r="C89" s="43" t="s">
        <v>190</v>
      </c>
      <c r="D89" s="43" t="s">
        <v>186</v>
      </c>
      <c r="E89" s="44" t="s">
        <v>13</v>
      </c>
      <c r="F89" s="49">
        <v>3584</v>
      </c>
      <c r="G89" s="49"/>
      <c r="H89" s="44" t="s">
        <v>19</v>
      </c>
      <c r="I89" s="50" t="s">
        <v>14</v>
      </c>
      <c r="J89" s="50"/>
      <c r="K89" s="47" t="s">
        <v>8</v>
      </c>
      <c r="L89" s="48">
        <v>9530.4</v>
      </c>
    </row>
    <row r="90" spans="1:12" ht="71.400000000000006" hidden="1" x14ac:dyDescent="0.3">
      <c r="A90" s="42" t="s">
        <v>183</v>
      </c>
      <c r="B90" s="43" t="s">
        <v>184</v>
      </c>
      <c r="C90" s="43" t="s">
        <v>191</v>
      </c>
      <c r="D90" s="43" t="s">
        <v>186</v>
      </c>
      <c r="E90" s="44" t="s">
        <v>13</v>
      </c>
      <c r="F90" s="52">
        <v>437.5</v>
      </c>
      <c r="G90" s="52"/>
      <c r="H90" s="44" t="s">
        <v>19</v>
      </c>
      <c r="I90" s="50" t="s">
        <v>14</v>
      </c>
      <c r="J90" s="50"/>
      <c r="K90" s="47" t="s">
        <v>8</v>
      </c>
      <c r="L90" s="48">
        <v>9967.9</v>
      </c>
    </row>
    <row r="91" spans="1:12" ht="91.8" hidden="1" x14ac:dyDescent="0.3">
      <c r="A91" s="42" t="s">
        <v>183</v>
      </c>
      <c r="B91" s="43" t="s">
        <v>192</v>
      </c>
      <c r="C91" s="43" t="s">
        <v>193</v>
      </c>
      <c r="D91" s="43" t="s">
        <v>186</v>
      </c>
      <c r="E91" s="44" t="s">
        <v>13</v>
      </c>
      <c r="F91" s="49">
        <v>35263.199999999997</v>
      </c>
      <c r="G91" s="49"/>
      <c r="H91" s="44" t="s">
        <v>19</v>
      </c>
      <c r="I91" s="50" t="s">
        <v>14</v>
      </c>
      <c r="J91" s="50"/>
      <c r="K91" s="47" t="s">
        <v>8</v>
      </c>
      <c r="L91" s="48">
        <v>45231.1</v>
      </c>
    </row>
    <row r="92" spans="1:12" ht="91.8" hidden="1" x14ac:dyDescent="0.3">
      <c r="A92" s="42" t="s">
        <v>183</v>
      </c>
      <c r="B92" s="43" t="s">
        <v>184</v>
      </c>
      <c r="C92" s="43" t="s">
        <v>193</v>
      </c>
      <c r="D92" s="43" t="s">
        <v>186</v>
      </c>
      <c r="E92" s="44" t="s">
        <v>13</v>
      </c>
      <c r="F92" s="49">
        <v>44447.55</v>
      </c>
      <c r="G92" s="49"/>
      <c r="H92" s="44" t="s">
        <v>19</v>
      </c>
      <c r="I92" s="50" t="s">
        <v>14</v>
      </c>
      <c r="J92" s="50"/>
      <c r="K92" s="47" t="s">
        <v>8</v>
      </c>
      <c r="L92" s="48">
        <v>89678.65</v>
      </c>
    </row>
    <row r="93" spans="1:12" ht="91.8" hidden="1" x14ac:dyDescent="0.3">
      <c r="A93" s="42" t="s">
        <v>183</v>
      </c>
      <c r="B93" s="43" t="s">
        <v>194</v>
      </c>
      <c r="C93" s="43" t="s">
        <v>195</v>
      </c>
      <c r="D93" s="43" t="s">
        <v>196</v>
      </c>
      <c r="E93" s="44" t="s">
        <v>13</v>
      </c>
      <c r="F93" s="49">
        <v>66133.5</v>
      </c>
      <c r="G93" s="49"/>
      <c r="H93" s="44" t="s">
        <v>19</v>
      </c>
      <c r="I93" s="50" t="s">
        <v>14</v>
      </c>
      <c r="J93" s="50"/>
      <c r="K93" s="47" t="s">
        <v>8</v>
      </c>
      <c r="L93" s="48">
        <v>646864.54</v>
      </c>
    </row>
    <row r="94" spans="1:12" ht="71.400000000000006" hidden="1" x14ac:dyDescent="0.3">
      <c r="A94" s="42" t="s">
        <v>197</v>
      </c>
      <c r="B94" s="43" t="s">
        <v>198</v>
      </c>
      <c r="C94" s="43" t="s">
        <v>199</v>
      </c>
      <c r="D94" s="43" t="s">
        <v>200</v>
      </c>
      <c r="E94" s="44" t="s">
        <v>13</v>
      </c>
      <c r="F94" s="49">
        <v>10858.75</v>
      </c>
      <c r="G94" s="49"/>
      <c r="H94" s="44" t="s">
        <v>19</v>
      </c>
      <c r="I94" s="50" t="s">
        <v>14</v>
      </c>
      <c r="J94" s="50"/>
      <c r="K94" s="47" t="s">
        <v>8</v>
      </c>
      <c r="L94" s="48">
        <v>2496152</v>
      </c>
    </row>
    <row r="95" spans="1:12" ht="71.400000000000006" hidden="1" x14ac:dyDescent="0.3">
      <c r="A95" s="42" t="s">
        <v>197</v>
      </c>
      <c r="B95" s="43" t="s">
        <v>201</v>
      </c>
      <c r="C95" s="43" t="s">
        <v>202</v>
      </c>
      <c r="D95" s="43" t="s">
        <v>203</v>
      </c>
      <c r="E95" s="44" t="s">
        <v>13</v>
      </c>
      <c r="F95" s="49">
        <v>2000</v>
      </c>
      <c r="G95" s="49"/>
      <c r="H95" s="44" t="s">
        <v>19</v>
      </c>
      <c r="I95" s="50" t="s">
        <v>14</v>
      </c>
      <c r="J95" s="50"/>
      <c r="K95" s="47" t="s">
        <v>8</v>
      </c>
      <c r="L95" s="48">
        <v>79645.119999999995</v>
      </c>
    </row>
    <row r="96" spans="1:12" ht="71.400000000000006" hidden="1" x14ac:dyDescent="0.3">
      <c r="A96" s="42" t="s">
        <v>197</v>
      </c>
      <c r="B96" s="43" t="s">
        <v>204</v>
      </c>
      <c r="C96" s="43" t="s">
        <v>199</v>
      </c>
      <c r="D96" s="43" t="s">
        <v>205</v>
      </c>
      <c r="E96" s="44" t="s">
        <v>13</v>
      </c>
      <c r="F96" s="49">
        <v>7370</v>
      </c>
      <c r="G96" s="49"/>
      <c r="H96" s="44" t="s">
        <v>19</v>
      </c>
      <c r="I96" s="50" t="s">
        <v>14</v>
      </c>
      <c r="J96" s="50"/>
      <c r="K96" s="47" t="s">
        <v>8</v>
      </c>
      <c r="L96" s="48">
        <v>2503522</v>
      </c>
    </row>
    <row r="97" spans="1:12" ht="61.2" hidden="1" x14ac:dyDescent="0.3">
      <c r="A97" s="42" t="s">
        <v>206</v>
      </c>
      <c r="B97" s="43" t="s">
        <v>207</v>
      </c>
      <c r="C97" s="43" t="s">
        <v>208</v>
      </c>
      <c r="D97" s="43" t="s">
        <v>209</v>
      </c>
      <c r="E97" s="44" t="s">
        <v>13</v>
      </c>
      <c r="F97" s="49">
        <v>12421.42</v>
      </c>
      <c r="G97" s="49"/>
      <c r="H97" s="44" t="s">
        <v>19</v>
      </c>
      <c r="I97" s="50" t="s">
        <v>14</v>
      </c>
      <c r="J97" s="50"/>
      <c r="K97" s="47" t="s">
        <v>8</v>
      </c>
      <c r="L97" s="48">
        <v>183181.32</v>
      </c>
    </row>
    <row r="98" spans="1:12" ht="61.2" hidden="1" x14ac:dyDescent="0.3">
      <c r="A98" s="42" t="s">
        <v>210</v>
      </c>
      <c r="B98" s="43" t="s">
        <v>211</v>
      </c>
      <c r="C98" s="43" t="s">
        <v>212</v>
      </c>
      <c r="D98" s="43" t="s">
        <v>213</v>
      </c>
      <c r="E98" s="44" t="s">
        <v>13</v>
      </c>
      <c r="F98" s="49">
        <v>13606.03</v>
      </c>
      <c r="G98" s="49"/>
      <c r="H98" s="44" t="s">
        <v>19</v>
      </c>
      <c r="I98" s="50" t="s">
        <v>14</v>
      </c>
      <c r="J98" s="50"/>
      <c r="K98" s="47" t="s">
        <v>8</v>
      </c>
      <c r="L98" s="48">
        <v>196787.35</v>
      </c>
    </row>
    <row r="99" spans="1:12" ht="61.2" hidden="1" x14ac:dyDescent="0.3">
      <c r="A99" s="42" t="s">
        <v>214</v>
      </c>
      <c r="B99" s="43" t="s">
        <v>215</v>
      </c>
      <c r="C99" s="43" t="s">
        <v>216</v>
      </c>
      <c r="D99" s="43" t="s">
        <v>217</v>
      </c>
      <c r="E99" s="44" t="s">
        <v>13</v>
      </c>
      <c r="F99" s="52">
        <v>96</v>
      </c>
      <c r="G99" s="52"/>
      <c r="H99" s="44" t="s">
        <v>19</v>
      </c>
      <c r="I99" s="50" t="s">
        <v>14</v>
      </c>
      <c r="J99" s="50"/>
      <c r="K99" s="47" t="s">
        <v>8</v>
      </c>
      <c r="L99" s="48">
        <v>906563.45</v>
      </c>
    </row>
    <row r="100" spans="1:12" ht="61.2" hidden="1" x14ac:dyDescent="0.3">
      <c r="A100" s="42" t="s">
        <v>214</v>
      </c>
      <c r="B100" s="43" t="s">
        <v>215</v>
      </c>
      <c r="C100" s="43" t="s">
        <v>218</v>
      </c>
      <c r="D100" s="43" t="s">
        <v>217</v>
      </c>
      <c r="E100" s="44" t="s">
        <v>13</v>
      </c>
      <c r="F100" s="52">
        <v>42</v>
      </c>
      <c r="G100" s="52"/>
      <c r="H100" s="44" t="s">
        <v>19</v>
      </c>
      <c r="I100" s="50" t="s">
        <v>14</v>
      </c>
      <c r="J100" s="50"/>
      <c r="K100" s="47" t="s">
        <v>8</v>
      </c>
      <c r="L100" s="48">
        <v>906605.45</v>
      </c>
    </row>
    <row r="101" spans="1:12" ht="71.400000000000006" hidden="1" x14ac:dyDescent="0.3">
      <c r="A101" s="42" t="s">
        <v>214</v>
      </c>
      <c r="B101" s="43" t="s">
        <v>215</v>
      </c>
      <c r="C101" s="43" t="s">
        <v>219</v>
      </c>
      <c r="D101" s="43" t="s">
        <v>217</v>
      </c>
      <c r="E101" s="44" t="s">
        <v>13</v>
      </c>
      <c r="F101" s="52">
        <v>540</v>
      </c>
      <c r="G101" s="52"/>
      <c r="H101" s="44" t="s">
        <v>19</v>
      </c>
      <c r="I101" s="50" t="s">
        <v>14</v>
      </c>
      <c r="J101" s="50"/>
      <c r="K101" s="47" t="s">
        <v>8</v>
      </c>
      <c r="L101" s="48">
        <v>907145.45</v>
      </c>
    </row>
    <row r="102" spans="1:12" ht="61.2" hidden="1" x14ac:dyDescent="0.3">
      <c r="A102" s="42" t="s">
        <v>214</v>
      </c>
      <c r="B102" s="43" t="s">
        <v>215</v>
      </c>
      <c r="C102" s="43" t="s">
        <v>220</v>
      </c>
      <c r="D102" s="43" t="s">
        <v>217</v>
      </c>
      <c r="E102" s="44" t="s">
        <v>13</v>
      </c>
      <c r="F102" s="52">
        <v>140</v>
      </c>
      <c r="G102" s="52"/>
      <c r="H102" s="44" t="s">
        <v>19</v>
      </c>
      <c r="I102" s="50" t="s">
        <v>14</v>
      </c>
      <c r="J102" s="50"/>
      <c r="K102" s="47" t="s">
        <v>8</v>
      </c>
      <c r="L102" s="48">
        <v>907285.45</v>
      </c>
    </row>
    <row r="103" spans="1:12" ht="71.400000000000006" hidden="1" x14ac:dyDescent="0.3">
      <c r="A103" s="42" t="s">
        <v>214</v>
      </c>
      <c r="B103" s="43" t="s">
        <v>215</v>
      </c>
      <c r="C103" s="43" t="s">
        <v>221</v>
      </c>
      <c r="D103" s="43" t="s">
        <v>217</v>
      </c>
      <c r="E103" s="44" t="s">
        <v>13</v>
      </c>
      <c r="F103" s="52">
        <v>100</v>
      </c>
      <c r="G103" s="52"/>
      <c r="H103" s="44" t="s">
        <v>19</v>
      </c>
      <c r="I103" s="50" t="s">
        <v>14</v>
      </c>
      <c r="J103" s="50"/>
      <c r="K103" s="47" t="s">
        <v>8</v>
      </c>
      <c r="L103" s="48">
        <v>907385.45</v>
      </c>
    </row>
    <row r="104" spans="1:12" ht="71.400000000000006" hidden="1" x14ac:dyDescent="0.3">
      <c r="A104" s="42" t="s">
        <v>214</v>
      </c>
      <c r="B104" s="43" t="s">
        <v>215</v>
      </c>
      <c r="C104" s="43" t="s">
        <v>222</v>
      </c>
      <c r="D104" s="43" t="s">
        <v>217</v>
      </c>
      <c r="E104" s="44" t="s">
        <v>13</v>
      </c>
      <c r="F104" s="52">
        <v>170</v>
      </c>
      <c r="G104" s="52"/>
      <c r="H104" s="44" t="s">
        <v>19</v>
      </c>
      <c r="I104" s="50" t="s">
        <v>14</v>
      </c>
      <c r="J104" s="50"/>
      <c r="K104" s="47" t="s">
        <v>8</v>
      </c>
      <c r="L104" s="48">
        <v>907555.45</v>
      </c>
    </row>
    <row r="105" spans="1:12" ht="61.2" hidden="1" x14ac:dyDescent="0.3">
      <c r="A105" s="42" t="s">
        <v>214</v>
      </c>
      <c r="B105" s="43" t="s">
        <v>215</v>
      </c>
      <c r="C105" s="43" t="s">
        <v>223</v>
      </c>
      <c r="D105" s="43" t="s">
        <v>217</v>
      </c>
      <c r="E105" s="44" t="s">
        <v>13</v>
      </c>
      <c r="F105" s="52">
        <v>180</v>
      </c>
      <c r="G105" s="52"/>
      <c r="H105" s="44" t="s">
        <v>19</v>
      </c>
      <c r="I105" s="50" t="s">
        <v>14</v>
      </c>
      <c r="J105" s="50"/>
      <c r="K105" s="47" t="s">
        <v>8</v>
      </c>
      <c r="L105" s="48">
        <v>907735.45</v>
      </c>
    </row>
    <row r="106" spans="1:12" ht="61.2" hidden="1" x14ac:dyDescent="0.3">
      <c r="A106" s="42" t="s">
        <v>214</v>
      </c>
      <c r="B106" s="43" t="s">
        <v>215</v>
      </c>
      <c r="C106" s="43" t="s">
        <v>224</v>
      </c>
      <c r="D106" s="43" t="s">
        <v>217</v>
      </c>
      <c r="E106" s="44" t="s">
        <v>13</v>
      </c>
      <c r="F106" s="52">
        <v>75</v>
      </c>
      <c r="G106" s="52"/>
      <c r="H106" s="44" t="s">
        <v>19</v>
      </c>
      <c r="I106" s="50" t="s">
        <v>14</v>
      </c>
      <c r="J106" s="50"/>
      <c r="K106" s="47" t="s">
        <v>8</v>
      </c>
      <c r="L106" s="48">
        <v>907810.45</v>
      </c>
    </row>
    <row r="107" spans="1:12" ht="71.400000000000006" hidden="1" x14ac:dyDescent="0.3">
      <c r="A107" s="42" t="s">
        <v>214</v>
      </c>
      <c r="B107" s="43" t="s">
        <v>215</v>
      </c>
      <c r="C107" s="43" t="s">
        <v>225</v>
      </c>
      <c r="D107" s="43" t="s">
        <v>217</v>
      </c>
      <c r="E107" s="44" t="s">
        <v>13</v>
      </c>
      <c r="F107" s="52">
        <v>40</v>
      </c>
      <c r="G107" s="52"/>
      <c r="H107" s="44" t="s">
        <v>19</v>
      </c>
      <c r="I107" s="50" t="s">
        <v>14</v>
      </c>
      <c r="J107" s="50"/>
      <c r="K107" s="47" t="s">
        <v>8</v>
      </c>
      <c r="L107" s="48">
        <v>907850.45</v>
      </c>
    </row>
    <row r="108" spans="1:12" ht="61.2" hidden="1" x14ac:dyDescent="0.3">
      <c r="A108" s="42" t="s">
        <v>214</v>
      </c>
      <c r="B108" s="43" t="s">
        <v>215</v>
      </c>
      <c r="C108" s="43" t="s">
        <v>226</v>
      </c>
      <c r="D108" s="43" t="s">
        <v>217</v>
      </c>
      <c r="E108" s="44" t="s">
        <v>13</v>
      </c>
      <c r="F108" s="52">
        <v>28</v>
      </c>
      <c r="G108" s="52"/>
      <c r="H108" s="44" t="s">
        <v>19</v>
      </c>
      <c r="I108" s="50" t="s">
        <v>14</v>
      </c>
      <c r="J108" s="50"/>
      <c r="K108" s="47" t="s">
        <v>8</v>
      </c>
      <c r="L108" s="48">
        <v>907878.45</v>
      </c>
    </row>
    <row r="109" spans="1:12" ht="61.2" hidden="1" x14ac:dyDescent="0.3">
      <c r="A109" s="42" t="s">
        <v>214</v>
      </c>
      <c r="B109" s="43" t="s">
        <v>215</v>
      </c>
      <c r="C109" s="43" t="s">
        <v>227</v>
      </c>
      <c r="D109" s="43" t="s">
        <v>217</v>
      </c>
      <c r="E109" s="44" t="s">
        <v>13</v>
      </c>
      <c r="F109" s="52">
        <v>4</v>
      </c>
      <c r="G109" s="52"/>
      <c r="H109" s="44" t="s">
        <v>19</v>
      </c>
      <c r="I109" s="50" t="s">
        <v>14</v>
      </c>
      <c r="J109" s="50"/>
      <c r="K109" s="47" t="s">
        <v>8</v>
      </c>
      <c r="L109" s="48">
        <v>907882.45</v>
      </c>
    </row>
    <row r="110" spans="1:12" ht="61.2" hidden="1" x14ac:dyDescent="0.3">
      <c r="A110" s="42" t="s">
        <v>214</v>
      </c>
      <c r="B110" s="43" t="s">
        <v>215</v>
      </c>
      <c r="C110" s="43" t="s">
        <v>228</v>
      </c>
      <c r="D110" s="43" t="s">
        <v>217</v>
      </c>
      <c r="E110" s="44" t="s">
        <v>13</v>
      </c>
      <c r="F110" s="52">
        <v>145</v>
      </c>
      <c r="G110" s="52"/>
      <c r="H110" s="44" t="s">
        <v>19</v>
      </c>
      <c r="I110" s="50" t="s">
        <v>14</v>
      </c>
      <c r="J110" s="50"/>
      <c r="K110" s="47" t="s">
        <v>8</v>
      </c>
      <c r="L110" s="48">
        <v>908027.45</v>
      </c>
    </row>
    <row r="111" spans="1:12" ht="71.400000000000006" hidden="1" x14ac:dyDescent="0.3">
      <c r="A111" s="42" t="s">
        <v>214</v>
      </c>
      <c r="B111" s="43" t="s">
        <v>215</v>
      </c>
      <c r="C111" s="43" t="s">
        <v>229</v>
      </c>
      <c r="D111" s="43" t="s">
        <v>217</v>
      </c>
      <c r="E111" s="44" t="s">
        <v>13</v>
      </c>
      <c r="F111" s="52">
        <v>135</v>
      </c>
      <c r="G111" s="52"/>
      <c r="H111" s="44" t="s">
        <v>19</v>
      </c>
      <c r="I111" s="50" t="s">
        <v>14</v>
      </c>
      <c r="J111" s="50"/>
      <c r="K111" s="47" t="s">
        <v>8</v>
      </c>
      <c r="L111" s="48">
        <v>908162.45</v>
      </c>
    </row>
    <row r="112" spans="1:12" ht="61.2" hidden="1" x14ac:dyDescent="0.3">
      <c r="A112" s="42" t="s">
        <v>214</v>
      </c>
      <c r="B112" s="43" t="s">
        <v>215</v>
      </c>
      <c r="C112" s="43" t="s">
        <v>230</v>
      </c>
      <c r="D112" s="43" t="s">
        <v>217</v>
      </c>
      <c r="E112" s="44" t="s">
        <v>13</v>
      </c>
      <c r="F112" s="52">
        <v>980</v>
      </c>
      <c r="G112" s="52"/>
      <c r="H112" s="44" t="s">
        <v>19</v>
      </c>
      <c r="I112" s="50" t="s">
        <v>14</v>
      </c>
      <c r="J112" s="50"/>
      <c r="K112" s="47" t="s">
        <v>8</v>
      </c>
      <c r="L112" s="48">
        <v>909142.45</v>
      </c>
    </row>
    <row r="113" spans="1:12" ht="71.400000000000006" hidden="1" x14ac:dyDescent="0.3">
      <c r="A113" s="42" t="s">
        <v>214</v>
      </c>
      <c r="B113" s="43" t="s">
        <v>231</v>
      </c>
      <c r="C113" s="43" t="s">
        <v>232</v>
      </c>
      <c r="D113" s="43" t="s">
        <v>233</v>
      </c>
      <c r="E113" s="44" t="s">
        <v>13</v>
      </c>
      <c r="F113" s="52">
        <v>330</v>
      </c>
      <c r="G113" s="52"/>
      <c r="H113" s="44" t="s">
        <v>19</v>
      </c>
      <c r="I113" s="50" t="s">
        <v>14</v>
      </c>
      <c r="J113" s="50"/>
      <c r="K113" s="47" t="s">
        <v>8</v>
      </c>
      <c r="L113" s="48">
        <v>909472.45</v>
      </c>
    </row>
    <row r="114" spans="1:12" ht="61.2" hidden="1" x14ac:dyDescent="0.3">
      <c r="A114" s="42" t="s">
        <v>214</v>
      </c>
      <c r="B114" s="43" t="s">
        <v>231</v>
      </c>
      <c r="C114" s="43" t="s">
        <v>234</v>
      </c>
      <c r="D114" s="43" t="s">
        <v>233</v>
      </c>
      <c r="E114" s="44" t="s">
        <v>13</v>
      </c>
      <c r="F114" s="52">
        <v>40</v>
      </c>
      <c r="G114" s="52"/>
      <c r="H114" s="44" t="s">
        <v>19</v>
      </c>
      <c r="I114" s="50" t="s">
        <v>14</v>
      </c>
      <c r="J114" s="50"/>
      <c r="K114" s="47" t="s">
        <v>8</v>
      </c>
      <c r="L114" s="48">
        <v>909512.45</v>
      </c>
    </row>
    <row r="115" spans="1:12" ht="61.2" hidden="1" x14ac:dyDescent="0.3">
      <c r="A115" s="42" t="s">
        <v>214</v>
      </c>
      <c r="B115" s="43" t="s">
        <v>231</v>
      </c>
      <c r="C115" s="43" t="s">
        <v>235</v>
      </c>
      <c r="D115" s="43" t="s">
        <v>233</v>
      </c>
      <c r="E115" s="44" t="s">
        <v>13</v>
      </c>
      <c r="F115" s="52">
        <v>40</v>
      </c>
      <c r="G115" s="52"/>
      <c r="H115" s="44" t="s">
        <v>19</v>
      </c>
      <c r="I115" s="50" t="s">
        <v>14</v>
      </c>
      <c r="J115" s="50"/>
      <c r="K115" s="47" t="s">
        <v>8</v>
      </c>
      <c r="L115" s="48">
        <v>909552.45</v>
      </c>
    </row>
    <row r="116" spans="1:12" ht="61.2" hidden="1" x14ac:dyDescent="0.3">
      <c r="A116" s="42" t="s">
        <v>214</v>
      </c>
      <c r="B116" s="43" t="s">
        <v>231</v>
      </c>
      <c r="C116" s="43" t="s">
        <v>236</v>
      </c>
      <c r="D116" s="43" t="s">
        <v>233</v>
      </c>
      <c r="E116" s="44" t="s">
        <v>13</v>
      </c>
      <c r="F116" s="52">
        <v>12</v>
      </c>
      <c r="G116" s="52"/>
      <c r="H116" s="44" t="s">
        <v>19</v>
      </c>
      <c r="I116" s="50" t="s">
        <v>14</v>
      </c>
      <c r="J116" s="50"/>
      <c r="K116" s="47" t="s">
        <v>8</v>
      </c>
      <c r="L116" s="48">
        <v>909564.45</v>
      </c>
    </row>
    <row r="117" spans="1:12" ht="61.2" hidden="1" x14ac:dyDescent="0.3">
      <c r="A117" s="42" t="s">
        <v>214</v>
      </c>
      <c r="B117" s="43" t="s">
        <v>231</v>
      </c>
      <c r="C117" s="43" t="s">
        <v>237</v>
      </c>
      <c r="D117" s="43" t="s">
        <v>233</v>
      </c>
      <c r="E117" s="44" t="s">
        <v>13</v>
      </c>
      <c r="F117" s="52">
        <v>100</v>
      </c>
      <c r="G117" s="52"/>
      <c r="H117" s="44" t="s">
        <v>19</v>
      </c>
      <c r="I117" s="50" t="s">
        <v>14</v>
      </c>
      <c r="J117" s="50"/>
      <c r="K117" s="47" t="s">
        <v>8</v>
      </c>
      <c r="L117" s="48">
        <v>909664.45</v>
      </c>
    </row>
    <row r="118" spans="1:12" ht="61.2" hidden="1" x14ac:dyDescent="0.3">
      <c r="A118" s="42" t="s">
        <v>214</v>
      </c>
      <c r="B118" s="43" t="s">
        <v>238</v>
      </c>
      <c r="C118" s="43" t="s">
        <v>239</v>
      </c>
      <c r="D118" s="43" t="s">
        <v>240</v>
      </c>
      <c r="E118" s="44" t="s">
        <v>13</v>
      </c>
      <c r="F118" s="49">
        <v>12288.22</v>
      </c>
      <c r="G118" s="49"/>
      <c r="H118" s="44" t="s">
        <v>19</v>
      </c>
      <c r="I118" s="50" t="s">
        <v>14</v>
      </c>
      <c r="J118" s="50"/>
      <c r="K118" s="47" t="s">
        <v>8</v>
      </c>
      <c r="L118" s="48">
        <v>209075.57</v>
      </c>
    </row>
    <row r="119" spans="1:12" ht="61.2" x14ac:dyDescent="0.3">
      <c r="A119" s="42" t="s">
        <v>241</v>
      </c>
      <c r="B119" s="43" t="s">
        <v>242</v>
      </c>
      <c r="C119" s="43" t="s">
        <v>99</v>
      </c>
      <c r="D119" s="43" t="s">
        <v>243</v>
      </c>
      <c r="E119" s="44" t="s">
        <v>101</v>
      </c>
      <c r="F119" s="45" t="s">
        <v>14</v>
      </c>
      <c r="G119" s="45"/>
      <c r="H119" s="44" t="s">
        <v>13</v>
      </c>
      <c r="I119" s="46">
        <v>7750.75</v>
      </c>
      <c r="J119" s="46"/>
      <c r="K119" s="47" t="s">
        <v>8</v>
      </c>
      <c r="L119" s="48">
        <v>536521.07999999996</v>
      </c>
    </row>
    <row r="120" spans="1:12" ht="61.2" x14ac:dyDescent="0.3">
      <c r="A120" s="42" t="s">
        <v>241</v>
      </c>
      <c r="B120" s="43" t="s">
        <v>242</v>
      </c>
      <c r="C120" s="43" t="s">
        <v>99</v>
      </c>
      <c r="D120" s="43" t="s">
        <v>244</v>
      </c>
      <c r="E120" s="44" t="s">
        <v>101</v>
      </c>
      <c r="F120" s="45" t="s">
        <v>14</v>
      </c>
      <c r="G120" s="45"/>
      <c r="H120" s="44" t="s">
        <v>13</v>
      </c>
      <c r="I120" s="46">
        <v>4492.2</v>
      </c>
      <c r="J120" s="46"/>
      <c r="K120" s="47" t="s">
        <v>8</v>
      </c>
      <c r="L120" s="48">
        <v>532028.88</v>
      </c>
    </row>
    <row r="121" spans="1:12" ht="61.2" x14ac:dyDescent="0.3">
      <c r="A121" s="42" t="s">
        <v>241</v>
      </c>
      <c r="B121" s="43" t="s">
        <v>242</v>
      </c>
      <c r="C121" s="43" t="s">
        <v>99</v>
      </c>
      <c r="D121" s="43" t="s">
        <v>245</v>
      </c>
      <c r="E121" s="44" t="s">
        <v>101</v>
      </c>
      <c r="F121" s="45" t="s">
        <v>14</v>
      </c>
      <c r="G121" s="45"/>
      <c r="H121" s="44" t="s">
        <v>13</v>
      </c>
      <c r="I121" s="46">
        <v>14029.5</v>
      </c>
      <c r="J121" s="46"/>
      <c r="K121" s="47" t="s">
        <v>8</v>
      </c>
      <c r="L121" s="48">
        <v>517999.38</v>
      </c>
    </row>
    <row r="122" spans="1:12" ht="61.2" x14ac:dyDescent="0.3">
      <c r="A122" s="42" t="s">
        <v>241</v>
      </c>
      <c r="B122" s="43" t="s">
        <v>242</v>
      </c>
      <c r="C122" s="43" t="s">
        <v>99</v>
      </c>
      <c r="D122" s="43" t="s">
        <v>246</v>
      </c>
      <c r="E122" s="44" t="s">
        <v>101</v>
      </c>
      <c r="F122" s="45" t="s">
        <v>14</v>
      </c>
      <c r="G122" s="45"/>
      <c r="H122" s="44" t="s">
        <v>13</v>
      </c>
      <c r="I122" s="46">
        <v>6966.1</v>
      </c>
      <c r="J122" s="46"/>
      <c r="K122" s="47" t="s">
        <v>8</v>
      </c>
      <c r="L122" s="48">
        <v>511033.28</v>
      </c>
    </row>
    <row r="123" spans="1:12" ht="61.2" x14ac:dyDescent="0.3">
      <c r="A123" s="42" t="s">
        <v>241</v>
      </c>
      <c r="B123" s="43" t="s">
        <v>242</v>
      </c>
      <c r="C123" s="43" t="s">
        <v>99</v>
      </c>
      <c r="D123" s="43" t="s">
        <v>247</v>
      </c>
      <c r="E123" s="44" t="s">
        <v>101</v>
      </c>
      <c r="F123" s="45" t="s">
        <v>14</v>
      </c>
      <c r="G123" s="45"/>
      <c r="H123" s="44" t="s">
        <v>13</v>
      </c>
      <c r="I123" s="46">
        <v>13538</v>
      </c>
      <c r="J123" s="46"/>
      <c r="K123" s="47" t="s">
        <v>8</v>
      </c>
      <c r="L123" s="48">
        <v>497495.28</v>
      </c>
    </row>
    <row r="124" spans="1:12" ht="61.2" x14ac:dyDescent="0.3">
      <c r="A124" s="42" t="s">
        <v>241</v>
      </c>
      <c r="B124" s="43" t="s">
        <v>242</v>
      </c>
      <c r="C124" s="43" t="s">
        <v>99</v>
      </c>
      <c r="D124" s="43" t="s">
        <v>248</v>
      </c>
      <c r="E124" s="44" t="s">
        <v>101</v>
      </c>
      <c r="F124" s="45" t="s">
        <v>14</v>
      </c>
      <c r="G124" s="45"/>
      <c r="H124" s="44" t="s">
        <v>13</v>
      </c>
      <c r="I124" s="46">
        <v>11942.98</v>
      </c>
      <c r="J124" s="46"/>
      <c r="K124" s="47" t="s">
        <v>8</v>
      </c>
      <c r="L124" s="48">
        <v>485552.3</v>
      </c>
    </row>
    <row r="125" spans="1:12" ht="61.2" x14ac:dyDescent="0.3">
      <c r="A125" s="42" t="s">
        <v>241</v>
      </c>
      <c r="B125" s="43" t="s">
        <v>242</v>
      </c>
      <c r="C125" s="43" t="s">
        <v>99</v>
      </c>
      <c r="D125" s="43" t="s">
        <v>249</v>
      </c>
      <c r="E125" s="44" t="s">
        <v>101</v>
      </c>
      <c r="F125" s="45" t="s">
        <v>14</v>
      </c>
      <c r="G125" s="45"/>
      <c r="H125" s="44" t="s">
        <v>13</v>
      </c>
      <c r="I125" s="46">
        <v>3858.15</v>
      </c>
      <c r="J125" s="46"/>
      <c r="K125" s="47" t="s">
        <v>8</v>
      </c>
      <c r="L125" s="48">
        <v>481694.15</v>
      </c>
    </row>
    <row r="126" spans="1:12" ht="61.2" x14ac:dyDescent="0.3">
      <c r="A126" s="42" t="s">
        <v>241</v>
      </c>
      <c r="B126" s="43" t="s">
        <v>242</v>
      </c>
      <c r="C126" s="43" t="s">
        <v>99</v>
      </c>
      <c r="D126" s="43" t="s">
        <v>250</v>
      </c>
      <c r="E126" s="44" t="s">
        <v>101</v>
      </c>
      <c r="F126" s="45" t="s">
        <v>14</v>
      </c>
      <c r="G126" s="45"/>
      <c r="H126" s="44" t="s">
        <v>13</v>
      </c>
      <c r="I126" s="46">
        <v>23089.5</v>
      </c>
      <c r="J126" s="46"/>
      <c r="K126" s="47" t="s">
        <v>8</v>
      </c>
      <c r="L126" s="48">
        <v>458604.65</v>
      </c>
    </row>
    <row r="127" spans="1:12" ht="91.8" x14ac:dyDescent="0.3">
      <c r="A127" s="42" t="s">
        <v>241</v>
      </c>
      <c r="B127" s="43" t="s">
        <v>251</v>
      </c>
      <c r="C127" s="43" t="s">
        <v>99</v>
      </c>
      <c r="D127" s="43" t="s">
        <v>252</v>
      </c>
      <c r="E127" s="44" t="s">
        <v>101</v>
      </c>
      <c r="F127" s="45" t="s">
        <v>14</v>
      </c>
      <c r="G127" s="45"/>
      <c r="H127" s="44" t="s">
        <v>13</v>
      </c>
      <c r="I127" s="46">
        <v>319352.49</v>
      </c>
      <c r="J127" s="46"/>
      <c r="K127" s="47" t="s">
        <v>8</v>
      </c>
      <c r="L127" s="48">
        <v>327512.05</v>
      </c>
    </row>
    <row r="128" spans="1:12" ht="71.400000000000006" x14ac:dyDescent="0.3">
      <c r="A128" s="42" t="s">
        <v>241</v>
      </c>
      <c r="B128" s="43" t="s">
        <v>251</v>
      </c>
      <c r="C128" s="43" t="s">
        <v>99</v>
      </c>
      <c r="D128" s="43" t="s">
        <v>253</v>
      </c>
      <c r="E128" s="44" t="s">
        <v>101</v>
      </c>
      <c r="F128" s="45" t="s">
        <v>14</v>
      </c>
      <c r="G128" s="45"/>
      <c r="H128" s="44" t="s">
        <v>13</v>
      </c>
      <c r="I128" s="46">
        <v>2625</v>
      </c>
      <c r="J128" s="46"/>
      <c r="K128" s="47" t="s">
        <v>8</v>
      </c>
      <c r="L128" s="48">
        <v>324887.05</v>
      </c>
    </row>
    <row r="129" spans="1:12" ht="71.400000000000006" x14ac:dyDescent="0.3">
      <c r="A129" s="42" t="s">
        <v>241</v>
      </c>
      <c r="B129" s="43" t="s">
        <v>251</v>
      </c>
      <c r="C129" s="43" t="s">
        <v>99</v>
      </c>
      <c r="D129" s="43" t="s">
        <v>254</v>
      </c>
      <c r="E129" s="44" t="s">
        <v>101</v>
      </c>
      <c r="F129" s="45" t="s">
        <v>14</v>
      </c>
      <c r="G129" s="45"/>
      <c r="H129" s="44" t="s">
        <v>13</v>
      </c>
      <c r="I129" s="46">
        <v>1125</v>
      </c>
      <c r="J129" s="46"/>
      <c r="K129" s="47" t="s">
        <v>8</v>
      </c>
      <c r="L129" s="48">
        <v>323762.05</v>
      </c>
    </row>
    <row r="130" spans="1:12" ht="81.599999999999994" x14ac:dyDescent="0.3">
      <c r="A130" s="42" t="s">
        <v>241</v>
      </c>
      <c r="B130" s="43" t="s">
        <v>251</v>
      </c>
      <c r="C130" s="43" t="s">
        <v>99</v>
      </c>
      <c r="D130" s="43" t="s">
        <v>255</v>
      </c>
      <c r="E130" s="44" t="s">
        <v>101</v>
      </c>
      <c r="F130" s="45" t="s">
        <v>14</v>
      </c>
      <c r="G130" s="45"/>
      <c r="H130" s="44" t="s">
        <v>13</v>
      </c>
      <c r="I130" s="46">
        <v>3250</v>
      </c>
      <c r="J130" s="46"/>
      <c r="K130" s="47" t="s">
        <v>8</v>
      </c>
      <c r="L130" s="48">
        <v>320512.05</v>
      </c>
    </row>
    <row r="131" spans="1:12" ht="71.400000000000006" x14ac:dyDescent="0.3">
      <c r="A131" s="42" t="s">
        <v>241</v>
      </c>
      <c r="B131" s="43" t="s">
        <v>251</v>
      </c>
      <c r="C131" s="43" t="s">
        <v>99</v>
      </c>
      <c r="D131" s="43" t="s">
        <v>256</v>
      </c>
      <c r="E131" s="44" t="s">
        <v>101</v>
      </c>
      <c r="F131" s="45" t="s">
        <v>14</v>
      </c>
      <c r="G131" s="45"/>
      <c r="H131" s="44" t="s">
        <v>13</v>
      </c>
      <c r="I131" s="46">
        <v>1080</v>
      </c>
      <c r="J131" s="46"/>
      <c r="K131" s="47" t="s">
        <v>8</v>
      </c>
      <c r="L131" s="48">
        <v>319432.05</v>
      </c>
    </row>
    <row r="132" spans="1:12" ht="71.400000000000006" x14ac:dyDescent="0.3">
      <c r="A132" s="42" t="s">
        <v>241</v>
      </c>
      <c r="B132" s="43" t="s">
        <v>251</v>
      </c>
      <c r="C132" s="43" t="s">
        <v>99</v>
      </c>
      <c r="D132" s="43" t="s">
        <v>257</v>
      </c>
      <c r="E132" s="44" t="s">
        <v>101</v>
      </c>
      <c r="F132" s="45" t="s">
        <v>14</v>
      </c>
      <c r="G132" s="45"/>
      <c r="H132" s="44" t="s">
        <v>13</v>
      </c>
      <c r="I132" s="46">
        <v>14336</v>
      </c>
      <c r="J132" s="46"/>
      <c r="K132" s="47" t="s">
        <v>8</v>
      </c>
      <c r="L132" s="48">
        <v>305096.05</v>
      </c>
    </row>
    <row r="133" spans="1:12" ht="71.400000000000006" x14ac:dyDescent="0.3">
      <c r="A133" s="42" t="s">
        <v>241</v>
      </c>
      <c r="B133" s="43" t="s">
        <v>251</v>
      </c>
      <c r="C133" s="43" t="s">
        <v>99</v>
      </c>
      <c r="D133" s="43" t="s">
        <v>258</v>
      </c>
      <c r="E133" s="44" t="s">
        <v>101</v>
      </c>
      <c r="F133" s="45" t="s">
        <v>14</v>
      </c>
      <c r="G133" s="45"/>
      <c r="H133" s="44" t="s">
        <v>13</v>
      </c>
      <c r="I133" s="51">
        <v>875</v>
      </c>
      <c r="J133" s="51"/>
      <c r="K133" s="47" t="s">
        <v>8</v>
      </c>
      <c r="L133" s="48">
        <v>304221.05</v>
      </c>
    </row>
    <row r="134" spans="1:12" ht="71.400000000000006" x14ac:dyDescent="0.3">
      <c r="A134" s="42" t="s">
        <v>241</v>
      </c>
      <c r="B134" s="43" t="s">
        <v>259</v>
      </c>
      <c r="C134" s="43" t="s">
        <v>99</v>
      </c>
      <c r="D134" s="43" t="s">
        <v>260</v>
      </c>
      <c r="E134" s="44" t="s">
        <v>101</v>
      </c>
      <c r="F134" s="45" t="s">
        <v>14</v>
      </c>
      <c r="G134" s="45"/>
      <c r="H134" s="44" t="s">
        <v>13</v>
      </c>
      <c r="I134" s="46">
        <v>7898.56</v>
      </c>
      <c r="J134" s="46"/>
      <c r="K134" s="47" t="s">
        <v>8</v>
      </c>
      <c r="L134" s="48">
        <v>2423784.6</v>
      </c>
    </row>
    <row r="135" spans="1:12" ht="71.400000000000006" x14ac:dyDescent="0.3">
      <c r="A135" s="42" t="s">
        <v>241</v>
      </c>
      <c r="B135" s="43" t="s">
        <v>259</v>
      </c>
      <c r="C135" s="43" t="s">
        <v>99</v>
      </c>
      <c r="D135" s="43" t="s">
        <v>261</v>
      </c>
      <c r="E135" s="44" t="s">
        <v>101</v>
      </c>
      <c r="F135" s="45" t="s">
        <v>14</v>
      </c>
      <c r="G135" s="45"/>
      <c r="H135" s="44" t="s">
        <v>13</v>
      </c>
      <c r="I135" s="46">
        <v>1643.42</v>
      </c>
      <c r="J135" s="46"/>
      <c r="K135" s="47" t="s">
        <v>8</v>
      </c>
      <c r="L135" s="48">
        <v>2422141.1800000002</v>
      </c>
    </row>
    <row r="136" spans="1:12" ht="71.400000000000006" x14ac:dyDescent="0.3">
      <c r="A136" s="42" t="s">
        <v>241</v>
      </c>
      <c r="B136" s="43" t="s">
        <v>262</v>
      </c>
      <c r="C136" s="43" t="s">
        <v>99</v>
      </c>
      <c r="D136" s="43" t="s">
        <v>263</v>
      </c>
      <c r="E136" s="44" t="s">
        <v>101</v>
      </c>
      <c r="F136" s="45" t="s">
        <v>14</v>
      </c>
      <c r="G136" s="45"/>
      <c r="H136" s="44" t="s">
        <v>13</v>
      </c>
      <c r="I136" s="46">
        <v>19245.59</v>
      </c>
      <c r="J136" s="46"/>
      <c r="K136" s="47" t="s">
        <v>8</v>
      </c>
      <c r="L136" s="48">
        <v>2402895.59</v>
      </c>
    </row>
    <row r="137" spans="1:12" ht="71.400000000000006" x14ac:dyDescent="0.3">
      <c r="A137" s="42" t="s">
        <v>241</v>
      </c>
      <c r="B137" s="43" t="s">
        <v>262</v>
      </c>
      <c r="C137" s="43" t="s">
        <v>99</v>
      </c>
      <c r="D137" s="43" t="s">
        <v>264</v>
      </c>
      <c r="E137" s="44" t="s">
        <v>101</v>
      </c>
      <c r="F137" s="45" t="s">
        <v>14</v>
      </c>
      <c r="G137" s="45"/>
      <c r="H137" s="44" t="s">
        <v>13</v>
      </c>
      <c r="I137" s="46">
        <v>16905.060000000001</v>
      </c>
      <c r="J137" s="46"/>
      <c r="K137" s="47" t="s">
        <v>8</v>
      </c>
      <c r="L137" s="48">
        <v>2385990.5299999998</v>
      </c>
    </row>
    <row r="138" spans="1:12" ht="71.400000000000006" x14ac:dyDescent="0.3">
      <c r="A138" s="42" t="s">
        <v>241</v>
      </c>
      <c r="B138" s="43" t="s">
        <v>262</v>
      </c>
      <c r="C138" s="43" t="s">
        <v>99</v>
      </c>
      <c r="D138" s="43" t="s">
        <v>265</v>
      </c>
      <c r="E138" s="44" t="s">
        <v>101</v>
      </c>
      <c r="F138" s="45" t="s">
        <v>14</v>
      </c>
      <c r="G138" s="45"/>
      <c r="H138" s="44" t="s">
        <v>13</v>
      </c>
      <c r="I138" s="46">
        <v>46735.07</v>
      </c>
      <c r="J138" s="46"/>
      <c r="K138" s="47" t="s">
        <v>8</v>
      </c>
      <c r="L138" s="48">
        <v>2339255.46</v>
      </c>
    </row>
    <row r="139" spans="1:12" ht="71.400000000000006" x14ac:dyDescent="0.3">
      <c r="A139" s="42" t="s">
        <v>241</v>
      </c>
      <c r="B139" s="43" t="s">
        <v>262</v>
      </c>
      <c r="C139" s="43" t="s">
        <v>99</v>
      </c>
      <c r="D139" s="43" t="s">
        <v>266</v>
      </c>
      <c r="E139" s="44" t="s">
        <v>101</v>
      </c>
      <c r="F139" s="45" t="s">
        <v>14</v>
      </c>
      <c r="G139" s="45"/>
      <c r="H139" s="44" t="s">
        <v>13</v>
      </c>
      <c r="I139" s="46">
        <v>5407.02</v>
      </c>
      <c r="J139" s="46"/>
      <c r="K139" s="47" t="s">
        <v>8</v>
      </c>
      <c r="L139" s="48">
        <v>2333848.44</v>
      </c>
    </row>
    <row r="140" spans="1:12" ht="71.400000000000006" hidden="1" x14ac:dyDescent="0.3">
      <c r="A140" s="42" t="s">
        <v>241</v>
      </c>
      <c r="B140" s="43" t="s">
        <v>267</v>
      </c>
      <c r="C140" s="43" t="s">
        <v>268</v>
      </c>
      <c r="D140" s="43" t="s">
        <v>269</v>
      </c>
      <c r="E140" s="44" t="s">
        <v>13</v>
      </c>
      <c r="F140" s="49">
        <v>14500</v>
      </c>
      <c r="G140" s="49"/>
      <c r="H140" s="44" t="s">
        <v>19</v>
      </c>
      <c r="I140" s="50" t="s">
        <v>14</v>
      </c>
      <c r="J140" s="50"/>
      <c r="K140" s="47" t="s">
        <v>8</v>
      </c>
      <c r="L140" s="48">
        <v>104178.65</v>
      </c>
    </row>
    <row r="141" spans="1:12" ht="61.2" hidden="1" x14ac:dyDescent="0.3">
      <c r="A141" s="42" t="s">
        <v>241</v>
      </c>
      <c r="B141" s="43" t="s">
        <v>270</v>
      </c>
      <c r="C141" s="43" t="s">
        <v>271</v>
      </c>
      <c r="D141" s="43" t="s">
        <v>272</v>
      </c>
      <c r="E141" s="44" t="s">
        <v>13</v>
      </c>
      <c r="F141" s="49">
        <v>12696.82</v>
      </c>
      <c r="G141" s="49"/>
      <c r="H141" s="44" t="s">
        <v>19</v>
      </c>
      <c r="I141" s="50" t="s">
        <v>14</v>
      </c>
      <c r="J141" s="50"/>
      <c r="K141" s="47" t="s">
        <v>8</v>
      </c>
      <c r="L141" s="48">
        <v>2346545.2599999998</v>
      </c>
    </row>
    <row r="142" spans="1:12" ht="61.2" hidden="1" x14ac:dyDescent="0.3">
      <c r="A142" s="42" t="s">
        <v>241</v>
      </c>
      <c r="B142" s="43" t="s">
        <v>270</v>
      </c>
      <c r="C142" s="43" t="s">
        <v>273</v>
      </c>
      <c r="D142" s="43" t="s">
        <v>272</v>
      </c>
      <c r="E142" s="44" t="s">
        <v>13</v>
      </c>
      <c r="F142" s="49">
        <v>4004</v>
      </c>
      <c r="G142" s="49"/>
      <c r="H142" s="44" t="s">
        <v>19</v>
      </c>
      <c r="I142" s="50" t="s">
        <v>14</v>
      </c>
      <c r="J142" s="50"/>
      <c r="K142" s="47" t="s">
        <v>8</v>
      </c>
      <c r="L142" s="48">
        <v>2350549.2599999998</v>
      </c>
    </row>
    <row r="143" spans="1:12" ht="61.2" hidden="1" x14ac:dyDescent="0.3">
      <c r="A143" s="42" t="s">
        <v>241</v>
      </c>
      <c r="B143" s="43" t="s">
        <v>270</v>
      </c>
      <c r="C143" s="43" t="s">
        <v>274</v>
      </c>
      <c r="D143" s="43" t="s">
        <v>272</v>
      </c>
      <c r="E143" s="44" t="s">
        <v>13</v>
      </c>
      <c r="F143" s="49">
        <v>4550</v>
      </c>
      <c r="G143" s="49"/>
      <c r="H143" s="44" t="s">
        <v>19</v>
      </c>
      <c r="I143" s="50" t="s">
        <v>14</v>
      </c>
      <c r="J143" s="50"/>
      <c r="K143" s="47" t="s">
        <v>8</v>
      </c>
      <c r="L143" s="48">
        <v>2355099.2599999998</v>
      </c>
    </row>
    <row r="144" spans="1:12" ht="61.2" hidden="1" x14ac:dyDescent="0.3">
      <c r="A144" s="42" t="s">
        <v>241</v>
      </c>
      <c r="B144" s="43" t="s">
        <v>270</v>
      </c>
      <c r="C144" s="43" t="s">
        <v>275</v>
      </c>
      <c r="D144" s="43" t="s">
        <v>272</v>
      </c>
      <c r="E144" s="44" t="s">
        <v>13</v>
      </c>
      <c r="F144" s="52">
        <v>450</v>
      </c>
      <c r="G144" s="52"/>
      <c r="H144" s="44" t="s">
        <v>19</v>
      </c>
      <c r="I144" s="50" t="s">
        <v>14</v>
      </c>
      <c r="J144" s="50"/>
      <c r="K144" s="47" t="s">
        <v>8</v>
      </c>
      <c r="L144" s="48">
        <v>2355549.2599999998</v>
      </c>
    </row>
    <row r="145" spans="1:12" ht="61.2" hidden="1" x14ac:dyDescent="0.3">
      <c r="A145" s="42" t="s">
        <v>241</v>
      </c>
      <c r="B145" s="43" t="s">
        <v>276</v>
      </c>
      <c r="C145" s="43" t="s">
        <v>277</v>
      </c>
      <c r="D145" s="43" t="s">
        <v>278</v>
      </c>
      <c r="E145" s="44" t="s">
        <v>13</v>
      </c>
      <c r="F145" s="49">
        <v>6121.44</v>
      </c>
      <c r="G145" s="49"/>
      <c r="H145" s="44" t="s">
        <v>19</v>
      </c>
      <c r="I145" s="50" t="s">
        <v>14</v>
      </c>
      <c r="J145" s="50"/>
      <c r="K145" s="47" t="s">
        <v>8</v>
      </c>
      <c r="L145" s="48">
        <v>215197.01</v>
      </c>
    </row>
    <row r="146" spans="1:12" ht="71.400000000000006" hidden="1" x14ac:dyDescent="0.3">
      <c r="A146" s="42" t="s">
        <v>241</v>
      </c>
      <c r="B146" s="43" t="s">
        <v>279</v>
      </c>
      <c r="C146" s="43" t="s">
        <v>280</v>
      </c>
      <c r="D146" s="43" t="s">
        <v>268</v>
      </c>
      <c r="E146" s="44" t="s">
        <v>13</v>
      </c>
      <c r="F146" s="45" t="s">
        <v>14</v>
      </c>
      <c r="G146" s="45"/>
      <c r="H146" s="44" t="s">
        <v>13</v>
      </c>
      <c r="I146" s="51">
        <v>483.33</v>
      </c>
      <c r="J146" s="51"/>
      <c r="K146" s="47" t="s">
        <v>8</v>
      </c>
      <c r="L146" s="48">
        <v>103695.32</v>
      </c>
    </row>
    <row r="147" spans="1:12" ht="71.400000000000006" hidden="1" x14ac:dyDescent="0.3">
      <c r="A147" s="42" t="s">
        <v>241</v>
      </c>
      <c r="B147" s="43" t="s">
        <v>279</v>
      </c>
      <c r="C147" s="43" t="s">
        <v>280</v>
      </c>
      <c r="D147" s="43" t="s">
        <v>268</v>
      </c>
      <c r="E147" s="44" t="s">
        <v>13</v>
      </c>
      <c r="F147" s="52">
        <v>483.33</v>
      </c>
      <c r="G147" s="52"/>
      <c r="H147" s="44" t="s">
        <v>13</v>
      </c>
      <c r="I147" s="50" t="s">
        <v>14</v>
      </c>
      <c r="J147" s="50"/>
      <c r="K147" s="47" t="s">
        <v>8</v>
      </c>
      <c r="L147" s="48">
        <v>215680.34</v>
      </c>
    </row>
    <row r="148" spans="1:12" ht="61.2" hidden="1" x14ac:dyDescent="0.3">
      <c r="A148" s="42" t="s">
        <v>281</v>
      </c>
      <c r="B148" s="43" t="s">
        <v>282</v>
      </c>
      <c r="C148" s="43" t="s">
        <v>283</v>
      </c>
      <c r="D148" s="43" t="s">
        <v>284</v>
      </c>
      <c r="E148" s="44" t="s">
        <v>13</v>
      </c>
      <c r="F148" s="49">
        <v>4367.7299999999996</v>
      </c>
      <c r="G148" s="49"/>
      <c r="H148" s="44" t="s">
        <v>13</v>
      </c>
      <c r="I148" s="50" t="s">
        <v>14</v>
      </c>
      <c r="J148" s="50"/>
      <c r="K148" s="47" t="s">
        <v>8</v>
      </c>
      <c r="L148" s="48">
        <v>220048.07</v>
      </c>
    </row>
    <row r="149" spans="1:12" ht="61.2" hidden="1" x14ac:dyDescent="0.3">
      <c r="A149" s="42" t="s">
        <v>281</v>
      </c>
      <c r="B149" s="43" t="s">
        <v>282</v>
      </c>
      <c r="C149" s="43" t="s">
        <v>283</v>
      </c>
      <c r="D149" s="43" t="s">
        <v>284</v>
      </c>
      <c r="E149" s="44" t="s">
        <v>13</v>
      </c>
      <c r="F149" s="45" t="s">
        <v>14</v>
      </c>
      <c r="G149" s="45"/>
      <c r="H149" s="44" t="s">
        <v>13</v>
      </c>
      <c r="I149" s="46">
        <v>4367.7299999999996</v>
      </c>
      <c r="J149" s="46"/>
      <c r="K149" s="47" t="s">
        <v>8</v>
      </c>
      <c r="L149" s="48">
        <v>286519.84999999998</v>
      </c>
    </row>
    <row r="150" spans="1:12" ht="61.2" hidden="1" x14ac:dyDescent="0.3">
      <c r="A150" s="42" t="s">
        <v>281</v>
      </c>
      <c r="B150" s="43" t="s">
        <v>282</v>
      </c>
      <c r="C150" s="43" t="s">
        <v>285</v>
      </c>
      <c r="D150" s="43" t="s">
        <v>286</v>
      </c>
      <c r="E150" s="44" t="s">
        <v>13</v>
      </c>
      <c r="F150" s="49">
        <v>3785.36</v>
      </c>
      <c r="G150" s="49"/>
      <c r="H150" s="44" t="s">
        <v>13</v>
      </c>
      <c r="I150" s="50" t="s">
        <v>14</v>
      </c>
      <c r="J150" s="50"/>
      <c r="K150" s="47" t="s">
        <v>8</v>
      </c>
      <c r="L150" s="48">
        <v>223833.43</v>
      </c>
    </row>
    <row r="151" spans="1:12" ht="61.2" hidden="1" x14ac:dyDescent="0.3">
      <c r="A151" s="42" t="s">
        <v>281</v>
      </c>
      <c r="B151" s="43" t="s">
        <v>282</v>
      </c>
      <c r="C151" s="43" t="s">
        <v>285</v>
      </c>
      <c r="D151" s="43" t="s">
        <v>286</v>
      </c>
      <c r="E151" s="44" t="s">
        <v>13</v>
      </c>
      <c r="F151" s="45" t="s">
        <v>14</v>
      </c>
      <c r="G151" s="45"/>
      <c r="H151" s="44" t="s">
        <v>13</v>
      </c>
      <c r="I151" s="46">
        <v>3785.36</v>
      </c>
      <c r="J151" s="46"/>
      <c r="K151" s="47" t="s">
        <v>8</v>
      </c>
      <c r="L151" s="48">
        <v>282734.49</v>
      </c>
    </row>
    <row r="152" spans="1:12" ht="71.400000000000006" hidden="1" x14ac:dyDescent="0.3">
      <c r="A152" s="42" t="s">
        <v>281</v>
      </c>
      <c r="B152" s="43" t="s">
        <v>287</v>
      </c>
      <c r="C152" s="43" t="s">
        <v>288</v>
      </c>
      <c r="D152" s="43" t="s">
        <v>289</v>
      </c>
      <c r="E152" s="44" t="s">
        <v>13</v>
      </c>
      <c r="F152" s="49">
        <v>23456.25</v>
      </c>
      <c r="G152" s="49"/>
      <c r="H152" s="44" t="s">
        <v>19</v>
      </c>
      <c r="I152" s="50" t="s">
        <v>14</v>
      </c>
      <c r="J152" s="50"/>
      <c r="K152" s="47" t="s">
        <v>8</v>
      </c>
      <c r="L152" s="48">
        <v>103101.37</v>
      </c>
    </row>
    <row r="153" spans="1:12" ht="61.2" hidden="1" x14ac:dyDescent="0.3">
      <c r="A153" s="42" t="s">
        <v>281</v>
      </c>
      <c r="B153" s="43" t="s">
        <v>290</v>
      </c>
      <c r="C153" s="43" t="s">
        <v>288</v>
      </c>
      <c r="D153" s="43" t="s">
        <v>291</v>
      </c>
      <c r="E153" s="44" t="s">
        <v>13</v>
      </c>
      <c r="F153" s="49">
        <v>9287</v>
      </c>
      <c r="G153" s="49"/>
      <c r="H153" s="44" t="s">
        <v>19</v>
      </c>
      <c r="I153" s="50" t="s">
        <v>14</v>
      </c>
      <c r="J153" s="50"/>
      <c r="K153" s="47" t="s">
        <v>8</v>
      </c>
      <c r="L153" s="48">
        <v>112388.37</v>
      </c>
    </row>
    <row r="154" spans="1:12" ht="61.2" hidden="1" x14ac:dyDescent="0.3">
      <c r="A154" s="42" t="s">
        <v>281</v>
      </c>
      <c r="B154" s="43" t="s">
        <v>292</v>
      </c>
      <c r="C154" s="43" t="s">
        <v>293</v>
      </c>
      <c r="D154" s="43" t="s">
        <v>288</v>
      </c>
      <c r="E154" s="44" t="s">
        <v>13</v>
      </c>
      <c r="F154" s="49">
        <v>15280.18</v>
      </c>
      <c r="G154" s="49"/>
      <c r="H154" s="44" t="s">
        <v>13</v>
      </c>
      <c r="I154" s="50" t="s">
        <v>14</v>
      </c>
      <c r="J154" s="50"/>
      <c r="K154" s="47" t="s">
        <v>8</v>
      </c>
      <c r="L154" s="48">
        <v>2370829.44</v>
      </c>
    </row>
    <row r="155" spans="1:12" ht="61.2" hidden="1" x14ac:dyDescent="0.3">
      <c r="A155" s="42" t="s">
        <v>281</v>
      </c>
      <c r="B155" s="43" t="s">
        <v>292</v>
      </c>
      <c r="C155" s="43" t="s">
        <v>293</v>
      </c>
      <c r="D155" s="43" t="s">
        <v>288</v>
      </c>
      <c r="E155" s="44" t="s">
        <v>13</v>
      </c>
      <c r="F155" s="45" t="s">
        <v>14</v>
      </c>
      <c r="G155" s="45"/>
      <c r="H155" s="44" t="s">
        <v>13</v>
      </c>
      <c r="I155" s="46">
        <v>15280.18</v>
      </c>
      <c r="J155" s="46"/>
      <c r="K155" s="47" t="s">
        <v>8</v>
      </c>
      <c r="L155" s="48">
        <v>97108.19</v>
      </c>
    </row>
    <row r="156" spans="1:12" ht="61.2" hidden="1" x14ac:dyDescent="0.3">
      <c r="A156" s="42" t="s">
        <v>281</v>
      </c>
      <c r="B156" s="43" t="s">
        <v>294</v>
      </c>
      <c r="C156" s="43" t="s">
        <v>295</v>
      </c>
      <c r="D156" s="43" t="s">
        <v>288</v>
      </c>
      <c r="E156" s="44" t="s">
        <v>13</v>
      </c>
      <c r="F156" s="49">
        <v>15280.19</v>
      </c>
      <c r="G156" s="49"/>
      <c r="H156" s="44" t="s">
        <v>13</v>
      </c>
      <c r="I156" s="50" t="s">
        <v>14</v>
      </c>
      <c r="J156" s="50"/>
      <c r="K156" s="47" t="s">
        <v>8</v>
      </c>
      <c r="L156" s="48">
        <v>239113.62</v>
      </c>
    </row>
    <row r="157" spans="1:12" ht="61.2" hidden="1" x14ac:dyDescent="0.3">
      <c r="A157" s="42" t="s">
        <v>281</v>
      </c>
      <c r="B157" s="43" t="s">
        <v>294</v>
      </c>
      <c r="C157" s="43" t="s">
        <v>295</v>
      </c>
      <c r="D157" s="43" t="s">
        <v>288</v>
      </c>
      <c r="E157" s="44" t="s">
        <v>13</v>
      </c>
      <c r="F157" s="45" t="s">
        <v>14</v>
      </c>
      <c r="G157" s="45"/>
      <c r="H157" s="44" t="s">
        <v>13</v>
      </c>
      <c r="I157" s="46">
        <v>15280.19</v>
      </c>
      <c r="J157" s="46"/>
      <c r="K157" s="47" t="s">
        <v>8</v>
      </c>
      <c r="L157" s="48">
        <v>81828</v>
      </c>
    </row>
    <row r="158" spans="1:12" ht="61.2" hidden="1" x14ac:dyDescent="0.3">
      <c r="A158" s="42" t="s">
        <v>281</v>
      </c>
      <c r="B158" s="43" t="s">
        <v>296</v>
      </c>
      <c r="C158" s="43" t="s">
        <v>297</v>
      </c>
      <c r="D158" s="43" t="s">
        <v>288</v>
      </c>
      <c r="E158" s="44" t="s">
        <v>13</v>
      </c>
      <c r="F158" s="45" t="s">
        <v>14</v>
      </c>
      <c r="G158" s="45"/>
      <c r="H158" s="44" t="s">
        <v>13</v>
      </c>
      <c r="I158" s="46">
        <v>2182.88</v>
      </c>
      <c r="J158" s="46"/>
      <c r="K158" s="47" t="s">
        <v>8</v>
      </c>
      <c r="L158" s="48">
        <v>79645.119999999995</v>
      </c>
    </row>
    <row r="159" spans="1:12" ht="61.2" hidden="1" x14ac:dyDescent="0.3">
      <c r="A159" s="42" t="s">
        <v>281</v>
      </c>
      <c r="B159" s="43" t="s">
        <v>296</v>
      </c>
      <c r="C159" s="43" t="s">
        <v>297</v>
      </c>
      <c r="D159" s="43" t="s">
        <v>288</v>
      </c>
      <c r="E159" s="44" t="s">
        <v>13</v>
      </c>
      <c r="F159" s="49">
        <v>2182.88</v>
      </c>
      <c r="G159" s="49"/>
      <c r="H159" s="44" t="s">
        <v>13</v>
      </c>
      <c r="I159" s="50" t="s">
        <v>14</v>
      </c>
      <c r="J159" s="50"/>
      <c r="K159" s="47" t="s">
        <v>8</v>
      </c>
      <c r="L159" s="48">
        <v>69449.98</v>
      </c>
    </row>
    <row r="160" spans="1:12" ht="81.599999999999994" hidden="1" x14ac:dyDescent="0.3">
      <c r="A160" s="42" t="s">
        <v>281</v>
      </c>
      <c r="B160" s="43" t="s">
        <v>298</v>
      </c>
      <c r="C160" s="43" t="s">
        <v>299</v>
      </c>
      <c r="D160" s="43" t="s">
        <v>300</v>
      </c>
      <c r="E160" s="44" t="s">
        <v>13</v>
      </c>
      <c r="F160" s="49">
        <v>1094212</v>
      </c>
      <c r="G160" s="49"/>
      <c r="H160" s="44" t="s">
        <v>19</v>
      </c>
      <c r="I160" s="50" t="s">
        <v>14</v>
      </c>
      <c r="J160" s="50"/>
      <c r="K160" s="47" t="s">
        <v>8</v>
      </c>
      <c r="L160" s="48">
        <v>3465041.44</v>
      </c>
    </row>
    <row r="161" spans="1:12" ht="81.599999999999994" hidden="1" x14ac:dyDescent="0.3">
      <c r="A161" s="42" t="s">
        <v>281</v>
      </c>
      <c r="B161" s="43" t="s">
        <v>298</v>
      </c>
      <c r="C161" s="43" t="s">
        <v>301</v>
      </c>
      <c r="D161" s="43" t="s">
        <v>300</v>
      </c>
      <c r="E161" s="44" t="s">
        <v>13</v>
      </c>
      <c r="F161" s="49">
        <v>136752</v>
      </c>
      <c r="G161" s="49"/>
      <c r="H161" s="44" t="s">
        <v>19</v>
      </c>
      <c r="I161" s="50" t="s">
        <v>14</v>
      </c>
      <c r="J161" s="50"/>
      <c r="K161" s="47" t="s">
        <v>8</v>
      </c>
      <c r="L161" s="48">
        <v>3601793.44</v>
      </c>
    </row>
    <row r="162" spans="1:12" ht="81.599999999999994" hidden="1" x14ac:dyDescent="0.3">
      <c r="A162" s="42" t="s">
        <v>281</v>
      </c>
      <c r="B162" s="43" t="s">
        <v>298</v>
      </c>
      <c r="C162" s="43" t="s">
        <v>302</v>
      </c>
      <c r="D162" s="43" t="s">
        <v>300</v>
      </c>
      <c r="E162" s="44" t="s">
        <v>13</v>
      </c>
      <c r="F162" s="49">
        <v>24156</v>
      </c>
      <c r="G162" s="49"/>
      <c r="H162" s="44" t="s">
        <v>19</v>
      </c>
      <c r="I162" s="50" t="s">
        <v>14</v>
      </c>
      <c r="J162" s="50"/>
      <c r="K162" s="47" t="s">
        <v>8</v>
      </c>
      <c r="L162" s="48">
        <v>3625949.44</v>
      </c>
    </row>
    <row r="163" spans="1:12" ht="81.599999999999994" hidden="1" x14ac:dyDescent="0.3">
      <c r="A163" s="42" t="s">
        <v>281</v>
      </c>
      <c r="B163" s="43" t="s">
        <v>298</v>
      </c>
      <c r="C163" s="43" t="s">
        <v>303</v>
      </c>
      <c r="D163" s="43" t="s">
        <v>300</v>
      </c>
      <c r="E163" s="44" t="s">
        <v>13</v>
      </c>
      <c r="F163" s="49">
        <v>228984</v>
      </c>
      <c r="G163" s="49"/>
      <c r="H163" s="44" t="s">
        <v>19</v>
      </c>
      <c r="I163" s="50" t="s">
        <v>14</v>
      </c>
      <c r="J163" s="50"/>
      <c r="K163" s="47" t="s">
        <v>8</v>
      </c>
      <c r="L163" s="48">
        <v>3854933.44</v>
      </c>
    </row>
    <row r="164" spans="1:12" ht="81.599999999999994" hidden="1" x14ac:dyDescent="0.3">
      <c r="A164" s="42" t="s">
        <v>281</v>
      </c>
      <c r="B164" s="43" t="s">
        <v>304</v>
      </c>
      <c r="C164" s="43" t="s">
        <v>305</v>
      </c>
      <c r="D164" s="43" t="s">
        <v>300</v>
      </c>
      <c r="E164" s="44" t="s">
        <v>13</v>
      </c>
      <c r="F164" s="49">
        <v>130486.16</v>
      </c>
      <c r="G164" s="49"/>
      <c r="H164" s="44" t="s">
        <v>19</v>
      </c>
      <c r="I164" s="50" t="s">
        <v>14</v>
      </c>
      <c r="J164" s="50"/>
      <c r="K164" s="47" t="s">
        <v>8</v>
      </c>
      <c r="L164" s="48">
        <v>3985419.6</v>
      </c>
    </row>
    <row r="165" spans="1:12" ht="81.599999999999994" hidden="1" x14ac:dyDescent="0.3">
      <c r="A165" s="42" t="s">
        <v>281</v>
      </c>
      <c r="B165" s="43" t="s">
        <v>298</v>
      </c>
      <c r="C165" s="43" t="s">
        <v>305</v>
      </c>
      <c r="D165" s="43" t="s">
        <v>300</v>
      </c>
      <c r="E165" s="44" t="s">
        <v>13</v>
      </c>
      <c r="F165" s="49">
        <v>9196.84</v>
      </c>
      <c r="G165" s="49"/>
      <c r="H165" s="44" t="s">
        <v>19</v>
      </c>
      <c r="I165" s="50" t="s">
        <v>14</v>
      </c>
      <c r="J165" s="50"/>
      <c r="K165" s="47" t="s">
        <v>8</v>
      </c>
      <c r="L165" s="48">
        <v>3994616.44</v>
      </c>
    </row>
    <row r="166" spans="1:12" ht="81.599999999999994" hidden="1" x14ac:dyDescent="0.3">
      <c r="A166" s="42" t="s">
        <v>281</v>
      </c>
      <c r="B166" s="43" t="s">
        <v>304</v>
      </c>
      <c r="C166" s="43" t="s">
        <v>306</v>
      </c>
      <c r="D166" s="43" t="s">
        <v>300</v>
      </c>
      <c r="E166" s="44" t="s">
        <v>13</v>
      </c>
      <c r="F166" s="49">
        <v>2398</v>
      </c>
      <c r="G166" s="49"/>
      <c r="H166" s="44" t="s">
        <v>19</v>
      </c>
      <c r="I166" s="50" t="s">
        <v>14</v>
      </c>
      <c r="J166" s="50"/>
      <c r="K166" s="47" t="s">
        <v>8</v>
      </c>
      <c r="L166" s="48">
        <v>3997014.44</v>
      </c>
    </row>
    <row r="167" spans="1:12" ht="81.599999999999994" hidden="1" x14ac:dyDescent="0.3">
      <c r="A167" s="42" t="s">
        <v>281</v>
      </c>
      <c r="B167" s="43" t="s">
        <v>304</v>
      </c>
      <c r="C167" s="43" t="s">
        <v>307</v>
      </c>
      <c r="D167" s="43" t="s">
        <v>300</v>
      </c>
      <c r="E167" s="44" t="s">
        <v>13</v>
      </c>
      <c r="F167" s="49">
        <v>1116656</v>
      </c>
      <c r="G167" s="49"/>
      <c r="H167" s="44" t="s">
        <v>19</v>
      </c>
      <c r="I167" s="50" t="s">
        <v>14</v>
      </c>
      <c r="J167" s="50"/>
      <c r="K167" s="47" t="s">
        <v>8</v>
      </c>
      <c r="L167" s="48">
        <v>5113670.4400000004</v>
      </c>
    </row>
    <row r="168" spans="1:12" ht="81.599999999999994" hidden="1" x14ac:dyDescent="0.3">
      <c r="A168" s="42" t="s">
        <v>281</v>
      </c>
      <c r="B168" s="43" t="s">
        <v>304</v>
      </c>
      <c r="C168" s="43" t="s">
        <v>308</v>
      </c>
      <c r="D168" s="43" t="s">
        <v>300</v>
      </c>
      <c r="E168" s="44" t="s">
        <v>13</v>
      </c>
      <c r="F168" s="49">
        <v>1124930</v>
      </c>
      <c r="G168" s="49"/>
      <c r="H168" s="44" t="s">
        <v>19</v>
      </c>
      <c r="I168" s="50" t="s">
        <v>14</v>
      </c>
      <c r="J168" s="50"/>
      <c r="K168" s="47" t="s">
        <v>8</v>
      </c>
      <c r="L168" s="48">
        <v>6238600.4400000004</v>
      </c>
    </row>
    <row r="169" spans="1:12" ht="81.599999999999994" hidden="1" x14ac:dyDescent="0.3">
      <c r="A169" s="42" t="s">
        <v>281</v>
      </c>
      <c r="B169" s="43" t="s">
        <v>304</v>
      </c>
      <c r="C169" s="43" t="s">
        <v>309</v>
      </c>
      <c r="D169" s="43" t="s">
        <v>300</v>
      </c>
      <c r="E169" s="44" t="s">
        <v>13</v>
      </c>
      <c r="F169" s="49">
        <v>1778088</v>
      </c>
      <c r="G169" s="49"/>
      <c r="H169" s="44" t="s">
        <v>19</v>
      </c>
      <c r="I169" s="50" t="s">
        <v>14</v>
      </c>
      <c r="J169" s="50"/>
      <c r="K169" s="47" t="s">
        <v>8</v>
      </c>
      <c r="L169" s="48">
        <v>8016688.4400000004</v>
      </c>
    </row>
    <row r="170" spans="1:12" ht="81.599999999999994" hidden="1" x14ac:dyDescent="0.3">
      <c r="A170" s="42" t="s">
        <v>281</v>
      </c>
      <c r="B170" s="43" t="s">
        <v>304</v>
      </c>
      <c r="C170" s="43" t="s">
        <v>310</v>
      </c>
      <c r="D170" s="43" t="s">
        <v>300</v>
      </c>
      <c r="E170" s="44" t="s">
        <v>13</v>
      </c>
      <c r="F170" s="49">
        <v>946082</v>
      </c>
      <c r="G170" s="49"/>
      <c r="H170" s="44" t="s">
        <v>19</v>
      </c>
      <c r="I170" s="50" t="s">
        <v>14</v>
      </c>
      <c r="J170" s="50"/>
      <c r="K170" s="47" t="s">
        <v>8</v>
      </c>
      <c r="L170" s="48">
        <v>8962770.4399999995</v>
      </c>
    </row>
    <row r="171" spans="1:12" ht="81.599999999999994" hidden="1" x14ac:dyDescent="0.3">
      <c r="A171" s="42" t="s">
        <v>281</v>
      </c>
      <c r="B171" s="43" t="s">
        <v>304</v>
      </c>
      <c r="C171" s="43" t="s">
        <v>311</v>
      </c>
      <c r="D171" s="43" t="s">
        <v>300</v>
      </c>
      <c r="E171" s="44" t="s">
        <v>13</v>
      </c>
      <c r="F171" s="49">
        <v>268000</v>
      </c>
      <c r="G171" s="49"/>
      <c r="H171" s="44" t="s">
        <v>19</v>
      </c>
      <c r="I171" s="50" t="s">
        <v>14</v>
      </c>
      <c r="J171" s="50"/>
      <c r="K171" s="47" t="s">
        <v>8</v>
      </c>
      <c r="L171" s="48">
        <v>9230770.4399999995</v>
      </c>
    </row>
    <row r="172" spans="1:12" ht="81.599999999999994" hidden="1" x14ac:dyDescent="0.3">
      <c r="A172" s="42" t="s">
        <v>281</v>
      </c>
      <c r="B172" s="43" t="s">
        <v>304</v>
      </c>
      <c r="C172" s="43" t="s">
        <v>312</v>
      </c>
      <c r="D172" s="43" t="s">
        <v>300</v>
      </c>
      <c r="E172" s="44" t="s">
        <v>13</v>
      </c>
      <c r="F172" s="49">
        <v>1258744</v>
      </c>
      <c r="G172" s="49"/>
      <c r="H172" s="44" t="s">
        <v>19</v>
      </c>
      <c r="I172" s="50" t="s">
        <v>14</v>
      </c>
      <c r="J172" s="50"/>
      <c r="K172" s="47" t="s">
        <v>8</v>
      </c>
      <c r="L172" s="48">
        <v>10489514.439999999</v>
      </c>
    </row>
    <row r="173" spans="1:12" ht="81.599999999999994" hidden="1" x14ac:dyDescent="0.3">
      <c r="A173" s="42" t="s">
        <v>281</v>
      </c>
      <c r="B173" s="43" t="s">
        <v>304</v>
      </c>
      <c r="C173" s="43" t="s">
        <v>313</v>
      </c>
      <c r="D173" s="43" t="s">
        <v>300</v>
      </c>
      <c r="E173" s="44" t="s">
        <v>13</v>
      </c>
      <c r="F173" s="49">
        <v>778536</v>
      </c>
      <c r="G173" s="49"/>
      <c r="H173" s="44" t="s">
        <v>19</v>
      </c>
      <c r="I173" s="50" t="s">
        <v>14</v>
      </c>
      <c r="J173" s="50"/>
      <c r="K173" s="47" t="s">
        <v>8</v>
      </c>
      <c r="L173" s="48">
        <v>11268050.439999999</v>
      </c>
    </row>
    <row r="174" spans="1:12" ht="81.599999999999994" hidden="1" x14ac:dyDescent="0.3">
      <c r="A174" s="42" t="s">
        <v>281</v>
      </c>
      <c r="B174" s="43" t="s">
        <v>304</v>
      </c>
      <c r="C174" s="43" t="s">
        <v>314</v>
      </c>
      <c r="D174" s="43" t="s">
        <v>300</v>
      </c>
      <c r="E174" s="44" t="s">
        <v>13</v>
      </c>
      <c r="F174" s="49">
        <v>661264</v>
      </c>
      <c r="G174" s="49"/>
      <c r="H174" s="44" t="s">
        <v>19</v>
      </c>
      <c r="I174" s="50" t="s">
        <v>14</v>
      </c>
      <c r="J174" s="50"/>
      <c r="K174" s="47" t="s">
        <v>8</v>
      </c>
      <c r="L174" s="48">
        <v>11929314.439999999</v>
      </c>
    </row>
    <row r="175" spans="1:12" ht="81.599999999999994" hidden="1" x14ac:dyDescent="0.3">
      <c r="A175" s="42" t="s">
        <v>281</v>
      </c>
      <c r="B175" s="43" t="s">
        <v>304</v>
      </c>
      <c r="C175" s="43" t="s">
        <v>315</v>
      </c>
      <c r="D175" s="43" t="s">
        <v>300</v>
      </c>
      <c r="E175" s="44" t="s">
        <v>13</v>
      </c>
      <c r="F175" s="52">
        <v>592</v>
      </c>
      <c r="G175" s="52"/>
      <c r="H175" s="44" t="s">
        <v>19</v>
      </c>
      <c r="I175" s="50" t="s">
        <v>14</v>
      </c>
      <c r="J175" s="50"/>
      <c r="K175" s="47" t="s">
        <v>8</v>
      </c>
      <c r="L175" s="48">
        <v>11929906.439999999</v>
      </c>
    </row>
    <row r="176" spans="1:12" ht="81.599999999999994" hidden="1" x14ac:dyDescent="0.3">
      <c r="A176" s="42" t="s">
        <v>281</v>
      </c>
      <c r="B176" s="43" t="s">
        <v>304</v>
      </c>
      <c r="C176" s="43" t="s">
        <v>316</v>
      </c>
      <c r="D176" s="43" t="s">
        <v>300</v>
      </c>
      <c r="E176" s="44" t="s">
        <v>13</v>
      </c>
      <c r="F176" s="52">
        <v>987</v>
      </c>
      <c r="G176" s="52"/>
      <c r="H176" s="44" t="s">
        <v>19</v>
      </c>
      <c r="I176" s="50" t="s">
        <v>14</v>
      </c>
      <c r="J176" s="50"/>
      <c r="K176" s="47" t="s">
        <v>8</v>
      </c>
      <c r="L176" s="48">
        <v>11930893.439999999</v>
      </c>
    </row>
    <row r="177" spans="1:12" ht="81.599999999999994" hidden="1" x14ac:dyDescent="0.3">
      <c r="A177" s="42" t="s">
        <v>281</v>
      </c>
      <c r="B177" s="43" t="s">
        <v>304</v>
      </c>
      <c r="C177" s="43" t="s">
        <v>317</v>
      </c>
      <c r="D177" s="43" t="s">
        <v>300</v>
      </c>
      <c r="E177" s="44" t="s">
        <v>13</v>
      </c>
      <c r="F177" s="49">
        <v>1383</v>
      </c>
      <c r="G177" s="49"/>
      <c r="H177" s="44" t="s">
        <v>19</v>
      </c>
      <c r="I177" s="50" t="s">
        <v>14</v>
      </c>
      <c r="J177" s="50"/>
      <c r="K177" s="47" t="s">
        <v>8</v>
      </c>
      <c r="L177" s="48">
        <v>11932276.439999999</v>
      </c>
    </row>
    <row r="178" spans="1:12" ht="81.599999999999994" hidden="1" x14ac:dyDescent="0.3">
      <c r="A178" s="42" t="s">
        <v>281</v>
      </c>
      <c r="B178" s="43" t="s">
        <v>304</v>
      </c>
      <c r="C178" s="43" t="s">
        <v>318</v>
      </c>
      <c r="D178" s="43" t="s">
        <v>300</v>
      </c>
      <c r="E178" s="44" t="s">
        <v>13</v>
      </c>
      <c r="F178" s="49">
        <v>1693</v>
      </c>
      <c r="G178" s="49"/>
      <c r="H178" s="44" t="s">
        <v>19</v>
      </c>
      <c r="I178" s="50" t="s">
        <v>14</v>
      </c>
      <c r="J178" s="50"/>
      <c r="K178" s="47" t="s">
        <v>8</v>
      </c>
      <c r="L178" s="48">
        <v>11933969.439999999</v>
      </c>
    </row>
    <row r="179" spans="1:12" ht="81.599999999999994" hidden="1" x14ac:dyDescent="0.3">
      <c r="A179" s="42" t="s">
        <v>281</v>
      </c>
      <c r="B179" s="43" t="s">
        <v>304</v>
      </c>
      <c r="C179" s="43" t="s">
        <v>319</v>
      </c>
      <c r="D179" s="43" t="s">
        <v>300</v>
      </c>
      <c r="E179" s="44" t="s">
        <v>13</v>
      </c>
      <c r="F179" s="49">
        <v>3386</v>
      </c>
      <c r="G179" s="49"/>
      <c r="H179" s="44" t="s">
        <v>19</v>
      </c>
      <c r="I179" s="50" t="s">
        <v>14</v>
      </c>
      <c r="J179" s="50"/>
      <c r="K179" s="47" t="s">
        <v>8</v>
      </c>
      <c r="L179" s="48">
        <v>11937355.439999999</v>
      </c>
    </row>
    <row r="180" spans="1:12" ht="81.599999999999994" hidden="1" x14ac:dyDescent="0.3">
      <c r="A180" s="42" t="s">
        <v>281</v>
      </c>
      <c r="B180" s="43" t="s">
        <v>304</v>
      </c>
      <c r="C180" s="43" t="s">
        <v>320</v>
      </c>
      <c r="D180" s="43" t="s">
        <v>300</v>
      </c>
      <c r="E180" s="44" t="s">
        <v>13</v>
      </c>
      <c r="F180" s="49">
        <v>99182</v>
      </c>
      <c r="G180" s="49"/>
      <c r="H180" s="44" t="s">
        <v>19</v>
      </c>
      <c r="I180" s="50" t="s">
        <v>14</v>
      </c>
      <c r="J180" s="50"/>
      <c r="K180" s="47" t="s">
        <v>8</v>
      </c>
      <c r="L180" s="48">
        <v>12036537.439999999</v>
      </c>
    </row>
    <row r="181" spans="1:12" ht="81.599999999999994" hidden="1" x14ac:dyDescent="0.3">
      <c r="A181" s="42" t="s">
        <v>281</v>
      </c>
      <c r="B181" s="43" t="s">
        <v>321</v>
      </c>
      <c r="C181" s="43" t="s">
        <v>322</v>
      </c>
      <c r="D181" s="43" t="s">
        <v>323</v>
      </c>
      <c r="E181" s="44" t="s">
        <v>13</v>
      </c>
      <c r="F181" s="49">
        <v>21556.22</v>
      </c>
      <c r="G181" s="49"/>
      <c r="H181" s="44" t="s">
        <v>19</v>
      </c>
      <c r="I181" s="50" t="s">
        <v>14</v>
      </c>
      <c r="J181" s="50"/>
      <c r="K181" s="47" t="s">
        <v>8</v>
      </c>
      <c r="L181" s="48">
        <v>12058093.66</v>
      </c>
    </row>
    <row r="182" spans="1:12" ht="81.599999999999994" hidden="1" x14ac:dyDescent="0.3">
      <c r="A182" s="42" t="s">
        <v>281</v>
      </c>
      <c r="B182" s="43" t="s">
        <v>321</v>
      </c>
      <c r="C182" s="43" t="s">
        <v>324</v>
      </c>
      <c r="D182" s="43" t="s">
        <v>323</v>
      </c>
      <c r="E182" s="44" t="s">
        <v>13</v>
      </c>
      <c r="F182" s="49">
        <v>312627.28000000003</v>
      </c>
      <c r="G182" s="49"/>
      <c r="H182" s="44" t="s">
        <v>19</v>
      </c>
      <c r="I182" s="50" t="s">
        <v>14</v>
      </c>
      <c r="J182" s="50"/>
      <c r="K182" s="47" t="s">
        <v>8</v>
      </c>
      <c r="L182" s="48">
        <v>12370720.939999999</v>
      </c>
    </row>
    <row r="183" spans="1:12" ht="81.599999999999994" hidden="1" x14ac:dyDescent="0.3">
      <c r="A183" s="42" t="s">
        <v>281</v>
      </c>
      <c r="B183" s="43" t="s">
        <v>321</v>
      </c>
      <c r="C183" s="43" t="s">
        <v>325</v>
      </c>
      <c r="D183" s="43" t="s">
        <v>323</v>
      </c>
      <c r="E183" s="44" t="s">
        <v>13</v>
      </c>
      <c r="F183" s="49">
        <v>68116.800000000003</v>
      </c>
      <c r="G183" s="49"/>
      <c r="H183" s="44" t="s">
        <v>19</v>
      </c>
      <c r="I183" s="50" t="s">
        <v>14</v>
      </c>
      <c r="J183" s="50"/>
      <c r="K183" s="47" t="s">
        <v>8</v>
      </c>
      <c r="L183" s="48">
        <v>12438837.74</v>
      </c>
    </row>
    <row r="184" spans="1:12" ht="81.599999999999994" hidden="1" x14ac:dyDescent="0.3">
      <c r="A184" s="42" t="s">
        <v>281</v>
      </c>
      <c r="B184" s="43" t="s">
        <v>321</v>
      </c>
      <c r="C184" s="43" t="s">
        <v>326</v>
      </c>
      <c r="D184" s="43" t="s">
        <v>323</v>
      </c>
      <c r="E184" s="44" t="s">
        <v>13</v>
      </c>
      <c r="F184" s="49">
        <v>17574.96</v>
      </c>
      <c r="G184" s="49"/>
      <c r="H184" s="44" t="s">
        <v>19</v>
      </c>
      <c r="I184" s="50" t="s">
        <v>14</v>
      </c>
      <c r="J184" s="50"/>
      <c r="K184" s="47" t="s">
        <v>8</v>
      </c>
      <c r="L184" s="48">
        <v>12456412.699999999</v>
      </c>
    </row>
    <row r="185" spans="1:12" ht="81.599999999999994" hidden="1" x14ac:dyDescent="0.3">
      <c r="A185" s="42" t="s">
        <v>281</v>
      </c>
      <c r="B185" s="43" t="s">
        <v>321</v>
      </c>
      <c r="C185" s="43" t="s">
        <v>327</v>
      </c>
      <c r="D185" s="43" t="s">
        <v>323</v>
      </c>
      <c r="E185" s="44" t="s">
        <v>13</v>
      </c>
      <c r="F185" s="49">
        <v>79908.929999999993</v>
      </c>
      <c r="G185" s="49"/>
      <c r="H185" s="44" t="s">
        <v>19</v>
      </c>
      <c r="I185" s="50" t="s">
        <v>14</v>
      </c>
      <c r="J185" s="50"/>
      <c r="K185" s="47" t="s">
        <v>8</v>
      </c>
      <c r="L185" s="48">
        <v>12536321.630000001</v>
      </c>
    </row>
    <row r="186" spans="1:12" ht="81.599999999999994" hidden="1" x14ac:dyDescent="0.3">
      <c r="A186" s="42" t="s">
        <v>281</v>
      </c>
      <c r="B186" s="43" t="s">
        <v>321</v>
      </c>
      <c r="C186" s="43" t="s">
        <v>328</v>
      </c>
      <c r="D186" s="43" t="s">
        <v>323</v>
      </c>
      <c r="E186" s="44" t="s">
        <v>13</v>
      </c>
      <c r="F186" s="49">
        <v>2541.04</v>
      </c>
      <c r="G186" s="49"/>
      <c r="H186" s="44" t="s">
        <v>19</v>
      </c>
      <c r="I186" s="50" t="s">
        <v>14</v>
      </c>
      <c r="J186" s="50"/>
      <c r="K186" s="47" t="s">
        <v>8</v>
      </c>
      <c r="L186" s="48">
        <v>12538862.67</v>
      </c>
    </row>
    <row r="187" spans="1:12" ht="81.599999999999994" hidden="1" x14ac:dyDescent="0.3">
      <c r="A187" s="42" t="s">
        <v>281</v>
      </c>
      <c r="B187" s="43" t="s">
        <v>321</v>
      </c>
      <c r="C187" s="43" t="s">
        <v>329</v>
      </c>
      <c r="D187" s="43" t="s">
        <v>323</v>
      </c>
      <c r="E187" s="44" t="s">
        <v>13</v>
      </c>
      <c r="F187" s="49">
        <v>45631.08</v>
      </c>
      <c r="G187" s="49"/>
      <c r="H187" s="44" t="s">
        <v>19</v>
      </c>
      <c r="I187" s="50" t="s">
        <v>14</v>
      </c>
      <c r="J187" s="50"/>
      <c r="K187" s="47" t="s">
        <v>8</v>
      </c>
      <c r="L187" s="48">
        <v>12584493.75</v>
      </c>
    </row>
    <row r="188" spans="1:12" ht="81.599999999999994" hidden="1" x14ac:dyDescent="0.3">
      <c r="A188" s="42" t="s">
        <v>281</v>
      </c>
      <c r="B188" s="43" t="s">
        <v>321</v>
      </c>
      <c r="C188" s="43" t="s">
        <v>330</v>
      </c>
      <c r="D188" s="43" t="s">
        <v>323</v>
      </c>
      <c r="E188" s="44" t="s">
        <v>13</v>
      </c>
      <c r="F188" s="49">
        <v>45556.11</v>
      </c>
      <c r="G188" s="49"/>
      <c r="H188" s="44" t="s">
        <v>19</v>
      </c>
      <c r="I188" s="50" t="s">
        <v>14</v>
      </c>
      <c r="J188" s="50"/>
      <c r="K188" s="47" t="s">
        <v>8</v>
      </c>
      <c r="L188" s="48">
        <v>12630049.859999999</v>
      </c>
    </row>
    <row r="189" spans="1:12" ht="81.599999999999994" hidden="1" x14ac:dyDescent="0.3">
      <c r="A189" s="42" t="s">
        <v>281</v>
      </c>
      <c r="B189" s="43" t="s">
        <v>321</v>
      </c>
      <c r="C189" s="43" t="s">
        <v>331</v>
      </c>
      <c r="D189" s="43" t="s">
        <v>323</v>
      </c>
      <c r="E189" s="44" t="s">
        <v>13</v>
      </c>
      <c r="F189" s="49">
        <v>911955</v>
      </c>
      <c r="G189" s="49"/>
      <c r="H189" s="44" t="s">
        <v>19</v>
      </c>
      <c r="I189" s="50" t="s">
        <v>14</v>
      </c>
      <c r="J189" s="50"/>
      <c r="K189" s="47" t="s">
        <v>8</v>
      </c>
      <c r="L189" s="48">
        <v>13542004.859999999</v>
      </c>
    </row>
    <row r="190" spans="1:12" ht="81.599999999999994" hidden="1" x14ac:dyDescent="0.3">
      <c r="A190" s="42" t="s">
        <v>281</v>
      </c>
      <c r="B190" s="43" t="s">
        <v>321</v>
      </c>
      <c r="C190" s="43" t="s">
        <v>332</v>
      </c>
      <c r="D190" s="43" t="s">
        <v>323</v>
      </c>
      <c r="E190" s="44" t="s">
        <v>13</v>
      </c>
      <c r="F190" s="49">
        <v>631275.80000000005</v>
      </c>
      <c r="G190" s="49"/>
      <c r="H190" s="44" t="s">
        <v>19</v>
      </c>
      <c r="I190" s="50" t="s">
        <v>14</v>
      </c>
      <c r="J190" s="50"/>
      <c r="K190" s="47" t="s">
        <v>8</v>
      </c>
      <c r="L190" s="48">
        <v>14173280.66</v>
      </c>
    </row>
    <row r="191" spans="1:12" ht="81.599999999999994" hidden="1" x14ac:dyDescent="0.3">
      <c r="A191" s="42" t="s">
        <v>281</v>
      </c>
      <c r="B191" s="43" t="s">
        <v>321</v>
      </c>
      <c r="C191" s="43" t="s">
        <v>333</v>
      </c>
      <c r="D191" s="43" t="s">
        <v>323</v>
      </c>
      <c r="E191" s="44" t="s">
        <v>13</v>
      </c>
      <c r="F191" s="49">
        <v>923304.42</v>
      </c>
      <c r="G191" s="49"/>
      <c r="H191" s="44" t="s">
        <v>19</v>
      </c>
      <c r="I191" s="50" t="s">
        <v>14</v>
      </c>
      <c r="J191" s="50"/>
      <c r="K191" s="47" t="s">
        <v>8</v>
      </c>
      <c r="L191" s="48">
        <v>15096585.08</v>
      </c>
    </row>
    <row r="192" spans="1:12" ht="81.599999999999994" hidden="1" x14ac:dyDescent="0.3">
      <c r="A192" s="42" t="s">
        <v>281</v>
      </c>
      <c r="B192" s="43" t="s">
        <v>321</v>
      </c>
      <c r="C192" s="43" t="s">
        <v>334</v>
      </c>
      <c r="D192" s="43" t="s">
        <v>323</v>
      </c>
      <c r="E192" s="44" t="s">
        <v>13</v>
      </c>
      <c r="F192" s="49">
        <v>584993.34</v>
      </c>
      <c r="G192" s="49"/>
      <c r="H192" s="44" t="s">
        <v>19</v>
      </c>
      <c r="I192" s="50" t="s">
        <v>14</v>
      </c>
      <c r="J192" s="50"/>
      <c r="K192" s="47" t="s">
        <v>8</v>
      </c>
      <c r="L192" s="48">
        <v>15681578.42</v>
      </c>
    </row>
    <row r="193" spans="1:12" ht="81.599999999999994" hidden="1" x14ac:dyDescent="0.3">
      <c r="A193" s="42" t="s">
        <v>281</v>
      </c>
      <c r="B193" s="43" t="s">
        <v>335</v>
      </c>
      <c r="C193" s="43" t="s">
        <v>336</v>
      </c>
      <c r="D193" s="43" t="s">
        <v>323</v>
      </c>
      <c r="E193" s="44" t="s">
        <v>13</v>
      </c>
      <c r="F193" s="49">
        <v>396246.17</v>
      </c>
      <c r="G193" s="49"/>
      <c r="H193" s="44" t="s">
        <v>19</v>
      </c>
      <c r="I193" s="50" t="s">
        <v>14</v>
      </c>
      <c r="J193" s="50"/>
      <c r="K193" s="47" t="s">
        <v>8</v>
      </c>
      <c r="L193" s="48">
        <v>16077824.59</v>
      </c>
    </row>
    <row r="194" spans="1:12" ht="81.599999999999994" hidden="1" x14ac:dyDescent="0.3">
      <c r="A194" s="42" t="s">
        <v>281</v>
      </c>
      <c r="B194" s="43" t="s">
        <v>321</v>
      </c>
      <c r="C194" s="43" t="s">
        <v>336</v>
      </c>
      <c r="D194" s="43" t="s">
        <v>323</v>
      </c>
      <c r="E194" s="44" t="s">
        <v>13</v>
      </c>
      <c r="F194" s="49">
        <v>129031.87</v>
      </c>
      <c r="G194" s="49"/>
      <c r="H194" s="44" t="s">
        <v>19</v>
      </c>
      <c r="I194" s="50" t="s">
        <v>14</v>
      </c>
      <c r="J194" s="50"/>
      <c r="K194" s="47" t="s">
        <v>8</v>
      </c>
      <c r="L194" s="48">
        <v>16206856.460000001</v>
      </c>
    </row>
    <row r="195" spans="1:12" ht="81.599999999999994" hidden="1" x14ac:dyDescent="0.3">
      <c r="A195" s="42" t="s">
        <v>281</v>
      </c>
      <c r="B195" s="43" t="s">
        <v>335</v>
      </c>
      <c r="C195" s="43" t="s">
        <v>337</v>
      </c>
      <c r="D195" s="43" t="s">
        <v>323</v>
      </c>
      <c r="E195" s="44" t="s">
        <v>13</v>
      </c>
      <c r="F195" s="49">
        <v>1053480.8899999999</v>
      </c>
      <c r="G195" s="49"/>
      <c r="H195" s="44" t="s">
        <v>19</v>
      </c>
      <c r="I195" s="50" t="s">
        <v>14</v>
      </c>
      <c r="J195" s="50"/>
      <c r="K195" s="47" t="s">
        <v>8</v>
      </c>
      <c r="L195" s="48">
        <v>17260337.350000001</v>
      </c>
    </row>
    <row r="196" spans="1:12" ht="81.599999999999994" hidden="1" x14ac:dyDescent="0.3">
      <c r="A196" s="42" t="s">
        <v>281</v>
      </c>
      <c r="B196" s="43" t="s">
        <v>335</v>
      </c>
      <c r="C196" s="43" t="s">
        <v>338</v>
      </c>
      <c r="D196" s="43" t="s">
        <v>323</v>
      </c>
      <c r="E196" s="44" t="s">
        <v>13</v>
      </c>
      <c r="F196" s="49">
        <v>1297564.8</v>
      </c>
      <c r="G196" s="49"/>
      <c r="H196" s="44" t="s">
        <v>19</v>
      </c>
      <c r="I196" s="50" t="s">
        <v>14</v>
      </c>
      <c r="J196" s="50"/>
      <c r="K196" s="47" t="s">
        <v>8</v>
      </c>
      <c r="L196" s="48">
        <v>18557902.149999999</v>
      </c>
    </row>
    <row r="197" spans="1:12" ht="81.599999999999994" hidden="1" x14ac:dyDescent="0.3">
      <c r="A197" s="42" t="s">
        <v>281</v>
      </c>
      <c r="B197" s="43" t="s">
        <v>335</v>
      </c>
      <c r="C197" s="43" t="s">
        <v>339</v>
      </c>
      <c r="D197" s="43" t="s">
        <v>323</v>
      </c>
      <c r="E197" s="44" t="s">
        <v>13</v>
      </c>
      <c r="F197" s="49">
        <v>619940.55000000005</v>
      </c>
      <c r="G197" s="49"/>
      <c r="H197" s="44" t="s">
        <v>19</v>
      </c>
      <c r="I197" s="50" t="s">
        <v>14</v>
      </c>
      <c r="J197" s="50"/>
      <c r="K197" s="47" t="s">
        <v>8</v>
      </c>
      <c r="L197" s="48">
        <v>19177842.699999999</v>
      </c>
    </row>
    <row r="198" spans="1:12" ht="81.599999999999994" hidden="1" x14ac:dyDescent="0.3">
      <c r="A198" s="42" t="s">
        <v>281</v>
      </c>
      <c r="B198" s="43" t="s">
        <v>335</v>
      </c>
      <c r="C198" s="43" t="s">
        <v>340</v>
      </c>
      <c r="D198" s="43" t="s">
        <v>323</v>
      </c>
      <c r="E198" s="44" t="s">
        <v>13</v>
      </c>
      <c r="F198" s="49">
        <v>7107.84</v>
      </c>
      <c r="G198" s="49"/>
      <c r="H198" s="44" t="s">
        <v>19</v>
      </c>
      <c r="I198" s="50" t="s">
        <v>14</v>
      </c>
      <c r="J198" s="50"/>
      <c r="K198" s="47" t="s">
        <v>8</v>
      </c>
      <c r="L198" s="48">
        <v>19184950.539999999</v>
      </c>
    </row>
    <row r="199" spans="1:12" ht="81.599999999999994" hidden="1" x14ac:dyDescent="0.3">
      <c r="A199" s="42" t="s">
        <v>281</v>
      </c>
      <c r="B199" s="43" t="s">
        <v>335</v>
      </c>
      <c r="C199" s="43" t="s">
        <v>341</v>
      </c>
      <c r="D199" s="43" t="s">
        <v>323</v>
      </c>
      <c r="E199" s="44" t="s">
        <v>13</v>
      </c>
      <c r="F199" s="49">
        <v>7892.24</v>
      </c>
      <c r="G199" s="49"/>
      <c r="H199" s="44" t="s">
        <v>19</v>
      </c>
      <c r="I199" s="50" t="s">
        <v>14</v>
      </c>
      <c r="J199" s="50"/>
      <c r="K199" s="47" t="s">
        <v>8</v>
      </c>
      <c r="L199" s="48">
        <v>19192842.780000001</v>
      </c>
    </row>
    <row r="200" spans="1:12" ht="81.599999999999994" hidden="1" x14ac:dyDescent="0.3">
      <c r="A200" s="42" t="s">
        <v>281</v>
      </c>
      <c r="B200" s="43" t="s">
        <v>335</v>
      </c>
      <c r="C200" s="43" t="s">
        <v>342</v>
      </c>
      <c r="D200" s="43" t="s">
        <v>323</v>
      </c>
      <c r="E200" s="44" t="s">
        <v>13</v>
      </c>
      <c r="F200" s="49">
        <v>2541.04</v>
      </c>
      <c r="G200" s="49"/>
      <c r="H200" s="44" t="s">
        <v>19</v>
      </c>
      <c r="I200" s="50" t="s">
        <v>14</v>
      </c>
      <c r="J200" s="50"/>
      <c r="K200" s="47" t="s">
        <v>8</v>
      </c>
      <c r="L200" s="48">
        <v>19195383.82</v>
      </c>
    </row>
    <row r="201" spans="1:12" ht="81.599999999999994" hidden="1" x14ac:dyDescent="0.3">
      <c r="A201" s="42" t="s">
        <v>281</v>
      </c>
      <c r="B201" s="43" t="s">
        <v>335</v>
      </c>
      <c r="C201" s="43" t="s">
        <v>343</v>
      </c>
      <c r="D201" s="43" t="s">
        <v>323</v>
      </c>
      <c r="E201" s="44" t="s">
        <v>13</v>
      </c>
      <c r="F201" s="49">
        <v>19358.64</v>
      </c>
      <c r="G201" s="49"/>
      <c r="H201" s="44" t="s">
        <v>19</v>
      </c>
      <c r="I201" s="50" t="s">
        <v>14</v>
      </c>
      <c r="J201" s="50"/>
      <c r="K201" s="47" t="s">
        <v>8</v>
      </c>
      <c r="L201" s="48">
        <v>19214742.460000001</v>
      </c>
    </row>
    <row r="202" spans="1:12" ht="81.599999999999994" hidden="1" x14ac:dyDescent="0.3">
      <c r="A202" s="42" t="s">
        <v>281</v>
      </c>
      <c r="B202" s="43" t="s">
        <v>335</v>
      </c>
      <c r="C202" s="43" t="s">
        <v>344</v>
      </c>
      <c r="D202" s="43" t="s">
        <v>323</v>
      </c>
      <c r="E202" s="44" t="s">
        <v>13</v>
      </c>
      <c r="F202" s="49">
        <v>10158.719999999999</v>
      </c>
      <c r="G202" s="49"/>
      <c r="H202" s="44" t="s">
        <v>19</v>
      </c>
      <c r="I202" s="50" t="s">
        <v>14</v>
      </c>
      <c r="J202" s="50"/>
      <c r="K202" s="47" t="s">
        <v>8</v>
      </c>
      <c r="L202" s="48">
        <v>19224901.18</v>
      </c>
    </row>
    <row r="203" spans="1:12" ht="81.599999999999994" hidden="1" x14ac:dyDescent="0.3">
      <c r="A203" s="42" t="s">
        <v>281</v>
      </c>
      <c r="B203" s="43" t="s">
        <v>335</v>
      </c>
      <c r="C203" s="43" t="s">
        <v>345</v>
      </c>
      <c r="D203" s="43" t="s">
        <v>323</v>
      </c>
      <c r="E203" s="44" t="s">
        <v>13</v>
      </c>
      <c r="F203" s="49">
        <v>33855.699999999997</v>
      </c>
      <c r="G203" s="49"/>
      <c r="H203" s="44" t="s">
        <v>19</v>
      </c>
      <c r="I203" s="50" t="s">
        <v>14</v>
      </c>
      <c r="J203" s="50"/>
      <c r="K203" s="47" t="s">
        <v>8</v>
      </c>
      <c r="L203" s="48">
        <v>19258756.879999999</v>
      </c>
    </row>
    <row r="204" spans="1:12" ht="81.599999999999994" hidden="1" x14ac:dyDescent="0.3">
      <c r="A204" s="42" t="s">
        <v>281</v>
      </c>
      <c r="B204" s="43" t="s">
        <v>335</v>
      </c>
      <c r="C204" s="43" t="s">
        <v>346</v>
      </c>
      <c r="D204" s="43" t="s">
        <v>323</v>
      </c>
      <c r="E204" s="44" t="s">
        <v>13</v>
      </c>
      <c r="F204" s="49">
        <v>32161.200000000001</v>
      </c>
      <c r="G204" s="49"/>
      <c r="H204" s="44" t="s">
        <v>19</v>
      </c>
      <c r="I204" s="50" t="s">
        <v>14</v>
      </c>
      <c r="J204" s="50"/>
      <c r="K204" s="47" t="s">
        <v>8</v>
      </c>
      <c r="L204" s="48">
        <v>19290918.079999998</v>
      </c>
    </row>
    <row r="205" spans="1:12" ht="81.599999999999994" hidden="1" x14ac:dyDescent="0.3">
      <c r="A205" s="42" t="s">
        <v>281</v>
      </c>
      <c r="B205" s="43" t="s">
        <v>335</v>
      </c>
      <c r="C205" s="43" t="s">
        <v>347</v>
      </c>
      <c r="D205" s="43" t="s">
        <v>323</v>
      </c>
      <c r="E205" s="44" t="s">
        <v>13</v>
      </c>
      <c r="F205" s="49">
        <v>21155.919999999998</v>
      </c>
      <c r="G205" s="49"/>
      <c r="H205" s="44" t="s">
        <v>19</v>
      </c>
      <c r="I205" s="50" t="s">
        <v>14</v>
      </c>
      <c r="J205" s="50"/>
      <c r="K205" s="47" t="s">
        <v>8</v>
      </c>
      <c r="L205" s="48">
        <v>19312074</v>
      </c>
    </row>
    <row r="206" spans="1:12" ht="81.599999999999994" hidden="1" x14ac:dyDescent="0.3">
      <c r="A206" s="42" t="s">
        <v>281</v>
      </c>
      <c r="B206" s="43" t="s">
        <v>335</v>
      </c>
      <c r="C206" s="43" t="s">
        <v>348</v>
      </c>
      <c r="D206" s="43" t="s">
        <v>323</v>
      </c>
      <c r="E206" s="44" t="s">
        <v>13</v>
      </c>
      <c r="F206" s="49">
        <v>44662.2</v>
      </c>
      <c r="G206" s="49"/>
      <c r="H206" s="44" t="s">
        <v>19</v>
      </c>
      <c r="I206" s="50" t="s">
        <v>14</v>
      </c>
      <c r="J206" s="50"/>
      <c r="K206" s="47" t="s">
        <v>8</v>
      </c>
      <c r="L206" s="48">
        <v>19356736.199999999</v>
      </c>
    </row>
    <row r="207" spans="1:12" ht="81.599999999999994" hidden="1" x14ac:dyDescent="0.3">
      <c r="A207" s="42" t="s">
        <v>281</v>
      </c>
      <c r="B207" s="43" t="s">
        <v>335</v>
      </c>
      <c r="C207" s="43" t="s">
        <v>349</v>
      </c>
      <c r="D207" s="43" t="s">
        <v>323</v>
      </c>
      <c r="E207" s="44" t="s">
        <v>13</v>
      </c>
      <c r="F207" s="49">
        <v>10437.32</v>
      </c>
      <c r="G207" s="49"/>
      <c r="H207" s="44" t="s">
        <v>19</v>
      </c>
      <c r="I207" s="50" t="s">
        <v>14</v>
      </c>
      <c r="J207" s="50"/>
      <c r="K207" s="47" t="s">
        <v>8</v>
      </c>
      <c r="L207" s="48">
        <v>19367173.52</v>
      </c>
    </row>
    <row r="208" spans="1:12" ht="81.599999999999994" hidden="1" x14ac:dyDescent="0.3">
      <c r="A208" s="42" t="s">
        <v>281</v>
      </c>
      <c r="B208" s="43" t="s">
        <v>335</v>
      </c>
      <c r="C208" s="43" t="s">
        <v>350</v>
      </c>
      <c r="D208" s="43" t="s">
        <v>323</v>
      </c>
      <c r="E208" s="44" t="s">
        <v>13</v>
      </c>
      <c r="F208" s="49">
        <v>9494.06</v>
      </c>
      <c r="G208" s="49"/>
      <c r="H208" s="44" t="s">
        <v>19</v>
      </c>
      <c r="I208" s="50" t="s">
        <v>14</v>
      </c>
      <c r="J208" s="50"/>
      <c r="K208" s="47" t="s">
        <v>8</v>
      </c>
      <c r="L208" s="48">
        <v>19376667.579999998</v>
      </c>
    </row>
    <row r="209" spans="1:12" ht="81.599999999999994" hidden="1" x14ac:dyDescent="0.3">
      <c r="A209" s="42" t="s">
        <v>281</v>
      </c>
      <c r="B209" s="43" t="s">
        <v>335</v>
      </c>
      <c r="C209" s="43" t="s">
        <v>351</v>
      </c>
      <c r="D209" s="43" t="s">
        <v>323</v>
      </c>
      <c r="E209" s="44" t="s">
        <v>13</v>
      </c>
      <c r="F209" s="49">
        <v>24262.240000000002</v>
      </c>
      <c r="G209" s="49"/>
      <c r="H209" s="44" t="s">
        <v>19</v>
      </c>
      <c r="I209" s="50" t="s">
        <v>14</v>
      </c>
      <c r="J209" s="50"/>
      <c r="K209" s="47" t="s">
        <v>8</v>
      </c>
      <c r="L209" s="48">
        <v>19400929.82</v>
      </c>
    </row>
    <row r="210" spans="1:12" ht="61.2" hidden="1" x14ac:dyDescent="0.3">
      <c r="A210" s="42" t="s">
        <v>281</v>
      </c>
      <c r="B210" s="43" t="s">
        <v>352</v>
      </c>
      <c r="C210" s="43" t="s">
        <v>353</v>
      </c>
      <c r="D210" s="43" t="s">
        <v>354</v>
      </c>
      <c r="E210" s="44" t="s">
        <v>13</v>
      </c>
      <c r="F210" s="49">
        <v>2020.35</v>
      </c>
      <c r="G210" s="49"/>
      <c r="H210" s="44" t="s">
        <v>13</v>
      </c>
      <c r="I210" s="46">
        <v>2020.35</v>
      </c>
      <c r="J210" s="46"/>
      <c r="K210" s="47" t="s">
        <v>8</v>
      </c>
      <c r="L210" s="48">
        <v>239113.62</v>
      </c>
    </row>
    <row r="211" spans="1:12" ht="61.2" hidden="1" x14ac:dyDescent="0.3">
      <c r="A211" s="42" t="s">
        <v>281</v>
      </c>
      <c r="B211" s="43" t="s">
        <v>355</v>
      </c>
      <c r="C211" s="43" t="s">
        <v>356</v>
      </c>
      <c r="D211" s="43" t="s">
        <v>357</v>
      </c>
      <c r="E211" s="44" t="s">
        <v>13</v>
      </c>
      <c r="F211" s="49">
        <v>12155.78</v>
      </c>
      <c r="G211" s="49"/>
      <c r="H211" s="44" t="s">
        <v>13</v>
      </c>
      <c r="I211" s="50" t="s">
        <v>14</v>
      </c>
      <c r="J211" s="50"/>
      <c r="K211" s="47" t="s">
        <v>8</v>
      </c>
      <c r="L211" s="48">
        <v>2515677.7799999998</v>
      </c>
    </row>
    <row r="212" spans="1:12" ht="61.2" hidden="1" x14ac:dyDescent="0.3">
      <c r="A212" s="42" t="s">
        <v>281</v>
      </c>
      <c r="B212" s="43" t="s">
        <v>355</v>
      </c>
      <c r="C212" s="43" t="s">
        <v>356</v>
      </c>
      <c r="D212" s="43" t="s">
        <v>357</v>
      </c>
      <c r="E212" s="44" t="s">
        <v>13</v>
      </c>
      <c r="F212" s="45" t="s">
        <v>14</v>
      </c>
      <c r="G212" s="45"/>
      <c r="H212" s="44" t="s">
        <v>13</v>
      </c>
      <c r="I212" s="46">
        <v>12155.78</v>
      </c>
      <c r="J212" s="46"/>
      <c r="K212" s="47" t="s">
        <v>8</v>
      </c>
      <c r="L212" s="48">
        <v>4613961.6100000003</v>
      </c>
    </row>
    <row r="213" spans="1:12" ht="61.2" hidden="1" x14ac:dyDescent="0.3">
      <c r="A213" s="42" t="s">
        <v>281</v>
      </c>
      <c r="B213" s="43" t="s">
        <v>355</v>
      </c>
      <c r="C213" s="43" t="s">
        <v>358</v>
      </c>
      <c r="D213" s="43" t="s">
        <v>359</v>
      </c>
      <c r="E213" s="44" t="s">
        <v>13</v>
      </c>
      <c r="F213" s="45" t="s">
        <v>14</v>
      </c>
      <c r="G213" s="45"/>
      <c r="H213" s="44" t="s">
        <v>13</v>
      </c>
      <c r="I213" s="46">
        <v>1760.08</v>
      </c>
      <c r="J213" s="46"/>
      <c r="K213" s="47" t="s">
        <v>8</v>
      </c>
      <c r="L213" s="48">
        <v>4612201.53</v>
      </c>
    </row>
    <row r="214" spans="1:12" ht="61.2" hidden="1" x14ac:dyDescent="0.3">
      <c r="A214" s="42" t="s">
        <v>281</v>
      </c>
      <c r="B214" s="43" t="s">
        <v>355</v>
      </c>
      <c r="C214" s="43" t="s">
        <v>358</v>
      </c>
      <c r="D214" s="43" t="s">
        <v>359</v>
      </c>
      <c r="E214" s="44" t="s">
        <v>13</v>
      </c>
      <c r="F214" s="49">
        <v>1760.08</v>
      </c>
      <c r="G214" s="49"/>
      <c r="H214" s="44" t="s">
        <v>13</v>
      </c>
      <c r="I214" s="50" t="s">
        <v>14</v>
      </c>
      <c r="J214" s="50"/>
      <c r="K214" s="47" t="s">
        <v>8</v>
      </c>
      <c r="L214" s="48">
        <v>2517437.86</v>
      </c>
    </row>
    <row r="215" spans="1:12" ht="81.599999999999994" x14ac:dyDescent="0.3">
      <c r="A215" s="42" t="s">
        <v>9</v>
      </c>
      <c r="B215" s="43" t="s">
        <v>360</v>
      </c>
      <c r="C215" s="43" t="s">
        <v>99</v>
      </c>
      <c r="D215" s="43" t="s">
        <v>299</v>
      </c>
      <c r="E215" s="44" t="s">
        <v>101</v>
      </c>
      <c r="F215" s="45" t="s">
        <v>14</v>
      </c>
      <c r="G215" s="45"/>
      <c r="H215" s="44" t="s">
        <v>13</v>
      </c>
      <c r="I215" s="46">
        <v>1094212</v>
      </c>
      <c r="J215" s="46"/>
      <c r="K215" s="47" t="s">
        <v>8</v>
      </c>
      <c r="L215" s="48">
        <v>18306717.82</v>
      </c>
    </row>
    <row r="216" spans="1:12" ht="81.599999999999994" x14ac:dyDescent="0.3">
      <c r="A216" s="42" t="s">
        <v>9</v>
      </c>
      <c r="B216" s="43" t="s">
        <v>360</v>
      </c>
      <c r="C216" s="43" t="s">
        <v>99</v>
      </c>
      <c r="D216" s="43" t="s">
        <v>301</v>
      </c>
      <c r="E216" s="44" t="s">
        <v>101</v>
      </c>
      <c r="F216" s="45" t="s">
        <v>14</v>
      </c>
      <c r="G216" s="45"/>
      <c r="H216" s="44" t="s">
        <v>13</v>
      </c>
      <c r="I216" s="46">
        <v>136752</v>
      </c>
      <c r="J216" s="46"/>
      <c r="K216" s="47" t="s">
        <v>8</v>
      </c>
      <c r="L216" s="48">
        <v>18169965.82</v>
      </c>
    </row>
    <row r="217" spans="1:12" ht="81.599999999999994" x14ac:dyDescent="0.3">
      <c r="A217" s="42" t="s">
        <v>9</v>
      </c>
      <c r="B217" s="43" t="s">
        <v>360</v>
      </c>
      <c r="C217" s="43" t="s">
        <v>99</v>
      </c>
      <c r="D217" s="43" t="s">
        <v>302</v>
      </c>
      <c r="E217" s="44" t="s">
        <v>101</v>
      </c>
      <c r="F217" s="45" t="s">
        <v>14</v>
      </c>
      <c r="G217" s="45"/>
      <c r="H217" s="44" t="s">
        <v>13</v>
      </c>
      <c r="I217" s="46">
        <v>24156</v>
      </c>
      <c r="J217" s="46"/>
      <c r="K217" s="47" t="s">
        <v>8</v>
      </c>
      <c r="L217" s="48">
        <v>18145809.82</v>
      </c>
    </row>
    <row r="218" spans="1:12" ht="81.599999999999994" x14ac:dyDescent="0.3">
      <c r="A218" s="42" t="s">
        <v>9</v>
      </c>
      <c r="B218" s="43" t="s">
        <v>360</v>
      </c>
      <c r="C218" s="43" t="s">
        <v>99</v>
      </c>
      <c r="D218" s="43" t="s">
        <v>303</v>
      </c>
      <c r="E218" s="44" t="s">
        <v>101</v>
      </c>
      <c r="F218" s="45" t="s">
        <v>14</v>
      </c>
      <c r="G218" s="45"/>
      <c r="H218" s="44" t="s">
        <v>13</v>
      </c>
      <c r="I218" s="46">
        <v>228984</v>
      </c>
      <c r="J218" s="46"/>
      <c r="K218" s="47" t="s">
        <v>8</v>
      </c>
      <c r="L218" s="48">
        <v>17916825.82</v>
      </c>
    </row>
    <row r="219" spans="1:12" ht="81.599999999999994" x14ac:dyDescent="0.3">
      <c r="A219" s="42" t="s">
        <v>9</v>
      </c>
      <c r="B219" s="43" t="s">
        <v>360</v>
      </c>
      <c r="C219" s="43" t="s">
        <v>99</v>
      </c>
      <c r="D219" s="43" t="s">
        <v>305</v>
      </c>
      <c r="E219" s="44" t="s">
        <v>101</v>
      </c>
      <c r="F219" s="45" t="s">
        <v>14</v>
      </c>
      <c r="G219" s="45"/>
      <c r="H219" s="44" t="s">
        <v>13</v>
      </c>
      <c r="I219" s="46">
        <v>139683</v>
      </c>
      <c r="J219" s="46"/>
      <c r="K219" s="47" t="s">
        <v>8</v>
      </c>
      <c r="L219" s="48">
        <v>17777142.82</v>
      </c>
    </row>
    <row r="220" spans="1:12" ht="81.599999999999994" x14ac:dyDescent="0.3">
      <c r="A220" s="42" t="s">
        <v>9</v>
      </c>
      <c r="B220" s="43" t="s">
        <v>360</v>
      </c>
      <c r="C220" s="43" t="s">
        <v>99</v>
      </c>
      <c r="D220" s="43" t="s">
        <v>306</v>
      </c>
      <c r="E220" s="44" t="s">
        <v>101</v>
      </c>
      <c r="F220" s="45" t="s">
        <v>14</v>
      </c>
      <c r="G220" s="45"/>
      <c r="H220" s="44" t="s">
        <v>13</v>
      </c>
      <c r="I220" s="46">
        <v>2398</v>
      </c>
      <c r="J220" s="46"/>
      <c r="K220" s="47" t="s">
        <v>8</v>
      </c>
      <c r="L220" s="48">
        <v>17774744.82</v>
      </c>
    </row>
    <row r="221" spans="1:12" ht="81.599999999999994" x14ac:dyDescent="0.3">
      <c r="A221" s="42" t="s">
        <v>9</v>
      </c>
      <c r="B221" s="43" t="s">
        <v>360</v>
      </c>
      <c r="C221" s="43" t="s">
        <v>99</v>
      </c>
      <c r="D221" s="43" t="s">
        <v>307</v>
      </c>
      <c r="E221" s="44" t="s">
        <v>101</v>
      </c>
      <c r="F221" s="45" t="s">
        <v>14</v>
      </c>
      <c r="G221" s="45"/>
      <c r="H221" s="44" t="s">
        <v>13</v>
      </c>
      <c r="I221" s="46">
        <v>1116656</v>
      </c>
      <c r="J221" s="46"/>
      <c r="K221" s="47" t="s">
        <v>8</v>
      </c>
      <c r="L221" s="48">
        <v>16658088.82</v>
      </c>
    </row>
    <row r="222" spans="1:12" ht="81.599999999999994" x14ac:dyDescent="0.3">
      <c r="A222" s="42" t="s">
        <v>9</v>
      </c>
      <c r="B222" s="43" t="s">
        <v>360</v>
      </c>
      <c r="C222" s="43" t="s">
        <v>99</v>
      </c>
      <c r="D222" s="43" t="s">
        <v>308</v>
      </c>
      <c r="E222" s="44" t="s">
        <v>101</v>
      </c>
      <c r="F222" s="45" t="s">
        <v>14</v>
      </c>
      <c r="G222" s="45"/>
      <c r="H222" s="44" t="s">
        <v>13</v>
      </c>
      <c r="I222" s="46">
        <v>1124930</v>
      </c>
      <c r="J222" s="46"/>
      <c r="K222" s="47" t="s">
        <v>8</v>
      </c>
      <c r="L222" s="48">
        <v>15533158.82</v>
      </c>
    </row>
    <row r="223" spans="1:12" ht="81.599999999999994" x14ac:dyDescent="0.3">
      <c r="A223" s="42" t="s">
        <v>9</v>
      </c>
      <c r="B223" s="43" t="s">
        <v>360</v>
      </c>
      <c r="C223" s="43" t="s">
        <v>99</v>
      </c>
      <c r="D223" s="43" t="s">
        <v>309</v>
      </c>
      <c r="E223" s="44" t="s">
        <v>101</v>
      </c>
      <c r="F223" s="45" t="s">
        <v>14</v>
      </c>
      <c r="G223" s="45"/>
      <c r="H223" s="44" t="s">
        <v>13</v>
      </c>
      <c r="I223" s="46">
        <v>1778088</v>
      </c>
      <c r="J223" s="46"/>
      <c r="K223" s="47" t="s">
        <v>8</v>
      </c>
      <c r="L223" s="48">
        <v>13755070.82</v>
      </c>
    </row>
    <row r="224" spans="1:12" ht="81.599999999999994" x14ac:dyDescent="0.3">
      <c r="A224" s="42" t="s">
        <v>9</v>
      </c>
      <c r="B224" s="43" t="s">
        <v>360</v>
      </c>
      <c r="C224" s="43" t="s">
        <v>99</v>
      </c>
      <c r="D224" s="43" t="s">
        <v>310</v>
      </c>
      <c r="E224" s="44" t="s">
        <v>101</v>
      </c>
      <c r="F224" s="45" t="s">
        <v>14</v>
      </c>
      <c r="G224" s="45"/>
      <c r="H224" s="44" t="s">
        <v>13</v>
      </c>
      <c r="I224" s="46">
        <v>946082</v>
      </c>
      <c r="J224" s="46"/>
      <c r="K224" s="47" t="s">
        <v>8</v>
      </c>
      <c r="L224" s="48">
        <v>12808988.82</v>
      </c>
    </row>
    <row r="225" spans="1:12" ht="81.599999999999994" x14ac:dyDescent="0.3">
      <c r="A225" s="42" t="s">
        <v>9</v>
      </c>
      <c r="B225" s="43" t="s">
        <v>360</v>
      </c>
      <c r="C225" s="43" t="s">
        <v>99</v>
      </c>
      <c r="D225" s="43" t="s">
        <v>311</v>
      </c>
      <c r="E225" s="44" t="s">
        <v>101</v>
      </c>
      <c r="F225" s="45" t="s">
        <v>14</v>
      </c>
      <c r="G225" s="45"/>
      <c r="H225" s="44" t="s">
        <v>13</v>
      </c>
      <c r="I225" s="46">
        <v>268000</v>
      </c>
      <c r="J225" s="46"/>
      <c r="K225" s="47" t="s">
        <v>8</v>
      </c>
      <c r="L225" s="48">
        <v>12540988.82</v>
      </c>
    </row>
    <row r="226" spans="1:12" ht="81.599999999999994" x14ac:dyDescent="0.3">
      <c r="A226" s="42" t="s">
        <v>9</v>
      </c>
      <c r="B226" s="43" t="s">
        <v>360</v>
      </c>
      <c r="C226" s="43" t="s">
        <v>99</v>
      </c>
      <c r="D226" s="43" t="s">
        <v>312</v>
      </c>
      <c r="E226" s="44" t="s">
        <v>101</v>
      </c>
      <c r="F226" s="45" t="s">
        <v>14</v>
      </c>
      <c r="G226" s="45"/>
      <c r="H226" s="44" t="s">
        <v>13</v>
      </c>
      <c r="I226" s="46">
        <v>1258744</v>
      </c>
      <c r="J226" s="46"/>
      <c r="K226" s="47" t="s">
        <v>8</v>
      </c>
      <c r="L226" s="48">
        <v>11282244.82</v>
      </c>
    </row>
    <row r="227" spans="1:12" ht="81.599999999999994" x14ac:dyDescent="0.3">
      <c r="A227" s="42" t="s">
        <v>9</v>
      </c>
      <c r="B227" s="43" t="s">
        <v>360</v>
      </c>
      <c r="C227" s="43" t="s">
        <v>99</v>
      </c>
      <c r="D227" s="43" t="s">
        <v>313</v>
      </c>
      <c r="E227" s="44" t="s">
        <v>101</v>
      </c>
      <c r="F227" s="45" t="s">
        <v>14</v>
      </c>
      <c r="G227" s="45"/>
      <c r="H227" s="44" t="s">
        <v>13</v>
      </c>
      <c r="I227" s="46">
        <v>778536</v>
      </c>
      <c r="J227" s="46"/>
      <c r="K227" s="47" t="s">
        <v>8</v>
      </c>
      <c r="L227" s="48">
        <v>10503708.82</v>
      </c>
    </row>
    <row r="228" spans="1:12" ht="81.599999999999994" x14ac:dyDescent="0.3">
      <c r="A228" s="42" t="s">
        <v>9</v>
      </c>
      <c r="B228" s="43" t="s">
        <v>360</v>
      </c>
      <c r="C228" s="43" t="s">
        <v>99</v>
      </c>
      <c r="D228" s="43" t="s">
        <v>314</v>
      </c>
      <c r="E228" s="44" t="s">
        <v>101</v>
      </c>
      <c r="F228" s="45" t="s">
        <v>14</v>
      </c>
      <c r="G228" s="45"/>
      <c r="H228" s="44" t="s">
        <v>13</v>
      </c>
      <c r="I228" s="46">
        <v>661264</v>
      </c>
      <c r="J228" s="46"/>
      <c r="K228" s="47" t="s">
        <v>8</v>
      </c>
      <c r="L228" s="48">
        <v>9842444.8200000003</v>
      </c>
    </row>
    <row r="229" spans="1:12" ht="81.599999999999994" x14ac:dyDescent="0.3">
      <c r="A229" s="42" t="s">
        <v>9</v>
      </c>
      <c r="B229" s="43" t="s">
        <v>360</v>
      </c>
      <c r="C229" s="43" t="s">
        <v>99</v>
      </c>
      <c r="D229" s="43" t="s">
        <v>315</v>
      </c>
      <c r="E229" s="44" t="s">
        <v>101</v>
      </c>
      <c r="F229" s="45" t="s">
        <v>14</v>
      </c>
      <c r="G229" s="45"/>
      <c r="H229" s="44" t="s">
        <v>13</v>
      </c>
      <c r="I229" s="51">
        <v>592</v>
      </c>
      <c r="J229" s="51"/>
      <c r="K229" s="47" t="s">
        <v>8</v>
      </c>
      <c r="L229" s="48">
        <v>9841852.8200000003</v>
      </c>
    </row>
    <row r="230" spans="1:12" ht="81.599999999999994" x14ac:dyDescent="0.3">
      <c r="A230" s="42" t="s">
        <v>9</v>
      </c>
      <c r="B230" s="43" t="s">
        <v>360</v>
      </c>
      <c r="C230" s="43" t="s">
        <v>99</v>
      </c>
      <c r="D230" s="43" t="s">
        <v>316</v>
      </c>
      <c r="E230" s="44" t="s">
        <v>101</v>
      </c>
      <c r="F230" s="45" t="s">
        <v>14</v>
      </c>
      <c r="G230" s="45"/>
      <c r="H230" s="44" t="s">
        <v>13</v>
      </c>
      <c r="I230" s="51">
        <v>987</v>
      </c>
      <c r="J230" s="51"/>
      <c r="K230" s="47" t="s">
        <v>8</v>
      </c>
      <c r="L230" s="48">
        <v>9840865.8200000003</v>
      </c>
    </row>
    <row r="231" spans="1:12" ht="81.599999999999994" x14ac:dyDescent="0.3">
      <c r="A231" s="42" t="s">
        <v>9</v>
      </c>
      <c r="B231" s="43" t="s">
        <v>360</v>
      </c>
      <c r="C231" s="43" t="s">
        <v>99</v>
      </c>
      <c r="D231" s="43" t="s">
        <v>317</v>
      </c>
      <c r="E231" s="44" t="s">
        <v>101</v>
      </c>
      <c r="F231" s="45" t="s">
        <v>14</v>
      </c>
      <c r="G231" s="45"/>
      <c r="H231" s="44" t="s">
        <v>13</v>
      </c>
      <c r="I231" s="46">
        <v>1383</v>
      </c>
      <c r="J231" s="46"/>
      <c r="K231" s="47" t="s">
        <v>8</v>
      </c>
      <c r="L231" s="48">
        <v>9839482.8200000003</v>
      </c>
    </row>
    <row r="232" spans="1:12" ht="81.599999999999994" x14ac:dyDescent="0.3">
      <c r="A232" s="42" t="s">
        <v>9</v>
      </c>
      <c r="B232" s="43" t="s">
        <v>360</v>
      </c>
      <c r="C232" s="43" t="s">
        <v>99</v>
      </c>
      <c r="D232" s="43" t="s">
        <v>318</v>
      </c>
      <c r="E232" s="44" t="s">
        <v>101</v>
      </c>
      <c r="F232" s="45" t="s">
        <v>14</v>
      </c>
      <c r="G232" s="45"/>
      <c r="H232" s="44" t="s">
        <v>13</v>
      </c>
      <c r="I232" s="46">
        <v>1693</v>
      </c>
      <c r="J232" s="46"/>
      <c r="K232" s="47" t="s">
        <v>8</v>
      </c>
      <c r="L232" s="48">
        <v>9837789.8200000003</v>
      </c>
    </row>
    <row r="233" spans="1:12" ht="81.599999999999994" x14ac:dyDescent="0.3">
      <c r="A233" s="42" t="s">
        <v>9</v>
      </c>
      <c r="B233" s="43" t="s">
        <v>360</v>
      </c>
      <c r="C233" s="43" t="s">
        <v>99</v>
      </c>
      <c r="D233" s="43" t="s">
        <v>319</v>
      </c>
      <c r="E233" s="44" t="s">
        <v>101</v>
      </c>
      <c r="F233" s="45" t="s">
        <v>14</v>
      </c>
      <c r="G233" s="45"/>
      <c r="H233" s="44" t="s">
        <v>13</v>
      </c>
      <c r="I233" s="46">
        <v>3386</v>
      </c>
      <c r="J233" s="46"/>
      <c r="K233" s="47" t="s">
        <v>8</v>
      </c>
      <c r="L233" s="48">
        <v>9834403.8200000003</v>
      </c>
    </row>
    <row r="234" spans="1:12" ht="81.599999999999994" x14ac:dyDescent="0.3">
      <c r="A234" s="42" t="s">
        <v>9</v>
      </c>
      <c r="B234" s="43" t="s">
        <v>360</v>
      </c>
      <c r="C234" s="43" t="s">
        <v>99</v>
      </c>
      <c r="D234" s="43" t="s">
        <v>320</v>
      </c>
      <c r="E234" s="44" t="s">
        <v>101</v>
      </c>
      <c r="F234" s="45" t="s">
        <v>14</v>
      </c>
      <c r="G234" s="45"/>
      <c r="H234" s="44" t="s">
        <v>13</v>
      </c>
      <c r="I234" s="46">
        <v>99182</v>
      </c>
      <c r="J234" s="46"/>
      <c r="K234" s="47" t="s">
        <v>8</v>
      </c>
      <c r="L234" s="48">
        <v>9735221.8200000003</v>
      </c>
    </row>
    <row r="235" spans="1:12" ht="81.599999999999994" x14ac:dyDescent="0.3">
      <c r="A235" s="42" t="s">
        <v>9</v>
      </c>
      <c r="B235" s="43" t="s">
        <v>361</v>
      </c>
      <c r="C235" s="43" t="s">
        <v>99</v>
      </c>
      <c r="D235" s="43" t="s">
        <v>322</v>
      </c>
      <c r="E235" s="44" t="s">
        <v>101</v>
      </c>
      <c r="F235" s="45" t="s">
        <v>14</v>
      </c>
      <c r="G235" s="45"/>
      <c r="H235" s="44" t="s">
        <v>13</v>
      </c>
      <c r="I235" s="46">
        <v>21556.22</v>
      </c>
      <c r="J235" s="46"/>
      <c r="K235" s="47" t="s">
        <v>8</v>
      </c>
      <c r="L235" s="48">
        <v>9713665.5999999996</v>
      </c>
    </row>
    <row r="236" spans="1:12" ht="81.599999999999994" x14ac:dyDescent="0.3">
      <c r="A236" s="42" t="s">
        <v>9</v>
      </c>
      <c r="B236" s="43" t="s">
        <v>361</v>
      </c>
      <c r="C236" s="43" t="s">
        <v>99</v>
      </c>
      <c r="D236" s="43" t="s">
        <v>324</v>
      </c>
      <c r="E236" s="44" t="s">
        <v>101</v>
      </c>
      <c r="F236" s="45" t="s">
        <v>14</v>
      </c>
      <c r="G236" s="45"/>
      <c r="H236" s="44" t="s">
        <v>13</v>
      </c>
      <c r="I236" s="46">
        <v>312627.28000000003</v>
      </c>
      <c r="J236" s="46"/>
      <c r="K236" s="47" t="s">
        <v>8</v>
      </c>
      <c r="L236" s="48">
        <v>9401038.3200000003</v>
      </c>
    </row>
    <row r="237" spans="1:12" ht="81.599999999999994" x14ac:dyDescent="0.3">
      <c r="A237" s="42" t="s">
        <v>9</v>
      </c>
      <c r="B237" s="43" t="s">
        <v>361</v>
      </c>
      <c r="C237" s="43" t="s">
        <v>99</v>
      </c>
      <c r="D237" s="43" t="s">
        <v>325</v>
      </c>
      <c r="E237" s="44" t="s">
        <v>101</v>
      </c>
      <c r="F237" s="45" t="s">
        <v>14</v>
      </c>
      <c r="G237" s="45"/>
      <c r="H237" s="44" t="s">
        <v>13</v>
      </c>
      <c r="I237" s="46">
        <v>68116.800000000003</v>
      </c>
      <c r="J237" s="46"/>
      <c r="K237" s="47" t="s">
        <v>8</v>
      </c>
      <c r="L237" s="48">
        <v>9332921.5199999996</v>
      </c>
    </row>
    <row r="238" spans="1:12" ht="81.599999999999994" x14ac:dyDescent="0.3">
      <c r="A238" s="42" t="s">
        <v>9</v>
      </c>
      <c r="B238" s="43" t="s">
        <v>361</v>
      </c>
      <c r="C238" s="43" t="s">
        <v>99</v>
      </c>
      <c r="D238" s="43" t="s">
        <v>326</v>
      </c>
      <c r="E238" s="44" t="s">
        <v>101</v>
      </c>
      <c r="F238" s="45" t="s">
        <v>14</v>
      </c>
      <c r="G238" s="45"/>
      <c r="H238" s="44" t="s">
        <v>13</v>
      </c>
      <c r="I238" s="46">
        <v>17574.96</v>
      </c>
      <c r="J238" s="46"/>
      <c r="K238" s="47" t="s">
        <v>8</v>
      </c>
      <c r="L238" s="48">
        <v>9315346.5600000005</v>
      </c>
    </row>
    <row r="239" spans="1:12" ht="81.599999999999994" x14ac:dyDescent="0.3">
      <c r="A239" s="42" t="s">
        <v>9</v>
      </c>
      <c r="B239" s="43" t="s">
        <v>361</v>
      </c>
      <c r="C239" s="43" t="s">
        <v>99</v>
      </c>
      <c r="D239" s="43" t="s">
        <v>327</v>
      </c>
      <c r="E239" s="44" t="s">
        <v>101</v>
      </c>
      <c r="F239" s="45" t="s">
        <v>14</v>
      </c>
      <c r="G239" s="45"/>
      <c r="H239" s="44" t="s">
        <v>13</v>
      </c>
      <c r="I239" s="46">
        <v>79908.929999999993</v>
      </c>
      <c r="J239" s="46"/>
      <c r="K239" s="47" t="s">
        <v>8</v>
      </c>
      <c r="L239" s="48">
        <v>9235437.6300000008</v>
      </c>
    </row>
    <row r="240" spans="1:12" ht="81.599999999999994" x14ac:dyDescent="0.3">
      <c r="A240" s="42" t="s">
        <v>9</v>
      </c>
      <c r="B240" s="43" t="s">
        <v>361</v>
      </c>
      <c r="C240" s="43" t="s">
        <v>99</v>
      </c>
      <c r="D240" s="43" t="s">
        <v>328</v>
      </c>
      <c r="E240" s="44" t="s">
        <v>101</v>
      </c>
      <c r="F240" s="45" t="s">
        <v>14</v>
      </c>
      <c r="G240" s="45"/>
      <c r="H240" s="44" t="s">
        <v>13</v>
      </c>
      <c r="I240" s="46">
        <v>2541.04</v>
      </c>
      <c r="J240" s="46"/>
      <c r="K240" s="47" t="s">
        <v>8</v>
      </c>
      <c r="L240" s="48">
        <v>9232896.5899999999</v>
      </c>
    </row>
    <row r="241" spans="1:12" ht="81.599999999999994" x14ac:dyDescent="0.3">
      <c r="A241" s="42" t="s">
        <v>9</v>
      </c>
      <c r="B241" s="43" t="s">
        <v>361</v>
      </c>
      <c r="C241" s="43" t="s">
        <v>99</v>
      </c>
      <c r="D241" s="43" t="s">
        <v>329</v>
      </c>
      <c r="E241" s="44" t="s">
        <v>101</v>
      </c>
      <c r="F241" s="45" t="s">
        <v>14</v>
      </c>
      <c r="G241" s="45"/>
      <c r="H241" s="44" t="s">
        <v>13</v>
      </c>
      <c r="I241" s="46">
        <v>45631.08</v>
      </c>
      <c r="J241" s="46"/>
      <c r="K241" s="47" t="s">
        <v>8</v>
      </c>
      <c r="L241" s="48">
        <v>9187265.5099999998</v>
      </c>
    </row>
    <row r="242" spans="1:12" ht="81.599999999999994" x14ac:dyDescent="0.3">
      <c r="A242" s="42" t="s">
        <v>9</v>
      </c>
      <c r="B242" s="43" t="s">
        <v>361</v>
      </c>
      <c r="C242" s="43" t="s">
        <v>99</v>
      </c>
      <c r="D242" s="43" t="s">
        <v>330</v>
      </c>
      <c r="E242" s="44" t="s">
        <v>101</v>
      </c>
      <c r="F242" s="45" t="s">
        <v>14</v>
      </c>
      <c r="G242" s="45"/>
      <c r="H242" s="44" t="s">
        <v>13</v>
      </c>
      <c r="I242" s="46">
        <v>45556.11</v>
      </c>
      <c r="J242" s="46"/>
      <c r="K242" s="47" t="s">
        <v>8</v>
      </c>
      <c r="L242" s="48">
        <v>9141709.4000000004</v>
      </c>
    </row>
    <row r="243" spans="1:12" ht="81.599999999999994" x14ac:dyDescent="0.3">
      <c r="A243" s="42" t="s">
        <v>9</v>
      </c>
      <c r="B243" s="43" t="s">
        <v>361</v>
      </c>
      <c r="C243" s="43" t="s">
        <v>99</v>
      </c>
      <c r="D243" s="43" t="s">
        <v>331</v>
      </c>
      <c r="E243" s="44" t="s">
        <v>101</v>
      </c>
      <c r="F243" s="45" t="s">
        <v>14</v>
      </c>
      <c r="G243" s="45"/>
      <c r="H243" s="44" t="s">
        <v>13</v>
      </c>
      <c r="I243" s="46">
        <v>911955</v>
      </c>
      <c r="J243" s="46"/>
      <c r="K243" s="47" t="s">
        <v>8</v>
      </c>
      <c r="L243" s="48">
        <v>8229754.4000000004</v>
      </c>
    </row>
    <row r="244" spans="1:12" ht="81.599999999999994" x14ac:dyDescent="0.3">
      <c r="A244" s="42" t="s">
        <v>9</v>
      </c>
      <c r="B244" s="43" t="s">
        <v>361</v>
      </c>
      <c r="C244" s="43" t="s">
        <v>99</v>
      </c>
      <c r="D244" s="43" t="s">
        <v>332</v>
      </c>
      <c r="E244" s="44" t="s">
        <v>101</v>
      </c>
      <c r="F244" s="45" t="s">
        <v>14</v>
      </c>
      <c r="G244" s="45"/>
      <c r="H244" s="44" t="s">
        <v>13</v>
      </c>
      <c r="I244" s="46">
        <v>631275.80000000005</v>
      </c>
      <c r="J244" s="46"/>
      <c r="K244" s="47" t="s">
        <v>8</v>
      </c>
      <c r="L244" s="48">
        <v>7598478.5999999996</v>
      </c>
    </row>
    <row r="245" spans="1:12" ht="81.599999999999994" x14ac:dyDescent="0.3">
      <c r="A245" s="42" t="s">
        <v>9</v>
      </c>
      <c r="B245" s="43" t="s">
        <v>361</v>
      </c>
      <c r="C245" s="43" t="s">
        <v>99</v>
      </c>
      <c r="D245" s="43" t="s">
        <v>333</v>
      </c>
      <c r="E245" s="44" t="s">
        <v>101</v>
      </c>
      <c r="F245" s="45" t="s">
        <v>14</v>
      </c>
      <c r="G245" s="45"/>
      <c r="H245" s="44" t="s">
        <v>13</v>
      </c>
      <c r="I245" s="46">
        <v>923304.42</v>
      </c>
      <c r="J245" s="46"/>
      <c r="K245" s="47" t="s">
        <v>8</v>
      </c>
      <c r="L245" s="48">
        <v>6675174.1799999997</v>
      </c>
    </row>
    <row r="246" spans="1:12" ht="81.599999999999994" x14ac:dyDescent="0.3">
      <c r="A246" s="42" t="s">
        <v>9</v>
      </c>
      <c r="B246" s="43" t="s">
        <v>361</v>
      </c>
      <c r="C246" s="43" t="s">
        <v>99</v>
      </c>
      <c r="D246" s="43" t="s">
        <v>334</v>
      </c>
      <c r="E246" s="44" t="s">
        <v>101</v>
      </c>
      <c r="F246" s="45" t="s">
        <v>14</v>
      </c>
      <c r="G246" s="45"/>
      <c r="H246" s="44" t="s">
        <v>13</v>
      </c>
      <c r="I246" s="46">
        <v>584993.34</v>
      </c>
      <c r="J246" s="46"/>
      <c r="K246" s="47" t="s">
        <v>8</v>
      </c>
      <c r="L246" s="48">
        <v>6090180.8399999999</v>
      </c>
    </row>
    <row r="247" spans="1:12" ht="81.599999999999994" x14ac:dyDescent="0.3">
      <c r="A247" s="42" t="s">
        <v>9</v>
      </c>
      <c r="B247" s="43" t="s">
        <v>361</v>
      </c>
      <c r="C247" s="43" t="s">
        <v>99</v>
      </c>
      <c r="D247" s="43" t="s">
        <v>336</v>
      </c>
      <c r="E247" s="44" t="s">
        <v>101</v>
      </c>
      <c r="F247" s="45" t="s">
        <v>14</v>
      </c>
      <c r="G247" s="45"/>
      <c r="H247" s="44" t="s">
        <v>13</v>
      </c>
      <c r="I247" s="46">
        <v>525278.04</v>
      </c>
      <c r="J247" s="46"/>
      <c r="K247" s="47" t="s">
        <v>8</v>
      </c>
      <c r="L247" s="48">
        <v>5564902.7999999998</v>
      </c>
    </row>
    <row r="248" spans="1:12" ht="81.599999999999994" x14ac:dyDescent="0.3">
      <c r="A248" s="42" t="s">
        <v>9</v>
      </c>
      <c r="B248" s="43" t="s">
        <v>361</v>
      </c>
      <c r="C248" s="43" t="s">
        <v>99</v>
      </c>
      <c r="D248" s="43" t="s">
        <v>337</v>
      </c>
      <c r="E248" s="44" t="s">
        <v>101</v>
      </c>
      <c r="F248" s="45" t="s">
        <v>14</v>
      </c>
      <c r="G248" s="45"/>
      <c r="H248" s="44" t="s">
        <v>13</v>
      </c>
      <c r="I248" s="46">
        <v>1053480.8899999999</v>
      </c>
      <c r="J248" s="46"/>
      <c r="K248" s="47" t="s">
        <v>8</v>
      </c>
      <c r="L248" s="48">
        <v>4511421.91</v>
      </c>
    </row>
    <row r="249" spans="1:12" ht="81.599999999999994" x14ac:dyDescent="0.3">
      <c r="A249" s="42" t="s">
        <v>9</v>
      </c>
      <c r="B249" s="43" t="s">
        <v>361</v>
      </c>
      <c r="C249" s="43" t="s">
        <v>99</v>
      </c>
      <c r="D249" s="43" t="s">
        <v>338</v>
      </c>
      <c r="E249" s="44" t="s">
        <v>101</v>
      </c>
      <c r="F249" s="45" t="s">
        <v>14</v>
      </c>
      <c r="G249" s="45"/>
      <c r="H249" s="44" t="s">
        <v>13</v>
      </c>
      <c r="I249" s="46">
        <v>1297564.8</v>
      </c>
      <c r="J249" s="46"/>
      <c r="K249" s="47" t="s">
        <v>8</v>
      </c>
      <c r="L249" s="48">
        <v>3213857.11</v>
      </c>
    </row>
    <row r="250" spans="1:12" ht="81.599999999999994" x14ac:dyDescent="0.3">
      <c r="A250" s="42" t="s">
        <v>9</v>
      </c>
      <c r="B250" s="43" t="s">
        <v>361</v>
      </c>
      <c r="C250" s="43" t="s">
        <v>99</v>
      </c>
      <c r="D250" s="43" t="s">
        <v>339</v>
      </c>
      <c r="E250" s="44" t="s">
        <v>101</v>
      </c>
      <c r="F250" s="45" t="s">
        <v>14</v>
      </c>
      <c r="G250" s="45"/>
      <c r="H250" s="44" t="s">
        <v>13</v>
      </c>
      <c r="I250" s="46">
        <v>619940.55000000005</v>
      </c>
      <c r="J250" s="46"/>
      <c r="K250" s="47" t="s">
        <v>8</v>
      </c>
      <c r="L250" s="48">
        <v>2593916.56</v>
      </c>
    </row>
    <row r="251" spans="1:12" ht="81.599999999999994" x14ac:dyDescent="0.3">
      <c r="A251" s="42" t="s">
        <v>9</v>
      </c>
      <c r="B251" s="43" t="s">
        <v>361</v>
      </c>
      <c r="C251" s="43" t="s">
        <v>99</v>
      </c>
      <c r="D251" s="43" t="s">
        <v>340</v>
      </c>
      <c r="E251" s="44" t="s">
        <v>101</v>
      </c>
      <c r="F251" s="45" t="s">
        <v>14</v>
      </c>
      <c r="G251" s="45"/>
      <c r="H251" s="44" t="s">
        <v>13</v>
      </c>
      <c r="I251" s="46">
        <v>7107.84</v>
      </c>
      <c r="J251" s="46"/>
      <c r="K251" s="47" t="s">
        <v>8</v>
      </c>
      <c r="L251" s="48">
        <v>2586808.7200000002</v>
      </c>
    </row>
    <row r="252" spans="1:12" ht="81.599999999999994" x14ac:dyDescent="0.3">
      <c r="A252" s="42" t="s">
        <v>9</v>
      </c>
      <c r="B252" s="43" t="s">
        <v>361</v>
      </c>
      <c r="C252" s="43" t="s">
        <v>99</v>
      </c>
      <c r="D252" s="43" t="s">
        <v>341</v>
      </c>
      <c r="E252" s="44" t="s">
        <v>101</v>
      </c>
      <c r="F252" s="45" t="s">
        <v>14</v>
      </c>
      <c r="G252" s="45"/>
      <c r="H252" s="44" t="s">
        <v>13</v>
      </c>
      <c r="I252" s="46">
        <v>7892.24</v>
      </c>
      <c r="J252" s="46"/>
      <c r="K252" s="47" t="s">
        <v>8</v>
      </c>
      <c r="L252" s="48">
        <v>2578916.48</v>
      </c>
    </row>
    <row r="253" spans="1:12" ht="81.599999999999994" x14ac:dyDescent="0.3">
      <c r="A253" s="42" t="s">
        <v>9</v>
      </c>
      <c r="B253" s="43" t="s">
        <v>361</v>
      </c>
      <c r="C253" s="43" t="s">
        <v>99</v>
      </c>
      <c r="D253" s="43" t="s">
        <v>342</v>
      </c>
      <c r="E253" s="44" t="s">
        <v>101</v>
      </c>
      <c r="F253" s="45" t="s">
        <v>14</v>
      </c>
      <c r="G253" s="45"/>
      <c r="H253" s="44" t="s">
        <v>13</v>
      </c>
      <c r="I253" s="46">
        <v>2541.04</v>
      </c>
      <c r="J253" s="46"/>
      <c r="K253" s="47" t="s">
        <v>8</v>
      </c>
      <c r="L253" s="48">
        <v>2576375.44</v>
      </c>
    </row>
    <row r="254" spans="1:12" ht="81.599999999999994" x14ac:dyDescent="0.3">
      <c r="A254" s="42" t="s">
        <v>9</v>
      </c>
      <c r="B254" s="43" t="s">
        <v>361</v>
      </c>
      <c r="C254" s="43" t="s">
        <v>99</v>
      </c>
      <c r="D254" s="43" t="s">
        <v>343</v>
      </c>
      <c r="E254" s="44" t="s">
        <v>101</v>
      </c>
      <c r="F254" s="45" t="s">
        <v>14</v>
      </c>
      <c r="G254" s="45"/>
      <c r="H254" s="44" t="s">
        <v>13</v>
      </c>
      <c r="I254" s="46">
        <v>19358.64</v>
      </c>
      <c r="J254" s="46"/>
      <c r="K254" s="47" t="s">
        <v>8</v>
      </c>
      <c r="L254" s="48">
        <v>2557016.7999999998</v>
      </c>
    </row>
    <row r="255" spans="1:12" ht="81.599999999999994" x14ac:dyDescent="0.3">
      <c r="A255" s="42" t="s">
        <v>9</v>
      </c>
      <c r="B255" s="43" t="s">
        <v>361</v>
      </c>
      <c r="C255" s="43" t="s">
        <v>99</v>
      </c>
      <c r="D255" s="43" t="s">
        <v>344</v>
      </c>
      <c r="E255" s="44" t="s">
        <v>101</v>
      </c>
      <c r="F255" s="45" t="s">
        <v>14</v>
      </c>
      <c r="G255" s="45"/>
      <c r="H255" s="44" t="s">
        <v>13</v>
      </c>
      <c r="I255" s="46">
        <v>10158.719999999999</v>
      </c>
      <c r="J255" s="46"/>
      <c r="K255" s="47" t="s">
        <v>8</v>
      </c>
      <c r="L255" s="48">
        <v>2546858.08</v>
      </c>
    </row>
    <row r="256" spans="1:12" ht="81.599999999999994" x14ac:dyDescent="0.3">
      <c r="A256" s="42" t="s">
        <v>9</v>
      </c>
      <c r="B256" s="43" t="s">
        <v>361</v>
      </c>
      <c r="C256" s="43" t="s">
        <v>99</v>
      </c>
      <c r="D256" s="43" t="s">
        <v>345</v>
      </c>
      <c r="E256" s="44" t="s">
        <v>101</v>
      </c>
      <c r="F256" s="45" t="s">
        <v>14</v>
      </c>
      <c r="G256" s="45"/>
      <c r="H256" s="44" t="s">
        <v>13</v>
      </c>
      <c r="I256" s="46">
        <v>33855.699999999997</v>
      </c>
      <c r="J256" s="46"/>
      <c r="K256" s="47" t="s">
        <v>8</v>
      </c>
      <c r="L256" s="48">
        <v>2513002.38</v>
      </c>
    </row>
    <row r="257" spans="1:12" ht="81.599999999999994" x14ac:dyDescent="0.3">
      <c r="A257" s="42" t="s">
        <v>9</v>
      </c>
      <c r="B257" s="43" t="s">
        <v>361</v>
      </c>
      <c r="C257" s="43" t="s">
        <v>99</v>
      </c>
      <c r="D257" s="43" t="s">
        <v>346</v>
      </c>
      <c r="E257" s="44" t="s">
        <v>101</v>
      </c>
      <c r="F257" s="45" t="s">
        <v>14</v>
      </c>
      <c r="G257" s="45"/>
      <c r="H257" s="44" t="s">
        <v>13</v>
      </c>
      <c r="I257" s="46">
        <v>32161.200000000001</v>
      </c>
      <c r="J257" s="46"/>
      <c r="K257" s="47" t="s">
        <v>8</v>
      </c>
      <c r="L257" s="48">
        <v>2480841.1800000002</v>
      </c>
    </row>
    <row r="258" spans="1:12" ht="81.599999999999994" x14ac:dyDescent="0.3">
      <c r="A258" s="42" t="s">
        <v>9</v>
      </c>
      <c r="B258" s="43" t="s">
        <v>361</v>
      </c>
      <c r="C258" s="43" t="s">
        <v>99</v>
      </c>
      <c r="D258" s="43" t="s">
        <v>347</v>
      </c>
      <c r="E258" s="44" t="s">
        <v>101</v>
      </c>
      <c r="F258" s="45" t="s">
        <v>14</v>
      </c>
      <c r="G258" s="45"/>
      <c r="H258" s="44" t="s">
        <v>13</v>
      </c>
      <c r="I258" s="46">
        <v>21155.919999999998</v>
      </c>
      <c r="J258" s="46"/>
      <c r="K258" s="47" t="s">
        <v>8</v>
      </c>
      <c r="L258" s="48">
        <v>2459685.2599999998</v>
      </c>
    </row>
    <row r="259" spans="1:12" ht="81.599999999999994" x14ac:dyDescent="0.3">
      <c r="A259" s="42" t="s">
        <v>9</v>
      </c>
      <c r="B259" s="43" t="s">
        <v>361</v>
      </c>
      <c r="C259" s="43" t="s">
        <v>99</v>
      </c>
      <c r="D259" s="43" t="s">
        <v>348</v>
      </c>
      <c r="E259" s="44" t="s">
        <v>101</v>
      </c>
      <c r="F259" s="45" t="s">
        <v>14</v>
      </c>
      <c r="G259" s="45"/>
      <c r="H259" s="44" t="s">
        <v>13</v>
      </c>
      <c r="I259" s="46">
        <v>44662.2</v>
      </c>
      <c r="J259" s="46"/>
      <c r="K259" s="47" t="s">
        <v>8</v>
      </c>
      <c r="L259" s="48">
        <v>2415023.06</v>
      </c>
    </row>
    <row r="260" spans="1:12" ht="81.599999999999994" x14ac:dyDescent="0.3">
      <c r="A260" s="42" t="s">
        <v>9</v>
      </c>
      <c r="B260" s="43" t="s">
        <v>361</v>
      </c>
      <c r="C260" s="43" t="s">
        <v>99</v>
      </c>
      <c r="D260" s="43" t="s">
        <v>349</v>
      </c>
      <c r="E260" s="44" t="s">
        <v>101</v>
      </c>
      <c r="F260" s="45" t="s">
        <v>14</v>
      </c>
      <c r="G260" s="45"/>
      <c r="H260" s="44" t="s">
        <v>13</v>
      </c>
      <c r="I260" s="46">
        <v>10437.32</v>
      </c>
      <c r="J260" s="46"/>
      <c r="K260" s="47" t="s">
        <v>8</v>
      </c>
      <c r="L260" s="48">
        <v>2404585.7400000002</v>
      </c>
    </row>
    <row r="261" spans="1:12" ht="81.599999999999994" x14ac:dyDescent="0.3">
      <c r="A261" s="42" t="s">
        <v>9</v>
      </c>
      <c r="B261" s="43" t="s">
        <v>361</v>
      </c>
      <c r="C261" s="43" t="s">
        <v>99</v>
      </c>
      <c r="D261" s="43" t="s">
        <v>350</v>
      </c>
      <c r="E261" s="44" t="s">
        <v>101</v>
      </c>
      <c r="F261" s="45" t="s">
        <v>14</v>
      </c>
      <c r="G261" s="45"/>
      <c r="H261" s="44" t="s">
        <v>13</v>
      </c>
      <c r="I261" s="46">
        <v>9494.06</v>
      </c>
      <c r="J261" s="46"/>
      <c r="K261" s="47" t="s">
        <v>8</v>
      </c>
      <c r="L261" s="48">
        <v>2395091.6800000002</v>
      </c>
    </row>
    <row r="262" spans="1:12" ht="81.599999999999994" x14ac:dyDescent="0.3">
      <c r="A262" s="42" t="s">
        <v>9</v>
      </c>
      <c r="B262" s="43" t="s">
        <v>361</v>
      </c>
      <c r="C262" s="43" t="s">
        <v>99</v>
      </c>
      <c r="D262" s="43" t="s">
        <v>351</v>
      </c>
      <c r="E262" s="44" t="s">
        <v>101</v>
      </c>
      <c r="F262" s="45" t="s">
        <v>14</v>
      </c>
      <c r="G262" s="45"/>
      <c r="H262" s="44" t="s">
        <v>13</v>
      </c>
      <c r="I262" s="46">
        <v>24262.240000000002</v>
      </c>
      <c r="J262" s="46"/>
      <c r="K262" s="47" t="s">
        <v>8</v>
      </c>
      <c r="L262" s="48">
        <v>2370829.44</v>
      </c>
    </row>
    <row r="263" spans="1:12" ht="51" hidden="1" x14ac:dyDescent="0.3">
      <c r="A263" s="42" t="s">
        <v>9</v>
      </c>
      <c r="B263" s="43" t="s">
        <v>10</v>
      </c>
      <c r="C263" s="43" t="s">
        <v>11</v>
      </c>
      <c r="D263" s="43" t="s">
        <v>12</v>
      </c>
      <c r="E263" s="44" t="s">
        <v>13</v>
      </c>
      <c r="F263" s="52">
        <v>177</v>
      </c>
      <c r="G263" s="52"/>
      <c r="H263" s="44" t="s">
        <v>13</v>
      </c>
      <c r="I263" s="50" t="s">
        <v>14</v>
      </c>
      <c r="J263" s="50"/>
      <c r="K263" s="47" t="s">
        <v>8</v>
      </c>
      <c r="L263" s="48">
        <v>79822.12</v>
      </c>
    </row>
    <row r="264" spans="1:12" ht="51" x14ac:dyDescent="0.3">
      <c r="A264" s="42" t="s">
        <v>9</v>
      </c>
      <c r="B264" s="43" t="s">
        <v>362</v>
      </c>
      <c r="C264" s="43" t="s">
        <v>363</v>
      </c>
      <c r="D264" s="43" t="s">
        <v>353</v>
      </c>
      <c r="E264" s="44" t="s">
        <v>24</v>
      </c>
      <c r="F264" s="45" t="s">
        <v>14</v>
      </c>
      <c r="G264" s="45"/>
      <c r="H264" s="44" t="s">
        <v>13</v>
      </c>
      <c r="I264" s="46">
        <v>2020.35</v>
      </c>
      <c r="J264" s="46"/>
      <c r="K264" s="47" t="s">
        <v>8</v>
      </c>
      <c r="L264" s="48">
        <v>237093.27</v>
      </c>
    </row>
    <row r="265" spans="1:12" ht="61.2" x14ac:dyDescent="0.3">
      <c r="A265" s="42" t="s">
        <v>9</v>
      </c>
      <c r="B265" s="43" t="s">
        <v>362</v>
      </c>
      <c r="C265" s="43" t="s">
        <v>363</v>
      </c>
      <c r="D265" s="43" t="s">
        <v>283</v>
      </c>
      <c r="E265" s="44" t="s">
        <v>24</v>
      </c>
      <c r="F265" s="45" t="s">
        <v>14</v>
      </c>
      <c r="G265" s="45"/>
      <c r="H265" s="44" t="s">
        <v>13</v>
      </c>
      <c r="I265" s="46">
        <v>4367.7299999999996</v>
      </c>
      <c r="J265" s="46"/>
      <c r="K265" s="47" t="s">
        <v>8</v>
      </c>
      <c r="L265" s="48">
        <v>232725.54</v>
      </c>
    </row>
    <row r="266" spans="1:12" ht="61.2" x14ac:dyDescent="0.3">
      <c r="A266" s="42" t="s">
        <v>9</v>
      </c>
      <c r="B266" s="43" t="s">
        <v>362</v>
      </c>
      <c r="C266" s="43" t="s">
        <v>363</v>
      </c>
      <c r="D266" s="43" t="s">
        <v>285</v>
      </c>
      <c r="E266" s="44" t="s">
        <v>24</v>
      </c>
      <c r="F266" s="45" t="s">
        <v>14</v>
      </c>
      <c r="G266" s="45"/>
      <c r="H266" s="44" t="s">
        <v>13</v>
      </c>
      <c r="I266" s="46">
        <v>3785.36</v>
      </c>
      <c r="J266" s="46"/>
      <c r="K266" s="47" t="s">
        <v>8</v>
      </c>
      <c r="L266" s="48">
        <v>228940.18</v>
      </c>
    </row>
    <row r="267" spans="1:12" ht="61.2" x14ac:dyDescent="0.3">
      <c r="A267" s="42" t="s">
        <v>9</v>
      </c>
      <c r="B267" s="43" t="s">
        <v>362</v>
      </c>
      <c r="C267" s="43" t="s">
        <v>363</v>
      </c>
      <c r="D267" s="43" t="s">
        <v>364</v>
      </c>
      <c r="E267" s="44" t="s">
        <v>24</v>
      </c>
      <c r="F267" s="45" t="s">
        <v>14</v>
      </c>
      <c r="G267" s="45"/>
      <c r="H267" s="44" t="s">
        <v>13</v>
      </c>
      <c r="I267" s="46">
        <v>11748.31</v>
      </c>
      <c r="J267" s="46"/>
      <c r="K267" s="47" t="s">
        <v>8</v>
      </c>
      <c r="L267" s="48">
        <v>217191.87</v>
      </c>
    </row>
    <row r="268" spans="1:12" ht="91.8" hidden="1" x14ac:dyDescent="0.3">
      <c r="A268" s="42" t="s">
        <v>365</v>
      </c>
      <c r="B268" s="43" t="s">
        <v>366</v>
      </c>
      <c r="C268" s="43" t="s">
        <v>367</v>
      </c>
      <c r="D268" s="43" t="s">
        <v>368</v>
      </c>
      <c r="E268" s="44" t="s">
        <v>13</v>
      </c>
      <c r="F268" s="49">
        <v>165132</v>
      </c>
      <c r="G268" s="49"/>
      <c r="H268" s="44" t="s">
        <v>19</v>
      </c>
      <c r="I268" s="50" t="s">
        <v>14</v>
      </c>
      <c r="J268" s="50"/>
      <c r="K268" s="47" t="s">
        <v>8</v>
      </c>
      <c r="L268" s="48">
        <v>2535961.44</v>
      </c>
    </row>
    <row r="269" spans="1:12" ht="91.8" hidden="1" x14ac:dyDescent="0.3">
      <c r="A269" s="42" t="s">
        <v>365</v>
      </c>
      <c r="B269" s="43" t="s">
        <v>366</v>
      </c>
      <c r="C269" s="43" t="s">
        <v>369</v>
      </c>
      <c r="D269" s="43" t="s">
        <v>368</v>
      </c>
      <c r="E269" s="44" t="s">
        <v>13</v>
      </c>
      <c r="F269" s="49">
        <v>268884</v>
      </c>
      <c r="G269" s="49"/>
      <c r="H269" s="44" t="s">
        <v>19</v>
      </c>
      <c r="I269" s="50" t="s">
        <v>14</v>
      </c>
      <c r="J269" s="50"/>
      <c r="K269" s="47" t="s">
        <v>8</v>
      </c>
      <c r="L269" s="48">
        <v>2804845.44</v>
      </c>
    </row>
    <row r="270" spans="1:12" ht="91.8" hidden="1" x14ac:dyDescent="0.3">
      <c r="A270" s="42" t="s">
        <v>365</v>
      </c>
      <c r="B270" s="43" t="s">
        <v>366</v>
      </c>
      <c r="C270" s="43" t="s">
        <v>370</v>
      </c>
      <c r="D270" s="43" t="s">
        <v>368</v>
      </c>
      <c r="E270" s="44" t="s">
        <v>13</v>
      </c>
      <c r="F270" s="49">
        <v>701309</v>
      </c>
      <c r="G270" s="49"/>
      <c r="H270" s="44" t="s">
        <v>19</v>
      </c>
      <c r="I270" s="50" t="s">
        <v>14</v>
      </c>
      <c r="J270" s="50"/>
      <c r="K270" s="47" t="s">
        <v>8</v>
      </c>
      <c r="L270" s="48">
        <v>3506154.44</v>
      </c>
    </row>
    <row r="271" spans="1:12" ht="91.8" hidden="1" x14ac:dyDescent="0.3">
      <c r="A271" s="42" t="s">
        <v>365</v>
      </c>
      <c r="B271" s="43" t="s">
        <v>366</v>
      </c>
      <c r="C271" s="43" t="s">
        <v>371</v>
      </c>
      <c r="D271" s="43" t="s">
        <v>368</v>
      </c>
      <c r="E271" s="44" t="s">
        <v>13</v>
      </c>
      <c r="F271" s="49">
        <v>272160</v>
      </c>
      <c r="G271" s="49"/>
      <c r="H271" s="44" t="s">
        <v>19</v>
      </c>
      <c r="I271" s="50" t="s">
        <v>14</v>
      </c>
      <c r="J271" s="50"/>
      <c r="K271" s="47" t="s">
        <v>8</v>
      </c>
      <c r="L271" s="48">
        <v>3778314.44</v>
      </c>
    </row>
    <row r="272" spans="1:12" ht="91.8" hidden="1" x14ac:dyDescent="0.3">
      <c r="A272" s="42" t="s">
        <v>365</v>
      </c>
      <c r="B272" s="43" t="s">
        <v>366</v>
      </c>
      <c r="C272" s="43" t="s">
        <v>372</v>
      </c>
      <c r="D272" s="43" t="s">
        <v>368</v>
      </c>
      <c r="E272" s="44" t="s">
        <v>13</v>
      </c>
      <c r="F272" s="49">
        <v>21780</v>
      </c>
      <c r="G272" s="49"/>
      <c r="H272" s="44" t="s">
        <v>19</v>
      </c>
      <c r="I272" s="50" t="s">
        <v>14</v>
      </c>
      <c r="J272" s="50"/>
      <c r="K272" s="47" t="s">
        <v>8</v>
      </c>
      <c r="L272" s="48">
        <v>3800094.44</v>
      </c>
    </row>
    <row r="273" spans="1:12" ht="91.8" hidden="1" x14ac:dyDescent="0.3">
      <c r="A273" s="42" t="s">
        <v>365</v>
      </c>
      <c r="B273" s="43" t="s">
        <v>366</v>
      </c>
      <c r="C273" s="43" t="s">
        <v>373</v>
      </c>
      <c r="D273" s="43" t="s">
        <v>368</v>
      </c>
      <c r="E273" s="44" t="s">
        <v>13</v>
      </c>
      <c r="F273" s="49">
        <v>55403</v>
      </c>
      <c r="G273" s="49"/>
      <c r="H273" s="44" t="s">
        <v>19</v>
      </c>
      <c r="I273" s="50" t="s">
        <v>14</v>
      </c>
      <c r="J273" s="50"/>
      <c r="K273" s="47" t="s">
        <v>8</v>
      </c>
      <c r="L273" s="48">
        <v>3855497.44</v>
      </c>
    </row>
    <row r="274" spans="1:12" ht="91.8" hidden="1" x14ac:dyDescent="0.3">
      <c r="A274" s="42" t="s">
        <v>365</v>
      </c>
      <c r="B274" s="43" t="s">
        <v>366</v>
      </c>
      <c r="C274" s="43" t="s">
        <v>374</v>
      </c>
      <c r="D274" s="43" t="s">
        <v>368</v>
      </c>
      <c r="E274" s="44" t="s">
        <v>13</v>
      </c>
      <c r="F274" s="49">
        <v>538560</v>
      </c>
      <c r="G274" s="49"/>
      <c r="H274" s="44" t="s">
        <v>19</v>
      </c>
      <c r="I274" s="50" t="s">
        <v>14</v>
      </c>
      <c r="J274" s="50"/>
      <c r="K274" s="47" t="s">
        <v>8</v>
      </c>
      <c r="L274" s="48">
        <v>4394057.4400000004</v>
      </c>
    </row>
    <row r="275" spans="1:12" ht="91.8" hidden="1" x14ac:dyDescent="0.3">
      <c r="A275" s="42" t="s">
        <v>365</v>
      </c>
      <c r="B275" s="43" t="s">
        <v>366</v>
      </c>
      <c r="C275" s="43" t="s">
        <v>375</v>
      </c>
      <c r="D275" s="43" t="s">
        <v>368</v>
      </c>
      <c r="E275" s="44" t="s">
        <v>13</v>
      </c>
      <c r="F275" s="49">
        <v>157995</v>
      </c>
      <c r="G275" s="49"/>
      <c r="H275" s="44" t="s">
        <v>19</v>
      </c>
      <c r="I275" s="50" t="s">
        <v>14</v>
      </c>
      <c r="J275" s="50"/>
      <c r="K275" s="47" t="s">
        <v>8</v>
      </c>
      <c r="L275" s="48">
        <v>4552052.4400000004</v>
      </c>
    </row>
    <row r="276" spans="1:12" ht="91.8" hidden="1" x14ac:dyDescent="0.3">
      <c r="A276" s="42" t="s">
        <v>365</v>
      </c>
      <c r="B276" s="43" t="s">
        <v>366</v>
      </c>
      <c r="C276" s="43" t="s">
        <v>376</v>
      </c>
      <c r="D276" s="43" t="s">
        <v>368</v>
      </c>
      <c r="E276" s="44" t="s">
        <v>13</v>
      </c>
      <c r="F276" s="49">
        <v>160644</v>
      </c>
      <c r="G276" s="49"/>
      <c r="H276" s="44" t="s">
        <v>19</v>
      </c>
      <c r="I276" s="50" t="s">
        <v>14</v>
      </c>
      <c r="J276" s="50"/>
      <c r="K276" s="47" t="s">
        <v>8</v>
      </c>
      <c r="L276" s="48">
        <v>4712696.4400000004</v>
      </c>
    </row>
    <row r="277" spans="1:12" ht="81.599999999999994" hidden="1" x14ac:dyDescent="0.3">
      <c r="A277" s="42" t="s">
        <v>365</v>
      </c>
      <c r="B277" s="43" t="s">
        <v>366</v>
      </c>
      <c r="C277" s="43" t="s">
        <v>377</v>
      </c>
      <c r="D277" s="43" t="s">
        <v>368</v>
      </c>
      <c r="E277" s="44" t="s">
        <v>13</v>
      </c>
      <c r="F277" s="49">
        <v>130094</v>
      </c>
      <c r="G277" s="49"/>
      <c r="H277" s="44" t="s">
        <v>19</v>
      </c>
      <c r="I277" s="50" t="s">
        <v>14</v>
      </c>
      <c r="J277" s="50"/>
      <c r="K277" s="47" t="s">
        <v>8</v>
      </c>
      <c r="L277" s="48">
        <v>4842790.4400000004</v>
      </c>
    </row>
    <row r="278" spans="1:12" ht="81.599999999999994" hidden="1" x14ac:dyDescent="0.3">
      <c r="A278" s="42" t="s">
        <v>365</v>
      </c>
      <c r="B278" s="43" t="s">
        <v>366</v>
      </c>
      <c r="C278" s="43" t="s">
        <v>378</v>
      </c>
      <c r="D278" s="43" t="s">
        <v>368</v>
      </c>
      <c r="E278" s="44" t="s">
        <v>13</v>
      </c>
      <c r="F278" s="49">
        <v>533610</v>
      </c>
      <c r="G278" s="49"/>
      <c r="H278" s="44" t="s">
        <v>19</v>
      </c>
      <c r="I278" s="50" t="s">
        <v>14</v>
      </c>
      <c r="J278" s="50"/>
      <c r="K278" s="47" t="s">
        <v>8</v>
      </c>
      <c r="L278" s="48">
        <v>5376400.4400000004</v>
      </c>
    </row>
    <row r="279" spans="1:12" ht="61.2" hidden="1" x14ac:dyDescent="0.3">
      <c r="A279" s="42" t="s">
        <v>379</v>
      </c>
      <c r="B279" s="43" t="s">
        <v>380</v>
      </c>
      <c r="C279" s="43" t="s">
        <v>381</v>
      </c>
      <c r="D279" s="43" t="s">
        <v>382</v>
      </c>
      <c r="E279" s="44" t="s">
        <v>13</v>
      </c>
      <c r="F279" s="49">
        <v>13751.86</v>
      </c>
      <c r="G279" s="49"/>
      <c r="H279" s="44" t="s">
        <v>19</v>
      </c>
      <c r="I279" s="50" t="s">
        <v>14</v>
      </c>
      <c r="J279" s="50"/>
      <c r="K279" s="47" t="s">
        <v>8</v>
      </c>
      <c r="L279" s="48">
        <v>93573.98</v>
      </c>
    </row>
    <row r="280" spans="1:12" ht="61.2" hidden="1" x14ac:dyDescent="0.3">
      <c r="A280" s="42" t="s">
        <v>379</v>
      </c>
      <c r="B280" s="43" t="s">
        <v>383</v>
      </c>
      <c r="C280" s="43" t="s">
        <v>384</v>
      </c>
      <c r="D280" s="43" t="s">
        <v>385</v>
      </c>
      <c r="E280" s="44" t="s">
        <v>13</v>
      </c>
      <c r="F280" s="49">
        <v>8119.3</v>
      </c>
      <c r="G280" s="49"/>
      <c r="H280" s="44" t="s">
        <v>19</v>
      </c>
      <c r="I280" s="50" t="s">
        <v>14</v>
      </c>
      <c r="J280" s="50"/>
      <c r="K280" s="47" t="s">
        <v>8</v>
      </c>
      <c r="L280" s="48">
        <v>290853.78999999998</v>
      </c>
    </row>
    <row r="281" spans="1:12" ht="61.2" hidden="1" x14ac:dyDescent="0.3">
      <c r="A281" s="42" t="s">
        <v>379</v>
      </c>
      <c r="B281" s="43" t="s">
        <v>386</v>
      </c>
      <c r="C281" s="43" t="s">
        <v>387</v>
      </c>
      <c r="D281" s="43" t="s">
        <v>381</v>
      </c>
      <c r="E281" s="44" t="s">
        <v>13</v>
      </c>
      <c r="F281" s="45" t="s">
        <v>14</v>
      </c>
      <c r="G281" s="45"/>
      <c r="H281" s="44" t="s">
        <v>13</v>
      </c>
      <c r="I281" s="46">
        <v>5699.57</v>
      </c>
      <c r="J281" s="46"/>
      <c r="K281" s="47" t="s">
        <v>8</v>
      </c>
      <c r="L281" s="48">
        <v>87874.41</v>
      </c>
    </row>
    <row r="282" spans="1:12" ht="61.2" hidden="1" x14ac:dyDescent="0.3">
      <c r="A282" s="42" t="s">
        <v>379</v>
      </c>
      <c r="B282" s="43" t="s">
        <v>386</v>
      </c>
      <c r="C282" s="43" t="s">
        <v>387</v>
      </c>
      <c r="D282" s="43" t="s">
        <v>381</v>
      </c>
      <c r="E282" s="44" t="s">
        <v>13</v>
      </c>
      <c r="F282" s="49">
        <v>5699.57</v>
      </c>
      <c r="G282" s="49"/>
      <c r="H282" s="44" t="s">
        <v>13</v>
      </c>
      <c r="I282" s="50" t="s">
        <v>14</v>
      </c>
      <c r="J282" s="50"/>
      <c r="K282" s="47" t="s">
        <v>8</v>
      </c>
      <c r="L282" s="48">
        <v>5382100.0099999998</v>
      </c>
    </row>
    <row r="283" spans="1:12" ht="61.2" hidden="1" x14ac:dyDescent="0.3">
      <c r="A283" s="42" t="s">
        <v>379</v>
      </c>
      <c r="B283" s="43" t="s">
        <v>388</v>
      </c>
      <c r="C283" s="43" t="s">
        <v>389</v>
      </c>
      <c r="D283" s="43" t="s">
        <v>381</v>
      </c>
      <c r="E283" s="44" t="s">
        <v>13</v>
      </c>
      <c r="F283" s="49">
        <v>4407.22</v>
      </c>
      <c r="G283" s="49"/>
      <c r="H283" s="44" t="s">
        <v>13</v>
      </c>
      <c r="I283" s="50" t="s">
        <v>14</v>
      </c>
      <c r="J283" s="50"/>
      <c r="K283" s="47" t="s">
        <v>8</v>
      </c>
      <c r="L283" s="48">
        <v>2095239.79</v>
      </c>
    </row>
    <row r="284" spans="1:12" ht="61.2" hidden="1" x14ac:dyDescent="0.3">
      <c r="A284" s="42" t="s">
        <v>379</v>
      </c>
      <c r="B284" s="43" t="s">
        <v>388</v>
      </c>
      <c r="C284" s="43" t="s">
        <v>389</v>
      </c>
      <c r="D284" s="43" t="s">
        <v>381</v>
      </c>
      <c r="E284" s="44" t="s">
        <v>13</v>
      </c>
      <c r="F284" s="45" t="s">
        <v>14</v>
      </c>
      <c r="G284" s="45"/>
      <c r="H284" s="44" t="s">
        <v>13</v>
      </c>
      <c r="I284" s="46">
        <v>4407.22</v>
      </c>
      <c r="J284" s="46"/>
      <c r="K284" s="47" t="s">
        <v>8</v>
      </c>
      <c r="L284" s="48">
        <v>83467.19</v>
      </c>
    </row>
    <row r="285" spans="1:12" ht="61.2" hidden="1" x14ac:dyDescent="0.3">
      <c r="A285" s="42" t="s">
        <v>379</v>
      </c>
      <c r="B285" s="43" t="s">
        <v>390</v>
      </c>
      <c r="C285" s="43" t="s">
        <v>391</v>
      </c>
      <c r="D285" s="43" t="s">
        <v>381</v>
      </c>
      <c r="E285" s="44" t="s">
        <v>13</v>
      </c>
      <c r="F285" s="49">
        <v>3645.07</v>
      </c>
      <c r="G285" s="49"/>
      <c r="H285" s="44" t="s">
        <v>13</v>
      </c>
      <c r="I285" s="50" t="s">
        <v>14</v>
      </c>
      <c r="J285" s="50"/>
      <c r="K285" s="47" t="s">
        <v>8</v>
      </c>
      <c r="L285" s="48">
        <v>294498.86</v>
      </c>
    </row>
    <row r="286" spans="1:12" ht="61.2" hidden="1" x14ac:dyDescent="0.3">
      <c r="A286" s="42" t="s">
        <v>379</v>
      </c>
      <c r="B286" s="43" t="s">
        <v>390</v>
      </c>
      <c r="C286" s="43" t="s">
        <v>391</v>
      </c>
      <c r="D286" s="43" t="s">
        <v>381</v>
      </c>
      <c r="E286" s="44" t="s">
        <v>13</v>
      </c>
      <c r="F286" s="45" t="s">
        <v>14</v>
      </c>
      <c r="G286" s="45"/>
      <c r="H286" s="44" t="s">
        <v>13</v>
      </c>
      <c r="I286" s="46">
        <v>3645.07</v>
      </c>
      <c r="J286" s="46"/>
      <c r="K286" s="47" t="s">
        <v>8</v>
      </c>
      <c r="L286" s="48">
        <v>79822.12</v>
      </c>
    </row>
    <row r="287" spans="1:12" ht="51" hidden="1" x14ac:dyDescent="0.3">
      <c r="A287" s="42" t="s">
        <v>392</v>
      </c>
      <c r="B287" s="43" t="s">
        <v>393</v>
      </c>
      <c r="C287" s="43" t="s">
        <v>394</v>
      </c>
      <c r="D287" s="43" t="s">
        <v>395</v>
      </c>
      <c r="E287" s="44" t="s">
        <v>13</v>
      </c>
      <c r="F287" s="52">
        <v>370</v>
      </c>
      <c r="G287" s="52"/>
      <c r="H287" s="44" t="s">
        <v>396</v>
      </c>
      <c r="I287" s="50" t="s">
        <v>14</v>
      </c>
      <c r="J287" s="50"/>
      <c r="K287" s="47" t="s">
        <v>8</v>
      </c>
      <c r="L287" s="48">
        <v>80192.12</v>
      </c>
    </row>
    <row r="288" spans="1:12" ht="51" hidden="1" x14ac:dyDescent="0.3">
      <c r="A288" s="42" t="s">
        <v>392</v>
      </c>
      <c r="B288" s="43" t="s">
        <v>393</v>
      </c>
      <c r="C288" s="43" t="s">
        <v>397</v>
      </c>
      <c r="D288" s="43" t="s">
        <v>395</v>
      </c>
      <c r="E288" s="44" t="s">
        <v>13</v>
      </c>
      <c r="F288" s="52">
        <v>300</v>
      </c>
      <c r="G288" s="52"/>
      <c r="H288" s="44" t="s">
        <v>396</v>
      </c>
      <c r="I288" s="50" t="s">
        <v>14</v>
      </c>
      <c r="J288" s="50"/>
      <c r="K288" s="47" t="s">
        <v>8</v>
      </c>
      <c r="L288" s="48">
        <v>80492.12</v>
      </c>
    </row>
    <row r="289" spans="1:12" ht="51" hidden="1" x14ac:dyDescent="0.3">
      <c r="A289" s="42" t="s">
        <v>392</v>
      </c>
      <c r="B289" s="43" t="s">
        <v>393</v>
      </c>
      <c r="C289" s="43" t="s">
        <v>398</v>
      </c>
      <c r="D289" s="43" t="s">
        <v>395</v>
      </c>
      <c r="E289" s="44" t="s">
        <v>13</v>
      </c>
      <c r="F289" s="52">
        <v>130</v>
      </c>
      <c r="G289" s="52"/>
      <c r="H289" s="44" t="s">
        <v>396</v>
      </c>
      <c r="I289" s="50" t="s">
        <v>14</v>
      </c>
      <c r="J289" s="50"/>
      <c r="K289" s="47" t="s">
        <v>8</v>
      </c>
      <c r="L289" s="48">
        <v>80622.12</v>
      </c>
    </row>
    <row r="290" spans="1:12" ht="91.8" x14ac:dyDescent="0.3">
      <c r="A290" s="42" t="s">
        <v>392</v>
      </c>
      <c r="B290" s="43" t="s">
        <v>399</v>
      </c>
      <c r="C290" s="43" t="s">
        <v>99</v>
      </c>
      <c r="D290" s="43" t="s">
        <v>367</v>
      </c>
      <c r="E290" s="44" t="s">
        <v>101</v>
      </c>
      <c r="F290" s="45" t="s">
        <v>14</v>
      </c>
      <c r="G290" s="45"/>
      <c r="H290" s="44" t="s">
        <v>13</v>
      </c>
      <c r="I290" s="46">
        <v>165132</v>
      </c>
      <c r="J290" s="46"/>
      <c r="K290" s="47" t="s">
        <v>8</v>
      </c>
      <c r="L290" s="48">
        <v>5216968.01</v>
      </c>
    </row>
    <row r="291" spans="1:12" ht="91.8" x14ac:dyDescent="0.3">
      <c r="A291" s="42" t="s">
        <v>392</v>
      </c>
      <c r="B291" s="43" t="s">
        <v>399</v>
      </c>
      <c r="C291" s="43" t="s">
        <v>99</v>
      </c>
      <c r="D291" s="43" t="s">
        <v>369</v>
      </c>
      <c r="E291" s="44" t="s">
        <v>101</v>
      </c>
      <c r="F291" s="45" t="s">
        <v>14</v>
      </c>
      <c r="G291" s="45"/>
      <c r="H291" s="44" t="s">
        <v>13</v>
      </c>
      <c r="I291" s="46">
        <v>268884</v>
      </c>
      <c r="J291" s="46"/>
      <c r="K291" s="47" t="s">
        <v>8</v>
      </c>
      <c r="L291" s="48">
        <v>4948084.01</v>
      </c>
    </row>
    <row r="292" spans="1:12" ht="91.8" x14ac:dyDescent="0.3">
      <c r="A292" s="42" t="s">
        <v>392</v>
      </c>
      <c r="B292" s="43" t="s">
        <v>399</v>
      </c>
      <c r="C292" s="43" t="s">
        <v>99</v>
      </c>
      <c r="D292" s="43" t="s">
        <v>370</v>
      </c>
      <c r="E292" s="44" t="s">
        <v>101</v>
      </c>
      <c r="F292" s="45" t="s">
        <v>14</v>
      </c>
      <c r="G292" s="45"/>
      <c r="H292" s="44" t="s">
        <v>13</v>
      </c>
      <c r="I292" s="46">
        <v>701309</v>
      </c>
      <c r="J292" s="46"/>
      <c r="K292" s="47" t="s">
        <v>8</v>
      </c>
      <c r="L292" s="48">
        <v>4246775.01</v>
      </c>
    </row>
    <row r="293" spans="1:12" ht="91.8" x14ac:dyDescent="0.3">
      <c r="A293" s="42" t="s">
        <v>392</v>
      </c>
      <c r="B293" s="43" t="s">
        <v>399</v>
      </c>
      <c r="C293" s="43" t="s">
        <v>99</v>
      </c>
      <c r="D293" s="43" t="s">
        <v>371</v>
      </c>
      <c r="E293" s="44" t="s">
        <v>101</v>
      </c>
      <c r="F293" s="45" t="s">
        <v>14</v>
      </c>
      <c r="G293" s="45"/>
      <c r="H293" s="44" t="s">
        <v>13</v>
      </c>
      <c r="I293" s="46">
        <v>272160</v>
      </c>
      <c r="J293" s="46"/>
      <c r="K293" s="47" t="s">
        <v>8</v>
      </c>
      <c r="L293" s="48">
        <v>3974615.01</v>
      </c>
    </row>
    <row r="294" spans="1:12" ht="91.8" x14ac:dyDescent="0.3">
      <c r="A294" s="42" t="s">
        <v>392</v>
      </c>
      <c r="B294" s="43" t="s">
        <v>399</v>
      </c>
      <c r="C294" s="43" t="s">
        <v>99</v>
      </c>
      <c r="D294" s="43" t="s">
        <v>372</v>
      </c>
      <c r="E294" s="44" t="s">
        <v>101</v>
      </c>
      <c r="F294" s="45" t="s">
        <v>14</v>
      </c>
      <c r="G294" s="45"/>
      <c r="H294" s="44" t="s">
        <v>13</v>
      </c>
      <c r="I294" s="46">
        <v>21780</v>
      </c>
      <c r="J294" s="46"/>
      <c r="K294" s="47" t="s">
        <v>8</v>
      </c>
      <c r="L294" s="48">
        <v>3952835.01</v>
      </c>
    </row>
    <row r="295" spans="1:12" ht="91.8" x14ac:dyDescent="0.3">
      <c r="A295" s="42" t="s">
        <v>392</v>
      </c>
      <c r="B295" s="43" t="s">
        <v>399</v>
      </c>
      <c r="C295" s="43" t="s">
        <v>99</v>
      </c>
      <c r="D295" s="43" t="s">
        <v>373</v>
      </c>
      <c r="E295" s="44" t="s">
        <v>101</v>
      </c>
      <c r="F295" s="45" t="s">
        <v>14</v>
      </c>
      <c r="G295" s="45"/>
      <c r="H295" s="44" t="s">
        <v>13</v>
      </c>
      <c r="I295" s="46">
        <v>55403</v>
      </c>
      <c r="J295" s="46"/>
      <c r="K295" s="47" t="s">
        <v>8</v>
      </c>
      <c r="L295" s="48">
        <v>3897432.01</v>
      </c>
    </row>
    <row r="296" spans="1:12" ht="91.8" x14ac:dyDescent="0.3">
      <c r="A296" s="42" t="s">
        <v>392</v>
      </c>
      <c r="B296" s="43" t="s">
        <v>399</v>
      </c>
      <c r="C296" s="43" t="s">
        <v>99</v>
      </c>
      <c r="D296" s="43" t="s">
        <v>374</v>
      </c>
      <c r="E296" s="44" t="s">
        <v>101</v>
      </c>
      <c r="F296" s="45" t="s">
        <v>14</v>
      </c>
      <c r="G296" s="45"/>
      <c r="H296" s="44" t="s">
        <v>13</v>
      </c>
      <c r="I296" s="46">
        <v>538560</v>
      </c>
      <c r="J296" s="46"/>
      <c r="K296" s="47" t="s">
        <v>8</v>
      </c>
      <c r="L296" s="48">
        <v>3358872.01</v>
      </c>
    </row>
    <row r="297" spans="1:12" ht="91.8" x14ac:dyDescent="0.3">
      <c r="A297" s="42" t="s">
        <v>392</v>
      </c>
      <c r="B297" s="43" t="s">
        <v>399</v>
      </c>
      <c r="C297" s="43" t="s">
        <v>99</v>
      </c>
      <c r="D297" s="43" t="s">
        <v>375</v>
      </c>
      <c r="E297" s="44" t="s">
        <v>101</v>
      </c>
      <c r="F297" s="45" t="s">
        <v>14</v>
      </c>
      <c r="G297" s="45"/>
      <c r="H297" s="44" t="s">
        <v>13</v>
      </c>
      <c r="I297" s="46">
        <v>157995</v>
      </c>
      <c r="J297" s="46"/>
      <c r="K297" s="47" t="s">
        <v>8</v>
      </c>
      <c r="L297" s="48">
        <v>3200877.01</v>
      </c>
    </row>
    <row r="298" spans="1:12" ht="91.8" x14ac:dyDescent="0.3">
      <c r="A298" s="42" t="s">
        <v>392</v>
      </c>
      <c r="B298" s="43" t="s">
        <v>399</v>
      </c>
      <c r="C298" s="43" t="s">
        <v>99</v>
      </c>
      <c r="D298" s="43" t="s">
        <v>376</v>
      </c>
      <c r="E298" s="44" t="s">
        <v>101</v>
      </c>
      <c r="F298" s="45" t="s">
        <v>14</v>
      </c>
      <c r="G298" s="45"/>
      <c r="H298" s="44" t="s">
        <v>13</v>
      </c>
      <c r="I298" s="46">
        <v>160644</v>
      </c>
      <c r="J298" s="46"/>
      <c r="K298" s="47" t="s">
        <v>8</v>
      </c>
      <c r="L298" s="48">
        <v>3040233.01</v>
      </c>
    </row>
    <row r="299" spans="1:12" ht="81.599999999999994" x14ac:dyDescent="0.3">
      <c r="A299" s="42" t="s">
        <v>392</v>
      </c>
      <c r="B299" s="43" t="s">
        <v>399</v>
      </c>
      <c r="C299" s="43" t="s">
        <v>99</v>
      </c>
      <c r="D299" s="43" t="s">
        <v>377</v>
      </c>
      <c r="E299" s="44" t="s">
        <v>101</v>
      </c>
      <c r="F299" s="45" t="s">
        <v>14</v>
      </c>
      <c r="G299" s="45"/>
      <c r="H299" s="44" t="s">
        <v>13</v>
      </c>
      <c r="I299" s="46">
        <v>130094</v>
      </c>
      <c r="J299" s="46"/>
      <c r="K299" s="47" t="s">
        <v>8</v>
      </c>
      <c r="L299" s="48">
        <v>2910139.01</v>
      </c>
    </row>
    <row r="300" spans="1:12" ht="81.599999999999994" x14ac:dyDescent="0.3">
      <c r="A300" s="42" t="s">
        <v>392</v>
      </c>
      <c r="B300" s="43" t="s">
        <v>399</v>
      </c>
      <c r="C300" s="43" t="s">
        <v>99</v>
      </c>
      <c r="D300" s="43" t="s">
        <v>378</v>
      </c>
      <c r="E300" s="44" t="s">
        <v>101</v>
      </c>
      <c r="F300" s="45" t="s">
        <v>14</v>
      </c>
      <c r="G300" s="45"/>
      <c r="H300" s="44" t="s">
        <v>13</v>
      </c>
      <c r="I300" s="46">
        <v>533610</v>
      </c>
      <c r="J300" s="46"/>
      <c r="K300" s="47" t="s">
        <v>8</v>
      </c>
      <c r="L300" s="48">
        <v>2376529.0099999998</v>
      </c>
    </row>
    <row r="301" spans="1:12" ht="61.2" hidden="1" x14ac:dyDescent="0.3">
      <c r="A301" s="42" t="s">
        <v>392</v>
      </c>
      <c r="B301" s="43" t="s">
        <v>400</v>
      </c>
      <c r="C301" s="43" t="s">
        <v>401</v>
      </c>
      <c r="D301" s="43" t="s">
        <v>402</v>
      </c>
      <c r="E301" s="44" t="s">
        <v>13</v>
      </c>
      <c r="F301" s="49">
        <v>7955.5</v>
      </c>
      <c r="G301" s="49"/>
      <c r="H301" s="44" t="s">
        <v>19</v>
      </c>
      <c r="I301" s="50" t="s">
        <v>14</v>
      </c>
      <c r="J301" s="50"/>
      <c r="K301" s="47" t="s">
        <v>8</v>
      </c>
      <c r="L301" s="48">
        <v>466560.15</v>
      </c>
    </row>
    <row r="302" spans="1:12" ht="61.2" hidden="1" x14ac:dyDescent="0.3">
      <c r="A302" s="42" t="s">
        <v>392</v>
      </c>
      <c r="B302" s="43" t="s">
        <v>400</v>
      </c>
      <c r="C302" s="43" t="s">
        <v>403</v>
      </c>
      <c r="D302" s="43" t="s">
        <v>402</v>
      </c>
      <c r="E302" s="44" t="s">
        <v>13</v>
      </c>
      <c r="F302" s="49">
        <v>10851.05</v>
      </c>
      <c r="G302" s="49"/>
      <c r="H302" s="44" t="s">
        <v>19</v>
      </c>
      <c r="I302" s="50" t="s">
        <v>14</v>
      </c>
      <c r="J302" s="50"/>
      <c r="K302" s="47" t="s">
        <v>8</v>
      </c>
      <c r="L302" s="48">
        <v>477411.2</v>
      </c>
    </row>
    <row r="303" spans="1:12" ht="61.2" hidden="1" x14ac:dyDescent="0.3">
      <c r="A303" s="42" t="s">
        <v>392</v>
      </c>
      <c r="B303" s="43" t="s">
        <v>400</v>
      </c>
      <c r="C303" s="43" t="s">
        <v>404</v>
      </c>
      <c r="D303" s="43" t="s">
        <v>402</v>
      </c>
      <c r="E303" s="44" t="s">
        <v>13</v>
      </c>
      <c r="F303" s="49">
        <v>22461</v>
      </c>
      <c r="G303" s="49"/>
      <c r="H303" s="44" t="s">
        <v>19</v>
      </c>
      <c r="I303" s="50" t="s">
        <v>14</v>
      </c>
      <c r="J303" s="50"/>
      <c r="K303" s="47" t="s">
        <v>8</v>
      </c>
      <c r="L303" s="48">
        <v>499872.2</v>
      </c>
    </row>
    <row r="304" spans="1:12" ht="61.2" hidden="1" x14ac:dyDescent="0.3">
      <c r="A304" s="42" t="s">
        <v>392</v>
      </c>
      <c r="B304" s="43" t="s">
        <v>400</v>
      </c>
      <c r="C304" s="43" t="s">
        <v>405</v>
      </c>
      <c r="D304" s="43" t="s">
        <v>402</v>
      </c>
      <c r="E304" s="44" t="s">
        <v>13</v>
      </c>
      <c r="F304" s="49">
        <v>2805.9</v>
      </c>
      <c r="G304" s="49"/>
      <c r="H304" s="44" t="s">
        <v>19</v>
      </c>
      <c r="I304" s="50" t="s">
        <v>14</v>
      </c>
      <c r="J304" s="50"/>
      <c r="K304" s="47" t="s">
        <v>8</v>
      </c>
      <c r="L304" s="48">
        <v>502678.1</v>
      </c>
    </row>
    <row r="305" spans="1:12" ht="61.2" hidden="1" x14ac:dyDescent="0.3">
      <c r="A305" s="42" t="s">
        <v>392</v>
      </c>
      <c r="B305" s="43" t="s">
        <v>400</v>
      </c>
      <c r="C305" s="43" t="s">
        <v>406</v>
      </c>
      <c r="D305" s="43" t="s">
        <v>402</v>
      </c>
      <c r="E305" s="44" t="s">
        <v>13</v>
      </c>
      <c r="F305" s="49">
        <v>13538</v>
      </c>
      <c r="G305" s="49"/>
      <c r="H305" s="44" t="s">
        <v>19</v>
      </c>
      <c r="I305" s="50" t="s">
        <v>14</v>
      </c>
      <c r="J305" s="50"/>
      <c r="K305" s="47" t="s">
        <v>8</v>
      </c>
      <c r="L305" s="48">
        <v>516216.1</v>
      </c>
    </row>
    <row r="306" spans="1:12" ht="61.2" hidden="1" x14ac:dyDescent="0.3">
      <c r="A306" s="42" t="s">
        <v>392</v>
      </c>
      <c r="B306" s="43" t="s">
        <v>400</v>
      </c>
      <c r="C306" s="43" t="s">
        <v>407</v>
      </c>
      <c r="D306" s="43" t="s">
        <v>402</v>
      </c>
      <c r="E306" s="44" t="s">
        <v>13</v>
      </c>
      <c r="F306" s="49">
        <v>18767.54</v>
      </c>
      <c r="G306" s="49"/>
      <c r="H306" s="44" t="s">
        <v>19</v>
      </c>
      <c r="I306" s="50" t="s">
        <v>14</v>
      </c>
      <c r="J306" s="50"/>
      <c r="K306" s="47" t="s">
        <v>8</v>
      </c>
      <c r="L306" s="48">
        <v>534983.64</v>
      </c>
    </row>
    <row r="307" spans="1:12" ht="61.2" hidden="1" x14ac:dyDescent="0.3">
      <c r="A307" s="42" t="s">
        <v>392</v>
      </c>
      <c r="B307" s="43" t="s">
        <v>408</v>
      </c>
      <c r="C307" s="43" t="s">
        <v>409</v>
      </c>
      <c r="D307" s="43" t="s">
        <v>402</v>
      </c>
      <c r="E307" s="44" t="s">
        <v>13</v>
      </c>
      <c r="F307" s="52">
        <v>845.42</v>
      </c>
      <c r="G307" s="52"/>
      <c r="H307" s="44" t="s">
        <v>19</v>
      </c>
      <c r="I307" s="50" t="s">
        <v>14</v>
      </c>
      <c r="J307" s="50"/>
      <c r="K307" s="47" t="s">
        <v>8</v>
      </c>
      <c r="L307" s="48">
        <v>535829.06000000006</v>
      </c>
    </row>
    <row r="308" spans="1:12" ht="61.2" hidden="1" x14ac:dyDescent="0.3">
      <c r="A308" s="42" t="s">
        <v>392</v>
      </c>
      <c r="B308" s="43" t="s">
        <v>400</v>
      </c>
      <c r="C308" s="43" t="s">
        <v>409</v>
      </c>
      <c r="D308" s="43" t="s">
        <v>402</v>
      </c>
      <c r="E308" s="44" t="s">
        <v>13</v>
      </c>
      <c r="F308" s="49">
        <v>3002.83</v>
      </c>
      <c r="G308" s="49"/>
      <c r="H308" s="44" t="s">
        <v>19</v>
      </c>
      <c r="I308" s="50" t="s">
        <v>14</v>
      </c>
      <c r="J308" s="50"/>
      <c r="K308" s="47" t="s">
        <v>8</v>
      </c>
      <c r="L308" s="48">
        <v>538831.89</v>
      </c>
    </row>
    <row r="309" spans="1:12" ht="61.2" hidden="1" x14ac:dyDescent="0.3">
      <c r="A309" s="42" t="s">
        <v>392</v>
      </c>
      <c r="B309" s="43" t="s">
        <v>410</v>
      </c>
      <c r="C309" s="43" t="s">
        <v>411</v>
      </c>
      <c r="D309" s="43" t="s">
        <v>412</v>
      </c>
      <c r="E309" s="44" t="s">
        <v>13</v>
      </c>
      <c r="F309" s="49">
        <v>2085</v>
      </c>
      <c r="G309" s="49"/>
      <c r="H309" s="44" t="s">
        <v>19</v>
      </c>
      <c r="I309" s="50" t="s">
        <v>14</v>
      </c>
      <c r="J309" s="50"/>
      <c r="K309" s="47" t="s">
        <v>8</v>
      </c>
      <c r="L309" s="48">
        <v>2097324.79</v>
      </c>
    </row>
    <row r="310" spans="1:12" ht="61.2" hidden="1" x14ac:dyDescent="0.3">
      <c r="A310" s="42" t="s">
        <v>392</v>
      </c>
      <c r="B310" s="43" t="s">
        <v>410</v>
      </c>
      <c r="C310" s="43" t="s">
        <v>413</v>
      </c>
      <c r="D310" s="43" t="s">
        <v>412</v>
      </c>
      <c r="E310" s="44" t="s">
        <v>13</v>
      </c>
      <c r="F310" s="49">
        <v>1830</v>
      </c>
      <c r="G310" s="49"/>
      <c r="H310" s="44" t="s">
        <v>19</v>
      </c>
      <c r="I310" s="50" t="s">
        <v>14</v>
      </c>
      <c r="J310" s="50"/>
      <c r="K310" s="47" t="s">
        <v>8</v>
      </c>
      <c r="L310" s="48">
        <v>2099154.79</v>
      </c>
    </row>
    <row r="311" spans="1:12" ht="61.2" hidden="1" x14ac:dyDescent="0.3">
      <c r="A311" s="42" t="s">
        <v>392</v>
      </c>
      <c r="B311" s="43" t="s">
        <v>410</v>
      </c>
      <c r="C311" s="43" t="s">
        <v>414</v>
      </c>
      <c r="D311" s="43" t="s">
        <v>412</v>
      </c>
      <c r="E311" s="44" t="s">
        <v>13</v>
      </c>
      <c r="F311" s="49">
        <v>4390</v>
      </c>
      <c r="G311" s="49"/>
      <c r="H311" s="44" t="s">
        <v>19</v>
      </c>
      <c r="I311" s="50" t="s">
        <v>14</v>
      </c>
      <c r="J311" s="50"/>
      <c r="K311" s="47" t="s">
        <v>8</v>
      </c>
      <c r="L311" s="48">
        <v>2103544.79</v>
      </c>
    </row>
    <row r="312" spans="1:12" ht="71.400000000000006" hidden="1" x14ac:dyDescent="0.3">
      <c r="A312" s="42" t="s">
        <v>392</v>
      </c>
      <c r="B312" s="43" t="s">
        <v>410</v>
      </c>
      <c r="C312" s="43" t="s">
        <v>415</v>
      </c>
      <c r="D312" s="43" t="s">
        <v>412</v>
      </c>
      <c r="E312" s="44" t="s">
        <v>13</v>
      </c>
      <c r="F312" s="49">
        <v>3200</v>
      </c>
      <c r="G312" s="49"/>
      <c r="H312" s="44" t="s">
        <v>19</v>
      </c>
      <c r="I312" s="50" t="s">
        <v>14</v>
      </c>
      <c r="J312" s="50"/>
      <c r="K312" s="47" t="s">
        <v>8</v>
      </c>
      <c r="L312" s="48">
        <v>2106744.79</v>
      </c>
    </row>
    <row r="313" spans="1:12" ht="61.2" hidden="1" x14ac:dyDescent="0.3">
      <c r="A313" s="42" t="s">
        <v>392</v>
      </c>
      <c r="B313" s="43" t="s">
        <v>416</v>
      </c>
      <c r="C313" s="43" t="s">
        <v>417</v>
      </c>
      <c r="D313" s="43" t="s">
        <v>418</v>
      </c>
      <c r="E313" s="44" t="s">
        <v>13</v>
      </c>
      <c r="F313" s="52">
        <v>675</v>
      </c>
      <c r="G313" s="52"/>
      <c r="H313" s="44" t="s">
        <v>19</v>
      </c>
      <c r="I313" s="50" t="s">
        <v>14</v>
      </c>
      <c r="J313" s="50"/>
      <c r="K313" s="47" t="s">
        <v>8</v>
      </c>
      <c r="L313" s="48">
        <v>2107419.79</v>
      </c>
    </row>
    <row r="314" spans="1:12" ht="81.599999999999994" hidden="1" x14ac:dyDescent="0.3">
      <c r="A314" s="42" t="s">
        <v>392</v>
      </c>
      <c r="B314" s="43" t="s">
        <v>419</v>
      </c>
      <c r="C314" s="43" t="s">
        <v>420</v>
      </c>
      <c r="D314" s="43" t="s">
        <v>421</v>
      </c>
      <c r="E314" s="44" t="s">
        <v>13</v>
      </c>
      <c r="F314" s="52">
        <v>383.04</v>
      </c>
      <c r="G314" s="52"/>
      <c r="H314" s="44" t="s">
        <v>19</v>
      </c>
      <c r="I314" s="50" t="s">
        <v>14</v>
      </c>
      <c r="J314" s="50"/>
      <c r="K314" s="47" t="s">
        <v>8</v>
      </c>
      <c r="L314" s="48">
        <v>2517820.9</v>
      </c>
    </row>
    <row r="315" spans="1:12" ht="81.599999999999994" hidden="1" x14ac:dyDescent="0.3">
      <c r="A315" s="42" t="s">
        <v>392</v>
      </c>
      <c r="B315" s="43" t="s">
        <v>419</v>
      </c>
      <c r="C315" s="43" t="s">
        <v>422</v>
      </c>
      <c r="D315" s="43" t="s">
        <v>421</v>
      </c>
      <c r="E315" s="44" t="s">
        <v>13</v>
      </c>
      <c r="F315" s="52">
        <v>201.6</v>
      </c>
      <c r="G315" s="52"/>
      <c r="H315" s="44" t="s">
        <v>19</v>
      </c>
      <c r="I315" s="50" t="s">
        <v>14</v>
      </c>
      <c r="J315" s="50"/>
      <c r="K315" s="47" t="s">
        <v>8</v>
      </c>
      <c r="L315" s="48">
        <v>2518022.5</v>
      </c>
    </row>
    <row r="316" spans="1:12" ht="71.400000000000006" hidden="1" x14ac:dyDescent="0.3">
      <c r="A316" s="42" t="s">
        <v>392</v>
      </c>
      <c r="B316" s="43" t="s">
        <v>419</v>
      </c>
      <c r="C316" s="43" t="s">
        <v>423</v>
      </c>
      <c r="D316" s="43" t="s">
        <v>421</v>
      </c>
      <c r="E316" s="44" t="s">
        <v>13</v>
      </c>
      <c r="F316" s="49">
        <v>2448</v>
      </c>
      <c r="G316" s="49"/>
      <c r="H316" s="44" t="s">
        <v>19</v>
      </c>
      <c r="I316" s="50" t="s">
        <v>14</v>
      </c>
      <c r="J316" s="50"/>
      <c r="K316" s="47" t="s">
        <v>8</v>
      </c>
      <c r="L316" s="48">
        <v>2520470.5</v>
      </c>
    </row>
    <row r="317" spans="1:12" ht="81.599999999999994" hidden="1" x14ac:dyDescent="0.3">
      <c r="A317" s="42" t="s">
        <v>392</v>
      </c>
      <c r="B317" s="43" t="s">
        <v>419</v>
      </c>
      <c r="C317" s="43" t="s">
        <v>422</v>
      </c>
      <c r="D317" s="43" t="s">
        <v>421</v>
      </c>
      <c r="E317" s="44" t="s">
        <v>13</v>
      </c>
      <c r="F317" s="52">
        <v>230.4</v>
      </c>
      <c r="G317" s="52"/>
      <c r="H317" s="44" t="s">
        <v>19</v>
      </c>
      <c r="I317" s="50" t="s">
        <v>14</v>
      </c>
      <c r="J317" s="50"/>
      <c r="K317" s="47" t="s">
        <v>8</v>
      </c>
      <c r="L317" s="48">
        <v>2520700.9</v>
      </c>
    </row>
    <row r="318" spans="1:12" ht="61.2" hidden="1" x14ac:dyDescent="0.3">
      <c r="A318" s="42" t="s">
        <v>392</v>
      </c>
      <c r="B318" s="43" t="s">
        <v>424</v>
      </c>
      <c r="C318" s="43" t="s">
        <v>425</v>
      </c>
      <c r="D318" s="43" t="s">
        <v>426</v>
      </c>
      <c r="E318" s="44" t="s">
        <v>13</v>
      </c>
      <c r="F318" s="52">
        <v>432</v>
      </c>
      <c r="G318" s="52"/>
      <c r="H318" s="44" t="s">
        <v>19</v>
      </c>
      <c r="I318" s="50" t="s">
        <v>14</v>
      </c>
      <c r="J318" s="50"/>
      <c r="K318" s="47" t="s">
        <v>8</v>
      </c>
      <c r="L318" s="48">
        <v>2376961.0099999998</v>
      </c>
    </row>
    <row r="319" spans="1:12" ht="71.400000000000006" hidden="1" x14ac:dyDescent="0.3">
      <c r="A319" s="42" t="s">
        <v>392</v>
      </c>
      <c r="B319" s="43" t="s">
        <v>424</v>
      </c>
      <c r="C319" s="43" t="s">
        <v>427</v>
      </c>
      <c r="D319" s="43" t="s">
        <v>426</v>
      </c>
      <c r="E319" s="44" t="s">
        <v>13</v>
      </c>
      <c r="F319" s="49">
        <v>2310</v>
      </c>
      <c r="G319" s="49"/>
      <c r="H319" s="44" t="s">
        <v>19</v>
      </c>
      <c r="I319" s="50" t="s">
        <v>14</v>
      </c>
      <c r="J319" s="50"/>
      <c r="K319" s="47" t="s">
        <v>8</v>
      </c>
      <c r="L319" s="48">
        <v>2379271.0099999998</v>
      </c>
    </row>
    <row r="320" spans="1:12" ht="61.2" hidden="1" x14ac:dyDescent="0.3">
      <c r="A320" s="42" t="s">
        <v>392</v>
      </c>
      <c r="B320" s="43" t="s">
        <v>424</v>
      </c>
      <c r="C320" s="43" t="s">
        <v>428</v>
      </c>
      <c r="D320" s="43" t="s">
        <v>426</v>
      </c>
      <c r="E320" s="44" t="s">
        <v>13</v>
      </c>
      <c r="F320" s="49">
        <v>1440</v>
      </c>
      <c r="G320" s="49"/>
      <c r="H320" s="44" t="s">
        <v>19</v>
      </c>
      <c r="I320" s="50" t="s">
        <v>14</v>
      </c>
      <c r="J320" s="50"/>
      <c r="K320" s="47" t="s">
        <v>8</v>
      </c>
      <c r="L320" s="48">
        <v>2380711.0099999998</v>
      </c>
    </row>
    <row r="321" spans="1:12" ht="61.2" hidden="1" x14ac:dyDescent="0.3">
      <c r="A321" s="42" t="s">
        <v>392</v>
      </c>
      <c r="B321" s="43" t="s">
        <v>424</v>
      </c>
      <c r="C321" s="43" t="s">
        <v>429</v>
      </c>
      <c r="D321" s="43" t="s">
        <v>426</v>
      </c>
      <c r="E321" s="44" t="s">
        <v>13</v>
      </c>
      <c r="F321" s="49">
        <v>1740</v>
      </c>
      <c r="G321" s="49"/>
      <c r="H321" s="44" t="s">
        <v>19</v>
      </c>
      <c r="I321" s="50" t="s">
        <v>14</v>
      </c>
      <c r="J321" s="50"/>
      <c r="K321" s="47" t="s">
        <v>8</v>
      </c>
      <c r="L321" s="48">
        <v>2382451.0099999998</v>
      </c>
    </row>
    <row r="322" spans="1:12" ht="61.2" hidden="1" x14ac:dyDescent="0.3">
      <c r="A322" s="42" t="s">
        <v>392</v>
      </c>
      <c r="B322" s="43" t="s">
        <v>424</v>
      </c>
      <c r="C322" s="43" t="s">
        <v>430</v>
      </c>
      <c r="D322" s="43" t="s">
        <v>426</v>
      </c>
      <c r="E322" s="44" t="s">
        <v>13</v>
      </c>
      <c r="F322" s="52">
        <v>91.2</v>
      </c>
      <c r="G322" s="52"/>
      <c r="H322" s="44" t="s">
        <v>19</v>
      </c>
      <c r="I322" s="50" t="s">
        <v>14</v>
      </c>
      <c r="J322" s="50"/>
      <c r="K322" s="47" t="s">
        <v>8</v>
      </c>
      <c r="L322" s="48">
        <v>2382542.21</v>
      </c>
    </row>
    <row r="323" spans="1:12" ht="61.2" hidden="1" x14ac:dyDescent="0.3">
      <c r="A323" s="42" t="s">
        <v>392</v>
      </c>
      <c r="B323" s="43" t="s">
        <v>424</v>
      </c>
      <c r="C323" s="43" t="s">
        <v>431</v>
      </c>
      <c r="D323" s="43" t="s">
        <v>426</v>
      </c>
      <c r="E323" s="44" t="s">
        <v>13</v>
      </c>
      <c r="F323" s="52">
        <v>672</v>
      </c>
      <c r="G323" s="52"/>
      <c r="H323" s="44" t="s">
        <v>19</v>
      </c>
      <c r="I323" s="50" t="s">
        <v>14</v>
      </c>
      <c r="J323" s="50"/>
      <c r="K323" s="47" t="s">
        <v>8</v>
      </c>
      <c r="L323" s="48">
        <v>2383214.21</v>
      </c>
    </row>
    <row r="324" spans="1:12" ht="61.2" hidden="1" x14ac:dyDescent="0.3">
      <c r="A324" s="42" t="s">
        <v>392</v>
      </c>
      <c r="B324" s="43" t="s">
        <v>424</v>
      </c>
      <c r="C324" s="43" t="s">
        <v>432</v>
      </c>
      <c r="D324" s="43" t="s">
        <v>426</v>
      </c>
      <c r="E324" s="44" t="s">
        <v>13</v>
      </c>
      <c r="F324" s="52">
        <v>474.6</v>
      </c>
      <c r="G324" s="52"/>
      <c r="H324" s="44" t="s">
        <v>19</v>
      </c>
      <c r="I324" s="50" t="s">
        <v>14</v>
      </c>
      <c r="J324" s="50"/>
      <c r="K324" s="47" t="s">
        <v>8</v>
      </c>
      <c r="L324" s="48">
        <v>2383688.81</v>
      </c>
    </row>
    <row r="325" spans="1:12" ht="61.2" hidden="1" x14ac:dyDescent="0.3">
      <c r="A325" s="42" t="s">
        <v>392</v>
      </c>
      <c r="B325" s="43" t="s">
        <v>424</v>
      </c>
      <c r="C325" s="43" t="s">
        <v>433</v>
      </c>
      <c r="D325" s="43" t="s">
        <v>426</v>
      </c>
      <c r="E325" s="44" t="s">
        <v>13</v>
      </c>
      <c r="F325" s="52">
        <v>750</v>
      </c>
      <c r="G325" s="52"/>
      <c r="H325" s="44" t="s">
        <v>19</v>
      </c>
      <c r="I325" s="50" t="s">
        <v>14</v>
      </c>
      <c r="J325" s="50"/>
      <c r="K325" s="47" t="s">
        <v>8</v>
      </c>
      <c r="L325" s="48">
        <v>2384438.81</v>
      </c>
    </row>
    <row r="326" spans="1:12" ht="71.400000000000006" hidden="1" x14ac:dyDescent="0.3">
      <c r="A326" s="42" t="s">
        <v>392</v>
      </c>
      <c r="B326" s="43" t="s">
        <v>424</v>
      </c>
      <c r="C326" s="43" t="s">
        <v>434</v>
      </c>
      <c r="D326" s="43" t="s">
        <v>426</v>
      </c>
      <c r="E326" s="44" t="s">
        <v>13</v>
      </c>
      <c r="F326" s="52">
        <v>52</v>
      </c>
      <c r="G326" s="52"/>
      <c r="H326" s="44" t="s">
        <v>19</v>
      </c>
      <c r="I326" s="50" t="s">
        <v>14</v>
      </c>
      <c r="J326" s="50"/>
      <c r="K326" s="47" t="s">
        <v>8</v>
      </c>
      <c r="L326" s="48">
        <v>2384490.81</v>
      </c>
    </row>
    <row r="327" spans="1:12" ht="71.400000000000006" hidden="1" x14ac:dyDescent="0.3">
      <c r="A327" s="42" t="s">
        <v>392</v>
      </c>
      <c r="B327" s="43" t="s">
        <v>424</v>
      </c>
      <c r="C327" s="43" t="s">
        <v>435</v>
      </c>
      <c r="D327" s="43" t="s">
        <v>426</v>
      </c>
      <c r="E327" s="44" t="s">
        <v>13</v>
      </c>
      <c r="F327" s="52">
        <v>304.5</v>
      </c>
      <c r="G327" s="52"/>
      <c r="H327" s="44" t="s">
        <v>19</v>
      </c>
      <c r="I327" s="50" t="s">
        <v>14</v>
      </c>
      <c r="J327" s="50"/>
      <c r="K327" s="47" t="s">
        <v>8</v>
      </c>
      <c r="L327" s="48">
        <v>2384795.31</v>
      </c>
    </row>
    <row r="328" spans="1:12" ht="71.400000000000006" hidden="1" x14ac:dyDescent="0.3">
      <c r="A328" s="42" t="s">
        <v>392</v>
      </c>
      <c r="B328" s="43" t="s">
        <v>424</v>
      </c>
      <c r="C328" s="43" t="s">
        <v>436</v>
      </c>
      <c r="D328" s="43" t="s">
        <v>426</v>
      </c>
      <c r="E328" s="44" t="s">
        <v>13</v>
      </c>
      <c r="F328" s="52">
        <v>174</v>
      </c>
      <c r="G328" s="52"/>
      <c r="H328" s="44" t="s">
        <v>19</v>
      </c>
      <c r="I328" s="50" t="s">
        <v>14</v>
      </c>
      <c r="J328" s="50"/>
      <c r="K328" s="47" t="s">
        <v>8</v>
      </c>
      <c r="L328" s="48">
        <v>2384969.31</v>
      </c>
    </row>
    <row r="329" spans="1:12" ht="71.400000000000006" hidden="1" x14ac:dyDescent="0.3">
      <c r="A329" s="42" t="s">
        <v>392</v>
      </c>
      <c r="B329" s="43" t="s">
        <v>424</v>
      </c>
      <c r="C329" s="43" t="s">
        <v>437</v>
      </c>
      <c r="D329" s="43" t="s">
        <v>426</v>
      </c>
      <c r="E329" s="44" t="s">
        <v>13</v>
      </c>
      <c r="F329" s="52">
        <v>414</v>
      </c>
      <c r="G329" s="52"/>
      <c r="H329" s="44" t="s">
        <v>19</v>
      </c>
      <c r="I329" s="50" t="s">
        <v>14</v>
      </c>
      <c r="J329" s="50"/>
      <c r="K329" s="47" t="s">
        <v>8</v>
      </c>
      <c r="L329" s="48">
        <v>2385383.31</v>
      </c>
    </row>
    <row r="330" spans="1:12" ht="61.2" hidden="1" x14ac:dyDescent="0.3">
      <c r="A330" s="42" t="s">
        <v>392</v>
      </c>
      <c r="B330" s="43" t="s">
        <v>424</v>
      </c>
      <c r="C330" s="43" t="s">
        <v>438</v>
      </c>
      <c r="D330" s="43" t="s">
        <v>426</v>
      </c>
      <c r="E330" s="44" t="s">
        <v>13</v>
      </c>
      <c r="F330" s="49">
        <v>28900</v>
      </c>
      <c r="G330" s="49"/>
      <c r="H330" s="44" t="s">
        <v>19</v>
      </c>
      <c r="I330" s="50" t="s">
        <v>14</v>
      </c>
      <c r="J330" s="50"/>
      <c r="K330" s="47" t="s">
        <v>8</v>
      </c>
      <c r="L330" s="48">
        <v>2414283.31</v>
      </c>
    </row>
    <row r="331" spans="1:12" ht="61.2" hidden="1" x14ac:dyDescent="0.3">
      <c r="A331" s="42" t="s">
        <v>392</v>
      </c>
      <c r="B331" s="43" t="s">
        <v>424</v>
      </c>
      <c r="C331" s="43" t="s">
        <v>439</v>
      </c>
      <c r="D331" s="43" t="s">
        <v>426</v>
      </c>
      <c r="E331" s="44" t="s">
        <v>13</v>
      </c>
      <c r="F331" s="52">
        <v>740</v>
      </c>
      <c r="G331" s="52"/>
      <c r="H331" s="44" t="s">
        <v>19</v>
      </c>
      <c r="I331" s="50" t="s">
        <v>14</v>
      </c>
      <c r="J331" s="50"/>
      <c r="K331" s="47" t="s">
        <v>8</v>
      </c>
      <c r="L331" s="48">
        <v>2415023.31</v>
      </c>
    </row>
    <row r="332" spans="1:12" ht="71.400000000000006" hidden="1" x14ac:dyDescent="0.3">
      <c r="A332" s="42" t="s">
        <v>392</v>
      </c>
      <c r="B332" s="43" t="s">
        <v>440</v>
      </c>
      <c r="C332" s="43" t="s">
        <v>441</v>
      </c>
      <c r="D332" s="43" t="s">
        <v>442</v>
      </c>
      <c r="E332" s="44" t="s">
        <v>13</v>
      </c>
      <c r="F332" s="49">
        <v>18802.099999999999</v>
      </c>
      <c r="G332" s="49"/>
      <c r="H332" s="44" t="s">
        <v>19</v>
      </c>
      <c r="I332" s="50" t="s">
        <v>14</v>
      </c>
      <c r="J332" s="50"/>
      <c r="K332" s="47" t="s">
        <v>8</v>
      </c>
      <c r="L332" s="48">
        <v>235993.97</v>
      </c>
    </row>
    <row r="333" spans="1:12" ht="61.2" hidden="1" x14ac:dyDescent="0.3">
      <c r="A333" s="42" t="s">
        <v>392</v>
      </c>
      <c r="B333" s="43" t="s">
        <v>443</v>
      </c>
      <c r="C333" s="43" t="s">
        <v>444</v>
      </c>
      <c r="D333" s="43" t="s">
        <v>438</v>
      </c>
      <c r="E333" s="44" t="s">
        <v>13</v>
      </c>
      <c r="F333" s="45" t="s">
        <v>14</v>
      </c>
      <c r="G333" s="45"/>
      <c r="H333" s="44" t="s">
        <v>13</v>
      </c>
      <c r="I333" s="46">
        <v>1156</v>
      </c>
      <c r="J333" s="46"/>
      <c r="K333" s="47" t="s">
        <v>8</v>
      </c>
      <c r="L333" s="48">
        <v>2413867.31</v>
      </c>
    </row>
    <row r="334" spans="1:12" ht="61.2" hidden="1" x14ac:dyDescent="0.3">
      <c r="A334" s="42" t="s">
        <v>392</v>
      </c>
      <c r="B334" s="43" t="s">
        <v>443</v>
      </c>
      <c r="C334" s="43" t="s">
        <v>444</v>
      </c>
      <c r="D334" s="43" t="s">
        <v>438</v>
      </c>
      <c r="E334" s="44" t="s">
        <v>13</v>
      </c>
      <c r="F334" s="49">
        <v>1156</v>
      </c>
      <c r="G334" s="49"/>
      <c r="H334" s="44" t="s">
        <v>13</v>
      </c>
      <c r="I334" s="50" t="s">
        <v>14</v>
      </c>
      <c r="J334" s="50"/>
      <c r="K334" s="47" t="s">
        <v>8</v>
      </c>
      <c r="L334" s="48">
        <v>237149.97</v>
      </c>
    </row>
    <row r="335" spans="1:12" ht="61.2" hidden="1" x14ac:dyDescent="0.3">
      <c r="A335" s="42" t="s">
        <v>392</v>
      </c>
      <c r="B335" s="43" t="s">
        <v>445</v>
      </c>
      <c r="C335" s="43" t="s">
        <v>446</v>
      </c>
      <c r="D335" s="43" t="s">
        <v>438</v>
      </c>
      <c r="E335" s="44" t="s">
        <v>13</v>
      </c>
      <c r="F335" s="45" t="s">
        <v>14</v>
      </c>
      <c r="G335" s="45"/>
      <c r="H335" s="44" t="s">
        <v>13</v>
      </c>
      <c r="I335" s="46">
        <v>1156</v>
      </c>
      <c r="J335" s="46"/>
      <c r="K335" s="47" t="s">
        <v>8</v>
      </c>
      <c r="L335" s="48">
        <v>2412711.31</v>
      </c>
    </row>
    <row r="336" spans="1:12" ht="61.2" hidden="1" x14ac:dyDescent="0.3">
      <c r="A336" s="42" t="s">
        <v>392</v>
      </c>
      <c r="B336" s="43" t="s">
        <v>445</v>
      </c>
      <c r="C336" s="43" t="s">
        <v>446</v>
      </c>
      <c r="D336" s="43" t="s">
        <v>438</v>
      </c>
      <c r="E336" s="44" t="s">
        <v>13</v>
      </c>
      <c r="F336" s="49">
        <v>1156</v>
      </c>
      <c r="G336" s="49"/>
      <c r="H336" s="44" t="s">
        <v>13</v>
      </c>
      <c r="I336" s="50" t="s">
        <v>14</v>
      </c>
      <c r="J336" s="50"/>
      <c r="K336" s="47" t="s">
        <v>8</v>
      </c>
      <c r="L336" s="48">
        <v>104851.32</v>
      </c>
    </row>
    <row r="337" spans="1:12" ht="61.2" x14ac:dyDescent="0.3">
      <c r="A337" s="42" t="s">
        <v>392</v>
      </c>
      <c r="B337" s="43" t="s">
        <v>447</v>
      </c>
      <c r="C337" s="43" t="s">
        <v>363</v>
      </c>
      <c r="D337" s="43" t="s">
        <v>280</v>
      </c>
      <c r="E337" s="44" t="s">
        <v>24</v>
      </c>
      <c r="F337" s="45" t="s">
        <v>14</v>
      </c>
      <c r="G337" s="45"/>
      <c r="H337" s="44" t="s">
        <v>13</v>
      </c>
      <c r="I337" s="51">
        <v>483.33</v>
      </c>
      <c r="J337" s="51"/>
      <c r="K337" s="47" t="s">
        <v>8</v>
      </c>
      <c r="L337" s="48">
        <v>236666.64</v>
      </c>
    </row>
    <row r="338" spans="1:12" ht="51" x14ac:dyDescent="0.3">
      <c r="A338" s="42" t="s">
        <v>392</v>
      </c>
      <c r="B338" s="43" t="s">
        <v>447</v>
      </c>
      <c r="C338" s="43" t="s">
        <v>363</v>
      </c>
      <c r="D338" s="43" t="s">
        <v>444</v>
      </c>
      <c r="E338" s="44" t="s">
        <v>24</v>
      </c>
      <c r="F338" s="45" t="s">
        <v>14</v>
      </c>
      <c r="G338" s="45"/>
      <c r="H338" s="44" t="s">
        <v>13</v>
      </c>
      <c r="I338" s="46">
        <v>1156</v>
      </c>
      <c r="J338" s="46"/>
      <c r="K338" s="47" t="s">
        <v>8</v>
      </c>
      <c r="L338" s="48">
        <v>235510.64</v>
      </c>
    </row>
    <row r="339" spans="1:12" ht="51" x14ac:dyDescent="0.3">
      <c r="A339" s="42" t="s">
        <v>392</v>
      </c>
      <c r="B339" s="43" t="s">
        <v>448</v>
      </c>
      <c r="C339" s="43" t="s">
        <v>363</v>
      </c>
      <c r="D339" s="43" t="s">
        <v>446</v>
      </c>
      <c r="E339" s="44" t="s">
        <v>24</v>
      </c>
      <c r="F339" s="45" t="s">
        <v>14</v>
      </c>
      <c r="G339" s="45"/>
      <c r="H339" s="44" t="s">
        <v>13</v>
      </c>
      <c r="I339" s="46">
        <v>1156</v>
      </c>
      <c r="J339" s="46"/>
      <c r="K339" s="47" t="s">
        <v>8</v>
      </c>
      <c r="L339" s="48">
        <v>103695.32</v>
      </c>
    </row>
    <row r="340" spans="1:12" ht="61.2" x14ac:dyDescent="0.3">
      <c r="A340" s="42" t="s">
        <v>392</v>
      </c>
      <c r="B340" s="43" t="s">
        <v>449</v>
      </c>
      <c r="C340" s="43" t="s">
        <v>363</v>
      </c>
      <c r="D340" s="43" t="s">
        <v>411</v>
      </c>
      <c r="E340" s="44" t="s">
        <v>24</v>
      </c>
      <c r="F340" s="45" t="s">
        <v>14</v>
      </c>
      <c r="G340" s="45"/>
      <c r="H340" s="44" t="s">
        <v>13</v>
      </c>
      <c r="I340" s="51">
        <v>556</v>
      </c>
      <c r="J340" s="51"/>
      <c r="K340" s="47" t="s">
        <v>8</v>
      </c>
      <c r="L340" s="48">
        <v>2106863.79</v>
      </c>
    </row>
    <row r="341" spans="1:12" ht="61.2" x14ac:dyDescent="0.3">
      <c r="A341" s="42" t="s">
        <v>392</v>
      </c>
      <c r="B341" s="43" t="s">
        <v>450</v>
      </c>
      <c r="C341" s="43" t="s">
        <v>363</v>
      </c>
      <c r="D341" s="43" t="s">
        <v>413</v>
      </c>
      <c r="E341" s="44" t="s">
        <v>24</v>
      </c>
      <c r="F341" s="45" t="s">
        <v>14</v>
      </c>
      <c r="G341" s="45"/>
      <c r="H341" s="44" t="s">
        <v>13</v>
      </c>
      <c r="I341" s="51">
        <v>512.4</v>
      </c>
      <c r="J341" s="51"/>
      <c r="K341" s="47" t="s">
        <v>8</v>
      </c>
      <c r="L341" s="48">
        <v>2106351.39</v>
      </c>
    </row>
    <row r="342" spans="1:12" ht="51" hidden="1" x14ac:dyDescent="0.3">
      <c r="A342" s="42" t="s">
        <v>392</v>
      </c>
      <c r="B342" s="43" t="s">
        <v>451</v>
      </c>
      <c r="C342" s="43" t="s">
        <v>452</v>
      </c>
      <c r="D342" s="43" t="s">
        <v>395</v>
      </c>
      <c r="E342" s="44" t="s">
        <v>13</v>
      </c>
      <c r="F342" s="49">
        <v>1400</v>
      </c>
      <c r="G342" s="49"/>
      <c r="H342" s="44" t="s">
        <v>396</v>
      </c>
      <c r="I342" s="50" t="s">
        <v>14</v>
      </c>
      <c r="J342" s="50"/>
      <c r="K342" s="47" t="s">
        <v>8</v>
      </c>
      <c r="L342" s="48">
        <v>82022.12</v>
      </c>
    </row>
    <row r="343" spans="1:12" ht="51" hidden="1" x14ac:dyDescent="0.3">
      <c r="A343" s="42" t="s">
        <v>392</v>
      </c>
      <c r="B343" s="43" t="s">
        <v>451</v>
      </c>
      <c r="C343" s="43" t="s">
        <v>453</v>
      </c>
      <c r="D343" s="43" t="s">
        <v>395</v>
      </c>
      <c r="E343" s="44" t="s">
        <v>13</v>
      </c>
      <c r="F343" s="52">
        <v>300</v>
      </c>
      <c r="G343" s="52"/>
      <c r="H343" s="44" t="s">
        <v>396</v>
      </c>
      <c r="I343" s="50" t="s">
        <v>14</v>
      </c>
      <c r="J343" s="50"/>
      <c r="K343" s="47" t="s">
        <v>8</v>
      </c>
      <c r="L343" s="48">
        <v>82322.12</v>
      </c>
    </row>
    <row r="344" spans="1:12" ht="51" hidden="1" x14ac:dyDescent="0.3">
      <c r="A344" s="42" t="s">
        <v>392</v>
      </c>
      <c r="B344" s="43" t="s">
        <v>451</v>
      </c>
      <c r="C344" s="43" t="s">
        <v>454</v>
      </c>
      <c r="D344" s="43" t="s">
        <v>395</v>
      </c>
      <c r="E344" s="44" t="s">
        <v>13</v>
      </c>
      <c r="F344" s="52">
        <v>352</v>
      </c>
      <c r="G344" s="52"/>
      <c r="H344" s="44" t="s">
        <v>396</v>
      </c>
      <c r="I344" s="50" t="s">
        <v>14</v>
      </c>
      <c r="J344" s="50"/>
      <c r="K344" s="47" t="s">
        <v>8</v>
      </c>
      <c r="L344" s="48">
        <v>82674.12</v>
      </c>
    </row>
    <row r="345" spans="1:12" ht="51" hidden="1" x14ac:dyDescent="0.3">
      <c r="A345" s="42" t="s">
        <v>392</v>
      </c>
      <c r="B345" s="43" t="s">
        <v>451</v>
      </c>
      <c r="C345" s="43" t="s">
        <v>455</v>
      </c>
      <c r="D345" s="43" t="s">
        <v>395</v>
      </c>
      <c r="E345" s="44" t="s">
        <v>13</v>
      </c>
      <c r="F345" s="52">
        <v>170</v>
      </c>
      <c r="G345" s="52"/>
      <c r="H345" s="44" t="s">
        <v>396</v>
      </c>
      <c r="I345" s="50" t="s">
        <v>14</v>
      </c>
      <c r="J345" s="50"/>
      <c r="K345" s="47" t="s">
        <v>8</v>
      </c>
      <c r="L345" s="48">
        <v>82844.12</v>
      </c>
    </row>
    <row r="346" spans="1:12" ht="51" hidden="1" x14ac:dyDescent="0.3">
      <c r="A346" s="42" t="s">
        <v>392</v>
      </c>
      <c r="B346" s="43" t="s">
        <v>451</v>
      </c>
      <c r="C346" s="43" t="s">
        <v>452</v>
      </c>
      <c r="D346" s="43" t="s">
        <v>395</v>
      </c>
      <c r="E346" s="44" t="s">
        <v>13</v>
      </c>
      <c r="F346" s="49">
        <v>1400</v>
      </c>
      <c r="G346" s="49"/>
      <c r="H346" s="44" t="s">
        <v>396</v>
      </c>
      <c r="I346" s="50" t="s">
        <v>14</v>
      </c>
      <c r="J346" s="50"/>
      <c r="K346" s="47" t="s">
        <v>8</v>
      </c>
      <c r="L346" s="48">
        <v>84244.12</v>
      </c>
    </row>
    <row r="347" spans="1:12" ht="61.2" hidden="1" x14ac:dyDescent="0.3">
      <c r="A347" s="42" t="s">
        <v>392</v>
      </c>
      <c r="B347" s="43" t="s">
        <v>451</v>
      </c>
      <c r="C347" s="43" t="s">
        <v>456</v>
      </c>
      <c r="D347" s="43" t="s">
        <v>395</v>
      </c>
      <c r="E347" s="44" t="s">
        <v>13</v>
      </c>
      <c r="F347" s="52">
        <v>352</v>
      </c>
      <c r="G347" s="52"/>
      <c r="H347" s="44" t="s">
        <v>396</v>
      </c>
      <c r="I347" s="50" t="s">
        <v>14</v>
      </c>
      <c r="J347" s="50"/>
      <c r="K347" s="47" t="s">
        <v>8</v>
      </c>
      <c r="L347" s="48">
        <v>84596.12</v>
      </c>
    </row>
    <row r="348" spans="1:12" ht="51" hidden="1" x14ac:dyDescent="0.3">
      <c r="A348" s="42" t="s">
        <v>392</v>
      </c>
      <c r="B348" s="43" t="s">
        <v>451</v>
      </c>
      <c r="C348" s="43" t="s">
        <v>457</v>
      </c>
      <c r="D348" s="43" t="s">
        <v>395</v>
      </c>
      <c r="E348" s="44" t="s">
        <v>13</v>
      </c>
      <c r="F348" s="52">
        <v>140</v>
      </c>
      <c r="G348" s="52"/>
      <c r="H348" s="44" t="s">
        <v>396</v>
      </c>
      <c r="I348" s="50" t="s">
        <v>14</v>
      </c>
      <c r="J348" s="50"/>
      <c r="K348" s="47" t="s">
        <v>8</v>
      </c>
      <c r="L348" s="48">
        <v>84736.12</v>
      </c>
    </row>
    <row r="349" spans="1:12" ht="61.2" hidden="1" x14ac:dyDescent="0.3">
      <c r="A349" s="42" t="s">
        <v>392</v>
      </c>
      <c r="B349" s="43" t="s">
        <v>451</v>
      </c>
      <c r="C349" s="43" t="s">
        <v>456</v>
      </c>
      <c r="D349" s="43" t="s">
        <v>395</v>
      </c>
      <c r="E349" s="44" t="s">
        <v>13</v>
      </c>
      <c r="F349" s="52">
        <v>95</v>
      </c>
      <c r="G349" s="52"/>
      <c r="H349" s="44" t="s">
        <v>396</v>
      </c>
      <c r="I349" s="50" t="s">
        <v>14</v>
      </c>
      <c r="J349" s="50"/>
      <c r="K349" s="47" t="s">
        <v>8</v>
      </c>
      <c r="L349" s="48">
        <v>84831.12</v>
      </c>
    </row>
    <row r="350" spans="1:12" ht="51" hidden="1" x14ac:dyDescent="0.3">
      <c r="A350" s="42" t="s">
        <v>392</v>
      </c>
      <c r="B350" s="43" t="s">
        <v>451</v>
      </c>
      <c r="C350" s="43" t="s">
        <v>458</v>
      </c>
      <c r="D350" s="43" t="s">
        <v>395</v>
      </c>
      <c r="E350" s="44" t="s">
        <v>13</v>
      </c>
      <c r="F350" s="52">
        <v>435</v>
      </c>
      <c r="G350" s="52"/>
      <c r="H350" s="44" t="s">
        <v>396</v>
      </c>
      <c r="I350" s="50" t="s">
        <v>14</v>
      </c>
      <c r="J350" s="50"/>
      <c r="K350" s="47" t="s">
        <v>8</v>
      </c>
      <c r="L350" s="48">
        <v>85266.12</v>
      </c>
    </row>
    <row r="351" spans="1:12" ht="91.8" hidden="1" x14ac:dyDescent="0.3">
      <c r="A351" s="42" t="s">
        <v>392</v>
      </c>
      <c r="B351" s="43" t="s">
        <v>459</v>
      </c>
      <c r="C351" s="43" t="s">
        <v>460</v>
      </c>
      <c r="D351" s="43" t="s">
        <v>461</v>
      </c>
      <c r="E351" s="44" t="s">
        <v>13</v>
      </c>
      <c r="F351" s="49">
        <v>232942.05</v>
      </c>
      <c r="G351" s="49"/>
      <c r="H351" s="44" t="s">
        <v>19</v>
      </c>
      <c r="I351" s="50" t="s">
        <v>14</v>
      </c>
      <c r="J351" s="50"/>
      <c r="K351" s="47" t="s">
        <v>8</v>
      </c>
      <c r="L351" s="48">
        <v>2645653.36</v>
      </c>
    </row>
    <row r="352" spans="1:12" ht="91.8" hidden="1" x14ac:dyDescent="0.3">
      <c r="A352" s="42" t="s">
        <v>392</v>
      </c>
      <c r="B352" s="43" t="s">
        <v>459</v>
      </c>
      <c r="C352" s="43" t="s">
        <v>462</v>
      </c>
      <c r="D352" s="43" t="s">
        <v>461</v>
      </c>
      <c r="E352" s="44" t="s">
        <v>13</v>
      </c>
      <c r="F352" s="49">
        <v>218244.76</v>
      </c>
      <c r="G352" s="49"/>
      <c r="H352" s="44" t="s">
        <v>19</v>
      </c>
      <c r="I352" s="50" t="s">
        <v>14</v>
      </c>
      <c r="J352" s="50"/>
      <c r="K352" s="47" t="s">
        <v>8</v>
      </c>
      <c r="L352" s="48">
        <v>2863898.12</v>
      </c>
    </row>
    <row r="353" spans="1:12" ht="71.400000000000006" hidden="1" x14ac:dyDescent="0.3">
      <c r="A353" s="42" t="s">
        <v>392</v>
      </c>
      <c r="B353" s="43" t="s">
        <v>459</v>
      </c>
      <c r="C353" s="43" t="s">
        <v>463</v>
      </c>
      <c r="D353" s="43" t="s">
        <v>461</v>
      </c>
      <c r="E353" s="44" t="s">
        <v>13</v>
      </c>
      <c r="F353" s="49">
        <v>6825</v>
      </c>
      <c r="G353" s="49"/>
      <c r="H353" s="44" t="s">
        <v>19</v>
      </c>
      <c r="I353" s="50" t="s">
        <v>14</v>
      </c>
      <c r="J353" s="50"/>
      <c r="K353" s="47" t="s">
        <v>8</v>
      </c>
      <c r="L353" s="48">
        <v>2870723.12</v>
      </c>
    </row>
    <row r="354" spans="1:12" ht="71.400000000000006" hidden="1" x14ac:dyDescent="0.3">
      <c r="A354" s="42" t="s">
        <v>392</v>
      </c>
      <c r="B354" s="43" t="s">
        <v>459</v>
      </c>
      <c r="C354" s="43" t="s">
        <v>464</v>
      </c>
      <c r="D354" s="43" t="s">
        <v>461</v>
      </c>
      <c r="E354" s="44" t="s">
        <v>13</v>
      </c>
      <c r="F354" s="49">
        <v>3217.2</v>
      </c>
      <c r="G354" s="49"/>
      <c r="H354" s="44" t="s">
        <v>19</v>
      </c>
      <c r="I354" s="50" t="s">
        <v>14</v>
      </c>
      <c r="J354" s="50"/>
      <c r="K354" s="47" t="s">
        <v>8</v>
      </c>
      <c r="L354" s="48">
        <v>2873940.32</v>
      </c>
    </row>
    <row r="355" spans="1:12" ht="81.599999999999994" hidden="1" x14ac:dyDescent="0.3">
      <c r="A355" s="42" t="s">
        <v>392</v>
      </c>
      <c r="B355" s="43" t="s">
        <v>459</v>
      </c>
      <c r="C355" s="43" t="s">
        <v>465</v>
      </c>
      <c r="D355" s="43" t="s">
        <v>461</v>
      </c>
      <c r="E355" s="44" t="s">
        <v>13</v>
      </c>
      <c r="F355" s="49">
        <v>9425</v>
      </c>
      <c r="G355" s="49"/>
      <c r="H355" s="44" t="s">
        <v>19</v>
      </c>
      <c r="I355" s="50" t="s">
        <v>14</v>
      </c>
      <c r="J355" s="50"/>
      <c r="K355" s="47" t="s">
        <v>8</v>
      </c>
      <c r="L355" s="48">
        <v>2883365.32</v>
      </c>
    </row>
    <row r="356" spans="1:12" ht="71.400000000000006" hidden="1" x14ac:dyDescent="0.3">
      <c r="A356" s="42" t="s">
        <v>392</v>
      </c>
      <c r="B356" s="43" t="s">
        <v>459</v>
      </c>
      <c r="C356" s="43" t="s">
        <v>466</v>
      </c>
      <c r="D356" s="43" t="s">
        <v>461</v>
      </c>
      <c r="E356" s="44" t="s">
        <v>13</v>
      </c>
      <c r="F356" s="49">
        <v>1395.24</v>
      </c>
      <c r="G356" s="49"/>
      <c r="H356" s="44" t="s">
        <v>19</v>
      </c>
      <c r="I356" s="50" t="s">
        <v>14</v>
      </c>
      <c r="J356" s="50"/>
      <c r="K356" s="47" t="s">
        <v>8</v>
      </c>
      <c r="L356" s="48">
        <v>2884760.56</v>
      </c>
    </row>
    <row r="357" spans="1:12" ht="81.599999999999994" hidden="1" x14ac:dyDescent="0.3">
      <c r="A357" s="42" t="s">
        <v>392</v>
      </c>
      <c r="B357" s="43" t="s">
        <v>459</v>
      </c>
      <c r="C357" s="43" t="s">
        <v>467</v>
      </c>
      <c r="D357" s="43" t="s">
        <v>461</v>
      </c>
      <c r="E357" s="44" t="s">
        <v>13</v>
      </c>
      <c r="F357" s="49">
        <v>16128</v>
      </c>
      <c r="G357" s="49"/>
      <c r="H357" s="44" t="s">
        <v>19</v>
      </c>
      <c r="I357" s="50" t="s">
        <v>14</v>
      </c>
      <c r="J357" s="50"/>
      <c r="K357" s="47" t="s">
        <v>8</v>
      </c>
      <c r="L357" s="48">
        <v>2900888.56</v>
      </c>
    </row>
    <row r="358" spans="1:12" ht="91.8" hidden="1" x14ac:dyDescent="0.3">
      <c r="A358" s="42" t="s">
        <v>392</v>
      </c>
      <c r="B358" s="43" t="s">
        <v>459</v>
      </c>
      <c r="C358" s="43" t="s">
        <v>468</v>
      </c>
      <c r="D358" s="43" t="s">
        <v>461</v>
      </c>
      <c r="E358" s="44" t="s">
        <v>13</v>
      </c>
      <c r="F358" s="49">
        <v>2820</v>
      </c>
      <c r="G358" s="49"/>
      <c r="H358" s="44" t="s">
        <v>19</v>
      </c>
      <c r="I358" s="50" t="s">
        <v>14</v>
      </c>
      <c r="J358" s="50"/>
      <c r="K358" s="47" t="s">
        <v>8</v>
      </c>
      <c r="L358" s="48">
        <v>2903708.56</v>
      </c>
    </row>
    <row r="359" spans="1:12" ht="81.599999999999994" hidden="1" x14ac:dyDescent="0.3">
      <c r="A359" s="42" t="s">
        <v>469</v>
      </c>
      <c r="B359" s="43" t="s">
        <v>470</v>
      </c>
      <c r="C359" s="43" t="s">
        <v>471</v>
      </c>
      <c r="D359" s="43" t="s">
        <v>461</v>
      </c>
      <c r="E359" s="44" t="s">
        <v>13</v>
      </c>
      <c r="F359" s="49">
        <v>87353.27</v>
      </c>
      <c r="G359" s="49"/>
      <c r="H359" s="44" t="s">
        <v>19</v>
      </c>
      <c r="I359" s="50" t="s">
        <v>14</v>
      </c>
      <c r="J359" s="50"/>
      <c r="K359" s="47" t="s">
        <v>8</v>
      </c>
      <c r="L359" s="48">
        <v>2991061.83</v>
      </c>
    </row>
    <row r="360" spans="1:12" ht="81.599999999999994" hidden="1" x14ac:dyDescent="0.3">
      <c r="A360" s="42" t="s">
        <v>469</v>
      </c>
      <c r="B360" s="43" t="s">
        <v>470</v>
      </c>
      <c r="C360" s="43" t="s">
        <v>472</v>
      </c>
      <c r="D360" s="43" t="s">
        <v>461</v>
      </c>
      <c r="E360" s="44" t="s">
        <v>13</v>
      </c>
      <c r="F360" s="49">
        <v>81841.78</v>
      </c>
      <c r="G360" s="49"/>
      <c r="H360" s="44" t="s">
        <v>19</v>
      </c>
      <c r="I360" s="50" t="s">
        <v>14</v>
      </c>
      <c r="J360" s="50"/>
      <c r="K360" s="47" t="s">
        <v>8</v>
      </c>
      <c r="L360" s="48">
        <v>3072903.61</v>
      </c>
    </row>
    <row r="361" spans="1:12" ht="81.599999999999994" hidden="1" x14ac:dyDescent="0.3">
      <c r="A361" s="42" t="s">
        <v>469</v>
      </c>
      <c r="B361" s="43" t="s">
        <v>470</v>
      </c>
      <c r="C361" s="43" t="s">
        <v>473</v>
      </c>
      <c r="D361" s="43" t="s">
        <v>461</v>
      </c>
      <c r="E361" s="44" t="s">
        <v>13</v>
      </c>
      <c r="F361" s="49">
        <v>162777.57</v>
      </c>
      <c r="G361" s="49"/>
      <c r="H361" s="44" t="s">
        <v>19</v>
      </c>
      <c r="I361" s="50" t="s">
        <v>14</v>
      </c>
      <c r="J361" s="50"/>
      <c r="K361" s="47" t="s">
        <v>8</v>
      </c>
      <c r="L361" s="48">
        <v>3235681.18</v>
      </c>
    </row>
    <row r="362" spans="1:12" ht="81.599999999999994" hidden="1" x14ac:dyDescent="0.3">
      <c r="A362" s="42" t="s">
        <v>469</v>
      </c>
      <c r="B362" s="43" t="s">
        <v>474</v>
      </c>
      <c r="C362" s="43" t="s">
        <v>475</v>
      </c>
      <c r="D362" s="43" t="s">
        <v>461</v>
      </c>
      <c r="E362" s="44" t="s">
        <v>13</v>
      </c>
      <c r="F362" s="49">
        <v>270188.62</v>
      </c>
      <c r="G362" s="49"/>
      <c r="H362" s="44" t="s">
        <v>19</v>
      </c>
      <c r="I362" s="50" t="s">
        <v>14</v>
      </c>
      <c r="J362" s="50"/>
      <c r="K362" s="47" t="s">
        <v>8</v>
      </c>
      <c r="L362" s="48">
        <v>3505869.8</v>
      </c>
    </row>
    <row r="363" spans="1:12" ht="71.400000000000006" hidden="1" x14ac:dyDescent="0.3">
      <c r="A363" s="42" t="s">
        <v>469</v>
      </c>
      <c r="B363" s="43" t="s">
        <v>476</v>
      </c>
      <c r="C363" s="43" t="s">
        <v>477</v>
      </c>
      <c r="D363" s="43" t="s">
        <v>478</v>
      </c>
      <c r="E363" s="44" t="s">
        <v>13</v>
      </c>
      <c r="F363" s="49">
        <v>9382.5</v>
      </c>
      <c r="G363" s="49"/>
      <c r="H363" s="44" t="s">
        <v>19</v>
      </c>
      <c r="I363" s="50" t="s">
        <v>14</v>
      </c>
      <c r="J363" s="50"/>
      <c r="K363" s="47" t="s">
        <v>8</v>
      </c>
      <c r="L363" s="48">
        <v>3515252.3</v>
      </c>
    </row>
    <row r="364" spans="1:12" ht="61.2" hidden="1" x14ac:dyDescent="0.3">
      <c r="A364" s="42" t="s">
        <v>469</v>
      </c>
      <c r="B364" s="43" t="s">
        <v>479</v>
      </c>
      <c r="C364" s="43" t="s">
        <v>480</v>
      </c>
      <c r="D364" s="43" t="s">
        <v>402</v>
      </c>
      <c r="E364" s="44" t="s">
        <v>13</v>
      </c>
      <c r="F364" s="49">
        <v>15115.45</v>
      </c>
      <c r="G364" s="49"/>
      <c r="H364" s="44" t="s">
        <v>19</v>
      </c>
      <c r="I364" s="50" t="s">
        <v>14</v>
      </c>
      <c r="J364" s="50"/>
      <c r="K364" s="47" t="s">
        <v>8</v>
      </c>
      <c r="L364" s="48">
        <v>553947.34</v>
      </c>
    </row>
    <row r="365" spans="1:12" ht="61.2" hidden="1" x14ac:dyDescent="0.3">
      <c r="A365" s="42" t="s">
        <v>469</v>
      </c>
      <c r="B365" s="43" t="s">
        <v>479</v>
      </c>
      <c r="C365" s="43" t="s">
        <v>481</v>
      </c>
      <c r="D365" s="43" t="s">
        <v>402</v>
      </c>
      <c r="E365" s="44" t="s">
        <v>13</v>
      </c>
      <c r="F365" s="49">
        <v>21702.1</v>
      </c>
      <c r="G365" s="49"/>
      <c r="H365" s="44" t="s">
        <v>19</v>
      </c>
      <c r="I365" s="50" t="s">
        <v>14</v>
      </c>
      <c r="J365" s="50"/>
      <c r="K365" s="47" t="s">
        <v>8</v>
      </c>
      <c r="L365" s="48">
        <v>575649.43999999994</v>
      </c>
    </row>
    <row r="366" spans="1:12" ht="61.2" hidden="1" x14ac:dyDescent="0.3">
      <c r="A366" s="42" t="s">
        <v>469</v>
      </c>
      <c r="B366" s="43" t="s">
        <v>479</v>
      </c>
      <c r="C366" s="43" t="s">
        <v>482</v>
      </c>
      <c r="D366" s="43" t="s">
        <v>402</v>
      </c>
      <c r="E366" s="44" t="s">
        <v>13</v>
      </c>
      <c r="F366" s="49">
        <v>14505</v>
      </c>
      <c r="G366" s="49"/>
      <c r="H366" s="44" t="s">
        <v>19</v>
      </c>
      <c r="I366" s="50" t="s">
        <v>14</v>
      </c>
      <c r="J366" s="50"/>
      <c r="K366" s="47" t="s">
        <v>8</v>
      </c>
      <c r="L366" s="48">
        <v>590154.43999999994</v>
      </c>
    </row>
    <row r="367" spans="1:12" ht="61.2" hidden="1" x14ac:dyDescent="0.3">
      <c r="A367" s="42" t="s">
        <v>469</v>
      </c>
      <c r="B367" s="43" t="s">
        <v>479</v>
      </c>
      <c r="C367" s="43" t="s">
        <v>483</v>
      </c>
      <c r="D367" s="43" t="s">
        <v>402</v>
      </c>
      <c r="E367" s="44" t="s">
        <v>13</v>
      </c>
      <c r="F367" s="49">
        <v>37797.51</v>
      </c>
      <c r="G367" s="49"/>
      <c r="H367" s="44" t="s">
        <v>19</v>
      </c>
      <c r="I367" s="50" t="s">
        <v>14</v>
      </c>
      <c r="J367" s="50"/>
      <c r="K367" s="47" t="s">
        <v>8</v>
      </c>
      <c r="L367" s="48">
        <v>627951.94999999995</v>
      </c>
    </row>
    <row r="368" spans="1:12" ht="61.2" hidden="1" x14ac:dyDescent="0.3">
      <c r="A368" s="42" t="s">
        <v>469</v>
      </c>
      <c r="B368" s="43" t="s">
        <v>484</v>
      </c>
      <c r="C368" s="43" t="s">
        <v>485</v>
      </c>
      <c r="D368" s="43" t="s">
        <v>486</v>
      </c>
      <c r="E368" s="44" t="s">
        <v>13</v>
      </c>
      <c r="F368" s="52">
        <v>220</v>
      </c>
      <c r="G368" s="52"/>
      <c r="H368" s="44" t="s">
        <v>19</v>
      </c>
      <c r="I368" s="50" t="s">
        <v>14</v>
      </c>
      <c r="J368" s="50"/>
      <c r="K368" s="47" t="s">
        <v>8</v>
      </c>
      <c r="L368" s="48">
        <v>2106571.39</v>
      </c>
    </row>
    <row r="369" spans="1:12" ht="61.2" hidden="1" x14ac:dyDescent="0.3">
      <c r="A369" s="42" t="s">
        <v>469</v>
      </c>
      <c r="B369" s="43" t="s">
        <v>484</v>
      </c>
      <c r="C369" s="43" t="s">
        <v>487</v>
      </c>
      <c r="D369" s="43" t="s">
        <v>486</v>
      </c>
      <c r="E369" s="44" t="s">
        <v>13</v>
      </c>
      <c r="F369" s="52">
        <v>800</v>
      </c>
      <c r="G369" s="52"/>
      <c r="H369" s="44" t="s">
        <v>19</v>
      </c>
      <c r="I369" s="50" t="s">
        <v>14</v>
      </c>
      <c r="J369" s="50"/>
      <c r="K369" s="47" t="s">
        <v>8</v>
      </c>
      <c r="L369" s="48">
        <v>2107371.39</v>
      </c>
    </row>
    <row r="370" spans="1:12" ht="61.2" hidden="1" x14ac:dyDescent="0.3">
      <c r="A370" s="42" t="s">
        <v>469</v>
      </c>
      <c r="B370" s="43" t="s">
        <v>484</v>
      </c>
      <c r="C370" s="43" t="s">
        <v>488</v>
      </c>
      <c r="D370" s="43" t="s">
        <v>486</v>
      </c>
      <c r="E370" s="44" t="s">
        <v>13</v>
      </c>
      <c r="F370" s="52">
        <v>110</v>
      </c>
      <c r="G370" s="52"/>
      <c r="H370" s="44" t="s">
        <v>19</v>
      </c>
      <c r="I370" s="50" t="s">
        <v>14</v>
      </c>
      <c r="J370" s="50"/>
      <c r="K370" s="47" t="s">
        <v>8</v>
      </c>
      <c r="L370" s="48">
        <v>2107481.39</v>
      </c>
    </row>
    <row r="371" spans="1:12" ht="61.2" hidden="1" x14ac:dyDescent="0.3">
      <c r="A371" s="42" t="s">
        <v>469</v>
      </c>
      <c r="B371" s="43" t="s">
        <v>484</v>
      </c>
      <c r="C371" s="43" t="s">
        <v>489</v>
      </c>
      <c r="D371" s="43" t="s">
        <v>486</v>
      </c>
      <c r="E371" s="44" t="s">
        <v>13</v>
      </c>
      <c r="F371" s="52">
        <v>825</v>
      </c>
      <c r="G371" s="52"/>
      <c r="H371" s="44" t="s">
        <v>19</v>
      </c>
      <c r="I371" s="50" t="s">
        <v>14</v>
      </c>
      <c r="J371" s="50"/>
      <c r="K371" s="47" t="s">
        <v>8</v>
      </c>
      <c r="L371" s="48">
        <v>2108306.39</v>
      </c>
    </row>
    <row r="372" spans="1:12" ht="71.400000000000006" hidden="1" x14ac:dyDescent="0.3">
      <c r="A372" s="42" t="s">
        <v>469</v>
      </c>
      <c r="B372" s="43" t="s">
        <v>484</v>
      </c>
      <c r="C372" s="43" t="s">
        <v>490</v>
      </c>
      <c r="D372" s="43" t="s">
        <v>486</v>
      </c>
      <c r="E372" s="44" t="s">
        <v>13</v>
      </c>
      <c r="F372" s="49">
        <v>5760</v>
      </c>
      <c r="G372" s="49"/>
      <c r="H372" s="44" t="s">
        <v>19</v>
      </c>
      <c r="I372" s="50" t="s">
        <v>14</v>
      </c>
      <c r="J372" s="50"/>
      <c r="K372" s="47" t="s">
        <v>8</v>
      </c>
      <c r="L372" s="48">
        <v>2114066.39</v>
      </c>
    </row>
    <row r="373" spans="1:12" ht="71.400000000000006" hidden="1" x14ac:dyDescent="0.3">
      <c r="A373" s="42" t="s">
        <v>469</v>
      </c>
      <c r="B373" s="43" t="s">
        <v>484</v>
      </c>
      <c r="C373" s="43" t="s">
        <v>491</v>
      </c>
      <c r="D373" s="43" t="s">
        <v>486</v>
      </c>
      <c r="E373" s="44" t="s">
        <v>13</v>
      </c>
      <c r="F373" s="49">
        <v>2820</v>
      </c>
      <c r="G373" s="49"/>
      <c r="H373" s="44" t="s">
        <v>19</v>
      </c>
      <c r="I373" s="50" t="s">
        <v>14</v>
      </c>
      <c r="J373" s="50"/>
      <c r="K373" s="47" t="s">
        <v>8</v>
      </c>
      <c r="L373" s="48">
        <v>2116886.39</v>
      </c>
    </row>
    <row r="374" spans="1:12" ht="81.599999999999994" hidden="1" x14ac:dyDescent="0.3">
      <c r="A374" s="42" t="s">
        <v>469</v>
      </c>
      <c r="B374" s="43" t="s">
        <v>492</v>
      </c>
      <c r="C374" s="43" t="s">
        <v>493</v>
      </c>
      <c r="D374" s="43" t="s">
        <v>494</v>
      </c>
      <c r="E374" s="44" t="s">
        <v>13</v>
      </c>
      <c r="F374" s="49">
        <v>3214.9</v>
      </c>
      <c r="G374" s="49"/>
      <c r="H374" s="44" t="s">
        <v>19</v>
      </c>
      <c r="I374" s="50" t="s">
        <v>14</v>
      </c>
      <c r="J374" s="50"/>
      <c r="K374" s="47" t="s">
        <v>8</v>
      </c>
      <c r="L374" s="48">
        <v>1218167.6100000001</v>
      </c>
    </row>
    <row r="375" spans="1:12" ht="81.599999999999994" hidden="1" x14ac:dyDescent="0.3">
      <c r="A375" s="42" t="s">
        <v>469</v>
      </c>
      <c r="B375" s="43" t="s">
        <v>492</v>
      </c>
      <c r="C375" s="43" t="s">
        <v>495</v>
      </c>
      <c r="D375" s="43" t="s">
        <v>494</v>
      </c>
      <c r="E375" s="44" t="s">
        <v>13</v>
      </c>
      <c r="F375" s="49">
        <v>3315.5</v>
      </c>
      <c r="G375" s="49"/>
      <c r="H375" s="44" t="s">
        <v>19</v>
      </c>
      <c r="I375" s="50" t="s">
        <v>14</v>
      </c>
      <c r="J375" s="50"/>
      <c r="K375" s="47" t="s">
        <v>8</v>
      </c>
      <c r="L375" s="48">
        <v>1221483.1100000001</v>
      </c>
    </row>
    <row r="376" spans="1:12" ht="81.599999999999994" hidden="1" x14ac:dyDescent="0.3">
      <c r="A376" s="42" t="s">
        <v>469</v>
      </c>
      <c r="B376" s="43" t="s">
        <v>492</v>
      </c>
      <c r="C376" s="43" t="s">
        <v>496</v>
      </c>
      <c r="D376" s="43" t="s">
        <v>494</v>
      </c>
      <c r="E376" s="44" t="s">
        <v>13</v>
      </c>
      <c r="F376" s="49">
        <v>7458.5</v>
      </c>
      <c r="G376" s="49"/>
      <c r="H376" s="44" t="s">
        <v>19</v>
      </c>
      <c r="I376" s="50" t="s">
        <v>14</v>
      </c>
      <c r="J376" s="50"/>
      <c r="K376" s="47" t="s">
        <v>8</v>
      </c>
      <c r="L376" s="48">
        <v>1228941.6100000001</v>
      </c>
    </row>
    <row r="377" spans="1:12" ht="81.599999999999994" hidden="1" x14ac:dyDescent="0.3">
      <c r="A377" s="42" t="s">
        <v>469</v>
      </c>
      <c r="B377" s="43" t="s">
        <v>492</v>
      </c>
      <c r="C377" s="43" t="s">
        <v>497</v>
      </c>
      <c r="D377" s="43" t="s">
        <v>494</v>
      </c>
      <c r="E377" s="44" t="s">
        <v>13</v>
      </c>
      <c r="F377" s="49">
        <v>9137.5</v>
      </c>
      <c r="G377" s="49"/>
      <c r="H377" s="44" t="s">
        <v>19</v>
      </c>
      <c r="I377" s="50" t="s">
        <v>14</v>
      </c>
      <c r="J377" s="50"/>
      <c r="K377" s="47" t="s">
        <v>8</v>
      </c>
      <c r="L377" s="48">
        <v>1238079.1100000001</v>
      </c>
    </row>
    <row r="378" spans="1:12" ht="81.599999999999994" hidden="1" x14ac:dyDescent="0.3">
      <c r="A378" s="42" t="s">
        <v>469</v>
      </c>
      <c r="B378" s="43" t="s">
        <v>492</v>
      </c>
      <c r="C378" s="43" t="s">
        <v>498</v>
      </c>
      <c r="D378" s="43" t="s">
        <v>494</v>
      </c>
      <c r="E378" s="44" t="s">
        <v>13</v>
      </c>
      <c r="F378" s="49">
        <v>8879</v>
      </c>
      <c r="G378" s="49"/>
      <c r="H378" s="44" t="s">
        <v>19</v>
      </c>
      <c r="I378" s="50" t="s">
        <v>14</v>
      </c>
      <c r="J378" s="50"/>
      <c r="K378" s="47" t="s">
        <v>8</v>
      </c>
      <c r="L378" s="48">
        <v>1246958.1100000001</v>
      </c>
    </row>
    <row r="379" spans="1:12" ht="81.599999999999994" hidden="1" x14ac:dyDescent="0.3">
      <c r="A379" s="42" t="s">
        <v>469</v>
      </c>
      <c r="B379" s="43" t="s">
        <v>492</v>
      </c>
      <c r="C379" s="43" t="s">
        <v>499</v>
      </c>
      <c r="D379" s="43" t="s">
        <v>494</v>
      </c>
      <c r="E379" s="44" t="s">
        <v>13</v>
      </c>
      <c r="F379" s="49">
        <v>5922.4</v>
      </c>
      <c r="G379" s="49"/>
      <c r="H379" s="44" t="s">
        <v>19</v>
      </c>
      <c r="I379" s="50" t="s">
        <v>14</v>
      </c>
      <c r="J379" s="50"/>
      <c r="K379" s="47" t="s">
        <v>8</v>
      </c>
      <c r="L379" s="48">
        <v>1252880.51</v>
      </c>
    </row>
    <row r="380" spans="1:12" ht="81.599999999999994" hidden="1" x14ac:dyDescent="0.3">
      <c r="A380" s="42" t="s">
        <v>469</v>
      </c>
      <c r="B380" s="43" t="s">
        <v>492</v>
      </c>
      <c r="C380" s="43" t="s">
        <v>500</v>
      </c>
      <c r="D380" s="43" t="s">
        <v>494</v>
      </c>
      <c r="E380" s="44" t="s">
        <v>13</v>
      </c>
      <c r="F380" s="49">
        <v>2384.5</v>
      </c>
      <c r="G380" s="49"/>
      <c r="H380" s="44" t="s">
        <v>19</v>
      </c>
      <c r="I380" s="50" t="s">
        <v>14</v>
      </c>
      <c r="J380" s="50"/>
      <c r="K380" s="47" t="s">
        <v>8</v>
      </c>
      <c r="L380" s="48">
        <v>1255265.01</v>
      </c>
    </row>
    <row r="381" spans="1:12" ht="81.599999999999994" hidden="1" x14ac:dyDescent="0.3">
      <c r="A381" s="42" t="s">
        <v>469</v>
      </c>
      <c r="B381" s="43" t="s">
        <v>492</v>
      </c>
      <c r="C381" s="43" t="s">
        <v>501</v>
      </c>
      <c r="D381" s="43" t="s">
        <v>494</v>
      </c>
      <c r="E381" s="44" t="s">
        <v>13</v>
      </c>
      <c r="F381" s="49">
        <v>3381</v>
      </c>
      <c r="G381" s="49"/>
      <c r="H381" s="44" t="s">
        <v>19</v>
      </c>
      <c r="I381" s="50" t="s">
        <v>14</v>
      </c>
      <c r="J381" s="50"/>
      <c r="K381" s="47" t="s">
        <v>8</v>
      </c>
      <c r="L381" s="48">
        <v>1258646.01</v>
      </c>
    </row>
    <row r="382" spans="1:12" ht="81.599999999999994" hidden="1" x14ac:dyDescent="0.3">
      <c r="A382" s="42" t="s">
        <v>469</v>
      </c>
      <c r="B382" s="43" t="s">
        <v>492</v>
      </c>
      <c r="C382" s="43" t="s">
        <v>502</v>
      </c>
      <c r="D382" s="43" t="s">
        <v>494</v>
      </c>
      <c r="E382" s="44" t="s">
        <v>13</v>
      </c>
      <c r="F382" s="49">
        <v>6840.5</v>
      </c>
      <c r="G382" s="49"/>
      <c r="H382" s="44" t="s">
        <v>19</v>
      </c>
      <c r="I382" s="50" t="s">
        <v>14</v>
      </c>
      <c r="J382" s="50"/>
      <c r="K382" s="47" t="s">
        <v>8</v>
      </c>
      <c r="L382" s="48">
        <v>1265486.51</v>
      </c>
    </row>
    <row r="383" spans="1:12" ht="81.599999999999994" hidden="1" x14ac:dyDescent="0.3">
      <c r="A383" s="42" t="s">
        <v>469</v>
      </c>
      <c r="B383" s="43" t="s">
        <v>492</v>
      </c>
      <c r="C383" s="43" t="s">
        <v>503</v>
      </c>
      <c r="D383" s="43" t="s">
        <v>494</v>
      </c>
      <c r="E383" s="44" t="s">
        <v>13</v>
      </c>
      <c r="F383" s="49">
        <v>2149.4</v>
      </c>
      <c r="G383" s="49"/>
      <c r="H383" s="44" t="s">
        <v>19</v>
      </c>
      <c r="I383" s="50" t="s">
        <v>14</v>
      </c>
      <c r="J383" s="50"/>
      <c r="K383" s="47" t="s">
        <v>8</v>
      </c>
      <c r="L383" s="48">
        <v>1267635.9099999999</v>
      </c>
    </row>
    <row r="384" spans="1:12" ht="81.599999999999994" hidden="1" x14ac:dyDescent="0.3">
      <c r="A384" s="42" t="s">
        <v>469</v>
      </c>
      <c r="B384" s="43" t="s">
        <v>492</v>
      </c>
      <c r="C384" s="43" t="s">
        <v>504</v>
      </c>
      <c r="D384" s="43" t="s">
        <v>494</v>
      </c>
      <c r="E384" s="44" t="s">
        <v>13</v>
      </c>
      <c r="F384" s="52">
        <v>968.6</v>
      </c>
      <c r="G384" s="52"/>
      <c r="H384" s="44" t="s">
        <v>19</v>
      </c>
      <c r="I384" s="50" t="s">
        <v>14</v>
      </c>
      <c r="J384" s="50"/>
      <c r="K384" s="47" t="s">
        <v>8</v>
      </c>
      <c r="L384" s="48">
        <v>1268604.51</v>
      </c>
    </row>
    <row r="385" spans="1:12" ht="81.599999999999994" hidden="1" x14ac:dyDescent="0.3">
      <c r="A385" s="42" t="s">
        <v>469</v>
      </c>
      <c r="B385" s="43" t="s">
        <v>492</v>
      </c>
      <c r="C385" s="43" t="s">
        <v>505</v>
      </c>
      <c r="D385" s="43" t="s">
        <v>494</v>
      </c>
      <c r="E385" s="44" t="s">
        <v>13</v>
      </c>
      <c r="F385" s="49">
        <v>4857</v>
      </c>
      <c r="G385" s="49"/>
      <c r="H385" s="44" t="s">
        <v>19</v>
      </c>
      <c r="I385" s="50" t="s">
        <v>14</v>
      </c>
      <c r="J385" s="50"/>
      <c r="K385" s="47" t="s">
        <v>8</v>
      </c>
      <c r="L385" s="48">
        <v>1273461.51</v>
      </c>
    </row>
    <row r="386" spans="1:12" ht="81.599999999999994" hidden="1" x14ac:dyDescent="0.3">
      <c r="A386" s="42" t="s">
        <v>469</v>
      </c>
      <c r="B386" s="43" t="s">
        <v>492</v>
      </c>
      <c r="C386" s="43" t="s">
        <v>506</v>
      </c>
      <c r="D386" s="43" t="s">
        <v>494</v>
      </c>
      <c r="E386" s="44" t="s">
        <v>13</v>
      </c>
      <c r="F386" s="49">
        <v>3544.2</v>
      </c>
      <c r="G386" s="49"/>
      <c r="H386" s="44" t="s">
        <v>19</v>
      </c>
      <c r="I386" s="50" t="s">
        <v>14</v>
      </c>
      <c r="J386" s="50"/>
      <c r="K386" s="47" t="s">
        <v>8</v>
      </c>
      <c r="L386" s="48">
        <v>1277005.71</v>
      </c>
    </row>
    <row r="387" spans="1:12" ht="81.599999999999994" hidden="1" x14ac:dyDescent="0.3">
      <c r="A387" s="42" t="s">
        <v>469</v>
      </c>
      <c r="B387" s="43" t="s">
        <v>507</v>
      </c>
      <c r="C387" s="43" t="s">
        <v>508</v>
      </c>
      <c r="D387" s="43" t="s">
        <v>494</v>
      </c>
      <c r="E387" s="44" t="s">
        <v>13</v>
      </c>
      <c r="F387" s="49">
        <v>5020.2</v>
      </c>
      <c r="G387" s="49"/>
      <c r="H387" s="44" t="s">
        <v>19</v>
      </c>
      <c r="I387" s="50" t="s">
        <v>14</v>
      </c>
      <c r="J387" s="50"/>
      <c r="K387" s="47" t="s">
        <v>8</v>
      </c>
      <c r="L387" s="48">
        <v>1282025.9099999999</v>
      </c>
    </row>
    <row r="388" spans="1:12" ht="81.599999999999994" hidden="1" x14ac:dyDescent="0.3">
      <c r="A388" s="42" t="s">
        <v>469</v>
      </c>
      <c r="B388" s="43" t="s">
        <v>507</v>
      </c>
      <c r="C388" s="43" t="s">
        <v>509</v>
      </c>
      <c r="D388" s="43" t="s">
        <v>494</v>
      </c>
      <c r="E388" s="44" t="s">
        <v>13</v>
      </c>
      <c r="F388" s="49">
        <v>7513.8</v>
      </c>
      <c r="G388" s="49"/>
      <c r="H388" s="44" t="s">
        <v>19</v>
      </c>
      <c r="I388" s="50" t="s">
        <v>14</v>
      </c>
      <c r="J388" s="50"/>
      <c r="K388" s="47" t="s">
        <v>8</v>
      </c>
      <c r="L388" s="48">
        <v>1289539.71</v>
      </c>
    </row>
    <row r="389" spans="1:12" ht="81.599999999999994" hidden="1" x14ac:dyDescent="0.3">
      <c r="A389" s="42" t="s">
        <v>469</v>
      </c>
      <c r="B389" s="43" t="s">
        <v>507</v>
      </c>
      <c r="C389" s="43" t="s">
        <v>510</v>
      </c>
      <c r="D389" s="43" t="s">
        <v>494</v>
      </c>
      <c r="E389" s="44" t="s">
        <v>13</v>
      </c>
      <c r="F389" s="49">
        <v>1509.2</v>
      </c>
      <c r="G389" s="49"/>
      <c r="H389" s="44" t="s">
        <v>19</v>
      </c>
      <c r="I389" s="50" t="s">
        <v>14</v>
      </c>
      <c r="J389" s="50"/>
      <c r="K389" s="47" t="s">
        <v>8</v>
      </c>
      <c r="L389" s="48">
        <v>1291048.9099999999</v>
      </c>
    </row>
    <row r="390" spans="1:12" ht="81.599999999999994" hidden="1" x14ac:dyDescent="0.3">
      <c r="A390" s="42" t="s">
        <v>469</v>
      </c>
      <c r="B390" s="43" t="s">
        <v>507</v>
      </c>
      <c r="C390" s="43" t="s">
        <v>511</v>
      </c>
      <c r="D390" s="43" t="s">
        <v>494</v>
      </c>
      <c r="E390" s="44" t="s">
        <v>13</v>
      </c>
      <c r="F390" s="49">
        <v>1412.3</v>
      </c>
      <c r="G390" s="49"/>
      <c r="H390" s="44" t="s">
        <v>19</v>
      </c>
      <c r="I390" s="50" t="s">
        <v>14</v>
      </c>
      <c r="J390" s="50"/>
      <c r="K390" s="47" t="s">
        <v>8</v>
      </c>
      <c r="L390" s="48">
        <v>1292461.21</v>
      </c>
    </row>
    <row r="391" spans="1:12" ht="81.599999999999994" hidden="1" x14ac:dyDescent="0.3">
      <c r="A391" s="42" t="s">
        <v>469</v>
      </c>
      <c r="B391" s="43" t="s">
        <v>507</v>
      </c>
      <c r="C391" s="43" t="s">
        <v>505</v>
      </c>
      <c r="D391" s="43" t="s">
        <v>494</v>
      </c>
      <c r="E391" s="44" t="s">
        <v>13</v>
      </c>
      <c r="F391" s="49">
        <v>4784.1000000000004</v>
      </c>
      <c r="G391" s="49"/>
      <c r="H391" s="44" t="s">
        <v>19</v>
      </c>
      <c r="I391" s="50" t="s">
        <v>14</v>
      </c>
      <c r="J391" s="50"/>
      <c r="K391" s="47" t="s">
        <v>8</v>
      </c>
      <c r="L391" s="48">
        <v>1297245.31</v>
      </c>
    </row>
    <row r="392" spans="1:12" ht="81.599999999999994" hidden="1" x14ac:dyDescent="0.3">
      <c r="A392" s="42" t="s">
        <v>469</v>
      </c>
      <c r="B392" s="43" t="s">
        <v>507</v>
      </c>
      <c r="C392" s="43" t="s">
        <v>512</v>
      </c>
      <c r="D392" s="43" t="s">
        <v>494</v>
      </c>
      <c r="E392" s="44" t="s">
        <v>13</v>
      </c>
      <c r="F392" s="49">
        <v>8058.8</v>
      </c>
      <c r="G392" s="49"/>
      <c r="H392" s="44" t="s">
        <v>19</v>
      </c>
      <c r="I392" s="50" t="s">
        <v>14</v>
      </c>
      <c r="J392" s="50"/>
      <c r="K392" s="47" t="s">
        <v>8</v>
      </c>
      <c r="L392" s="48">
        <v>1305304.1100000001</v>
      </c>
    </row>
    <row r="393" spans="1:12" ht="81.599999999999994" hidden="1" x14ac:dyDescent="0.3">
      <c r="A393" s="42" t="s">
        <v>469</v>
      </c>
      <c r="B393" s="43" t="s">
        <v>507</v>
      </c>
      <c r="C393" s="43" t="s">
        <v>512</v>
      </c>
      <c r="D393" s="43" t="s">
        <v>494</v>
      </c>
      <c r="E393" s="44" t="s">
        <v>13</v>
      </c>
      <c r="F393" s="49">
        <v>7704.8</v>
      </c>
      <c r="G393" s="49"/>
      <c r="H393" s="44" t="s">
        <v>19</v>
      </c>
      <c r="I393" s="50" t="s">
        <v>14</v>
      </c>
      <c r="J393" s="50"/>
      <c r="K393" s="47" t="s">
        <v>8</v>
      </c>
      <c r="L393" s="48">
        <v>1313008.9099999999</v>
      </c>
    </row>
    <row r="394" spans="1:12" ht="81.599999999999994" hidden="1" x14ac:dyDescent="0.3">
      <c r="A394" s="42" t="s">
        <v>469</v>
      </c>
      <c r="B394" s="43" t="s">
        <v>507</v>
      </c>
      <c r="C394" s="43" t="s">
        <v>512</v>
      </c>
      <c r="D394" s="43" t="s">
        <v>494</v>
      </c>
      <c r="E394" s="44" t="s">
        <v>13</v>
      </c>
      <c r="F394" s="49">
        <v>3918.8</v>
      </c>
      <c r="G394" s="49"/>
      <c r="H394" s="44" t="s">
        <v>19</v>
      </c>
      <c r="I394" s="50" t="s">
        <v>14</v>
      </c>
      <c r="J394" s="50"/>
      <c r="K394" s="47" t="s">
        <v>8</v>
      </c>
      <c r="L394" s="48">
        <v>1316927.71</v>
      </c>
    </row>
    <row r="395" spans="1:12" ht="81.599999999999994" hidden="1" x14ac:dyDescent="0.3">
      <c r="A395" s="42" t="s">
        <v>469</v>
      </c>
      <c r="B395" s="43" t="s">
        <v>507</v>
      </c>
      <c r="C395" s="43" t="s">
        <v>513</v>
      </c>
      <c r="D395" s="43" t="s">
        <v>494</v>
      </c>
      <c r="E395" s="44" t="s">
        <v>13</v>
      </c>
      <c r="F395" s="49">
        <v>13396.6</v>
      </c>
      <c r="G395" s="49"/>
      <c r="H395" s="44" t="s">
        <v>19</v>
      </c>
      <c r="I395" s="50" t="s">
        <v>14</v>
      </c>
      <c r="J395" s="50"/>
      <c r="K395" s="47" t="s">
        <v>8</v>
      </c>
      <c r="L395" s="48">
        <v>1330324.31</v>
      </c>
    </row>
    <row r="396" spans="1:12" ht="81.599999999999994" hidden="1" x14ac:dyDescent="0.3">
      <c r="A396" s="42" t="s">
        <v>469</v>
      </c>
      <c r="B396" s="43" t="s">
        <v>507</v>
      </c>
      <c r="C396" s="43" t="s">
        <v>514</v>
      </c>
      <c r="D396" s="43" t="s">
        <v>494</v>
      </c>
      <c r="E396" s="44" t="s">
        <v>13</v>
      </c>
      <c r="F396" s="52">
        <v>426.2</v>
      </c>
      <c r="G396" s="52"/>
      <c r="H396" s="44" t="s">
        <v>19</v>
      </c>
      <c r="I396" s="50" t="s">
        <v>14</v>
      </c>
      <c r="J396" s="50"/>
      <c r="K396" s="47" t="s">
        <v>8</v>
      </c>
      <c r="L396" s="48">
        <v>1330750.51</v>
      </c>
    </row>
    <row r="397" spans="1:12" ht="81.599999999999994" hidden="1" x14ac:dyDescent="0.3">
      <c r="A397" s="42" t="s">
        <v>469</v>
      </c>
      <c r="B397" s="43" t="s">
        <v>507</v>
      </c>
      <c r="C397" s="43" t="s">
        <v>515</v>
      </c>
      <c r="D397" s="43" t="s">
        <v>494</v>
      </c>
      <c r="E397" s="44" t="s">
        <v>13</v>
      </c>
      <c r="F397" s="52">
        <v>538.79999999999995</v>
      </c>
      <c r="G397" s="52"/>
      <c r="H397" s="44" t="s">
        <v>19</v>
      </c>
      <c r="I397" s="50" t="s">
        <v>14</v>
      </c>
      <c r="J397" s="50"/>
      <c r="K397" s="47" t="s">
        <v>8</v>
      </c>
      <c r="L397" s="48">
        <v>1331289.31</v>
      </c>
    </row>
    <row r="398" spans="1:12" ht="81.599999999999994" hidden="1" x14ac:dyDescent="0.3">
      <c r="A398" s="42" t="s">
        <v>469</v>
      </c>
      <c r="B398" s="43" t="s">
        <v>507</v>
      </c>
      <c r="C398" s="43" t="s">
        <v>516</v>
      </c>
      <c r="D398" s="43" t="s">
        <v>494</v>
      </c>
      <c r="E398" s="44" t="s">
        <v>13</v>
      </c>
      <c r="F398" s="49">
        <v>65116.800000000003</v>
      </c>
      <c r="G398" s="49"/>
      <c r="H398" s="44" t="s">
        <v>19</v>
      </c>
      <c r="I398" s="50" t="s">
        <v>14</v>
      </c>
      <c r="J398" s="50"/>
      <c r="K398" s="47" t="s">
        <v>8</v>
      </c>
      <c r="L398" s="48">
        <v>1396406.11</v>
      </c>
    </row>
    <row r="399" spans="1:12" ht="71.400000000000006" hidden="1" x14ac:dyDescent="0.3">
      <c r="A399" s="42" t="s">
        <v>469</v>
      </c>
      <c r="B399" s="43" t="s">
        <v>507</v>
      </c>
      <c r="C399" s="43" t="s">
        <v>517</v>
      </c>
      <c r="D399" s="43" t="s">
        <v>494</v>
      </c>
      <c r="E399" s="44" t="s">
        <v>13</v>
      </c>
      <c r="F399" s="49">
        <v>5446.4</v>
      </c>
      <c r="G399" s="49"/>
      <c r="H399" s="44" t="s">
        <v>19</v>
      </c>
      <c r="I399" s="50" t="s">
        <v>14</v>
      </c>
      <c r="J399" s="50"/>
      <c r="K399" s="47" t="s">
        <v>8</v>
      </c>
      <c r="L399" s="48">
        <v>1401852.51</v>
      </c>
    </row>
    <row r="400" spans="1:12" ht="71.400000000000006" hidden="1" x14ac:dyDescent="0.3">
      <c r="A400" s="42" t="s">
        <v>469</v>
      </c>
      <c r="B400" s="43" t="s">
        <v>507</v>
      </c>
      <c r="C400" s="43" t="s">
        <v>518</v>
      </c>
      <c r="D400" s="43" t="s">
        <v>494</v>
      </c>
      <c r="E400" s="44" t="s">
        <v>13</v>
      </c>
      <c r="F400" s="49">
        <v>7888.1</v>
      </c>
      <c r="G400" s="49"/>
      <c r="H400" s="44" t="s">
        <v>19</v>
      </c>
      <c r="I400" s="50" t="s">
        <v>14</v>
      </c>
      <c r="J400" s="50"/>
      <c r="K400" s="47" t="s">
        <v>8</v>
      </c>
      <c r="L400" s="48">
        <v>1409740.61</v>
      </c>
    </row>
    <row r="401" spans="1:12" ht="71.400000000000006" hidden="1" x14ac:dyDescent="0.3">
      <c r="A401" s="42" t="s">
        <v>469</v>
      </c>
      <c r="B401" s="43" t="s">
        <v>507</v>
      </c>
      <c r="C401" s="43" t="s">
        <v>519</v>
      </c>
      <c r="D401" s="43" t="s">
        <v>494</v>
      </c>
      <c r="E401" s="44" t="s">
        <v>13</v>
      </c>
      <c r="F401" s="52">
        <v>238.8</v>
      </c>
      <c r="G401" s="52"/>
      <c r="H401" s="44" t="s">
        <v>19</v>
      </c>
      <c r="I401" s="50" t="s">
        <v>14</v>
      </c>
      <c r="J401" s="50"/>
      <c r="K401" s="47" t="s">
        <v>8</v>
      </c>
      <c r="L401" s="48">
        <v>1409979.41</v>
      </c>
    </row>
    <row r="402" spans="1:12" ht="71.400000000000006" hidden="1" x14ac:dyDescent="0.3">
      <c r="A402" s="42" t="s">
        <v>469</v>
      </c>
      <c r="B402" s="43" t="s">
        <v>507</v>
      </c>
      <c r="C402" s="43" t="s">
        <v>520</v>
      </c>
      <c r="D402" s="43" t="s">
        <v>494</v>
      </c>
      <c r="E402" s="44" t="s">
        <v>13</v>
      </c>
      <c r="F402" s="52">
        <v>682.5</v>
      </c>
      <c r="G402" s="52"/>
      <c r="H402" s="44" t="s">
        <v>19</v>
      </c>
      <c r="I402" s="50" t="s">
        <v>14</v>
      </c>
      <c r="J402" s="50"/>
      <c r="K402" s="47" t="s">
        <v>8</v>
      </c>
      <c r="L402" s="48">
        <v>1410661.91</v>
      </c>
    </row>
    <row r="403" spans="1:12" ht="71.400000000000006" hidden="1" x14ac:dyDescent="0.3">
      <c r="A403" s="42" t="s">
        <v>469</v>
      </c>
      <c r="B403" s="43" t="s">
        <v>507</v>
      </c>
      <c r="C403" s="43" t="s">
        <v>521</v>
      </c>
      <c r="D403" s="43" t="s">
        <v>494</v>
      </c>
      <c r="E403" s="44" t="s">
        <v>13</v>
      </c>
      <c r="F403" s="52">
        <v>144</v>
      </c>
      <c r="G403" s="52"/>
      <c r="H403" s="44" t="s">
        <v>19</v>
      </c>
      <c r="I403" s="50" t="s">
        <v>14</v>
      </c>
      <c r="J403" s="50"/>
      <c r="K403" s="47" t="s">
        <v>8</v>
      </c>
      <c r="L403" s="48">
        <v>1410805.91</v>
      </c>
    </row>
    <row r="404" spans="1:12" ht="71.400000000000006" hidden="1" x14ac:dyDescent="0.3">
      <c r="A404" s="42" t="s">
        <v>469</v>
      </c>
      <c r="B404" s="43" t="s">
        <v>507</v>
      </c>
      <c r="C404" s="43" t="s">
        <v>522</v>
      </c>
      <c r="D404" s="43" t="s">
        <v>494</v>
      </c>
      <c r="E404" s="44" t="s">
        <v>13</v>
      </c>
      <c r="F404" s="52">
        <v>141.6</v>
      </c>
      <c r="G404" s="52"/>
      <c r="H404" s="44" t="s">
        <v>19</v>
      </c>
      <c r="I404" s="50" t="s">
        <v>14</v>
      </c>
      <c r="J404" s="50"/>
      <c r="K404" s="47" t="s">
        <v>8</v>
      </c>
      <c r="L404" s="48">
        <v>1410947.51</v>
      </c>
    </row>
    <row r="405" spans="1:12" ht="71.400000000000006" hidden="1" x14ac:dyDescent="0.3">
      <c r="A405" s="42" t="s">
        <v>469</v>
      </c>
      <c r="B405" s="43" t="s">
        <v>507</v>
      </c>
      <c r="C405" s="43" t="s">
        <v>523</v>
      </c>
      <c r="D405" s="43" t="s">
        <v>494</v>
      </c>
      <c r="E405" s="44" t="s">
        <v>13</v>
      </c>
      <c r="F405" s="49">
        <v>10054.799999999999</v>
      </c>
      <c r="G405" s="49"/>
      <c r="H405" s="44" t="s">
        <v>19</v>
      </c>
      <c r="I405" s="50" t="s">
        <v>14</v>
      </c>
      <c r="J405" s="50"/>
      <c r="K405" s="47" t="s">
        <v>8</v>
      </c>
      <c r="L405" s="48">
        <v>1421002.31</v>
      </c>
    </row>
    <row r="406" spans="1:12" ht="81.599999999999994" hidden="1" x14ac:dyDescent="0.3">
      <c r="A406" s="42" t="s">
        <v>469</v>
      </c>
      <c r="B406" s="43" t="s">
        <v>524</v>
      </c>
      <c r="C406" s="43" t="s">
        <v>525</v>
      </c>
      <c r="D406" s="43" t="s">
        <v>526</v>
      </c>
      <c r="E406" s="44" t="s">
        <v>13</v>
      </c>
      <c r="F406" s="49">
        <v>3024.6</v>
      </c>
      <c r="G406" s="49"/>
      <c r="H406" s="44" t="s">
        <v>19</v>
      </c>
      <c r="I406" s="50" t="s">
        <v>14</v>
      </c>
      <c r="J406" s="50"/>
      <c r="K406" s="47" t="s">
        <v>8</v>
      </c>
      <c r="L406" s="48">
        <v>48211.58</v>
      </c>
    </row>
    <row r="407" spans="1:12" ht="81.599999999999994" hidden="1" x14ac:dyDescent="0.3">
      <c r="A407" s="42" t="s">
        <v>469</v>
      </c>
      <c r="B407" s="43" t="s">
        <v>524</v>
      </c>
      <c r="C407" s="43" t="s">
        <v>527</v>
      </c>
      <c r="D407" s="43" t="s">
        <v>526</v>
      </c>
      <c r="E407" s="44" t="s">
        <v>13</v>
      </c>
      <c r="F407" s="49">
        <v>5672.3</v>
      </c>
      <c r="G407" s="49"/>
      <c r="H407" s="44" t="s">
        <v>19</v>
      </c>
      <c r="I407" s="50" t="s">
        <v>14</v>
      </c>
      <c r="J407" s="50"/>
      <c r="K407" s="47" t="s">
        <v>8</v>
      </c>
      <c r="L407" s="48">
        <v>53883.88</v>
      </c>
    </row>
    <row r="408" spans="1:12" ht="81.599999999999994" hidden="1" x14ac:dyDescent="0.3">
      <c r="A408" s="42" t="s">
        <v>469</v>
      </c>
      <c r="B408" s="43" t="s">
        <v>524</v>
      </c>
      <c r="C408" s="43" t="s">
        <v>528</v>
      </c>
      <c r="D408" s="43" t="s">
        <v>526</v>
      </c>
      <c r="E408" s="44" t="s">
        <v>13</v>
      </c>
      <c r="F408" s="49">
        <v>2562.1999999999998</v>
      </c>
      <c r="G408" s="49"/>
      <c r="H408" s="44" t="s">
        <v>19</v>
      </c>
      <c r="I408" s="50" t="s">
        <v>14</v>
      </c>
      <c r="J408" s="50"/>
      <c r="K408" s="47" t="s">
        <v>8</v>
      </c>
      <c r="L408" s="48">
        <v>56446.080000000002</v>
      </c>
    </row>
    <row r="409" spans="1:12" ht="81.599999999999994" hidden="1" x14ac:dyDescent="0.3">
      <c r="A409" s="42" t="s">
        <v>469</v>
      </c>
      <c r="B409" s="43" t="s">
        <v>524</v>
      </c>
      <c r="C409" s="43" t="s">
        <v>529</v>
      </c>
      <c r="D409" s="43" t="s">
        <v>526</v>
      </c>
      <c r="E409" s="44" t="s">
        <v>13</v>
      </c>
      <c r="F409" s="49">
        <v>14122.5</v>
      </c>
      <c r="G409" s="49"/>
      <c r="H409" s="44" t="s">
        <v>19</v>
      </c>
      <c r="I409" s="50" t="s">
        <v>14</v>
      </c>
      <c r="J409" s="50"/>
      <c r="K409" s="47" t="s">
        <v>8</v>
      </c>
      <c r="L409" s="48">
        <v>70568.58</v>
      </c>
    </row>
    <row r="410" spans="1:12" ht="81.599999999999994" hidden="1" x14ac:dyDescent="0.3">
      <c r="A410" s="42" t="s">
        <v>469</v>
      </c>
      <c r="B410" s="43" t="s">
        <v>524</v>
      </c>
      <c r="C410" s="43" t="s">
        <v>530</v>
      </c>
      <c r="D410" s="43" t="s">
        <v>526</v>
      </c>
      <c r="E410" s="44" t="s">
        <v>13</v>
      </c>
      <c r="F410" s="49">
        <v>4036.6</v>
      </c>
      <c r="G410" s="49"/>
      <c r="H410" s="44" t="s">
        <v>19</v>
      </c>
      <c r="I410" s="50" t="s">
        <v>14</v>
      </c>
      <c r="J410" s="50"/>
      <c r="K410" s="47" t="s">
        <v>8</v>
      </c>
      <c r="L410" s="48">
        <v>74605.179999999993</v>
      </c>
    </row>
    <row r="411" spans="1:12" ht="81.599999999999994" hidden="1" x14ac:dyDescent="0.3">
      <c r="A411" s="42" t="s">
        <v>469</v>
      </c>
      <c r="B411" s="43" t="s">
        <v>524</v>
      </c>
      <c r="C411" s="43" t="s">
        <v>531</v>
      </c>
      <c r="D411" s="43" t="s">
        <v>526</v>
      </c>
      <c r="E411" s="44" t="s">
        <v>13</v>
      </c>
      <c r="F411" s="49">
        <v>4968.8999999999996</v>
      </c>
      <c r="G411" s="49"/>
      <c r="H411" s="44" t="s">
        <v>19</v>
      </c>
      <c r="I411" s="50" t="s">
        <v>14</v>
      </c>
      <c r="J411" s="50"/>
      <c r="K411" s="47" t="s">
        <v>8</v>
      </c>
      <c r="L411" s="48">
        <v>79574.080000000002</v>
      </c>
    </row>
    <row r="412" spans="1:12" ht="81.599999999999994" hidden="1" x14ac:dyDescent="0.3">
      <c r="A412" s="42" t="s">
        <v>469</v>
      </c>
      <c r="B412" s="43" t="s">
        <v>524</v>
      </c>
      <c r="C412" s="43" t="s">
        <v>532</v>
      </c>
      <c r="D412" s="43" t="s">
        <v>526</v>
      </c>
      <c r="E412" s="44" t="s">
        <v>13</v>
      </c>
      <c r="F412" s="49">
        <v>5366.1</v>
      </c>
      <c r="G412" s="49"/>
      <c r="H412" s="44" t="s">
        <v>19</v>
      </c>
      <c r="I412" s="50" t="s">
        <v>14</v>
      </c>
      <c r="J412" s="50"/>
      <c r="K412" s="47" t="s">
        <v>8</v>
      </c>
      <c r="L412" s="48">
        <v>84940.18</v>
      </c>
    </row>
    <row r="413" spans="1:12" ht="81.599999999999994" hidden="1" x14ac:dyDescent="0.3">
      <c r="A413" s="42" t="s">
        <v>469</v>
      </c>
      <c r="B413" s="43" t="s">
        <v>524</v>
      </c>
      <c r="C413" s="43" t="s">
        <v>533</v>
      </c>
      <c r="D413" s="43" t="s">
        <v>526</v>
      </c>
      <c r="E413" s="44" t="s">
        <v>13</v>
      </c>
      <c r="F413" s="52">
        <v>485.2</v>
      </c>
      <c r="G413" s="52"/>
      <c r="H413" s="44" t="s">
        <v>19</v>
      </c>
      <c r="I413" s="50" t="s">
        <v>14</v>
      </c>
      <c r="J413" s="50"/>
      <c r="K413" s="47" t="s">
        <v>8</v>
      </c>
      <c r="L413" s="48">
        <v>85425.38</v>
      </c>
    </row>
    <row r="414" spans="1:12" ht="81.599999999999994" hidden="1" x14ac:dyDescent="0.3">
      <c r="A414" s="42" t="s">
        <v>469</v>
      </c>
      <c r="B414" s="43" t="s">
        <v>524</v>
      </c>
      <c r="C414" s="43" t="s">
        <v>534</v>
      </c>
      <c r="D414" s="43" t="s">
        <v>526</v>
      </c>
      <c r="E414" s="44" t="s">
        <v>13</v>
      </c>
      <c r="F414" s="49">
        <v>72115.199999999997</v>
      </c>
      <c r="G414" s="49"/>
      <c r="H414" s="44" t="s">
        <v>19</v>
      </c>
      <c r="I414" s="50" t="s">
        <v>14</v>
      </c>
      <c r="J414" s="50"/>
      <c r="K414" s="47" t="s">
        <v>8</v>
      </c>
      <c r="L414" s="48">
        <v>157540.57999999999</v>
      </c>
    </row>
    <row r="415" spans="1:12" ht="81.599999999999994" hidden="1" x14ac:dyDescent="0.3">
      <c r="A415" s="42" t="s">
        <v>469</v>
      </c>
      <c r="B415" s="43" t="s">
        <v>524</v>
      </c>
      <c r="C415" s="43" t="s">
        <v>535</v>
      </c>
      <c r="D415" s="43" t="s">
        <v>526</v>
      </c>
      <c r="E415" s="44" t="s">
        <v>13</v>
      </c>
      <c r="F415" s="49">
        <v>3125.6</v>
      </c>
      <c r="G415" s="49"/>
      <c r="H415" s="44" t="s">
        <v>19</v>
      </c>
      <c r="I415" s="50" t="s">
        <v>14</v>
      </c>
      <c r="J415" s="50"/>
      <c r="K415" s="47" t="s">
        <v>8</v>
      </c>
      <c r="L415" s="48">
        <v>160666.18</v>
      </c>
    </row>
    <row r="416" spans="1:12" ht="81.599999999999994" hidden="1" x14ac:dyDescent="0.3">
      <c r="A416" s="42" t="s">
        <v>469</v>
      </c>
      <c r="B416" s="43" t="s">
        <v>524</v>
      </c>
      <c r="C416" s="43" t="s">
        <v>536</v>
      </c>
      <c r="D416" s="43" t="s">
        <v>526</v>
      </c>
      <c r="E416" s="44" t="s">
        <v>13</v>
      </c>
      <c r="F416" s="49">
        <v>14821.2</v>
      </c>
      <c r="G416" s="49"/>
      <c r="H416" s="44" t="s">
        <v>19</v>
      </c>
      <c r="I416" s="50" t="s">
        <v>14</v>
      </c>
      <c r="J416" s="50"/>
      <c r="K416" s="47" t="s">
        <v>8</v>
      </c>
      <c r="L416" s="48">
        <v>175487.38</v>
      </c>
    </row>
    <row r="417" spans="1:12" ht="81.599999999999994" hidden="1" x14ac:dyDescent="0.3">
      <c r="A417" s="42" t="s">
        <v>469</v>
      </c>
      <c r="B417" s="43" t="s">
        <v>524</v>
      </c>
      <c r="C417" s="43" t="s">
        <v>534</v>
      </c>
      <c r="D417" s="43" t="s">
        <v>526</v>
      </c>
      <c r="E417" s="44" t="s">
        <v>13</v>
      </c>
      <c r="F417" s="49">
        <v>4526</v>
      </c>
      <c r="G417" s="49"/>
      <c r="H417" s="44" t="s">
        <v>19</v>
      </c>
      <c r="I417" s="50" t="s">
        <v>14</v>
      </c>
      <c r="J417" s="50"/>
      <c r="K417" s="47" t="s">
        <v>8</v>
      </c>
      <c r="L417" s="48">
        <v>180013.38</v>
      </c>
    </row>
    <row r="418" spans="1:12" ht="81.599999999999994" hidden="1" x14ac:dyDescent="0.3">
      <c r="A418" s="42" t="s">
        <v>469</v>
      </c>
      <c r="B418" s="43" t="s">
        <v>524</v>
      </c>
      <c r="C418" s="43" t="s">
        <v>537</v>
      </c>
      <c r="D418" s="43" t="s">
        <v>526</v>
      </c>
      <c r="E418" s="44" t="s">
        <v>13</v>
      </c>
      <c r="F418" s="49">
        <v>30745.8</v>
      </c>
      <c r="G418" s="49"/>
      <c r="H418" s="44" t="s">
        <v>19</v>
      </c>
      <c r="I418" s="50" t="s">
        <v>14</v>
      </c>
      <c r="J418" s="50"/>
      <c r="K418" s="47" t="s">
        <v>8</v>
      </c>
      <c r="L418" s="48">
        <v>210759.18</v>
      </c>
    </row>
    <row r="419" spans="1:12" ht="81.599999999999994" hidden="1" x14ac:dyDescent="0.3">
      <c r="A419" s="42" t="s">
        <v>469</v>
      </c>
      <c r="B419" s="43" t="s">
        <v>538</v>
      </c>
      <c r="C419" s="43" t="s">
        <v>539</v>
      </c>
      <c r="D419" s="43" t="s">
        <v>526</v>
      </c>
      <c r="E419" s="44" t="s">
        <v>13</v>
      </c>
      <c r="F419" s="49">
        <v>3561.3</v>
      </c>
      <c r="G419" s="49"/>
      <c r="H419" s="44" t="s">
        <v>19</v>
      </c>
      <c r="I419" s="50" t="s">
        <v>14</v>
      </c>
      <c r="J419" s="50"/>
      <c r="K419" s="47" t="s">
        <v>8</v>
      </c>
      <c r="L419" s="48">
        <v>214320.48</v>
      </c>
    </row>
    <row r="420" spans="1:12" ht="81.599999999999994" hidden="1" x14ac:dyDescent="0.3">
      <c r="A420" s="42" t="s">
        <v>469</v>
      </c>
      <c r="B420" s="43" t="s">
        <v>538</v>
      </c>
      <c r="C420" s="43" t="s">
        <v>540</v>
      </c>
      <c r="D420" s="43" t="s">
        <v>526</v>
      </c>
      <c r="E420" s="44" t="s">
        <v>13</v>
      </c>
      <c r="F420" s="49">
        <v>8446.2000000000007</v>
      </c>
      <c r="G420" s="49"/>
      <c r="H420" s="44" t="s">
        <v>19</v>
      </c>
      <c r="I420" s="50" t="s">
        <v>14</v>
      </c>
      <c r="J420" s="50"/>
      <c r="K420" s="47" t="s">
        <v>8</v>
      </c>
      <c r="L420" s="48">
        <v>222766.68</v>
      </c>
    </row>
    <row r="421" spans="1:12" ht="81.599999999999994" hidden="1" x14ac:dyDescent="0.3">
      <c r="A421" s="42" t="s">
        <v>469</v>
      </c>
      <c r="B421" s="43" t="s">
        <v>538</v>
      </c>
      <c r="C421" s="43" t="s">
        <v>541</v>
      </c>
      <c r="D421" s="43" t="s">
        <v>526</v>
      </c>
      <c r="E421" s="44" t="s">
        <v>13</v>
      </c>
      <c r="F421" s="49">
        <v>17029.8</v>
      </c>
      <c r="G421" s="49"/>
      <c r="H421" s="44" t="s">
        <v>19</v>
      </c>
      <c r="I421" s="50" t="s">
        <v>14</v>
      </c>
      <c r="J421" s="50"/>
      <c r="K421" s="47" t="s">
        <v>8</v>
      </c>
      <c r="L421" s="48">
        <v>239796.48000000001</v>
      </c>
    </row>
    <row r="422" spans="1:12" ht="81.599999999999994" hidden="1" x14ac:dyDescent="0.3">
      <c r="A422" s="42" t="s">
        <v>469</v>
      </c>
      <c r="B422" s="43" t="s">
        <v>538</v>
      </c>
      <c r="C422" s="43" t="s">
        <v>542</v>
      </c>
      <c r="D422" s="43" t="s">
        <v>526</v>
      </c>
      <c r="E422" s="44" t="s">
        <v>13</v>
      </c>
      <c r="F422" s="49">
        <v>4779.2</v>
      </c>
      <c r="G422" s="49"/>
      <c r="H422" s="44" t="s">
        <v>19</v>
      </c>
      <c r="I422" s="50" t="s">
        <v>14</v>
      </c>
      <c r="J422" s="50"/>
      <c r="K422" s="47" t="s">
        <v>8</v>
      </c>
      <c r="L422" s="48">
        <v>244575.68</v>
      </c>
    </row>
    <row r="423" spans="1:12" ht="81.599999999999994" hidden="1" x14ac:dyDescent="0.3">
      <c r="A423" s="42" t="s">
        <v>469</v>
      </c>
      <c r="B423" s="43" t="s">
        <v>538</v>
      </c>
      <c r="C423" s="43" t="s">
        <v>543</v>
      </c>
      <c r="D423" s="43" t="s">
        <v>526</v>
      </c>
      <c r="E423" s="44" t="s">
        <v>13</v>
      </c>
      <c r="F423" s="49">
        <v>5607.9</v>
      </c>
      <c r="G423" s="49"/>
      <c r="H423" s="44" t="s">
        <v>19</v>
      </c>
      <c r="I423" s="50" t="s">
        <v>14</v>
      </c>
      <c r="J423" s="50"/>
      <c r="K423" s="47" t="s">
        <v>8</v>
      </c>
      <c r="L423" s="48">
        <v>250183.58</v>
      </c>
    </row>
    <row r="424" spans="1:12" ht="81.599999999999994" hidden="1" x14ac:dyDescent="0.3">
      <c r="A424" s="42" t="s">
        <v>469</v>
      </c>
      <c r="B424" s="43" t="s">
        <v>538</v>
      </c>
      <c r="C424" s="43" t="s">
        <v>544</v>
      </c>
      <c r="D424" s="43" t="s">
        <v>526</v>
      </c>
      <c r="E424" s="44" t="s">
        <v>13</v>
      </c>
      <c r="F424" s="49">
        <v>2053.4</v>
      </c>
      <c r="G424" s="49"/>
      <c r="H424" s="44" t="s">
        <v>19</v>
      </c>
      <c r="I424" s="50" t="s">
        <v>14</v>
      </c>
      <c r="J424" s="50"/>
      <c r="K424" s="47" t="s">
        <v>8</v>
      </c>
      <c r="L424" s="48">
        <v>252236.98</v>
      </c>
    </row>
    <row r="425" spans="1:12" ht="81.599999999999994" hidden="1" x14ac:dyDescent="0.3">
      <c r="A425" s="42" t="s">
        <v>469</v>
      </c>
      <c r="B425" s="43" t="s">
        <v>538</v>
      </c>
      <c r="C425" s="43" t="s">
        <v>545</v>
      </c>
      <c r="D425" s="43" t="s">
        <v>526</v>
      </c>
      <c r="E425" s="44" t="s">
        <v>13</v>
      </c>
      <c r="F425" s="49">
        <v>2756.8</v>
      </c>
      <c r="G425" s="49"/>
      <c r="H425" s="44" t="s">
        <v>19</v>
      </c>
      <c r="I425" s="50" t="s">
        <v>14</v>
      </c>
      <c r="J425" s="50"/>
      <c r="K425" s="47" t="s">
        <v>8</v>
      </c>
      <c r="L425" s="48">
        <v>254993.78</v>
      </c>
    </row>
    <row r="426" spans="1:12" ht="81.599999999999994" hidden="1" x14ac:dyDescent="0.3">
      <c r="A426" s="42" t="s">
        <v>469</v>
      </c>
      <c r="B426" s="43" t="s">
        <v>538</v>
      </c>
      <c r="C426" s="43" t="s">
        <v>546</v>
      </c>
      <c r="D426" s="43" t="s">
        <v>526</v>
      </c>
      <c r="E426" s="44" t="s">
        <v>13</v>
      </c>
      <c r="F426" s="52">
        <v>692</v>
      </c>
      <c r="G426" s="52"/>
      <c r="H426" s="44" t="s">
        <v>19</v>
      </c>
      <c r="I426" s="50" t="s">
        <v>14</v>
      </c>
      <c r="J426" s="50"/>
      <c r="K426" s="47" t="s">
        <v>8</v>
      </c>
      <c r="L426" s="48">
        <v>255685.78</v>
      </c>
    </row>
    <row r="427" spans="1:12" ht="81.599999999999994" hidden="1" x14ac:dyDescent="0.3">
      <c r="A427" s="42" t="s">
        <v>469</v>
      </c>
      <c r="B427" s="43" t="s">
        <v>538</v>
      </c>
      <c r="C427" s="43" t="s">
        <v>536</v>
      </c>
      <c r="D427" s="43" t="s">
        <v>526</v>
      </c>
      <c r="E427" s="44" t="s">
        <v>13</v>
      </c>
      <c r="F427" s="49">
        <v>3723.2</v>
      </c>
      <c r="G427" s="49"/>
      <c r="H427" s="44" t="s">
        <v>19</v>
      </c>
      <c r="I427" s="50" t="s">
        <v>14</v>
      </c>
      <c r="J427" s="50"/>
      <c r="K427" s="47" t="s">
        <v>8</v>
      </c>
      <c r="L427" s="48">
        <v>259408.98</v>
      </c>
    </row>
    <row r="428" spans="1:12" ht="81.599999999999994" hidden="1" x14ac:dyDescent="0.3">
      <c r="A428" s="42" t="s">
        <v>469</v>
      </c>
      <c r="B428" s="43" t="s">
        <v>538</v>
      </c>
      <c r="C428" s="43" t="s">
        <v>547</v>
      </c>
      <c r="D428" s="43" t="s">
        <v>526</v>
      </c>
      <c r="E428" s="44" t="s">
        <v>13</v>
      </c>
      <c r="F428" s="52">
        <v>929.8</v>
      </c>
      <c r="G428" s="52"/>
      <c r="H428" s="44" t="s">
        <v>19</v>
      </c>
      <c r="I428" s="50" t="s">
        <v>14</v>
      </c>
      <c r="J428" s="50"/>
      <c r="K428" s="47" t="s">
        <v>8</v>
      </c>
      <c r="L428" s="48">
        <v>260338.78</v>
      </c>
    </row>
    <row r="429" spans="1:12" ht="81.599999999999994" hidden="1" x14ac:dyDescent="0.3">
      <c r="A429" s="42" t="s">
        <v>469</v>
      </c>
      <c r="B429" s="43" t="s">
        <v>538</v>
      </c>
      <c r="C429" s="43" t="s">
        <v>548</v>
      </c>
      <c r="D429" s="43" t="s">
        <v>526</v>
      </c>
      <c r="E429" s="44" t="s">
        <v>13</v>
      </c>
      <c r="F429" s="49">
        <v>1851.4</v>
      </c>
      <c r="G429" s="49"/>
      <c r="H429" s="44" t="s">
        <v>19</v>
      </c>
      <c r="I429" s="50" t="s">
        <v>14</v>
      </c>
      <c r="J429" s="50"/>
      <c r="K429" s="47" t="s">
        <v>8</v>
      </c>
      <c r="L429" s="48">
        <v>262190.18</v>
      </c>
    </row>
    <row r="430" spans="1:12" ht="81.599999999999994" hidden="1" x14ac:dyDescent="0.3">
      <c r="A430" s="42" t="s">
        <v>469</v>
      </c>
      <c r="B430" s="43" t="s">
        <v>538</v>
      </c>
      <c r="C430" s="43" t="s">
        <v>549</v>
      </c>
      <c r="D430" s="43" t="s">
        <v>526</v>
      </c>
      <c r="E430" s="44" t="s">
        <v>13</v>
      </c>
      <c r="F430" s="49">
        <v>2359.5</v>
      </c>
      <c r="G430" s="49"/>
      <c r="H430" s="44" t="s">
        <v>19</v>
      </c>
      <c r="I430" s="50" t="s">
        <v>14</v>
      </c>
      <c r="J430" s="50"/>
      <c r="K430" s="47" t="s">
        <v>8</v>
      </c>
      <c r="L430" s="48">
        <v>264549.68</v>
      </c>
    </row>
    <row r="431" spans="1:12" ht="81.599999999999994" hidden="1" x14ac:dyDescent="0.3">
      <c r="A431" s="42" t="s">
        <v>469</v>
      </c>
      <c r="B431" s="43" t="s">
        <v>538</v>
      </c>
      <c r="C431" s="43" t="s">
        <v>550</v>
      </c>
      <c r="D431" s="43" t="s">
        <v>526</v>
      </c>
      <c r="E431" s="44" t="s">
        <v>13</v>
      </c>
      <c r="F431" s="49">
        <v>1973.6</v>
      </c>
      <c r="G431" s="49"/>
      <c r="H431" s="44" t="s">
        <v>19</v>
      </c>
      <c r="I431" s="50" t="s">
        <v>14</v>
      </c>
      <c r="J431" s="50"/>
      <c r="K431" s="47" t="s">
        <v>8</v>
      </c>
      <c r="L431" s="48">
        <v>266523.28000000003</v>
      </c>
    </row>
    <row r="432" spans="1:12" ht="81.599999999999994" hidden="1" x14ac:dyDescent="0.3">
      <c r="A432" s="42" t="s">
        <v>469</v>
      </c>
      <c r="B432" s="43" t="s">
        <v>538</v>
      </c>
      <c r="C432" s="43" t="s">
        <v>535</v>
      </c>
      <c r="D432" s="43" t="s">
        <v>526</v>
      </c>
      <c r="E432" s="44" t="s">
        <v>13</v>
      </c>
      <c r="F432" s="49">
        <v>3103.6</v>
      </c>
      <c r="G432" s="49"/>
      <c r="H432" s="44" t="s">
        <v>19</v>
      </c>
      <c r="I432" s="50" t="s">
        <v>14</v>
      </c>
      <c r="J432" s="50"/>
      <c r="K432" s="47" t="s">
        <v>8</v>
      </c>
      <c r="L432" s="48">
        <v>269626.88</v>
      </c>
    </row>
    <row r="433" spans="1:12" ht="81.599999999999994" hidden="1" x14ac:dyDescent="0.3">
      <c r="A433" s="42" t="s">
        <v>469</v>
      </c>
      <c r="B433" s="43" t="s">
        <v>538</v>
      </c>
      <c r="C433" s="43" t="s">
        <v>551</v>
      </c>
      <c r="D433" s="43" t="s">
        <v>526</v>
      </c>
      <c r="E433" s="44" t="s">
        <v>13</v>
      </c>
      <c r="F433" s="52">
        <v>645.6</v>
      </c>
      <c r="G433" s="52"/>
      <c r="H433" s="44" t="s">
        <v>19</v>
      </c>
      <c r="I433" s="50" t="s">
        <v>14</v>
      </c>
      <c r="J433" s="50"/>
      <c r="K433" s="47" t="s">
        <v>8</v>
      </c>
      <c r="L433" s="48">
        <v>270272.48</v>
      </c>
    </row>
    <row r="434" spans="1:12" ht="91.8" hidden="1" x14ac:dyDescent="0.3">
      <c r="A434" s="42" t="s">
        <v>469</v>
      </c>
      <c r="B434" s="43" t="s">
        <v>538</v>
      </c>
      <c r="C434" s="43" t="s">
        <v>552</v>
      </c>
      <c r="D434" s="43" t="s">
        <v>526</v>
      </c>
      <c r="E434" s="44" t="s">
        <v>13</v>
      </c>
      <c r="F434" s="49">
        <v>4899.7</v>
      </c>
      <c r="G434" s="49"/>
      <c r="H434" s="44" t="s">
        <v>19</v>
      </c>
      <c r="I434" s="50" t="s">
        <v>14</v>
      </c>
      <c r="J434" s="50"/>
      <c r="K434" s="47" t="s">
        <v>8</v>
      </c>
      <c r="L434" s="48">
        <v>275172.18</v>
      </c>
    </row>
    <row r="435" spans="1:12" ht="81.599999999999994" hidden="1" x14ac:dyDescent="0.3">
      <c r="A435" s="42" t="s">
        <v>469</v>
      </c>
      <c r="B435" s="43" t="s">
        <v>538</v>
      </c>
      <c r="C435" s="43" t="s">
        <v>553</v>
      </c>
      <c r="D435" s="43" t="s">
        <v>526</v>
      </c>
      <c r="E435" s="44" t="s">
        <v>13</v>
      </c>
      <c r="F435" s="49">
        <v>1146.3</v>
      </c>
      <c r="G435" s="49"/>
      <c r="H435" s="44" t="s">
        <v>19</v>
      </c>
      <c r="I435" s="50" t="s">
        <v>14</v>
      </c>
      <c r="J435" s="50"/>
      <c r="K435" s="47" t="s">
        <v>8</v>
      </c>
      <c r="L435" s="48">
        <v>276318.48</v>
      </c>
    </row>
    <row r="436" spans="1:12" ht="81.599999999999994" hidden="1" x14ac:dyDescent="0.3">
      <c r="A436" s="42" t="s">
        <v>469</v>
      </c>
      <c r="B436" s="43" t="s">
        <v>538</v>
      </c>
      <c r="C436" s="43" t="s">
        <v>554</v>
      </c>
      <c r="D436" s="43" t="s">
        <v>526</v>
      </c>
      <c r="E436" s="44" t="s">
        <v>13</v>
      </c>
      <c r="F436" s="49">
        <v>1056.8</v>
      </c>
      <c r="G436" s="49"/>
      <c r="H436" s="44" t="s">
        <v>19</v>
      </c>
      <c r="I436" s="50" t="s">
        <v>14</v>
      </c>
      <c r="J436" s="50"/>
      <c r="K436" s="47" t="s">
        <v>8</v>
      </c>
      <c r="L436" s="48">
        <v>277375.28000000003</v>
      </c>
    </row>
    <row r="437" spans="1:12" ht="81.599999999999994" hidden="1" x14ac:dyDescent="0.3">
      <c r="A437" s="42" t="s">
        <v>469</v>
      </c>
      <c r="B437" s="43" t="s">
        <v>538</v>
      </c>
      <c r="C437" s="43" t="s">
        <v>555</v>
      </c>
      <c r="D437" s="43" t="s">
        <v>526</v>
      </c>
      <c r="E437" s="44" t="s">
        <v>13</v>
      </c>
      <c r="F437" s="49">
        <v>1810.7</v>
      </c>
      <c r="G437" s="49"/>
      <c r="H437" s="44" t="s">
        <v>19</v>
      </c>
      <c r="I437" s="50" t="s">
        <v>14</v>
      </c>
      <c r="J437" s="50"/>
      <c r="K437" s="47" t="s">
        <v>8</v>
      </c>
      <c r="L437" s="48">
        <v>279185.98</v>
      </c>
    </row>
    <row r="438" spans="1:12" ht="81.599999999999994" hidden="1" x14ac:dyDescent="0.3">
      <c r="A438" s="42" t="s">
        <v>469</v>
      </c>
      <c r="B438" s="43" t="s">
        <v>538</v>
      </c>
      <c r="C438" s="43" t="s">
        <v>556</v>
      </c>
      <c r="D438" s="43" t="s">
        <v>526</v>
      </c>
      <c r="E438" s="44" t="s">
        <v>13</v>
      </c>
      <c r="F438" s="49">
        <v>1648.7</v>
      </c>
      <c r="G438" s="49"/>
      <c r="H438" s="44" t="s">
        <v>19</v>
      </c>
      <c r="I438" s="50" t="s">
        <v>14</v>
      </c>
      <c r="J438" s="50"/>
      <c r="K438" s="47" t="s">
        <v>8</v>
      </c>
      <c r="L438" s="48">
        <v>280834.68</v>
      </c>
    </row>
    <row r="439" spans="1:12" ht="81.599999999999994" hidden="1" x14ac:dyDescent="0.3">
      <c r="A439" s="42" t="s">
        <v>469</v>
      </c>
      <c r="B439" s="43" t="s">
        <v>538</v>
      </c>
      <c r="C439" s="43" t="s">
        <v>557</v>
      </c>
      <c r="D439" s="43" t="s">
        <v>526</v>
      </c>
      <c r="E439" s="44" t="s">
        <v>13</v>
      </c>
      <c r="F439" s="49">
        <v>1623.4</v>
      </c>
      <c r="G439" s="49"/>
      <c r="H439" s="44" t="s">
        <v>19</v>
      </c>
      <c r="I439" s="50" t="s">
        <v>14</v>
      </c>
      <c r="J439" s="50"/>
      <c r="K439" s="47" t="s">
        <v>8</v>
      </c>
      <c r="L439" s="48">
        <v>282458.08</v>
      </c>
    </row>
    <row r="440" spans="1:12" ht="81.599999999999994" hidden="1" x14ac:dyDescent="0.3">
      <c r="A440" s="42" t="s">
        <v>469</v>
      </c>
      <c r="B440" s="43" t="s">
        <v>538</v>
      </c>
      <c r="C440" s="43" t="s">
        <v>558</v>
      </c>
      <c r="D440" s="43" t="s">
        <v>526</v>
      </c>
      <c r="E440" s="44" t="s">
        <v>13</v>
      </c>
      <c r="F440" s="49">
        <v>1919.8</v>
      </c>
      <c r="G440" s="49"/>
      <c r="H440" s="44" t="s">
        <v>19</v>
      </c>
      <c r="I440" s="50" t="s">
        <v>14</v>
      </c>
      <c r="J440" s="50"/>
      <c r="K440" s="47" t="s">
        <v>8</v>
      </c>
      <c r="L440" s="48">
        <v>284377.88</v>
      </c>
    </row>
    <row r="441" spans="1:12" ht="81.599999999999994" hidden="1" x14ac:dyDescent="0.3">
      <c r="A441" s="42" t="s">
        <v>469</v>
      </c>
      <c r="B441" s="43" t="s">
        <v>538</v>
      </c>
      <c r="C441" s="43" t="s">
        <v>559</v>
      </c>
      <c r="D441" s="43" t="s">
        <v>526</v>
      </c>
      <c r="E441" s="44" t="s">
        <v>13</v>
      </c>
      <c r="F441" s="49">
        <v>2207.1999999999998</v>
      </c>
      <c r="G441" s="49"/>
      <c r="H441" s="44" t="s">
        <v>19</v>
      </c>
      <c r="I441" s="50" t="s">
        <v>14</v>
      </c>
      <c r="J441" s="50"/>
      <c r="K441" s="47" t="s">
        <v>8</v>
      </c>
      <c r="L441" s="48">
        <v>286585.08</v>
      </c>
    </row>
    <row r="442" spans="1:12" ht="81.599999999999994" hidden="1" x14ac:dyDescent="0.3">
      <c r="A442" s="42" t="s">
        <v>469</v>
      </c>
      <c r="B442" s="43" t="s">
        <v>538</v>
      </c>
      <c r="C442" s="43" t="s">
        <v>560</v>
      </c>
      <c r="D442" s="43" t="s">
        <v>526</v>
      </c>
      <c r="E442" s="44" t="s">
        <v>13</v>
      </c>
      <c r="F442" s="49">
        <v>2764.9</v>
      </c>
      <c r="G442" s="49"/>
      <c r="H442" s="44" t="s">
        <v>19</v>
      </c>
      <c r="I442" s="50" t="s">
        <v>14</v>
      </c>
      <c r="J442" s="50"/>
      <c r="K442" s="47" t="s">
        <v>8</v>
      </c>
      <c r="L442" s="48">
        <v>289349.98</v>
      </c>
    </row>
    <row r="443" spans="1:12" ht="81.599999999999994" hidden="1" x14ac:dyDescent="0.3">
      <c r="A443" s="42" t="s">
        <v>469</v>
      </c>
      <c r="B443" s="43" t="s">
        <v>538</v>
      </c>
      <c r="C443" s="43" t="s">
        <v>561</v>
      </c>
      <c r="D443" s="43" t="s">
        <v>526</v>
      </c>
      <c r="E443" s="44" t="s">
        <v>13</v>
      </c>
      <c r="F443" s="49">
        <v>8534</v>
      </c>
      <c r="G443" s="49"/>
      <c r="H443" s="44" t="s">
        <v>19</v>
      </c>
      <c r="I443" s="50" t="s">
        <v>14</v>
      </c>
      <c r="J443" s="50"/>
      <c r="K443" s="47" t="s">
        <v>8</v>
      </c>
      <c r="L443" s="48">
        <v>297883.98</v>
      </c>
    </row>
    <row r="444" spans="1:12" ht="91.8" hidden="1" x14ac:dyDescent="0.3">
      <c r="A444" s="42" t="s">
        <v>469</v>
      </c>
      <c r="B444" s="43" t="s">
        <v>538</v>
      </c>
      <c r="C444" s="43" t="s">
        <v>562</v>
      </c>
      <c r="D444" s="43" t="s">
        <v>526</v>
      </c>
      <c r="E444" s="44" t="s">
        <v>13</v>
      </c>
      <c r="F444" s="49">
        <v>3505</v>
      </c>
      <c r="G444" s="49"/>
      <c r="H444" s="44" t="s">
        <v>19</v>
      </c>
      <c r="I444" s="50" t="s">
        <v>14</v>
      </c>
      <c r="J444" s="50"/>
      <c r="K444" s="47" t="s">
        <v>8</v>
      </c>
      <c r="L444" s="48">
        <v>301388.98</v>
      </c>
    </row>
    <row r="445" spans="1:12" ht="91.8" hidden="1" x14ac:dyDescent="0.3">
      <c r="A445" s="42" t="s">
        <v>469</v>
      </c>
      <c r="B445" s="43" t="s">
        <v>538</v>
      </c>
      <c r="C445" s="43" t="s">
        <v>563</v>
      </c>
      <c r="D445" s="43" t="s">
        <v>526</v>
      </c>
      <c r="E445" s="44" t="s">
        <v>13</v>
      </c>
      <c r="F445" s="49">
        <v>4232.8999999999996</v>
      </c>
      <c r="G445" s="49"/>
      <c r="H445" s="44" t="s">
        <v>19</v>
      </c>
      <c r="I445" s="50" t="s">
        <v>14</v>
      </c>
      <c r="J445" s="50"/>
      <c r="K445" s="47" t="s">
        <v>8</v>
      </c>
      <c r="L445" s="48">
        <v>305621.88</v>
      </c>
    </row>
    <row r="446" spans="1:12" ht="81.599999999999994" hidden="1" x14ac:dyDescent="0.3">
      <c r="A446" s="42" t="s">
        <v>469</v>
      </c>
      <c r="B446" s="43" t="s">
        <v>538</v>
      </c>
      <c r="C446" s="43" t="s">
        <v>564</v>
      </c>
      <c r="D446" s="43" t="s">
        <v>526</v>
      </c>
      <c r="E446" s="44" t="s">
        <v>13</v>
      </c>
      <c r="F446" s="49">
        <v>1487.5</v>
      </c>
      <c r="G446" s="49"/>
      <c r="H446" s="44" t="s">
        <v>19</v>
      </c>
      <c r="I446" s="50" t="s">
        <v>14</v>
      </c>
      <c r="J446" s="50"/>
      <c r="K446" s="47" t="s">
        <v>8</v>
      </c>
      <c r="L446" s="48">
        <v>307109.38</v>
      </c>
    </row>
    <row r="447" spans="1:12" ht="81.599999999999994" hidden="1" x14ac:dyDescent="0.3">
      <c r="A447" s="42" t="s">
        <v>469</v>
      </c>
      <c r="B447" s="43" t="s">
        <v>538</v>
      </c>
      <c r="C447" s="43" t="s">
        <v>565</v>
      </c>
      <c r="D447" s="43" t="s">
        <v>526</v>
      </c>
      <c r="E447" s="44" t="s">
        <v>13</v>
      </c>
      <c r="F447" s="49">
        <v>2050.9</v>
      </c>
      <c r="G447" s="49"/>
      <c r="H447" s="44" t="s">
        <v>19</v>
      </c>
      <c r="I447" s="50" t="s">
        <v>14</v>
      </c>
      <c r="J447" s="50"/>
      <c r="K447" s="47" t="s">
        <v>8</v>
      </c>
      <c r="L447" s="48">
        <v>309160.28000000003</v>
      </c>
    </row>
    <row r="448" spans="1:12" ht="81.599999999999994" hidden="1" x14ac:dyDescent="0.3">
      <c r="A448" s="42" t="s">
        <v>469</v>
      </c>
      <c r="B448" s="43" t="s">
        <v>538</v>
      </c>
      <c r="C448" s="43" t="s">
        <v>566</v>
      </c>
      <c r="D448" s="43" t="s">
        <v>526</v>
      </c>
      <c r="E448" s="44" t="s">
        <v>13</v>
      </c>
      <c r="F448" s="49">
        <v>2256.9</v>
      </c>
      <c r="G448" s="49"/>
      <c r="H448" s="44" t="s">
        <v>19</v>
      </c>
      <c r="I448" s="50" t="s">
        <v>14</v>
      </c>
      <c r="J448" s="50"/>
      <c r="K448" s="47" t="s">
        <v>8</v>
      </c>
      <c r="L448" s="48">
        <v>311417.18</v>
      </c>
    </row>
    <row r="449" spans="1:12" ht="81.599999999999994" hidden="1" x14ac:dyDescent="0.3">
      <c r="A449" s="42" t="s">
        <v>469</v>
      </c>
      <c r="B449" s="43" t="s">
        <v>538</v>
      </c>
      <c r="C449" s="43" t="s">
        <v>567</v>
      </c>
      <c r="D449" s="43" t="s">
        <v>526</v>
      </c>
      <c r="E449" s="44" t="s">
        <v>13</v>
      </c>
      <c r="F449" s="52">
        <v>436.4</v>
      </c>
      <c r="G449" s="52"/>
      <c r="H449" s="44" t="s">
        <v>19</v>
      </c>
      <c r="I449" s="50" t="s">
        <v>14</v>
      </c>
      <c r="J449" s="50"/>
      <c r="K449" s="47" t="s">
        <v>8</v>
      </c>
      <c r="L449" s="48">
        <v>311853.58</v>
      </c>
    </row>
    <row r="450" spans="1:12" ht="81.599999999999994" hidden="1" x14ac:dyDescent="0.3">
      <c r="A450" s="42" t="s">
        <v>469</v>
      </c>
      <c r="B450" s="43" t="s">
        <v>538</v>
      </c>
      <c r="C450" s="43" t="s">
        <v>568</v>
      </c>
      <c r="D450" s="43" t="s">
        <v>526</v>
      </c>
      <c r="E450" s="44" t="s">
        <v>13</v>
      </c>
      <c r="F450" s="49">
        <v>4125.3999999999996</v>
      </c>
      <c r="G450" s="49"/>
      <c r="H450" s="44" t="s">
        <v>19</v>
      </c>
      <c r="I450" s="50" t="s">
        <v>14</v>
      </c>
      <c r="J450" s="50"/>
      <c r="K450" s="47" t="s">
        <v>8</v>
      </c>
      <c r="L450" s="48">
        <v>315978.98</v>
      </c>
    </row>
    <row r="451" spans="1:12" ht="81.599999999999994" hidden="1" x14ac:dyDescent="0.3">
      <c r="A451" s="42" t="s">
        <v>469</v>
      </c>
      <c r="B451" s="43" t="s">
        <v>538</v>
      </c>
      <c r="C451" s="43" t="s">
        <v>569</v>
      </c>
      <c r="D451" s="43" t="s">
        <v>526</v>
      </c>
      <c r="E451" s="44" t="s">
        <v>13</v>
      </c>
      <c r="F451" s="49">
        <v>1568.9</v>
      </c>
      <c r="G451" s="49"/>
      <c r="H451" s="44" t="s">
        <v>19</v>
      </c>
      <c r="I451" s="50" t="s">
        <v>14</v>
      </c>
      <c r="J451" s="50"/>
      <c r="K451" s="47" t="s">
        <v>8</v>
      </c>
      <c r="L451" s="48">
        <v>317547.88</v>
      </c>
    </row>
    <row r="452" spans="1:12" ht="81.599999999999994" hidden="1" x14ac:dyDescent="0.3">
      <c r="A452" s="42" t="s">
        <v>469</v>
      </c>
      <c r="B452" s="43" t="s">
        <v>538</v>
      </c>
      <c r="C452" s="43" t="s">
        <v>570</v>
      </c>
      <c r="D452" s="43" t="s">
        <v>526</v>
      </c>
      <c r="E452" s="44" t="s">
        <v>13</v>
      </c>
      <c r="F452" s="52">
        <v>959.9</v>
      </c>
      <c r="G452" s="52"/>
      <c r="H452" s="44" t="s">
        <v>19</v>
      </c>
      <c r="I452" s="50" t="s">
        <v>14</v>
      </c>
      <c r="J452" s="50"/>
      <c r="K452" s="47" t="s">
        <v>8</v>
      </c>
      <c r="L452" s="48">
        <v>318507.78000000003</v>
      </c>
    </row>
    <row r="453" spans="1:12" ht="81.599999999999994" hidden="1" x14ac:dyDescent="0.3">
      <c r="A453" s="42" t="s">
        <v>469</v>
      </c>
      <c r="B453" s="43" t="s">
        <v>538</v>
      </c>
      <c r="C453" s="43" t="s">
        <v>571</v>
      </c>
      <c r="D453" s="43" t="s">
        <v>526</v>
      </c>
      <c r="E453" s="44" t="s">
        <v>13</v>
      </c>
      <c r="F453" s="49">
        <v>4085.5</v>
      </c>
      <c r="G453" s="49"/>
      <c r="H453" s="44" t="s">
        <v>19</v>
      </c>
      <c r="I453" s="50" t="s">
        <v>14</v>
      </c>
      <c r="J453" s="50"/>
      <c r="K453" s="47" t="s">
        <v>8</v>
      </c>
      <c r="L453" s="48">
        <v>322593.28000000003</v>
      </c>
    </row>
    <row r="454" spans="1:12" ht="81.599999999999994" hidden="1" x14ac:dyDescent="0.3">
      <c r="A454" s="42" t="s">
        <v>469</v>
      </c>
      <c r="B454" s="43" t="s">
        <v>538</v>
      </c>
      <c r="C454" s="43" t="s">
        <v>572</v>
      </c>
      <c r="D454" s="43" t="s">
        <v>526</v>
      </c>
      <c r="E454" s="44" t="s">
        <v>13</v>
      </c>
      <c r="F454" s="49">
        <v>1548.5</v>
      </c>
      <c r="G454" s="49"/>
      <c r="H454" s="44" t="s">
        <v>19</v>
      </c>
      <c r="I454" s="50" t="s">
        <v>14</v>
      </c>
      <c r="J454" s="50"/>
      <c r="K454" s="47" t="s">
        <v>8</v>
      </c>
      <c r="L454" s="48">
        <v>324141.78000000003</v>
      </c>
    </row>
    <row r="455" spans="1:12" ht="81.599999999999994" hidden="1" x14ac:dyDescent="0.3">
      <c r="A455" s="42" t="s">
        <v>469</v>
      </c>
      <c r="B455" s="43" t="s">
        <v>538</v>
      </c>
      <c r="C455" s="43" t="s">
        <v>573</v>
      </c>
      <c r="D455" s="43" t="s">
        <v>526</v>
      </c>
      <c r="E455" s="44" t="s">
        <v>13</v>
      </c>
      <c r="F455" s="52">
        <v>959.1</v>
      </c>
      <c r="G455" s="52"/>
      <c r="H455" s="44" t="s">
        <v>19</v>
      </c>
      <c r="I455" s="50" t="s">
        <v>14</v>
      </c>
      <c r="J455" s="50"/>
      <c r="K455" s="47" t="s">
        <v>8</v>
      </c>
      <c r="L455" s="48">
        <v>325100.88</v>
      </c>
    </row>
    <row r="456" spans="1:12" ht="81.599999999999994" hidden="1" x14ac:dyDescent="0.3">
      <c r="A456" s="42" t="s">
        <v>469</v>
      </c>
      <c r="B456" s="43" t="s">
        <v>538</v>
      </c>
      <c r="C456" s="43" t="s">
        <v>574</v>
      </c>
      <c r="D456" s="43" t="s">
        <v>526</v>
      </c>
      <c r="E456" s="44" t="s">
        <v>13</v>
      </c>
      <c r="F456" s="49">
        <v>4105.8</v>
      </c>
      <c r="G456" s="49"/>
      <c r="H456" s="44" t="s">
        <v>19</v>
      </c>
      <c r="I456" s="50" t="s">
        <v>14</v>
      </c>
      <c r="J456" s="50"/>
      <c r="K456" s="47" t="s">
        <v>8</v>
      </c>
      <c r="L456" s="48">
        <v>329206.68</v>
      </c>
    </row>
    <row r="457" spans="1:12" ht="81.599999999999994" hidden="1" x14ac:dyDescent="0.3">
      <c r="A457" s="42" t="s">
        <v>469</v>
      </c>
      <c r="B457" s="43" t="s">
        <v>538</v>
      </c>
      <c r="C457" s="43" t="s">
        <v>575</v>
      </c>
      <c r="D457" s="43" t="s">
        <v>526</v>
      </c>
      <c r="E457" s="44" t="s">
        <v>13</v>
      </c>
      <c r="F457" s="49">
        <v>1568.9</v>
      </c>
      <c r="G457" s="49"/>
      <c r="H457" s="44" t="s">
        <v>19</v>
      </c>
      <c r="I457" s="50" t="s">
        <v>14</v>
      </c>
      <c r="J457" s="50"/>
      <c r="K457" s="47" t="s">
        <v>8</v>
      </c>
      <c r="L457" s="48">
        <v>330775.58</v>
      </c>
    </row>
    <row r="458" spans="1:12" ht="81.599999999999994" hidden="1" x14ac:dyDescent="0.3">
      <c r="A458" s="42" t="s">
        <v>469</v>
      </c>
      <c r="B458" s="43" t="s">
        <v>538</v>
      </c>
      <c r="C458" s="43" t="s">
        <v>576</v>
      </c>
      <c r="D458" s="43" t="s">
        <v>526</v>
      </c>
      <c r="E458" s="44" t="s">
        <v>13</v>
      </c>
      <c r="F458" s="52">
        <v>959.9</v>
      </c>
      <c r="G458" s="52"/>
      <c r="H458" s="44" t="s">
        <v>19</v>
      </c>
      <c r="I458" s="50" t="s">
        <v>14</v>
      </c>
      <c r="J458" s="50"/>
      <c r="K458" s="47" t="s">
        <v>8</v>
      </c>
      <c r="L458" s="48">
        <v>331735.48</v>
      </c>
    </row>
    <row r="459" spans="1:12" ht="81.599999999999994" hidden="1" x14ac:dyDescent="0.3">
      <c r="A459" s="42" t="s">
        <v>469</v>
      </c>
      <c r="B459" s="43" t="s">
        <v>538</v>
      </c>
      <c r="C459" s="43" t="s">
        <v>577</v>
      </c>
      <c r="D459" s="43" t="s">
        <v>526</v>
      </c>
      <c r="E459" s="44" t="s">
        <v>13</v>
      </c>
      <c r="F459" s="49">
        <v>4126.2</v>
      </c>
      <c r="G459" s="49"/>
      <c r="H459" s="44" t="s">
        <v>19</v>
      </c>
      <c r="I459" s="50" t="s">
        <v>14</v>
      </c>
      <c r="J459" s="50"/>
      <c r="K459" s="47" t="s">
        <v>8</v>
      </c>
      <c r="L459" s="48">
        <v>335861.68</v>
      </c>
    </row>
    <row r="460" spans="1:12" ht="81.599999999999994" hidden="1" x14ac:dyDescent="0.3">
      <c r="A460" s="42" t="s">
        <v>469</v>
      </c>
      <c r="B460" s="43" t="s">
        <v>538</v>
      </c>
      <c r="C460" s="43" t="s">
        <v>578</v>
      </c>
      <c r="D460" s="43" t="s">
        <v>526</v>
      </c>
      <c r="E460" s="44" t="s">
        <v>13</v>
      </c>
      <c r="F460" s="49">
        <v>1568.9</v>
      </c>
      <c r="G460" s="49"/>
      <c r="H460" s="44" t="s">
        <v>19</v>
      </c>
      <c r="I460" s="50" t="s">
        <v>14</v>
      </c>
      <c r="J460" s="50"/>
      <c r="K460" s="47" t="s">
        <v>8</v>
      </c>
      <c r="L460" s="48">
        <v>337430.58</v>
      </c>
    </row>
    <row r="461" spans="1:12" ht="81.599999999999994" hidden="1" x14ac:dyDescent="0.3">
      <c r="A461" s="42" t="s">
        <v>469</v>
      </c>
      <c r="B461" s="43" t="s">
        <v>538</v>
      </c>
      <c r="C461" s="43" t="s">
        <v>579</v>
      </c>
      <c r="D461" s="43" t="s">
        <v>526</v>
      </c>
      <c r="E461" s="44" t="s">
        <v>13</v>
      </c>
      <c r="F461" s="52">
        <v>959.9</v>
      </c>
      <c r="G461" s="52"/>
      <c r="H461" s="44" t="s">
        <v>19</v>
      </c>
      <c r="I461" s="50" t="s">
        <v>14</v>
      </c>
      <c r="J461" s="50"/>
      <c r="K461" s="47" t="s">
        <v>8</v>
      </c>
      <c r="L461" s="48">
        <v>338390.48</v>
      </c>
    </row>
    <row r="462" spans="1:12" ht="81.599999999999994" hidden="1" x14ac:dyDescent="0.3">
      <c r="A462" s="42" t="s">
        <v>469</v>
      </c>
      <c r="B462" s="43" t="s">
        <v>538</v>
      </c>
      <c r="C462" s="43" t="s">
        <v>580</v>
      </c>
      <c r="D462" s="43" t="s">
        <v>526</v>
      </c>
      <c r="E462" s="44" t="s">
        <v>13</v>
      </c>
      <c r="F462" s="49">
        <v>4447.8</v>
      </c>
      <c r="G462" s="49"/>
      <c r="H462" s="44" t="s">
        <v>19</v>
      </c>
      <c r="I462" s="50" t="s">
        <v>14</v>
      </c>
      <c r="J462" s="50"/>
      <c r="K462" s="47" t="s">
        <v>8</v>
      </c>
      <c r="L462" s="48">
        <v>342838.28</v>
      </c>
    </row>
    <row r="463" spans="1:12" ht="81.599999999999994" hidden="1" x14ac:dyDescent="0.3">
      <c r="A463" s="42" t="s">
        <v>469</v>
      </c>
      <c r="B463" s="43" t="s">
        <v>538</v>
      </c>
      <c r="C463" s="43" t="s">
        <v>581</v>
      </c>
      <c r="D463" s="43" t="s">
        <v>526</v>
      </c>
      <c r="E463" s="44" t="s">
        <v>13</v>
      </c>
      <c r="F463" s="49">
        <v>1688.6</v>
      </c>
      <c r="G463" s="49"/>
      <c r="H463" s="44" t="s">
        <v>19</v>
      </c>
      <c r="I463" s="50" t="s">
        <v>14</v>
      </c>
      <c r="J463" s="50"/>
      <c r="K463" s="47" t="s">
        <v>8</v>
      </c>
      <c r="L463" s="48">
        <v>344526.88</v>
      </c>
    </row>
    <row r="464" spans="1:12" ht="81.599999999999994" hidden="1" x14ac:dyDescent="0.3">
      <c r="A464" s="42" t="s">
        <v>469</v>
      </c>
      <c r="B464" s="43" t="s">
        <v>538</v>
      </c>
      <c r="C464" s="43" t="s">
        <v>582</v>
      </c>
      <c r="D464" s="43" t="s">
        <v>526</v>
      </c>
      <c r="E464" s="44" t="s">
        <v>13</v>
      </c>
      <c r="F464" s="49">
        <v>1029.9000000000001</v>
      </c>
      <c r="G464" s="49"/>
      <c r="H464" s="44" t="s">
        <v>19</v>
      </c>
      <c r="I464" s="50" t="s">
        <v>14</v>
      </c>
      <c r="J464" s="50"/>
      <c r="K464" s="47" t="s">
        <v>8</v>
      </c>
      <c r="L464" s="48">
        <v>345556.78</v>
      </c>
    </row>
    <row r="465" spans="1:12" ht="81.599999999999994" hidden="1" x14ac:dyDescent="0.3">
      <c r="A465" s="42" t="s">
        <v>469</v>
      </c>
      <c r="B465" s="43" t="s">
        <v>538</v>
      </c>
      <c r="C465" s="43" t="s">
        <v>583</v>
      </c>
      <c r="D465" s="43" t="s">
        <v>526</v>
      </c>
      <c r="E465" s="44" t="s">
        <v>13</v>
      </c>
      <c r="F465" s="49">
        <v>1064.0999999999999</v>
      </c>
      <c r="G465" s="49"/>
      <c r="H465" s="44" t="s">
        <v>19</v>
      </c>
      <c r="I465" s="50" t="s">
        <v>14</v>
      </c>
      <c r="J465" s="50"/>
      <c r="K465" s="47" t="s">
        <v>8</v>
      </c>
      <c r="L465" s="48">
        <v>346620.88</v>
      </c>
    </row>
    <row r="466" spans="1:12" ht="81.599999999999994" hidden="1" x14ac:dyDescent="0.3">
      <c r="A466" s="42" t="s">
        <v>469</v>
      </c>
      <c r="B466" s="43" t="s">
        <v>538</v>
      </c>
      <c r="C466" s="43" t="s">
        <v>584</v>
      </c>
      <c r="D466" s="43" t="s">
        <v>526</v>
      </c>
      <c r="E466" s="44" t="s">
        <v>13</v>
      </c>
      <c r="F466" s="49">
        <v>4539.8</v>
      </c>
      <c r="G466" s="49"/>
      <c r="H466" s="44" t="s">
        <v>19</v>
      </c>
      <c r="I466" s="50" t="s">
        <v>14</v>
      </c>
      <c r="J466" s="50"/>
      <c r="K466" s="47" t="s">
        <v>8</v>
      </c>
      <c r="L466" s="48">
        <v>351160.68</v>
      </c>
    </row>
    <row r="467" spans="1:12" ht="81.599999999999994" hidden="1" x14ac:dyDescent="0.3">
      <c r="A467" s="42" t="s">
        <v>469</v>
      </c>
      <c r="B467" s="43" t="s">
        <v>538</v>
      </c>
      <c r="C467" s="43" t="s">
        <v>585</v>
      </c>
      <c r="D467" s="43" t="s">
        <v>526</v>
      </c>
      <c r="E467" s="44" t="s">
        <v>13</v>
      </c>
      <c r="F467" s="49">
        <v>1688.6</v>
      </c>
      <c r="G467" s="49"/>
      <c r="H467" s="44" t="s">
        <v>19</v>
      </c>
      <c r="I467" s="50" t="s">
        <v>14</v>
      </c>
      <c r="J467" s="50"/>
      <c r="K467" s="47" t="s">
        <v>8</v>
      </c>
      <c r="L467" s="48">
        <v>352849.28</v>
      </c>
    </row>
    <row r="468" spans="1:12" ht="81.599999999999994" hidden="1" x14ac:dyDescent="0.3">
      <c r="A468" s="42" t="s">
        <v>469</v>
      </c>
      <c r="B468" s="43" t="s">
        <v>538</v>
      </c>
      <c r="C468" s="43" t="s">
        <v>586</v>
      </c>
      <c r="D468" s="43" t="s">
        <v>526</v>
      </c>
      <c r="E468" s="44" t="s">
        <v>13</v>
      </c>
      <c r="F468" s="49">
        <v>1030.7</v>
      </c>
      <c r="G468" s="49"/>
      <c r="H468" s="44" t="s">
        <v>19</v>
      </c>
      <c r="I468" s="50" t="s">
        <v>14</v>
      </c>
      <c r="J468" s="50"/>
      <c r="K468" s="47" t="s">
        <v>8</v>
      </c>
      <c r="L468" s="48">
        <v>353879.98</v>
      </c>
    </row>
    <row r="469" spans="1:12" ht="81.599999999999994" hidden="1" x14ac:dyDescent="0.3">
      <c r="A469" s="42" t="s">
        <v>469</v>
      </c>
      <c r="B469" s="43" t="s">
        <v>538</v>
      </c>
      <c r="C469" s="43" t="s">
        <v>587</v>
      </c>
      <c r="D469" s="43" t="s">
        <v>526</v>
      </c>
      <c r="E469" s="44" t="s">
        <v>13</v>
      </c>
      <c r="F469" s="49">
        <v>20533.5</v>
      </c>
      <c r="G469" s="49"/>
      <c r="H469" s="44" t="s">
        <v>19</v>
      </c>
      <c r="I469" s="50" t="s">
        <v>14</v>
      </c>
      <c r="J469" s="50"/>
      <c r="K469" s="47" t="s">
        <v>8</v>
      </c>
      <c r="L469" s="48">
        <v>374413.48</v>
      </c>
    </row>
    <row r="470" spans="1:12" ht="81.599999999999994" hidden="1" x14ac:dyDescent="0.3">
      <c r="A470" s="42" t="s">
        <v>469</v>
      </c>
      <c r="B470" s="43" t="s">
        <v>538</v>
      </c>
      <c r="C470" s="43" t="s">
        <v>588</v>
      </c>
      <c r="D470" s="43" t="s">
        <v>526</v>
      </c>
      <c r="E470" s="44" t="s">
        <v>13</v>
      </c>
      <c r="F470" s="49">
        <v>12551.2</v>
      </c>
      <c r="G470" s="49"/>
      <c r="H470" s="44" t="s">
        <v>19</v>
      </c>
      <c r="I470" s="50" t="s">
        <v>14</v>
      </c>
      <c r="J470" s="50"/>
      <c r="K470" s="47" t="s">
        <v>8</v>
      </c>
      <c r="L470" s="48">
        <v>386964.68</v>
      </c>
    </row>
    <row r="471" spans="1:12" ht="81.599999999999994" hidden="1" x14ac:dyDescent="0.3">
      <c r="A471" s="42" t="s">
        <v>469</v>
      </c>
      <c r="B471" s="43" t="s">
        <v>538</v>
      </c>
      <c r="C471" s="43" t="s">
        <v>589</v>
      </c>
      <c r="D471" s="43" t="s">
        <v>526</v>
      </c>
      <c r="E471" s="44" t="s">
        <v>13</v>
      </c>
      <c r="F471" s="49">
        <v>4799.5</v>
      </c>
      <c r="G471" s="49"/>
      <c r="H471" s="44" t="s">
        <v>19</v>
      </c>
      <c r="I471" s="50" t="s">
        <v>14</v>
      </c>
      <c r="J471" s="50"/>
      <c r="K471" s="47" t="s">
        <v>8</v>
      </c>
      <c r="L471" s="48">
        <v>391764.18</v>
      </c>
    </row>
    <row r="472" spans="1:12" ht="81.599999999999994" hidden="1" x14ac:dyDescent="0.3">
      <c r="A472" s="42" t="s">
        <v>469</v>
      </c>
      <c r="B472" s="43" t="s">
        <v>538</v>
      </c>
      <c r="C472" s="43" t="s">
        <v>587</v>
      </c>
      <c r="D472" s="43" t="s">
        <v>526</v>
      </c>
      <c r="E472" s="44" t="s">
        <v>13</v>
      </c>
      <c r="F472" s="49">
        <v>8245.7999999999993</v>
      </c>
      <c r="G472" s="49"/>
      <c r="H472" s="44" t="s">
        <v>19</v>
      </c>
      <c r="I472" s="50" t="s">
        <v>14</v>
      </c>
      <c r="J472" s="50"/>
      <c r="K472" s="47" t="s">
        <v>8</v>
      </c>
      <c r="L472" s="48">
        <v>400009.98</v>
      </c>
    </row>
    <row r="473" spans="1:12" ht="81.599999999999994" hidden="1" x14ac:dyDescent="0.3">
      <c r="A473" s="42" t="s">
        <v>469</v>
      </c>
      <c r="B473" s="43" t="s">
        <v>538</v>
      </c>
      <c r="C473" s="43" t="s">
        <v>536</v>
      </c>
      <c r="D473" s="43" t="s">
        <v>526</v>
      </c>
      <c r="E473" s="44" t="s">
        <v>13</v>
      </c>
      <c r="F473" s="49">
        <v>3681.7</v>
      </c>
      <c r="G473" s="49"/>
      <c r="H473" s="44" t="s">
        <v>19</v>
      </c>
      <c r="I473" s="50" t="s">
        <v>14</v>
      </c>
      <c r="J473" s="50"/>
      <c r="K473" s="47" t="s">
        <v>8</v>
      </c>
      <c r="L473" s="48">
        <v>403691.68</v>
      </c>
    </row>
    <row r="474" spans="1:12" ht="81.599999999999994" hidden="1" x14ac:dyDescent="0.3">
      <c r="A474" s="42" t="s">
        <v>469</v>
      </c>
      <c r="B474" s="43" t="s">
        <v>538</v>
      </c>
      <c r="C474" s="43" t="s">
        <v>590</v>
      </c>
      <c r="D474" s="43" t="s">
        <v>526</v>
      </c>
      <c r="E474" s="44" t="s">
        <v>13</v>
      </c>
      <c r="F474" s="52">
        <v>770.2</v>
      </c>
      <c r="G474" s="52"/>
      <c r="H474" s="44" t="s">
        <v>19</v>
      </c>
      <c r="I474" s="50" t="s">
        <v>14</v>
      </c>
      <c r="J474" s="50"/>
      <c r="K474" s="47" t="s">
        <v>8</v>
      </c>
      <c r="L474" s="48">
        <v>404461.88</v>
      </c>
    </row>
    <row r="475" spans="1:12" ht="81.599999999999994" hidden="1" x14ac:dyDescent="0.3">
      <c r="A475" s="42" t="s">
        <v>469</v>
      </c>
      <c r="B475" s="43" t="s">
        <v>538</v>
      </c>
      <c r="C475" s="43" t="s">
        <v>591</v>
      </c>
      <c r="D475" s="43" t="s">
        <v>526</v>
      </c>
      <c r="E475" s="44" t="s">
        <v>13</v>
      </c>
      <c r="F475" s="49">
        <v>2616.6999999999998</v>
      </c>
      <c r="G475" s="49"/>
      <c r="H475" s="44" t="s">
        <v>19</v>
      </c>
      <c r="I475" s="50" t="s">
        <v>14</v>
      </c>
      <c r="J475" s="50"/>
      <c r="K475" s="47" t="s">
        <v>8</v>
      </c>
      <c r="L475" s="48">
        <v>407078.58</v>
      </c>
    </row>
    <row r="476" spans="1:12" ht="81.599999999999994" hidden="1" x14ac:dyDescent="0.3">
      <c r="A476" s="42" t="s">
        <v>469</v>
      </c>
      <c r="B476" s="43" t="s">
        <v>538</v>
      </c>
      <c r="C476" s="43" t="s">
        <v>592</v>
      </c>
      <c r="D476" s="43" t="s">
        <v>526</v>
      </c>
      <c r="E476" s="44" t="s">
        <v>13</v>
      </c>
      <c r="F476" s="49">
        <v>1007.1</v>
      </c>
      <c r="G476" s="49"/>
      <c r="H476" s="44" t="s">
        <v>19</v>
      </c>
      <c r="I476" s="50" t="s">
        <v>14</v>
      </c>
      <c r="J476" s="50"/>
      <c r="K476" s="47" t="s">
        <v>8</v>
      </c>
      <c r="L476" s="48">
        <v>408085.68</v>
      </c>
    </row>
    <row r="477" spans="1:12" ht="81.599999999999994" hidden="1" x14ac:dyDescent="0.3">
      <c r="A477" s="42" t="s">
        <v>469</v>
      </c>
      <c r="B477" s="43" t="s">
        <v>538</v>
      </c>
      <c r="C477" s="43" t="s">
        <v>593</v>
      </c>
      <c r="D477" s="43" t="s">
        <v>526</v>
      </c>
      <c r="E477" s="44" t="s">
        <v>13</v>
      </c>
      <c r="F477" s="52">
        <v>505.6</v>
      </c>
      <c r="G477" s="52"/>
      <c r="H477" s="44" t="s">
        <v>19</v>
      </c>
      <c r="I477" s="50" t="s">
        <v>14</v>
      </c>
      <c r="J477" s="50"/>
      <c r="K477" s="47" t="s">
        <v>8</v>
      </c>
      <c r="L477" s="48">
        <v>408591.28</v>
      </c>
    </row>
    <row r="478" spans="1:12" ht="81.599999999999994" hidden="1" x14ac:dyDescent="0.3">
      <c r="A478" s="42" t="s">
        <v>469</v>
      </c>
      <c r="B478" s="43" t="s">
        <v>538</v>
      </c>
      <c r="C478" s="43" t="s">
        <v>594</v>
      </c>
      <c r="D478" s="43" t="s">
        <v>526</v>
      </c>
      <c r="E478" s="44" t="s">
        <v>13</v>
      </c>
      <c r="F478" s="49">
        <v>4909.3999999999996</v>
      </c>
      <c r="G478" s="49"/>
      <c r="H478" s="44" t="s">
        <v>19</v>
      </c>
      <c r="I478" s="50" t="s">
        <v>14</v>
      </c>
      <c r="J478" s="50"/>
      <c r="K478" s="47" t="s">
        <v>8</v>
      </c>
      <c r="L478" s="48">
        <v>413500.68</v>
      </c>
    </row>
    <row r="479" spans="1:12" ht="81.599999999999994" hidden="1" x14ac:dyDescent="0.3">
      <c r="A479" s="42" t="s">
        <v>469</v>
      </c>
      <c r="B479" s="43" t="s">
        <v>538</v>
      </c>
      <c r="C479" s="43" t="s">
        <v>534</v>
      </c>
      <c r="D479" s="43" t="s">
        <v>526</v>
      </c>
      <c r="E479" s="44" t="s">
        <v>13</v>
      </c>
      <c r="F479" s="49">
        <v>4485.2</v>
      </c>
      <c r="G479" s="49"/>
      <c r="H479" s="44" t="s">
        <v>19</v>
      </c>
      <c r="I479" s="50" t="s">
        <v>14</v>
      </c>
      <c r="J479" s="50"/>
      <c r="K479" s="47" t="s">
        <v>8</v>
      </c>
      <c r="L479" s="48">
        <v>417985.88</v>
      </c>
    </row>
    <row r="480" spans="1:12" ht="81.599999999999994" hidden="1" x14ac:dyDescent="0.3">
      <c r="A480" s="42" t="s">
        <v>469</v>
      </c>
      <c r="B480" s="43" t="s">
        <v>538</v>
      </c>
      <c r="C480" s="43" t="s">
        <v>535</v>
      </c>
      <c r="D480" s="43" t="s">
        <v>526</v>
      </c>
      <c r="E480" s="44" t="s">
        <v>13</v>
      </c>
      <c r="F480" s="49">
        <v>3124.8</v>
      </c>
      <c r="G480" s="49"/>
      <c r="H480" s="44" t="s">
        <v>19</v>
      </c>
      <c r="I480" s="50" t="s">
        <v>14</v>
      </c>
      <c r="J480" s="50"/>
      <c r="K480" s="47" t="s">
        <v>8</v>
      </c>
      <c r="L480" s="48">
        <v>421110.68</v>
      </c>
    </row>
    <row r="481" spans="1:12" ht="81.599999999999994" hidden="1" x14ac:dyDescent="0.3">
      <c r="A481" s="42" t="s">
        <v>469</v>
      </c>
      <c r="B481" s="43" t="s">
        <v>538</v>
      </c>
      <c r="C481" s="43" t="s">
        <v>595</v>
      </c>
      <c r="D481" s="43" t="s">
        <v>526</v>
      </c>
      <c r="E481" s="44" t="s">
        <v>13</v>
      </c>
      <c r="F481" s="49">
        <v>2802.4</v>
      </c>
      <c r="G481" s="49"/>
      <c r="H481" s="44" t="s">
        <v>19</v>
      </c>
      <c r="I481" s="50" t="s">
        <v>14</v>
      </c>
      <c r="J481" s="50"/>
      <c r="K481" s="47" t="s">
        <v>8</v>
      </c>
      <c r="L481" s="48">
        <v>423913.08</v>
      </c>
    </row>
    <row r="482" spans="1:12" ht="81.599999999999994" hidden="1" x14ac:dyDescent="0.3">
      <c r="A482" s="42" t="s">
        <v>469</v>
      </c>
      <c r="B482" s="43" t="s">
        <v>538</v>
      </c>
      <c r="C482" s="43" t="s">
        <v>596</v>
      </c>
      <c r="D482" s="43" t="s">
        <v>526</v>
      </c>
      <c r="E482" s="44" t="s">
        <v>13</v>
      </c>
      <c r="F482" s="49">
        <v>1454.9</v>
      </c>
      <c r="G482" s="49"/>
      <c r="H482" s="44" t="s">
        <v>19</v>
      </c>
      <c r="I482" s="50" t="s">
        <v>14</v>
      </c>
      <c r="J482" s="50"/>
      <c r="K482" s="47" t="s">
        <v>8</v>
      </c>
      <c r="L482" s="48">
        <v>425367.98</v>
      </c>
    </row>
    <row r="483" spans="1:12" ht="81.599999999999994" hidden="1" x14ac:dyDescent="0.3">
      <c r="A483" s="42" t="s">
        <v>469</v>
      </c>
      <c r="B483" s="43" t="s">
        <v>538</v>
      </c>
      <c r="C483" s="43" t="s">
        <v>597</v>
      </c>
      <c r="D483" s="43" t="s">
        <v>526</v>
      </c>
      <c r="E483" s="44" t="s">
        <v>13</v>
      </c>
      <c r="F483" s="49">
        <v>3813.6</v>
      </c>
      <c r="G483" s="49"/>
      <c r="H483" s="44" t="s">
        <v>19</v>
      </c>
      <c r="I483" s="50" t="s">
        <v>14</v>
      </c>
      <c r="J483" s="50"/>
      <c r="K483" s="47" t="s">
        <v>8</v>
      </c>
      <c r="L483" s="48">
        <v>429181.58</v>
      </c>
    </row>
    <row r="484" spans="1:12" ht="81.599999999999994" hidden="1" x14ac:dyDescent="0.3">
      <c r="A484" s="42" t="s">
        <v>469</v>
      </c>
      <c r="B484" s="43" t="s">
        <v>538</v>
      </c>
      <c r="C484" s="43" t="s">
        <v>598</v>
      </c>
      <c r="D484" s="43" t="s">
        <v>526</v>
      </c>
      <c r="E484" s="44" t="s">
        <v>13</v>
      </c>
      <c r="F484" s="49">
        <v>1553.4</v>
      </c>
      <c r="G484" s="49"/>
      <c r="H484" s="44" t="s">
        <v>19</v>
      </c>
      <c r="I484" s="50" t="s">
        <v>14</v>
      </c>
      <c r="J484" s="50"/>
      <c r="K484" s="47" t="s">
        <v>8</v>
      </c>
      <c r="L484" s="48">
        <v>430734.98</v>
      </c>
    </row>
    <row r="485" spans="1:12" ht="81.599999999999994" hidden="1" x14ac:dyDescent="0.3">
      <c r="A485" s="42" t="s">
        <v>469</v>
      </c>
      <c r="B485" s="43" t="s">
        <v>538</v>
      </c>
      <c r="C485" s="43" t="s">
        <v>599</v>
      </c>
      <c r="D485" s="43" t="s">
        <v>526</v>
      </c>
      <c r="E485" s="44" t="s">
        <v>13</v>
      </c>
      <c r="F485" s="52">
        <v>645.6</v>
      </c>
      <c r="G485" s="52"/>
      <c r="H485" s="44" t="s">
        <v>19</v>
      </c>
      <c r="I485" s="50" t="s">
        <v>14</v>
      </c>
      <c r="J485" s="50"/>
      <c r="K485" s="47" t="s">
        <v>8</v>
      </c>
      <c r="L485" s="48">
        <v>431380.58</v>
      </c>
    </row>
    <row r="486" spans="1:12" ht="81.599999999999994" hidden="1" x14ac:dyDescent="0.3">
      <c r="A486" s="42" t="s">
        <v>469</v>
      </c>
      <c r="B486" s="43" t="s">
        <v>538</v>
      </c>
      <c r="C486" s="43" t="s">
        <v>600</v>
      </c>
      <c r="D486" s="43" t="s">
        <v>526</v>
      </c>
      <c r="E486" s="44" t="s">
        <v>13</v>
      </c>
      <c r="F486" s="49">
        <v>4527.6000000000004</v>
      </c>
      <c r="G486" s="49"/>
      <c r="H486" s="44" t="s">
        <v>19</v>
      </c>
      <c r="I486" s="50" t="s">
        <v>14</v>
      </c>
      <c r="J486" s="50"/>
      <c r="K486" s="47" t="s">
        <v>8</v>
      </c>
      <c r="L486" s="48">
        <v>435908.18</v>
      </c>
    </row>
    <row r="487" spans="1:12" ht="81.599999999999994" hidden="1" x14ac:dyDescent="0.3">
      <c r="A487" s="42" t="s">
        <v>469</v>
      </c>
      <c r="B487" s="43" t="s">
        <v>538</v>
      </c>
      <c r="C487" s="43" t="s">
        <v>601</v>
      </c>
      <c r="D487" s="43" t="s">
        <v>526</v>
      </c>
      <c r="E487" s="44" t="s">
        <v>13</v>
      </c>
      <c r="F487" s="49">
        <v>1708.1</v>
      </c>
      <c r="G487" s="49"/>
      <c r="H487" s="44" t="s">
        <v>19</v>
      </c>
      <c r="I487" s="50" t="s">
        <v>14</v>
      </c>
      <c r="J487" s="50"/>
      <c r="K487" s="47" t="s">
        <v>8</v>
      </c>
      <c r="L487" s="48">
        <v>437616.28</v>
      </c>
    </row>
    <row r="488" spans="1:12" ht="81.599999999999994" hidden="1" x14ac:dyDescent="0.3">
      <c r="A488" s="42" t="s">
        <v>469</v>
      </c>
      <c r="B488" s="43" t="s">
        <v>538</v>
      </c>
      <c r="C488" s="43" t="s">
        <v>602</v>
      </c>
      <c r="D488" s="43" t="s">
        <v>526</v>
      </c>
      <c r="E488" s="44" t="s">
        <v>13</v>
      </c>
      <c r="F488" s="49">
        <v>1086.9000000000001</v>
      </c>
      <c r="G488" s="49"/>
      <c r="H488" s="44" t="s">
        <v>19</v>
      </c>
      <c r="I488" s="50" t="s">
        <v>14</v>
      </c>
      <c r="J488" s="50"/>
      <c r="K488" s="47" t="s">
        <v>8</v>
      </c>
      <c r="L488" s="48">
        <v>438703.18</v>
      </c>
    </row>
    <row r="489" spans="1:12" ht="81.599999999999994" hidden="1" x14ac:dyDescent="0.3">
      <c r="A489" s="42" t="s">
        <v>469</v>
      </c>
      <c r="B489" s="43" t="s">
        <v>538</v>
      </c>
      <c r="C489" s="43" t="s">
        <v>603</v>
      </c>
      <c r="D489" s="43" t="s">
        <v>526</v>
      </c>
      <c r="E489" s="44" t="s">
        <v>13</v>
      </c>
      <c r="F489" s="49">
        <v>4106.7</v>
      </c>
      <c r="G489" s="49"/>
      <c r="H489" s="44" t="s">
        <v>19</v>
      </c>
      <c r="I489" s="50" t="s">
        <v>14</v>
      </c>
      <c r="J489" s="50"/>
      <c r="K489" s="47" t="s">
        <v>8</v>
      </c>
      <c r="L489" s="48">
        <v>442809.88</v>
      </c>
    </row>
    <row r="490" spans="1:12" ht="81.599999999999994" hidden="1" x14ac:dyDescent="0.3">
      <c r="A490" s="42" t="s">
        <v>469</v>
      </c>
      <c r="B490" s="43" t="s">
        <v>538</v>
      </c>
      <c r="C490" s="43" t="s">
        <v>604</v>
      </c>
      <c r="D490" s="43" t="s">
        <v>526</v>
      </c>
      <c r="E490" s="44" t="s">
        <v>13</v>
      </c>
      <c r="F490" s="49">
        <v>1568.9</v>
      </c>
      <c r="G490" s="49"/>
      <c r="H490" s="44" t="s">
        <v>19</v>
      </c>
      <c r="I490" s="50" t="s">
        <v>14</v>
      </c>
      <c r="J490" s="50"/>
      <c r="K490" s="47" t="s">
        <v>8</v>
      </c>
      <c r="L490" s="48">
        <v>444378.78</v>
      </c>
    </row>
    <row r="491" spans="1:12" ht="81.599999999999994" hidden="1" x14ac:dyDescent="0.3">
      <c r="A491" s="42" t="s">
        <v>469</v>
      </c>
      <c r="B491" s="43" t="s">
        <v>538</v>
      </c>
      <c r="C491" s="43" t="s">
        <v>605</v>
      </c>
      <c r="D491" s="43" t="s">
        <v>526</v>
      </c>
      <c r="E491" s="44" t="s">
        <v>13</v>
      </c>
      <c r="F491" s="49">
        <v>2598.9</v>
      </c>
      <c r="G491" s="49"/>
      <c r="H491" s="44" t="s">
        <v>19</v>
      </c>
      <c r="I491" s="50" t="s">
        <v>14</v>
      </c>
      <c r="J491" s="50"/>
      <c r="K491" s="47" t="s">
        <v>8</v>
      </c>
      <c r="L491" s="48">
        <v>446977.68</v>
      </c>
    </row>
    <row r="492" spans="1:12" ht="81.599999999999994" hidden="1" x14ac:dyDescent="0.3">
      <c r="A492" s="42" t="s">
        <v>469</v>
      </c>
      <c r="B492" s="43" t="s">
        <v>538</v>
      </c>
      <c r="C492" s="43" t="s">
        <v>606</v>
      </c>
      <c r="D492" s="43" t="s">
        <v>526</v>
      </c>
      <c r="E492" s="44" t="s">
        <v>13</v>
      </c>
      <c r="F492" s="49">
        <v>3304.7</v>
      </c>
      <c r="G492" s="49"/>
      <c r="H492" s="44" t="s">
        <v>19</v>
      </c>
      <c r="I492" s="50" t="s">
        <v>14</v>
      </c>
      <c r="J492" s="50"/>
      <c r="K492" s="47" t="s">
        <v>8</v>
      </c>
      <c r="L492" s="48">
        <v>450282.38</v>
      </c>
    </row>
    <row r="493" spans="1:12" ht="81.599999999999994" hidden="1" x14ac:dyDescent="0.3">
      <c r="A493" s="42" t="s">
        <v>469</v>
      </c>
      <c r="B493" s="43" t="s">
        <v>538</v>
      </c>
      <c r="C493" s="43" t="s">
        <v>607</v>
      </c>
      <c r="D493" s="43" t="s">
        <v>526</v>
      </c>
      <c r="E493" s="44" t="s">
        <v>13</v>
      </c>
      <c r="F493" s="49">
        <v>2533.6</v>
      </c>
      <c r="G493" s="49"/>
      <c r="H493" s="44" t="s">
        <v>19</v>
      </c>
      <c r="I493" s="50" t="s">
        <v>14</v>
      </c>
      <c r="J493" s="50"/>
      <c r="K493" s="47" t="s">
        <v>8</v>
      </c>
      <c r="L493" s="48">
        <v>452815.98</v>
      </c>
    </row>
    <row r="494" spans="1:12" ht="81.599999999999994" hidden="1" x14ac:dyDescent="0.3">
      <c r="A494" s="42" t="s">
        <v>469</v>
      </c>
      <c r="B494" s="43" t="s">
        <v>538</v>
      </c>
      <c r="C494" s="43" t="s">
        <v>608</v>
      </c>
      <c r="D494" s="43" t="s">
        <v>526</v>
      </c>
      <c r="E494" s="44" t="s">
        <v>13</v>
      </c>
      <c r="F494" s="52">
        <v>845.9</v>
      </c>
      <c r="G494" s="52"/>
      <c r="H494" s="44" t="s">
        <v>19</v>
      </c>
      <c r="I494" s="50" t="s">
        <v>14</v>
      </c>
      <c r="J494" s="50"/>
      <c r="K494" s="47" t="s">
        <v>8</v>
      </c>
      <c r="L494" s="48">
        <v>453661.88</v>
      </c>
    </row>
    <row r="495" spans="1:12" ht="81.599999999999994" hidden="1" x14ac:dyDescent="0.3">
      <c r="A495" s="42" t="s">
        <v>469</v>
      </c>
      <c r="B495" s="43" t="s">
        <v>538</v>
      </c>
      <c r="C495" s="43" t="s">
        <v>606</v>
      </c>
      <c r="D495" s="43" t="s">
        <v>526</v>
      </c>
      <c r="E495" s="44" t="s">
        <v>13</v>
      </c>
      <c r="F495" s="49">
        <v>3325.9</v>
      </c>
      <c r="G495" s="49"/>
      <c r="H495" s="44" t="s">
        <v>19</v>
      </c>
      <c r="I495" s="50" t="s">
        <v>14</v>
      </c>
      <c r="J495" s="50"/>
      <c r="K495" s="47" t="s">
        <v>8</v>
      </c>
      <c r="L495" s="48">
        <v>456987.78</v>
      </c>
    </row>
    <row r="496" spans="1:12" ht="81.599999999999994" hidden="1" x14ac:dyDescent="0.3">
      <c r="A496" s="42" t="s">
        <v>469</v>
      </c>
      <c r="B496" s="43" t="s">
        <v>538</v>
      </c>
      <c r="C496" s="43" t="s">
        <v>609</v>
      </c>
      <c r="D496" s="43" t="s">
        <v>526</v>
      </c>
      <c r="E496" s="44" t="s">
        <v>13</v>
      </c>
      <c r="F496" s="52">
        <v>504.8</v>
      </c>
      <c r="G496" s="52"/>
      <c r="H496" s="44" t="s">
        <v>19</v>
      </c>
      <c r="I496" s="50" t="s">
        <v>14</v>
      </c>
      <c r="J496" s="50"/>
      <c r="K496" s="47" t="s">
        <v>8</v>
      </c>
      <c r="L496" s="48">
        <v>457492.58</v>
      </c>
    </row>
    <row r="497" spans="1:12" ht="81.599999999999994" hidden="1" x14ac:dyDescent="0.3">
      <c r="A497" s="42" t="s">
        <v>469</v>
      </c>
      <c r="B497" s="43" t="s">
        <v>538</v>
      </c>
      <c r="C497" s="43" t="s">
        <v>587</v>
      </c>
      <c r="D497" s="43" t="s">
        <v>526</v>
      </c>
      <c r="E497" s="44" t="s">
        <v>13</v>
      </c>
      <c r="F497" s="49">
        <v>4124.6000000000004</v>
      </c>
      <c r="G497" s="49"/>
      <c r="H497" s="44" t="s">
        <v>19</v>
      </c>
      <c r="I497" s="50" t="s">
        <v>14</v>
      </c>
      <c r="J497" s="50"/>
      <c r="K497" s="47" t="s">
        <v>8</v>
      </c>
      <c r="L497" s="48">
        <v>461617.18</v>
      </c>
    </row>
    <row r="498" spans="1:12" ht="81.599999999999994" hidden="1" x14ac:dyDescent="0.3">
      <c r="A498" s="42" t="s">
        <v>469</v>
      </c>
      <c r="B498" s="43" t="s">
        <v>538</v>
      </c>
      <c r="C498" s="43" t="s">
        <v>610</v>
      </c>
      <c r="D498" s="43" t="s">
        <v>526</v>
      </c>
      <c r="E498" s="44" t="s">
        <v>13</v>
      </c>
      <c r="F498" s="52">
        <v>862.2</v>
      </c>
      <c r="G498" s="52"/>
      <c r="H498" s="44" t="s">
        <v>19</v>
      </c>
      <c r="I498" s="50" t="s">
        <v>14</v>
      </c>
      <c r="J498" s="50"/>
      <c r="K498" s="47" t="s">
        <v>8</v>
      </c>
      <c r="L498" s="48">
        <v>462479.38</v>
      </c>
    </row>
    <row r="499" spans="1:12" ht="81.599999999999994" hidden="1" x14ac:dyDescent="0.3">
      <c r="A499" s="42" t="s">
        <v>469</v>
      </c>
      <c r="B499" s="43" t="s">
        <v>538</v>
      </c>
      <c r="C499" s="43" t="s">
        <v>565</v>
      </c>
      <c r="D499" s="43" t="s">
        <v>526</v>
      </c>
      <c r="E499" s="44" t="s">
        <v>13</v>
      </c>
      <c r="F499" s="49">
        <v>2086.6999999999998</v>
      </c>
      <c r="G499" s="49"/>
      <c r="H499" s="44" t="s">
        <v>19</v>
      </c>
      <c r="I499" s="50" t="s">
        <v>14</v>
      </c>
      <c r="J499" s="50"/>
      <c r="K499" s="47" t="s">
        <v>8</v>
      </c>
      <c r="L499" s="48">
        <v>464566.08</v>
      </c>
    </row>
    <row r="500" spans="1:12" ht="81.599999999999994" hidden="1" x14ac:dyDescent="0.3">
      <c r="A500" s="42" t="s">
        <v>469</v>
      </c>
      <c r="B500" s="43" t="s">
        <v>538</v>
      </c>
      <c r="C500" s="43" t="s">
        <v>611</v>
      </c>
      <c r="D500" s="43" t="s">
        <v>526</v>
      </c>
      <c r="E500" s="44" t="s">
        <v>13</v>
      </c>
      <c r="F500" s="52">
        <v>806</v>
      </c>
      <c r="G500" s="52"/>
      <c r="H500" s="44" t="s">
        <v>19</v>
      </c>
      <c r="I500" s="50" t="s">
        <v>14</v>
      </c>
      <c r="J500" s="50"/>
      <c r="K500" s="47" t="s">
        <v>8</v>
      </c>
      <c r="L500" s="48">
        <v>465372.08</v>
      </c>
    </row>
    <row r="501" spans="1:12" ht="81.599999999999994" hidden="1" x14ac:dyDescent="0.3">
      <c r="A501" s="42" t="s">
        <v>469</v>
      </c>
      <c r="B501" s="43" t="s">
        <v>538</v>
      </c>
      <c r="C501" s="43" t="s">
        <v>612</v>
      </c>
      <c r="D501" s="43" t="s">
        <v>526</v>
      </c>
      <c r="E501" s="44" t="s">
        <v>13</v>
      </c>
      <c r="F501" s="52">
        <v>411.2</v>
      </c>
      <c r="G501" s="52"/>
      <c r="H501" s="44" t="s">
        <v>19</v>
      </c>
      <c r="I501" s="50" t="s">
        <v>14</v>
      </c>
      <c r="J501" s="50"/>
      <c r="K501" s="47" t="s">
        <v>8</v>
      </c>
      <c r="L501" s="48">
        <v>465783.28</v>
      </c>
    </row>
    <row r="502" spans="1:12" ht="81.599999999999994" hidden="1" x14ac:dyDescent="0.3">
      <c r="A502" s="42" t="s">
        <v>469</v>
      </c>
      <c r="B502" s="43" t="s">
        <v>538</v>
      </c>
      <c r="C502" s="43" t="s">
        <v>613</v>
      </c>
      <c r="D502" s="43" t="s">
        <v>526</v>
      </c>
      <c r="E502" s="44" t="s">
        <v>13</v>
      </c>
      <c r="F502" s="49">
        <v>1745.6</v>
      </c>
      <c r="G502" s="49"/>
      <c r="H502" s="44" t="s">
        <v>19</v>
      </c>
      <c r="I502" s="50" t="s">
        <v>14</v>
      </c>
      <c r="J502" s="50"/>
      <c r="K502" s="47" t="s">
        <v>8</v>
      </c>
      <c r="L502" s="48">
        <v>467528.88</v>
      </c>
    </row>
    <row r="503" spans="1:12" ht="81.599999999999994" hidden="1" x14ac:dyDescent="0.3">
      <c r="A503" s="42" t="s">
        <v>469</v>
      </c>
      <c r="B503" s="43" t="s">
        <v>538</v>
      </c>
      <c r="C503" s="43" t="s">
        <v>614</v>
      </c>
      <c r="D503" s="43" t="s">
        <v>526</v>
      </c>
      <c r="E503" s="44" t="s">
        <v>13</v>
      </c>
      <c r="F503" s="49">
        <v>2306.5</v>
      </c>
      <c r="G503" s="49"/>
      <c r="H503" s="44" t="s">
        <v>19</v>
      </c>
      <c r="I503" s="50" t="s">
        <v>14</v>
      </c>
      <c r="J503" s="50"/>
      <c r="K503" s="47" t="s">
        <v>8</v>
      </c>
      <c r="L503" s="48">
        <v>469835.38</v>
      </c>
    </row>
    <row r="504" spans="1:12" ht="81.599999999999994" hidden="1" x14ac:dyDescent="0.3">
      <c r="A504" s="42" t="s">
        <v>469</v>
      </c>
      <c r="B504" s="43" t="s">
        <v>538</v>
      </c>
      <c r="C504" s="43" t="s">
        <v>615</v>
      </c>
      <c r="D504" s="43" t="s">
        <v>526</v>
      </c>
      <c r="E504" s="44" t="s">
        <v>13</v>
      </c>
      <c r="F504" s="49">
        <v>2702.2</v>
      </c>
      <c r="G504" s="49"/>
      <c r="H504" s="44" t="s">
        <v>19</v>
      </c>
      <c r="I504" s="50" t="s">
        <v>14</v>
      </c>
      <c r="J504" s="50"/>
      <c r="K504" s="47" t="s">
        <v>8</v>
      </c>
      <c r="L504" s="48">
        <v>472537.58</v>
      </c>
    </row>
    <row r="505" spans="1:12" ht="81.599999999999994" hidden="1" x14ac:dyDescent="0.3">
      <c r="A505" s="42" t="s">
        <v>469</v>
      </c>
      <c r="B505" s="43" t="s">
        <v>538</v>
      </c>
      <c r="C505" s="43" t="s">
        <v>616</v>
      </c>
      <c r="D505" s="43" t="s">
        <v>526</v>
      </c>
      <c r="E505" s="44" t="s">
        <v>13</v>
      </c>
      <c r="F505" s="49">
        <v>1963.8</v>
      </c>
      <c r="G505" s="49"/>
      <c r="H505" s="44" t="s">
        <v>19</v>
      </c>
      <c r="I505" s="50" t="s">
        <v>14</v>
      </c>
      <c r="J505" s="50"/>
      <c r="K505" s="47" t="s">
        <v>8</v>
      </c>
      <c r="L505" s="48">
        <v>474501.38</v>
      </c>
    </row>
    <row r="506" spans="1:12" ht="81.599999999999994" hidden="1" x14ac:dyDescent="0.3">
      <c r="A506" s="42" t="s">
        <v>469</v>
      </c>
      <c r="B506" s="43" t="s">
        <v>538</v>
      </c>
      <c r="C506" s="43" t="s">
        <v>617</v>
      </c>
      <c r="D506" s="43" t="s">
        <v>526</v>
      </c>
      <c r="E506" s="44" t="s">
        <v>13</v>
      </c>
      <c r="F506" s="49">
        <v>1183</v>
      </c>
      <c r="G506" s="49"/>
      <c r="H506" s="44" t="s">
        <v>19</v>
      </c>
      <c r="I506" s="50" t="s">
        <v>14</v>
      </c>
      <c r="J506" s="50"/>
      <c r="K506" s="47" t="s">
        <v>8</v>
      </c>
      <c r="L506" s="48">
        <v>475684.38</v>
      </c>
    </row>
    <row r="507" spans="1:12" ht="81.599999999999994" hidden="1" x14ac:dyDescent="0.3">
      <c r="A507" s="42" t="s">
        <v>469</v>
      </c>
      <c r="B507" s="43" t="s">
        <v>538</v>
      </c>
      <c r="C507" s="43" t="s">
        <v>618</v>
      </c>
      <c r="D507" s="43" t="s">
        <v>526</v>
      </c>
      <c r="E507" s="44" t="s">
        <v>13</v>
      </c>
      <c r="F507" s="49">
        <v>1290.5</v>
      </c>
      <c r="G507" s="49"/>
      <c r="H507" s="44" t="s">
        <v>19</v>
      </c>
      <c r="I507" s="50" t="s">
        <v>14</v>
      </c>
      <c r="J507" s="50"/>
      <c r="K507" s="47" t="s">
        <v>8</v>
      </c>
      <c r="L507" s="48">
        <v>476974.88</v>
      </c>
    </row>
    <row r="508" spans="1:12" ht="81.599999999999994" hidden="1" x14ac:dyDescent="0.3">
      <c r="A508" s="42" t="s">
        <v>469</v>
      </c>
      <c r="B508" s="43" t="s">
        <v>538</v>
      </c>
      <c r="C508" s="43" t="s">
        <v>619</v>
      </c>
      <c r="D508" s="43" t="s">
        <v>526</v>
      </c>
      <c r="E508" s="44" t="s">
        <v>13</v>
      </c>
      <c r="F508" s="49">
        <v>1498.9</v>
      </c>
      <c r="G508" s="49"/>
      <c r="H508" s="44" t="s">
        <v>19</v>
      </c>
      <c r="I508" s="50" t="s">
        <v>14</v>
      </c>
      <c r="J508" s="50"/>
      <c r="K508" s="47" t="s">
        <v>8</v>
      </c>
      <c r="L508" s="48">
        <v>478473.78</v>
      </c>
    </row>
    <row r="509" spans="1:12" ht="81.599999999999994" hidden="1" x14ac:dyDescent="0.3">
      <c r="A509" s="42" t="s">
        <v>469</v>
      </c>
      <c r="B509" s="43" t="s">
        <v>538</v>
      </c>
      <c r="C509" s="43" t="s">
        <v>620</v>
      </c>
      <c r="D509" s="43" t="s">
        <v>526</v>
      </c>
      <c r="E509" s="44" t="s">
        <v>13</v>
      </c>
      <c r="F509" s="49">
        <v>1297</v>
      </c>
      <c r="G509" s="49"/>
      <c r="H509" s="44" t="s">
        <v>19</v>
      </c>
      <c r="I509" s="50" t="s">
        <v>14</v>
      </c>
      <c r="J509" s="50"/>
      <c r="K509" s="47" t="s">
        <v>8</v>
      </c>
      <c r="L509" s="48">
        <v>479770.78</v>
      </c>
    </row>
    <row r="510" spans="1:12" ht="81.599999999999994" hidden="1" x14ac:dyDescent="0.3">
      <c r="A510" s="42" t="s">
        <v>469</v>
      </c>
      <c r="B510" s="43" t="s">
        <v>538</v>
      </c>
      <c r="C510" s="43" t="s">
        <v>621</v>
      </c>
      <c r="D510" s="43" t="s">
        <v>526</v>
      </c>
      <c r="E510" s="44" t="s">
        <v>13</v>
      </c>
      <c r="F510" s="49">
        <v>3330.8</v>
      </c>
      <c r="G510" s="49"/>
      <c r="H510" s="44" t="s">
        <v>19</v>
      </c>
      <c r="I510" s="50" t="s">
        <v>14</v>
      </c>
      <c r="J510" s="50"/>
      <c r="K510" s="47" t="s">
        <v>8</v>
      </c>
      <c r="L510" s="48">
        <v>483101.58</v>
      </c>
    </row>
    <row r="511" spans="1:12" ht="81.599999999999994" hidden="1" x14ac:dyDescent="0.3">
      <c r="A511" s="42" t="s">
        <v>469</v>
      </c>
      <c r="B511" s="43" t="s">
        <v>538</v>
      </c>
      <c r="C511" s="43" t="s">
        <v>622</v>
      </c>
      <c r="D511" s="43" t="s">
        <v>526</v>
      </c>
      <c r="E511" s="44" t="s">
        <v>13</v>
      </c>
      <c r="F511" s="49">
        <v>3270.5</v>
      </c>
      <c r="G511" s="49"/>
      <c r="H511" s="44" t="s">
        <v>19</v>
      </c>
      <c r="I511" s="50" t="s">
        <v>14</v>
      </c>
      <c r="J511" s="50"/>
      <c r="K511" s="47" t="s">
        <v>8</v>
      </c>
      <c r="L511" s="48">
        <v>486372.08</v>
      </c>
    </row>
    <row r="512" spans="1:12" ht="81.599999999999994" hidden="1" x14ac:dyDescent="0.3">
      <c r="A512" s="42" t="s">
        <v>469</v>
      </c>
      <c r="B512" s="43" t="s">
        <v>538</v>
      </c>
      <c r="C512" s="43" t="s">
        <v>623</v>
      </c>
      <c r="D512" s="43" t="s">
        <v>526</v>
      </c>
      <c r="E512" s="44" t="s">
        <v>13</v>
      </c>
      <c r="F512" s="49">
        <v>1086.0999999999999</v>
      </c>
      <c r="G512" s="49"/>
      <c r="H512" s="44" t="s">
        <v>19</v>
      </c>
      <c r="I512" s="50" t="s">
        <v>14</v>
      </c>
      <c r="J512" s="50"/>
      <c r="K512" s="47" t="s">
        <v>8</v>
      </c>
      <c r="L512" s="48">
        <v>487458.18</v>
      </c>
    </row>
    <row r="513" spans="1:12" ht="81.599999999999994" hidden="1" x14ac:dyDescent="0.3">
      <c r="A513" s="42" t="s">
        <v>469</v>
      </c>
      <c r="B513" s="43" t="s">
        <v>538</v>
      </c>
      <c r="C513" s="43" t="s">
        <v>624</v>
      </c>
      <c r="D513" s="43" t="s">
        <v>526</v>
      </c>
      <c r="E513" s="44" t="s">
        <v>13</v>
      </c>
      <c r="F513" s="49">
        <v>8890.7999999999993</v>
      </c>
      <c r="G513" s="49"/>
      <c r="H513" s="44" t="s">
        <v>19</v>
      </c>
      <c r="I513" s="50" t="s">
        <v>14</v>
      </c>
      <c r="J513" s="50"/>
      <c r="K513" s="47" t="s">
        <v>8</v>
      </c>
      <c r="L513" s="48">
        <v>496348.98</v>
      </c>
    </row>
    <row r="514" spans="1:12" ht="81.599999999999994" hidden="1" x14ac:dyDescent="0.3">
      <c r="A514" s="42" t="s">
        <v>469</v>
      </c>
      <c r="B514" s="43" t="s">
        <v>538</v>
      </c>
      <c r="C514" s="43" t="s">
        <v>625</v>
      </c>
      <c r="D514" s="43" t="s">
        <v>526</v>
      </c>
      <c r="E514" s="44" t="s">
        <v>13</v>
      </c>
      <c r="F514" s="49">
        <v>9852.9</v>
      </c>
      <c r="G514" s="49"/>
      <c r="H514" s="44" t="s">
        <v>19</v>
      </c>
      <c r="I514" s="50" t="s">
        <v>14</v>
      </c>
      <c r="J514" s="50"/>
      <c r="K514" s="47" t="s">
        <v>8</v>
      </c>
      <c r="L514" s="48">
        <v>506201.88</v>
      </c>
    </row>
    <row r="515" spans="1:12" ht="81.599999999999994" hidden="1" x14ac:dyDescent="0.3">
      <c r="A515" s="42" t="s">
        <v>469</v>
      </c>
      <c r="B515" s="43" t="s">
        <v>538</v>
      </c>
      <c r="C515" s="43" t="s">
        <v>626</v>
      </c>
      <c r="D515" s="43" t="s">
        <v>526</v>
      </c>
      <c r="E515" s="44" t="s">
        <v>13</v>
      </c>
      <c r="F515" s="49">
        <v>1567.3</v>
      </c>
      <c r="G515" s="49"/>
      <c r="H515" s="44" t="s">
        <v>19</v>
      </c>
      <c r="I515" s="50" t="s">
        <v>14</v>
      </c>
      <c r="J515" s="50"/>
      <c r="K515" s="47" t="s">
        <v>8</v>
      </c>
      <c r="L515" s="48">
        <v>507769.18</v>
      </c>
    </row>
    <row r="516" spans="1:12" ht="81.599999999999994" hidden="1" x14ac:dyDescent="0.3">
      <c r="A516" s="42" t="s">
        <v>469</v>
      </c>
      <c r="B516" s="43" t="s">
        <v>538</v>
      </c>
      <c r="C516" s="43" t="s">
        <v>627</v>
      </c>
      <c r="D516" s="43" t="s">
        <v>526</v>
      </c>
      <c r="E516" s="44" t="s">
        <v>13</v>
      </c>
      <c r="F516" s="49">
        <v>1396.3</v>
      </c>
      <c r="G516" s="49"/>
      <c r="H516" s="44" t="s">
        <v>19</v>
      </c>
      <c r="I516" s="50" t="s">
        <v>14</v>
      </c>
      <c r="J516" s="50"/>
      <c r="K516" s="47" t="s">
        <v>8</v>
      </c>
      <c r="L516" s="48">
        <v>509165.48</v>
      </c>
    </row>
    <row r="517" spans="1:12" ht="81.599999999999994" hidden="1" x14ac:dyDescent="0.3">
      <c r="A517" s="42" t="s">
        <v>469</v>
      </c>
      <c r="B517" s="43" t="s">
        <v>538</v>
      </c>
      <c r="C517" s="43" t="s">
        <v>628</v>
      </c>
      <c r="D517" s="43" t="s">
        <v>526</v>
      </c>
      <c r="E517" s="44" t="s">
        <v>13</v>
      </c>
      <c r="F517" s="49">
        <v>1130.0999999999999</v>
      </c>
      <c r="G517" s="49"/>
      <c r="H517" s="44" t="s">
        <v>19</v>
      </c>
      <c r="I517" s="50" t="s">
        <v>14</v>
      </c>
      <c r="J517" s="50"/>
      <c r="K517" s="47" t="s">
        <v>8</v>
      </c>
      <c r="L517" s="48">
        <v>510295.58</v>
      </c>
    </row>
    <row r="518" spans="1:12" ht="81.599999999999994" hidden="1" x14ac:dyDescent="0.3">
      <c r="A518" s="42" t="s">
        <v>469</v>
      </c>
      <c r="B518" s="43" t="s">
        <v>538</v>
      </c>
      <c r="C518" s="43" t="s">
        <v>629</v>
      </c>
      <c r="D518" s="43" t="s">
        <v>526</v>
      </c>
      <c r="E518" s="44" t="s">
        <v>13</v>
      </c>
      <c r="F518" s="49">
        <v>1290.5</v>
      </c>
      <c r="G518" s="49"/>
      <c r="H518" s="44" t="s">
        <v>19</v>
      </c>
      <c r="I518" s="50" t="s">
        <v>14</v>
      </c>
      <c r="J518" s="50"/>
      <c r="K518" s="47" t="s">
        <v>8</v>
      </c>
      <c r="L518" s="48">
        <v>511586.08</v>
      </c>
    </row>
    <row r="519" spans="1:12" ht="71.400000000000006" hidden="1" x14ac:dyDescent="0.3">
      <c r="A519" s="42" t="s">
        <v>469</v>
      </c>
      <c r="B519" s="43" t="s">
        <v>538</v>
      </c>
      <c r="C519" s="43" t="s">
        <v>630</v>
      </c>
      <c r="D519" s="43" t="s">
        <v>526</v>
      </c>
      <c r="E519" s="44" t="s">
        <v>13</v>
      </c>
      <c r="F519" s="49">
        <v>12171.6</v>
      </c>
      <c r="G519" s="49"/>
      <c r="H519" s="44" t="s">
        <v>19</v>
      </c>
      <c r="I519" s="50" t="s">
        <v>14</v>
      </c>
      <c r="J519" s="50"/>
      <c r="K519" s="47" t="s">
        <v>8</v>
      </c>
      <c r="L519" s="48">
        <v>523757.68</v>
      </c>
    </row>
    <row r="520" spans="1:12" ht="71.400000000000006" hidden="1" x14ac:dyDescent="0.3">
      <c r="A520" s="42" t="s">
        <v>469</v>
      </c>
      <c r="B520" s="43" t="s">
        <v>538</v>
      </c>
      <c r="C520" s="43" t="s">
        <v>631</v>
      </c>
      <c r="D520" s="43" t="s">
        <v>526</v>
      </c>
      <c r="E520" s="44" t="s">
        <v>13</v>
      </c>
      <c r="F520" s="49">
        <v>21344</v>
      </c>
      <c r="G520" s="49"/>
      <c r="H520" s="44" t="s">
        <v>19</v>
      </c>
      <c r="I520" s="50" t="s">
        <v>14</v>
      </c>
      <c r="J520" s="50"/>
      <c r="K520" s="47" t="s">
        <v>8</v>
      </c>
      <c r="L520" s="48">
        <v>545101.68000000005</v>
      </c>
    </row>
    <row r="521" spans="1:12" ht="81.599999999999994" hidden="1" x14ac:dyDescent="0.3">
      <c r="A521" s="42" t="s">
        <v>469</v>
      </c>
      <c r="B521" s="43" t="s">
        <v>538</v>
      </c>
      <c r="C521" s="43" t="s">
        <v>632</v>
      </c>
      <c r="D521" s="43" t="s">
        <v>526</v>
      </c>
      <c r="E521" s="44" t="s">
        <v>13</v>
      </c>
      <c r="F521" s="49">
        <v>1405.8</v>
      </c>
      <c r="G521" s="49"/>
      <c r="H521" s="44" t="s">
        <v>19</v>
      </c>
      <c r="I521" s="50" t="s">
        <v>14</v>
      </c>
      <c r="J521" s="50"/>
      <c r="K521" s="47" t="s">
        <v>8</v>
      </c>
      <c r="L521" s="48">
        <v>546507.48</v>
      </c>
    </row>
    <row r="522" spans="1:12" ht="81.599999999999994" hidden="1" x14ac:dyDescent="0.3">
      <c r="A522" s="42" t="s">
        <v>469</v>
      </c>
      <c r="B522" s="43" t="s">
        <v>538</v>
      </c>
      <c r="C522" s="43" t="s">
        <v>633</v>
      </c>
      <c r="D522" s="43" t="s">
        <v>526</v>
      </c>
      <c r="E522" s="44" t="s">
        <v>13</v>
      </c>
      <c r="F522" s="49">
        <v>27813</v>
      </c>
      <c r="G522" s="49"/>
      <c r="H522" s="44" t="s">
        <v>19</v>
      </c>
      <c r="I522" s="50" t="s">
        <v>14</v>
      </c>
      <c r="J522" s="50"/>
      <c r="K522" s="47" t="s">
        <v>8</v>
      </c>
      <c r="L522" s="48">
        <v>574320.48</v>
      </c>
    </row>
    <row r="523" spans="1:12" ht="71.400000000000006" hidden="1" x14ac:dyDescent="0.3">
      <c r="A523" s="42" t="s">
        <v>469</v>
      </c>
      <c r="B523" s="43" t="s">
        <v>538</v>
      </c>
      <c r="C523" s="43" t="s">
        <v>634</v>
      </c>
      <c r="D523" s="43" t="s">
        <v>526</v>
      </c>
      <c r="E523" s="44" t="s">
        <v>13</v>
      </c>
      <c r="F523" s="49">
        <v>7283.4</v>
      </c>
      <c r="G523" s="49"/>
      <c r="H523" s="44" t="s">
        <v>19</v>
      </c>
      <c r="I523" s="50" t="s">
        <v>14</v>
      </c>
      <c r="J523" s="50"/>
      <c r="K523" s="47" t="s">
        <v>8</v>
      </c>
      <c r="L523" s="48">
        <v>581603.88</v>
      </c>
    </row>
    <row r="524" spans="1:12" ht="71.400000000000006" hidden="1" x14ac:dyDescent="0.3">
      <c r="A524" s="42" t="s">
        <v>469</v>
      </c>
      <c r="B524" s="43" t="s">
        <v>538</v>
      </c>
      <c r="C524" s="43" t="s">
        <v>635</v>
      </c>
      <c r="D524" s="43" t="s">
        <v>526</v>
      </c>
      <c r="E524" s="44" t="s">
        <v>13</v>
      </c>
      <c r="F524" s="49">
        <v>2116.8000000000002</v>
      </c>
      <c r="G524" s="49"/>
      <c r="H524" s="44" t="s">
        <v>19</v>
      </c>
      <c r="I524" s="50" t="s">
        <v>14</v>
      </c>
      <c r="J524" s="50"/>
      <c r="K524" s="47" t="s">
        <v>8</v>
      </c>
      <c r="L524" s="48">
        <v>583720.68000000005</v>
      </c>
    </row>
    <row r="525" spans="1:12" ht="61.2" hidden="1" x14ac:dyDescent="0.3">
      <c r="A525" s="42" t="s">
        <v>469</v>
      </c>
      <c r="B525" s="43" t="s">
        <v>636</v>
      </c>
      <c r="C525" s="43" t="s">
        <v>477</v>
      </c>
      <c r="D525" s="43" t="s">
        <v>637</v>
      </c>
      <c r="E525" s="44" t="s">
        <v>13</v>
      </c>
      <c r="F525" s="49">
        <v>8274.5</v>
      </c>
      <c r="G525" s="49"/>
      <c r="H525" s="44" t="s">
        <v>19</v>
      </c>
      <c r="I525" s="50" t="s">
        <v>14</v>
      </c>
      <c r="J525" s="50"/>
      <c r="K525" s="47" t="s">
        <v>8</v>
      </c>
      <c r="L525" s="48">
        <v>3523526.8</v>
      </c>
    </row>
    <row r="526" spans="1:12" ht="91.8" x14ac:dyDescent="0.3">
      <c r="A526" s="42" t="s">
        <v>469</v>
      </c>
      <c r="B526" s="43" t="s">
        <v>638</v>
      </c>
      <c r="C526" s="43" t="s">
        <v>99</v>
      </c>
      <c r="D526" s="43" t="s">
        <v>460</v>
      </c>
      <c r="E526" s="44" t="s">
        <v>101</v>
      </c>
      <c r="F526" s="45" t="s">
        <v>14</v>
      </c>
      <c r="G526" s="45"/>
      <c r="H526" s="44" t="s">
        <v>13</v>
      </c>
      <c r="I526" s="46">
        <v>232942.05</v>
      </c>
      <c r="J526" s="46"/>
      <c r="K526" s="47" t="s">
        <v>8</v>
      </c>
      <c r="L526" s="48">
        <v>3290584.75</v>
      </c>
    </row>
    <row r="527" spans="1:12" ht="91.8" x14ac:dyDescent="0.3">
      <c r="A527" s="42" t="s">
        <v>469</v>
      </c>
      <c r="B527" s="43" t="s">
        <v>638</v>
      </c>
      <c r="C527" s="43" t="s">
        <v>99</v>
      </c>
      <c r="D527" s="43" t="s">
        <v>462</v>
      </c>
      <c r="E527" s="44" t="s">
        <v>101</v>
      </c>
      <c r="F527" s="45" t="s">
        <v>14</v>
      </c>
      <c r="G527" s="45"/>
      <c r="H527" s="44" t="s">
        <v>13</v>
      </c>
      <c r="I527" s="46">
        <v>218244.76</v>
      </c>
      <c r="J527" s="46"/>
      <c r="K527" s="47" t="s">
        <v>8</v>
      </c>
      <c r="L527" s="48">
        <v>3072339.99</v>
      </c>
    </row>
    <row r="528" spans="1:12" ht="71.400000000000006" x14ac:dyDescent="0.3">
      <c r="A528" s="42" t="s">
        <v>469</v>
      </c>
      <c r="B528" s="43" t="s">
        <v>638</v>
      </c>
      <c r="C528" s="43" t="s">
        <v>99</v>
      </c>
      <c r="D528" s="43" t="s">
        <v>463</v>
      </c>
      <c r="E528" s="44" t="s">
        <v>101</v>
      </c>
      <c r="F528" s="45" t="s">
        <v>14</v>
      </c>
      <c r="G528" s="45"/>
      <c r="H528" s="44" t="s">
        <v>13</v>
      </c>
      <c r="I528" s="46">
        <v>6825</v>
      </c>
      <c r="J528" s="46"/>
      <c r="K528" s="47" t="s">
        <v>8</v>
      </c>
      <c r="L528" s="48">
        <v>3065514.99</v>
      </c>
    </row>
    <row r="529" spans="1:12" ht="71.400000000000006" x14ac:dyDescent="0.3">
      <c r="A529" s="42" t="s">
        <v>469</v>
      </c>
      <c r="B529" s="43" t="s">
        <v>638</v>
      </c>
      <c r="C529" s="43" t="s">
        <v>99</v>
      </c>
      <c r="D529" s="43" t="s">
        <v>464</v>
      </c>
      <c r="E529" s="44" t="s">
        <v>101</v>
      </c>
      <c r="F529" s="45" t="s">
        <v>14</v>
      </c>
      <c r="G529" s="45"/>
      <c r="H529" s="44" t="s">
        <v>13</v>
      </c>
      <c r="I529" s="46">
        <v>3217.2</v>
      </c>
      <c r="J529" s="46"/>
      <c r="K529" s="47" t="s">
        <v>8</v>
      </c>
      <c r="L529" s="48">
        <v>3062297.79</v>
      </c>
    </row>
    <row r="530" spans="1:12" ht="81.599999999999994" x14ac:dyDescent="0.3">
      <c r="A530" s="42" t="s">
        <v>469</v>
      </c>
      <c r="B530" s="43" t="s">
        <v>638</v>
      </c>
      <c r="C530" s="43" t="s">
        <v>99</v>
      </c>
      <c r="D530" s="43" t="s">
        <v>465</v>
      </c>
      <c r="E530" s="44" t="s">
        <v>101</v>
      </c>
      <c r="F530" s="45" t="s">
        <v>14</v>
      </c>
      <c r="G530" s="45"/>
      <c r="H530" s="44" t="s">
        <v>13</v>
      </c>
      <c r="I530" s="46">
        <v>9425</v>
      </c>
      <c r="J530" s="46"/>
      <c r="K530" s="47" t="s">
        <v>8</v>
      </c>
      <c r="L530" s="48">
        <v>3052872.79</v>
      </c>
    </row>
    <row r="531" spans="1:12" ht="71.400000000000006" x14ac:dyDescent="0.3">
      <c r="A531" s="42" t="s">
        <v>469</v>
      </c>
      <c r="B531" s="43" t="s">
        <v>638</v>
      </c>
      <c r="C531" s="43" t="s">
        <v>99</v>
      </c>
      <c r="D531" s="43" t="s">
        <v>466</v>
      </c>
      <c r="E531" s="44" t="s">
        <v>101</v>
      </c>
      <c r="F531" s="45" t="s">
        <v>14</v>
      </c>
      <c r="G531" s="45"/>
      <c r="H531" s="44" t="s">
        <v>13</v>
      </c>
      <c r="I531" s="46">
        <v>1395.24</v>
      </c>
      <c r="J531" s="46"/>
      <c r="K531" s="47" t="s">
        <v>8</v>
      </c>
      <c r="L531" s="48">
        <v>3051477.55</v>
      </c>
    </row>
    <row r="532" spans="1:12" ht="81.599999999999994" x14ac:dyDescent="0.3">
      <c r="A532" s="42" t="s">
        <v>469</v>
      </c>
      <c r="B532" s="43" t="s">
        <v>638</v>
      </c>
      <c r="C532" s="43" t="s">
        <v>99</v>
      </c>
      <c r="D532" s="43" t="s">
        <v>467</v>
      </c>
      <c r="E532" s="44" t="s">
        <v>101</v>
      </c>
      <c r="F532" s="45" t="s">
        <v>14</v>
      </c>
      <c r="G532" s="45"/>
      <c r="H532" s="44" t="s">
        <v>13</v>
      </c>
      <c r="I532" s="46">
        <v>16128</v>
      </c>
      <c r="J532" s="46"/>
      <c r="K532" s="47" t="s">
        <v>8</v>
      </c>
      <c r="L532" s="48">
        <v>3035349.55</v>
      </c>
    </row>
    <row r="533" spans="1:12" ht="91.8" x14ac:dyDescent="0.3">
      <c r="A533" s="42" t="s">
        <v>469</v>
      </c>
      <c r="B533" s="43" t="s">
        <v>638</v>
      </c>
      <c r="C533" s="43" t="s">
        <v>99</v>
      </c>
      <c r="D533" s="43" t="s">
        <v>468</v>
      </c>
      <c r="E533" s="44" t="s">
        <v>101</v>
      </c>
      <c r="F533" s="45" t="s">
        <v>14</v>
      </c>
      <c r="G533" s="45"/>
      <c r="H533" s="44" t="s">
        <v>13</v>
      </c>
      <c r="I533" s="46">
        <v>2820</v>
      </c>
      <c r="J533" s="46"/>
      <c r="K533" s="47" t="s">
        <v>8</v>
      </c>
      <c r="L533" s="48">
        <v>3032529.55</v>
      </c>
    </row>
    <row r="534" spans="1:12" ht="51" x14ac:dyDescent="0.3">
      <c r="A534" s="42" t="s">
        <v>469</v>
      </c>
      <c r="B534" s="43" t="s">
        <v>639</v>
      </c>
      <c r="C534" s="43" t="s">
        <v>363</v>
      </c>
      <c r="D534" s="43" t="s">
        <v>640</v>
      </c>
      <c r="E534" s="44" t="s">
        <v>24</v>
      </c>
      <c r="F534" s="45" t="s">
        <v>14</v>
      </c>
      <c r="G534" s="45"/>
      <c r="H534" s="44" t="s">
        <v>13</v>
      </c>
      <c r="I534" s="46">
        <v>1947.69</v>
      </c>
      <c r="J534" s="46"/>
      <c r="K534" s="47" t="s">
        <v>8</v>
      </c>
      <c r="L534" s="48">
        <v>3030581.86</v>
      </c>
    </row>
    <row r="535" spans="1:12" ht="51" x14ac:dyDescent="0.3">
      <c r="A535" s="42" t="s">
        <v>469</v>
      </c>
      <c r="B535" s="43" t="s">
        <v>639</v>
      </c>
      <c r="C535" s="43" t="s">
        <v>363</v>
      </c>
      <c r="D535" s="43" t="s">
        <v>641</v>
      </c>
      <c r="E535" s="44" t="s">
        <v>24</v>
      </c>
      <c r="F535" s="45" t="s">
        <v>14</v>
      </c>
      <c r="G535" s="45"/>
      <c r="H535" s="44" t="s">
        <v>13</v>
      </c>
      <c r="I535" s="46">
        <v>3021.17</v>
      </c>
      <c r="J535" s="46"/>
      <c r="K535" s="47" t="s">
        <v>8</v>
      </c>
      <c r="L535" s="48">
        <v>3027560.69</v>
      </c>
    </row>
    <row r="536" spans="1:12" ht="51" x14ac:dyDescent="0.3">
      <c r="A536" s="42" t="s">
        <v>469</v>
      </c>
      <c r="B536" s="43" t="s">
        <v>639</v>
      </c>
      <c r="C536" s="43" t="s">
        <v>363</v>
      </c>
      <c r="D536" s="43" t="s">
        <v>293</v>
      </c>
      <c r="E536" s="44" t="s">
        <v>24</v>
      </c>
      <c r="F536" s="45" t="s">
        <v>14</v>
      </c>
      <c r="G536" s="45"/>
      <c r="H536" s="44" t="s">
        <v>13</v>
      </c>
      <c r="I536" s="46">
        <v>15280.18</v>
      </c>
      <c r="J536" s="46"/>
      <c r="K536" s="47" t="s">
        <v>8</v>
      </c>
      <c r="L536" s="48">
        <v>3012280.51</v>
      </c>
    </row>
    <row r="537" spans="1:12" ht="61.2" x14ac:dyDescent="0.3">
      <c r="A537" s="42" t="s">
        <v>469</v>
      </c>
      <c r="B537" s="43" t="s">
        <v>639</v>
      </c>
      <c r="C537" s="43" t="s">
        <v>363</v>
      </c>
      <c r="D537" s="43" t="s">
        <v>477</v>
      </c>
      <c r="E537" s="44" t="s">
        <v>24</v>
      </c>
      <c r="F537" s="45" t="s">
        <v>14</v>
      </c>
      <c r="G537" s="45"/>
      <c r="H537" s="44" t="s">
        <v>13</v>
      </c>
      <c r="I537" s="46">
        <v>17657</v>
      </c>
      <c r="J537" s="46"/>
      <c r="K537" s="47" t="s">
        <v>8</v>
      </c>
      <c r="L537" s="48">
        <v>2994623.51</v>
      </c>
    </row>
    <row r="538" spans="1:12" ht="51" x14ac:dyDescent="0.3">
      <c r="A538" s="42" t="s">
        <v>469</v>
      </c>
      <c r="B538" s="43" t="s">
        <v>639</v>
      </c>
      <c r="C538" s="43" t="s">
        <v>363</v>
      </c>
      <c r="D538" s="43" t="s">
        <v>642</v>
      </c>
      <c r="E538" s="44" t="s">
        <v>24</v>
      </c>
      <c r="F538" s="45" t="s">
        <v>14</v>
      </c>
      <c r="G538" s="45"/>
      <c r="H538" s="44" t="s">
        <v>13</v>
      </c>
      <c r="I538" s="46">
        <v>5451.94</v>
      </c>
      <c r="J538" s="46"/>
      <c r="K538" s="47" t="s">
        <v>8</v>
      </c>
      <c r="L538" s="48">
        <v>2989171.57</v>
      </c>
    </row>
    <row r="539" spans="1:12" ht="61.2" hidden="1" x14ac:dyDescent="0.3">
      <c r="A539" s="42" t="s">
        <v>469</v>
      </c>
      <c r="B539" s="43" t="s">
        <v>643</v>
      </c>
      <c r="C539" s="43" t="s">
        <v>644</v>
      </c>
      <c r="D539" s="43" t="s">
        <v>645</v>
      </c>
      <c r="E539" s="44" t="s">
        <v>13</v>
      </c>
      <c r="F539" s="49">
        <v>1000</v>
      </c>
      <c r="G539" s="49"/>
      <c r="H539" s="44" t="s">
        <v>19</v>
      </c>
      <c r="I539" s="50" t="s">
        <v>14</v>
      </c>
      <c r="J539" s="50"/>
      <c r="K539" s="47" t="s">
        <v>8</v>
      </c>
      <c r="L539" s="48">
        <v>485901.1</v>
      </c>
    </row>
    <row r="540" spans="1:12" ht="61.2" hidden="1" x14ac:dyDescent="0.3">
      <c r="A540" s="42" t="s">
        <v>469</v>
      </c>
      <c r="B540" s="43" t="s">
        <v>643</v>
      </c>
      <c r="C540" s="43" t="s">
        <v>646</v>
      </c>
      <c r="D540" s="43" t="s">
        <v>645</v>
      </c>
      <c r="E540" s="44" t="s">
        <v>13</v>
      </c>
      <c r="F540" s="49">
        <v>3016.64</v>
      </c>
      <c r="G540" s="49"/>
      <c r="H540" s="44" t="s">
        <v>19</v>
      </c>
      <c r="I540" s="50" t="s">
        <v>14</v>
      </c>
      <c r="J540" s="50"/>
      <c r="K540" s="47" t="s">
        <v>8</v>
      </c>
      <c r="L540" s="48">
        <v>488917.74</v>
      </c>
    </row>
    <row r="541" spans="1:12" ht="81.599999999999994" x14ac:dyDescent="0.3">
      <c r="A541" s="42" t="s">
        <v>647</v>
      </c>
      <c r="B541" s="43" t="s">
        <v>648</v>
      </c>
      <c r="C541" s="43" t="s">
        <v>99</v>
      </c>
      <c r="D541" s="43" t="s">
        <v>471</v>
      </c>
      <c r="E541" s="44" t="s">
        <v>101</v>
      </c>
      <c r="F541" s="45" t="s">
        <v>14</v>
      </c>
      <c r="G541" s="45"/>
      <c r="H541" s="44" t="s">
        <v>13</v>
      </c>
      <c r="I541" s="46">
        <v>87353.27</v>
      </c>
      <c r="J541" s="46"/>
      <c r="K541" s="47" t="s">
        <v>8</v>
      </c>
      <c r="L541" s="48">
        <v>2901818.3</v>
      </c>
    </row>
    <row r="542" spans="1:12" ht="81.599999999999994" x14ac:dyDescent="0.3">
      <c r="A542" s="42" t="s">
        <v>647</v>
      </c>
      <c r="B542" s="43" t="s">
        <v>648</v>
      </c>
      <c r="C542" s="43" t="s">
        <v>99</v>
      </c>
      <c r="D542" s="43" t="s">
        <v>472</v>
      </c>
      <c r="E542" s="44" t="s">
        <v>101</v>
      </c>
      <c r="F542" s="45" t="s">
        <v>14</v>
      </c>
      <c r="G542" s="45"/>
      <c r="H542" s="44" t="s">
        <v>13</v>
      </c>
      <c r="I542" s="46">
        <v>81841.78</v>
      </c>
      <c r="J542" s="46"/>
      <c r="K542" s="47" t="s">
        <v>8</v>
      </c>
      <c r="L542" s="48">
        <v>2819976.52</v>
      </c>
    </row>
    <row r="543" spans="1:12" ht="81.599999999999994" x14ac:dyDescent="0.3">
      <c r="A543" s="42" t="s">
        <v>647</v>
      </c>
      <c r="B543" s="43" t="s">
        <v>648</v>
      </c>
      <c r="C543" s="43" t="s">
        <v>99</v>
      </c>
      <c r="D543" s="43" t="s">
        <v>473</v>
      </c>
      <c r="E543" s="44" t="s">
        <v>101</v>
      </c>
      <c r="F543" s="45" t="s">
        <v>14</v>
      </c>
      <c r="G543" s="45"/>
      <c r="H543" s="44" t="s">
        <v>13</v>
      </c>
      <c r="I543" s="46">
        <v>162777.57</v>
      </c>
      <c r="J543" s="46"/>
      <c r="K543" s="47" t="s">
        <v>8</v>
      </c>
      <c r="L543" s="48">
        <v>2657198.9500000002</v>
      </c>
    </row>
    <row r="544" spans="1:12" ht="81.599999999999994" x14ac:dyDescent="0.3">
      <c r="A544" s="42" t="s">
        <v>647</v>
      </c>
      <c r="B544" s="43" t="s">
        <v>648</v>
      </c>
      <c r="C544" s="43" t="s">
        <v>99</v>
      </c>
      <c r="D544" s="43" t="s">
        <v>475</v>
      </c>
      <c r="E544" s="44" t="s">
        <v>101</v>
      </c>
      <c r="F544" s="45" t="s">
        <v>14</v>
      </c>
      <c r="G544" s="45"/>
      <c r="H544" s="44" t="s">
        <v>13</v>
      </c>
      <c r="I544" s="46">
        <v>270188.62</v>
      </c>
      <c r="J544" s="46"/>
      <c r="K544" s="47" t="s">
        <v>8</v>
      </c>
      <c r="L544" s="48">
        <v>2387010.33</v>
      </c>
    </row>
    <row r="545" spans="1:12" ht="61.2" hidden="1" x14ac:dyDescent="0.3">
      <c r="A545" s="42" t="s">
        <v>647</v>
      </c>
      <c r="B545" s="43" t="s">
        <v>649</v>
      </c>
      <c r="C545" s="43" t="s">
        <v>650</v>
      </c>
      <c r="D545" s="43" t="s">
        <v>651</v>
      </c>
      <c r="E545" s="44" t="s">
        <v>13</v>
      </c>
      <c r="F545" s="49">
        <v>22624</v>
      </c>
      <c r="G545" s="49"/>
      <c r="H545" s="44" t="s">
        <v>19</v>
      </c>
      <c r="I545" s="50" t="s">
        <v>14</v>
      </c>
      <c r="J545" s="50"/>
      <c r="K545" s="47" t="s">
        <v>8</v>
      </c>
      <c r="L545" s="48">
        <v>2409634.33</v>
      </c>
    </row>
    <row r="546" spans="1:12" ht="61.2" hidden="1" x14ac:dyDescent="0.3">
      <c r="A546" s="42" t="s">
        <v>647</v>
      </c>
      <c r="B546" s="43" t="s">
        <v>649</v>
      </c>
      <c r="C546" s="43" t="s">
        <v>652</v>
      </c>
      <c r="D546" s="43" t="s">
        <v>651</v>
      </c>
      <c r="E546" s="44" t="s">
        <v>13</v>
      </c>
      <c r="F546" s="49">
        <v>9676.7999999999993</v>
      </c>
      <c r="G546" s="49"/>
      <c r="H546" s="44" t="s">
        <v>19</v>
      </c>
      <c r="I546" s="50" t="s">
        <v>14</v>
      </c>
      <c r="J546" s="50"/>
      <c r="K546" s="47" t="s">
        <v>8</v>
      </c>
      <c r="L546" s="48">
        <v>2419311.13</v>
      </c>
    </row>
    <row r="547" spans="1:12" ht="61.2" hidden="1" x14ac:dyDescent="0.3">
      <c r="A547" s="42" t="s">
        <v>647</v>
      </c>
      <c r="B547" s="43" t="s">
        <v>649</v>
      </c>
      <c r="C547" s="43" t="s">
        <v>653</v>
      </c>
      <c r="D547" s="43" t="s">
        <v>651</v>
      </c>
      <c r="E547" s="44" t="s">
        <v>13</v>
      </c>
      <c r="F547" s="49">
        <v>4221.88</v>
      </c>
      <c r="G547" s="49"/>
      <c r="H547" s="44" t="s">
        <v>19</v>
      </c>
      <c r="I547" s="50" t="s">
        <v>14</v>
      </c>
      <c r="J547" s="50"/>
      <c r="K547" s="47" t="s">
        <v>8</v>
      </c>
      <c r="L547" s="48">
        <v>2423533.0099999998</v>
      </c>
    </row>
    <row r="548" spans="1:12" ht="61.2" hidden="1" x14ac:dyDescent="0.3">
      <c r="A548" s="42" t="s">
        <v>647</v>
      </c>
      <c r="B548" s="43" t="s">
        <v>654</v>
      </c>
      <c r="C548" s="43" t="s">
        <v>655</v>
      </c>
      <c r="D548" s="43" t="s">
        <v>651</v>
      </c>
      <c r="E548" s="44" t="s">
        <v>13</v>
      </c>
      <c r="F548" s="49">
        <v>9155.2000000000007</v>
      </c>
      <c r="G548" s="49"/>
      <c r="H548" s="44" t="s">
        <v>19</v>
      </c>
      <c r="I548" s="50" t="s">
        <v>14</v>
      </c>
      <c r="J548" s="50"/>
      <c r="K548" s="47" t="s">
        <v>8</v>
      </c>
      <c r="L548" s="48">
        <v>2432688.21</v>
      </c>
    </row>
    <row r="549" spans="1:12" ht="61.2" hidden="1" x14ac:dyDescent="0.3">
      <c r="A549" s="42" t="s">
        <v>647</v>
      </c>
      <c r="B549" s="43" t="s">
        <v>649</v>
      </c>
      <c r="C549" s="43" t="s">
        <v>655</v>
      </c>
      <c r="D549" s="43" t="s">
        <v>651</v>
      </c>
      <c r="E549" s="44" t="s">
        <v>13</v>
      </c>
      <c r="F549" s="52">
        <v>588.79999999999995</v>
      </c>
      <c r="G549" s="52"/>
      <c r="H549" s="44" t="s">
        <v>19</v>
      </c>
      <c r="I549" s="50" t="s">
        <v>14</v>
      </c>
      <c r="J549" s="50"/>
      <c r="K549" s="47" t="s">
        <v>8</v>
      </c>
      <c r="L549" s="48">
        <v>2433277.0099999998</v>
      </c>
    </row>
    <row r="550" spans="1:12" ht="61.2" hidden="1" x14ac:dyDescent="0.3">
      <c r="A550" s="42" t="s">
        <v>647</v>
      </c>
      <c r="B550" s="43" t="s">
        <v>656</v>
      </c>
      <c r="C550" s="43" t="s">
        <v>657</v>
      </c>
      <c r="D550" s="43" t="s">
        <v>658</v>
      </c>
      <c r="E550" s="44" t="s">
        <v>13</v>
      </c>
      <c r="F550" s="49">
        <v>8997.9500000000007</v>
      </c>
      <c r="G550" s="49"/>
      <c r="H550" s="44" t="s">
        <v>19</v>
      </c>
      <c r="I550" s="50" t="s">
        <v>14</v>
      </c>
      <c r="J550" s="50"/>
      <c r="K550" s="47" t="s">
        <v>8</v>
      </c>
      <c r="L550" s="48">
        <v>244508.59</v>
      </c>
    </row>
    <row r="551" spans="1:12" ht="61.2" hidden="1" x14ac:dyDescent="0.3">
      <c r="A551" s="42" t="s">
        <v>647</v>
      </c>
      <c r="B551" s="43" t="s">
        <v>659</v>
      </c>
      <c r="C551" s="43" t="s">
        <v>657</v>
      </c>
      <c r="D551" s="43" t="s">
        <v>658</v>
      </c>
      <c r="E551" s="44" t="s">
        <v>13</v>
      </c>
      <c r="F551" s="49">
        <v>13229.17</v>
      </c>
      <c r="G551" s="49"/>
      <c r="H551" s="44" t="s">
        <v>19</v>
      </c>
      <c r="I551" s="50" t="s">
        <v>14</v>
      </c>
      <c r="J551" s="50"/>
      <c r="K551" s="47" t="s">
        <v>8</v>
      </c>
      <c r="L551" s="48">
        <v>257737.76</v>
      </c>
    </row>
    <row r="552" spans="1:12" ht="61.2" hidden="1" x14ac:dyDescent="0.3">
      <c r="A552" s="42" t="s">
        <v>660</v>
      </c>
      <c r="B552" s="43" t="s">
        <v>661</v>
      </c>
      <c r="C552" s="43" t="s">
        <v>662</v>
      </c>
      <c r="D552" s="43" t="s">
        <v>663</v>
      </c>
      <c r="E552" s="44" t="s">
        <v>13</v>
      </c>
      <c r="F552" s="49">
        <v>10082.5</v>
      </c>
      <c r="G552" s="49"/>
      <c r="H552" s="44" t="s">
        <v>19</v>
      </c>
      <c r="I552" s="50" t="s">
        <v>14</v>
      </c>
      <c r="J552" s="50"/>
      <c r="K552" s="47" t="s">
        <v>8</v>
      </c>
      <c r="L552" s="48">
        <v>919746.95</v>
      </c>
    </row>
    <row r="553" spans="1:12" ht="61.2" hidden="1" x14ac:dyDescent="0.3">
      <c r="A553" s="42" t="s">
        <v>660</v>
      </c>
      <c r="B553" s="43" t="s">
        <v>661</v>
      </c>
      <c r="C553" s="43" t="s">
        <v>664</v>
      </c>
      <c r="D553" s="43" t="s">
        <v>663</v>
      </c>
      <c r="E553" s="44" t="s">
        <v>13</v>
      </c>
      <c r="F553" s="49">
        <v>4087.5</v>
      </c>
      <c r="G553" s="49"/>
      <c r="H553" s="44" t="s">
        <v>19</v>
      </c>
      <c r="I553" s="50" t="s">
        <v>14</v>
      </c>
      <c r="J553" s="50"/>
      <c r="K553" s="47" t="s">
        <v>8</v>
      </c>
      <c r="L553" s="48">
        <v>923834.45</v>
      </c>
    </row>
    <row r="554" spans="1:12" ht="61.2" hidden="1" x14ac:dyDescent="0.3">
      <c r="A554" s="42" t="s">
        <v>660</v>
      </c>
      <c r="B554" s="43" t="s">
        <v>661</v>
      </c>
      <c r="C554" s="43" t="s">
        <v>665</v>
      </c>
      <c r="D554" s="43" t="s">
        <v>663</v>
      </c>
      <c r="E554" s="44" t="s">
        <v>13</v>
      </c>
      <c r="F554" s="49">
        <v>3261.93</v>
      </c>
      <c r="G554" s="49"/>
      <c r="H554" s="44" t="s">
        <v>19</v>
      </c>
      <c r="I554" s="50" t="s">
        <v>14</v>
      </c>
      <c r="J554" s="50"/>
      <c r="K554" s="47" t="s">
        <v>8</v>
      </c>
      <c r="L554" s="48">
        <v>927096.38</v>
      </c>
    </row>
    <row r="555" spans="1:12" ht="61.2" hidden="1" x14ac:dyDescent="0.3">
      <c r="A555" s="42" t="s">
        <v>660</v>
      </c>
      <c r="B555" s="43" t="s">
        <v>661</v>
      </c>
      <c r="C555" s="43" t="s">
        <v>665</v>
      </c>
      <c r="D555" s="43" t="s">
        <v>663</v>
      </c>
      <c r="E555" s="44" t="s">
        <v>13</v>
      </c>
      <c r="F555" s="49">
        <v>3760.5</v>
      </c>
      <c r="G555" s="49"/>
      <c r="H555" s="44" t="s">
        <v>19</v>
      </c>
      <c r="I555" s="50" t="s">
        <v>14</v>
      </c>
      <c r="J555" s="50"/>
      <c r="K555" s="47" t="s">
        <v>8</v>
      </c>
      <c r="L555" s="48">
        <v>930856.88</v>
      </c>
    </row>
    <row r="556" spans="1:12" ht="61.2" hidden="1" x14ac:dyDescent="0.3">
      <c r="A556" s="42" t="s">
        <v>660</v>
      </c>
      <c r="B556" s="43" t="s">
        <v>661</v>
      </c>
      <c r="C556" s="43" t="s">
        <v>666</v>
      </c>
      <c r="D556" s="43" t="s">
        <v>663</v>
      </c>
      <c r="E556" s="44" t="s">
        <v>13</v>
      </c>
      <c r="F556" s="49">
        <v>3433.5</v>
      </c>
      <c r="G556" s="49"/>
      <c r="H556" s="44" t="s">
        <v>19</v>
      </c>
      <c r="I556" s="50" t="s">
        <v>14</v>
      </c>
      <c r="J556" s="50"/>
      <c r="K556" s="47" t="s">
        <v>8</v>
      </c>
      <c r="L556" s="48">
        <v>934290.38</v>
      </c>
    </row>
    <row r="557" spans="1:12" ht="61.2" hidden="1" x14ac:dyDescent="0.3">
      <c r="A557" s="42" t="s">
        <v>660</v>
      </c>
      <c r="B557" s="43" t="s">
        <v>661</v>
      </c>
      <c r="C557" s="43" t="s">
        <v>666</v>
      </c>
      <c r="D557" s="43" t="s">
        <v>663</v>
      </c>
      <c r="E557" s="44" t="s">
        <v>13</v>
      </c>
      <c r="F557" s="49">
        <v>3032.55</v>
      </c>
      <c r="G557" s="49"/>
      <c r="H557" s="44" t="s">
        <v>19</v>
      </c>
      <c r="I557" s="50" t="s">
        <v>14</v>
      </c>
      <c r="J557" s="50"/>
      <c r="K557" s="47" t="s">
        <v>8</v>
      </c>
      <c r="L557" s="48">
        <v>937322.93</v>
      </c>
    </row>
    <row r="558" spans="1:12" ht="61.2" hidden="1" x14ac:dyDescent="0.3">
      <c r="A558" s="42" t="s">
        <v>660</v>
      </c>
      <c r="B558" s="43" t="s">
        <v>661</v>
      </c>
      <c r="C558" s="43" t="s">
        <v>667</v>
      </c>
      <c r="D558" s="43" t="s">
        <v>663</v>
      </c>
      <c r="E558" s="44" t="s">
        <v>13</v>
      </c>
      <c r="F558" s="49">
        <v>1907.5</v>
      </c>
      <c r="G558" s="49"/>
      <c r="H558" s="44" t="s">
        <v>19</v>
      </c>
      <c r="I558" s="50" t="s">
        <v>14</v>
      </c>
      <c r="J558" s="50"/>
      <c r="K558" s="47" t="s">
        <v>8</v>
      </c>
      <c r="L558" s="48">
        <v>939230.43</v>
      </c>
    </row>
    <row r="559" spans="1:12" ht="61.2" hidden="1" x14ac:dyDescent="0.3">
      <c r="A559" s="42" t="s">
        <v>660</v>
      </c>
      <c r="B559" s="43" t="s">
        <v>661</v>
      </c>
      <c r="C559" s="43" t="s">
        <v>668</v>
      </c>
      <c r="D559" s="43" t="s">
        <v>663</v>
      </c>
      <c r="E559" s="44" t="s">
        <v>13</v>
      </c>
      <c r="F559" s="49">
        <v>1090</v>
      </c>
      <c r="G559" s="49"/>
      <c r="H559" s="44" t="s">
        <v>19</v>
      </c>
      <c r="I559" s="50" t="s">
        <v>14</v>
      </c>
      <c r="J559" s="50"/>
      <c r="K559" s="47" t="s">
        <v>8</v>
      </c>
      <c r="L559" s="48">
        <v>940320.43</v>
      </c>
    </row>
    <row r="560" spans="1:12" ht="71.400000000000006" x14ac:dyDescent="0.3">
      <c r="A560" s="42" t="s">
        <v>15</v>
      </c>
      <c r="B560" s="43" t="s">
        <v>669</v>
      </c>
      <c r="C560" s="43" t="s">
        <v>363</v>
      </c>
      <c r="D560" s="43" t="s">
        <v>81</v>
      </c>
      <c r="E560" s="44" t="s">
        <v>24</v>
      </c>
      <c r="F560" s="45" t="s">
        <v>14</v>
      </c>
      <c r="G560" s="45"/>
      <c r="H560" s="44" t="s">
        <v>13</v>
      </c>
      <c r="I560" s="46">
        <v>1070</v>
      </c>
      <c r="J560" s="46"/>
      <c r="K560" s="47" t="s">
        <v>8</v>
      </c>
      <c r="L560" s="48">
        <v>2519630.9</v>
      </c>
    </row>
    <row r="561" spans="1:12" ht="61.2" x14ac:dyDescent="0.3">
      <c r="A561" s="42" t="s">
        <v>15</v>
      </c>
      <c r="B561" s="43" t="s">
        <v>670</v>
      </c>
      <c r="C561" s="43" t="s">
        <v>363</v>
      </c>
      <c r="D561" s="43" t="s">
        <v>356</v>
      </c>
      <c r="E561" s="44" t="s">
        <v>24</v>
      </c>
      <c r="F561" s="45" t="s">
        <v>14</v>
      </c>
      <c r="G561" s="45"/>
      <c r="H561" s="44" t="s">
        <v>13</v>
      </c>
      <c r="I561" s="46">
        <v>12155.78</v>
      </c>
      <c r="J561" s="46"/>
      <c r="K561" s="47" t="s">
        <v>8</v>
      </c>
      <c r="L561" s="48">
        <v>2507475.12</v>
      </c>
    </row>
    <row r="562" spans="1:12" ht="61.2" x14ac:dyDescent="0.3">
      <c r="A562" s="42" t="s">
        <v>15</v>
      </c>
      <c r="B562" s="43" t="s">
        <v>670</v>
      </c>
      <c r="C562" s="43" t="s">
        <v>363</v>
      </c>
      <c r="D562" s="43" t="s">
        <v>358</v>
      </c>
      <c r="E562" s="44" t="s">
        <v>24</v>
      </c>
      <c r="F562" s="45" t="s">
        <v>14</v>
      </c>
      <c r="G562" s="45"/>
      <c r="H562" s="44" t="s">
        <v>13</v>
      </c>
      <c r="I562" s="46">
        <v>1760.08</v>
      </c>
      <c r="J562" s="46"/>
      <c r="K562" s="47" t="s">
        <v>8</v>
      </c>
      <c r="L562" s="48">
        <v>2505715.04</v>
      </c>
    </row>
    <row r="563" spans="1:12" ht="51" x14ac:dyDescent="0.3">
      <c r="A563" s="42" t="s">
        <v>15</v>
      </c>
      <c r="B563" s="43" t="s">
        <v>671</v>
      </c>
      <c r="C563" s="43" t="s">
        <v>363</v>
      </c>
      <c r="D563" s="43" t="s">
        <v>454</v>
      </c>
      <c r="E563" s="44" t="s">
        <v>24</v>
      </c>
      <c r="F563" s="45" t="s">
        <v>14</v>
      </c>
      <c r="G563" s="45"/>
      <c r="H563" s="44" t="s">
        <v>13</v>
      </c>
      <c r="I563" s="51">
        <v>352</v>
      </c>
      <c r="J563" s="51"/>
      <c r="K563" s="47" t="s">
        <v>8</v>
      </c>
      <c r="L563" s="48">
        <v>84914.12</v>
      </c>
    </row>
    <row r="564" spans="1:12" ht="51" x14ac:dyDescent="0.3">
      <c r="A564" s="42" t="s">
        <v>15</v>
      </c>
      <c r="B564" s="43" t="s">
        <v>671</v>
      </c>
      <c r="C564" s="43" t="s">
        <v>363</v>
      </c>
      <c r="D564" s="43" t="s">
        <v>458</v>
      </c>
      <c r="E564" s="44" t="s">
        <v>24</v>
      </c>
      <c r="F564" s="45" t="s">
        <v>14</v>
      </c>
      <c r="G564" s="45"/>
      <c r="H564" s="44" t="s">
        <v>13</v>
      </c>
      <c r="I564" s="51">
        <v>435</v>
      </c>
      <c r="J564" s="51"/>
      <c r="K564" s="47" t="s">
        <v>8</v>
      </c>
      <c r="L564" s="48">
        <v>84479.12</v>
      </c>
    </row>
    <row r="565" spans="1:12" ht="61.2" x14ac:dyDescent="0.3">
      <c r="A565" s="42" t="s">
        <v>15</v>
      </c>
      <c r="B565" s="43" t="s">
        <v>671</v>
      </c>
      <c r="C565" s="43" t="s">
        <v>363</v>
      </c>
      <c r="D565" s="43" t="s">
        <v>456</v>
      </c>
      <c r="E565" s="44" t="s">
        <v>24</v>
      </c>
      <c r="F565" s="45" t="s">
        <v>14</v>
      </c>
      <c r="G565" s="45"/>
      <c r="H565" s="44" t="s">
        <v>13</v>
      </c>
      <c r="I565" s="51">
        <v>447</v>
      </c>
      <c r="J565" s="51"/>
      <c r="K565" s="47" t="s">
        <v>8</v>
      </c>
      <c r="L565" s="48">
        <v>84032.12</v>
      </c>
    </row>
    <row r="566" spans="1:12" ht="61.2" x14ac:dyDescent="0.3">
      <c r="A566" s="42" t="s">
        <v>15</v>
      </c>
      <c r="B566" s="43" t="s">
        <v>672</v>
      </c>
      <c r="C566" s="43" t="s">
        <v>363</v>
      </c>
      <c r="D566" s="43" t="s">
        <v>673</v>
      </c>
      <c r="E566" s="44" t="s">
        <v>24</v>
      </c>
      <c r="F566" s="45" t="s">
        <v>14</v>
      </c>
      <c r="G566" s="45"/>
      <c r="H566" s="44" t="s">
        <v>13</v>
      </c>
      <c r="I566" s="46">
        <v>51571.43</v>
      </c>
      <c r="J566" s="46"/>
      <c r="K566" s="47" t="s">
        <v>8</v>
      </c>
      <c r="L566" s="48">
        <v>2065314.96</v>
      </c>
    </row>
    <row r="567" spans="1:12" ht="61.2" x14ac:dyDescent="0.3">
      <c r="A567" s="42" t="s">
        <v>15</v>
      </c>
      <c r="B567" s="43" t="s">
        <v>672</v>
      </c>
      <c r="C567" s="43" t="s">
        <v>363</v>
      </c>
      <c r="D567" s="43" t="s">
        <v>411</v>
      </c>
      <c r="E567" s="44" t="s">
        <v>24</v>
      </c>
      <c r="F567" s="45" t="s">
        <v>14</v>
      </c>
      <c r="G567" s="45"/>
      <c r="H567" s="44" t="s">
        <v>13</v>
      </c>
      <c r="I567" s="51">
        <v>965.46</v>
      </c>
      <c r="J567" s="51"/>
      <c r="K567" s="47" t="s">
        <v>8</v>
      </c>
      <c r="L567" s="48">
        <v>2064349.5</v>
      </c>
    </row>
    <row r="568" spans="1:12" ht="61.2" x14ac:dyDescent="0.3">
      <c r="A568" s="42" t="s">
        <v>15</v>
      </c>
      <c r="B568" s="43" t="s">
        <v>672</v>
      </c>
      <c r="C568" s="43" t="s">
        <v>363</v>
      </c>
      <c r="D568" s="43" t="s">
        <v>674</v>
      </c>
      <c r="E568" s="44" t="s">
        <v>24</v>
      </c>
      <c r="F568" s="45" t="s">
        <v>14</v>
      </c>
      <c r="G568" s="45"/>
      <c r="H568" s="44" t="s">
        <v>13</v>
      </c>
      <c r="I568" s="51">
        <v>236.28</v>
      </c>
      <c r="J568" s="51"/>
      <c r="K568" s="47" t="s">
        <v>8</v>
      </c>
      <c r="L568" s="48">
        <v>2064113.22</v>
      </c>
    </row>
    <row r="569" spans="1:12" ht="61.2" x14ac:dyDescent="0.3">
      <c r="A569" s="42" t="s">
        <v>15</v>
      </c>
      <c r="B569" s="43" t="s">
        <v>672</v>
      </c>
      <c r="C569" s="43" t="s">
        <v>363</v>
      </c>
      <c r="D569" s="43" t="s">
        <v>675</v>
      </c>
      <c r="E569" s="44" t="s">
        <v>24</v>
      </c>
      <c r="F569" s="45" t="s">
        <v>14</v>
      </c>
      <c r="G569" s="45"/>
      <c r="H569" s="44" t="s">
        <v>13</v>
      </c>
      <c r="I569" s="46">
        <v>1462.11</v>
      </c>
      <c r="J569" s="46"/>
      <c r="K569" s="47" t="s">
        <v>8</v>
      </c>
      <c r="L569" s="48">
        <v>2062651.11</v>
      </c>
    </row>
    <row r="570" spans="1:12" ht="61.2" x14ac:dyDescent="0.3">
      <c r="A570" s="42" t="s">
        <v>15</v>
      </c>
      <c r="B570" s="43" t="s">
        <v>672</v>
      </c>
      <c r="C570" s="43" t="s">
        <v>363</v>
      </c>
      <c r="D570" s="43" t="s">
        <v>676</v>
      </c>
      <c r="E570" s="44" t="s">
        <v>24</v>
      </c>
      <c r="F570" s="45" t="s">
        <v>14</v>
      </c>
      <c r="G570" s="45"/>
      <c r="H570" s="44" t="s">
        <v>13</v>
      </c>
      <c r="I570" s="46">
        <v>3071.02</v>
      </c>
      <c r="J570" s="46"/>
      <c r="K570" s="47" t="s">
        <v>8</v>
      </c>
      <c r="L570" s="48">
        <v>2059580.09</v>
      </c>
    </row>
    <row r="571" spans="1:12" ht="61.2" x14ac:dyDescent="0.3">
      <c r="A571" s="42" t="s">
        <v>15</v>
      </c>
      <c r="B571" s="43" t="s">
        <v>672</v>
      </c>
      <c r="C571" s="43" t="s">
        <v>363</v>
      </c>
      <c r="D571" s="43" t="s">
        <v>677</v>
      </c>
      <c r="E571" s="44" t="s">
        <v>24</v>
      </c>
      <c r="F571" s="45" t="s">
        <v>14</v>
      </c>
      <c r="G571" s="45"/>
      <c r="H571" s="44" t="s">
        <v>13</v>
      </c>
      <c r="I571" s="46">
        <v>1410.66</v>
      </c>
      <c r="J571" s="46"/>
      <c r="K571" s="47" t="s">
        <v>8</v>
      </c>
      <c r="L571" s="48">
        <v>2058169.43</v>
      </c>
    </row>
    <row r="572" spans="1:12" ht="71.400000000000006" x14ac:dyDescent="0.3">
      <c r="A572" s="42" t="s">
        <v>15</v>
      </c>
      <c r="B572" s="43" t="s">
        <v>672</v>
      </c>
      <c r="C572" s="43" t="s">
        <v>363</v>
      </c>
      <c r="D572" s="43" t="s">
        <v>678</v>
      </c>
      <c r="E572" s="44" t="s">
        <v>24</v>
      </c>
      <c r="F572" s="45" t="s">
        <v>14</v>
      </c>
      <c r="G572" s="45"/>
      <c r="H572" s="44" t="s">
        <v>13</v>
      </c>
      <c r="I572" s="51">
        <v>332.51</v>
      </c>
      <c r="J572" s="51"/>
      <c r="K572" s="47" t="s">
        <v>8</v>
      </c>
      <c r="L572" s="48">
        <v>2057836.92</v>
      </c>
    </row>
    <row r="573" spans="1:12" ht="81.599999999999994" x14ac:dyDescent="0.3">
      <c r="A573" s="42" t="s">
        <v>15</v>
      </c>
      <c r="B573" s="43" t="s">
        <v>679</v>
      </c>
      <c r="C573" s="43" t="s">
        <v>363</v>
      </c>
      <c r="D573" s="43" t="s">
        <v>680</v>
      </c>
      <c r="E573" s="44" t="s">
        <v>24</v>
      </c>
      <c r="F573" s="45" t="s">
        <v>14</v>
      </c>
      <c r="G573" s="45"/>
      <c r="H573" s="44" t="s">
        <v>13</v>
      </c>
      <c r="I573" s="46">
        <v>4500.6499999999996</v>
      </c>
      <c r="J573" s="46"/>
      <c r="K573" s="47" t="s">
        <v>8</v>
      </c>
      <c r="L573" s="48">
        <v>2501214.39</v>
      </c>
    </row>
    <row r="574" spans="1:12" ht="61.2" x14ac:dyDescent="0.3">
      <c r="A574" s="42" t="s">
        <v>15</v>
      </c>
      <c r="B574" s="43" t="s">
        <v>679</v>
      </c>
      <c r="C574" s="43" t="s">
        <v>363</v>
      </c>
      <c r="D574" s="43" t="s">
        <v>681</v>
      </c>
      <c r="E574" s="44" t="s">
        <v>24</v>
      </c>
      <c r="F574" s="45" t="s">
        <v>14</v>
      </c>
      <c r="G574" s="45"/>
      <c r="H574" s="44" t="s">
        <v>13</v>
      </c>
      <c r="I574" s="46">
        <v>4929</v>
      </c>
      <c r="J574" s="46"/>
      <c r="K574" s="47" t="s">
        <v>8</v>
      </c>
      <c r="L574" s="48">
        <v>2496285.39</v>
      </c>
    </row>
    <row r="575" spans="1:12" ht="71.400000000000006" x14ac:dyDescent="0.3">
      <c r="A575" s="42" t="s">
        <v>15</v>
      </c>
      <c r="B575" s="43" t="s">
        <v>679</v>
      </c>
      <c r="C575" s="43" t="s">
        <v>363</v>
      </c>
      <c r="D575" s="43" t="s">
        <v>199</v>
      </c>
      <c r="E575" s="44" t="s">
        <v>24</v>
      </c>
      <c r="F575" s="45" t="s">
        <v>14</v>
      </c>
      <c r="G575" s="45"/>
      <c r="H575" s="44" t="s">
        <v>13</v>
      </c>
      <c r="I575" s="46">
        <v>5781.12</v>
      </c>
      <c r="J575" s="46"/>
      <c r="K575" s="47" t="s">
        <v>8</v>
      </c>
      <c r="L575" s="48">
        <v>2490504.27</v>
      </c>
    </row>
    <row r="576" spans="1:12" ht="71.400000000000006" x14ac:dyDescent="0.3">
      <c r="A576" s="42" t="s">
        <v>15</v>
      </c>
      <c r="B576" s="43" t="s">
        <v>679</v>
      </c>
      <c r="C576" s="43" t="s">
        <v>363</v>
      </c>
      <c r="D576" s="43" t="s">
        <v>199</v>
      </c>
      <c r="E576" s="44" t="s">
        <v>24</v>
      </c>
      <c r="F576" s="45" t="s">
        <v>14</v>
      </c>
      <c r="G576" s="45"/>
      <c r="H576" s="44" t="s">
        <v>13</v>
      </c>
      <c r="I576" s="46">
        <v>5208.21</v>
      </c>
      <c r="J576" s="46"/>
      <c r="K576" s="47" t="s">
        <v>8</v>
      </c>
      <c r="L576" s="48">
        <v>2485296.06</v>
      </c>
    </row>
    <row r="577" spans="1:12" ht="81.599999999999994" x14ac:dyDescent="0.3">
      <c r="A577" s="42" t="s">
        <v>15</v>
      </c>
      <c r="B577" s="43" t="s">
        <v>679</v>
      </c>
      <c r="C577" s="43" t="s">
        <v>363</v>
      </c>
      <c r="D577" s="43" t="s">
        <v>682</v>
      </c>
      <c r="E577" s="44" t="s">
        <v>24</v>
      </c>
      <c r="F577" s="45" t="s">
        <v>14</v>
      </c>
      <c r="G577" s="45"/>
      <c r="H577" s="44" t="s">
        <v>13</v>
      </c>
      <c r="I577" s="51">
        <v>228.52</v>
      </c>
      <c r="J577" s="51"/>
      <c r="K577" s="47" t="s">
        <v>8</v>
      </c>
      <c r="L577" s="48">
        <v>2485067.54</v>
      </c>
    </row>
    <row r="578" spans="1:12" ht="71.400000000000006" hidden="1" x14ac:dyDescent="0.3">
      <c r="A578" s="42" t="s">
        <v>683</v>
      </c>
      <c r="B578" s="43" t="s">
        <v>684</v>
      </c>
      <c r="C578" s="43" t="s">
        <v>685</v>
      </c>
      <c r="D578" s="43" t="s">
        <v>686</v>
      </c>
      <c r="E578" s="44" t="s">
        <v>13</v>
      </c>
      <c r="F578" s="49">
        <v>7395</v>
      </c>
      <c r="G578" s="49"/>
      <c r="H578" s="44" t="s">
        <v>19</v>
      </c>
      <c r="I578" s="50" t="s">
        <v>14</v>
      </c>
      <c r="J578" s="50"/>
      <c r="K578" s="47" t="s">
        <v>8</v>
      </c>
      <c r="L578" s="48">
        <v>2065231.92</v>
      </c>
    </row>
    <row r="579" spans="1:12" ht="71.400000000000006" hidden="1" x14ac:dyDescent="0.3">
      <c r="A579" s="42" t="s">
        <v>683</v>
      </c>
      <c r="B579" s="43" t="s">
        <v>684</v>
      </c>
      <c r="C579" s="43" t="s">
        <v>687</v>
      </c>
      <c r="D579" s="43" t="s">
        <v>686</v>
      </c>
      <c r="E579" s="44" t="s">
        <v>13</v>
      </c>
      <c r="F579" s="49">
        <v>5950</v>
      </c>
      <c r="G579" s="49"/>
      <c r="H579" s="44" t="s">
        <v>19</v>
      </c>
      <c r="I579" s="50" t="s">
        <v>14</v>
      </c>
      <c r="J579" s="50"/>
      <c r="K579" s="47" t="s">
        <v>8</v>
      </c>
      <c r="L579" s="48">
        <v>2071181.92</v>
      </c>
    </row>
    <row r="580" spans="1:12" ht="61.2" hidden="1" x14ac:dyDescent="0.3">
      <c r="A580" s="42" t="s">
        <v>683</v>
      </c>
      <c r="B580" s="43" t="s">
        <v>684</v>
      </c>
      <c r="C580" s="43" t="s">
        <v>688</v>
      </c>
      <c r="D580" s="43" t="s">
        <v>686</v>
      </c>
      <c r="E580" s="44" t="s">
        <v>13</v>
      </c>
      <c r="F580" s="52">
        <v>700</v>
      </c>
      <c r="G580" s="52"/>
      <c r="H580" s="44" t="s">
        <v>19</v>
      </c>
      <c r="I580" s="50" t="s">
        <v>14</v>
      </c>
      <c r="J580" s="50"/>
      <c r="K580" s="47" t="s">
        <v>8</v>
      </c>
      <c r="L580" s="48">
        <v>2071881.92</v>
      </c>
    </row>
    <row r="581" spans="1:12" ht="61.2" hidden="1" x14ac:dyDescent="0.3">
      <c r="A581" s="42" t="s">
        <v>683</v>
      </c>
      <c r="B581" s="43" t="s">
        <v>684</v>
      </c>
      <c r="C581" s="43" t="s">
        <v>689</v>
      </c>
      <c r="D581" s="43" t="s">
        <v>686</v>
      </c>
      <c r="E581" s="44" t="s">
        <v>13</v>
      </c>
      <c r="F581" s="49">
        <v>11700</v>
      </c>
      <c r="G581" s="49"/>
      <c r="H581" s="44" t="s">
        <v>19</v>
      </c>
      <c r="I581" s="50" t="s">
        <v>14</v>
      </c>
      <c r="J581" s="50"/>
      <c r="K581" s="47" t="s">
        <v>8</v>
      </c>
      <c r="L581" s="48">
        <v>2083581.92</v>
      </c>
    </row>
    <row r="582" spans="1:12" ht="71.400000000000006" hidden="1" x14ac:dyDescent="0.3">
      <c r="A582" s="42" t="s">
        <v>683</v>
      </c>
      <c r="B582" s="43" t="s">
        <v>684</v>
      </c>
      <c r="C582" s="43" t="s">
        <v>690</v>
      </c>
      <c r="D582" s="43" t="s">
        <v>686</v>
      </c>
      <c r="E582" s="44" t="s">
        <v>13</v>
      </c>
      <c r="F582" s="49">
        <v>5800</v>
      </c>
      <c r="G582" s="49"/>
      <c r="H582" s="44" t="s">
        <v>19</v>
      </c>
      <c r="I582" s="50" t="s">
        <v>14</v>
      </c>
      <c r="J582" s="50"/>
      <c r="K582" s="47" t="s">
        <v>8</v>
      </c>
      <c r="L582" s="48">
        <v>2089381.92</v>
      </c>
    </row>
    <row r="583" spans="1:12" ht="61.2" hidden="1" x14ac:dyDescent="0.3">
      <c r="A583" s="42" t="s">
        <v>683</v>
      </c>
      <c r="B583" s="43" t="s">
        <v>684</v>
      </c>
      <c r="C583" s="43" t="s">
        <v>691</v>
      </c>
      <c r="D583" s="43" t="s">
        <v>686</v>
      </c>
      <c r="E583" s="44" t="s">
        <v>13</v>
      </c>
      <c r="F583" s="49">
        <v>4180</v>
      </c>
      <c r="G583" s="49"/>
      <c r="H583" s="44" t="s">
        <v>19</v>
      </c>
      <c r="I583" s="50" t="s">
        <v>14</v>
      </c>
      <c r="J583" s="50"/>
      <c r="K583" s="47" t="s">
        <v>8</v>
      </c>
      <c r="L583" s="48">
        <v>2093561.92</v>
      </c>
    </row>
    <row r="584" spans="1:12" ht="61.2" hidden="1" x14ac:dyDescent="0.3">
      <c r="A584" s="42" t="s">
        <v>683</v>
      </c>
      <c r="B584" s="43" t="s">
        <v>684</v>
      </c>
      <c r="C584" s="43" t="s">
        <v>692</v>
      </c>
      <c r="D584" s="43" t="s">
        <v>686</v>
      </c>
      <c r="E584" s="44" t="s">
        <v>13</v>
      </c>
      <c r="F584" s="49">
        <v>3300</v>
      </c>
      <c r="G584" s="49"/>
      <c r="H584" s="44" t="s">
        <v>19</v>
      </c>
      <c r="I584" s="50" t="s">
        <v>14</v>
      </c>
      <c r="J584" s="50"/>
      <c r="K584" s="47" t="s">
        <v>8</v>
      </c>
      <c r="L584" s="48">
        <v>2096861.92</v>
      </c>
    </row>
    <row r="585" spans="1:12" ht="71.400000000000006" hidden="1" x14ac:dyDescent="0.3">
      <c r="A585" s="42" t="s">
        <v>683</v>
      </c>
      <c r="B585" s="43" t="s">
        <v>684</v>
      </c>
      <c r="C585" s="43" t="s">
        <v>693</v>
      </c>
      <c r="D585" s="43" t="s">
        <v>686</v>
      </c>
      <c r="E585" s="44" t="s">
        <v>13</v>
      </c>
      <c r="F585" s="52">
        <v>990</v>
      </c>
      <c r="G585" s="52"/>
      <c r="H585" s="44" t="s">
        <v>19</v>
      </c>
      <c r="I585" s="50" t="s">
        <v>14</v>
      </c>
      <c r="J585" s="50"/>
      <c r="K585" s="47" t="s">
        <v>8</v>
      </c>
      <c r="L585" s="48">
        <v>2097851.92</v>
      </c>
    </row>
    <row r="586" spans="1:12" ht="61.2" x14ac:dyDescent="0.3">
      <c r="A586" s="42" t="s">
        <v>683</v>
      </c>
      <c r="B586" s="43" t="s">
        <v>694</v>
      </c>
      <c r="C586" s="43" t="s">
        <v>363</v>
      </c>
      <c r="D586" s="43" t="s">
        <v>691</v>
      </c>
      <c r="E586" s="44" t="s">
        <v>24</v>
      </c>
      <c r="F586" s="45" t="s">
        <v>14</v>
      </c>
      <c r="G586" s="45"/>
      <c r="H586" s="44" t="s">
        <v>13</v>
      </c>
      <c r="I586" s="51">
        <v>929.5</v>
      </c>
      <c r="J586" s="51"/>
      <c r="K586" s="47" t="s">
        <v>8</v>
      </c>
      <c r="L586" s="48">
        <v>2096922.42</v>
      </c>
    </row>
    <row r="587" spans="1:12" ht="61.2" x14ac:dyDescent="0.3">
      <c r="A587" s="42" t="s">
        <v>683</v>
      </c>
      <c r="B587" s="43" t="s">
        <v>695</v>
      </c>
      <c r="C587" s="43" t="s">
        <v>363</v>
      </c>
      <c r="D587" s="43" t="s">
        <v>691</v>
      </c>
      <c r="E587" s="44" t="s">
        <v>24</v>
      </c>
      <c r="F587" s="45" t="s">
        <v>14</v>
      </c>
      <c r="G587" s="45"/>
      <c r="H587" s="44" t="s">
        <v>13</v>
      </c>
      <c r="I587" s="51">
        <v>973.5</v>
      </c>
      <c r="J587" s="51"/>
      <c r="K587" s="47" t="s">
        <v>8</v>
      </c>
      <c r="L587" s="48">
        <v>2095948.92</v>
      </c>
    </row>
    <row r="588" spans="1:12" ht="61.2" x14ac:dyDescent="0.3">
      <c r="A588" s="42" t="s">
        <v>683</v>
      </c>
      <c r="B588" s="43" t="s">
        <v>695</v>
      </c>
      <c r="C588" s="43" t="s">
        <v>363</v>
      </c>
      <c r="D588" s="43" t="s">
        <v>696</v>
      </c>
      <c r="E588" s="44" t="s">
        <v>24</v>
      </c>
      <c r="F588" s="45" t="s">
        <v>14</v>
      </c>
      <c r="G588" s="45"/>
      <c r="H588" s="44" t="s">
        <v>13</v>
      </c>
      <c r="I588" s="46">
        <v>1775.34</v>
      </c>
      <c r="J588" s="46"/>
      <c r="K588" s="47" t="s">
        <v>8</v>
      </c>
      <c r="L588" s="48">
        <v>2094173.58</v>
      </c>
    </row>
    <row r="589" spans="1:12" ht="61.2" x14ac:dyDescent="0.3">
      <c r="A589" s="42" t="s">
        <v>683</v>
      </c>
      <c r="B589" s="43" t="s">
        <v>697</v>
      </c>
      <c r="C589" s="43" t="s">
        <v>363</v>
      </c>
      <c r="D589" s="43" t="s">
        <v>411</v>
      </c>
      <c r="E589" s="44" t="s">
        <v>24</v>
      </c>
      <c r="F589" s="45" t="s">
        <v>14</v>
      </c>
      <c r="G589" s="45"/>
      <c r="H589" s="44" t="s">
        <v>13</v>
      </c>
      <c r="I589" s="51">
        <v>482.74</v>
      </c>
      <c r="J589" s="51"/>
      <c r="K589" s="47" t="s">
        <v>8</v>
      </c>
      <c r="L589" s="48">
        <v>2093690.84</v>
      </c>
    </row>
    <row r="590" spans="1:12" ht="61.2" x14ac:dyDescent="0.3">
      <c r="A590" s="42" t="s">
        <v>683</v>
      </c>
      <c r="B590" s="43" t="s">
        <v>697</v>
      </c>
      <c r="C590" s="43" t="s">
        <v>363</v>
      </c>
      <c r="D590" s="43" t="s">
        <v>691</v>
      </c>
      <c r="E590" s="44" t="s">
        <v>24</v>
      </c>
      <c r="F590" s="45" t="s">
        <v>14</v>
      </c>
      <c r="G590" s="45"/>
      <c r="H590" s="44" t="s">
        <v>13</v>
      </c>
      <c r="I590" s="51">
        <v>737</v>
      </c>
      <c r="J590" s="51"/>
      <c r="K590" s="47" t="s">
        <v>8</v>
      </c>
      <c r="L590" s="48">
        <v>2092953.84</v>
      </c>
    </row>
    <row r="591" spans="1:12" ht="61.2" x14ac:dyDescent="0.3">
      <c r="A591" s="42" t="s">
        <v>683</v>
      </c>
      <c r="B591" s="43" t="s">
        <v>697</v>
      </c>
      <c r="C591" s="43" t="s">
        <v>363</v>
      </c>
      <c r="D591" s="43" t="s">
        <v>696</v>
      </c>
      <c r="E591" s="44" t="s">
        <v>24</v>
      </c>
      <c r="F591" s="45" t="s">
        <v>14</v>
      </c>
      <c r="G591" s="45"/>
      <c r="H591" s="44" t="s">
        <v>13</v>
      </c>
      <c r="I591" s="46">
        <v>5070.6000000000004</v>
      </c>
      <c r="J591" s="46"/>
      <c r="K591" s="47" t="s">
        <v>8</v>
      </c>
      <c r="L591" s="48">
        <v>2087883.24</v>
      </c>
    </row>
    <row r="592" spans="1:12" ht="61.2" hidden="1" x14ac:dyDescent="0.3">
      <c r="A592" s="42" t="s">
        <v>698</v>
      </c>
      <c r="B592" s="43" t="s">
        <v>699</v>
      </c>
      <c r="C592" s="43" t="s">
        <v>700</v>
      </c>
      <c r="D592" s="43" t="s">
        <v>357</v>
      </c>
      <c r="E592" s="44" t="s">
        <v>13</v>
      </c>
      <c r="F592" s="45" t="s">
        <v>14</v>
      </c>
      <c r="G592" s="45"/>
      <c r="H592" s="44" t="s">
        <v>13</v>
      </c>
      <c r="I592" s="46">
        <v>6555</v>
      </c>
      <c r="J592" s="46"/>
      <c r="K592" s="47" t="s">
        <v>8</v>
      </c>
      <c r="L592" s="48">
        <v>4605646.53</v>
      </c>
    </row>
    <row r="593" spans="1:12" ht="61.2" hidden="1" x14ac:dyDescent="0.3">
      <c r="A593" s="42" t="s">
        <v>698</v>
      </c>
      <c r="B593" s="43" t="s">
        <v>699</v>
      </c>
      <c r="C593" s="43" t="s">
        <v>700</v>
      </c>
      <c r="D593" s="43" t="s">
        <v>357</v>
      </c>
      <c r="E593" s="44" t="s">
        <v>13</v>
      </c>
      <c r="F593" s="49">
        <v>6555</v>
      </c>
      <c r="G593" s="49"/>
      <c r="H593" s="44" t="s">
        <v>13</v>
      </c>
      <c r="I593" s="50" t="s">
        <v>14</v>
      </c>
      <c r="J593" s="50"/>
      <c r="K593" s="47" t="s">
        <v>8</v>
      </c>
      <c r="L593" s="48">
        <v>2491622.54</v>
      </c>
    </row>
    <row r="594" spans="1:12" ht="61.2" hidden="1" x14ac:dyDescent="0.3">
      <c r="A594" s="42" t="s">
        <v>698</v>
      </c>
      <c r="B594" s="43" t="s">
        <v>699</v>
      </c>
      <c r="C594" s="43" t="s">
        <v>701</v>
      </c>
      <c r="D594" s="43" t="s">
        <v>702</v>
      </c>
      <c r="E594" s="44" t="s">
        <v>13</v>
      </c>
      <c r="F594" s="45" t="s">
        <v>14</v>
      </c>
      <c r="G594" s="45"/>
      <c r="H594" s="44" t="s">
        <v>13</v>
      </c>
      <c r="I594" s="51">
        <v>197.14</v>
      </c>
      <c r="J594" s="51"/>
      <c r="K594" s="47" t="s">
        <v>8</v>
      </c>
      <c r="L594" s="48">
        <v>4605449.3899999997</v>
      </c>
    </row>
    <row r="595" spans="1:12" ht="61.2" hidden="1" x14ac:dyDescent="0.3">
      <c r="A595" s="42" t="s">
        <v>698</v>
      </c>
      <c r="B595" s="43" t="s">
        <v>699</v>
      </c>
      <c r="C595" s="43" t="s">
        <v>701</v>
      </c>
      <c r="D595" s="43" t="s">
        <v>702</v>
      </c>
      <c r="E595" s="44" t="s">
        <v>13</v>
      </c>
      <c r="F595" s="52">
        <v>197.14</v>
      </c>
      <c r="G595" s="52"/>
      <c r="H595" s="44" t="s">
        <v>13</v>
      </c>
      <c r="I595" s="50" t="s">
        <v>14</v>
      </c>
      <c r="J595" s="50"/>
      <c r="K595" s="47" t="s">
        <v>8</v>
      </c>
      <c r="L595" s="48">
        <v>2491819.6800000002</v>
      </c>
    </row>
    <row r="596" spans="1:12" ht="61.2" hidden="1" x14ac:dyDescent="0.3">
      <c r="A596" s="42" t="s">
        <v>698</v>
      </c>
      <c r="B596" s="43" t="s">
        <v>699</v>
      </c>
      <c r="C596" s="43" t="s">
        <v>703</v>
      </c>
      <c r="D596" s="43" t="s">
        <v>359</v>
      </c>
      <c r="E596" s="44" t="s">
        <v>13</v>
      </c>
      <c r="F596" s="45" t="s">
        <v>14</v>
      </c>
      <c r="G596" s="45"/>
      <c r="H596" s="44" t="s">
        <v>13</v>
      </c>
      <c r="I596" s="51">
        <v>752.35</v>
      </c>
      <c r="J596" s="51"/>
      <c r="K596" s="47" t="s">
        <v>8</v>
      </c>
      <c r="L596" s="48">
        <v>4604697.04</v>
      </c>
    </row>
    <row r="597" spans="1:12" ht="61.2" hidden="1" x14ac:dyDescent="0.3">
      <c r="A597" s="42" t="s">
        <v>698</v>
      </c>
      <c r="B597" s="43" t="s">
        <v>699</v>
      </c>
      <c r="C597" s="43" t="s">
        <v>703</v>
      </c>
      <c r="D597" s="43" t="s">
        <v>359</v>
      </c>
      <c r="E597" s="44" t="s">
        <v>13</v>
      </c>
      <c r="F597" s="52">
        <v>752.35</v>
      </c>
      <c r="G597" s="52"/>
      <c r="H597" s="44" t="s">
        <v>13</v>
      </c>
      <c r="I597" s="50" t="s">
        <v>14</v>
      </c>
      <c r="J597" s="50"/>
      <c r="K597" s="47" t="s">
        <v>8</v>
      </c>
      <c r="L597" s="48">
        <v>2492572.0299999998</v>
      </c>
    </row>
    <row r="598" spans="1:12" ht="81.599999999999994" hidden="1" x14ac:dyDescent="0.3">
      <c r="A598" s="42" t="s">
        <v>698</v>
      </c>
      <c r="B598" s="43" t="s">
        <v>704</v>
      </c>
      <c r="C598" s="43" t="s">
        <v>705</v>
      </c>
      <c r="D598" s="43" t="s">
        <v>706</v>
      </c>
      <c r="E598" s="44" t="s">
        <v>13</v>
      </c>
      <c r="F598" s="49">
        <v>1699.5</v>
      </c>
      <c r="G598" s="49"/>
      <c r="H598" s="44" t="s">
        <v>19</v>
      </c>
      <c r="I598" s="50" t="s">
        <v>14</v>
      </c>
      <c r="J598" s="50"/>
      <c r="K598" s="47" t="s">
        <v>8</v>
      </c>
      <c r="L598" s="48">
        <v>2434976.5099999998</v>
      </c>
    </row>
    <row r="599" spans="1:12" ht="81.599999999999994" hidden="1" x14ac:dyDescent="0.3">
      <c r="A599" s="42" t="s">
        <v>698</v>
      </c>
      <c r="B599" s="43" t="s">
        <v>704</v>
      </c>
      <c r="C599" s="43" t="s">
        <v>707</v>
      </c>
      <c r="D599" s="43" t="s">
        <v>706</v>
      </c>
      <c r="E599" s="44" t="s">
        <v>13</v>
      </c>
      <c r="F599" s="49">
        <v>23137.95</v>
      </c>
      <c r="G599" s="49"/>
      <c r="H599" s="44" t="s">
        <v>19</v>
      </c>
      <c r="I599" s="50" t="s">
        <v>14</v>
      </c>
      <c r="J599" s="50"/>
      <c r="K599" s="47" t="s">
        <v>8</v>
      </c>
      <c r="L599" s="48">
        <v>2458114.46</v>
      </c>
    </row>
    <row r="600" spans="1:12" ht="81.599999999999994" hidden="1" x14ac:dyDescent="0.3">
      <c r="A600" s="42" t="s">
        <v>698</v>
      </c>
      <c r="B600" s="43" t="s">
        <v>704</v>
      </c>
      <c r="C600" s="43" t="s">
        <v>708</v>
      </c>
      <c r="D600" s="43" t="s">
        <v>706</v>
      </c>
      <c r="E600" s="44" t="s">
        <v>13</v>
      </c>
      <c r="F600" s="49">
        <v>426096</v>
      </c>
      <c r="G600" s="49"/>
      <c r="H600" s="44" t="s">
        <v>19</v>
      </c>
      <c r="I600" s="50" t="s">
        <v>14</v>
      </c>
      <c r="J600" s="50"/>
      <c r="K600" s="47" t="s">
        <v>8</v>
      </c>
      <c r="L600" s="48">
        <v>2884210.46</v>
      </c>
    </row>
    <row r="601" spans="1:12" ht="81.599999999999994" hidden="1" x14ac:dyDescent="0.3">
      <c r="A601" s="42" t="s">
        <v>698</v>
      </c>
      <c r="B601" s="43" t="s">
        <v>709</v>
      </c>
      <c r="C601" s="43" t="s">
        <v>710</v>
      </c>
      <c r="D601" s="43" t="s">
        <v>711</v>
      </c>
      <c r="E601" s="44" t="s">
        <v>13</v>
      </c>
      <c r="F601" s="49">
        <v>60043.65</v>
      </c>
      <c r="G601" s="49"/>
      <c r="H601" s="44" t="s">
        <v>19</v>
      </c>
      <c r="I601" s="50" t="s">
        <v>14</v>
      </c>
      <c r="J601" s="50"/>
      <c r="K601" s="47" t="s">
        <v>8</v>
      </c>
      <c r="L601" s="48">
        <v>2944254.11</v>
      </c>
    </row>
    <row r="602" spans="1:12" ht="81.599999999999994" hidden="1" x14ac:dyDescent="0.3">
      <c r="A602" s="42" t="s">
        <v>698</v>
      </c>
      <c r="B602" s="43" t="s">
        <v>712</v>
      </c>
      <c r="C602" s="43" t="s">
        <v>713</v>
      </c>
      <c r="D602" s="43" t="s">
        <v>323</v>
      </c>
      <c r="E602" s="44" t="s">
        <v>13</v>
      </c>
      <c r="F602" s="49">
        <v>18314.66</v>
      </c>
      <c r="G602" s="49"/>
      <c r="H602" s="44" t="s">
        <v>19</v>
      </c>
      <c r="I602" s="50" t="s">
        <v>14</v>
      </c>
      <c r="J602" s="50"/>
      <c r="K602" s="47" t="s">
        <v>8</v>
      </c>
      <c r="L602" s="48">
        <v>2962568.77</v>
      </c>
    </row>
    <row r="603" spans="1:12" ht="81.599999999999994" hidden="1" x14ac:dyDescent="0.3">
      <c r="A603" s="42" t="s">
        <v>698</v>
      </c>
      <c r="B603" s="43" t="s">
        <v>712</v>
      </c>
      <c r="C603" s="43" t="s">
        <v>714</v>
      </c>
      <c r="D603" s="43" t="s">
        <v>323</v>
      </c>
      <c r="E603" s="44" t="s">
        <v>13</v>
      </c>
      <c r="F603" s="49">
        <v>88748.3</v>
      </c>
      <c r="G603" s="49"/>
      <c r="H603" s="44" t="s">
        <v>19</v>
      </c>
      <c r="I603" s="50" t="s">
        <v>14</v>
      </c>
      <c r="J603" s="50"/>
      <c r="K603" s="47" t="s">
        <v>8</v>
      </c>
      <c r="L603" s="48">
        <v>3051317.07</v>
      </c>
    </row>
    <row r="604" spans="1:12" ht="81.599999999999994" hidden="1" x14ac:dyDescent="0.3">
      <c r="A604" s="42" t="s">
        <v>698</v>
      </c>
      <c r="B604" s="43" t="s">
        <v>715</v>
      </c>
      <c r="C604" s="43" t="s">
        <v>716</v>
      </c>
      <c r="D604" s="43" t="s">
        <v>300</v>
      </c>
      <c r="E604" s="44" t="s">
        <v>13</v>
      </c>
      <c r="F604" s="52">
        <v>625</v>
      </c>
      <c r="G604" s="52"/>
      <c r="H604" s="44" t="s">
        <v>19</v>
      </c>
      <c r="I604" s="50" t="s">
        <v>14</v>
      </c>
      <c r="J604" s="50"/>
      <c r="K604" s="47" t="s">
        <v>8</v>
      </c>
      <c r="L604" s="48">
        <v>3051942.07</v>
      </c>
    </row>
    <row r="605" spans="1:12" ht="81.599999999999994" hidden="1" x14ac:dyDescent="0.3">
      <c r="A605" s="42" t="s">
        <v>698</v>
      </c>
      <c r="B605" s="43" t="s">
        <v>715</v>
      </c>
      <c r="C605" s="43" t="s">
        <v>717</v>
      </c>
      <c r="D605" s="43" t="s">
        <v>300</v>
      </c>
      <c r="E605" s="44" t="s">
        <v>13</v>
      </c>
      <c r="F605" s="49">
        <v>42610</v>
      </c>
      <c r="G605" s="49"/>
      <c r="H605" s="44" t="s">
        <v>19</v>
      </c>
      <c r="I605" s="50" t="s">
        <v>14</v>
      </c>
      <c r="J605" s="50"/>
      <c r="K605" s="47" t="s">
        <v>8</v>
      </c>
      <c r="L605" s="48">
        <v>3094552.07</v>
      </c>
    </row>
    <row r="606" spans="1:12" ht="81.599999999999994" hidden="1" x14ac:dyDescent="0.3">
      <c r="A606" s="42" t="s">
        <v>698</v>
      </c>
      <c r="B606" s="43" t="s">
        <v>715</v>
      </c>
      <c r="C606" s="43" t="s">
        <v>718</v>
      </c>
      <c r="D606" s="43" t="s">
        <v>300</v>
      </c>
      <c r="E606" s="44" t="s">
        <v>13</v>
      </c>
      <c r="F606" s="52">
        <v>738</v>
      </c>
      <c r="G606" s="52"/>
      <c r="H606" s="44" t="s">
        <v>19</v>
      </c>
      <c r="I606" s="50" t="s">
        <v>14</v>
      </c>
      <c r="J606" s="50"/>
      <c r="K606" s="47" t="s">
        <v>8</v>
      </c>
      <c r="L606" s="48">
        <v>3095290.07</v>
      </c>
    </row>
    <row r="607" spans="1:12" ht="81.599999999999994" hidden="1" x14ac:dyDescent="0.3">
      <c r="A607" s="42" t="s">
        <v>698</v>
      </c>
      <c r="B607" s="43" t="s">
        <v>715</v>
      </c>
      <c r="C607" s="43" t="s">
        <v>719</v>
      </c>
      <c r="D607" s="43" t="s">
        <v>300</v>
      </c>
      <c r="E607" s="44" t="s">
        <v>13</v>
      </c>
      <c r="F607" s="49">
        <v>2294</v>
      </c>
      <c r="G607" s="49"/>
      <c r="H607" s="44" t="s">
        <v>19</v>
      </c>
      <c r="I607" s="50" t="s">
        <v>14</v>
      </c>
      <c r="J607" s="50"/>
      <c r="K607" s="47" t="s">
        <v>8</v>
      </c>
      <c r="L607" s="48">
        <v>3097584.07</v>
      </c>
    </row>
    <row r="608" spans="1:12" ht="81.599999999999994" hidden="1" x14ac:dyDescent="0.3">
      <c r="A608" s="42" t="s">
        <v>698</v>
      </c>
      <c r="B608" s="43" t="s">
        <v>715</v>
      </c>
      <c r="C608" s="43" t="s">
        <v>720</v>
      </c>
      <c r="D608" s="43" t="s">
        <v>300</v>
      </c>
      <c r="E608" s="44" t="s">
        <v>13</v>
      </c>
      <c r="F608" s="49">
        <v>74803</v>
      </c>
      <c r="G608" s="49"/>
      <c r="H608" s="44" t="s">
        <v>19</v>
      </c>
      <c r="I608" s="50" t="s">
        <v>14</v>
      </c>
      <c r="J608" s="50"/>
      <c r="K608" s="47" t="s">
        <v>8</v>
      </c>
      <c r="L608" s="48">
        <v>3172387.07</v>
      </c>
    </row>
    <row r="609" spans="1:12" ht="91.8" hidden="1" x14ac:dyDescent="0.3">
      <c r="A609" s="42" t="s">
        <v>698</v>
      </c>
      <c r="B609" s="43" t="s">
        <v>715</v>
      </c>
      <c r="C609" s="43" t="s">
        <v>721</v>
      </c>
      <c r="D609" s="43" t="s">
        <v>300</v>
      </c>
      <c r="E609" s="44" t="s">
        <v>13</v>
      </c>
      <c r="F609" s="49">
        <v>4604</v>
      </c>
      <c r="G609" s="49"/>
      <c r="H609" s="44" t="s">
        <v>19</v>
      </c>
      <c r="I609" s="50" t="s">
        <v>14</v>
      </c>
      <c r="J609" s="50"/>
      <c r="K609" s="47" t="s">
        <v>8</v>
      </c>
      <c r="L609" s="48">
        <v>3176991.07</v>
      </c>
    </row>
    <row r="610" spans="1:12" ht="81.599999999999994" hidden="1" x14ac:dyDescent="0.3">
      <c r="A610" s="42" t="s">
        <v>698</v>
      </c>
      <c r="B610" s="43" t="s">
        <v>715</v>
      </c>
      <c r="C610" s="43" t="s">
        <v>722</v>
      </c>
      <c r="D610" s="43" t="s">
        <v>300</v>
      </c>
      <c r="E610" s="44" t="s">
        <v>13</v>
      </c>
      <c r="F610" s="49">
        <v>33579</v>
      </c>
      <c r="G610" s="49"/>
      <c r="H610" s="44" t="s">
        <v>19</v>
      </c>
      <c r="I610" s="50" t="s">
        <v>14</v>
      </c>
      <c r="J610" s="50"/>
      <c r="K610" s="47" t="s">
        <v>8</v>
      </c>
      <c r="L610" s="48">
        <v>3210570.07</v>
      </c>
    </row>
    <row r="611" spans="1:12" ht="81.599999999999994" hidden="1" x14ac:dyDescent="0.3">
      <c r="A611" s="42" t="s">
        <v>698</v>
      </c>
      <c r="B611" s="43" t="s">
        <v>715</v>
      </c>
      <c r="C611" s="43" t="s">
        <v>723</v>
      </c>
      <c r="D611" s="43" t="s">
        <v>300</v>
      </c>
      <c r="E611" s="44" t="s">
        <v>13</v>
      </c>
      <c r="F611" s="49">
        <v>12452</v>
      </c>
      <c r="G611" s="49"/>
      <c r="H611" s="44" t="s">
        <v>19</v>
      </c>
      <c r="I611" s="50" t="s">
        <v>14</v>
      </c>
      <c r="J611" s="50"/>
      <c r="K611" s="47" t="s">
        <v>8</v>
      </c>
      <c r="L611" s="48">
        <v>3223022.07</v>
      </c>
    </row>
    <row r="612" spans="1:12" ht="81.599999999999994" hidden="1" x14ac:dyDescent="0.3">
      <c r="A612" s="42" t="s">
        <v>698</v>
      </c>
      <c r="B612" s="43" t="s">
        <v>715</v>
      </c>
      <c r="C612" s="43" t="s">
        <v>724</v>
      </c>
      <c r="D612" s="43" t="s">
        <v>300</v>
      </c>
      <c r="E612" s="44" t="s">
        <v>13</v>
      </c>
      <c r="F612" s="49">
        <v>28079</v>
      </c>
      <c r="G612" s="49"/>
      <c r="H612" s="44" t="s">
        <v>19</v>
      </c>
      <c r="I612" s="50" t="s">
        <v>14</v>
      </c>
      <c r="J612" s="50"/>
      <c r="K612" s="47" t="s">
        <v>8</v>
      </c>
      <c r="L612" s="48">
        <v>3251101.07</v>
      </c>
    </row>
    <row r="613" spans="1:12" ht="81.599999999999994" hidden="1" x14ac:dyDescent="0.3">
      <c r="A613" s="42" t="s">
        <v>698</v>
      </c>
      <c r="B613" s="43" t="s">
        <v>715</v>
      </c>
      <c r="C613" s="43" t="s">
        <v>725</v>
      </c>
      <c r="D613" s="43" t="s">
        <v>300</v>
      </c>
      <c r="E613" s="44" t="s">
        <v>13</v>
      </c>
      <c r="F613" s="49">
        <v>2954</v>
      </c>
      <c r="G613" s="49"/>
      <c r="H613" s="44" t="s">
        <v>19</v>
      </c>
      <c r="I613" s="50" t="s">
        <v>14</v>
      </c>
      <c r="J613" s="50"/>
      <c r="K613" s="47" t="s">
        <v>8</v>
      </c>
      <c r="L613" s="48">
        <v>3254055.07</v>
      </c>
    </row>
    <row r="614" spans="1:12" ht="81.599999999999994" hidden="1" x14ac:dyDescent="0.3">
      <c r="A614" s="42" t="s">
        <v>698</v>
      </c>
      <c r="B614" s="43" t="s">
        <v>715</v>
      </c>
      <c r="C614" s="43" t="s">
        <v>726</v>
      </c>
      <c r="D614" s="43" t="s">
        <v>300</v>
      </c>
      <c r="E614" s="44" t="s">
        <v>13</v>
      </c>
      <c r="F614" s="49">
        <v>1838</v>
      </c>
      <c r="G614" s="49"/>
      <c r="H614" s="44" t="s">
        <v>19</v>
      </c>
      <c r="I614" s="50" t="s">
        <v>14</v>
      </c>
      <c r="J614" s="50"/>
      <c r="K614" s="47" t="s">
        <v>8</v>
      </c>
      <c r="L614" s="48">
        <v>3255893.07</v>
      </c>
    </row>
    <row r="615" spans="1:12" ht="81.599999999999994" hidden="1" x14ac:dyDescent="0.3">
      <c r="A615" s="42" t="s">
        <v>698</v>
      </c>
      <c r="B615" s="43" t="s">
        <v>715</v>
      </c>
      <c r="C615" s="43" t="s">
        <v>727</v>
      </c>
      <c r="D615" s="43" t="s">
        <v>300</v>
      </c>
      <c r="E615" s="44" t="s">
        <v>13</v>
      </c>
      <c r="F615" s="49">
        <v>5040</v>
      </c>
      <c r="G615" s="49"/>
      <c r="H615" s="44" t="s">
        <v>19</v>
      </c>
      <c r="I615" s="50" t="s">
        <v>14</v>
      </c>
      <c r="J615" s="50"/>
      <c r="K615" s="47" t="s">
        <v>8</v>
      </c>
      <c r="L615" s="48">
        <v>3260933.07</v>
      </c>
    </row>
    <row r="616" spans="1:12" ht="91.8" hidden="1" x14ac:dyDescent="0.3">
      <c r="A616" s="42" t="s">
        <v>698</v>
      </c>
      <c r="B616" s="43" t="s">
        <v>715</v>
      </c>
      <c r="C616" s="43" t="s">
        <v>728</v>
      </c>
      <c r="D616" s="43" t="s">
        <v>300</v>
      </c>
      <c r="E616" s="44" t="s">
        <v>13</v>
      </c>
      <c r="F616" s="49">
        <v>35856</v>
      </c>
      <c r="G616" s="49"/>
      <c r="H616" s="44" t="s">
        <v>19</v>
      </c>
      <c r="I616" s="50" t="s">
        <v>14</v>
      </c>
      <c r="J616" s="50"/>
      <c r="K616" s="47" t="s">
        <v>8</v>
      </c>
      <c r="L616" s="48">
        <v>3296789.07</v>
      </c>
    </row>
    <row r="617" spans="1:12" ht="91.8" hidden="1" x14ac:dyDescent="0.3">
      <c r="A617" s="42" t="s">
        <v>698</v>
      </c>
      <c r="B617" s="43" t="s">
        <v>715</v>
      </c>
      <c r="C617" s="43" t="s">
        <v>729</v>
      </c>
      <c r="D617" s="43" t="s">
        <v>300</v>
      </c>
      <c r="E617" s="44" t="s">
        <v>13</v>
      </c>
      <c r="F617" s="49">
        <v>108498</v>
      </c>
      <c r="G617" s="49"/>
      <c r="H617" s="44" t="s">
        <v>19</v>
      </c>
      <c r="I617" s="50" t="s">
        <v>14</v>
      </c>
      <c r="J617" s="50"/>
      <c r="K617" s="47" t="s">
        <v>8</v>
      </c>
      <c r="L617" s="48">
        <v>3405287.07</v>
      </c>
    </row>
    <row r="618" spans="1:12" ht="91.8" hidden="1" x14ac:dyDescent="0.3">
      <c r="A618" s="42" t="s">
        <v>698</v>
      </c>
      <c r="B618" s="43" t="s">
        <v>715</v>
      </c>
      <c r="C618" s="43" t="s">
        <v>730</v>
      </c>
      <c r="D618" s="43" t="s">
        <v>300</v>
      </c>
      <c r="E618" s="44" t="s">
        <v>13</v>
      </c>
      <c r="F618" s="49">
        <v>1116732</v>
      </c>
      <c r="G618" s="49"/>
      <c r="H618" s="44" t="s">
        <v>19</v>
      </c>
      <c r="I618" s="50" t="s">
        <v>14</v>
      </c>
      <c r="J618" s="50"/>
      <c r="K618" s="47" t="s">
        <v>8</v>
      </c>
      <c r="L618" s="48">
        <v>4522019.07</v>
      </c>
    </row>
    <row r="619" spans="1:12" ht="91.8" hidden="1" x14ac:dyDescent="0.3">
      <c r="A619" s="42" t="s">
        <v>698</v>
      </c>
      <c r="B619" s="43" t="s">
        <v>715</v>
      </c>
      <c r="C619" s="43" t="s">
        <v>731</v>
      </c>
      <c r="D619" s="43" t="s">
        <v>300</v>
      </c>
      <c r="E619" s="44" t="s">
        <v>13</v>
      </c>
      <c r="F619" s="49">
        <v>80011</v>
      </c>
      <c r="G619" s="49"/>
      <c r="H619" s="44" t="s">
        <v>19</v>
      </c>
      <c r="I619" s="50" t="s">
        <v>14</v>
      </c>
      <c r="J619" s="50"/>
      <c r="K619" s="47" t="s">
        <v>8</v>
      </c>
      <c r="L619" s="48">
        <v>4602030.07</v>
      </c>
    </row>
    <row r="620" spans="1:12" ht="91.8" hidden="1" x14ac:dyDescent="0.3">
      <c r="A620" s="42" t="s">
        <v>698</v>
      </c>
      <c r="B620" s="43" t="s">
        <v>715</v>
      </c>
      <c r="C620" s="43" t="s">
        <v>732</v>
      </c>
      <c r="D620" s="43" t="s">
        <v>300</v>
      </c>
      <c r="E620" s="44" t="s">
        <v>13</v>
      </c>
      <c r="F620" s="49">
        <v>111079</v>
      </c>
      <c r="G620" s="49"/>
      <c r="H620" s="44" t="s">
        <v>19</v>
      </c>
      <c r="I620" s="50" t="s">
        <v>14</v>
      </c>
      <c r="J620" s="50"/>
      <c r="K620" s="47" t="s">
        <v>8</v>
      </c>
      <c r="L620" s="48">
        <v>4713109.07</v>
      </c>
    </row>
    <row r="621" spans="1:12" ht="91.8" hidden="1" x14ac:dyDescent="0.3">
      <c r="A621" s="42" t="s">
        <v>698</v>
      </c>
      <c r="B621" s="43" t="s">
        <v>715</v>
      </c>
      <c r="C621" s="43" t="s">
        <v>733</v>
      </c>
      <c r="D621" s="43" t="s">
        <v>300</v>
      </c>
      <c r="E621" s="44" t="s">
        <v>13</v>
      </c>
      <c r="F621" s="49">
        <v>2938</v>
      </c>
      <c r="G621" s="49"/>
      <c r="H621" s="44" t="s">
        <v>19</v>
      </c>
      <c r="I621" s="50" t="s">
        <v>14</v>
      </c>
      <c r="J621" s="50"/>
      <c r="K621" s="47" t="s">
        <v>8</v>
      </c>
      <c r="L621" s="48">
        <v>4716047.07</v>
      </c>
    </row>
    <row r="622" spans="1:12" ht="91.8" hidden="1" x14ac:dyDescent="0.3">
      <c r="A622" s="42" t="s">
        <v>698</v>
      </c>
      <c r="B622" s="43" t="s">
        <v>715</v>
      </c>
      <c r="C622" s="43" t="s">
        <v>734</v>
      </c>
      <c r="D622" s="43" t="s">
        <v>300</v>
      </c>
      <c r="E622" s="44" t="s">
        <v>13</v>
      </c>
      <c r="F622" s="49">
        <v>33792</v>
      </c>
      <c r="G622" s="49"/>
      <c r="H622" s="44" t="s">
        <v>19</v>
      </c>
      <c r="I622" s="50" t="s">
        <v>14</v>
      </c>
      <c r="J622" s="50"/>
      <c r="K622" s="47" t="s">
        <v>8</v>
      </c>
      <c r="L622" s="48">
        <v>4749839.07</v>
      </c>
    </row>
    <row r="623" spans="1:12" ht="91.8" hidden="1" x14ac:dyDescent="0.3">
      <c r="A623" s="42" t="s">
        <v>698</v>
      </c>
      <c r="B623" s="43" t="s">
        <v>715</v>
      </c>
      <c r="C623" s="43" t="s">
        <v>735</v>
      </c>
      <c r="D623" s="43" t="s">
        <v>300</v>
      </c>
      <c r="E623" s="44" t="s">
        <v>13</v>
      </c>
      <c r="F623" s="49">
        <v>214038</v>
      </c>
      <c r="G623" s="49"/>
      <c r="H623" s="44" t="s">
        <v>19</v>
      </c>
      <c r="I623" s="50" t="s">
        <v>14</v>
      </c>
      <c r="J623" s="50"/>
      <c r="K623" s="47" t="s">
        <v>8</v>
      </c>
      <c r="L623" s="48">
        <v>4963877.07</v>
      </c>
    </row>
    <row r="624" spans="1:12" ht="91.8" hidden="1" x14ac:dyDescent="0.3">
      <c r="A624" s="42" t="s">
        <v>698</v>
      </c>
      <c r="B624" s="43" t="s">
        <v>715</v>
      </c>
      <c r="C624" s="43" t="s">
        <v>736</v>
      </c>
      <c r="D624" s="43" t="s">
        <v>300</v>
      </c>
      <c r="E624" s="44" t="s">
        <v>13</v>
      </c>
      <c r="F624" s="49">
        <v>25092</v>
      </c>
      <c r="G624" s="49"/>
      <c r="H624" s="44" t="s">
        <v>19</v>
      </c>
      <c r="I624" s="50" t="s">
        <v>14</v>
      </c>
      <c r="J624" s="50"/>
      <c r="K624" s="47" t="s">
        <v>8</v>
      </c>
      <c r="L624" s="48">
        <v>4988969.07</v>
      </c>
    </row>
    <row r="625" spans="1:12" ht="91.8" hidden="1" x14ac:dyDescent="0.3">
      <c r="A625" s="42" t="s">
        <v>698</v>
      </c>
      <c r="B625" s="43" t="s">
        <v>715</v>
      </c>
      <c r="C625" s="43" t="s">
        <v>737</v>
      </c>
      <c r="D625" s="43" t="s">
        <v>300</v>
      </c>
      <c r="E625" s="44" t="s">
        <v>13</v>
      </c>
      <c r="F625" s="49">
        <v>37818</v>
      </c>
      <c r="G625" s="49"/>
      <c r="H625" s="44" t="s">
        <v>19</v>
      </c>
      <c r="I625" s="50" t="s">
        <v>14</v>
      </c>
      <c r="J625" s="50"/>
      <c r="K625" s="47" t="s">
        <v>8</v>
      </c>
      <c r="L625" s="48">
        <v>5026787.07</v>
      </c>
    </row>
    <row r="626" spans="1:12" ht="91.8" hidden="1" x14ac:dyDescent="0.3">
      <c r="A626" s="42" t="s">
        <v>698</v>
      </c>
      <c r="B626" s="43" t="s">
        <v>715</v>
      </c>
      <c r="C626" s="43" t="s">
        <v>738</v>
      </c>
      <c r="D626" s="43" t="s">
        <v>300</v>
      </c>
      <c r="E626" s="44" t="s">
        <v>13</v>
      </c>
      <c r="F626" s="49">
        <v>20712</v>
      </c>
      <c r="G626" s="49"/>
      <c r="H626" s="44" t="s">
        <v>19</v>
      </c>
      <c r="I626" s="50" t="s">
        <v>14</v>
      </c>
      <c r="J626" s="50"/>
      <c r="K626" s="47" t="s">
        <v>8</v>
      </c>
      <c r="L626" s="48">
        <v>5047499.07</v>
      </c>
    </row>
    <row r="627" spans="1:12" ht="91.8" hidden="1" x14ac:dyDescent="0.3">
      <c r="A627" s="42" t="s">
        <v>698</v>
      </c>
      <c r="B627" s="43" t="s">
        <v>715</v>
      </c>
      <c r="C627" s="43" t="s">
        <v>739</v>
      </c>
      <c r="D627" s="43" t="s">
        <v>300</v>
      </c>
      <c r="E627" s="44" t="s">
        <v>13</v>
      </c>
      <c r="F627" s="49">
        <v>256960</v>
      </c>
      <c r="G627" s="49"/>
      <c r="H627" s="44" t="s">
        <v>19</v>
      </c>
      <c r="I627" s="50" t="s">
        <v>14</v>
      </c>
      <c r="J627" s="50"/>
      <c r="K627" s="47" t="s">
        <v>8</v>
      </c>
      <c r="L627" s="48">
        <v>5304459.07</v>
      </c>
    </row>
    <row r="628" spans="1:12" ht="91.8" hidden="1" x14ac:dyDescent="0.3">
      <c r="A628" s="42" t="s">
        <v>698</v>
      </c>
      <c r="B628" s="43" t="s">
        <v>715</v>
      </c>
      <c r="C628" s="43" t="s">
        <v>740</v>
      </c>
      <c r="D628" s="43" t="s">
        <v>300</v>
      </c>
      <c r="E628" s="44" t="s">
        <v>13</v>
      </c>
      <c r="F628" s="49">
        <v>4902</v>
      </c>
      <c r="G628" s="49"/>
      <c r="H628" s="44" t="s">
        <v>19</v>
      </c>
      <c r="I628" s="50" t="s">
        <v>14</v>
      </c>
      <c r="J628" s="50"/>
      <c r="K628" s="47" t="s">
        <v>8</v>
      </c>
      <c r="L628" s="48">
        <v>5309361.07</v>
      </c>
    </row>
    <row r="629" spans="1:12" ht="81.599999999999994" hidden="1" x14ac:dyDescent="0.3">
      <c r="A629" s="42" t="s">
        <v>698</v>
      </c>
      <c r="B629" s="43" t="s">
        <v>715</v>
      </c>
      <c r="C629" s="43" t="s">
        <v>741</v>
      </c>
      <c r="D629" s="43" t="s">
        <v>300</v>
      </c>
      <c r="E629" s="44" t="s">
        <v>13</v>
      </c>
      <c r="F629" s="49">
        <v>76527</v>
      </c>
      <c r="G629" s="49"/>
      <c r="H629" s="44" t="s">
        <v>19</v>
      </c>
      <c r="I629" s="50" t="s">
        <v>14</v>
      </c>
      <c r="J629" s="50"/>
      <c r="K629" s="47" t="s">
        <v>8</v>
      </c>
      <c r="L629" s="48">
        <v>5385888.0700000003</v>
      </c>
    </row>
    <row r="630" spans="1:12" ht="81.599999999999994" hidden="1" x14ac:dyDescent="0.3">
      <c r="A630" s="42" t="s">
        <v>698</v>
      </c>
      <c r="B630" s="43" t="s">
        <v>715</v>
      </c>
      <c r="C630" s="43" t="s">
        <v>742</v>
      </c>
      <c r="D630" s="43" t="s">
        <v>300</v>
      </c>
      <c r="E630" s="44" t="s">
        <v>13</v>
      </c>
      <c r="F630" s="49">
        <v>39838</v>
      </c>
      <c r="G630" s="49"/>
      <c r="H630" s="44" t="s">
        <v>19</v>
      </c>
      <c r="I630" s="50" t="s">
        <v>14</v>
      </c>
      <c r="J630" s="50"/>
      <c r="K630" s="47" t="s">
        <v>8</v>
      </c>
      <c r="L630" s="48">
        <v>5425726.0700000003</v>
      </c>
    </row>
    <row r="631" spans="1:12" ht="81.599999999999994" hidden="1" x14ac:dyDescent="0.3">
      <c r="A631" s="42" t="s">
        <v>698</v>
      </c>
      <c r="B631" s="43" t="s">
        <v>715</v>
      </c>
      <c r="C631" s="43" t="s">
        <v>743</v>
      </c>
      <c r="D631" s="43" t="s">
        <v>300</v>
      </c>
      <c r="E631" s="44" t="s">
        <v>13</v>
      </c>
      <c r="F631" s="49">
        <v>418293</v>
      </c>
      <c r="G631" s="49"/>
      <c r="H631" s="44" t="s">
        <v>19</v>
      </c>
      <c r="I631" s="50" t="s">
        <v>14</v>
      </c>
      <c r="J631" s="50"/>
      <c r="K631" s="47" t="s">
        <v>8</v>
      </c>
      <c r="L631" s="48">
        <v>5844019.0700000003</v>
      </c>
    </row>
    <row r="632" spans="1:12" ht="91.8" hidden="1" x14ac:dyDescent="0.3">
      <c r="A632" s="42" t="s">
        <v>698</v>
      </c>
      <c r="B632" s="43" t="s">
        <v>715</v>
      </c>
      <c r="C632" s="43" t="s">
        <v>744</v>
      </c>
      <c r="D632" s="43" t="s">
        <v>300</v>
      </c>
      <c r="E632" s="44" t="s">
        <v>13</v>
      </c>
      <c r="F632" s="49">
        <v>5216</v>
      </c>
      <c r="G632" s="49"/>
      <c r="H632" s="44" t="s">
        <v>19</v>
      </c>
      <c r="I632" s="50" t="s">
        <v>14</v>
      </c>
      <c r="J632" s="50"/>
      <c r="K632" s="47" t="s">
        <v>8</v>
      </c>
      <c r="L632" s="48">
        <v>5849235.0700000003</v>
      </c>
    </row>
    <row r="633" spans="1:12" ht="91.8" hidden="1" x14ac:dyDescent="0.3">
      <c r="A633" s="42" t="s">
        <v>698</v>
      </c>
      <c r="B633" s="43" t="s">
        <v>715</v>
      </c>
      <c r="C633" s="43" t="s">
        <v>745</v>
      </c>
      <c r="D633" s="43" t="s">
        <v>300</v>
      </c>
      <c r="E633" s="44" t="s">
        <v>13</v>
      </c>
      <c r="F633" s="49">
        <v>2608</v>
      </c>
      <c r="G633" s="49"/>
      <c r="H633" s="44" t="s">
        <v>19</v>
      </c>
      <c r="I633" s="50" t="s">
        <v>14</v>
      </c>
      <c r="J633" s="50"/>
      <c r="K633" s="47" t="s">
        <v>8</v>
      </c>
      <c r="L633" s="48">
        <v>5851843.0700000003</v>
      </c>
    </row>
    <row r="634" spans="1:12" ht="91.8" hidden="1" x14ac:dyDescent="0.3">
      <c r="A634" s="42" t="s">
        <v>698</v>
      </c>
      <c r="B634" s="43" t="s">
        <v>715</v>
      </c>
      <c r="C634" s="43" t="s">
        <v>746</v>
      </c>
      <c r="D634" s="43" t="s">
        <v>300</v>
      </c>
      <c r="E634" s="44" t="s">
        <v>13</v>
      </c>
      <c r="F634" s="49">
        <v>16261</v>
      </c>
      <c r="G634" s="49"/>
      <c r="H634" s="44" t="s">
        <v>19</v>
      </c>
      <c r="I634" s="50" t="s">
        <v>14</v>
      </c>
      <c r="J634" s="50"/>
      <c r="K634" s="47" t="s">
        <v>8</v>
      </c>
      <c r="L634" s="48">
        <v>5868104.0700000003</v>
      </c>
    </row>
    <row r="635" spans="1:12" ht="91.8" hidden="1" x14ac:dyDescent="0.3">
      <c r="A635" s="42" t="s">
        <v>698</v>
      </c>
      <c r="B635" s="43" t="s">
        <v>715</v>
      </c>
      <c r="C635" s="43" t="s">
        <v>747</v>
      </c>
      <c r="D635" s="43" t="s">
        <v>300</v>
      </c>
      <c r="E635" s="44" t="s">
        <v>13</v>
      </c>
      <c r="F635" s="49">
        <v>18584</v>
      </c>
      <c r="G635" s="49"/>
      <c r="H635" s="44" t="s">
        <v>19</v>
      </c>
      <c r="I635" s="50" t="s">
        <v>14</v>
      </c>
      <c r="J635" s="50"/>
      <c r="K635" s="47" t="s">
        <v>8</v>
      </c>
      <c r="L635" s="48">
        <v>5886688.0700000003</v>
      </c>
    </row>
    <row r="636" spans="1:12" ht="91.8" hidden="1" x14ac:dyDescent="0.3">
      <c r="A636" s="42" t="s">
        <v>698</v>
      </c>
      <c r="B636" s="43" t="s">
        <v>715</v>
      </c>
      <c r="C636" s="43" t="s">
        <v>748</v>
      </c>
      <c r="D636" s="43" t="s">
        <v>300</v>
      </c>
      <c r="E636" s="44" t="s">
        <v>13</v>
      </c>
      <c r="F636" s="49">
        <v>5676</v>
      </c>
      <c r="G636" s="49"/>
      <c r="H636" s="44" t="s">
        <v>19</v>
      </c>
      <c r="I636" s="50" t="s">
        <v>14</v>
      </c>
      <c r="J636" s="50"/>
      <c r="K636" s="47" t="s">
        <v>8</v>
      </c>
      <c r="L636" s="48">
        <v>5892364.0700000003</v>
      </c>
    </row>
    <row r="637" spans="1:12" ht="91.8" hidden="1" x14ac:dyDescent="0.3">
      <c r="A637" s="42" t="s">
        <v>698</v>
      </c>
      <c r="B637" s="43" t="s">
        <v>715</v>
      </c>
      <c r="C637" s="43" t="s">
        <v>749</v>
      </c>
      <c r="D637" s="43" t="s">
        <v>300</v>
      </c>
      <c r="E637" s="44" t="s">
        <v>13</v>
      </c>
      <c r="F637" s="49">
        <v>18584</v>
      </c>
      <c r="G637" s="49"/>
      <c r="H637" s="44" t="s">
        <v>19</v>
      </c>
      <c r="I637" s="50" t="s">
        <v>14</v>
      </c>
      <c r="J637" s="50"/>
      <c r="K637" s="47" t="s">
        <v>8</v>
      </c>
      <c r="L637" s="48">
        <v>5910948.0700000003</v>
      </c>
    </row>
    <row r="638" spans="1:12" ht="91.8" hidden="1" x14ac:dyDescent="0.3">
      <c r="A638" s="42" t="s">
        <v>698</v>
      </c>
      <c r="B638" s="43" t="s">
        <v>715</v>
      </c>
      <c r="C638" s="43" t="s">
        <v>750</v>
      </c>
      <c r="D638" s="43" t="s">
        <v>300</v>
      </c>
      <c r="E638" s="44" t="s">
        <v>13</v>
      </c>
      <c r="F638" s="49">
        <v>13938</v>
      </c>
      <c r="G638" s="49"/>
      <c r="H638" s="44" t="s">
        <v>19</v>
      </c>
      <c r="I638" s="50" t="s">
        <v>14</v>
      </c>
      <c r="J638" s="50"/>
      <c r="K638" s="47" t="s">
        <v>8</v>
      </c>
      <c r="L638" s="48">
        <v>5924886.0700000003</v>
      </c>
    </row>
    <row r="639" spans="1:12" ht="91.8" hidden="1" x14ac:dyDescent="0.3">
      <c r="A639" s="42" t="s">
        <v>698</v>
      </c>
      <c r="B639" s="43" t="s">
        <v>715</v>
      </c>
      <c r="C639" s="43" t="s">
        <v>751</v>
      </c>
      <c r="D639" s="43" t="s">
        <v>300</v>
      </c>
      <c r="E639" s="44" t="s">
        <v>13</v>
      </c>
      <c r="F639" s="49">
        <v>6969</v>
      </c>
      <c r="G639" s="49"/>
      <c r="H639" s="44" t="s">
        <v>19</v>
      </c>
      <c r="I639" s="50" t="s">
        <v>14</v>
      </c>
      <c r="J639" s="50"/>
      <c r="K639" s="47" t="s">
        <v>8</v>
      </c>
      <c r="L639" s="48">
        <v>5931855.0700000003</v>
      </c>
    </row>
    <row r="640" spans="1:12" ht="91.8" hidden="1" x14ac:dyDescent="0.3">
      <c r="A640" s="42" t="s">
        <v>698</v>
      </c>
      <c r="B640" s="43" t="s">
        <v>715</v>
      </c>
      <c r="C640" s="43" t="s">
        <v>752</v>
      </c>
      <c r="D640" s="43" t="s">
        <v>300</v>
      </c>
      <c r="E640" s="44" t="s">
        <v>13</v>
      </c>
      <c r="F640" s="49">
        <v>2323</v>
      </c>
      <c r="G640" s="49"/>
      <c r="H640" s="44" t="s">
        <v>19</v>
      </c>
      <c r="I640" s="50" t="s">
        <v>14</v>
      </c>
      <c r="J640" s="50"/>
      <c r="K640" s="47" t="s">
        <v>8</v>
      </c>
      <c r="L640" s="48">
        <v>5934178.0700000003</v>
      </c>
    </row>
    <row r="641" spans="1:12" ht="91.8" hidden="1" x14ac:dyDescent="0.3">
      <c r="A641" s="42" t="s">
        <v>698</v>
      </c>
      <c r="B641" s="43" t="s">
        <v>715</v>
      </c>
      <c r="C641" s="43" t="s">
        <v>753</v>
      </c>
      <c r="D641" s="43" t="s">
        <v>300</v>
      </c>
      <c r="E641" s="44" t="s">
        <v>13</v>
      </c>
      <c r="F641" s="49">
        <v>234228</v>
      </c>
      <c r="G641" s="49"/>
      <c r="H641" s="44" t="s">
        <v>19</v>
      </c>
      <c r="I641" s="50" t="s">
        <v>14</v>
      </c>
      <c r="J641" s="50"/>
      <c r="K641" s="47" t="s">
        <v>8</v>
      </c>
      <c r="L641" s="48">
        <v>6168406.0700000003</v>
      </c>
    </row>
    <row r="642" spans="1:12" ht="91.8" hidden="1" x14ac:dyDescent="0.3">
      <c r="A642" s="42" t="s">
        <v>698</v>
      </c>
      <c r="B642" s="43" t="s">
        <v>715</v>
      </c>
      <c r="C642" s="43" t="s">
        <v>754</v>
      </c>
      <c r="D642" s="43" t="s">
        <v>300</v>
      </c>
      <c r="E642" s="44" t="s">
        <v>13</v>
      </c>
      <c r="F642" s="49">
        <v>1881</v>
      </c>
      <c r="G642" s="49"/>
      <c r="H642" s="44" t="s">
        <v>19</v>
      </c>
      <c r="I642" s="50" t="s">
        <v>14</v>
      </c>
      <c r="J642" s="50"/>
      <c r="K642" s="47" t="s">
        <v>8</v>
      </c>
      <c r="L642" s="48">
        <v>6170287.0700000003</v>
      </c>
    </row>
    <row r="643" spans="1:12" ht="91.8" hidden="1" x14ac:dyDescent="0.3">
      <c r="A643" s="42" t="s">
        <v>698</v>
      </c>
      <c r="B643" s="43" t="s">
        <v>715</v>
      </c>
      <c r="C643" s="43" t="s">
        <v>755</v>
      </c>
      <c r="D643" s="43" t="s">
        <v>300</v>
      </c>
      <c r="E643" s="44" t="s">
        <v>13</v>
      </c>
      <c r="F643" s="49">
        <v>3762</v>
      </c>
      <c r="G643" s="49"/>
      <c r="H643" s="44" t="s">
        <v>19</v>
      </c>
      <c r="I643" s="50" t="s">
        <v>14</v>
      </c>
      <c r="J643" s="50"/>
      <c r="K643" s="47" t="s">
        <v>8</v>
      </c>
      <c r="L643" s="48">
        <v>6174049.0700000003</v>
      </c>
    </row>
    <row r="644" spans="1:12" ht="91.8" hidden="1" x14ac:dyDescent="0.3">
      <c r="A644" s="42" t="s">
        <v>698</v>
      </c>
      <c r="B644" s="43" t="s">
        <v>715</v>
      </c>
      <c r="C644" s="43" t="s">
        <v>756</v>
      </c>
      <c r="D644" s="43" t="s">
        <v>300</v>
      </c>
      <c r="E644" s="44" t="s">
        <v>13</v>
      </c>
      <c r="F644" s="49">
        <v>18810</v>
      </c>
      <c r="G644" s="49"/>
      <c r="H644" s="44" t="s">
        <v>19</v>
      </c>
      <c r="I644" s="50" t="s">
        <v>14</v>
      </c>
      <c r="J644" s="50"/>
      <c r="K644" s="47" t="s">
        <v>8</v>
      </c>
      <c r="L644" s="48">
        <v>6192859.0700000003</v>
      </c>
    </row>
    <row r="645" spans="1:12" ht="91.8" hidden="1" x14ac:dyDescent="0.3">
      <c r="A645" s="42" t="s">
        <v>698</v>
      </c>
      <c r="B645" s="43" t="s">
        <v>715</v>
      </c>
      <c r="C645" s="43" t="s">
        <v>757</v>
      </c>
      <c r="D645" s="43" t="s">
        <v>300</v>
      </c>
      <c r="E645" s="44" t="s">
        <v>13</v>
      </c>
      <c r="F645" s="49">
        <v>1881</v>
      </c>
      <c r="G645" s="49"/>
      <c r="H645" s="44" t="s">
        <v>19</v>
      </c>
      <c r="I645" s="50" t="s">
        <v>14</v>
      </c>
      <c r="J645" s="50"/>
      <c r="K645" s="47" t="s">
        <v>8</v>
      </c>
      <c r="L645" s="48">
        <v>6194740.0700000003</v>
      </c>
    </row>
    <row r="646" spans="1:12" ht="91.8" hidden="1" x14ac:dyDescent="0.3">
      <c r="A646" s="42" t="s">
        <v>698</v>
      </c>
      <c r="B646" s="43" t="s">
        <v>715</v>
      </c>
      <c r="C646" s="43" t="s">
        <v>758</v>
      </c>
      <c r="D646" s="43" t="s">
        <v>300</v>
      </c>
      <c r="E646" s="44" t="s">
        <v>13</v>
      </c>
      <c r="F646" s="49">
        <v>15048</v>
      </c>
      <c r="G646" s="49"/>
      <c r="H646" s="44" t="s">
        <v>19</v>
      </c>
      <c r="I646" s="50" t="s">
        <v>14</v>
      </c>
      <c r="J646" s="50"/>
      <c r="K646" s="47" t="s">
        <v>8</v>
      </c>
      <c r="L646" s="48">
        <v>6209788.0700000003</v>
      </c>
    </row>
    <row r="647" spans="1:12" ht="91.8" hidden="1" x14ac:dyDescent="0.3">
      <c r="A647" s="42" t="s">
        <v>698</v>
      </c>
      <c r="B647" s="43" t="s">
        <v>715</v>
      </c>
      <c r="C647" s="43" t="s">
        <v>759</v>
      </c>
      <c r="D647" s="43" t="s">
        <v>300</v>
      </c>
      <c r="E647" s="44" t="s">
        <v>13</v>
      </c>
      <c r="F647" s="49">
        <v>3762</v>
      </c>
      <c r="G647" s="49"/>
      <c r="H647" s="44" t="s">
        <v>19</v>
      </c>
      <c r="I647" s="50" t="s">
        <v>14</v>
      </c>
      <c r="J647" s="50"/>
      <c r="K647" s="47" t="s">
        <v>8</v>
      </c>
      <c r="L647" s="48">
        <v>6213550.0700000003</v>
      </c>
    </row>
    <row r="648" spans="1:12" ht="91.8" hidden="1" x14ac:dyDescent="0.3">
      <c r="A648" s="42" t="s">
        <v>698</v>
      </c>
      <c r="B648" s="43" t="s">
        <v>715</v>
      </c>
      <c r="C648" s="43" t="s">
        <v>760</v>
      </c>
      <c r="D648" s="43" t="s">
        <v>300</v>
      </c>
      <c r="E648" s="44" t="s">
        <v>13</v>
      </c>
      <c r="F648" s="49">
        <v>1881</v>
      </c>
      <c r="G648" s="49"/>
      <c r="H648" s="44" t="s">
        <v>19</v>
      </c>
      <c r="I648" s="50" t="s">
        <v>14</v>
      </c>
      <c r="J648" s="50"/>
      <c r="K648" s="47" t="s">
        <v>8</v>
      </c>
      <c r="L648" s="48">
        <v>6215431.0700000003</v>
      </c>
    </row>
    <row r="649" spans="1:12" ht="91.8" hidden="1" x14ac:dyDescent="0.3">
      <c r="A649" s="42" t="s">
        <v>698</v>
      </c>
      <c r="B649" s="43" t="s">
        <v>715</v>
      </c>
      <c r="C649" s="43" t="s">
        <v>761</v>
      </c>
      <c r="D649" s="43" t="s">
        <v>300</v>
      </c>
      <c r="E649" s="44" t="s">
        <v>13</v>
      </c>
      <c r="F649" s="49">
        <v>276640</v>
      </c>
      <c r="G649" s="49"/>
      <c r="H649" s="44" t="s">
        <v>19</v>
      </c>
      <c r="I649" s="50" t="s">
        <v>14</v>
      </c>
      <c r="J649" s="50"/>
      <c r="K649" s="47" t="s">
        <v>8</v>
      </c>
      <c r="L649" s="48">
        <v>6492071.0700000003</v>
      </c>
    </row>
    <row r="650" spans="1:12" ht="81.599999999999994" hidden="1" x14ac:dyDescent="0.3">
      <c r="A650" s="42" t="s">
        <v>698</v>
      </c>
      <c r="B650" s="43" t="s">
        <v>715</v>
      </c>
      <c r="C650" s="43" t="s">
        <v>762</v>
      </c>
      <c r="D650" s="43" t="s">
        <v>300</v>
      </c>
      <c r="E650" s="44" t="s">
        <v>13</v>
      </c>
      <c r="F650" s="49">
        <v>135459</v>
      </c>
      <c r="G650" s="49"/>
      <c r="H650" s="44" t="s">
        <v>19</v>
      </c>
      <c r="I650" s="50" t="s">
        <v>14</v>
      </c>
      <c r="J650" s="50"/>
      <c r="K650" s="47" t="s">
        <v>8</v>
      </c>
      <c r="L650" s="48">
        <v>6627530.0700000003</v>
      </c>
    </row>
    <row r="651" spans="1:12" ht="91.8" hidden="1" x14ac:dyDescent="0.3">
      <c r="A651" s="42" t="s">
        <v>698</v>
      </c>
      <c r="B651" s="43" t="s">
        <v>715</v>
      </c>
      <c r="C651" s="43" t="s">
        <v>763</v>
      </c>
      <c r="D651" s="43" t="s">
        <v>300</v>
      </c>
      <c r="E651" s="44" t="s">
        <v>13</v>
      </c>
      <c r="F651" s="49">
        <v>13510</v>
      </c>
      <c r="G651" s="49"/>
      <c r="H651" s="44" t="s">
        <v>19</v>
      </c>
      <c r="I651" s="50" t="s">
        <v>14</v>
      </c>
      <c r="J651" s="50"/>
      <c r="K651" s="47" t="s">
        <v>8</v>
      </c>
      <c r="L651" s="48">
        <v>6641040.0700000003</v>
      </c>
    </row>
    <row r="652" spans="1:12" ht="91.8" hidden="1" x14ac:dyDescent="0.3">
      <c r="A652" s="42" t="s">
        <v>698</v>
      </c>
      <c r="B652" s="43" t="s">
        <v>715</v>
      </c>
      <c r="C652" s="43" t="s">
        <v>764</v>
      </c>
      <c r="D652" s="43" t="s">
        <v>300</v>
      </c>
      <c r="E652" s="44" t="s">
        <v>13</v>
      </c>
      <c r="F652" s="49">
        <v>3845</v>
      </c>
      <c r="G652" s="49"/>
      <c r="H652" s="44" t="s">
        <v>19</v>
      </c>
      <c r="I652" s="50" t="s">
        <v>14</v>
      </c>
      <c r="J652" s="50"/>
      <c r="K652" s="47" t="s">
        <v>8</v>
      </c>
      <c r="L652" s="48">
        <v>6644885.0700000003</v>
      </c>
    </row>
    <row r="653" spans="1:12" ht="81.599999999999994" hidden="1" x14ac:dyDescent="0.3">
      <c r="A653" s="42" t="s">
        <v>698</v>
      </c>
      <c r="B653" s="43" t="s">
        <v>765</v>
      </c>
      <c r="C653" s="43" t="s">
        <v>766</v>
      </c>
      <c r="D653" s="43" t="s">
        <v>368</v>
      </c>
      <c r="E653" s="44" t="s">
        <v>13</v>
      </c>
      <c r="F653" s="49">
        <v>119922</v>
      </c>
      <c r="G653" s="49"/>
      <c r="H653" s="44" t="s">
        <v>19</v>
      </c>
      <c r="I653" s="50" t="s">
        <v>14</v>
      </c>
      <c r="J653" s="50"/>
      <c r="K653" s="47" t="s">
        <v>8</v>
      </c>
      <c r="L653" s="48">
        <v>6764807.0700000003</v>
      </c>
    </row>
    <row r="654" spans="1:12" ht="91.8" hidden="1" x14ac:dyDescent="0.3">
      <c r="A654" s="42" t="s">
        <v>698</v>
      </c>
      <c r="B654" s="43" t="s">
        <v>765</v>
      </c>
      <c r="C654" s="43" t="s">
        <v>767</v>
      </c>
      <c r="D654" s="43" t="s">
        <v>368</v>
      </c>
      <c r="E654" s="44" t="s">
        <v>13</v>
      </c>
      <c r="F654" s="49">
        <v>226470</v>
      </c>
      <c r="G654" s="49"/>
      <c r="H654" s="44" t="s">
        <v>19</v>
      </c>
      <c r="I654" s="50" t="s">
        <v>14</v>
      </c>
      <c r="J654" s="50"/>
      <c r="K654" s="47" t="s">
        <v>8</v>
      </c>
      <c r="L654" s="48">
        <v>6991277.0700000003</v>
      </c>
    </row>
    <row r="655" spans="1:12" ht="91.8" hidden="1" x14ac:dyDescent="0.3">
      <c r="A655" s="42" t="s">
        <v>698</v>
      </c>
      <c r="B655" s="43" t="s">
        <v>765</v>
      </c>
      <c r="C655" s="43" t="s">
        <v>768</v>
      </c>
      <c r="D655" s="43" t="s">
        <v>368</v>
      </c>
      <c r="E655" s="44" t="s">
        <v>13</v>
      </c>
      <c r="F655" s="49">
        <v>252879</v>
      </c>
      <c r="G655" s="49"/>
      <c r="H655" s="44" t="s">
        <v>19</v>
      </c>
      <c r="I655" s="50" t="s">
        <v>14</v>
      </c>
      <c r="J655" s="50"/>
      <c r="K655" s="47" t="s">
        <v>8</v>
      </c>
      <c r="L655" s="48">
        <v>7244156.0700000003</v>
      </c>
    </row>
    <row r="656" spans="1:12" ht="91.8" hidden="1" x14ac:dyDescent="0.3">
      <c r="A656" s="42" t="s">
        <v>698</v>
      </c>
      <c r="B656" s="43" t="s">
        <v>765</v>
      </c>
      <c r="C656" s="43" t="s">
        <v>769</v>
      </c>
      <c r="D656" s="43" t="s">
        <v>368</v>
      </c>
      <c r="E656" s="44" t="s">
        <v>13</v>
      </c>
      <c r="F656" s="49">
        <v>182975</v>
      </c>
      <c r="G656" s="49"/>
      <c r="H656" s="44" t="s">
        <v>19</v>
      </c>
      <c r="I656" s="50" t="s">
        <v>14</v>
      </c>
      <c r="J656" s="50"/>
      <c r="K656" s="47" t="s">
        <v>8</v>
      </c>
      <c r="L656" s="48">
        <v>7427131.0700000003</v>
      </c>
    </row>
    <row r="657" spans="1:12" ht="91.8" hidden="1" x14ac:dyDescent="0.3">
      <c r="A657" s="42" t="s">
        <v>698</v>
      </c>
      <c r="B657" s="43" t="s">
        <v>765</v>
      </c>
      <c r="C657" s="43" t="s">
        <v>770</v>
      </c>
      <c r="D657" s="43" t="s">
        <v>368</v>
      </c>
      <c r="E657" s="44" t="s">
        <v>13</v>
      </c>
      <c r="F657" s="49">
        <v>27911</v>
      </c>
      <c r="G657" s="49"/>
      <c r="H657" s="44" t="s">
        <v>19</v>
      </c>
      <c r="I657" s="50" t="s">
        <v>14</v>
      </c>
      <c r="J657" s="50"/>
      <c r="K657" s="47" t="s">
        <v>8</v>
      </c>
      <c r="L657" s="48">
        <v>7455042.0700000003</v>
      </c>
    </row>
    <row r="658" spans="1:12" ht="91.8" hidden="1" x14ac:dyDescent="0.3">
      <c r="A658" s="42" t="s">
        <v>698</v>
      </c>
      <c r="B658" s="43" t="s">
        <v>765</v>
      </c>
      <c r="C658" s="43" t="s">
        <v>771</v>
      </c>
      <c r="D658" s="43" t="s">
        <v>368</v>
      </c>
      <c r="E658" s="44" t="s">
        <v>13</v>
      </c>
      <c r="F658" s="49">
        <v>444576</v>
      </c>
      <c r="G658" s="49"/>
      <c r="H658" s="44" t="s">
        <v>19</v>
      </c>
      <c r="I658" s="50" t="s">
        <v>14</v>
      </c>
      <c r="J658" s="50"/>
      <c r="K658" s="47" t="s">
        <v>8</v>
      </c>
      <c r="L658" s="48">
        <v>7899618.0700000003</v>
      </c>
    </row>
    <row r="659" spans="1:12" ht="71.400000000000006" hidden="1" x14ac:dyDescent="0.3">
      <c r="A659" s="42" t="s">
        <v>772</v>
      </c>
      <c r="B659" s="43" t="s">
        <v>773</v>
      </c>
      <c r="C659" s="43" t="s">
        <v>774</v>
      </c>
      <c r="D659" s="43" t="s">
        <v>775</v>
      </c>
      <c r="E659" s="44" t="s">
        <v>13</v>
      </c>
      <c r="F659" s="49">
        <v>6613.34</v>
      </c>
      <c r="G659" s="49"/>
      <c r="H659" s="44" t="s">
        <v>13</v>
      </c>
      <c r="I659" s="50" t="s">
        <v>14</v>
      </c>
      <c r="J659" s="50"/>
      <c r="K659" s="47" t="s">
        <v>8</v>
      </c>
      <c r="L659" s="48">
        <v>264351.09999999998</v>
      </c>
    </row>
    <row r="660" spans="1:12" ht="71.400000000000006" hidden="1" x14ac:dyDescent="0.3">
      <c r="A660" s="42" t="s">
        <v>772</v>
      </c>
      <c r="B660" s="43" t="s">
        <v>773</v>
      </c>
      <c r="C660" s="43" t="s">
        <v>774</v>
      </c>
      <c r="D660" s="43" t="s">
        <v>775</v>
      </c>
      <c r="E660" s="44" t="s">
        <v>13</v>
      </c>
      <c r="F660" s="45" t="s">
        <v>14</v>
      </c>
      <c r="G660" s="45"/>
      <c r="H660" s="44" t="s">
        <v>13</v>
      </c>
      <c r="I660" s="46">
        <v>6613.34</v>
      </c>
      <c r="J660" s="46"/>
      <c r="K660" s="47" t="s">
        <v>8</v>
      </c>
      <c r="L660" s="48">
        <v>577107.34</v>
      </c>
    </row>
    <row r="661" spans="1:12" ht="71.400000000000006" hidden="1" x14ac:dyDescent="0.3">
      <c r="A661" s="42" t="s">
        <v>772</v>
      </c>
      <c r="B661" s="43" t="s">
        <v>773</v>
      </c>
      <c r="C661" s="43" t="s">
        <v>774</v>
      </c>
      <c r="D661" s="43" t="s">
        <v>776</v>
      </c>
      <c r="E661" s="44" t="s">
        <v>13</v>
      </c>
      <c r="F661" s="45" t="s">
        <v>14</v>
      </c>
      <c r="G661" s="45"/>
      <c r="H661" s="44" t="s">
        <v>13</v>
      </c>
      <c r="I661" s="46">
        <v>3327.23</v>
      </c>
      <c r="J661" s="46"/>
      <c r="K661" s="47" t="s">
        <v>8</v>
      </c>
      <c r="L661" s="48">
        <v>573780.11</v>
      </c>
    </row>
    <row r="662" spans="1:12" ht="71.400000000000006" hidden="1" x14ac:dyDescent="0.3">
      <c r="A662" s="42" t="s">
        <v>772</v>
      </c>
      <c r="B662" s="43" t="s">
        <v>773</v>
      </c>
      <c r="C662" s="43" t="s">
        <v>774</v>
      </c>
      <c r="D662" s="43" t="s">
        <v>776</v>
      </c>
      <c r="E662" s="44" t="s">
        <v>13</v>
      </c>
      <c r="F662" s="49">
        <v>3327.23</v>
      </c>
      <c r="G662" s="49"/>
      <c r="H662" s="44" t="s">
        <v>13</v>
      </c>
      <c r="I662" s="50" t="s">
        <v>14</v>
      </c>
      <c r="J662" s="50"/>
      <c r="K662" s="47" t="s">
        <v>8</v>
      </c>
      <c r="L662" s="48">
        <v>267678.33</v>
      </c>
    </row>
    <row r="663" spans="1:12" ht="71.400000000000006" hidden="1" x14ac:dyDescent="0.3">
      <c r="A663" s="42" t="s">
        <v>772</v>
      </c>
      <c r="B663" s="43" t="s">
        <v>777</v>
      </c>
      <c r="C663" s="43" t="s">
        <v>778</v>
      </c>
      <c r="D663" s="43" t="s">
        <v>779</v>
      </c>
      <c r="E663" s="44" t="s">
        <v>13</v>
      </c>
      <c r="F663" s="45" t="s">
        <v>14</v>
      </c>
      <c r="G663" s="45"/>
      <c r="H663" s="44" t="s">
        <v>13</v>
      </c>
      <c r="I663" s="46">
        <v>2522.5</v>
      </c>
      <c r="J663" s="46"/>
      <c r="K663" s="47" t="s">
        <v>8</v>
      </c>
      <c r="L663" s="48">
        <v>40600</v>
      </c>
    </row>
    <row r="664" spans="1:12" ht="71.400000000000006" hidden="1" x14ac:dyDescent="0.3">
      <c r="A664" s="42" t="s">
        <v>772</v>
      </c>
      <c r="B664" s="43" t="s">
        <v>777</v>
      </c>
      <c r="C664" s="43" t="s">
        <v>778</v>
      </c>
      <c r="D664" s="43" t="s">
        <v>779</v>
      </c>
      <c r="E664" s="44" t="s">
        <v>13</v>
      </c>
      <c r="F664" s="49">
        <v>2522.5</v>
      </c>
      <c r="G664" s="49"/>
      <c r="H664" s="44" t="s">
        <v>13</v>
      </c>
      <c r="I664" s="50" t="s">
        <v>14</v>
      </c>
      <c r="J664" s="50"/>
      <c r="K664" s="47" t="s">
        <v>8</v>
      </c>
      <c r="L664" s="48">
        <v>270200.83</v>
      </c>
    </row>
    <row r="665" spans="1:12" ht="61.2" hidden="1" x14ac:dyDescent="0.3">
      <c r="A665" s="42" t="s">
        <v>772</v>
      </c>
      <c r="B665" s="43" t="s">
        <v>780</v>
      </c>
      <c r="C665" s="43" t="s">
        <v>781</v>
      </c>
      <c r="D665" s="43" t="s">
        <v>782</v>
      </c>
      <c r="E665" s="44" t="s">
        <v>13</v>
      </c>
      <c r="F665" s="49">
        <v>1375.6</v>
      </c>
      <c r="G665" s="49"/>
      <c r="H665" s="44" t="s">
        <v>13</v>
      </c>
      <c r="I665" s="50" t="s">
        <v>14</v>
      </c>
      <c r="J665" s="50"/>
      <c r="K665" s="47" t="s">
        <v>8</v>
      </c>
      <c r="L665" s="48">
        <v>271576.43</v>
      </c>
    </row>
    <row r="666" spans="1:12" ht="61.2" hidden="1" x14ac:dyDescent="0.3">
      <c r="A666" s="42" t="s">
        <v>772</v>
      </c>
      <c r="B666" s="43" t="s">
        <v>780</v>
      </c>
      <c r="C666" s="43" t="s">
        <v>781</v>
      </c>
      <c r="D666" s="43" t="s">
        <v>782</v>
      </c>
      <c r="E666" s="44" t="s">
        <v>13</v>
      </c>
      <c r="F666" s="45" t="s">
        <v>14</v>
      </c>
      <c r="G666" s="45"/>
      <c r="H666" s="44" t="s">
        <v>13</v>
      </c>
      <c r="I666" s="46">
        <v>1375.6</v>
      </c>
      <c r="J666" s="46"/>
      <c r="K666" s="47" t="s">
        <v>8</v>
      </c>
      <c r="L666" s="48">
        <v>487542.14</v>
      </c>
    </row>
    <row r="667" spans="1:12" ht="61.2" hidden="1" x14ac:dyDescent="0.3">
      <c r="A667" s="42" t="s">
        <v>772</v>
      </c>
      <c r="B667" s="43" t="s">
        <v>783</v>
      </c>
      <c r="C667" s="43" t="s">
        <v>784</v>
      </c>
      <c r="D667" s="43" t="s">
        <v>785</v>
      </c>
      <c r="E667" s="44" t="s">
        <v>13</v>
      </c>
      <c r="F667" s="49">
        <v>11913</v>
      </c>
      <c r="G667" s="49"/>
      <c r="H667" s="44" t="s">
        <v>13</v>
      </c>
      <c r="I667" s="50" t="s">
        <v>14</v>
      </c>
      <c r="J667" s="50"/>
      <c r="K667" s="47" t="s">
        <v>8</v>
      </c>
      <c r="L667" s="48">
        <v>283489.43</v>
      </c>
    </row>
    <row r="668" spans="1:12" ht="61.2" hidden="1" x14ac:dyDescent="0.3">
      <c r="A668" s="42" t="s">
        <v>772</v>
      </c>
      <c r="B668" s="43" t="s">
        <v>783</v>
      </c>
      <c r="C668" s="43" t="s">
        <v>784</v>
      </c>
      <c r="D668" s="43" t="s">
        <v>785</v>
      </c>
      <c r="E668" s="44" t="s">
        <v>13</v>
      </c>
      <c r="F668" s="45" t="s">
        <v>14</v>
      </c>
      <c r="G668" s="45"/>
      <c r="H668" s="44" t="s">
        <v>13</v>
      </c>
      <c r="I668" s="46">
        <v>11913</v>
      </c>
      <c r="J668" s="46"/>
      <c r="K668" s="47" t="s">
        <v>8</v>
      </c>
      <c r="L668" s="48">
        <v>292308.05</v>
      </c>
    </row>
    <row r="669" spans="1:12" ht="71.400000000000006" hidden="1" x14ac:dyDescent="0.3">
      <c r="A669" s="42" t="s">
        <v>772</v>
      </c>
      <c r="B669" s="43" t="s">
        <v>786</v>
      </c>
      <c r="C669" s="43" t="s">
        <v>787</v>
      </c>
      <c r="D669" s="43" t="s">
        <v>788</v>
      </c>
      <c r="E669" s="44" t="s">
        <v>13</v>
      </c>
      <c r="F669" s="52">
        <v>614.99</v>
      </c>
      <c r="G669" s="52"/>
      <c r="H669" s="44" t="s">
        <v>13</v>
      </c>
      <c r="I669" s="50" t="s">
        <v>14</v>
      </c>
      <c r="J669" s="50"/>
      <c r="K669" s="47" t="s">
        <v>8</v>
      </c>
      <c r="L669" s="48">
        <v>284104.42</v>
      </c>
    </row>
    <row r="670" spans="1:12" ht="71.400000000000006" hidden="1" x14ac:dyDescent="0.3">
      <c r="A670" s="42" t="s">
        <v>772</v>
      </c>
      <c r="B670" s="43" t="s">
        <v>786</v>
      </c>
      <c r="C670" s="43" t="s">
        <v>787</v>
      </c>
      <c r="D670" s="43" t="s">
        <v>788</v>
      </c>
      <c r="E670" s="44" t="s">
        <v>13</v>
      </c>
      <c r="F670" s="45" t="s">
        <v>14</v>
      </c>
      <c r="G670" s="45"/>
      <c r="H670" s="44" t="s">
        <v>13</v>
      </c>
      <c r="I670" s="51">
        <v>614.99</v>
      </c>
      <c r="J670" s="51"/>
      <c r="K670" s="47" t="s">
        <v>8</v>
      </c>
      <c r="L670" s="48">
        <v>2491957.04</v>
      </c>
    </row>
    <row r="671" spans="1:12" ht="71.400000000000006" hidden="1" x14ac:dyDescent="0.3">
      <c r="A671" s="42" t="s">
        <v>772</v>
      </c>
      <c r="B671" s="43" t="s">
        <v>786</v>
      </c>
      <c r="C671" s="43" t="s">
        <v>787</v>
      </c>
      <c r="D671" s="43" t="s">
        <v>789</v>
      </c>
      <c r="E671" s="44" t="s">
        <v>13</v>
      </c>
      <c r="F671" s="49">
        <v>10400.719999999999</v>
      </c>
      <c r="G671" s="49"/>
      <c r="H671" s="44" t="s">
        <v>13</v>
      </c>
      <c r="I671" s="50" t="s">
        <v>14</v>
      </c>
      <c r="J671" s="50"/>
      <c r="K671" s="47" t="s">
        <v>8</v>
      </c>
      <c r="L671" s="48">
        <v>294505.14</v>
      </c>
    </row>
    <row r="672" spans="1:12" ht="71.400000000000006" hidden="1" x14ac:dyDescent="0.3">
      <c r="A672" s="42" t="s">
        <v>772</v>
      </c>
      <c r="B672" s="43" t="s">
        <v>786</v>
      </c>
      <c r="C672" s="43" t="s">
        <v>787</v>
      </c>
      <c r="D672" s="43" t="s">
        <v>789</v>
      </c>
      <c r="E672" s="44" t="s">
        <v>13</v>
      </c>
      <c r="F672" s="45" t="s">
        <v>14</v>
      </c>
      <c r="G672" s="45"/>
      <c r="H672" s="44" t="s">
        <v>13</v>
      </c>
      <c r="I672" s="46">
        <v>10400.719999999999</v>
      </c>
      <c r="J672" s="46"/>
      <c r="K672" s="47" t="s">
        <v>8</v>
      </c>
      <c r="L672" s="48">
        <v>2481556.3199999998</v>
      </c>
    </row>
    <row r="673" spans="1:12" ht="61.2" hidden="1" x14ac:dyDescent="0.3">
      <c r="A673" s="42" t="s">
        <v>772</v>
      </c>
      <c r="B673" s="43" t="s">
        <v>790</v>
      </c>
      <c r="C673" s="43" t="s">
        <v>791</v>
      </c>
      <c r="D673" s="43" t="s">
        <v>792</v>
      </c>
      <c r="E673" s="44" t="s">
        <v>13</v>
      </c>
      <c r="F673" s="49">
        <v>9615.43</v>
      </c>
      <c r="G673" s="49"/>
      <c r="H673" s="44" t="s">
        <v>13</v>
      </c>
      <c r="I673" s="50" t="s">
        <v>14</v>
      </c>
      <c r="J673" s="50"/>
      <c r="K673" s="47" t="s">
        <v>8</v>
      </c>
      <c r="L673" s="48">
        <v>304120.57</v>
      </c>
    </row>
    <row r="674" spans="1:12" ht="61.2" hidden="1" x14ac:dyDescent="0.3">
      <c r="A674" s="42" t="s">
        <v>772</v>
      </c>
      <c r="B674" s="43" t="s">
        <v>790</v>
      </c>
      <c r="C674" s="43" t="s">
        <v>791</v>
      </c>
      <c r="D674" s="43" t="s">
        <v>792</v>
      </c>
      <c r="E674" s="44" t="s">
        <v>13</v>
      </c>
      <c r="F674" s="45" t="s">
        <v>14</v>
      </c>
      <c r="G674" s="45"/>
      <c r="H674" s="44" t="s">
        <v>13</v>
      </c>
      <c r="I674" s="46">
        <v>9615.43</v>
      </c>
      <c r="J674" s="46"/>
      <c r="K674" s="47" t="s">
        <v>8</v>
      </c>
      <c r="L674" s="48">
        <v>4595081.6100000003</v>
      </c>
    </row>
    <row r="675" spans="1:12" ht="71.400000000000006" hidden="1" x14ac:dyDescent="0.3">
      <c r="A675" s="42" t="s">
        <v>772</v>
      </c>
      <c r="B675" s="43" t="s">
        <v>793</v>
      </c>
      <c r="C675" s="43" t="s">
        <v>794</v>
      </c>
      <c r="D675" s="43" t="s">
        <v>795</v>
      </c>
      <c r="E675" s="44" t="s">
        <v>13</v>
      </c>
      <c r="F675" s="49">
        <v>10221.299999999999</v>
      </c>
      <c r="G675" s="49"/>
      <c r="H675" s="44" t="s">
        <v>13</v>
      </c>
      <c r="I675" s="50" t="s">
        <v>14</v>
      </c>
      <c r="J675" s="50"/>
      <c r="K675" s="47" t="s">
        <v>8</v>
      </c>
      <c r="L675" s="48">
        <v>314341.87</v>
      </c>
    </row>
    <row r="676" spans="1:12" ht="71.400000000000006" hidden="1" x14ac:dyDescent="0.3">
      <c r="A676" s="42" t="s">
        <v>772</v>
      </c>
      <c r="B676" s="43" t="s">
        <v>793</v>
      </c>
      <c r="C676" s="43" t="s">
        <v>794</v>
      </c>
      <c r="D676" s="43" t="s">
        <v>795</v>
      </c>
      <c r="E676" s="44" t="s">
        <v>13</v>
      </c>
      <c r="F676" s="45" t="s">
        <v>14</v>
      </c>
      <c r="G676" s="45"/>
      <c r="H676" s="44" t="s">
        <v>13</v>
      </c>
      <c r="I676" s="46">
        <v>10221.299999999999</v>
      </c>
      <c r="J676" s="46"/>
      <c r="K676" s="47" t="s">
        <v>8</v>
      </c>
      <c r="L676" s="48">
        <v>59228.68</v>
      </c>
    </row>
    <row r="677" spans="1:12" ht="61.2" hidden="1" x14ac:dyDescent="0.3">
      <c r="A677" s="42" t="s">
        <v>772</v>
      </c>
      <c r="B677" s="43" t="s">
        <v>793</v>
      </c>
      <c r="C677" s="43" t="s">
        <v>796</v>
      </c>
      <c r="D677" s="43" t="s">
        <v>797</v>
      </c>
      <c r="E677" s="44" t="s">
        <v>13</v>
      </c>
      <c r="F677" s="49">
        <v>22863.58</v>
      </c>
      <c r="G677" s="49"/>
      <c r="H677" s="44" t="s">
        <v>13</v>
      </c>
      <c r="I677" s="50" t="s">
        <v>14</v>
      </c>
      <c r="J677" s="50"/>
      <c r="K677" s="47" t="s">
        <v>8</v>
      </c>
      <c r="L677" s="48">
        <v>337205.45</v>
      </c>
    </row>
    <row r="678" spans="1:12" ht="61.2" hidden="1" x14ac:dyDescent="0.3">
      <c r="A678" s="42" t="s">
        <v>772</v>
      </c>
      <c r="B678" s="43" t="s">
        <v>793</v>
      </c>
      <c r="C678" s="43" t="s">
        <v>796</v>
      </c>
      <c r="D678" s="43" t="s">
        <v>797</v>
      </c>
      <c r="E678" s="44" t="s">
        <v>13</v>
      </c>
      <c r="F678" s="45" t="s">
        <v>14</v>
      </c>
      <c r="G678" s="45"/>
      <c r="H678" s="44" t="s">
        <v>13</v>
      </c>
      <c r="I678" s="46">
        <v>22863.58</v>
      </c>
      <c r="J678" s="46"/>
      <c r="K678" s="47" t="s">
        <v>8</v>
      </c>
      <c r="L678" s="48">
        <v>36365.1</v>
      </c>
    </row>
    <row r="679" spans="1:12" ht="61.2" hidden="1" x14ac:dyDescent="0.3">
      <c r="A679" s="42" t="s">
        <v>772</v>
      </c>
      <c r="B679" s="43" t="s">
        <v>798</v>
      </c>
      <c r="C679" s="43" t="s">
        <v>799</v>
      </c>
      <c r="D679" s="43" t="s">
        <v>800</v>
      </c>
      <c r="E679" s="44" t="s">
        <v>13</v>
      </c>
      <c r="F679" s="45" t="s">
        <v>14</v>
      </c>
      <c r="G679" s="45"/>
      <c r="H679" s="44" t="s">
        <v>13</v>
      </c>
      <c r="I679" s="46">
        <v>2913.75</v>
      </c>
      <c r="J679" s="46"/>
      <c r="K679" s="47" t="s">
        <v>8</v>
      </c>
      <c r="L679" s="48">
        <v>7896704.3200000003</v>
      </c>
    </row>
    <row r="680" spans="1:12" ht="61.2" hidden="1" x14ac:dyDescent="0.3">
      <c r="A680" s="42" t="s">
        <v>772</v>
      </c>
      <c r="B680" s="43" t="s">
        <v>798</v>
      </c>
      <c r="C680" s="43" t="s">
        <v>799</v>
      </c>
      <c r="D680" s="43" t="s">
        <v>800</v>
      </c>
      <c r="E680" s="44" t="s">
        <v>13</v>
      </c>
      <c r="F680" s="49">
        <v>2913.75</v>
      </c>
      <c r="G680" s="49"/>
      <c r="H680" s="44" t="s">
        <v>13</v>
      </c>
      <c r="I680" s="50" t="s">
        <v>14</v>
      </c>
      <c r="J680" s="50"/>
      <c r="K680" s="47" t="s">
        <v>8</v>
      </c>
      <c r="L680" s="48">
        <v>4597995.3600000003</v>
      </c>
    </row>
    <row r="681" spans="1:12" ht="61.2" hidden="1" x14ac:dyDescent="0.3">
      <c r="A681" s="42" t="s">
        <v>772</v>
      </c>
      <c r="B681" s="43" t="s">
        <v>798</v>
      </c>
      <c r="C681" s="43" t="s">
        <v>801</v>
      </c>
      <c r="D681" s="43" t="s">
        <v>802</v>
      </c>
      <c r="E681" s="44" t="s">
        <v>13</v>
      </c>
      <c r="F681" s="45" t="s">
        <v>14</v>
      </c>
      <c r="G681" s="45"/>
      <c r="H681" s="44" t="s">
        <v>13</v>
      </c>
      <c r="I681" s="51">
        <v>379.5</v>
      </c>
      <c r="J681" s="51"/>
      <c r="K681" s="47" t="s">
        <v>8</v>
      </c>
      <c r="L681" s="48">
        <v>7896324.8200000003</v>
      </c>
    </row>
    <row r="682" spans="1:12" ht="61.2" hidden="1" x14ac:dyDescent="0.3">
      <c r="A682" s="42" t="s">
        <v>772</v>
      </c>
      <c r="B682" s="43" t="s">
        <v>798</v>
      </c>
      <c r="C682" s="43" t="s">
        <v>801</v>
      </c>
      <c r="D682" s="43" t="s">
        <v>802</v>
      </c>
      <c r="E682" s="44" t="s">
        <v>13</v>
      </c>
      <c r="F682" s="52">
        <v>379.5</v>
      </c>
      <c r="G682" s="52"/>
      <c r="H682" s="44" t="s">
        <v>13</v>
      </c>
      <c r="I682" s="50" t="s">
        <v>14</v>
      </c>
      <c r="J682" s="50"/>
      <c r="K682" s="47" t="s">
        <v>8</v>
      </c>
      <c r="L682" s="48">
        <v>4598374.8600000003</v>
      </c>
    </row>
    <row r="683" spans="1:12" ht="51" hidden="1" x14ac:dyDescent="0.3">
      <c r="A683" s="42" t="s">
        <v>772</v>
      </c>
      <c r="B683" s="43" t="s">
        <v>803</v>
      </c>
      <c r="C683" s="43" t="s">
        <v>804</v>
      </c>
      <c r="D683" s="43" t="s">
        <v>805</v>
      </c>
      <c r="E683" s="44" t="s">
        <v>13</v>
      </c>
      <c r="F683" s="49">
        <v>11208.96</v>
      </c>
      <c r="G683" s="49"/>
      <c r="H683" s="44" t="s">
        <v>89</v>
      </c>
      <c r="I683" s="50" t="s">
        <v>14</v>
      </c>
      <c r="J683" s="50"/>
      <c r="K683" s="47" t="s">
        <v>8</v>
      </c>
      <c r="L683" s="48">
        <v>7907533.7800000003</v>
      </c>
    </row>
    <row r="684" spans="1:12" ht="61.2" hidden="1" x14ac:dyDescent="0.3">
      <c r="A684" s="42" t="s">
        <v>772</v>
      </c>
      <c r="B684" s="43" t="s">
        <v>806</v>
      </c>
      <c r="C684" s="43" t="s">
        <v>807</v>
      </c>
      <c r="D684" s="43" t="s">
        <v>808</v>
      </c>
      <c r="E684" s="44" t="s">
        <v>13</v>
      </c>
      <c r="F684" s="45" t="s">
        <v>14</v>
      </c>
      <c r="G684" s="45"/>
      <c r="H684" s="44" t="s">
        <v>13</v>
      </c>
      <c r="I684" s="46">
        <v>3584.8</v>
      </c>
      <c r="J684" s="46"/>
      <c r="K684" s="47" t="s">
        <v>8</v>
      </c>
      <c r="L684" s="48">
        <v>936735.63</v>
      </c>
    </row>
    <row r="685" spans="1:12" ht="61.2" hidden="1" x14ac:dyDescent="0.3">
      <c r="A685" s="42" t="s">
        <v>772</v>
      </c>
      <c r="B685" s="43" t="s">
        <v>806</v>
      </c>
      <c r="C685" s="43" t="s">
        <v>807</v>
      </c>
      <c r="D685" s="43" t="s">
        <v>808</v>
      </c>
      <c r="E685" s="44" t="s">
        <v>13</v>
      </c>
      <c r="F685" s="49">
        <v>3584.8</v>
      </c>
      <c r="G685" s="49"/>
      <c r="H685" s="44" t="s">
        <v>13</v>
      </c>
      <c r="I685" s="50" t="s">
        <v>14</v>
      </c>
      <c r="J685" s="50"/>
      <c r="K685" s="47" t="s">
        <v>8</v>
      </c>
      <c r="L685" s="48">
        <v>2091468.04</v>
      </c>
    </row>
    <row r="686" spans="1:12" ht="61.2" hidden="1" x14ac:dyDescent="0.3">
      <c r="A686" s="42" t="s">
        <v>772</v>
      </c>
      <c r="B686" s="43" t="s">
        <v>806</v>
      </c>
      <c r="C686" s="43" t="s">
        <v>809</v>
      </c>
      <c r="D686" s="43" t="s">
        <v>810</v>
      </c>
      <c r="E686" s="44" t="s">
        <v>13</v>
      </c>
      <c r="F686" s="45" t="s">
        <v>14</v>
      </c>
      <c r="G686" s="45"/>
      <c r="H686" s="44" t="s">
        <v>13</v>
      </c>
      <c r="I686" s="51">
        <v>190</v>
      </c>
      <c r="J686" s="51"/>
      <c r="K686" s="47" t="s">
        <v>8</v>
      </c>
      <c r="L686" s="48">
        <v>936545.63</v>
      </c>
    </row>
    <row r="687" spans="1:12" ht="61.2" hidden="1" x14ac:dyDescent="0.3">
      <c r="A687" s="42" t="s">
        <v>772</v>
      </c>
      <c r="B687" s="43" t="s">
        <v>806</v>
      </c>
      <c r="C687" s="43" t="s">
        <v>809</v>
      </c>
      <c r="D687" s="43" t="s">
        <v>810</v>
      </c>
      <c r="E687" s="44" t="s">
        <v>13</v>
      </c>
      <c r="F687" s="52">
        <v>190</v>
      </c>
      <c r="G687" s="52"/>
      <c r="H687" s="44" t="s">
        <v>13</v>
      </c>
      <c r="I687" s="50" t="s">
        <v>14</v>
      </c>
      <c r="J687" s="50"/>
      <c r="K687" s="47" t="s">
        <v>8</v>
      </c>
      <c r="L687" s="48">
        <v>2091658.04</v>
      </c>
    </row>
    <row r="688" spans="1:12" ht="71.400000000000006" hidden="1" x14ac:dyDescent="0.3">
      <c r="A688" s="42" t="s">
        <v>772</v>
      </c>
      <c r="B688" s="43" t="s">
        <v>806</v>
      </c>
      <c r="C688" s="43" t="s">
        <v>811</v>
      </c>
      <c r="D688" s="43" t="s">
        <v>812</v>
      </c>
      <c r="E688" s="44" t="s">
        <v>13</v>
      </c>
      <c r="F688" s="45" t="s">
        <v>14</v>
      </c>
      <c r="G688" s="45"/>
      <c r="H688" s="44" t="s">
        <v>13</v>
      </c>
      <c r="I688" s="46">
        <v>1752.8</v>
      </c>
      <c r="J688" s="46"/>
      <c r="K688" s="47" t="s">
        <v>8</v>
      </c>
      <c r="L688" s="48">
        <v>934792.83</v>
      </c>
    </row>
    <row r="689" spans="1:12" ht="71.400000000000006" hidden="1" x14ac:dyDescent="0.3">
      <c r="A689" s="42" t="s">
        <v>772</v>
      </c>
      <c r="B689" s="43" t="s">
        <v>806</v>
      </c>
      <c r="C689" s="43" t="s">
        <v>811</v>
      </c>
      <c r="D689" s="43" t="s">
        <v>812</v>
      </c>
      <c r="E689" s="44" t="s">
        <v>13</v>
      </c>
      <c r="F689" s="49">
        <v>1752.8</v>
      </c>
      <c r="G689" s="49"/>
      <c r="H689" s="44" t="s">
        <v>13</v>
      </c>
      <c r="I689" s="50" t="s">
        <v>14</v>
      </c>
      <c r="J689" s="50"/>
      <c r="K689" s="47" t="s">
        <v>8</v>
      </c>
      <c r="L689" s="48">
        <v>2093410.84</v>
      </c>
    </row>
    <row r="690" spans="1:12" ht="71.400000000000006" hidden="1" x14ac:dyDescent="0.3">
      <c r="A690" s="42" t="s">
        <v>772</v>
      </c>
      <c r="B690" s="43" t="s">
        <v>806</v>
      </c>
      <c r="C690" s="43" t="s">
        <v>813</v>
      </c>
      <c r="D690" s="43" t="s">
        <v>814</v>
      </c>
      <c r="E690" s="44" t="s">
        <v>13</v>
      </c>
      <c r="F690" s="45" t="s">
        <v>14</v>
      </c>
      <c r="G690" s="45"/>
      <c r="H690" s="44" t="s">
        <v>13</v>
      </c>
      <c r="I690" s="46">
        <v>1798.5</v>
      </c>
      <c r="J690" s="46"/>
      <c r="K690" s="47" t="s">
        <v>8</v>
      </c>
      <c r="L690" s="48">
        <v>932994.33</v>
      </c>
    </row>
    <row r="691" spans="1:12" ht="71.400000000000006" hidden="1" x14ac:dyDescent="0.3">
      <c r="A691" s="42" t="s">
        <v>772</v>
      </c>
      <c r="B691" s="43" t="s">
        <v>806</v>
      </c>
      <c r="C691" s="43" t="s">
        <v>813</v>
      </c>
      <c r="D691" s="43" t="s">
        <v>814</v>
      </c>
      <c r="E691" s="44" t="s">
        <v>13</v>
      </c>
      <c r="F691" s="49">
        <v>1798.5</v>
      </c>
      <c r="G691" s="49"/>
      <c r="H691" s="44" t="s">
        <v>13</v>
      </c>
      <c r="I691" s="50" t="s">
        <v>14</v>
      </c>
      <c r="J691" s="50"/>
      <c r="K691" s="47" t="s">
        <v>8</v>
      </c>
      <c r="L691" s="48">
        <v>2095209.34</v>
      </c>
    </row>
    <row r="692" spans="1:12" ht="61.2" hidden="1" x14ac:dyDescent="0.3">
      <c r="A692" s="42" t="s">
        <v>772</v>
      </c>
      <c r="B692" s="43" t="s">
        <v>806</v>
      </c>
      <c r="C692" s="43" t="s">
        <v>815</v>
      </c>
      <c r="D692" s="43" t="s">
        <v>220</v>
      </c>
      <c r="E692" s="44" t="s">
        <v>13</v>
      </c>
      <c r="F692" s="45" t="s">
        <v>14</v>
      </c>
      <c r="G692" s="45"/>
      <c r="H692" s="44" t="s">
        <v>13</v>
      </c>
      <c r="I692" s="51">
        <v>35</v>
      </c>
      <c r="J692" s="51"/>
      <c r="K692" s="47" t="s">
        <v>8</v>
      </c>
      <c r="L692" s="48">
        <v>932959.33</v>
      </c>
    </row>
    <row r="693" spans="1:12" ht="61.2" hidden="1" x14ac:dyDescent="0.3">
      <c r="A693" s="42" t="s">
        <v>772</v>
      </c>
      <c r="B693" s="43" t="s">
        <v>806</v>
      </c>
      <c r="C693" s="43" t="s">
        <v>815</v>
      </c>
      <c r="D693" s="43" t="s">
        <v>220</v>
      </c>
      <c r="E693" s="44" t="s">
        <v>13</v>
      </c>
      <c r="F693" s="52">
        <v>35</v>
      </c>
      <c r="G693" s="52"/>
      <c r="H693" s="44" t="s">
        <v>13</v>
      </c>
      <c r="I693" s="50" t="s">
        <v>14</v>
      </c>
      <c r="J693" s="50"/>
      <c r="K693" s="47" t="s">
        <v>8</v>
      </c>
      <c r="L693" s="48">
        <v>2095244.34</v>
      </c>
    </row>
    <row r="694" spans="1:12" ht="61.2" hidden="1" x14ac:dyDescent="0.3">
      <c r="A694" s="42" t="s">
        <v>772</v>
      </c>
      <c r="B694" s="43" t="s">
        <v>806</v>
      </c>
      <c r="C694" s="43" t="s">
        <v>816</v>
      </c>
      <c r="D694" s="43" t="s">
        <v>817</v>
      </c>
      <c r="E694" s="44" t="s">
        <v>13</v>
      </c>
      <c r="F694" s="52">
        <v>45</v>
      </c>
      <c r="G694" s="52"/>
      <c r="H694" s="44" t="s">
        <v>13</v>
      </c>
      <c r="I694" s="50" t="s">
        <v>14</v>
      </c>
      <c r="J694" s="50"/>
      <c r="K694" s="47" t="s">
        <v>8</v>
      </c>
      <c r="L694" s="48">
        <v>2095289.34</v>
      </c>
    </row>
    <row r="695" spans="1:12" ht="61.2" hidden="1" x14ac:dyDescent="0.3">
      <c r="A695" s="42" t="s">
        <v>772</v>
      </c>
      <c r="B695" s="43" t="s">
        <v>806</v>
      </c>
      <c r="C695" s="43" t="s">
        <v>816</v>
      </c>
      <c r="D695" s="43" t="s">
        <v>817</v>
      </c>
      <c r="E695" s="44" t="s">
        <v>13</v>
      </c>
      <c r="F695" s="45" t="s">
        <v>14</v>
      </c>
      <c r="G695" s="45"/>
      <c r="H695" s="44" t="s">
        <v>13</v>
      </c>
      <c r="I695" s="51">
        <v>45</v>
      </c>
      <c r="J695" s="51"/>
      <c r="K695" s="47" t="s">
        <v>8</v>
      </c>
      <c r="L695" s="48">
        <v>932914.33</v>
      </c>
    </row>
    <row r="696" spans="1:12" ht="71.400000000000006" hidden="1" x14ac:dyDescent="0.3">
      <c r="A696" s="42" t="s">
        <v>772</v>
      </c>
      <c r="B696" s="43" t="s">
        <v>806</v>
      </c>
      <c r="C696" s="43" t="s">
        <v>818</v>
      </c>
      <c r="D696" s="43" t="s">
        <v>819</v>
      </c>
      <c r="E696" s="44" t="s">
        <v>13</v>
      </c>
      <c r="F696" s="45" t="s">
        <v>14</v>
      </c>
      <c r="G696" s="45"/>
      <c r="H696" s="44" t="s">
        <v>13</v>
      </c>
      <c r="I696" s="51">
        <v>29.4</v>
      </c>
      <c r="J696" s="51"/>
      <c r="K696" s="47" t="s">
        <v>8</v>
      </c>
      <c r="L696" s="48">
        <v>932884.93</v>
      </c>
    </row>
    <row r="697" spans="1:12" ht="71.400000000000006" hidden="1" x14ac:dyDescent="0.3">
      <c r="A697" s="42" t="s">
        <v>772</v>
      </c>
      <c r="B697" s="43" t="s">
        <v>806</v>
      </c>
      <c r="C697" s="43" t="s">
        <v>818</v>
      </c>
      <c r="D697" s="43" t="s">
        <v>819</v>
      </c>
      <c r="E697" s="44" t="s">
        <v>13</v>
      </c>
      <c r="F697" s="52">
        <v>29.4</v>
      </c>
      <c r="G697" s="52"/>
      <c r="H697" s="44" t="s">
        <v>13</v>
      </c>
      <c r="I697" s="50" t="s">
        <v>14</v>
      </c>
      <c r="J697" s="50"/>
      <c r="K697" s="47" t="s">
        <v>8</v>
      </c>
      <c r="L697" s="48">
        <v>2095318.74</v>
      </c>
    </row>
    <row r="698" spans="1:12" ht="71.400000000000006" hidden="1" x14ac:dyDescent="0.3">
      <c r="A698" s="42" t="s">
        <v>772</v>
      </c>
      <c r="B698" s="43" t="s">
        <v>806</v>
      </c>
      <c r="C698" s="43" t="s">
        <v>820</v>
      </c>
      <c r="D698" s="43" t="s">
        <v>821</v>
      </c>
      <c r="E698" s="44" t="s">
        <v>13</v>
      </c>
      <c r="F698" s="45" t="s">
        <v>14</v>
      </c>
      <c r="G698" s="45"/>
      <c r="H698" s="44" t="s">
        <v>13</v>
      </c>
      <c r="I698" s="51">
        <v>10.6</v>
      </c>
      <c r="J698" s="51"/>
      <c r="K698" s="47" t="s">
        <v>8</v>
      </c>
      <c r="L698" s="48">
        <v>932874.33</v>
      </c>
    </row>
    <row r="699" spans="1:12" ht="71.400000000000006" hidden="1" x14ac:dyDescent="0.3">
      <c r="A699" s="42" t="s">
        <v>772</v>
      </c>
      <c r="B699" s="43" t="s">
        <v>806</v>
      </c>
      <c r="C699" s="43" t="s">
        <v>820</v>
      </c>
      <c r="D699" s="43" t="s">
        <v>821</v>
      </c>
      <c r="E699" s="44" t="s">
        <v>13</v>
      </c>
      <c r="F699" s="52">
        <v>10.6</v>
      </c>
      <c r="G699" s="52"/>
      <c r="H699" s="44" t="s">
        <v>13</v>
      </c>
      <c r="I699" s="50" t="s">
        <v>14</v>
      </c>
      <c r="J699" s="50"/>
      <c r="K699" s="47" t="s">
        <v>8</v>
      </c>
      <c r="L699" s="48">
        <v>2095329.34</v>
      </c>
    </row>
    <row r="700" spans="1:12" ht="71.400000000000006" hidden="1" x14ac:dyDescent="0.3">
      <c r="A700" s="42" t="s">
        <v>772</v>
      </c>
      <c r="B700" s="43" t="s">
        <v>806</v>
      </c>
      <c r="C700" s="43" t="s">
        <v>822</v>
      </c>
      <c r="D700" s="43" t="s">
        <v>823</v>
      </c>
      <c r="E700" s="44" t="s">
        <v>13</v>
      </c>
      <c r="F700" s="45" t="s">
        <v>14</v>
      </c>
      <c r="G700" s="45"/>
      <c r="H700" s="44" t="s">
        <v>13</v>
      </c>
      <c r="I700" s="51">
        <v>25</v>
      </c>
      <c r="J700" s="51"/>
      <c r="K700" s="47" t="s">
        <v>8</v>
      </c>
      <c r="L700" s="48">
        <v>932849.33</v>
      </c>
    </row>
    <row r="701" spans="1:12" ht="71.400000000000006" hidden="1" x14ac:dyDescent="0.3">
      <c r="A701" s="42" t="s">
        <v>772</v>
      </c>
      <c r="B701" s="43" t="s">
        <v>806</v>
      </c>
      <c r="C701" s="43" t="s">
        <v>822</v>
      </c>
      <c r="D701" s="43" t="s">
        <v>823</v>
      </c>
      <c r="E701" s="44" t="s">
        <v>13</v>
      </c>
      <c r="F701" s="52">
        <v>25</v>
      </c>
      <c r="G701" s="52"/>
      <c r="H701" s="44" t="s">
        <v>13</v>
      </c>
      <c r="I701" s="50" t="s">
        <v>14</v>
      </c>
      <c r="J701" s="50"/>
      <c r="K701" s="47" t="s">
        <v>8</v>
      </c>
      <c r="L701" s="48">
        <v>2095354.34</v>
      </c>
    </row>
    <row r="702" spans="1:12" ht="71.400000000000006" hidden="1" x14ac:dyDescent="0.3">
      <c r="A702" s="42" t="s">
        <v>772</v>
      </c>
      <c r="B702" s="43" t="s">
        <v>806</v>
      </c>
      <c r="C702" s="43" t="s">
        <v>824</v>
      </c>
      <c r="D702" s="43" t="s">
        <v>825</v>
      </c>
      <c r="E702" s="44" t="s">
        <v>13</v>
      </c>
      <c r="F702" s="45" t="s">
        <v>14</v>
      </c>
      <c r="G702" s="45"/>
      <c r="H702" s="44" t="s">
        <v>13</v>
      </c>
      <c r="I702" s="51">
        <v>74.2</v>
      </c>
      <c r="J702" s="51"/>
      <c r="K702" s="47" t="s">
        <v>8</v>
      </c>
      <c r="L702" s="48">
        <v>932775.13</v>
      </c>
    </row>
    <row r="703" spans="1:12" ht="71.400000000000006" hidden="1" x14ac:dyDescent="0.3">
      <c r="A703" s="42" t="s">
        <v>772</v>
      </c>
      <c r="B703" s="43" t="s">
        <v>806</v>
      </c>
      <c r="C703" s="43" t="s">
        <v>824</v>
      </c>
      <c r="D703" s="43" t="s">
        <v>825</v>
      </c>
      <c r="E703" s="44" t="s">
        <v>13</v>
      </c>
      <c r="F703" s="52">
        <v>74.2</v>
      </c>
      <c r="G703" s="52"/>
      <c r="H703" s="44" t="s">
        <v>13</v>
      </c>
      <c r="I703" s="50" t="s">
        <v>14</v>
      </c>
      <c r="J703" s="50"/>
      <c r="K703" s="47" t="s">
        <v>8</v>
      </c>
      <c r="L703" s="48">
        <v>2095428.54</v>
      </c>
    </row>
    <row r="704" spans="1:12" ht="71.400000000000006" hidden="1" x14ac:dyDescent="0.3">
      <c r="A704" s="42" t="s">
        <v>772</v>
      </c>
      <c r="B704" s="43" t="s">
        <v>806</v>
      </c>
      <c r="C704" s="43" t="s">
        <v>826</v>
      </c>
      <c r="D704" s="43" t="s">
        <v>827</v>
      </c>
      <c r="E704" s="44" t="s">
        <v>13</v>
      </c>
      <c r="F704" s="45" t="s">
        <v>14</v>
      </c>
      <c r="G704" s="45"/>
      <c r="H704" s="44" t="s">
        <v>13</v>
      </c>
      <c r="I704" s="51">
        <v>15.1</v>
      </c>
      <c r="J704" s="51"/>
      <c r="K704" s="47" t="s">
        <v>8</v>
      </c>
      <c r="L704" s="48">
        <v>932760.03</v>
      </c>
    </row>
    <row r="705" spans="1:12" ht="71.400000000000006" hidden="1" x14ac:dyDescent="0.3">
      <c r="A705" s="42" t="s">
        <v>772</v>
      </c>
      <c r="B705" s="43" t="s">
        <v>806</v>
      </c>
      <c r="C705" s="43" t="s">
        <v>826</v>
      </c>
      <c r="D705" s="43" t="s">
        <v>827</v>
      </c>
      <c r="E705" s="44" t="s">
        <v>13</v>
      </c>
      <c r="F705" s="52">
        <v>15.1</v>
      </c>
      <c r="G705" s="52"/>
      <c r="H705" s="44" t="s">
        <v>13</v>
      </c>
      <c r="I705" s="50" t="s">
        <v>14</v>
      </c>
      <c r="J705" s="50"/>
      <c r="K705" s="47" t="s">
        <v>8</v>
      </c>
      <c r="L705" s="48">
        <v>2095443.64</v>
      </c>
    </row>
    <row r="706" spans="1:12" ht="61.2" hidden="1" x14ac:dyDescent="0.3">
      <c r="A706" s="42" t="s">
        <v>772</v>
      </c>
      <c r="B706" s="43" t="s">
        <v>806</v>
      </c>
      <c r="C706" s="43" t="s">
        <v>828</v>
      </c>
      <c r="D706" s="43" t="s">
        <v>829</v>
      </c>
      <c r="E706" s="44" t="s">
        <v>13</v>
      </c>
      <c r="F706" s="45" t="s">
        <v>14</v>
      </c>
      <c r="G706" s="45"/>
      <c r="H706" s="44" t="s">
        <v>13</v>
      </c>
      <c r="I706" s="51">
        <v>21.2</v>
      </c>
      <c r="J706" s="51"/>
      <c r="K706" s="47" t="s">
        <v>8</v>
      </c>
      <c r="L706" s="48">
        <v>932738.83</v>
      </c>
    </row>
    <row r="707" spans="1:12" ht="61.2" hidden="1" x14ac:dyDescent="0.3">
      <c r="A707" s="42" t="s">
        <v>772</v>
      </c>
      <c r="B707" s="43" t="s">
        <v>806</v>
      </c>
      <c r="C707" s="43" t="s">
        <v>828</v>
      </c>
      <c r="D707" s="43" t="s">
        <v>829</v>
      </c>
      <c r="E707" s="44" t="s">
        <v>13</v>
      </c>
      <c r="F707" s="52">
        <v>21.2</v>
      </c>
      <c r="G707" s="52"/>
      <c r="H707" s="44" t="s">
        <v>13</v>
      </c>
      <c r="I707" s="50" t="s">
        <v>14</v>
      </c>
      <c r="J707" s="50"/>
      <c r="K707" s="47" t="s">
        <v>8</v>
      </c>
      <c r="L707" s="48">
        <v>2095464.84</v>
      </c>
    </row>
    <row r="708" spans="1:12" ht="71.400000000000006" hidden="1" x14ac:dyDescent="0.3">
      <c r="A708" s="42" t="s">
        <v>772</v>
      </c>
      <c r="B708" s="43" t="s">
        <v>806</v>
      </c>
      <c r="C708" s="43" t="s">
        <v>830</v>
      </c>
      <c r="D708" s="43" t="s">
        <v>831</v>
      </c>
      <c r="E708" s="44" t="s">
        <v>13</v>
      </c>
      <c r="F708" s="45" t="s">
        <v>14</v>
      </c>
      <c r="G708" s="45"/>
      <c r="H708" s="44" t="s">
        <v>13</v>
      </c>
      <c r="I708" s="51">
        <v>34</v>
      </c>
      <c r="J708" s="51"/>
      <c r="K708" s="47" t="s">
        <v>8</v>
      </c>
      <c r="L708" s="48">
        <v>932704.83</v>
      </c>
    </row>
    <row r="709" spans="1:12" ht="71.400000000000006" hidden="1" x14ac:dyDescent="0.3">
      <c r="A709" s="42" t="s">
        <v>772</v>
      </c>
      <c r="B709" s="43" t="s">
        <v>806</v>
      </c>
      <c r="C709" s="43" t="s">
        <v>830</v>
      </c>
      <c r="D709" s="43" t="s">
        <v>831</v>
      </c>
      <c r="E709" s="44" t="s">
        <v>13</v>
      </c>
      <c r="F709" s="52">
        <v>34</v>
      </c>
      <c r="G709" s="52"/>
      <c r="H709" s="44" t="s">
        <v>13</v>
      </c>
      <c r="I709" s="50" t="s">
        <v>14</v>
      </c>
      <c r="J709" s="50"/>
      <c r="K709" s="47" t="s">
        <v>8</v>
      </c>
      <c r="L709" s="48">
        <v>2095498.84</v>
      </c>
    </row>
    <row r="710" spans="1:12" ht="61.2" hidden="1" x14ac:dyDescent="0.3">
      <c r="A710" s="42" t="s">
        <v>772</v>
      </c>
      <c r="B710" s="43" t="s">
        <v>806</v>
      </c>
      <c r="C710" s="43" t="s">
        <v>832</v>
      </c>
      <c r="D710" s="43" t="s">
        <v>833</v>
      </c>
      <c r="E710" s="44" t="s">
        <v>13</v>
      </c>
      <c r="F710" s="52">
        <v>254.8</v>
      </c>
      <c r="G710" s="52"/>
      <c r="H710" s="44" t="s">
        <v>13</v>
      </c>
      <c r="I710" s="50" t="s">
        <v>14</v>
      </c>
      <c r="J710" s="50"/>
      <c r="K710" s="47" t="s">
        <v>8</v>
      </c>
      <c r="L710" s="48">
        <v>2095753.64</v>
      </c>
    </row>
    <row r="711" spans="1:12" ht="61.2" hidden="1" x14ac:dyDescent="0.3">
      <c r="A711" s="42" t="s">
        <v>772</v>
      </c>
      <c r="B711" s="43" t="s">
        <v>806</v>
      </c>
      <c r="C711" s="43" t="s">
        <v>832</v>
      </c>
      <c r="D711" s="43" t="s">
        <v>833</v>
      </c>
      <c r="E711" s="44" t="s">
        <v>13</v>
      </c>
      <c r="F711" s="45" t="s">
        <v>14</v>
      </c>
      <c r="G711" s="45"/>
      <c r="H711" s="44" t="s">
        <v>13</v>
      </c>
      <c r="I711" s="51">
        <v>254.8</v>
      </c>
      <c r="J711" s="51"/>
      <c r="K711" s="47" t="s">
        <v>8</v>
      </c>
      <c r="L711" s="48">
        <v>932450.03</v>
      </c>
    </row>
    <row r="712" spans="1:12" ht="71.400000000000006" hidden="1" x14ac:dyDescent="0.3">
      <c r="A712" s="42" t="s">
        <v>772</v>
      </c>
      <c r="B712" s="43" t="s">
        <v>806</v>
      </c>
      <c r="C712" s="43" t="s">
        <v>834</v>
      </c>
      <c r="D712" s="43" t="s">
        <v>835</v>
      </c>
      <c r="E712" s="44" t="s">
        <v>13</v>
      </c>
      <c r="F712" s="49">
        <v>1322.5</v>
      </c>
      <c r="G712" s="49"/>
      <c r="H712" s="44" t="s">
        <v>13</v>
      </c>
      <c r="I712" s="50" t="s">
        <v>14</v>
      </c>
      <c r="J712" s="50"/>
      <c r="K712" s="47" t="s">
        <v>8</v>
      </c>
      <c r="L712" s="48">
        <v>2097076.14</v>
      </c>
    </row>
    <row r="713" spans="1:12" ht="71.400000000000006" hidden="1" x14ac:dyDescent="0.3">
      <c r="A713" s="42" t="s">
        <v>772</v>
      </c>
      <c r="B713" s="43" t="s">
        <v>806</v>
      </c>
      <c r="C713" s="43" t="s">
        <v>834</v>
      </c>
      <c r="D713" s="43" t="s">
        <v>835</v>
      </c>
      <c r="E713" s="44" t="s">
        <v>13</v>
      </c>
      <c r="F713" s="45" t="s">
        <v>14</v>
      </c>
      <c r="G713" s="45"/>
      <c r="H713" s="44" t="s">
        <v>13</v>
      </c>
      <c r="I713" s="46">
        <v>1322.5</v>
      </c>
      <c r="J713" s="46"/>
      <c r="K713" s="47" t="s">
        <v>8</v>
      </c>
      <c r="L713" s="48">
        <v>931127.53</v>
      </c>
    </row>
    <row r="714" spans="1:12" ht="71.400000000000006" hidden="1" x14ac:dyDescent="0.3">
      <c r="A714" s="42" t="s">
        <v>772</v>
      </c>
      <c r="B714" s="43" t="s">
        <v>806</v>
      </c>
      <c r="C714" s="43" t="s">
        <v>836</v>
      </c>
      <c r="D714" s="43" t="s">
        <v>837</v>
      </c>
      <c r="E714" s="44" t="s">
        <v>13</v>
      </c>
      <c r="F714" s="52">
        <v>774.9</v>
      </c>
      <c r="G714" s="52"/>
      <c r="H714" s="44" t="s">
        <v>13</v>
      </c>
      <c r="I714" s="50" t="s">
        <v>14</v>
      </c>
      <c r="J714" s="50"/>
      <c r="K714" s="47" t="s">
        <v>8</v>
      </c>
      <c r="L714" s="48">
        <v>2097851.04</v>
      </c>
    </row>
    <row r="715" spans="1:12" ht="71.400000000000006" hidden="1" x14ac:dyDescent="0.3">
      <c r="A715" s="42" t="s">
        <v>772</v>
      </c>
      <c r="B715" s="43" t="s">
        <v>806</v>
      </c>
      <c r="C715" s="43" t="s">
        <v>836</v>
      </c>
      <c r="D715" s="43" t="s">
        <v>837</v>
      </c>
      <c r="E715" s="44" t="s">
        <v>13</v>
      </c>
      <c r="F715" s="45" t="s">
        <v>14</v>
      </c>
      <c r="G715" s="45"/>
      <c r="H715" s="44" t="s">
        <v>13</v>
      </c>
      <c r="I715" s="51">
        <v>774.9</v>
      </c>
      <c r="J715" s="51"/>
      <c r="K715" s="47" t="s">
        <v>8</v>
      </c>
      <c r="L715" s="48">
        <v>930352.63</v>
      </c>
    </row>
    <row r="716" spans="1:12" ht="71.400000000000006" hidden="1" x14ac:dyDescent="0.3">
      <c r="A716" s="42" t="s">
        <v>772</v>
      </c>
      <c r="B716" s="43" t="s">
        <v>806</v>
      </c>
      <c r="C716" s="43" t="s">
        <v>838</v>
      </c>
      <c r="D716" s="43" t="s">
        <v>839</v>
      </c>
      <c r="E716" s="44" t="s">
        <v>13</v>
      </c>
      <c r="F716" s="52">
        <v>151</v>
      </c>
      <c r="G716" s="52"/>
      <c r="H716" s="44" t="s">
        <v>13</v>
      </c>
      <c r="I716" s="50" t="s">
        <v>14</v>
      </c>
      <c r="J716" s="50"/>
      <c r="K716" s="47" t="s">
        <v>8</v>
      </c>
      <c r="L716" s="48">
        <v>2098002.04</v>
      </c>
    </row>
    <row r="717" spans="1:12" ht="71.400000000000006" hidden="1" x14ac:dyDescent="0.3">
      <c r="A717" s="42" t="s">
        <v>772</v>
      </c>
      <c r="B717" s="43" t="s">
        <v>806</v>
      </c>
      <c r="C717" s="43" t="s">
        <v>838</v>
      </c>
      <c r="D717" s="43" t="s">
        <v>839</v>
      </c>
      <c r="E717" s="44" t="s">
        <v>13</v>
      </c>
      <c r="F717" s="45" t="s">
        <v>14</v>
      </c>
      <c r="G717" s="45"/>
      <c r="H717" s="44" t="s">
        <v>13</v>
      </c>
      <c r="I717" s="51">
        <v>151</v>
      </c>
      <c r="J717" s="51"/>
      <c r="K717" s="47" t="s">
        <v>8</v>
      </c>
      <c r="L717" s="48">
        <v>930201.63</v>
      </c>
    </row>
    <row r="718" spans="1:12" ht="71.400000000000006" hidden="1" x14ac:dyDescent="0.3">
      <c r="A718" s="42" t="s">
        <v>772</v>
      </c>
      <c r="B718" s="43" t="s">
        <v>806</v>
      </c>
      <c r="C718" s="43" t="s">
        <v>840</v>
      </c>
      <c r="D718" s="43" t="s">
        <v>841</v>
      </c>
      <c r="E718" s="44" t="s">
        <v>13</v>
      </c>
      <c r="F718" s="45" t="s">
        <v>14</v>
      </c>
      <c r="G718" s="45"/>
      <c r="H718" s="44" t="s">
        <v>13</v>
      </c>
      <c r="I718" s="51">
        <v>552.5</v>
      </c>
      <c r="J718" s="51"/>
      <c r="K718" s="47" t="s">
        <v>8</v>
      </c>
      <c r="L718" s="48">
        <v>929649.13</v>
      </c>
    </row>
    <row r="719" spans="1:12" ht="71.400000000000006" hidden="1" x14ac:dyDescent="0.3">
      <c r="A719" s="42" t="s">
        <v>772</v>
      </c>
      <c r="B719" s="43" t="s">
        <v>806</v>
      </c>
      <c r="C719" s="43" t="s">
        <v>840</v>
      </c>
      <c r="D719" s="43" t="s">
        <v>841</v>
      </c>
      <c r="E719" s="44" t="s">
        <v>13</v>
      </c>
      <c r="F719" s="52">
        <v>552.5</v>
      </c>
      <c r="G719" s="52"/>
      <c r="H719" s="44" t="s">
        <v>13</v>
      </c>
      <c r="I719" s="50" t="s">
        <v>14</v>
      </c>
      <c r="J719" s="50"/>
      <c r="K719" s="47" t="s">
        <v>8</v>
      </c>
      <c r="L719" s="48">
        <v>2098554.54</v>
      </c>
    </row>
    <row r="720" spans="1:12" ht="71.400000000000006" hidden="1" x14ac:dyDescent="0.3">
      <c r="A720" s="42" t="s">
        <v>772</v>
      </c>
      <c r="B720" s="43" t="s">
        <v>806</v>
      </c>
      <c r="C720" s="43" t="s">
        <v>842</v>
      </c>
      <c r="D720" s="43" t="s">
        <v>843</v>
      </c>
      <c r="E720" s="44" t="s">
        <v>13</v>
      </c>
      <c r="F720" s="45" t="s">
        <v>14</v>
      </c>
      <c r="G720" s="45"/>
      <c r="H720" s="44" t="s">
        <v>13</v>
      </c>
      <c r="I720" s="46">
        <v>1893.6</v>
      </c>
      <c r="J720" s="46"/>
      <c r="K720" s="47" t="s">
        <v>8</v>
      </c>
      <c r="L720" s="48">
        <v>927755.53</v>
      </c>
    </row>
    <row r="721" spans="1:12" ht="71.400000000000006" hidden="1" x14ac:dyDescent="0.3">
      <c r="A721" s="42" t="s">
        <v>772</v>
      </c>
      <c r="B721" s="43" t="s">
        <v>806</v>
      </c>
      <c r="C721" s="43" t="s">
        <v>842</v>
      </c>
      <c r="D721" s="43" t="s">
        <v>843</v>
      </c>
      <c r="E721" s="44" t="s">
        <v>13</v>
      </c>
      <c r="F721" s="49">
        <v>1893.6</v>
      </c>
      <c r="G721" s="49"/>
      <c r="H721" s="44" t="s">
        <v>13</v>
      </c>
      <c r="I721" s="50" t="s">
        <v>14</v>
      </c>
      <c r="J721" s="50"/>
      <c r="K721" s="47" t="s">
        <v>8</v>
      </c>
      <c r="L721" s="48">
        <v>2100448.14</v>
      </c>
    </row>
    <row r="722" spans="1:12" ht="71.400000000000006" hidden="1" x14ac:dyDescent="0.3">
      <c r="A722" s="42" t="s">
        <v>772</v>
      </c>
      <c r="B722" s="43" t="s">
        <v>844</v>
      </c>
      <c r="C722" s="43" t="s">
        <v>845</v>
      </c>
      <c r="D722" s="43" t="s">
        <v>846</v>
      </c>
      <c r="E722" s="44" t="s">
        <v>13</v>
      </c>
      <c r="F722" s="49">
        <v>9180</v>
      </c>
      <c r="G722" s="49"/>
      <c r="H722" s="44" t="s">
        <v>19</v>
      </c>
      <c r="I722" s="50" t="s">
        <v>14</v>
      </c>
      <c r="J722" s="50"/>
      <c r="K722" s="47" t="s">
        <v>8</v>
      </c>
      <c r="L722" s="48">
        <v>93212.12</v>
      </c>
    </row>
    <row r="723" spans="1:12" ht="71.400000000000006" hidden="1" x14ac:dyDescent="0.3">
      <c r="A723" s="42" t="s">
        <v>772</v>
      </c>
      <c r="B723" s="43" t="s">
        <v>844</v>
      </c>
      <c r="C723" s="43" t="s">
        <v>847</v>
      </c>
      <c r="D723" s="43" t="s">
        <v>846</v>
      </c>
      <c r="E723" s="44" t="s">
        <v>13</v>
      </c>
      <c r="F723" s="49">
        <v>6300</v>
      </c>
      <c r="G723" s="49"/>
      <c r="H723" s="44" t="s">
        <v>19</v>
      </c>
      <c r="I723" s="50" t="s">
        <v>14</v>
      </c>
      <c r="J723" s="50"/>
      <c r="K723" s="47" t="s">
        <v>8</v>
      </c>
      <c r="L723" s="48">
        <v>99512.12</v>
      </c>
    </row>
    <row r="724" spans="1:12" ht="71.400000000000006" hidden="1" x14ac:dyDescent="0.3">
      <c r="A724" s="42" t="s">
        <v>772</v>
      </c>
      <c r="B724" s="43" t="s">
        <v>848</v>
      </c>
      <c r="C724" s="43" t="s">
        <v>849</v>
      </c>
      <c r="D724" s="43" t="s">
        <v>847</v>
      </c>
      <c r="E724" s="44" t="s">
        <v>13</v>
      </c>
      <c r="F724" s="45" t="s">
        <v>14</v>
      </c>
      <c r="G724" s="45"/>
      <c r="H724" s="44" t="s">
        <v>13</v>
      </c>
      <c r="I724" s="46">
        <v>6300</v>
      </c>
      <c r="J724" s="46"/>
      <c r="K724" s="47" t="s">
        <v>8</v>
      </c>
      <c r="L724" s="48">
        <v>93212.12</v>
      </c>
    </row>
    <row r="725" spans="1:12" ht="71.400000000000006" hidden="1" x14ac:dyDescent="0.3">
      <c r="A725" s="42" t="s">
        <v>772</v>
      </c>
      <c r="B725" s="43" t="s">
        <v>848</v>
      </c>
      <c r="C725" s="43" t="s">
        <v>849</v>
      </c>
      <c r="D725" s="43" t="s">
        <v>847</v>
      </c>
      <c r="E725" s="44" t="s">
        <v>13</v>
      </c>
      <c r="F725" s="49">
        <v>6300</v>
      </c>
      <c r="G725" s="49"/>
      <c r="H725" s="44" t="s">
        <v>13</v>
      </c>
      <c r="I725" s="50" t="s">
        <v>14</v>
      </c>
      <c r="J725" s="50"/>
      <c r="K725" s="47" t="s">
        <v>8</v>
      </c>
      <c r="L725" s="48">
        <v>4604674.8600000003</v>
      </c>
    </row>
    <row r="726" spans="1:12" ht="61.2" x14ac:dyDescent="0.3">
      <c r="A726" s="42" t="s">
        <v>772</v>
      </c>
      <c r="B726" s="43" t="s">
        <v>850</v>
      </c>
      <c r="C726" s="43" t="s">
        <v>363</v>
      </c>
      <c r="D726" s="43" t="s">
        <v>851</v>
      </c>
      <c r="E726" s="44" t="s">
        <v>24</v>
      </c>
      <c r="F726" s="45" t="s">
        <v>14</v>
      </c>
      <c r="G726" s="45"/>
      <c r="H726" s="44" t="s">
        <v>13</v>
      </c>
      <c r="I726" s="46">
        <v>15416.67</v>
      </c>
      <c r="J726" s="46"/>
      <c r="K726" s="47" t="s">
        <v>8</v>
      </c>
      <c r="L726" s="48">
        <v>4589258.1900000004</v>
      </c>
    </row>
    <row r="727" spans="1:12" ht="61.2" x14ac:dyDescent="0.3">
      <c r="A727" s="42" t="s">
        <v>772</v>
      </c>
      <c r="B727" s="43" t="s">
        <v>850</v>
      </c>
      <c r="C727" s="43" t="s">
        <v>363</v>
      </c>
      <c r="D727" s="43" t="s">
        <v>849</v>
      </c>
      <c r="E727" s="44" t="s">
        <v>24</v>
      </c>
      <c r="F727" s="45" t="s">
        <v>14</v>
      </c>
      <c r="G727" s="45"/>
      <c r="H727" s="44" t="s">
        <v>13</v>
      </c>
      <c r="I727" s="46">
        <v>6300</v>
      </c>
      <c r="J727" s="46"/>
      <c r="K727" s="47" t="s">
        <v>8</v>
      </c>
      <c r="L727" s="48">
        <v>4582958.1900000004</v>
      </c>
    </row>
    <row r="728" spans="1:12" ht="61.2" x14ac:dyDescent="0.3">
      <c r="A728" s="42" t="s">
        <v>772</v>
      </c>
      <c r="B728" s="43" t="s">
        <v>852</v>
      </c>
      <c r="C728" s="43" t="s">
        <v>363</v>
      </c>
      <c r="D728" s="43" t="s">
        <v>853</v>
      </c>
      <c r="E728" s="44" t="s">
        <v>24</v>
      </c>
      <c r="F728" s="45" t="s">
        <v>14</v>
      </c>
      <c r="G728" s="45"/>
      <c r="H728" s="44" t="s">
        <v>13</v>
      </c>
      <c r="I728" s="46">
        <v>11265.41</v>
      </c>
      <c r="J728" s="46"/>
      <c r="K728" s="47" t="s">
        <v>8</v>
      </c>
      <c r="L728" s="48">
        <v>4571692.78</v>
      </c>
    </row>
    <row r="729" spans="1:12" ht="61.2" x14ac:dyDescent="0.3">
      <c r="A729" s="42" t="s">
        <v>772</v>
      </c>
      <c r="B729" s="43" t="s">
        <v>852</v>
      </c>
      <c r="C729" s="43" t="s">
        <v>363</v>
      </c>
      <c r="D729" s="43" t="s">
        <v>854</v>
      </c>
      <c r="E729" s="44" t="s">
        <v>24</v>
      </c>
      <c r="F729" s="45" t="s">
        <v>14</v>
      </c>
      <c r="G729" s="45"/>
      <c r="H729" s="44" t="s">
        <v>13</v>
      </c>
      <c r="I729" s="46">
        <v>17338.11</v>
      </c>
      <c r="J729" s="46"/>
      <c r="K729" s="47" t="s">
        <v>8</v>
      </c>
      <c r="L729" s="48">
        <v>4554354.67</v>
      </c>
    </row>
    <row r="730" spans="1:12" ht="51" x14ac:dyDescent="0.3">
      <c r="A730" s="42" t="s">
        <v>772</v>
      </c>
      <c r="B730" s="43" t="s">
        <v>852</v>
      </c>
      <c r="C730" s="43" t="s">
        <v>363</v>
      </c>
      <c r="D730" s="43" t="s">
        <v>84</v>
      </c>
      <c r="E730" s="44" t="s">
        <v>24</v>
      </c>
      <c r="F730" s="45" t="s">
        <v>14</v>
      </c>
      <c r="G730" s="45"/>
      <c r="H730" s="44" t="s">
        <v>13</v>
      </c>
      <c r="I730" s="46">
        <v>2169.5500000000002</v>
      </c>
      <c r="J730" s="46"/>
      <c r="K730" s="47" t="s">
        <v>8</v>
      </c>
      <c r="L730" s="48">
        <v>4552185.12</v>
      </c>
    </row>
    <row r="731" spans="1:12" ht="71.400000000000006" x14ac:dyDescent="0.3">
      <c r="A731" s="42" t="s">
        <v>772</v>
      </c>
      <c r="B731" s="43" t="s">
        <v>852</v>
      </c>
      <c r="C731" s="43" t="s">
        <v>363</v>
      </c>
      <c r="D731" s="43" t="s">
        <v>855</v>
      </c>
      <c r="E731" s="44" t="s">
        <v>24</v>
      </c>
      <c r="F731" s="45" t="s">
        <v>14</v>
      </c>
      <c r="G731" s="45"/>
      <c r="H731" s="44" t="s">
        <v>13</v>
      </c>
      <c r="I731" s="51">
        <v>963.63</v>
      </c>
      <c r="J731" s="51"/>
      <c r="K731" s="47" t="s">
        <v>8</v>
      </c>
      <c r="L731" s="48">
        <v>4551221.49</v>
      </c>
    </row>
    <row r="732" spans="1:12" ht="61.2" x14ac:dyDescent="0.3">
      <c r="A732" s="42" t="s">
        <v>772</v>
      </c>
      <c r="B732" s="43" t="s">
        <v>852</v>
      </c>
      <c r="C732" s="43" t="s">
        <v>363</v>
      </c>
      <c r="D732" s="43" t="s">
        <v>856</v>
      </c>
      <c r="E732" s="44" t="s">
        <v>24</v>
      </c>
      <c r="F732" s="45" t="s">
        <v>14</v>
      </c>
      <c r="G732" s="45"/>
      <c r="H732" s="44" t="s">
        <v>13</v>
      </c>
      <c r="I732" s="46">
        <v>12202.51</v>
      </c>
      <c r="J732" s="46"/>
      <c r="K732" s="47" t="s">
        <v>8</v>
      </c>
      <c r="L732" s="48">
        <v>4539018.9800000004</v>
      </c>
    </row>
    <row r="733" spans="1:12" ht="61.2" x14ac:dyDescent="0.3">
      <c r="A733" s="42" t="s">
        <v>772</v>
      </c>
      <c r="B733" s="43" t="s">
        <v>852</v>
      </c>
      <c r="C733" s="43" t="s">
        <v>363</v>
      </c>
      <c r="D733" s="43" t="s">
        <v>857</v>
      </c>
      <c r="E733" s="44" t="s">
        <v>24</v>
      </c>
      <c r="F733" s="45" t="s">
        <v>14</v>
      </c>
      <c r="G733" s="45"/>
      <c r="H733" s="44" t="s">
        <v>13</v>
      </c>
      <c r="I733" s="51">
        <v>100.2</v>
      </c>
      <c r="J733" s="51"/>
      <c r="K733" s="47" t="s">
        <v>8</v>
      </c>
      <c r="L733" s="48">
        <v>4538918.78</v>
      </c>
    </row>
    <row r="734" spans="1:12" ht="61.2" x14ac:dyDescent="0.3">
      <c r="A734" s="42" t="s">
        <v>772</v>
      </c>
      <c r="B734" s="43" t="s">
        <v>852</v>
      </c>
      <c r="C734" s="43" t="s">
        <v>363</v>
      </c>
      <c r="D734" s="43" t="s">
        <v>858</v>
      </c>
      <c r="E734" s="44" t="s">
        <v>24</v>
      </c>
      <c r="F734" s="45" t="s">
        <v>14</v>
      </c>
      <c r="G734" s="45"/>
      <c r="H734" s="44" t="s">
        <v>13</v>
      </c>
      <c r="I734" s="51">
        <v>276.60000000000002</v>
      </c>
      <c r="J734" s="51"/>
      <c r="K734" s="47" t="s">
        <v>8</v>
      </c>
      <c r="L734" s="48">
        <v>4538642.18</v>
      </c>
    </row>
    <row r="735" spans="1:12" ht="61.2" x14ac:dyDescent="0.3">
      <c r="A735" s="42" t="s">
        <v>772</v>
      </c>
      <c r="B735" s="43" t="s">
        <v>852</v>
      </c>
      <c r="C735" s="43" t="s">
        <v>363</v>
      </c>
      <c r="D735" s="43" t="s">
        <v>357</v>
      </c>
      <c r="E735" s="44" t="s">
        <v>24</v>
      </c>
      <c r="F735" s="45" t="s">
        <v>14</v>
      </c>
      <c r="G735" s="45"/>
      <c r="H735" s="44" t="s">
        <v>13</v>
      </c>
      <c r="I735" s="46">
        <v>1422.29</v>
      </c>
      <c r="J735" s="46"/>
      <c r="K735" s="47" t="s">
        <v>8</v>
      </c>
      <c r="L735" s="48">
        <v>4537219.8899999997</v>
      </c>
    </row>
    <row r="736" spans="1:12" ht="61.2" x14ac:dyDescent="0.3">
      <c r="A736" s="42" t="s">
        <v>772</v>
      </c>
      <c r="B736" s="43" t="s">
        <v>852</v>
      </c>
      <c r="C736" s="43" t="s">
        <v>363</v>
      </c>
      <c r="D736" s="43" t="s">
        <v>702</v>
      </c>
      <c r="E736" s="44" t="s">
        <v>24</v>
      </c>
      <c r="F736" s="45" t="s">
        <v>14</v>
      </c>
      <c r="G736" s="45"/>
      <c r="H736" s="44" t="s">
        <v>13</v>
      </c>
      <c r="I736" s="51">
        <v>206.07</v>
      </c>
      <c r="J736" s="51"/>
      <c r="K736" s="47" t="s">
        <v>8</v>
      </c>
      <c r="L736" s="48">
        <v>4537013.82</v>
      </c>
    </row>
    <row r="737" spans="1:12" ht="61.2" x14ac:dyDescent="0.3">
      <c r="A737" s="42" t="s">
        <v>772</v>
      </c>
      <c r="B737" s="43" t="s">
        <v>859</v>
      </c>
      <c r="C737" s="43" t="s">
        <v>363</v>
      </c>
      <c r="D737" s="43" t="s">
        <v>700</v>
      </c>
      <c r="E737" s="44" t="s">
        <v>24</v>
      </c>
      <c r="F737" s="45" t="s">
        <v>14</v>
      </c>
      <c r="G737" s="45"/>
      <c r="H737" s="44" t="s">
        <v>13</v>
      </c>
      <c r="I737" s="46">
        <v>6555</v>
      </c>
      <c r="J737" s="46"/>
      <c r="K737" s="47" t="s">
        <v>8</v>
      </c>
      <c r="L737" s="48">
        <v>2475001.3199999998</v>
      </c>
    </row>
    <row r="738" spans="1:12" ht="61.2" x14ac:dyDescent="0.3">
      <c r="A738" s="42" t="s">
        <v>772</v>
      </c>
      <c r="B738" s="43" t="s">
        <v>859</v>
      </c>
      <c r="C738" s="43" t="s">
        <v>363</v>
      </c>
      <c r="D738" s="43" t="s">
        <v>701</v>
      </c>
      <c r="E738" s="44" t="s">
        <v>24</v>
      </c>
      <c r="F738" s="45" t="s">
        <v>14</v>
      </c>
      <c r="G738" s="45"/>
      <c r="H738" s="44" t="s">
        <v>13</v>
      </c>
      <c r="I738" s="51">
        <v>197.14</v>
      </c>
      <c r="J738" s="51"/>
      <c r="K738" s="47" t="s">
        <v>8</v>
      </c>
      <c r="L738" s="48">
        <v>2474804.1800000002</v>
      </c>
    </row>
    <row r="739" spans="1:12" ht="61.2" x14ac:dyDescent="0.3">
      <c r="A739" s="42" t="s">
        <v>772</v>
      </c>
      <c r="B739" s="43" t="s">
        <v>859</v>
      </c>
      <c r="C739" s="43" t="s">
        <v>363</v>
      </c>
      <c r="D739" s="43" t="s">
        <v>703</v>
      </c>
      <c r="E739" s="44" t="s">
        <v>24</v>
      </c>
      <c r="F739" s="45" t="s">
        <v>14</v>
      </c>
      <c r="G739" s="45"/>
      <c r="H739" s="44" t="s">
        <v>13</v>
      </c>
      <c r="I739" s="51">
        <v>752.35</v>
      </c>
      <c r="J739" s="51"/>
      <c r="K739" s="47" t="s">
        <v>8</v>
      </c>
      <c r="L739" s="48">
        <v>2474051.83</v>
      </c>
    </row>
    <row r="740" spans="1:12" ht="61.2" x14ac:dyDescent="0.3">
      <c r="A740" s="42" t="s">
        <v>772</v>
      </c>
      <c r="B740" s="43" t="s">
        <v>860</v>
      </c>
      <c r="C740" s="43" t="s">
        <v>363</v>
      </c>
      <c r="D740" s="43" t="s">
        <v>861</v>
      </c>
      <c r="E740" s="44" t="s">
        <v>24</v>
      </c>
      <c r="F740" s="45" t="s">
        <v>14</v>
      </c>
      <c r="G740" s="45"/>
      <c r="H740" s="44" t="s">
        <v>13</v>
      </c>
      <c r="I740" s="46">
        <v>14250</v>
      </c>
      <c r="J740" s="46"/>
      <c r="K740" s="47" t="s">
        <v>8</v>
      </c>
      <c r="L740" s="48">
        <v>322955.45</v>
      </c>
    </row>
    <row r="741" spans="1:12" ht="61.2" x14ac:dyDescent="0.3">
      <c r="A741" s="42" t="s">
        <v>772</v>
      </c>
      <c r="B741" s="43" t="s">
        <v>860</v>
      </c>
      <c r="C741" s="43" t="s">
        <v>363</v>
      </c>
      <c r="D741" s="43" t="s">
        <v>862</v>
      </c>
      <c r="E741" s="44" t="s">
        <v>24</v>
      </c>
      <c r="F741" s="45" t="s">
        <v>14</v>
      </c>
      <c r="G741" s="45"/>
      <c r="H741" s="44" t="s">
        <v>13</v>
      </c>
      <c r="I741" s="46">
        <v>16666.68</v>
      </c>
      <c r="J741" s="46"/>
      <c r="K741" s="47" t="s">
        <v>8</v>
      </c>
      <c r="L741" s="48">
        <v>306288.77</v>
      </c>
    </row>
    <row r="742" spans="1:12" ht="61.2" x14ac:dyDescent="0.3">
      <c r="A742" s="42" t="s">
        <v>772</v>
      </c>
      <c r="B742" s="43" t="s">
        <v>860</v>
      </c>
      <c r="C742" s="43" t="s">
        <v>363</v>
      </c>
      <c r="D742" s="43" t="s">
        <v>208</v>
      </c>
      <c r="E742" s="44" t="s">
        <v>24</v>
      </c>
      <c r="F742" s="45" t="s">
        <v>14</v>
      </c>
      <c r="G742" s="45"/>
      <c r="H742" s="44" t="s">
        <v>13</v>
      </c>
      <c r="I742" s="46">
        <v>12421.42</v>
      </c>
      <c r="J742" s="46"/>
      <c r="K742" s="47" t="s">
        <v>8</v>
      </c>
      <c r="L742" s="48">
        <v>293867.34999999998</v>
      </c>
    </row>
    <row r="743" spans="1:12" ht="61.2" x14ac:dyDescent="0.3">
      <c r="A743" s="42" t="s">
        <v>772</v>
      </c>
      <c r="B743" s="43" t="s">
        <v>860</v>
      </c>
      <c r="C743" s="43" t="s">
        <v>363</v>
      </c>
      <c r="D743" s="43" t="s">
        <v>212</v>
      </c>
      <c r="E743" s="44" t="s">
        <v>24</v>
      </c>
      <c r="F743" s="45" t="s">
        <v>14</v>
      </c>
      <c r="G743" s="45"/>
      <c r="H743" s="44" t="s">
        <v>13</v>
      </c>
      <c r="I743" s="46">
        <v>1184.6099999999999</v>
      </c>
      <c r="J743" s="46"/>
      <c r="K743" s="47" t="s">
        <v>8</v>
      </c>
      <c r="L743" s="48">
        <v>292682.74</v>
      </c>
    </row>
    <row r="744" spans="1:12" ht="61.2" x14ac:dyDescent="0.3">
      <c r="A744" s="42" t="s">
        <v>772</v>
      </c>
      <c r="B744" s="43" t="s">
        <v>860</v>
      </c>
      <c r="C744" s="43" t="s">
        <v>363</v>
      </c>
      <c r="D744" s="43" t="s">
        <v>212</v>
      </c>
      <c r="E744" s="44" t="s">
        <v>24</v>
      </c>
      <c r="F744" s="45" t="s">
        <v>14</v>
      </c>
      <c r="G744" s="45"/>
      <c r="H744" s="44" t="s">
        <v>13</v>
      </c>
      <c r="I744" s="46">
        <v>12288.22</v>
      </c>
      <c r="J744" s="46"/>
      <c r="K744" s="47" t="s">
        <v>8</v>
      </c>
      <c r="L744" s="48">
        <v>280394.52</v>
      </c>
    </row>
    <row r="745" spans="1:12" ht="61.2" x14ac:dyDescent="0.3">
      <c r="A745" s="42" t="s">
        <v>772</v>
      </c>
      <c r="B745" s="43" t="s">
        <v>860</v>
      </c>
      <c r="C745" s="43" t="s">
        <v>363</v>
      </c>
      <c r="D745" s="43" t="s">
        <v>212</v>
      </c>
      <c r="E745" s="44" t="s">
        <v>24</v>
      </c>
      <c r="F745" s="45" t="s">
        <v>14</v>
      </c>
      <c r="G745" s="45"/>
      <c r="H745" s="44" t="s">
        <v>13</v>
      </c>
      <c r="I745" s="51">
        <v>133.19999999999999</v>
      </c>
      <c r="J745" s="51"/>
      <c r="K745" s="47" t="s">
        <v>8</v>
      </c>
      <c r="L745" s="48">
        <v>280261.32</v>
      </c>
    </row>
    <row r="746" spans="1:12" ht="61.2" x14ac:dyDescent="0.3">
      <c r="A746" s="42" t="s">
        <v>772</v>
      </c>
      <c r="B746" s="43" t="s">
        <v>860</v>
      </c>
      <c r="C746" s="43" t="s">
        <v>363</v>
      </c>
      <c r="D746" s="43" t="s">
        <v>239</v>
      </c>
      <c r="E746" s="44" t="s">
        <v>24</v>
      </c>
      <c r="F746" s="45" t="s">
        <v>14</v>
      </c>
      <c r="G746" s="45"/>
      <c r="H746" s="44" t="s">
        <v>13</v>
      </c>
      <c r="I746" s="46">
        <v>5988.24</v>
      </c>
      <c r="J746" s="46"/>
      <c r="K746" s="47" t="s">
        <v>8</v>
      </c>
      <c r="L746" s="48">
        <v>274273.08</v>
      </c>
    </row>
    <row r="747" spans="1:12" ht="61.2" x14ac:dyDescent="0.3">
      <c r="A747" s="42" t="s">
        <v>772</v>
      </c>
      <c r="B747" s="43" t="s">
        <v>860</v>
      </c>
      <c r="C747" s="43" t="s">
        <v>363</v>
      </c>
      <c r="D747" s="43" t="s">
        <v>239</v>
      </c>
      <c r="E747" s="44" t="s">
        <v>24</v>
      </c>
      <c r="F747" s="45" t="s">
        <v>14</v>
      </c>
      <c r="G747" s="45"/>
      <c r="H747" s="44" t="s">
        <v>13</v>
      </c>
      <c r="I747" s="46">
        <v>6299.98</v>
      </c>
      <c r="J747" s="46"/>
      <c r="K747" s="47" t="s">
        <v>8</v>
      </c>
      <c r="L747" s="48">
        <v>267973.09999999998</v>
      </c>
    </row>
    <row r="748" spans="1:12" ht="61.2" x14ac:dyDescent="0.3">
      <c r="A748" s="42" t="s">
        <v>772</v>
      </c>
      <c r="B748" s="43" t="s">
        <v>860</v>
      </c>
      <c r="C748" s="43" t="s">
        <v>363</v>
      </c>
      <c r="D748" s="43" t="s">
        <v>277</v>
      </c>
      <c r="E748" s="44" t="s">
        <v>24</v>
      </c>
      <c r="F748" s="45" t="s">
        <v>14</v>
      </c>
      <c r="G748" s="45"/>
      <c r="H748" s="44" t="s">
        <v>13</v>
      </c>
      <c r="I748" s="46">
        <v>6121.44</v>
      </c>
      <c r="J748" s="46"/>
      <c r="K748" s="47" t="s">
        <v>8</v>
      </c>
      <c r="L748" s="48">
        <v>261851.66</v>
      </c>
    </row>
    <row r="749" spans="1:12" ht="71.400000000000006" x14ac:dyDescent="0.3">
      <c r="A749" s="42" t="s">
        <v>772</v>
      </c>
      <c r="B749" s="43" t="s">
        <v>860</v>
      </c>
      <c r="C749" s="43" t="s">
        <v>363</v>
      </c>
      <c r="D749" s="43" t="s">
        <v>863</v>
      </c>
      <c r="E749" s="44" t="s">
        <v>24</v>
      </c>
      <c r="F749" s="45" t="s">
        <v>14</v>
      </c>
      <c r="G749" s="45"/>
      <c r="H749" s="44" t="s">
        <v>13</v>
      </c>
      <c r="I749" s="46">
        <v>4957.5</v>
      </c>
      <c r="J749" s="46"/>
      <c r="K749" s="47" t="s">
        <v>8</v>
      </c>
      <c r="L749" s="48">
        <v>256894.16</v>
      </c>
    </row>
    <row r="750" spans="1:12" ht="61.2" x14ac:dyDescent="0.3">
      <c r="A750" s="42" t="s">
        <v>772</v>
      </c>
      <c r="B750" s="43" t="s">
        <v>860</v>
      </c>
      <c r="C750" s="43" t="s">
        <v>363</v>
      </c>
      <c r="D750" s="43" t="s">
        <v>774</v>
      </c>
      <c r="E750" s="44" t="s">
        <v>24</v>
      </c>
      <c r="F750" s="45" t="s">
        <v>14</v>
      </c>
      <c r="G750" s="45"/>
      <c r="H750" s="44" t="s">
        <v>13</v>
      </c>
      <c r="I750" s="46">
        <v>3313.52</v>
      </c>
      <c r="J750" s="46"/>
      <c r="K750" s="47" t="s">
        <v>8</v>
      </c>
      <c r="L750" s="48">
        <v>253580.64</v>
      </c>
    </row>
    <row r="751" spans="1:12" ht="61.2" x14ac:dyDescent="0.3">
      <c r="A751" s="42" t="s">
        <v>772</v>
      </c>
      <c r="B751" s="43" t="s">
        <v>860</v>
      </c>
      <c r="C751" s="43" t="s">
        <v>363</v>
      </c>
      <c r="D751" s="43" t="s">
        <v>774</v>
      </c>
      <c r="E751" s="44" t="s">
        <v>24</v>
      </c>
      <c r="F751" s="45" t="s">
        <v>14</v>
      </c>
      <c r="G751" s="45"/>
      <c r="H751" s="44" t="s">
        <v>13</v>
      </c>
      <c r="I751" s="46">
        <v>6627.05</v>
      </c>
      <c r="J751" s="46"/>
      <c r="K751" s="47" t="s">
        <v>8</v>
      </c>
      <c r="L751" s="48">
        <v>246953.59</v>
      </c>
    </row>
    <row r="752" spans="1:12" ht="61.2" x14ac:dyDescent="0.3">
      <c r="A752" s="42" t="s">
        <v>772</v>
      </c>
      <c r="B752" s="43" t="s">
        <v>860</v>
      </c>
      <c r="C752" s="43" t="s">
        <v>363</v>
      </c>
      <c r="D752" s="43" t="s">
        <v>778</v>
      </c>
      <c r="E752" s="44" t="s">
        <v>24</v>
      </c>
      <c r="F752" s="45" t="s">
        <v>14</v>
      </c>
      <c r="G752" s="45"/>
      <c r="H752" s="44" t="s">
        <v>13</v>
      </c>
      <c r="I752" s="46">
        <v>2522.5</v>
      </c>
      <c r="J752" s="46"/>
      <c r="K752" s="47" t="s">
        <v>8</v>
      </c>
      <c r="L752" s="48">
        <v>244431.09</v>
      </c>
    </row>
    <row r="753" spans="1:12" ht="61.2" x14ac:dyDescent="0.3">
      <c r="A753" s="42" t="s">
        <v>772</v>
      </c>
      <c r="B753" s="43" t="s">
        <v>860</v>
      </c>
      <c r="C753" s="43" t="s">
        <v>363</v>
      </c>
      <c r="D753" s="43" t="s">
        <v>781</v>
      </c>
      <c r="E753" s="44" t="s">
        <v>24</v>
      </c>
      <c r="F753" s="45" t="s">
        <v>14</v>
      </c>
      <c r="G753" s="45"/>
      <c r="H753" s="44" t="s">
        <v>13</v>
      </c>
      <c r="I753" s="46">
        <v>1375.6</v>
      </c>
      <c r="J753" s="46"/>
      <c r="K753" s="47" t="s">
        <v>8</v>
      </c>
      <c r="L753" s="48">
        <v>243055.49</v>
      </c>
    </row>
    <row r="754" spans="1:12" ht="61.2" x14ac:dyDescent="0.3">
      <c r="A754" s="42" t="s">
        <v>772</v>
      </c>
      <c r="B754" s="43" t="s">
        <v>860</v>
      </c>
      <c r="C754" s="43" t="s">
        <v>363</v>
      </c>
      <c r="D754" s="43" t="s">
        <v>784</v>
      </c>
      <c r="E754" s="44" t="s">
        <v>24</v>
      </c>
      <c r="F754" s="45" t="s">
        <v>14</v>
      </c>
      <c r="G754" s="45"/>
      <c r="H754" s="44" t="s">
        <v>13</v>
      </c>
      <c r="I754" s="46">
        <v>11913</v>
      </c>
      <c r="J754" s="46"/>
      <c r="K754" s="47" t="s">
        <v>8</v>
      </c>
      <c r="L754" s="48">
        <v>231142.49</v>
      </c>
    </row>
    <row r="755" spans="1:12" ht="61.2" x14ac:dyDescent="0.3">
      <c r="A755" s="42" t="s">
        <v>772</v>
      </c>
      <c r="B755" s="43" t="s">
        <v>860</v>
      </c>
      <c r="C755" s="43" t="s">
        <v>363</v>
      </c>
      <c r="D755" s="43" t="s">
        <v>787</v>
      </c>
      <c r="E755" s="44" t="s">
        <v>24</v>
      </c>
      <c r="F755" s="45" t="s">
        <v>14</v>
      </c>
      <c r="G755" s="45"/>
      <c r="H755" s="44" t="s">
        <v>13</v>
      </c>
      <c r="I755" s="46">
        <v>10321.290000000001</v>
      </c>
      <c r="J755" s="46"/>
      <c r="K755" s="47" t="s">
        <v>8</v>
      </c>
      <c r="L755" s="48">
        <v>220821.2</v>
      </c>
    </row>
    <row r="756" spans="1:12" ht="61.2" x14ac:dyDescent="0.3">
      <c r="A756" s="42" t="s">
        <v>772</v>
      </c>
      <c r="B756" s="43" t="s">
        <v>860</v>
      </c>
      <c r="C756" s="43" t="s">
        <v>363</v>
      </c>
      <c r="D756" s="43" t="s">
        <v>787</v>
      </c>
      <c r="E756" s="44" t="s">
        <v>24</v>
      </c>
      <c r="F756" s="45" t="s">
        <v>14</v>
      </c>
      <c r="G756" s="45"/>
      <c r="H756" s="44" t="s">
        <v>13</v>
      </c>
      <c r="I756" s="51">
        <v>694.42</v>
      </c>
      <c r="J756" s="51"/>
      <c r="K756" s="47" t="s">
        <v>8</v>
      </c>
      <c r="L756" s="48">
        <v>220126.78</v>
      </c>
    </row>
    <row r="757" spans="1:12" ht="61.2" x14ac:dyDescent="0.3">
      <c r="A757" s="42" t="s">
        <v>772</v>
      </c>
      <c r="B757" s="43" t="s">
        <v>860</v>
      </c>
      <c r="C757" s="43" t="s">
        <v>363</v>
      </c>
      <c r="D757" s="43" t="s">
        <v>791</v>
      </c>
      <c r="E757" s="44" t="s">
        <v>24</v>
      </c>
      <c r="F757" s="45" t="s">
        <v>14</v>
      </c>
      <c r="G757" s="45"/>
      <c r="H757" s="44" t="s">
        <v>13</v>
      </c>
      <c r="I757" s="46">
        <v>9615.43</v>
      </c>
      <c r="J757" s="46"/>
      <c r="K757" s="47" t="s">
        <v>8</v>
      </c>
      <c r="L757" s="48">
        <v>210511.35</v>
      </c>
    </row>
    <row r="758" spans="1:12" ht="61.2" x14ac:dyDescent="0.3">
      <c r="A758" s="42" t="s">
        <v>772</v>
      </c>
      <c r="B758" s="43" t="s">
        <v>860</v>
      </c>
      <c r="C758" s="43" t="s">
        <v>363</v>
      </c>
      <c r="D758" s="43" t="s">
        <v>794</v>
      </c>
      <c r="E758" s="44" t="s">
        <v>24</v>
      </c>
      <c r="F758" s="45" t="s">
        <v>14</v>
      </c>
      <c r="G758" s="45"/>
      <c r="H758" s="44" t="s">
        <v>13</v>
      </c>
      <c r="I758" s="46">
        <v>10221.299999999999</v>
      </c>
      <c r="J758" s="46"/>
      <c r="K758" s="47" t="s">
        <v>8</v>
      </c>
      <c r="L758" s="48">
        <v>200290.05</v>
      </c>
    </row>
    <row r="759" spans="1:12" ht="51" x14ac:dyDescent="0.3">
      <c r="A759" s="42" t="s">
        <v>772</v>
      </c>
      <c r="B759" s="43" t="s">
        <v>860</v>
      </c>
      <c r="C759" s="43" t="s">
        <v>363</v>
      </c>
      <c r="D759" s="43" t="s">
        <v>796</v>
      </c>
      <c r="E759" s="44" t="s">
        <v>24</v>
      </c>
      <c r="F759" s="45" t="s">
        <v>14</v>
      </c>
      <c r="G759" s="45"/>
      <c r="H759" s="44" t="s">
        <v>13</v>
      </c>
      <c r="I759" s="46">
        <v>22863.58</v>
      </c>
      <c r="J759" s="46"/>
      <c r="K759" s="47" t="s">
        <v>8</v>
      </c>
      <c r="L759" s="48">
        <v>177426.47</v>
      </c>
    </row>
    <row r="760" spans="1:12" ht="61.2" x14ac:dyDescent="0.3">
      <c r="A760" s="42" t="s">
        <v>772</v>
      </c>
      <c r="B760" s="43" t="s">
        <v>860</v>
      </c>
      <c r="C760" s="43" t="s">
        <v>363</v>
      </c>
      <c r="D760" s="43" t="s">
        <v>364</v>
      </c>
      <c r="E760" s="44" t="s">
        <v>24</v>
      </c>
      <c r="F760" s="45" t="s">
        <v>14</v>
      </c>
      <c r="G760" s="45"/>
      <c r="H760" s="44" t="s">
        <v>13</v>
      </c>
      <c r="I760" s="46">
        <v>8436.15</v>
      </c>
      <c r="J760" s="46"/>
      <c r="K760" s="47" t="s">
        <v>8</v>
      </c>
      <c r="L760" s="48">
        <v>168990.32</v>
      </c>
    </row>
    <row r="761" spans="1:12" ht="51" x14ac:dyDescent="0.3">
      <c r="A761" s="42" t="s">
        <v>772</v>
      </c>
      <c r="B761" s="43" t="s">
        <v>860</v>
      </c>
      <c r="C761" s="43" t="s">
        <v>363</v>
      </c>
      <c r="D761" s="43" t="s">
        <v>864</v>
      </c>
      <c r="E761" s="44" t="s">
        <v>24</v>
      </c>
      <c r="F761" s="45" t="s">
        <v>14</v>
      </c>
      <c r="G761" s="45"/>
      <c r="H761" s="44" t="s">
        <v>13</v>
      </c>
      <c r="I761" s="46">
        <v>13052.57</v>
      </c>
      <c r="J761" s="46"/>
      <c r="K761" s="47" t="s">
        <v>8</v>
      </c>
      <c r="L761" s="48">
        <v>155937.75</v>
      </c>
    </row>
    <row r="762" spans="1:12" ht="51" x14ac:dyDescent="0.3">
      <c r="A762" s="42" t="s">
        <v>772</v>
      </c>
      <c r="B762" s="43" t="s">
        <v>860</v>
      </c>
      <c r="C762" s="43" t="s">
        <v>363</v>
      </c>
      <c r="D762" s="43" t="s">
        <v>295</v>
      </c>
      <c r="E762" s="44" t="s">
        <v>24</v>
      </c>
      <c r="F762" s="45" t="s">
        <v>14</v>
      </c>
      <c r="G762" s="45"/>
      <c r="H762" s="44" t="s">
        <v>13</v>
      </c>
      <c r="I762" s="46">
        <v>1798.7</v>
      </c>
      <c r="J762" s="46"/>
      <c r="K762" s="47" t="s">
        <v>8</v>
      </c>
      <c r="L762" s="48">
        <v>154139.04999999999</v>
      </c>
    </row>
    <row r="763" spans="1:12" ht="61.2" x14ac:dyDescent="0.3">
      <c r="A763" s="42" t="s">
        <v>772</v>
      </c>
      <c r="B763" s="43" t="s">
        <v>865</v>
      </c>
      <c r="C763" s="43" t="s">
        <v>363</v>
      </c>
      <c r="D763" s="43" t="s">
        <v>866</v>
      </c>
      <c r="E763" s="44" t="s">
        <v>24</v>
      </c>
      <c r="F763" s="45" t="s">
        <v>14</v>
      </c>
      <c r="G763" s="45"/>
      <c r="H763" s="44" t="s">
        <v>13</v>
      </c>
      <c r="I763" s="51">
        <v>263.63</v>
      </c>
      <c r="J763" s="51"/>
      <c r="K763" s="47" t="s">
        <v>8</v>
      </c>
      <c r="L763" s="48">
        <v>2100184.5099999998</v>
      </c>
    </row>
    <row r="764" spans="1:12" ht="51" x14ac:dyDescent="0.3">
      <c r="A764" s="42" t="s">
        <v>772</v>
      </c>
      <c r="B764" s="43" t="s">
        <v>865</v>
      </c>
      <c r="C764" s="43" t="s">
        <v>363</v>
      </c>
      <c r="D764" s="43" t="s">
        <v>91</v>
      </c>
      <c r="E764" s="44" t="s">
        <v>24</v>
      </c>
      <c r="F764" s="45" t="s">
        <v>14</v>
      </c>
      <c r="G764" s="45"/>
      <c r="H764" s="44" t="s">
        <v>13</v>
      </c>
      <c r="I764" s="46">
        <v>1171.8800000000001</v>
      </c>
      <c r="J764" s="46"/>
      <c r="K764" s="47" t="s">
        <v>8</v>
      </c>
      <c r="L764" s="48">
        <v>2099012.63</v>
      </c>
    </row>
    <row r="765" spans="1:12" ht="71.400000000000006" x14ac:dyDescent="0.3">
      <c r="A765" s="42" t="s">
        <v>772</v>
      </c>
      <c r="B765" s="43" t="s">
        <v>865</v>
      </c>
      <c r="C765" s="43" t="s">
        <v>363</v>
      </c>
      <c r="D765" s="43" t="s">
        <v>867</v>
      </c>
      <c r="E765" s="44" t="s">
        <v>24</v>
      </c>
      <c r="F765" s="45" t="s">
        <v>14</v>
      </c>
      <c r="G765" s="45"/>
      <c r="H765" s="44" t="s">
        <v>13</v>
      </c>
      <c r="I765" s="46">
        <v>1676.6</v>
      </c>
      <c r="J765" s="46"/>
      <c r="K765" s="47" t="s">
        <v>8</v>
      </c>
      <c r="L765" s="48">
        <v>2097336.0299999998</v>
      </c>
    </row>
    <row r="766" spans="1:12" ht="51" x14ac:dyDescent="0.3">
      <c r="A766" s="42" t="s">
        <v>772</v>
      </c>
      <c r="B766" s="43" t="s">
        <v>868</v>
      </c>
      <c r="C766" s="43" t="s">
        <v>363</v>
      </c>
      <c r="D766" s="43" t="s">
        <v>869</v>
      </c>
      <c r="E766" s="44" t="s">
        <v>24</v>
      </c>
      <c r="F766" s="45" t="s">
        <v>14</v>
      </c>
      <c r="G766" s="45"/>
      <c r="H766" s="44" t="s">
        <v>13</v>
      </c>
      <c r="I766" s="46">
        <v>7809.48</v>
      </c>
      <c r="J766" s="46"/>
      <c r="K766" s="47" t="s">
        <v>8</v>
      </c>
      <c r="L766" s="48">
        <v>4529204.34</v>
      </c>
    </row>
    <row r="767" spans="1:12" ht="71.400000000000006" x14ac:dyDescent="0.3">
      <c r="A767" s="42" t="s">
        <v>772</v>
      </c>
      <c r="B767" s="43" t="s">
        <v>868</v>
      </c>
      <c r="C767" s="43" t="s">
        <v>363</v>
      </c>
      <c r="D767" s="43" t="s">
        <v>870</v>
      </c>
      <c r="E767" s="44" t="s">
        <v>24</v>
      </c>
      <c r="F767" s="45" t="s">
        <v>14</v>
      </c>
      <c r="G767" s="45"/>
      <c r="H767" s="44" t="s">
        <v>13</v>
      </c>
      <c r="I767" s="46">
        <v>49230</v>
      </c>
      <c r="J767" s="46"/>
      <c r="K767" s="47" t="s">
        <v>8</v>
      </c>
      <c r="L767" s="48">
        <v>4479974.34</v>
      </c>
    </row>
    <row r="768" spans="1:12" ht="61.2" x14ac:dyDescent="0.3">
      <c r="A768" s="42" t="s">
        <v>772</v>
      </c>
      <c r="B768" s="43" t="s">
        <v>868</v>
      </c>
      <c r="C768" s="43" t="s">
        <v>363</v>
      </c>
      <c r="D768" s="43" t="s">
        <v>871</v>
      </c>
      <c r="E768" s="44" t="s">
        <v>24</v>
      </c>
      <c r="F768" s="45" t="s">
        <v>14</v>
      </c>
      <c r="G768" s="45"/>
      <c r="H768" s="44" t="s">
        <v>13</v>
      </c>
      <c r="I768" s="46">
        <v>75028.070000000007</v>
      </c>
      <c r="J768" s="46"/>
      <c r="K768" s="47" t="s">
        <v>8</v>
      </c>
      <c r="L768" s="48">
        <v>4404946.2699999996</v>
      </c>
    </row>
    <row r="769" spans="1:12" ht="71.400000000000006" x14ac:dyDescent="0.3">
      <c r="A769" s="42" t="s">
        <v>772</v>
      </c>
      <c r="B769" s="43" t="s">
        <v>868</v>
      </c>
      <c r="C769" s="43" t="s">
        <v>363</v>
      </c>
      <c r="D769" s="43" t="s">
        <v>872</v>
      </c>
      <c r="E769" s="44" t="s">
        <v>24</v>
      </c>
      <c r="F769" s="45" t="s">
        <v>14</v>
      </c>
      <c r="G769" s="45"/>
      <c r="H769" s="44" t="s">
        <v>13</v>
      </c>
      <c r="I769" s="46">
        <v>30955.59</v>
      </c>
      <c r="J769" s="46"/>
      <c r="K769" s="47" t="s">
        <v>8</v>
      </c>
      <c r="L769" s="48">
        <v>4373990.68</v>
      </c>
    </row>
    <row r="770" spans="1:12" ht="61.2" x14ac:dyDescent="0.3">
      <c r="A770" s="42" t="s">
        <v>772</v>
      </c>
      <c r="B770" s="43" t="s">
        <v>868</v>
      </c>
      <c r="C770" s="43" t="s">
        <v>363</v>
      </c>
      <c r="D770" s="43" t="s">
        <v>873</v>
      </c>
      <c r="E770" s="44" t="s">
        <v>24</v>
      </c>
      <c r="F770" s="45" t="s">
        <v>14</v>
      </c>
      <c r="G770" s="45"/>
      <c r="H770" s="44" t="s">
        <v>13</v>
      </c>
      <c r="I770" s="46">
        <v>5134.17</v>
      </c>
      <c r="J770" s="46"/>
      <c r="K770" s="47" t="s">
        <v>8</v>
      </c>
      <c r="L770" s="48">
        <v>4368856.51</v>
      </c>
    </row>
    <row r="771" spans="1:12" ht="71.400000000000006" x14ac:dyDescent="0.3">
      <c r="A771" s="42" t="s">
        <v>772</v>
      </c>
      <c r="B771" s="43" t="s">
        <v>868</v>
      </c>
      <c r="C771" s="43" t="s">
        <v>363</v>
      </c>
      <c r="D771" s="43" t="s">
        <v>874</v>
      </c>
      <c r="E771" s="44" t="s">
        <v>24</v>
      </c>
      <c r="F771" s="45" t="s">
        <v>14</v>
      </c>
      <c r="G771" s="45"/>
      <c r="H771" s="44" t="s">
        <v>13</v>
      </c>
      <c r="I771" s="51">
        <v>663.75</v>
      </c>
      <c r="J771" s="51"/>
      <c r="K771" s="47" t="s">
        <v>8</v>
      </c>
      <c r="L771" s="48">
        <v>4368192.76</v>
      </c>
    </row>
    <row r="772" spans="1:12" ht="71.400000000000006" x14ac:dyDescent="0.3">
      <c r="A772" s="42" t="s">
        <v>772</v>
      </c>
      <c r="B772" s="43" t="s">
        <v>868</v>
      </c>
      <c r="C772" s="43" t="s">
        <v>363</v>
      </c>
      <c r="D772" s="43" t="s">
        <v>875</v>
      </c>
      <c r="E772" s="44" t="s">
        <v>24</v>
      </c>
      <c r="F772" s="45" t="s">
        <v>14</v>
      </c>
      <c r="G772" s="45"/>
      <c r="H772" s="44" t="s">
        <v>13</v>
      </c>
      <c r="I772" s="46">
        <v>1282.5</v>
      </c>
      <c r="J772" s="46"/>
      <c r="K772" s="47" t="s">
        <v>8</v>
      </c>
      <c r="L772" s="48">
        <v>4366910.26</v>
      </c>
    </row>
    <row r="773" spans="1:12" ht="71.400000000000006" x14ac:dyDescent="0.3">
      <c r="A773" s="42" t="s">
        <v>772</v>
      </c>
      <c r="B773" s="43" t="s">
        <v>868</v>
      </c>
      <c r="C773" s="43" t="s">
        <v>363</v>
      </c>
      <c r="D773" s="43" t="s">
        <v>876</v>
      </c>
      <c r="E773" s="44" t="s">
        <v>24</v>
      </c>
      <c r="F773" s="45" t="s">
        <v>14</v>
      </c>
      <c r="G773" s="45"/>
      <c r="H773" s="44" t="s">
        <v>13</v>
      </c>
      <c r="I773" s="46">
        <v>45001.5</v>
      </c>
      <c r="J773" s="46"/>
      <c r="K773" s="47" t="s">
        <v>8</v>
      </c>
      <c r="L773" s="48">
        <v>4321908.76</v>
      </c>
    </row>
    <row r="774" spans="1:12" ht="71.400000000000006" x14ac:dyDescent="0.3">
      <c r="A774" s="42" t="s">
        <v>772</v>
      </c>
      <c r="B774" s="43" t="s">
        <v>868</v>
      </c>
      <c r="C774" s="43" t="s">
        <v>363</v>
      </c>
      <c r="D774" s="43" t="s">
        <v>877</v>
      </c>
      <c r="E774" s="44" t="s">
        <v>24</v>
      </c>
      <c r="F774" s="45" t="s">
        <v>14</v>
      </c>
      <c r="G774" s="45"/>
      <c r="H774" s="44" t="s">
        <v>13</v>
      </c>
      <c r="I774" s="46">
        <v>22458</v>
      </c>
      <c r="J774" s="46"/>
      <c r="K774" s="47" t="s">
        <v>8</v>
      </c>
      <c r="L774" s="48">
        <v>4299450.76</v>
      </c>
    </row>
    <row r="775" spans="1:12" ht="51" x14ac:dyDescent="0.3">
      <c r="A775" s="42" t="s">
        <v>772</v>
      </c>
      <c r="B775" s="43" t="s">
        <v>868</v>
      </c>
      <c r="C775" s="43" t="s">
        <v>363</v>
      </c>
      <c r="D775" s="43" t="s">
        <v>799</v>
      </c>
      <c r="E775" s="44" t="s">
        <v>24</v>
      </c>
      <c r="F775" s="45" t="s">
        <v>14</v>
      </c>
      <c r="G775" s="45"/>
      <c r="H775" s="44" t="s">
        <v>13</v>
      </c>
      <c r="I775" s="46">
        <v>2913.75</v>
      </c>
      <c r="J775" s="46"/>
      <c r="K775" s="47" t="s">
        <v>8</v>
      </c>
      <c r="L775" s="48">
        <v>4296537.01</v>
      </c>
    </row>
    <row r="776" spans="1:12" ht="51" x14ac:dyDescent="0.3">
      <c r="A776" s="42" t="s">
        <v>772</v>
      </c>
      <c r="B776" s="43" t="s">
        <v>868</v>
      </c>
      <c r="C776" s="43" t="s">
        <v>363</v>
      </c>
      <c r="D776" s="43" t="s">
        <v>801</v>
      </c>
      <c r="E776" s="44" t="s">
        <v>24</v>
      </c>
      <c r="F776" s="45" t="s">
        <v>14</v>
      </c>
      <c r="G776" s="45"/>
      <c r="H776" s="44" t="s">
        <v>13</v>
      </c>
      <c r="I776" s="51">
        <v>379.5</v>
      </c>
      <c r="J776" s="51"/>
      <c r="K776" s="47" t="s">
        <v>8</v>
      </c>
      <c r="L776" s="48">
        <v>4296157.51</v>
      </c>
    </row>
    <row r="777" spans="1:12" ht="61.2" x14ac:dyDescent="0.3">
      <c r="A777" s="42" t="s">
        <v>772</v>
      </c>
      <c r="B777" s="43" t="s">
        <v>868</v>
      </c>
      <c r="C777" s="43" t="s">
        <v>363</v>
      </c>
      <c r="D777" s="43" t="s">
        <v>858</v>
      </c>
      <c r="E777" s="44" t="s">
        <v>24</v>
      </c>
      <c r="F777" s="45" t="s">
        <v>14</v>
      </c>
      <c r="G777" s="45"/>
      <c r="H777" s="44" t="s">
        <v>13</v>
      </c>
      <c r="I777" s="46">
        <v>2623.2</v>
      </c>
      <c r="J777" s="46"/>
      <c r="K777" s="47" t="s">
        <v>8</v>
      </c>
      <c r="L777" s="48">
        <v>4293534.3099999996</v>
      </c>
    </row>
    <row r="778" spans="1:12" ht="61.2" x14ac:dyDescent="0.3">
      <c r="A778" s="42" t="s">
        <v>772</v>
      </c>
      <c r="B778" s="43" t="s">
        <v>868</v>
      </c>
      <c r="C778" s="43" t="s">
        <v>363</v>
      </c>
      <c r="D778" s="43" t="s">
        <v>858</v>
      </c>
      <c r="E778" s="44" t="s">
        <v>24</v>
      </c>
      <c r="F778" s="45" t="s">
        <v>14</v>
      </c>
      <c r="G778" s="45"/>
      <c r="H778" s="44" t="s">
        <v>13</v>
      </c>
      <c r="I778" s="51">
        <v>351.9</v>
      </c>
      <c r="J778" s="51"/>
      <c r="K778" s="47" t="s">
        <v>8</v>
      </c>
      <c r="L778" s="48">
        <v>4293182.41</v>
      </c>
    </row>
    <row r="779" spans="1:12" ht="61.2" x14ac:dyDescent="0.3">
      <c r="A779" s="42" t="s">
        <v>772</v>
      </c>
      <c r="B779" s="43" t="s">
        <v>868</v>
      </c>
      <c r="C779" s="43" t="s">
        <v>363</v>
      </c>
      <c r="D779" s="43" t="s">
        <v>359</v>
      </c>
      <c r="E779" s="44" t="s">
        <v>24</v>
      </c>
      <c r="F779" s="45" t="s">
        <v>14</v>
      </c>
      <c r="G779" s="45"/>
      <c r="H779" s="44" t="s">
        <v>13</v>
      </c>
      <c r="I779" s="46">
        <v>1628.12</v>
      </c>
      <c r="J779" s="46"/>
      <c r="K779" s="47" t="s">
        <v>8</v>
      </c>
      <c r="L779" s="48">
        <v>4291554.29</v>
      </c>
    </row>
    <row r="780" spans="1:12" ht="61.2" x14ac:dyDescent="0.3">
      <c r="A780" s="42" t="s">
        <v>772</v>
      </c>
      <c r="B780" s="43" t="s">
        <v>868</v>
      </c>
      <c r="C780" s="43" t="s">
        <v>363</v>
      </c>
      <c r="D780" s="43" t="s">
        <v>357</v>
      </c>
      <c r="E780" s="44" t="s">
        <v>24</v>
      </c>
      <c r="F780" s="45" t="s">
        <v>14</v>
      </c>
      <c r="G780" s="45"/>
      <c r="H780" s="44" t="s">
        <v>13</v>
      </c>
      <c r="I780" s="46">
        <v>1523.16</v>
      </c>
      <c r="J780" s="46"/>
      <c r="K780" s="47" t="s">
        <v>8</v>
      </c>
      <c r="L780" s="48">
        <v>4290031.13</v>
      </c>
    </row>
    <row r="781" spans="1:12" ht="61.2" x14ac:dyDescent="0.3">
      <c r="A781" s="42" t="s">
        <v>772</v>
      </c>
      <c r="B781" s="43" t="s">
        <v>868</v>
      </c>
      <c r="C781" s="43" t="s">
        <v>363</v>
      </c>
      <c r="D781" s="43" t="s">
        <v>878</v>
      </c>
      <c r="E781" s="44" t="s">
        <v>24</v>
      </c>
      <c r="F781" s="45" t="s">
        <v>14</v>
      </c>
      <c r="G781" s="45"/>
      <c r="H781" s="44" t="s">
        <v>13</v>
      </c>
      <c r="I781" s="46">
        <v>9715.7800000000007</v>
      </c>
      <c r="J781" s="46"/>
      <c r="K781" s="47" t="s">
        <v>8</v>
      </c>
      <c r="L781" s="48">
        <v>4280315.3499999996</v>
      </c>
    </row>
    <row r="782" spans="1:12" ht="71.400000000000006" x14ac:dyDescent="0.3">
      <c r="A782" s="42" t="s">
        <v>772</v>
      </c>
      <c r="B782" s="43" t="s">
        <v>879</v>
      </c>
      <c r="C782" s="43" t="s">
        <v>363</v>
      </c>
      <c r="D782" s="43" t="s">
        <v>880</v>
      </c>
      <c r="E782" s="44" t="s">
        <v>24</v>
      </c>
      <c r="F782" s="45" t="s">
        <v>14</v>
      </c>
      <c r="G782" s="45"/>
      <c r="H782" s="44" t="s">
        <v>13</v>
      </c>
      <c r="I782" s="46">
        <v>5572.44</v>
      </c>
      <c r="J782" s="46"/>
      <c r="K782" s="47" t="s">
        <v>8</v>
      </c>
      <c r="L782" s="48">
        <v>922183.09</v>
      </c>
    </row>
    <row r="783" spans="1:12" ht="71.400000000000006" x14ac:dyDescent="0.3">
      <c r="A783" s="42" t="s">
        <v>772</v>
      </c>
      <c r="B783" s="43" t="s">
        <v>879</v>
      </c>
      <c r="C783" s="43" t="s">
        <v>363</v>
      </c>
      <c r="D783" s="43" t="s">
        <v>880</v>
      </c>
      <c r="E783" s="44" t="s">
        <v>24</v>
      </c>
      <c r="F783" s="45" t="s">
        <v>14</v>
      </c>
      <c r="G783" s="45"/>
      <c r="H783" s="44" t="s">
        <v>13</v>
      </c>
      <c r="I783" s="46">
        <v>84105.1</v>
      </c>
      <c r="J783" s="46"/>
      <c r="K783" s="47" t="s">
        <v>8</v>
      </c>
      <c r="L783" s="48">
        <v>838077.99</v>
      </c>
    </row>
    <row r="784" spans="1:12" ht="71.400000000000006" x14ac:dyDescent="0.3">
      <c r="A784" s="42" t="s">
        <v>772</v>
      </c>
      <c r="B784" s="43" t="s">
        <v>879</v>
      </c>
      <c r="C784" s="43" t="s">
        <v>363</v>
      </c>
      <c r="D784" s="43" t="s">
        <v>881</v>
      </c>
      <c r="E784" s="44" t="s">
        <v>24</v>
      </c>
      <c r="F784" s="45" t="s">
        <v>14</v>
      </c>
      <c r="G784" s="45"/>
      <c r="H784" s="44" t="s">
        <v>13</v>
      </c>
      <c r="I784" s="46">
        <v>5572.92</v>
      </c>
      <c r="J784" s="46"/>
      <c r="K784" s="47" t="s">
        <v>8</v>
      </c>
      <c r="L784" s="48">
        <v>832505.07</v>
      </c>
    </row>
    <row r="785" spans="1:12" ht="61.2" x14ac:dyDescent="0.3">
      <c r="A785" s="42" t="s">
        <v>772</v>
      </c>
      <c r="B785" s="43" t="s">
        <v>879</v>
      </c>
      <c r="C785" s="43" t="s">
        <v>363</v>
      </c>
      <c r="D785" s="43" t="s">
        <v>882</v>
      </c>
      <c r="E785" s="44" t="s">
        <v>24</v>
      </c>
      <c r="F785" s="45" t="s">
        <v>14</v>
      </c>
      <c r="G785" s="45"/>
      <c r="H785" s="44" t="s">
        <v>13</v>
      </c>
      <c r="I785" s="46">
        <v>2418.29</v>
      </c>
      <c r="J785" s="46"/>
      <c r="K785" s="47" t="s">
        <v>8</v>
      </c>
      <c r="L785" s="48">
        <v>830086.78</v>
      </c>
    </row>
    <row r="786" spans="1:12" ht="61.2" x14ac:dyDescent="0.3">
      <c r="A786" s="42" t="s">
        <v>772</v>
      </c>
      <c r="B786" s="43" t="s">
        <v>883</v>
      </c>
      <c r="C786" s="43" t="s">
        <v>363</v>
      </c>
      <c r="D786" s="43" t="s">
        <v>884</v>
      </c>
      <c r="E786" s="44" t="s">
        <v>24</v>
      </c>
      <c r="F786" s="45" t="s">
        <v>14</v>
      </c>
      <c r="G786" s="45"/>
      <c r="H786" s="44" t="s">
        <v>13</v>
      </c>
      <c r="I786" s="46">
        <v>50000</v>
      </c>
      <c r="J786" s="46"/>
      <c r="K786" s="47" t="s">
        <v>8</v>
      </c>
      <c r="L786" s="48">
        <v>7857533.7800000003</v>
      </c>
    </row>
    <row r="787" spans="1:12" ht="61.2" x14ac:dyDescent="0.3">
      <c r="A787" s="42" t="s">
        <v>772</v>
      </c>
      <c r="B787" s="43" t="s">
        <v>883</v>
      </c>
      <c r="C787" s="43" t="s">
        <v>363</v>
      </c>
      <c r="D787" s="43" t="s">
        <v>885</v>
      </c>
      <c r="E787" s="44" t="s">
        <v>24</v>
      </c>
      <c r="F787" s="45" t="s">
        <v>14</v>
      </c>
      <c r="G787" s="45"/>
      <c r="H787" s="44" t="s">
        <v>13</v>
      </c>
      <c r="I787" s="46">
        <v>27600</v>
      </c>
      <c r="J787" s="46"/>
      <c r="K787" s="47" t="s">
        <v>8</v>
      </c>
      <c r="L787" s="48">
        <v>7829933.7800000003</v>
      </c>
    </row>
    <row r="788" spans="1:12" ht="71.400000000000006" x14ac:dyDescent="0.3">
      <c r="A788" s="42" t="s">
        <v>772</v>
      </c>
      <c r="B788" s="43" t="s">
        <v>883</v>
      </c>
      <c r="C788" s="43" t="s">
        <v>363</v>
      </c>
      <c r="D788" s="43" t="s">
        <v>886</v>
      </c>
      <c r="E788" s="44" t="s">
        <v>24</v>
      </c>
      <c r="F788" s="45" t="s">
        <v>14</v>
      </c>
      <c r="G788" s="45"/>
      <c r="H788" s="44" t="s">
        <v>13</v>
      </c>
      <c r="I788" s="51">
        <v>190.8</v>
      </c>
      <c r="J788" s="51"/>
      <c r="K788" s="47" t="s">
        <v>8</v>
      </c>
      <c r="L788" s="48">
        <v>7829742.9800000004</v>
      </c>
    </row>
    <row r="789" spans="1:12" ht="71.400000000000006" x14ac:dyDescent="0.3">
      <c r="A789" s="42" t="s">
        <v>772</v>
      </c>
      <c r="B789" s="43" t="s">
        <v>883</v>
      </c>
      <c r="C789" s="43" t="s">
        <v>363</v>
      </c>
      <c r="D789" s="43" t="s">
        <v>887</v>
      </c>
      <c r="E789" s="44" t="s">
        <v>24</v>
      </c>
      <c r="F789" s="45" t="s">
        <v>14</v>
      </c>
      <c r="G789" s="45"/>
      <c r="H789" s="44" t="s">
        <v>13</v>
      </c>
      <c r="I789" s="46">
        <v>4049.2</v>
      </c>
      <c r="J789" s="46"/>
      <c r="K789" s="47" t="s">
        <v>8</v>
      </c>
      <c r="L789" s="48">
        <v>7825693.7800000003</v>
      </c>
    </row>
    <row r="790" spans="1:12" ht="51" x14ac:dyDescent="0.3">
      <c r="A790" s="42" t="s">
        <v>772</v>
      </c>
      <c r="B790" s="43" t="s">
        <v>888</v>
      </c>
      <c r="C790" s="43" t="s">
        <v>363</v>
      </c>
      <c r="D790" s="43" t="s">
        <v>807</v>
      </c>
      <c r="E790" s="44" t="s">
        <v>24</v>
      </c>
      <c r="F790" s="45" t="s">
        <v>14</v>
      </c>
      <c r="G790" s="45"/>
      <c r="H790" s="44" t="s">
        <v>13</v>
      </c>
      <c r="I790" s="46">
        <v>3584.8</v>
      </c>
      <c r="J790" s="46"/>
      <c r="K790" s="47" t="s">
        <v>8</v>
      </c>
      <c r="L790" s="48">
        <v>2093751.23</v>
      </c>
    </row>
    <row r="791" spans="1:12" ht="51" x14ac:dyDescent="0.3">
      <c r="A791" s="42" t="s">
        <v>772</v>
      </c>
      <c r="B791" s="43" t="s">
        <v>888</v>
      </c>
      <c r="C791" s="43" t="s">
        <v>363</v>
      </c>
      <c r="D791" s="43" t="s">
        <v>809</v>
      </c>
      <c r="E791" s="44" t="s">
        <v>24</v>
      </c>
      <c r="F791" s="45" t="s">
        <v>14</v>
      </c>
      <c r="G791" s="45"/>
      <c r="H791" s="44" t="s">
        <v>13</v>
      </c>
      <c r="I791" s="51">
        <v>190</v>
      </c>
      <c r="J791" s="51"/>
      <c r="K791" s="47" t="s">
        <v>8</v>
      </c>
      <c r="L791" s="48">
        <v>2093561.23</v>
      </c>
    </row>
    <row r="792" spans="1:12" ht="81.599999999999994" x14ac:dyDescent="0.3">
      <c r="A792" s="42" t="s">
        <v>772</v>
      </c>
      <c r="B792" s="43" t="s">
        <v>888</v>
      </c>
      <c r="C792" s="43" t="s">
        <v>363</v>
      </c>
      <c r="D792" s="43" t="s">
        <v>889</v>
      </c>
      <c r="E792" s="44" t="s">
        <v>24</v>
      </c>
      <c r="F792" s="45" t="s">
        <v>14</v>
      </c>
      <c r="G792" s="45"/>
      <c r="H792" s="44" t="s">
        <v>13</v>
      </c>
      <c r="I792" s="51">
        <v>385</v>
      </c>
      <c r="J792" s="51"/>
      <c r="K792" s="47" t="s">
        <v>8</v>
      </c>
      <c r="L792" s="48">
        <v>2093176.23</v>
      </c>
    </row>
    <row r="793" spans="1:12" ht="61.2" x14ac:dyDescent="0.3">
      <c r="A793" s="42" t="s">
        <v>772</v>
      </c>
      <c r="B793" s="43" t="s">
        <v>888</v>
      </c>
      <c r="C793" s="43" t="s">
        <v>363</v>
      </c>
      <c r="D793" s="43" t="s">
        <v>811</v>
      </c>
      <c r="E793" s="44" t="s">
        <v>24</v>
      </c>
      <c r="F793" s="45" t="s">
        <v>14</v>
      </c>
      <c r="G793" s="45"/>
      <c r="H793" s="44" t="s">
        <v>13</v>
      </c>
      <c r="I793" s="46">
        <v>1752.8</v>
      </c>
      <c r="J793" s="46"/>
      <c r="K793" s="47" t="s">
        <v>8</v>
      </c>
      <c r="L793" s="48">
        <v>2091423.43</v>
      </c>
    </row>
    <row r="794" spans="1:12" ht="61.2" x14ac:dyDescent="0.3">
      <c r="A794" s="42" t="s">
        <v>772</v>
      </c>
      <c r="B794" s="43" t="s">
        <v>888</v>
      </c>
      <c r="C794" s="43" t="s">
        <v>363</v>
      </c>
      <c r="D794" s="43" t="s">
        <v>813</v>
      </c>
      <c r="E794" s="44" t="s">
        <v>24</v>
      </c>
      <c r="F794" s="45" t="s">
        <v>14</v>
      </c>
      <c r="G794" s="45"/>
      <c r="H794" s="44" t="s">
        <v>13</v>
      </c>
      <c r="I794" s="46">
        <v>1798.5</v>
      </c>
      <c r="J794" s="46"/>
      <c r="K794" s="47" t="s">
        <v>8</v>
      </c>
      <c r="L794" s="48">
        <v>2089624.93</v>
      </c>
    </row>
    <row r="795" spans="1:12" ht="61.2" x14ac:dyDescent="0.3">
      <c r="A795" s="42" t="s">
        <v>772</v>
      </c>
      <c r="B795" s="43" t="s">
        <v>888</v>
      </c>
      <c r="C795" s="43" t="s">
        <v>363</v>
      </c>
      <c r="D795" s="43" t="s">
        <v>842</v>
      </c>
      <c r="E795" s="44" t="s">
        <v>24</v>
      </c>
      <c r="F795" s="45" t="s">
        <v>14</v>
      </c>
      <c r="G795" s="45"/>
      <c r="H795" s="44" t="s">
        <v>13</v>
      </c>
      <c r="I795" s="46">
        <v>1893.6</v>
      </c>
      <c r="J795" s="46"/>
      <c r="K795" s="47" t="s">
        <v>8</v>
      </c>
      <c r="L795" s="48">
        <v>2087731.33</v>
      </c>
    </row>
    <row r="796" spans="1:12" ht="61.2" x14ac:dyDescent="0.3">
      <c r="A796" s="42" t="s">
        <v>772</v>
      </c>
      <c r="B796" s="43" t="s">
        <v>888</v>
      </c>
      <c r="C796" s="43" t="s">
        <v>363</v>
      </c>
      <c r="D796" s="43" t="s">
        <v>890</v>
      </c>
      <c r="E796" s="44" t="s">
        <v>24</v>
      </c>
      <c r="F796" s="45" t="s">
        <v>14</v>
      </c>
      <c r="G796" s="45"/>
      <c r="H796" s="44" t="s">
        <v>13</v>
      </c>
      <c r="I796" s="51">
        <v>70</v>
      </c>
      <c r="J796" s="51"/>
      <c r="K796" s="47" t="s">
        <v>8</v>
      </c>
      <c r="L796" s="48">
        <v>2087661.33</v>
      </c>
    </row>
    <row r="797" spans="1:12" ht="61.2" x14ac:dyDescent="0.3">
      <c r="A797" s="42" t="s">
        <v>772</v>
      </c>
      <c r="B797" s="43" t="s">
        <v>888</v>
      </c>
      <c r="C797" s="43" t="s">
        <v>363</v>
      </c>
      <c r="D797" s="43" t="s">
        <v>890</v>
      </c>
      <c r="E797" s="44" t="s">
        <v>24</v>
      </c>
      <c r="F797" s="45" t="s">
        <v>14</v>
      </c>
      <c r="G797" s="45"/>
      <c r="H797" s="44" t="s">
        <v>13</v>
      </c>
      <c r="I797" s="51">
        <v>210</v>
      </c>
      <c r="J797" s="51"/>
      <c r="K797" s="47" t="s">
        <v>8</v>
      </c>
      <c r="L797" s="48">
        <v>2087451.33</v>
      </c>
    </row>
    <row r="798" spans="1:12" ht="61.2" x14ac:dyDescent="0.3">
      <c r="A798" s="42" t="s">
        <v>772</v>
      </c>
      <c r="B798" s="43" t="s">
        <v>888</v>
      </c>
      <c r="C798" s="43" t="s">
        <v>363</v>
      </c>
      <c r="D798" s="43" t="s">
        <v>891</v>
      </c>
      <c r="E798" s="44" t="s">
        <v>24</v>
      </c>
      <c r="F798" s="45" t="s">
        <v>14</v>
      </c>
      <c r="G798" s="45"/>
      <c r="H798" s="44" t="s">
        <v>13</v>
      </c>
      <c r="I798" s="51">
        <v>70</v>
      </c>
      <c r="J798" s="51"/>
      <c r="K798" s="47" t="s">
        <v>8</v>
      </c>
      <c r="L798" s="48">
        <v>2087381.33</v>
      </c>
    </row>
    <row r="799" spans="1:12" ht="51" x14ac:dyDescent="0.3">
      <c r="A799" s="42" t="s">
        <v>772</v>
      </c>
      <c r="B799" s="43" t="s">
        <v>888</v>
      </c>
      <c r="C799" s="43" t="s">
        <v>363</v>
      </c>
      <c r="D799" s="43" t="s">
        <v>815</v>
      </c>
      <c r="E799" s="44" t="s">
        <v>24</v>
      </c>
      <c r="F799" s="45" t="s">
        <v>14</v>
      </c>
      <c r="G799" s="45"/>
      <c r="H799" s="44" t="s">
        <v>13</v>
      </c>
      <c r="I799" s="51">
        <v>35</v>
      </c>
      <c r="J799" s="51"/>
      <c r="K799" s="47" t="s">
        <v>8</v>
      </c>
      <c r="L799" s="48">
        <v>2087346.33</v>
      </c>
    </row>
    <row r="800" spans="1:12" ht="51" x14ac:dyDescent="0.3">
      <c r="A800" s="42" t="s">
        <v>772</v>
      </c>
      <c r="B800" s="43" t="s">
        <v>888</v>
      </c>
      <c r="C800" s="43" t="s">
        <v>363</v>
      </c>
      <c r="D800" s="43" t="s">
        <v>816</v>
      </c>
      <c r="E800" s="44" t="s">
        <v>24</v>
      </c>
      <c r="F800" s="45" t="s">
        <v>14</v>
      </c>
      <c r="G800" s="45"/>
      <c r="H800" s="44" t="s">
        <v>13</v>
      </c>
      <c r="I800" s="51">
        <v>45</v>
      </c>
      <c r="J800" s="51"/>
      <c r="K800" s="47" t="s">
        <v>8</v>
      </c>
      <c r="L800" s="48">
        <v>2087301.33</v>
      </c>
    </row>
    <row r="801" spans="1:12" ht="61.2" x14ac:dyDescent="0.3">
      <c r="A801" s="42" t="s">
        <v>772</v>
      </c>
      <c r="B801" s="43" t="s">
        <v>888</v>
      </c>
      <c r="C801" s="43" t="s">
        <v>363</v>
      </c>
      <c r="D801" s="43" t="s">
        <v>892</v>
      </c>
      <c r="E801" s="44" t="s">
        <v>24</v>
      </c>
      <c r="F801" s="45" t="s">
        <v>14</v>
      </c>
      <c r="G801" s="45"/>
      <c r="H801" s="44" t="s">
        <v>13</v>
      </c>
      <c r="I801" s="51">
        <v>240</v>
      </c>
      <c r="J801" s="51"/>
      <c r="K801" s="47" t="s">
        <v>8</v>
      </c>
      <c r="L801" s="48">
        <v>2087061.33</v>
      </c>
    </row>
    <row r="802" spans="1:12" ht="61.2" x14ac:dyDescent="0.3">
      <c r="A802" s="42" t="s">
        <v>772</v>
      </c>
      <c r="B802" s="43" t="s">
        <v>888</v>
      </c>
      <c r="C802" s="43" t="s">
        <v>363</v>
      </c>
      <c r="D802" s="43" t="s">
        <v>818</v>
      </c>
      <c r="E802" s="44" t="s">
        <v>24</v>
      </c>
      <c r="F802" s="45" t="s">
        <v>14</v>
      </c>
      <c r="G802" s="45"/>
      <c r="H802" s="44" t="s">
        <v>13</v>
      </c>
      <c r="I802" s="51">
        <v>29.4</v>
      </c>
      <c r="J802" s="51"/>
      <c r="K802" s="47" t="s">
        <v>8</v>
      </c>
      <c r="L802" s="48">
        <v>2087031.93</v>
      </c>
    </row>
    <row r="803" spans="1:12" ht="61.2" x14ac:dyDescent="0.3">
      <c r="A803" s="42" t="s">
        <v>772</v>
      </c>
      <c r="B803" s="43" t="s">
        <v>888</v>
      </c>
      <c r="C803" s="43" t="s">
        <v>363</v>
      </c>
      <c r="D803" s="43" t="s">
        <v>820</v>
      </c>
      <c r="E803" s="44" t="s">
        <v>24</v>
      </c>
      <c r="F803" s="45" t="s">
        <v>14</v>
      </c>
      <c r="G803" s="45"/>
      <c r="H803" s="44" t="s">
        <v>13</v>
      </c>
      <c r="I803" s="51">
        <v>10.6</v>
      </c>
      <c r="J803" s="51"/>
      <c r="K803" s="47" t="s">
        <v>8</v>
      </c>
      <c r="L803" s="48">
        <v>2087021.33</v>
      </c>
    </row>
    <row r="804" spans="1:12" ht="61.2" x14ac:dyDescent="0.3">
      <c r="A804" s="42" t="s">
        <v>772</v>
      </c>
      <c r="B804" s="43" t="s">
        <v>888</v>
      </c>
      <c r="C804" s="43" t="s">
        <v>363</v>
      </c>
      <c r="D804" s="43" t="s">
        <v>822</v>
      </c>
      <c r="E804" s="44" t="s">
        <v>24</v>
      </c>
      <c r="F804" s="45" t="s">
        <v>14</v>
      </c>
      <c r="G804" s="45"/>
      <c r="H804" s="44" t="s">
        <v>13</v>
      </c>
      <c r="I804" s="51">
        <v>25</v>
      </c>
      <c r="J804" s="51"/>
      <c r="K804" s="47" t="s">
        <v>8</v>
      </c>
      <c r="L804" s="48">
        <v>2086996.33</v>
      </c>
    </row>
    <row r="805" spans="1:12" ht="61.2" x14ac:dyDescent="0.3">
      <c r="A805" s="42" t="s">
        <v>772</v>
      </c>
      <c r="B805" s="43" t="s">
        <v>888</v>
      </c>
      <c r="C805" s="43" t="s">
        <v>363</v>
      </c>
      <c r="D805" s="43" t="s">
        <v>824</v>
      </c>
      <c r="E805" s="44" t="s">
        <v>24</v>
      </c>
      <c r="F805" s="45" t="s">
        <v>14</v>
      </c>
      <c r="G805" s="45"/>
      <c r="H805" s="44" t="s">
        <v>13</v>
      </c>
      <c r="I805" s="51">
        <v>74.2</v>
      </c>
      <c r="J805" s="51"/>
      <c r="K805" s="47" t="s">
        <v>8</v>
      </c>
      <c r="L805" s="48">
        <v>2086922.13</v>
      </c>
    </row>
    <row r="806" spans="1:12" ht="61.2" x14ac:dyDescent="0.3">
      <c r="A806" s="42" t="s">
        <v>772</v>
      </c>
      <c r="B806" s="43" t="s">
        <v>888</v>
      </c>
      <c r="C806" s="43" t="s">
        <v>363</v>
      </c>
      <c r="D806" s="43" t="s">
        <v>826</v>
      </c>
      <c r="E806" s="44" t="s">
        <v>24</v>
      </c>
      <c r="F806" s="45" t="s">
        <v>14</v>
      </c>
      <c r="G806" s="45"/>
      <c r="H806" s="44" t="s">
        <v>13</v>
      </c>
      <c r="I806" s="51">
        <v>15.1</v>
      </c>
      <c r="J806" s="51"/>
      <c r="K806" s="47" t="s">
        <v>8</v>
      </c>
      <c r="L806" s="48">
        <v>2086907.03</v>
      </c>
    </row>
    <row r="807" spans="1:12" ht="61.2" x14ac:dyDescent="0.3">
      <c r="A807" s="42" t="s">
        <v>772</v>
      </c>
      <c r="B807" s="43" t="s">
        <v>888</v>
      </c>
      <c r="C807" s="43" t="s">
        <v>363</v>
      </c>
      <c r="D807" s="43" t="s">
        <v>893</v>
      </c>
      <c r="E807" s="44" t="s">
        <v>24</v>
      </c>
      <c r="F807" s="45" t="s">
        <v>14</v>
      </c>
      <c r="G807" s="45"/>
      <c r="H807" s="44" t="s">
        <v>13</v>
      </c>
      <c r="I807" s="51">
        <v>200</v>
      </c>
      <c r="J807" s="51"/>
      <c r="K807" s="47" t="s">
        <v>8</v>
      </c>
      <c r="L807" s="48">
        <v>2086707.03</v>
      </c>
    </row>
    <row r="808" spans="1:12" ht="51" x14ac:dyDescent="0.3">
      <c r="A808" s="42" t="s">
        <v>772</v>
      </c>
      <c r="B808" s="43" t="s">
        <v>888</v>
      </c>
      <c r="C808" s="43" t="s">
        <v>363</v>
      </c>
      <c r="D808" s="43" t="s">
        <v>828</v>
      </c>
      <c r="E808" s="44" t="s">
        <v>24</v>
      </c>
      <c r="F808" s="45" t="s">
        <v>14</v>
      </c>
      <c r="G808" s="45"/>
      <c r="H808" s="44" t="s">
        <v>13</v>
      </c>
      <c r="I808" s="51">
        <v>21.2</v>
      </c>
      <c r="J808" s="51"/>
      <c r="K808" s="47" t="s">
        <v>8</v>
      </c>
      <c r="L808" s="48">
        <v>2086685.83</v>
      </c>
    </row>
    <row r="809" spans="1:12" ht="61.2" x14ac:dyDescent="0.3">
      <c r="A809" s="42" t="s">
        <v>772</v>
      </c>
      <c r="B809" s="43" t="s">
        <v>888</v>
      </c>
      <c r="C809" s="43" t="s">
        <v>363</v>
      </c>
      <c r="D809" s="43" t="s">
        <v>830</v>
      </c>
      <c r="E809" s="44" t="s">
        <v>24</v>
      </c>
      <c r="F809" s="45" t="s">
        <v>14</v>
      </c>
      <c r="G809" s="45"/>
      <c r="H809" s="44" t="s">
        <v>13</v>
      </c>
      <c r="I809" s="51">
        <v>34</v>
      </c>
      <c r="J809" s="51"/>
      <c r="K809" s="47" t="s">
        <v>8</v>
      </c>
      <c r="L809" s="48">
        <v>2086651.83</v>
      </c>
    </row>
    <row r="810" spans="1:12" ht="51" x14ac:dyDescent="0.3">
      <c r="A810" s="42" t="s">
        <v>772</v>
      </c>
      <c r="B810" s="43" t="s">
        <v>888</v>
      </c>
      <c r="C810" s="43" t="s">
        <v>363</v>
      </c>
      <c r="D810" s="43" t="s">
        <v>832</v>
      </c>
      <c r="E810" s="44" t="s">
        <v>24</v>
      </c>
      <c r="F810" s="45" t="s">
        <v>14</v>
      </c>
      <c r="G810" s="45"/>
      <c r="H810" s="44" t="s">
        <v>13</v>
      </c>
      <c r="I810" s="51">
        <v>254.8</v>
      </c>
      <c r="J810" s="51"/>
      <c r="K810" s="47" t="s">
        <v>8</v>
      </c>
      <c r="L810" s="48">
        <v>2086397.03</v>
      </c>
    </row>
    <row r="811" spans="1:12" ht="61.2" x14ac:dyDescent="0.3">
      <c r="A811" s="42" t="s">
        <v>772</v>
      </c>
      <c r="B811" s="43" t="s">
        <v>888</v>
      </c>
      <c r="C811" s="43" t="s">
        <v>363</v>
      </c>
      <c r="D811" s="43" t="s">
        <v>894</v>
      </c>
      <c r="E811" s="44" t="s">
        <v>24</v>
      </c>
      <c r="F811" s="45" t="s">
        <v>14</v>
      </c>
      <c r="G811" s="45"/>
      <c r="H811" s="44" t="s">
        <v>13</v>
      </c>
      <c r="I811" s="51">
        <v>60</v>
      </c>
      <c r="J811" s="51"/>
      <c r="K811" s="47" t="s">
        <v>8</v>
      </c>
      <c r="L811" s="48">
        <v>2086337.03</v>
      </c>
    </row>
    <row r="812" spans="1:12" ht="61.2" x14ac:dyDescent="0.3">
      <c r="A812" s="42" t="s">
        <v>772</v>
      </c>
      <c r="B812" s="43" t="s">
        <v>888</v>
      </c>
      <c r="C812" s="43" t="s">
        <v>363</v>
      </c>
      <c r="D812" s="43" t="s">
        <v>895</v>
      </c>
      <c r="E812" s="44" t="s">
        <v>24</v>
      </c>
      <c r="F812" s="45" t="s">
        <v>14</v>
      </c>
      <c r="G812" s="45"/>
      <c r="H812" s="44" t="s">
        <v>13</v>
      </c>
      <c r="I812" s="51">
        <v>100</v>
      </c>
      <c r="J812" s="51"/>
      <c r="K812" s="47" t="s">
        <v>8</v>
      </c>
      <c r="L812" s="48">
        <v>2086237.03</v>
      </c>
    </row>
    <row r="813" spans="1:12" ht="61.2" x14ac:dyDescent="0.3">
      <c r="A813" s="42" t="s">
        <v>772</v>
      </c>
      <c r="B813" s="43" t="s">
        <v>888</v>
      </c>
      <c r="C813" s="43" t="s">
        <v>363</v>
      </c>
      <c r="D813" s="43" t="s">
        <v>834</v>
      </c>
      <c r="E813" s="44" t="s">
        <v>24</v>
      </c>
      <c r="F813" s="45" t="s">
        <v>14</v>
      </c>
      <c r="G813" s="45"/>
      <c r="H813" s="44" t="s">
        <v>13</v>
      </c>
      <c r="I813" s="46">
        <v>1322.5</v>
      </c>
      <c r="J813" s="46"/>
      <c r="K813" s="47" t="s">
        <v>8</v>
      </c>
      <c r="L813" s="48">
        <v>2084914.53</v>
      </c>
    </row>
    <row r="814" spans="1:12" ht="61.2" x14ac:dyDescent="0.3">
      <c r="A814" s="42" t="s">
        <v>772</v>
      </c>
      <c r="B814" s="43" t="s">
        <v>888</v>
      </c>
      <c r="C814" s="43" t="s">
        <v>363</v>
      </c>
      <c r="D814" s="43" t="s">
        <v>836</v>
      </c>
      <c r="E814" s="44" t="s">
        <v>24</v>
      </c>
      <c r="F814" s="45" t="s">
        <v>14</v>
      </c>
      <c r="G814" s="45"/>
      <c r="H814" s="44" t="s">
        <v>13</v>
      </c>
      <c r="I814" s="51">
        <v>774.9</v>
      </c>
      <c r="J814" s="51"/>
      <c r="K814" s="47" t="s">
        <v>8</v>
      </c>
      <c r="L814" s="48">
        <v>2084139.63</v>
      </c>
    </row>
    <row r="815" spans="1:12" ht="61.2" x14ac:dyDescent="0.3">
      <c r="A815" s="42" t="s">
        <v>772</v>
      </c>
      <c r="B815" s="43" t="s">
        <v>888</v>
      </c>
      <c r="C815" s="43" t="s">
        <v>363</v>
      </c>
      <c r="D815" s="43" t="s">
        <v>838</v>
      </c>
      <c r="E815" s="44" t="s">
        <v>24</v>
      </c>
      <c r="F815" s="45" t="s">
        <v>14</v>
      </c>
      <c r="G815" s="45"/>
      <c r="H815" s="44" t="s">
        <v>13</v>
      </c>
      <c r="I815" s="51">
        <v>151</v>
      </c>
      <c r="J815" s="51"/>
      <c r="K815" s="47" t="s">
        <v>8</v>
      </c>
      <c r="L815" s="48">
        <v>2083988.63</v>
      </c>
    </row>
    <row r="816" spans="1:12" ht="61.2" x14ac:dyDescent="0.3">
      <c r="A816" s="42" t="s">
        <v>772</v>
      </c>
      <c r="B816" s="43" t="s">
        <v>888</v>
      </c>
      <c r="C816" s="43" t="s">
        <v>363</v>
      </c>
      <c r="D816" s="43" t="s">
        <v>840</v>
      </c>
      <c r="E816" s="44" t="s">
        <v>24</v>
      </c>
      <c r="F816" s="45" t="s">
        <v>14</v>
      </c>
      <c r="G816" s="45"/>
      <c r="H816" s="44" t="s">
        <v>13</v>
      </c>
      <c r="I816" s="51">
        <v>552.5</v>
      </c>
      <c r="J816" s="51"/>
      <c r="K816" s="47" t="s">
        <v>8</v>
      </c>
      <c r="L816" s="48">
        <v>2083436.13</v>
      </c>
    </row>
    <row r="817" spans="1:12" ht="61.2" x14ac:dyDescent="0.3">
      <c r="A817" s="42" t="s">
        <v>772</v>
      </c>
      <c r="B817" s="43" t="s">
        <v>888</v>
      </c>
      <c r="C817" s="43" t="s">
        <v>363</v>
      </c>
      <c r="D817" s="43" t="s">
        <v>896</v>
      </c>
      <c r="E817" s="44" t="s">
        <v>24</v>
      </c>
      <c r="F817" s="45" t="s">
        <v>14</v>
      </c>
      <c r="G817" s="45"/>
      <c r="H817" s="44" t="s">
        <v>13</v>
      </c>
      <c r="I817" s="51">
        <v>307.5</v>
      </c>
      <c r="J817" s="51"/>
      <c r="K817" s="47" t="s">
        <v>8</v>
      </c>
      <c r="L817" s="48">
        <v>2083128.63</v>
      </c>
    </row>
    <row r="818" spans="1:12" ht="61.2" x14ac:dyDescent="0.3">
      <c r="A818" s="42" t="s">
        <v>772</v>
      </c>
      <c r="B818" s="43" t="s">
        <v>888</v>
      </c>
      <c r="C818" s="43" t="s">
        <v>363</v>
      </c>
      <c r="D818" s="43" t="s">
        <v>897</v>
      </c>
      <c r="E818" s="44" t="s">
        <v>24</v>
      </c>
      <c r="F818" s="45" t="s">
        <v>14</v>
      </c>
      <c r="G818" s="45"/>
      <c r="H818" s="44" t="s">
        <v>13</v>
      </c>
      <c r="I818" s="51">
        <v>302.39999999999998</v>
      </c>
      <c r="J818" s="51"/>
      <c r="K818" s="47" t="s">
        <v>8</v>
      </c>
      <c r="L818" s="48">
        <v>2082826.23</v>
      </c>
    </row>
    <row r="819" spans="1:12" ht="71.400000000000006" x14ac:dyDescent="0.3">
      <c r="A819" s="42" t="s">
        <v>772</v>
      </c>
      <c r="B819" s="43" t="s">
        <v>888</v>
      </c>
      <c r="C819" s="43" t="s">
        <v>363</v>
      </c>
      <c r="D819" s="43" t="s">
        <v>898</v>
      </c>
      <c r="E819" s="44" t="s">
        <v>24</v>
      </c>
      <c r="F819" s="45" t="s">
        <v>14</v>
      </c>
      <c r="G819" s="45"/>
      <c r="H819" s="44" t="s">
        <v>13</v>
      </c>
      <c r="I819" s="51">
        <v>295.60000000000002</v>
      </c>
      <c r="J819" s="51"/>
      <c r="K819" s="47" t="s">
        <v>8</v>
      </c>
      <c r="L819" s="48">
        <v>2082530.63</v>
      </c>
    </row>
    <row r="820" spans="1:12" ht="61.2" x14ac:dyDescent="0.3">
      <c r="A820" s="42" t="s">
        <v>772</v>
      </c>
      <c r="B820" s="43" t="s">
        <v>888</v>
      </c>
      <c r="C820" s="43" t="s">
        <v>363</v>
      </c>
      <c r="D820" s="43" t="s">
        <v>899</v>
      </c>
      <c r="E820" s="44" t="s">
        <v>24</v>
      </c>
      <c r="F820" s="45" t="s">
        <v>14</v>
      </c>
      <c r="G820" s="45"/>
      <c r="H820" s="44" t="s">
        <v>13</v>
      </c>
      <c r="I820" s="51">
        <v>113.7</v>
      </c>
      <c r="J820" s="51"/>
      <c r="K820" s="47" t="s">
        <v>8</v>
      </c>
      <c r="L820" s="48">
        <v>2082416.93</v>
      </c>
    </row>
    <row r="821" spans="1:12" ht="71.400000000000006" x14ac:dyDescent="0.3">
      <c r="A821" s="42" t="s">
        <v>772</v>
      </c>
      <c r="B821" s="43" t="s">
        <v>888</v>
      </c>
      <c r="C821" s="43" t="s">
        <v>363</v>
      </c>
      <c r="D821" s="43" t="s">
        <v>900</v>
      </c>
      <c r="E821" s="44" t="s">
        <v>24</v>
      </c>
      <c r="F821" s="45" t="s">
        <v>14</v>
      </c>
      <c r="G821" s="45"/>
      <c r="H821" s="44" t="s">
        <v>13</v>
      </c>
      <c r="I821" s="51">
        <v>253.8</v>
      </c>
      <c r="J821" s="51"/>
      <c r="K821" s="47" t="s">
        <v>8</v>
      </c>
      <c r="L821" s="48">
        <v>2082163.13</v>
      </c>
    </row>
    <row r="822" spans="1:12" ht="61.2" x14ac:dyDescent="0.3">
      <c r="A822" s="42" t="s">
        <v>772</v>
      </c>
      <c r="B822" s="43" t="s">
        <v>888</v>
      </c>
      <c r="C822" s="43" t="s">
        <v>363</v>
      </c>
      <c r="D822" s="43" t="s">
        <v>901</v>
      </c>
      <c r="E822" s="44" t="s">
        <v>24</v>
      </c>
      <c r="F822" s="45" t="s">
        <v>14</v>
      </c>
      <c r="G822" s="45"/>
      <c r="H822" s="44" t="s">
        <v>13</v>
      </c>
      <c r="I822" s="51">
        <v>927</v>
      </c>
      <c r="J822" s="51"/>
      <c r="K822" s="47" t="s">
        <v>8</v>
      </c>
      <c r="L822" s="48">
        <v>2081236.13</v>
      </c>
    </row>
    <row r="823" spans="1:12" ht="61.2" x14ac:dyDescent="0.3">
      <c r="A823" s="42" t="s">
        <v>772</v>
      </c>
      <c r="B823" s="43" t="s">
        <v>888</v>
      </c>
      <c r="C823" s="43" t="s">
        <v>363</v>
      </c>
      <c r="D823" s="43" t="s">
        <v>902</v>
      </c>
      <c r="E823" s="44" t="s">
        <v>24</v>
      </c>
      <c r="F823" s="45" t="s">
        <v>14</v>
      </c>
      <c r="G823" s="45"/>
      <c r="H823" s="44" t="s">
        <v>13</v>
      </c>
      <c r="I823" s="51">
        <v>379.8</v>
      </c>
      <c r="J823" s="51"/>
      <c r="K823" s="47" t="s">
        <v>8</v>
      </c>
      <c r="L823" s="48">
        <v>2080856.33</v>
      </c>
    </row>
    <row r="824" spans="1:12" ht="71.400000000000006" x14ac:dyDescent="0.3">
      <c r="A824" s="42" t="s">
        <v>772</v>
      </c>
      <c r="B824" s="43" t="s">
        <v>888</v>
      </c>
      <c r="C824" s="43" t="s">
        <v>363</v>
      </c>
      <c r="D824" s="43" t="s">
        <v>903</v>
      </c>
      <c r="E824" s="44" t="s">
        <v>24</v>
      </c>
      <c r="F824" s="45" t="s">
        <v>14</v>
      </c>
      <c r="G824" s="45"/>
      <c r="H824" s="44" t="s">
        <v>13</v>
      </c>
      <c r="I824" s="51">
        <v>91.2</v>
      </c>
      <c r="J824" s="51"/>
      <c r="K824" s="47" t="s">
        <v>8</v>
      </c>
      <c r="L824" s="48">
        <v>2080765.13</v>
      </c>
    </row>
    <row r="825" spans="1:12" ht="71.400000000000006" x14ac:dyDescent="0.3">
      <c r="A825" s="42" t="s">
        <v>772</v>
      </c>
      <c r="B825" s="43" t="s">
        <v>888</v>
      </c>
      <c r="C825" s="43" t="s">
        <v>363</v>
      </c>
      <c r="D825" s="43" t="s">
        <v>898</v>
      </c>
      <c r="E825" s="44" t="s">
        <v>24</v>
      </c>
      <c r="F825" s="45" t="s">
        <v>14</v>
      </c>
      <c r="G825" s="45"/>
      <c r="H825" s="44" t="s">
        <v>13</v>
      </c>
      <c r="I825" s="51">
        <v>73.900000000000006</v>
      </c>
      <c r="J825" s="51"/>
      <c r="K825" s="47" t="s">
        <v>8</v>
      </c>
      <c r="L825" s="48">
        <v>2080691.23</v>
      </c>
    </row>
    <row r="826" spans="1:12" ht="81.599999999999994" x14ac:dyDescent="0.3">
      <c r="A826" s="42" t="s">
        <v>772</v>
      </c>
      <c r="B826" s="43" t="s">
        <v>888</v>
      </c>
      <c r="C826" s="43" t="s">
        <v>363</v>
      </c>
      <c r="D826" s="43" t="s">
        <v>904</v>
      </c>
      <c r="E826" s="44" t="s">
        <v>24</v>
      </c>
      <c r="F826" s="45" t="s">
        <v>14</v>
      </c>
      <c r="G826" s="45"/>
      <c r="H826" s="44" t="s">
        <v>13</v>
      </c>
      <c r="I826" s="51">
        <v>850.5</v>
      </c>
      <c r="J826" s="51"/>
      <c r="K826" s="47" t="s">
        <v>8</v>
      </c>
      <c r="L826" s="48">
        <v>2079840.73</v>
      </c>
    </row>
    <row r="827" spans="1:12" ht="71.400000000000006" x14ac:dyDescent="0.3">
      <c r="A827" s="42" t="s">
        <v>772</v>
      </c>
      <c r="B827" s="43" t="s">
        <v>888</v>
      </c>
      <c r="C827" s="43" t="s">
        <v>363</v>
      </c>
      <c r="D827" s="43" t="s">
        <v>905</v>
      </c>
      <c r="E827" s="44" t="s">
        <v>24</v>
      </c>
      <c r="F827" s="45" t="s">
        <v>14</v>
      </c>
      <c r="G827" s="45"/>
      <c r="H827" s="44" t="s">
        <v>13</v>
      </c>
      <c r="I827" s="46">
        <v>1869</v>
      </c>
      <c r="J827" s="46"/>
      <c r="K827" s="47" t="s">
        <v>8</v>
      </c>
      <c r="L827" s="48">
        <v>2077971.73</v>
      </c>
    </row>
    <row r="828" spans="1:12" ht="81.599999999999994" x14ac:dyDescent="0.3">
      <c r="A828" s="42" t="s">
        <v>772</v>
      </c>
      <c r="B828" s="43" t="s">
        <v>888</v>
      </c>
      <c r="C828" s="43" t="s">
        <v>363</v>
      </c>
      <c r="D828" s="43" t="s">
        <v>906</v>
      </c>
      <c r="E828" s="44" t="s">
        <v>24</v>
      </c>
      <c r="F828" s="45" t="s">
        <v>14</v>
      </c>
      <c r="G828" s="45"/>
      <c r="H828" s="44" t="s">
        <v>13</v>
      </c>
      <c r="I828" s="46">
        <v>3532</v>
      </c>
      <c r="J828" s="46"/>
      <c r="K828" s="47" t="s">
        <v>8</v>
      </c>
      <c r="L828" s="48">
        <v>2074439.73</v>
      </c>
    </row>
    <row r="829" spans="1:12" ht="61.2" x14ac:dyDescent="0.3">
      <c r="A829" s="42" t="s">
        <v>772</v>
      </c>
      <c r="B829" s="43" t="s">
        <v>907</v>
      </c>
      <c r="C829" s="43" t="s">
        <v>363</v>
      </c>
      <c r="D829" s="43" t="s">
        <v>489</v>
      </c>
      <c r="E829" s="44" t="s">
        <v>24</v>
      </c>
      <c r="F829" s="45" t="s">
        <v>14</v>
      </c>
      <c r="G829" s="45"/>
      <c r="H829" s="44" t="s">
        <v>13</v>
      </c>
      <c r="I829" s="51">
        <v>825</v>
      </c>
      <c r="J829" s="51"/>
      <c r="K829" s="47" t="s">
        <v>8</v>
      </c>
      <c r="L829" s="48">
        <v>2073614.73</v>
      </c>
    </row>
    <row r="830" spans="1:12" ht="102" x14ac:dyDescent="0.3">
      <c r="A830" s="42" t="s">
        <v>772</v>
      </c>
      <c r="B830" s="43" t="s">
        <v>908</v>
      </c>
      <c r="C830" s="43" t="s">
        <v>363</v>
      </c>
      <c r="D830" s="43" t="s">
        <v>909</v>
      </c>
      <c r="E830" s="44" t="s">
        <v>24</v>
      </c>
      <c r="F830" s="45" t="s">
        <v>14</v>
      </c>
      <c r="G830" s="45"/>
      <c r="H830" s="44" t="s">
        <v>13</v>
      </c>
      <c r="I830" s="46">
        <v>10130.4</v>
      </c>
      <c r="J830" s="46"/>
      <c r="K830" s="47" t="s">
        <v>8</v>
      </c>
      <c r="L830" s="48">
        <v>2463921.4300000002</v>
      </c>
    </row>
    <row r="831" spans="1:12" ht="102" x14ac:dyDescent="0.3">
      <c r="A831" s="42" t="s">
        <v>772</v>
      </c>
      <c r="B831" s="43" t="s">
        <v>908</v>
      </c>
      <c r="C831" s="43" t="s">
        <v>363</v>
      </c>
      <c r="D831" s="43" t="s">
        <v>910</v>
      </c>
      <c r="E831" s="44" t="s">
        <v>24</v>
      </c>
      <c r="F831" s="45" t="s">
        <v>14</v>
      </c>
      <c r="G831" s="45"/>
      <c r="H831" s="44" t="s">
        <v>13</v>
      </c>
      <c r="I831" s="46">
        <v>28098</v>
      </c>
      <c r="J831" s="46"/>
      <c r="K831" s="47" t="s">
        <v>8</v>
      </c>
      <c r="L831" s="48">
        <v>2435823.4300000002</v>
      </c>
    </row>
    <row r="832" spans="1:12" ht="102" x14ac:dyDescent="0.3">
      <c r="A832" s="42" t="s">
        <v>772</v>
      </c>
      <c r="B832" s="43" t="s">
        <v>908</v>
      </c>
      <c r="C832" s="43" t="s">
        <v>363</v>
      </c>
      <c r="D832" s="43" t="s">
        <v>911</v>
      </c>
      <c r="E832" s="44" t="s">
        <v>24</v>
      </c>
      <c r="F832" s="45" t="s">
        <v>14</v>
      </c>
      <c r="G832" s="45"/>
      <c r="H832" s="44" t="s">
        <v>13</v>
      </c>
      <c r="I832" s="46">
        <v>26674.2</v>
      </c>
      <c r="J832" s="46"/>
      <c r="K832" s="47" t="s">
        <v>8</v>
      </c>
      <c r="L832" s="48">
        <v>2409149.23</v>
      </c>
    </row>
    <row r="833" spans="1:12" ht="102" x14ac:dyDescent="0.3">
      <c r="A833" s="42" t="s">
        <v>772</v>
      </c>
      <c r="B833" s="43" t="s">
        <v>908</v>
      </c>
      <c r="C833" s="43" t="s">
        <v>363</v>
      </c>
      <c r="D833" s="43" t="s">
        <v>912</v>
      </c>
      <c r="E833" s="44" t="s">
        <v>24</v>
      </c>
      <c r="F833" s="45" t="s">
        <v>14</v>
      </c>
      <c r="G833" s="45"/>
      <c r="H833" s="44" t="s">
        <v>13</v>
      </c>
      <c r="I833" s="46">
        <v>1260</v>
      </c>
      <c r="J833" s="46"/>
      <c r="K833" s="47" t="s">
        <v>8</v>
      </c>
      <c r="L833" s="48">
        <v>2407889.23</v>
      </c>
    </row>
    <row r="834" spans="1:12" ht="102" x14ac:dyDescent="0.3">
      <c r="A834" s="42" t="s">
        <v>772</v>
      </c>
      <c r="B834" s="43" t="s">
        <v>908</v>
      </c>
      <c r="C834" s="43" t="s">
        <v>363</v>
      </c>
      <c r="D834" s="43" t="s">
        <v>913</v>
      </c>
      <c r="E834" s="44" t="s">
        <v>24</v>
      </c>
      <c r="F834" s="45" t="s">
        <v>14</v>
      </c>
      <c r="G834" s="45"/>
      <c r="H834" s="44" t="s">
        <v>13</v>
      </c>
      <c r="I834" s="46">
        <v>3301.21</v>
      </c>
      <c r="J834" s="46"/>
      <c r="K834" s="47" t="s">
        <v>8</v>
      </c>
      <c r="L834" s="48">
        <v>2404588.02</v>
      </c>
    </row>
    <row r="835" spans="1:12" ht="102" x14ac:dyDescent="0.3">
      <c r="A835" s="42" t="s">
        <v>772</v>
      </c>
      <c r="B835" s="43" t="s">
        <v>908</v>
      </c>
      <c r="C835" s="43" t="s">
        <v>363</v>
      </c>
      <c r="D835" s="43" t="s">
        <v>914</v>
      </c>
      <c r="E835" s="44" t="s">
        <v>24</v>
      </c>
      <c r="F835" s="45" t="s">
        <v>14</v>
      </c>
      <c r="G835" s="45"/>
      <c r="H835" s="44" t="s">
        <v>13</v>
      </c>
      <c r="I835" s="46">
        <v>11357.47</v>
      </c>
      <c r="J835" s="46"/>
      <c r="K835" s="47" t="s">
        <v>8</v>
      </c>
      <c r="L835" s="48">
        <v>2393230.5499999998</v>
      </c>
    </row>
    <row r="836" spans="1:12" ht="102" x14ac:dyDescent="0.3">
      <c r="A836" s="42" t="s">
        <v>772</v>
      </c>
      <c r="B836" s="43" t="s">
        <v>908</v>
      </c>
      <c r="C836" s="43" t="s">
        <v>363</v>
      </c>
      <c r="D836" s="43" t="s">
        <v>915</v>
      </c>
      <c r="E836" s="44" t="s">
        <v>24</v>
      </c>
      <c r="F836" s="45" t="s">
        <v>14</v>
      </c>
      <c r="G836" s="45"/>
      <c r="H836" s="44" t="s">
        <v>13</v>
      </c>
      <c r="I836" s="46">
        <v>9721.2199999999993</v>
      </c>
      <c r="J836" s="46"/>
      <c r="K836" s="47" t="s">
        <v>8</v>
      </c>
      <c r="L836" s="48">
        <v>2383509.33</v>
      </c>
    </row>
    <row r="837" spans="1:12" ht="102" x14ac:dyDescent="0.3">
      <c r="A837" s="42" t="s">
        <v>772</v>
      </c>
      <c r="B837" s="43" t="s">
        <v>908</v>
      </c>
      <c r="C837" s="43" t="s">
        <v>363</v>
      </c>
      <c r="D837" s="43" t="s">
        <v>916</v>
      </c>
      <c r="E837" s="44" t="s">
        <v>24</v>
      </c>
      <c r="F837" s="45" t="s">
        <v>14</v>
      </c>
      <c r="G837" s="45"/>
      <c r="H837" s="44" t="s">
        <v>13</v>
      </c>
      <c r="I837" s="46">
        <v>13358.09</v>
      </c>
      <c r="J837" s="46"/>
      <c r="K837" s="47" t="s">
        <v>8</v>
      </c>
      <c r="L837" s="48">
        <v>2370151.2400000002</v>
      </c>
    </row>
    <row r="838" spans="1:12" ht="102" x14ac:dyDescent="0.3">
      <c r="A838" s="42" t="s">
        <v>772</v>
      </c>
      <c r="B838" s="43" t="s">
        <v>908</v>
      </c>
      <c r="C838" s="43" t="s">
        <v>363</v>
      </c>
      <c r="D838" s="43" t="s">
        <v>917</v>
      </c>
      <c r="E838" s="44" t="s">
        <v>24</v>
      </c>
      <c r="F838" s="45" t="s">
        <v>14</v>
      </c>
      <c r="G838" s="45"/>
      <c r="H838" s="44" t="s">
        <v>13</v>
      </c>
      <c r="I838" s="46">
        <v>19914.53</v>
      </c>
      <c r="J838" s="46"/>
      <c r="K838" s="47" t="s">
        <v>8</v>
      </c>
      <c r="L838" s="48">
        <v>2350236.71</v>
      </c>
    </row>
    <row r="839" spans="1:12" ht="102" x14ac:dyDescent="0.3">
      <c r="A839" s="42" t="s">
        <v>772</v>
      </c>
      <c r="B839" s="43" t="s">
        <v>908</v>
      </c>
      <c r="C839" s="43" t="s">
        <v>363</v>
      </c>
      <c r="D839" s="43" t="s">
        <v>918</v>
      </c>
      <c r="E839" s="44" t="s">
        <v>24</v>
      </c>
      <c r="F839" s="45" t="s">
        <v>14</v>
      </c>
      <c r="G839" s="45"/>
      <c r="H839" s="44" t="s">
        <v>13</v>
      </c>
      <c r="I839" s="46">
        <v>18170.57</v>
      </c>
      <c r="J839" s="46"/>
      <c r="K839" s="47" t="s">
        <v>8</v>
      </c>
      <c r="L839" s="48">
        <v>2332066.14</v>
      </c>
    </row>
    <row r="840" spans="1:12" ht="102" x14ac:dyDescent="0.3">
      <c r="A840" s="42" t="s">
        <v>772</v>
      </c>
      <c r="B840" s="43" t="s">
        <v>908</v>
      </c>
      <c r="C840" s="43" t="s">
        <v>363</v>
      </c>
      <c r="D840" s="43" t="s">
        <v>919</v>
      </c>
      <c r="E840" s="44" t="s">
        <v>24</v>
      </c>
      <c r="F840" s="45" t="s">
        <v>14</v>
      </c>
      <c r="G840" s="45"/>
      <c r="H840" s="44" t="s">
        <v>13</v>
      </c>
      <c r="I840" s="46">
        <v>6059.15</v>
      </c>
      <c r="J840" s="46"/>
      <c r="K840" s="47" t="s">
        <v>8</v>
      </c>
      <c r="L840" s="48">
        <v>2326006.9900000002</v>
      </c>
    </row>
    <row r="841" spans="1:12" ht="102" x14ac:dyDescent="0.3">
      <c r="A841" s="42" t="s">
        <v>772</v>
      </c>
      <c r="B841" s="43" t="s">
        <v>908</v>
      </c>
      <c r="C841" s="43" t="s">
        <v>363</v>
      </c>
      <c r="D841" s="43" t="s">
        <v>920</v>
      </c>
      <c r="E841" s="44" t="s">
        <v>24</v>
      </c>
      <c r="F841" s="45" t="s">
        <v>14</v>
      </c>
      <c r="G841" s="45"/>
      <c r="H841" s="44" t="s">
        <v>13</v>
      </c>
      <c r="I841" s="46">
        <v>5543.53</v>
      </c>
      <c r="J841" s="46"/>
      <c r="K841" s="47" t="s">
        <v>8</v>
      </c>
      <c r="L841" s="48">
        <v>2320463.46</v>
      </c>
    </row>
    <row r="842" spans="1:12" ht="102" x14ac:dyDescent="0.3">
      <c r="A842" s="42" t="s">
        <v>772</v>
      </c>
      <c r="B842" s="43" t="s">
        <v>908</v>
      </c>
      <c r="C842" s="43" t="s">
        <v>363</v>
      </c>
      <c r="D842" s="43" t="s">
        <v>921</v>
      </c>
      <c r="E842" s="44" t="s">
        <v>24</v>
      </c>
      <c r="F842" s="45" t="s">
        <v>14</v>
      </c>
      <c r="G842" s="45"/>
      <c r="H842" s="44" t="s">
        <v>13</v>
      </c>
      <c r="I842" s="46">
        <v>4772.38</v>
      </c>
      <c r="J842" s="46"/>
      <c r="K842" s="47" t="s">
        <v>8</v>
      </c>
      <c r="L842" s="48">
        <v>2315691.08</v>
      </c>
    </row>
    <row r="843" spans="1:12" ht="102" x14ac:dyDescent="0.3">
      <c r="A843" s="42" t="s">
        <v>772</v>
      </c>
      <c r="B843" s="43" t="s">
        <v>908</v>
      </c>
      <c r="C843" s="43" t="s">
        <v>363</v>
      </c>
      <c r="D843" s="43" t="s">
        <v>922</v>
      </c>
      <c r="E843" s="44" t="s">
        <v>24</v>
      </c>
      <c r="F843" s="45" t="s">
        <v>14</v>
      </c>
      <c r="G843" s="45"/>
      <c r="H843" s="44" t="s">
        <v>13</v>
      </c>
      <c r="I843" s="46">
        <v>7273.73</v>
      </c>
      <c r="J843" s="46"/>
      <c r="K843" s="47" t="s">
        <v>8</v>
      </c>
      <c r="L843" s="48">
        <v>2308417.35</v>
      </c>
    </row>
    <row r="844" spans="1:12" ht="102" x14ac:dyDescent="0.3">
      <c r="A844" s="42" t="s">
        <v>772</v>
      </c>
      <c r="B844" s="43" t="s">
        <v>908</v>
      </c>
      <c r="C844" s="43" t="s">
        <v>363</v>
      </c>
      <c r="D844" s="43" t="s">
        <v>923</v>
      </c>
      <c r="E844" s="44" t="s">
        <v>24</v>
      </c>
      <c r="F844" s="45" t="s">
        <v>14</v>
      </c>
      <c r="G844" s="45"/>
      <c r="H844" s="44" t="s">
        <v>13</v>
      </c>
      <c r="I844" s="46">
        <v>6003.01</v>
      </c>
      <c r="J844" s="46"/>
      <c r="K844" s="47" t="s">
        <v>8</v>
      </c>
      <c r="L844" s="48">
        <v>2302414.34</v>
      </c>
    </row>
    <row r="845" spans="1:12" ht="102" x14ac:dyDescent="0.3">
      <c r="A845" s="42" t="s">
        <v>772</v>
      </c>
      <c r="B845" s="43" t="s">
        <v>908</v>
      </c>
      <c r="C845" s="43" t="s">
        <v>363</v>
      </c>
      <c r="D845" s="43" t="s">
        <v>924</v>
      </c>
      <c r="E845" s="44" t="s">
        <v>24</v>
      </c>
      <c r="F845" s="45" t="s">
        <v>14</v>
      </c>
      <c r="G845" s="45"/>
      <c r="H845" s="44" t="s">
        <v>13</v>
      </c>
      <c r="I845" s="46">
        <v>8112.48</v>
      </c>
      <c r="J845" s="46"/>
      <c r="K845" s="47" t="s">
        <v>8</v>
      </c>
      <c r="L845" s="48">
        <v>2294301.86</v>
      </c>
    </row>
    <row r="846" spans="1:12" ht="102" x14ac:dyDescent="0.3">
      <c r="A846" s="42" t="s">
        <v>772</v>
      </c>
      <c r="B846" s="43" t="s">
        <v>908</v>
      </c>
      <c r="C846" s="43" t="s">
        <v>363</v>
      </c>
      <c r="D846" s="43" t="s">
        <v>925</v>
      </c>
      <c r="E846" s="44" t="s">
        <v>24</v>
      </c>
      <c r="F846" s="45" t="s">
        <v>14</v>
      </c>
      <c r="G846" s="45"/>
      <c r="H846" s="44" t="s">
        <v>13</v>
      </c>
      <c r="I846" s="46">
        <v>3529.16</v>
      </c>
      <c r="J846" s="46"/>
      <c r="K846" s="47" t="s">
        <v>8</v>
      </c>
      <c r="L846" s="48">
        <v>2290772.7000000002</v>
      </c>
    </row>
    <row r="847" spans="1:12" ht="102" x14ac:dyDescent="0.3">
      <c r="A847" s="42" t="s">
        <v>772</v>
      </c>
      <c r="B847" s="43" t="s">
        <v>908</v>
      </c>
      <c r="C847" s="43" t="s">
        <v>363</v>
      </c>
      <c r="D847" s="43" t="s">
        <v>926</v>
      </c>
      <c r="E847" s="44" t="s">
        <v>24</v>
      </c>
      <c r="F847" s="45" t="s">
        <v>14</v>
      </c>
      <c r="G847" s="45"/>
      <c r="H847" s="44" t="s">
        <v>13</v>
      </c>
      <c r="I847" s="46">
        <v>1100</v>
      </c>
      <c r="J847" s="46"/>
      <c r="K847" s="47" t="s">
        <v>8</v>
      </c>
      <c r="L847" s="48">
        <v>2289672.7000000002</v>
      </c>
    </row>
    <row r="848" spans="1:12" ht="102" x14ac:dyDescent="0.3">
      <c r="A848" s="42" t="s">
        <v>772</v>
      </c>
      <c r="B848" s="43" t="s">
        <v>908</v>
      </c>
      <c r="C848" s="43" t="s">
        <v>363</v>
      </c>
      <c r="D848" s="43" t="s">
        <v>927</v>
      </c>
      <c r="E848" s="44" t="s">
        <v>24</v>
      </c>
      <c r="F848" s="45" t="s">
        <v>14</v>
      </c>
      <c r="G848" s="45"/>
      <c r="H848" s="44" t="s">
        <v>13</v>
      </c>
      <c r="I848" s="46">
        <v>3258.74</v>
      </c>
      <c r="J848" s="46"/>
      <c r="K848" s="47" t="s">
        <v>8</v>
      </c>
      <c r="L848" s="48">
        <v>2286413.96</v>
      </c>
    </row>
    <row r="849" spans="1:12" ht="102" x14ac:dyDescent="0.3">
      <c r="A849" s="42" t="s">
        <v>772</v>
      </c>
      <c r="B849" s="43" t="s">
        <v>908</v>
      </c>
      <c r="C849" s="43" t="s">
        <v>363</v>
      </c>
      <c r="D849" s="43" t="s">
        <v>928</v>
      </c>
      <c r="E849" s="44" t="s">
        <v>24</v>
      </c>
      <c r="F849" s="45" t="s">
        <v>14</v>
      </c>
      <c r="G849" s="45"/>
      <c r="H849" s="44" t="s">
        <v>13</v>
      </c>
      <c r="I849" s="46">
        <v>2717.91</v>
      </c>
      <c r="J849" s="46"/>
      <c r="K849" s="47" t="s">
        <v>8</v>
      </c>
      <c r="L849" s="48">
        <v>2283696.0499999998</v>
      </c>
    </row>
    <row r="850" spans="1:12" ht="102" x14ac:dyDescent="0.3">
      <c r="A850" s="42" t="s">
        <v>772</v>
      </c>
      <c r="B850" s="43" t="s">
        <v>908</v>
      </c>
      <c r="C850" s="43" t="s">
        <v>363</v>
      </c>
      <c r="D850" s="43" t="s">
        <v>929</v>
      </c>
      <c r="E850" s="44" t="s">
        <v>24</v>
      </c>
      <c r="F850" s="45" t="s">
        <v>14</v>
      </c>
      <c r="G850" s="45"/>
      <c r="H850" s="44" t="s">
        <v>13</v>
      </c>
      <c r="I850" s="46">
        <v>5408.32</v>
      </c>
      <c r="J850" s="46"/>
      <c r="K850" s="47" t="s">
        <v>8</v>
      </c>
      <c r="L850" s="48">
        <v>2278287.73</v>
      </c>
    </row>
    <row r="851" spans="1:12" ht="81.599999999999994" x14ac:dyDescent="0.3">
      <c r="A851" s="42" t="s">
        <v>772</v>
      </c>
      <c r="B851" s="43" t="s">
        <v>908</v>
      </c>
      <c r="C851" s="43" t="s">
        <v>363</v>
      </c>
      <c r="D851" s="43" t="s">
        <v>930</v>
      </c>
      <c r="E851" s="44" t="s">
        <v>24</v>
      </c>
      <c r="F851" s="45" t="s">
        <v>14</v>
      </c>
      <c r="G851" s="45"/>
      <c r="H851" s="44" t="s">
        <v>13</v>
      </c>
      <c r="I851" s="51">
        <v>805</v>
      </c>
      <c r="J851" s="51"/>
      <c r="K851" s="47" t="s">
        <v>8</v>
      </c>
      <c r="L851" s="48">
        <v>2277482.73</v>
      </c>
    </row>
    <row r="852" spans="1:12" ht="91.8" x14ac:dyDescent="0.3">
      <c r="A852" s="42" t="s">
        <v>772</v>
      </c>
      <c r="B852" s="43" t="s">
        <v>908</v>
      </c>
      <c r="C852" s="43" t="s">
        <v>363</v>
      </c>
      <c r="D852" s="43" t="s">
        <v>931</v>
      </c>
      <c r="E852" s="44" t="s">
        <v>24</v>
      </c>
      <c r="F852" s="45" t="s">
        <v>14</v>
      </c>
      <c r="G852" s="45"/>
      <c r="H852" s="44" t="s">
        <v>13</v>
      </c>
      <c r="I852" s="46">
        <v>3575</v>
      </c>
      <c r="J852" s="46"/>
      <c r="K852" s="47" t="s">
        <v>8</v>
      </c>
      <c r="L852" s="48">
        <v>2273907.73</v>
      </c>
    </row>
    <row r="853" spans="1:12" ht="81.599999999999994" x14ac:dyDescent="0.3">
      <c r="A853" s="42" t="s">
        <v>772</v>
      </c>
      <c r="B853" s="43" t="s">
        <v>908</v>
      </c>
      <c r="C853" s="43" t="s">
        <v>363</v>
      </c>
      <c r="D853" s="43" t="s">
        <v>932</v>
      </c>
      <c r="E853" s="44" t="s">
        <v>24</v>
      </c>
      <c r="F853" s="45" t="s">
        <v>14</v>
      </c>
      <c r="G853" s="45"/>
      <c r="H853" s="44" t="s">
        <v>13</v>
      </c>
      <c r="I853" s="46">
        <v>2585.12</v>
      </c>
      <c r="J853" s="46"/>
      <c r="K853" s="47" t="s">
        <v>8</v>
      </c>
      <c r="L853" s="48">
        <v>2271322.61</v>
      </c>
    </row>
    <row r="854" spans="1:12" ht="81.599999999999994" x14ac:dyDescent="0.3">
      <c r="A854" s="42" t="s">
        <v>772</v>
      </c>
      <c r="B854" s="43" t="s">
        <v>908</v>
      </c>
      <c r="C854" s="43" t="s">
        <v>363</v>
      </c>
      <c r="D854" s="43" t="s">
        <v>933</v>
      </c>
      <c r="E854" s="44" t="s">
        <v>24</v>
      </c>
      <c r="F854" s="45" t="s">
        <v>14</v>
      </c>
      <c r="G854" s="45"/>
      <c r="H854" s="44" t="s">
        <v>13</v>
      </c>
      <c r="I854" s="51">
        <v>824.32</v>
      </c>
      <c r="J854" s="51"/>
      <c r="K854" s="47" t="s">
        <v>8</v>
      </c>
      <c r="L854" s="48">
        <v>2270498.29</v>
      </c>
    </row>
    <row r="855" spans="1:12" ht="81.599999999999994" x14ac:dyDescent="0.3">
      <c r="A855" s="42" t="s">
        <v>772</v>
      </c>
      <c r="B855" s="43" t="s">
        <v>908</v>
      </c>
      <c r="C855" s="43" t="s">
        <v>363</v>
      </c>
      <c r="D855" s="43" t="s">
        <v>934</v>
      </c>
      <c r="E855" s="44" t="s">
        <v>24</v>
      </c>
      <c r="F855" s="45" t="s">
        <v>14</v>
      </c>
      <c r="G855" s="45"/>
      <c r="H855" s="44" t="s">
        <v>13</v>
      </c>
      <c r="I855" s="51">
        <v>181.2</v>
      </c>
      <c r="J855" s="51"/>
      <c r="K855" s="47" t="s">
        <v>8</v>
      </c>
      <c r="L855" s="48">
        <v>2270317.09</v>
      </c>
    </row>
    <row r="856" spans="1:12" ht="61.2" x14ac:dyDescent="0.3">
      <c r="A856" s="42" t="s">
        <v>772</v>
      </c>
      <c r="B856" s="43" t="s">
        <v>935</v>
      </c>
      <c r="C856" s="43" t="s">
        <v>363</v>
      </c>
      <c r="D856" s="43" t="s">
        <v>673</v>
      </c>
      <c r="E856" s="44" t="s">
        <v>24</v>
      </c>
      <c r="F856" s="45" t="s">
        <v>14</v>
      </c>
      <c r="G856" s="45"/>
      <c r="H856" s="44" t="s">
        <v>13</v>
      </c>
      <c r="I856" s="46">
        <v>36553.26</v>
      </c>
      <c r="J856" s="46"/>
      <c r="K856" s="47" t="s">
        <v>8</v>
      </c>
      <c r="L856" s="48">
        <v>2037061.47</v>
      </c>
    </row>
    <row r="857" spans="1:12" ht="71.400000000000006" x14ac:dyDescent="0.3">
      <c r="A857" s="42" t="s">
        <v>772</v>
      </c>
      <c r="B857" s="43" t="s">
        <v>935</v>
      </c>
      <c r="C857" s="43" t="s">
        <v>363</v>
      </c>
      <c r="D857" s="43" t="s">
        <v>936</v>
      </c>
      <c r="E857" s="44" t="s">
        <v>24</v>
      </c>
      <c r="F857" s="45" t="s">
        <v>14</v>
      </c>
      <c r="G857" s="45"/>
      <c r="H857" s="44" t="s">
        <v>13</v>
      </c>
      <c r="I857" s="46">
        <v>1458</v>
      </c>
      <c r="J857" s="46"/>
      <c r="K857" s="47" t="s">
        <v>8</v>
      </c>
      <c r="L857" s="48">
        <v>2035603.47</v>
      </c>
    </row>
    <row r="858" spans="1:12" ht="61.2" x14ac:dyDescent="0.3">
      <c r="A858" s="42" t="s">
        <v>772</v>
      </c>
      <c r="B858" s="43" t="s">
        <v>935</v>
      </c>
      <c r="C858" s="43" t="s">
        <v>363</v>
      </c>
      <c r="D858" s="43" t="s">
        <v>937</v>
      </c>
      <c r="E858" s="44" t="s">
        <v>24</v>
      </c>
      <c r="F858" s="45" t="s">
        <v>14</v>
      </c>
      <c r="G858" s="45"/>
      <c r="H858" s="44" t="s">
        <v>13</v>
      </c>
      <c r="I858" s="51">
        <v>772.7</v>
      </c>
      <c r="J858" s="51"/>
      <c r="K858" s="47" t="s">
        <v>8</v>
      </c>
      <c r="L858" s="48">
        <v>2034830.77</v>
      </c>
    </row>
    <row r="859" spans="1:12" ht="61.2" x14ac:dyDescent="0.3">
      <c r="A859" s="42" t="s">
        <v>772</v>
      </c>
      <c r="B859" s="43" t="s">
        <v>935</v>
      </c>
      <c r="C859" s="43" t="s">
        <v>363</v>
      </c>
      <c r="D859" s="43" t="s">
        <v>938</v>
      </c>
      <c r="E859" s="44" t="s">
        <v>24</v>
      </c>
      <c r="F859" s="45" t="s">
        <v>14</v>
      </c>
      <c r="G859" s="45"/>
      <c r="H859" s="44" t="s">
        <v>13</v>
      </c>
      <c r="I859" s="46">
        <v>1122.32</v>
      </c>
      <c r="J859" s="46"/>
      <c r="K859" s="47" t="s">
        <v>8</v>
      </c>
      <c r="L859" s="48">
        <v>2033708.45</v>
      </c>
    </row>
    <row r="860" spans="1:12" ht="61.2" x14ac:dyDescent="0.3">
      <c r="A860" s="42" t="s">
        <v>772</v>
      </c>
      <c r="B860" s="43" t="s">
        <v>935</v>
      </c>
      <c r="C860" s="43" t="s">
        <v>363</v>
      </c>
      <c r="D860" s="43" t="s">
        <v>675</v>
      </c>
      <c r="E860" s="44" t="s">
        <v>24</v>
      </c>
      <c r="F860" s="45" t="s">
        <v>14</v>
      </c>
      <c r="G860" s="45"/>
      <c r="H860" s="44" t="s">
        <v>13</v>
      </c>
      <c r="I860" s="46">
        <v>8037.75</v>
      </c>
      <c r="J860" s="46"/>
      <c r="K860" s="47" t="s">
        <v>8</v>
      </c>
      <c r="L860" s="48">
        <v>2025670.7</v>
      </c>
    </row>
    <row r="861" spans="1:12" ht="71.400000000000006" x14ac:dyDescent="0.3">
      <c r="A861" s="42" t="s">
        <v>772</v>
      </c>
      <c r="B861" s="43" t="s">
        <v>935</v>
      </c>
      <c r="C861" s="43" t="s">
        <v>363</v>
      </c>
      <c r="D861" s="43" t="s">
        <v>690</v>
      </c>
      <c r="E861" s="44" t="s">
        <v>24</v>
      </c>
      <c r="F861" s="45" t="s">
        <v>14</v>
      </c>
      <c r="G861" s="45"/>
      <c r="H861" s="44" t="s">
        <v>13</v>
      </c>
      <c r="I861" s="46">
        <v>1380.4</v>
      </c>
      <c r="J861" s="46"/>
      <c r="K861" s="47" t="s">
        <v>8</v>
      </c>
      <c r="L861" s="48">
        <v>2024290.3</v>
      </c>
    </row>
    <row r="862" spans="1:12" ht="61.2" x14ac:dyDescent="0.3">
      <c r="A862" s="42" t="s">
        <v>772</v>
      </c>
      <c r="B862" s="43" t="s">
        <v>935</v>
      </c>
      <c r="C862" s="43" t="s">
        <v>363</v>
      </c>
      <c r="D862" s="43" t="s">
        <v>692</v>
      </c>
      <c r="E862" s="44" t="s">
        <v>24</v>
      </c>
      <c r="F862" s="45" t="s">
        <v>14</v>
      </c>
      <c r="G862" s="45"/>
      <c r="H862" s="44" t="s">
        <v>13</v>
      </c>
      <c r="I862" s="46">
        <v>2618</v>
      </c>
      <c r="J862" s="46"/>
      <c r="K862" s="47" t="s">
        <v>8</v>
      </c>
      <c r="L862" s="48">
        <v>2021672.3</v>
      </c>
    </row>
    <row r="863" spans="1:12" ht="61.2" x14ac:dyDescent="0.3">
      <c r="A863" s="42" t="s">
        <v>772</v>
      </c>
      <c r="B863" s="43" t="s">
        <v>935</v>
      </c>
      <c r="C863" s="43" t="s">
        <v>363</v>
      </c>
      <c r="D863" s="43" t="s">
        <v>696</v>
      </c>
      <c r="E863" s="44" t="s">
        <v>24</v>
      </c>
      <c r="F863" s="45" t="s">
        <v>14</v>
      </c>
      <c r="G863" s="45"/>
      <c r="H863" s="44" t="s">
        <v>13</v>
      </c>
      <c r="I863" s="46">
        <v>5383.6</v>
      </c>
      <c r="J863" s="46"/>
      <c r="K863" s="47" t="s">
        <v>8</v>
      </c>
      <c r="L863" s="48">
        <v>2016288.7</v>
      </c>
    </row>
    <row r="864" spans="1:12" ht="71.400000000000006" x14ac:dyDescent="0.3">
      <c r="A864" s="42" t="s">
        <v>772</v>
      </c>
      <c r="B864" s="43" t="s">
        <v>935</v>
      </c>
      <c r="C864" s="43" t="s">
        <v>363</v>
      </c>
      <c r="D864" s="43" t="s">
        <v>939</v>
      </c>
      <c r="E864" s="44" t="s">
        <v>24</v>
      </c>
      <c r="F864" s="45" t="s">
        <v>14</v>
      </c>
      <c r="G864" s="45"/>
      <c r="H864" s="44" t="s">
        <v>13</v>
      </c>
      <c r="I864" s="46">
        <v>85232.8</v>
      </c>
      <c r="J864" s="46"/>
      <c r="K864" s="47" t="s">
        <v>8</v>
      </c>
      <c r="L864" s="48">
        <v>1931055.9</v>
      </c>
    </row>
    <row r="865" spans="1:12" ht="71.400000000000006" x14ac:dyDescent="0.3">
      <c r="A865" s="42" t="s">
        <v>772</v>
      </c>
      <c r="B865" s="43" t="s">
        <v>935</v>
      </c>
      <c r="C865" s="43" t="s">
        <v>363</v>
      </c>
      <c r="D865" s="43" t="s">
        <v>940</v>
      </c>
      <c r="E865" s="44" t="s">
        <v>24</v>
      </c>
      <c r="F865" s="45" t="s">
        <v>14</v>
      </c>
      <c r="G865" s="45"/>
      <c r="H865" s="44" t="s">
        <v>13</v>
      </c>
      <c r="I865" s="46">
        <v>14182.49</v>
      </c>
      <c r="J865" s="46"/>
      <c r="K865" s="47" t="s">
        <v>8</v>
      </c>
      <c r="L865" s="48">
        <v>1916873.41</v>
      </c>
    </row>
    <row r="866" spans="1:12" ht="71.400000000000006" x14ac:dyDescent="0.3">
      <c r="A866" s="42" t="s">
        <v>772</v>
      </c>
      <c r="B866" s="43" t="s">
        <v>935</v>
      </c>
      <c r="C866" s="43" t="s">
        <v>363</v>
      </c>
      <c r="D866" s="43" t="s">
        <v>690</v>
      </c>
      <c r="E866" s="44" t="s">
        <v>24</v>
      </c>
      <c r="F866" s="45" t="s">
        <v>14</v>
      </c>
      <c r="G866" s="45"/>
      <c r="H866" s="44" t="s">
        <v>13</v>
      </c>
      <c r="I866" s="46">
        <v>1386.2</v>
      </c>
      <c r="J866" s="46"/>
      <c r="K866" s="47" t="s">
        <v>8</v>
      </c>
      <c r="L866" s="48">
        <v>1915487.21</v>
      </c>
    </row>
    <row r="867" spans="1:12" ht="61.2" x14ac:dyDescent="0.3">
      <c r="A867" s="42" t="s">
        <v>772</v>
      </c>
      <c r="B867" s="43" t="s">
        <v>935</v>
      </c>
      <c r="C867" s="43" t="s">
        <v>363</v>
      </c>
      <c r="D867" s="43" t="s">
        <v>689</v>
      </c>
      <c r="E867" s="44" t="s">
        <v>24</v>
      </c>
      <c r="F867" s="45" t="s">
        <v>14</v>
      </c>
      <c r="G867" s="45"/>
      <c r="H867" s="44" t="s">
        <v>13</v>
      </c>
      <c r="I867" s="46">
        <v>11185.2</v>
      </c>
      <c r="J867" s="46"/>
      <c r="K867" s="47" t="s">
        <v>8</v>
      </c>
      <c r="L867" s="48">
        <v>1904302.01</v>
      </c>
    </row>
    <row r="868" spans="1:12" ht="61.2" hidden="1" x14ac:dyDescent="0.3">
      <c r="A868" s="42" t="s">
        <v>20</v>
      </c>
      <c r="B868" s="43" t="s">
        <v>70</v>
      </c>
      <c r="C868" s="43" t="s">
        <v>363</v>
      </c>
      <c r="D868" s="43" t="s">
        <v>702</v>
      </c>
      <c r="E868" s="44" t="s">
        <v>24</v>
      </c>
      <c r="F868" s="45" t="s">
        <v>14</v>
      </c>
      <c r="G868" s="45"/>
      <c r="H868" s="44" t="s">
        <v>13</v>
      </c>
      <c r="I868" s="51">
        <v>0.01</v>
      </c>
      <c r="J868" s="51"/>
      <c r="K868" s="47" t="s">
        <v>8</v>
      </c>
      <c r="L868" s="48">
        <v>4280315.34</v>
      </c>
    </row>
    <row r="869" spans="1:12" ht="61.2" hidden="1" x14ac:dyDescent="0.3">
      <c r="A869" s="42" t="s">
        <v>20</v>
      </c>
      <c r="B869" s="43" t="s">
        <v>941</v>
      </c>
      <c r="C869" s="43" t="s">
        <v>700</v>
      </c>
      <c r="D869" s="43" t="s">
        <v>357</v>
      </c>
      <c r="E869" s="44" t="s">
        <v>13</v>
      </c>
      <c r="F869" s="52">
        <v>0.01</v>
      </c>
      <c r="G869" s="52"/>
      <c r="H869" s="44" t="s">
        <v>13</v>
      </c>
      <c r="I869" s="50" t="s">
        <v>14</v>
      </c>
      <c r="J869" s="50"/>
      <c r="K869" s="47" t="s">
        <v>8</v>
      </c>
      <c r="L869" s="48">
        <v>2270317.1</v>
      </c>
    </row>
    <row r="870" spans="1:12" ht="61.2" hidden="1" x14ac:dyDescent="0.3">
      <c r="A870" s="42" t="s">
        <v>20</v>
      </c>
      <c r="B870" s="43" t="s">
        <v>941</v>
      </c>
      <c r="C870" s="43" t="s">
        <v>700</v>
      </c>
      <c r="D870" s="43" t="s">
        <v>357</v>
      </c>
      <c r="E870" s="44" t="s">
        <v>13</v>
      </c>
      <c r="F870" s="45" t="s">
        <v>14</v>
      </c>
      <c r="G870" s="45"/>
      <c r="H870" s="44" t="s">
        <v>13</v>
      </c>
      <c r="I870" s="51">
        <v>0.01</v>
      </c>
      <c r="J870" s="51"/>
      <c r="K870" s="47" t="s">
        <v>8</v>
      </c>
      <c r="L870" s="48">
        <v>4280315.33</v>
      </c>
    </row>
    <row r="871" spans="1:12" ht="61.2" hidden="1" x14ac:dyDescent="0.3">
      <c r="A871" s="42" t="s">
        <v>20</v>
      </c>
      <c r="B871" s="43" t="s">
        <v>70</v>
      </c>
      <c r="C871" s="43" t="s">
        <v>363</v>
      </c>
      <c r="D871" s="43" t="s">
        <v>700</v>
      </c>
      <c r="E871" s="44" t="s">
        <v>24</v>
      </c>
      <c r="F871" s="45" t="s">
        <v>14</v>
      </c>
      <c r="G871" s="45"/>
      <c r="H871" s="44" t="s">
        <v>13</v>
      </c>
      <c r="I871" s="51">
        <v>0.01</v>
      </c>
      <c r="J871" s="51"/>
      <c r="K871" s="47" t="s">
        <v>8</v>
      </c>
      <c r="L871" s="48">
        <v>2270317.09</v>
      </c>
    </row>
    <row r="872" spans="1:12" ht="61.2" hidden="1" x14ac:dyDescent="0.3">
      <c r="A872" s="42" t="s">
        <v>20</v>
      </c>
      <c r="B872" s="43" t="s">
        <v>941</v>
      </c>
      <c r="C872" s="43" t="s">
        <v>356</v>
      </c>
      <c r="D872" s="43" t="s">
        <v>357</v>
      </c>
      <c r="E872" s="44" t="s">
        <v>13</v>
      </c>
      <c r="F872" s="45" t="s">
        <v>14</v>
      </c>
      <c r="G872" s="45"/>
      <c r="H872" s="44" t="s">
        <v>13</v>
      </c>
      <c r="I872" s="53">
        <v>-0.01</v>
      </c>
      <c r="J872" s="53"/>
      <c r="K872" s="47" t="s">
        <v>8</v>
      </c>
      <c r="L872" s="48">
        <v>4280315.34</v>
      </c>
    </row>
    <row r="873" spans="1:12" ht="61.2" hidden="1" x14ac:dyDescent="0.3">
      <c r="A873" s="42" t="s">
        <v>20</v>
      </c>
      <c r="B873" s="43" t="s">
        <v>941</v>
      </c>
      <c r="C873" s="43" t="s">
        <v>356</v>
      </c>
      <c r="D873" s="43" t="s">
        <v>357</v>
      </c>
      <c r="E873" s="44" t="s">
        <v>13</v>
      </c>
      <c r="F873" s="54">
        <v>-0.01</v>
      </c>
      <c r="G873" s="54"/>
      <c r="H873" s="44" t="s">
        <v>13</v>
      </c>
      <c r="I873" s="50" t="s">
        <v>14</v>
      </c>
      <c r="J873" s="50"/>
      <c r="K873" s="47" t="s">
        <v>8</v>
      </c>
      <c r="L873" s="48">
        <v>2270317.08</v>
      </c>
    </row>
    <row r="874" spans="1:12" ht="61.2" hidden="1" x14ac:dyDescent="0.3">
      <c r="A874" s="42" t="s">
        <v>20</v>
      </c>
      <c r="B874" s="43" t="s">
        <v>70</v>
      </c>
      <c r="C874" s="43" t="s">
        <v>363</v>
      </c>
      <c r="D874" s="43" t="s">
        <v>356</v>
      </c>
      <c r="E874" s="44" t="s">
        <v>24</v>
      </c>
      <c r="F874" s="45" t="s">
        <v>14</v>
      </c>
      <c r="G874" s="45"/>
      <c r="H874" s="44" t="s">
        <v>13</v>
      </c>
      <c r="I874" s="53">
        <v>-0.01</v>
      </c>
      <c r="J874" s="53"/>
      <c r="K874" s="47" t="s">
        <v>8</v>
      </c>
      <c r="L874" s="48">
        <v>2270317.09</v>
      </c>
    </row>
    <row r="875" spans="1:12" hidden="1" x14ac:dyDescent="0.3">
      <c r="A875" s="55" t="s">
        <v>78</v>
      </c>
      <c r="B875" s="55"/>
      <c r="C875" s="55"/>
      <c r="D875" s="55"/>
      <c r="E875" s="56">
        <v>28403913.100000001</v>
      </c>
      <c r="F875" s="56"/>
      <c r="G875" s="56"/>
      <c r="H875" s="56">
        <v>24286571.02</v>
      </c>
      <c r="I875" s="56"/>
      <c r="J875" s="56"/>
      <c r="K875" s="57" t="s">
        <v>8</v>
      </c>
      <c r="L875" s="58">
        <v>22994191.02</v>
      </c>
    </row>
    <row r="877" spans="1:12" x14ac:dyDescent="0.3">
      <c r="J877" s="1">
        <f>SUBTOTAL(9,I9:J867)</f>
        <v>24033090.100000009</v>
      </c>
    </row>
    <row r="879" spans="1:12" x14ac:dyDescent="0.3">
      <c r="J879" s="1">
        <f>J877*1.2</f>
        <v>28839708.120000008</v>
      </c>
    </row>
  </sheetData>
  <autoFilter ref="B1:D875" xr:uid="{6CC98479-C4E2-4B55-BC16-B57899686694}">
    <filterColumn colId="0">
      <filters>
        <filter val="Вимога-накладна ІБ00-000062 від 16.01.2026 18:01:04_x000a_Списаны ТМЦ"/>
        <filter val="Вимога-накладна ІБ00-000063 від 26.01.2026 00:00:00_x000a_Списаны ТМЦ"/>
        <filter val="Вимога-накладна ІБ00-000064 від 26.01.2026 00:00:00_x000a_Списаны ТМЦ"/>
        <filter val="Вимога-накладна ІБ00-000065 від 26.01.2026 20:00:08_x000a_Списаны ТМЦ"/>
        <filter val="Вимога-накладна ІБ00-000066 від 26.01.2026 20:00:11_x000a_Списаны ТМЦ"/>
        <filter val="Вимога-накладна ІБ00-000070 від 30.01.2026 19:00:29_x000a_Списаны ТМЦ"/>
        <filter val="Вимога-накладна ІБ00-000071 від 30.01.2026 19:00:32_x000a_Списаны ТМЦ"/>
        <filter val="Вимога-накладна ІБ00-000072 від 30.01.2026 19:00:35_x000a_Списаны ТМЦ"/>
        <filter val="Вимога-накладна ІБ00-000073 від 30.01.2026 20:00:00_x000a_Списаны ТМЦ"/>
        <filter val="Вимога-накладна ІБ00-000077 від 30.01.2026 20:05:00_x000a_Списаны ТМЦ"/>
        <filter val="Вимога-накладна ІБ00-000078 від 30.01.2026 20:10:00_x000a_Списаны ТМЦ"/>
        <filter val="Вимога-накладна ІБ00-000079 від 30.01.2026 20:30:00_x000a_Списаны ТМЦ"/>
        <filter val="Вимога-накладна ІБ00-000080 від 30.01.2026 20:30:03_x000a_Списаны ТМЦ"/>
        <filter val="Вимога-накладна ІБ00-000081 від 30.01.2026 20:30:05_x000a_Списаны ТМЦ"/>
        <filter val="Вимога-накладна ІБ00-000113 від 21.01.2026 13:00:00_x000a_Списаны ТМЦ"/>
        <filter val="Вимога-накладна ІБ00-000114 від 21.01.2026 13:00:00_x000a_Списаны ТМЦ"/>
        <filter val="Вимога-накладна ІБ00-000116 від 27.01.2026 12:00:00_x000a_Списаны ТМЦ"/>
        <filter val="Вимога-накладна ІБ00-000117 від 27.01.2026 12:00:00_x000a_Списаны ТМЦ"/>
        <filter val="Вимога-накладна ІБ00-000126 від 22.01.2026 13:00:00_x000a_Списаны ТМЦ"/>
        <filter val="Вимога-накладна ІБ00-000129 від 21.01.2026 13:00:00_x000a_Списаны ТМЦ"/>
        <filter val="Вимога-накладна ІБ00-000130 від 27.01.2026 13:00:00_x000a_Списаны ТМЦ"/>
        <filter val="Вимога-накладна ІБ00-000133 від 21.01.2026 13:00:00_x000a_Списаны ТМЦ"/>
        <filter val="Реалізація товарів і послуг ІБ00-000003 від 06.01.2026 00:00:00_x000a_Списаны ТМЦ"/>
        <filter val="Реалізація товарів і послуг ІБ00-000004 від 06.01.2026 00:00:00_x000a_Списаны ТМЦ"/>
        <filter val="Реалізація товарів і послуг ІБ00-000005 від 06.01.2026 00:00:00_x000a_Списаны ТМЦ"/>
        <filter val="Реалізація товарів і послуг ІБ00-000006 від 06.01.2026 00:00:00_x000a_Списаны ТМЦ"/>
        <filter val="Реалізація товарів і послуг ІБ00-000007 від 06.01.2026 00:00:00_x000a_Списаны ТМЦ"/>
        <filter val="Реалізація товарів і послуг ІБ00-000011 від 14.01.2026 09:40:20_x000a_Списаны ТМЦ"/>
        <filter val="Реалізація товарів і послуг ІБ00-000012 від 14.01.2026 10:17:51_x000a_Списаны ТМЦ"/>
        <filter val="Реалізація товарів і послуг ІБ00-000013 від 14.01.2026 10:25:44_x000a_Списаны ТМЦ"/>
        <filter val="Реалізація товарів і послуг ІБ00-000014 від 14.01.2026 10:35:08_x000a_Списаны ТМЦ"/>
        <filter val="Реалізація товарів і послуг ІБ00-000015 від 16.01.2026 08:28:18_x000a_Списаны ТМЦ"/>
        <filter val="Реалізація товарів і послуг ІБ00-000016 від 16.01.2026 08:39:32_x000a_Списаны ТМЦ"/>
        <filter val="Реалізація товарів і послуг ІБ00-000018 від 21.01.2026 08:46:22_x000a_Списаны ТМЦ"/>
        <filter val="Реалізація товарів і послуг ІБ00-000020 від 22.01.2026 11:47:29_x000a_Списаны ТМЦ"/>
        <filter val="Реалізація товарів і послуг ІБ00-000021 від 23.01.2026 10:39:19_x000a_Списаны ТМЦ"/>
        <filter val="Списання товарів ІБ00-000005 від 26.01.2026 20:00:00_x000a_Списаны ТМЦ"/>
        <filter val="Списання товарів ІБ00-000037 від 30.01.2026 20:30:01_x000a_Списаны ТМЦ"/>
        <filter val="Списання товарів ІБ00-000040 від 30.01.2026 20:00:00_x000a_Списаны ТМЦ"/>
        <filter val="Списання товарів ІБ00-000055 від 30.01.2026 13:00:00_x000a_Списаны ТМЦ"/>
      </filters>
    </filterColumn>
  </autoFilter>
  <mergeCells count="1756">
    <mergeCell ref="F874:G874"/>
    <mergeCell ref="I874:J874"/>
    <mergeCell ref="A875:D875"/>
    <mergeCell ref="E875:G875"/>
    <mergeCell ref="H875:J875"/>
    <mergeCell ref="F871:G871"/>
    <mergeCell ref="I871:J871"/>
    <mergeCell ref="F872:G872"/>
    <mergeCell ref="I872:J872"/>
    <mergeCell ref="F873:G873"/>
    <mergeCell ref="I873:J873"/>
    <mergeCell ref="F868:G868"/>
    <mergeCell ref="I868:J868"/>
    <mergeCell ref="F869:G869"/>
    <mergeCell ref="I869:J869"/>
    <mergeCell ref="F870:G870"/>
    <mergeCell ref="I870:J870"/>
    <mergeCell ref="F865:G865"/>
    <mergeCell ref="I865:J865"/>
    <mergeCell ref="F866:G866"/>
    <mergeCell ref="I866:J866"/>
    <mergeCell ref="F867:G867"/>
    <mergeCell ref="I867:J867"/>
    <mergeCell ref="F862:G862"/>
    <mergeCell ref="I862:J862"/>
    <mergeCell ref="F863:G863"/>
    <mergeCell ref="I863:J863"/>
    <mergeCell ref="F864:G864"/>
    <mergeCell ref="I864:J864"/>
    <mergeCell ref="F859:G859"/>
    <mergeCell ref="I859:J859"/>
    <mergeCell ref="F860:G860"/>
    <mergeCell ref="I860:J860"/>
    <mergeCell ref="F861:G861"/>
    <mergeCell ref="I861:J861"/>
    <mergeCell ref="F856:G856"/>
    <mergeCell ref="I856:J856"/>
    <mergeCell ref="F857:G857"/>
    <mergeCell ref="I857:J857"/>
    <mergeCell ref="F858:G858"/>
    <mergeCell ref="I858:J858"/>
    <mergeCell ref="F853:G853"/>
    <mergeCell ref="I853:J853"/>
    <mergeCell ref="F854:G854"/>
    <mergeCell ref="I854:J854"/>
    <mergeCell ref="F855:G855"/>
    <mergeCell ref="I855:J855"/>
    <mergeCell ref="F850:G850"/>
    <mergeCell ref="I850:J850"/>
    <mergeCell ref="F851:G851"/>
    <mergeCell ref="I851:J851"/>
    <mergeCell ref="F852:G852"/>
    <mergeCell ref="I852:J852"/>
    <mergeCell ref="F847:G847"/>
    <mergeCell ref="I847:J847"/>
    <mergeCell ref="F848:G848"/>
    <mergeCell ref="I848:J848"/>
    <mergeCell ref="F849:G849"/>
    <mergeCell ref="I849:J849"/>
    <mergeCell ref="F844:G844"/>
    <mergeCell ref="I844:J844"/>
    <mergeCell ref="F845:G845"/>
    <mergeCell ref="I845:J845"/>
    <mergeCell ref="F846:G846"/>
    <mergeCell ref="I846:J846"/>
    <mergeCell ref="F841:G841"/>
    <mergeCell ref="I841:J841"/>
    <mergeCell ref="F842:G842"/>
    <mergeCell ref="I842:J842"/>
    <mergeCell ref="F843:G843"/>
    <mergeCell ref="I843:J843"/>
    <mergeCell ref="F838:G838"/>
    <mergeCell ref="I838:J838"/>
    <mergeCell ref="F839:G839"/>
    <mergeCell ref="I839:J839"/>
    <mergeCell ref="F840:G840"/>
    <mergeCell ref="I840:J840"/>
    <mergeCell ref="F835:G835"/>
    <mergeCell ref="I835:J835"/>
    <mergeCell ref="F836:G836"/>
    <mergeCell ref="I836:J836"/>
    <mergeCell ref="F837:G837"/>
    <mergeCell ref="I837:J837"/>
    <mergeCell ref="F832:G832"/>
    <mergeCell ref="I832:J832"/>
    <mergeCell ref="F833:G833"/>
    <mergeCell ref="I833:J833"/>
    <mergeCell ref="F834:G834"/>
    <mergeCell ref="I834:J834"/>
    <mergeCell ref="F829:G829"/>
    <mergeCell ref="I829:J829"/>
    <mergeCell ref="F830:G830"/>
    <mergeCell ref="I830:J830"/>
    <mergeCell ref="F831:G831"/>
    <mergeCell ref="I831:J831"/>
    <mergeCell ref="F826:G826"/>
    <mergeCell ref="I826:J826"/>
    <mergeCell ref="F827:G827"/>
    <mergeCell ref="I827:J827"/>
    <mergeCell ref="F828:G828"/>
    <mergeCell ref="I828:J828"/>
    <mergeCell ref="F823:G823"/>
    <mergeCell ref="I823:J823"/>
    <mergeCell ref="F824:G824"/>
    <mergeCell ref="I824:J824"/>
    <mergeCell ref="F825:G825"/>
    <mergeCell ref="I825:J825"/>
    <mergeCell ref="F820:G820"/>
    <mergeCell ref="I820:J820"/>
    <mergeCell ref="F821:G821"/>
    <mergeCell ref="I821:J821"/>
    <mergeCell ref="F822:G822"/>
    <mergeCell ref="I822:J822"/>
    <mergeCell ref="F817:G817"/>
    <mergeCell ref="I817:J817"/>
    <mergeCell ref="F818:G818"/>
    <mergeCell ref="I818:J818"/>
    <mergeCell ref="F819:G819"/>
    <mergeCell ref="I819:J819"/>
    <mergeCell ref="F814:G814"/>
    <mergeCell ref="I814:J814"/>
    <mergeCell ref="F815:G815"/>
    <mergeCell ref="I815:J815"/>
    <mergeCell ref="F816:G816"/>
    <mergeCell ref="I816:J816"/>
    <mergeCell ref="F811:G811"/>
    <mergeCell ref="I811:J811"/>
    <mergeCell ref="F812:G812"/>
    <mergeCell ref="I812:J812"/>
    <mergeCell ref="F813:G813"/>
    <mergeCell ref="I813:J813"/>
    <mergeCell ref="F808:G808"/>
    <mergeCell ref="I808:J808"/>
    <mergeCell ref="F809:G809"/>
    <mergeCell ref="I809:J809"/>
    <mergeCell ref="F810:G810"/>
    <mergeCell ref="I810:J810"/>
    <mergeCell ref="F805:G805"/>
    <mergeCell ref="I805:J805"/>
    <mergeCell ref="F806:G806"/>
    <mergeCell ref="I806:J806"/>
    <mergeCell ref="F807:G807"/>
    <mergeCell ref="I807:J807"/>
    <mergeCell ref="F802:G802"/>
    <mergeCell ref="I802:J802"/>
    <mergeCell ref="F803:G803"/>
    <mergeCell ref="I803:J803"/>
    <mergeCell ref="F804:G804"/>
    <mergeCell ref="I804:J804"/>
    <mergeCell ref="F799:G799"/>
    <mergeCell ref="I799:J799"/>
    <mergeCell ref="F800:G800"/>
    <mergeCell ref="I800:J800"/>
    <mergeCell ref="F801:G801"/>
    <mergeCell ref="I801:J801"/>
    <mergeCell ref="F796:G796"/>
    <mergeCell ref="I796:J796"/>
    <mergeCell ref="F797:G797"/>
    <mergeCell ref="I797:J797"/>
    <mergeCell ref="F798:G798"/>
    <mergeCell ref="I798:J798"/>
    <mergeCell ref="F793:G793"/>
    <mergeCell ref="I793:J793"/>
    <mergeCell ref="F794:G794"/>
    <mergeCell ref="I794:J794"/>
    <mergeCell ref="F795:G795"/>
    <mergeCell ref="I795:J795"/>
    <mergeCell ref="F790:G790"/>
    <mergeCell ref="I790:J790"/>
    <mergeCell ref="F791:G791"/>
    <mergeCell ref="I791:J791"/>
    <mergeCell ref="F792:G792"/>
    <mergeCell ref="I792:J792"/>
    <mergeCell ref="F787:G787"/>
    <mergeCell ref="I787:J787"/>
    <mergeCell ref="F788:G788"/>
    <mergeCell ref="I788:J788"/>
    <mergeCell ref="F789:G789"/>
    <mergeCell ref="I789:J789"/>
    <mergeCell ref="F784:G784"/>
    <mergeCell ref="I784:J784"/>
    <mergeCell ref="F785:G785"/>
    <mergeCell ref="I785:J785"/>
    <mergeCell ref="F786:G786"/>
    <mergeCell ref="I786:J786"/>
    <mergeCell ref="F781:G781"/>
    <mergeCell ref="I781:J781"/>
    <mergeCell ref="F782:G782"/>
    <mergeCell ref="I782:J782"/>
    <mergeCell ref="F783:G783"/>
    <mergeCell ref="I783:J783"/>
    <mergeCell ref="F778:G778"/>
    <mergeCell ref="I778:J778"/>
    <mergeCell ref="F779:G779"/>
    <mergeCell ref="I779:J779"/>
    <mergeCell ref="F780:G780"/>
    <mergeCell ref="I780:J780"/>
    <mergeCell ref="F775:G775"/>
    <mergeCell ref="I775:J775"/>
    <mergeCell ref="F776:G776"/>
    <mergeCell ref="I776:J776"/>
    <mergeCell ref="F777:G777"/>
    <mergeCell ref="I777:J777"/>
    <mergeCell ref="F772:G772"/>
    <mergeCell ref="I772:J772"/>
    <mergeCell ref="F773:G773"/>
    <mergeCell ref="I773:J773"/>
    <mergeCell ref="F774:G774"/>
    <mergeCell ref="I774:J774"/>
    <mergeCell ref="F769:G769"/>
    <mergeCell ref="I769:J769"/>
    <mergeCell ref="F770:G770"/>
    <mergeCell ref="I770:J770"/>
    <mergeCell ref="F771:G771"/>
    <mergeCell ref="I771:J771"/>
    <mergeCell ref="F766:G766"/>
    <mergeCell ref="I766:J766"/>
    <mergeCell ref="F767:G767"/>
    <mergeCell ref="I767:J767"/>
    <mergeCell ref="F768:G768"/>
    <mergeCell ref="I768:J768"/>
    <mergeCell ref="F763:G763"/>
    <mergeCell ref="I763:J763"/>
    <mergeCell ref="F764:G764"/>
    <mergeCell ref="I764:J764"/>
    <mergeCell ref="F765:G765"/>
    <mergeCell ref="I765:J765"/>
    <mergeCell ref="F760:G760"/>
    <mergeCell ref="I760:J760"/>
    <mergeCell ref="F761:G761"/>
    <mergeCell ref="I761:J761"/>
    <mergeCell ref="F762:G762"/>
    <mergeCell ref="I762:J762"/>
    <mergeCell ref="F757:G757"/>
    <mergeCell ref="I757:J757"/>
    <mergeCell ref="F758:G758"/>
    <mergeCell ref="I758:J758"/>
    <mergeCell ref="F759:G759"/>
    <mergeCell ref="I759:J759"/>
    <mergeCell ref="F754:G754"/>
    <mergeCell ref="I754:J754"/>
    <mergeCell ref="F755:G755"/>
    <mergeCell ref="I755:J755"/>
    <mergeCell ref="F756:G756"/>
    <mergeCell ref="I756:J756"/>
    <mergeCell ref="F751:G751"/>
    <mergeCell ref="I751:J751"/>
    <mergeCell ref="F752:G752"/>
    <mergeCell ref="I752:J752"/>
    <mergeCell ref="F753:G753"/>
    <mergeCell ref="I753:J753"/>
    <mergeCell ref="F748:G748"/>
    <mergeCell ref="I748:J748"/>
    <mergeCell ref="F749:G749"/>
    <mergeCell ref="I749:J749"/>
    <mergeCell ref="F750:G750"/>
    <mergeCell ref="I750:J750"/>
    <mergeCell ref="F745:G745"/>
    <mergeCell ref="I745:J745"/>
    <mergeCell ref="F746:G746"/>
    <mergeCell ref="I746:J746"/>
    <mergeCell ref="F747:G747"/>
    <mergeCell ref="I747:J747"/>
    <mergeCell ref="F742:G742"/>
    <mergeCell ref="I742:J742"/>
    <mergeCell ref="F743:G743"/>
    <mergeCell ref="I743:J743"/>
    <mergeCell ref="F744:G744"/>
    <mergeCell ref="I744:J744"/>
    <mergeCell ref="F739:G739"/>
    <mergeCell ref="I739:J739"/>
    <mergeCell ref="F740:G740"/>
    <mergeCell ref="I740:J740"/>
    <mergeCell ref="F741:G741"/>
    <mergeCell ref="I741:J741"/>
    <mergeCell ref="F736:G736"/>
    <mergeCell ref="I736:J736"/>
    <mergeCell ref="F737:G737"/>
    <mergeCell ref="I737:J737"/>
    <mergeCell ref="F738:G738"/>
    <mergeCell ref="I738:J738"/>
    <mergeCell ref="F733:G733"/>
    <mergeCell ref="I733:J733"/>
    <mergeCell ref="F734:G734"/>
    <mergeCell ref="I734:J734"/>
    <mergeCell ref="F735:G735"/>
    <mergeCell ref="I735:J735"/>
    <mergeCell ref="F730:G730"/>
    <mergeCell ref="I730:J730"/>
    <mergeCell ref="F731:G731"/>
    <mergeCell ref="I731:J731"/>
    <mergeCell ref="F732:G732"/>
    <mergeCell ref="I732:J732"/>
    <mergeCell ref="F727:G727"/>
    <mergeCell ref="I727:J727"/>
    <mergeCell ref="F728:G728"/>
    <mergeCell ref="I728:J728"/>
    <mergeCell ref="F729:G729"/>
    <mergeCell ref="I729:J729"/>
    <mergeCell ref="F724:G724"/>
    <mergeCell ref="I724:J724"/>
    <mergeCell ref="F725:G725"/>
    <mergeCell ref="I725:J725"/>
    <mergeCell ref="F726:G726"/>
    <mergeCell ref="I726:J726"/>
    <mergeCell ref="F721:G721"/>
    <mergeCell ref="I721:J721"/>
    <mergeCell ref="F722:G722"/>
    <mergeCell ref="I722:J722"/>
    <mergeCell ref="F723:G723"/>
    <mergeCell ref="I723:J723"/>
    <mergeCell ref="F718:G718"/>
    <mergeCell ref="I718:J718"/>
    <mergeCell ref="F719:G719"/>
    <mergeCell ref="I719:J719"/>
    <mergeCell ref="F720:G720"/>
    <mergeCell ref="I720:J720"/>
    <mergeCell ref="F715:G715"/>
    <mergeCell ref="I715:J715"/>
    <mergeCell ref="F716:G716"/>
    <mergeCell ref="I716:J716"/>
    <mergeCell ref="F717:G717"/>
    <mergeCell ref="I717:J717"/>
    <mergeCell ref="F712:G712"/>
    <mergeCell ref="I712:J712"/>
    <mergeCell ref="F713:G713"/>
    <mergeCell ref="I713:J713"/>
    <mergeCell ref="F714:G714"/>
    <mergeCell ref="I714:J714"/>
    <mergeCell ref="F709:G709"/>
    <mergeCell ref="I709:J709"/>
    <mergeCell ref="F710:G710"/>
    <mergeCell ref="I710:J710"/>
    <mergeCell ref="F711:G711"/>
    <mergeCell ref="I711:J711"/>
    <mergeCell ref="F706:G706"/>
    <mergeCell ref="I706:J706"/>
    <mergeCell ref="F707:G707"/>
    <mergeCell ref="I707:J707"/>
    <mergeCell ref="F708:G708"/>
    <mergeCell ref="I708:J708"/>
    <mergeCell ref="F703:G703"/>
    <mergeCell ref="I703:J703"/>
    <mergeCell ref="F704:G704"/>
    <mergeCell ref="I704:J704"/>
    <mergeCell ref="F705:G705"/>
    <mergeCell ref="I705:J705"/>
    <mergeCell ref="F700:G700"/>
    <mergeCell ref="I700:J700"/>
    <mergeCell ref="F701:G701"/>
    <mergeCell ref="I701:J701"/>
    <mergeCell ref="F702:G702"/>
    <mergeCell ref="I702:J702"/>
    <mergeCell ref="F697:G697"/>
    <mergeCell ref="I697:J697"/>
    <mergeCell ref="F698:G698"/>
    <mergeCell ref="I698:J698"/>
    <mergeCell ref="F699:G699"/>
    <mergeCell ref="I699:J699"/>
    <mergeCell ref="F694:G694"/>
    <mergeCell ref="I694:J694"/>
    <mergeCell ref="F695:G695"/>
    <mergeCell ref="I695:J695"/>
    <mergeCell ref="F696:G696"/>
    <mergeCell ref="I696:J696"/>
    <mergeCell ref="F691:G691"/>
    <mergeCell ref="I691:J691"/>
    <mergeCell ref="F692:G692"/>
    <mergeCell ref="I692:J692"/>
    <mergeCell ref="F693:G693"/>
    <mergeCell ref="I693:J693"/>
    <mergeCell ref="F688:G688"/>
    <mergeCell ref="I688:J688"/>
    <mergeCell ref="F689:G689"/>
    <mergeCell ref="I689:J689"/>
    <mergeCell ref="F690:G690"/>
    <mergeCell ref="I690:J690"/>
    <mergeCell ref="F685:G685"/>
    <mergeCell ref="I685:J685"/>
    <mergeCell ref="F686:G686"/>
    <mergeCell ref="I686:J686"/>
    <mergeCell ref="F687:G687"/>
    <mergeCell ref="I687:J687"/>
    <mergeCell ref="F682:G682"/>
    <mergeCell ref="I682:J682"/>
    <mergeCell ref="F683:G683"/>
    <mergeCell ref="I683:J683"/>
    <mergeCell ref="F684:G684"/>
    <mergeCell ref="I684:J684"/>
    <mergeCell ref="F679:G679"/>
    <mergeCell ref="I679:J679"/>
    <mergeCell ref="F680:G680"/>
    <mergeCell ref="I680:J680"/>
    <mergeCell ref="F681:G681"/>
    <mergeCell ref="I681:J681"/>
    <mergeCell ref="F676:G676"/>
    <mergeCell ref="I676:J676"/>
    <mergeCell ref="F677:G677"/>
    <mergeCell ref="I677:J677"/>
    <mergeCell ref="F678:G678"/>
    <mergeCell ref="I678:J678"/>
    <mergeCell ref="F673:G673"/>
    <mergeCell ref="I673:J673"/>
    <mergeCell ref="F674:G674"/>
    <mergeCell ref="I674:J674"/>
    <mergeCell ref="F675:G675"/>
    <mergeCell ref="I675:J675"/>
    <mergeCell ref="F670:G670"/>
    <mergeCell ref="I670:J670"/>
    <mergeCell ref="F671:G671"/>
    <mergeCell ref="I671:J671"/>
    <mergeCell ref="F672:G672"/>
    <mergeCell ref="I672:J672"/>
    <mergeCell ref="F667:G667"/>
    <mergeCell ref="I667:J667"/>
    <mergeCell ref="F668:G668"/>
    <mergeCell ref="I668:J668"/>
    <mergeCell ref="F669:G669"/>
    <mergeCell ref="I669:J669"/>
    <mergeCell ref="F664:G664"/>
    <mergeCell ref="I664:J664"/>
    <mergeCell ref="F665:G665"/>
    <mergeCell ref="I665:J665"/>
    <mergeCell ref="F666:G666"/>
    <mergeCell ref="I666:J666"/>
    <mergeCell ref="F661:G661"/>
    <mergeCell ref="I661:J661"/>
    <mergeCell ref="F662:G662"/>
    <mergeCell ref="I662:J662"/>
    <mergeCell ref="F663:G663"/>
    <mergeCell ref="I663:J663"/>
    <mergeCell ref="F658:G658"/>
    <mergeCell ref="I658:J658"/>
    <mergeCell ref="F659:G659"/>
    <mergeCell ref="I659:J659"/>
    <mergeCell ref="F660:G660"/>
    <mergeCell ref="I660:J660"/>
    <mergeCell ref="F655:G655"/>
    <mergeCell ref="I655:J655"/>
    <mergeCell ref="F656:G656"/>
    <mergeCell ref="I656:J656"/>
    <mergeCell ref="F657:G657"/>
    <mergeCell ref="I657:J657"/>
    <mergeCell ref="F652:G652"/>
    <mergeCell ref="I652:J652"/>
    <mergeCell ref="F653:G653"/>
    <mergeCell ref="I653:J653"/>
    <mergeCell ref="F654:G654"/>
    <mergeCell ref="I654:J654"/>
    <mergeCell ref="F649:G649"/>
    <mergeCell ref="I649:J649"/>
    <mergeCell ref="F650:G650"/>
    <mergeCell ref="I650:J650"/>
    <mergeCell ref="F651:G651"/>
    <mergeCell ref="I651:J651"/>
    <mergeCell ref="F646:G646"/>
    <mergeCell ref="I646:J646"/>
    <mergeCell ref="F647:G647"/>
    <mergeCell ref="I647:J647"/>
    <mergeCell ref="F648:G648"/>
    <mergeCell ref="I648:J648"/>
    <mergeCell ref="F643:G643"/>
    <mergeCell ref="I643:J643"/>
    <mergeCell ref="F644:G644"/>
    <mergeCell ref="I644:J644"/>
    <mergeCell ref="F645:G645"/>
    <mergeCell ref="I645:J645"/>
    <mergeCell ref="F640:G640"/>
    <mergeCell ref="I640:J640"/>
    <mergeCell ref="F641:G641"/>
    <mergeCell ref="I641:J641"/>
    <mergeCell ref="F642:G642"/>
    <mergeCell ref="I642:J642"/>
    <mergeCell ref="F637:G637"/>
    <mergeCell ref="I637:J637"/>
    <mergeCell ref="F638:G638"/>
    <mergeCell ref="I638:J638"/>
    <mergeCell ref="F639:G639"/>
    <mergeCell ref="I639:J639"/>
    <mergeCell ref="F634:G634"/>
    <mergeCell ref="I634:J634"/>
    <mergeCell ref="F635:G635"/>
    <mergeCell ref="I635:J635"/>
    <mergeCell ref="F636:G636"/>
    <mergeCell ref="I636:J636"/>
    <mergeCell ref="F631:G631"/>
    <mergeCell ref="I631:J631"/>
    <mergeCell ref="F632:G632"/>
    <mergeCell ref="I632:J632"/>
    <mergeCell ref="F633:G633"/>
    <mergeCell ref="I633:J633"/>
    <mergeCell ref="F628:G628"/>
    <mergeCell ref="I628:J628"/>
    <mergeCell ref="F629:G629"/>
    <mergeCell ref="I629:J629"/>
    <mergeCell ref="F630:G630"/>
    <mergeCell ref="I630:J630"/>
    <mergeCell ref="F625:G625"/>
    <mergeCell ref="I625:J625"/>
    <mergeCell ref="F626:G626"/>
    <mergeCell ref="I626:J626"/>
    <mergeCell ref="F627:G627"/>
    <mergeCell ref="I627:J627"/>
    <mergeCell ref="F622:G622"/>
    <mergeCell ref="I622:J622"/>
    <mergeCell ref="F623:G623"/>
    <mergeCell ref="I623:J623"/>
    <mergeCell ref="F624:G624"/>
    <mergeCell ref="I624:J624"/>
    <mergeCell ref="F619:G619"/>
    <mergeCell ref="I619:J619"/>
    <mergeCell ref="F620:G620"/>
    <mergeCell ref="I620:J620"/>
    <mergeCell ref="F621:G621"/>
    <mergeCell ref="I621:J621"/>
    <mergeCell ref="F616:G616"/>
    <mergeCell ref="I616:J616"/>
    <mergeCell ref="F617:G617"/>
    <mergeCell ref="I617:J617"/>
    <mergeCell ref="F618:G618"/>
    <mergeCell ref="I618:J618"/>
    <mergeCell ref="F613:G613"/>
    <mergeCell ref="I613:J613"/>
    <mergeCell ref="F614:G614"/>
    <mergeCell ref="I614:J614"/>
    <mergeCell ref="F615:G615"/>
    <mergeCell ref="I615:J615"/>
    <mergeCell ref="F610:G610"/>
    <mergeCell ref="I610:J610"/>
    <mergeCell ref="F611:G611"/>
    <mergeCell ref="I611:J611"/>
    <mergeCell ref="F612:G612"/>
    <mergeCell ref="I612:J612"/>
    <mergeCell ref="F607:G607"/>
    <mergeCell ref="I607:J607"/>
    <mergeCell ref="F608:G608"/>
    <mergeCell ref="I608:J608"/>
    <mergeCell ref="F609:G609"/>
    <mergeCell ref="I609:J609"/>
    <mergeCell ref="F604:G604"/>
    <mergeCell ref="I604:J604"/>
    <mergeCell ref="F605:G605"/>
    <mergeCell ref="I605:J605"/>
    <mergeCell ref="F606:G606"/>
    <mergeCell ref="I606:J606"/>
    <mergeCell ref="F601:G601"/>
    <mergeCell ref="I601:J601"/>
    <mergeCell ref="F602:G602"/>
    <mergeCell ref="I602:J602"/>
    <mergeCell ref="F603:G603"/>
    <mergeCell ref="I603:J603"/>
    <mergeCell ref="F598:G598"/>
    <mergeCell ref="I598:J598"/>
    <mergeCell ref="F599:G599"/>
    <mergeCell ref="I599:J599"/>
    <mergeCell ref="F600:G600"/>
    <mergeCell ref="I600:J600"/>
    <mergeCell ref="F595:G595"/>
    <mergeCell ref="I595:J595"/>
    <mergeCell ref="F596:G596"/>
    <mergeCell ref="I596:J596"/>
    <mergeCell ref="F597:G597"/>
    <mergeCell ref="I597:J597"/>
    <mergeCell ref="F592:G592"/>
    <mergeCell ref="I592:J592"/>
    <mergeCell ref="F593:G593"/>
    <mergeCell ref="I593:J593"/>
    <mergeCell ref="F594:G594"/>
    <mergeCell ref="I594:J594"/>
    <mergeCell ref="F589:G589"/>
    <mergeCell ref="I589:J589"/>
    <mergeCell ref="F590:G590"/>
    <mergeCell ref="I590:J590"/>
    <mergeCell ref="F591:G591"/>
    <mergeCell ref="I591:J591"/>
    <mergeCell ref="F586:G586"/>
    <mergeCell ref="I586:J586"/>
    <mergeCell ref="F587:G587"/>
    <mergeCell ref="I587:J587"/>
    <mergeCell ref="F588:G588"/>
    <mergeCell ref="I588:J588"/>
    <mergeCell ref="F583:G583"/>
    <mergeCell ref="I583:J583"/>
    <mergeCell ref="F584:G584"/>
    <mergeCell ref="I584:J584"/>
    <mergeCell ref="F585:G585"/>
    <mergeCell ref="I585:J585"/>
    <mergeCell ref="F580:G580"/>
    <mergeCell ref="I580:J580"/>
    <mergeCell ref="F581:G581"/>
    <mergeCell ref="I581:J581"/>
    <mergeCell ref="F582:G582"/>
    <mergeCell ref="I582:J582"/>
    <mergeCell ref="F577:G577"/>
    <mergeCell ref="I577:J577"/>
    <mergeCell ref="F578:G578"/>
    <mergeCell ref="I578:J578"/>
    <mergeCell ref="F579:G579"/>
    <mergeCell ref="I579:J579"/>
    <mergeCell ref="F574:G574"/>
    <mergeCell ref="I574:J574"/>
    <mergeCell ref="F575:G575"/>
    <mergeCell ref="I575:J575"/>
    <mergeCell ref="F576:G576"/>
    <mergeCell ref="I576:J576"/>
    <mergeCell ref="F571:G571"/>
    <mergeCell ref="I571:J571"/>
    <mergeCell ref="F572:G572"/>
    <mergeCell ref="I572:J572"/>
    <mergeCell ref="F573:G573"/>
    <mergeCell ref="I573:J573"/>
    <mergeCell ref="F568:G568"/>
    <mergeCell ref="I568:J568"/>
    <mergeCell ref="F569:G569"/>
    <mergeCell ref="I569:J569"/>
    <mergeCell ref="F570:G570"/>
    <mergeCell ref="I570:J570"/>
    <mergeCell ref="F565:G565"/>
    <mergeCell ref="I565:J565"/>
    <mergeCell ref="F566:G566"/>
    <mergeCell ref="I566:J566"/>
    <mergeCell ref="F567:G567"/>
    <mergeCell ref="I567:J567"/>
    <mergeCell ref="F562:G562"/>
    <mergeCell ref="I562:J562"/>
    <mergeCell ref="F563:G563"/>
    <mergeCell ref="I563:J563"/>
    <mergeCell ref="F564:G564"/>
    <mergeCell ref="I564:J564"/>
    <mergeCell ref="F559:G559"/>
    <mergeCell ref="I559:J559"/>
    <mergeCell ref="F560:G560"/>
    <mergeCell ref="I560:J560"/>
    <mergeCell ref="F561:G561"/>
    <mergeCell ref="I561:J561"/>
    <mergeCell ref="F556:G556"/>
    <mergeCell ref="I556:J556"/>
    <mergeCell ref="F557:G557"/>
    <mergeCell ref="I557:J557"/>
    <mergeCell ref="F558:G558"/>
    <mergeCell ref="I558:J558"/>
    <mergeCell ref="F553:G553"/>
    <mergeCell ref="I553:J553"/>
    <mergeCell ref="F554:G554"/>
    <mergeCell ref="I554:J554"/>
    <mergeCell ref="F555:G555"/>
    <mergeCell ref="I555:J555"/>
    <mergeCell ref="F550:G550"/>
    <mergeCell ref="I550:J550"/>
    <mergeCell ref="F551:G551"/>
    <mergeCell ref="I551:J551"/>
    <mergeCell ref="F552:G552"/>
    <mergeCell ref="I552:J552"/>
    <mergeCell ref="F547:G547"/>
    <mergeCell ref="I547:J547"/>
    <mergeCell ref="F548:G548"/>
    <mergeCell ref="I548:J548"/>
    <mergeCell ref="F549:G549"/>
    <mergeCell ref="I549:J549"/>
    <mergeCell ref="F544:G544"/>
    <mergeCell ref="I544:J544"/>
    <mergeCell ref="F545:G545"/>
    <mergeCell ref="I545:J545"/>
    <mergeCell ref="F546:G546"/>
    <mergeCell ref="I546:J546"/>
    <mergeCell ref="F541:G541"/>
    <mergeCell ref="I541:J541"/>
    <mergeCell ref="F542:G542"/>
    <mergeCell ref="I542:J542"/>
    <mergeCell ref="F543:G543"/>
    <mergeCell ref="I543:J543"/>
    <mergeCell ref="F538:G538"/>
    <mergeCell ref="I538:J538"/>
    <mergeCell ref="F539:G539"/>
    <mergeCell ref="I539:J539"/>
    <mergeCell ref="F540:G540"/>
    <mergeCell ref="I540:J540"/>
    <mergeCell ref="F535:G535"/>
    <mergeCell ref="I535:J535"/>
    <mergeCell ref="F536:G536"/>
    <mergeCell ref="I536:J536"/>
    <mergeCell ref="F537:G537"/>
    <mergeCell ref="I537:J537"/>
    <mergeCell ref="F532:G532"/>
    <mergeCell ref="I532:J532"/>
    <mergeCell ref="F533:G533"/>
    <mergeCell ref="I533:J533"/>
    <mergeCell ref="F534:G534"/>
    <mergeCell ref="I534:J534"/>
    <mergeCell ref="F529:G529"/>
    <mergeCell ref="I529:J529"/>
    <mergeCell ref="F530:G530"/>
    <mergeCell ref="I530:J530"/>
    <mergeCell ref="F531:G531"/>
    <mergeCell ref="I531:J531"/>
    <mergeCell ref="F526:G526"/>
    <mergeCell ref="I526:J526"/>
    <mergeCell ref="F527:G527"/>
    <mergeCell ref="I527:J527"/>
    <mergeCell ref="F528:G528"/>
    <mergeCell ref="I528:J528"/>
    <mergeCell ref="F523:G523"/>
    <mergeCell ref="I523:J523"/>
    <mergeCell ref="F524:G524"/>
    <mergeCell ref="I524:J524"/>
    <mergeCell ref="F525:G525"/>
    <mergeCell ref="I525:J525"/>
    <mergeCell ref="F520:G520"/>
    <mergeCell ref="I520:J520"/>
    <mergeCell ref="F521:G521"/>
    <mergeCell ref="I521:J521"/>
    <mergeCell ref="F522:G522"/>
    <mergeCell ref="I522:J522"/>
    <mergeCell ref="F517:G517"/>
    <mergeCell ref="I517:J517"/>
    <mergeCell ref="F518:G518"/>
    <mergeCell ref="I518:J518"/>
    <mergeCell ref="F519:G519"/>
    <mergeCell ref="I519:J519"/>
    <mergeCell ref="F514:G514"/>
    <mergeCell ref="I514:J514"/>
    <mergeCell ref="F515:G515"/>
    <mergeCell ref="I515:J515"/>
    <mergeCell ref="F516:G516"/>
    <mergeCell ref="I516:J516"/>
    <mergeCell ref="F511:G511"/>
    <mergeCell ref="I511:J511"/>
    <mergeCell ref="F512:G512"/>
    <mergeCell ref="I512:J512"/>
    <mergeCell ref="F513:G513"/>
    <mergeCell ref="I513:J513"/>
    <mergeCell ref="F508:G508"/>
    <mergeCell ref="I508:J508"/>
    <mergeCell ref="F509:G509"/>
    <mergeCell ref="I509:J509"/>
    <mergeCell ref="F510:G510"/>
    <mergeCell ref="I510:J510"/>
    <mergeCell ref="F505:G505"/>
    <mergeCell ref="I505:J505"/>
    <mergeCell ref="F506:G506"/>
    <mergeCell ref="I506:J506"/>
    <mergeCell ref="F507:G507"/>
    <mergeCell ref="I507:J507"/>
    <mergeCell ref="F502:G502"/>
    <mergeCell ref="I502:J502"/>
    <mergeCell ref="F503:G503"/>
    <mergeCell ref="I503:J503"/>
    <mergeCell ref="F504:G504"/>
    <mergeCell ref="I504:J504"/>
    <mergeCell ref="F499:G499"/>
    <mergeCell ref="I499:J499"/>
    <mergeCell ref="F500:G500"/>
    <mergeCell ref="I500:J500"/>
    <mergeCell ref="F501:G501"/>
    <mergeCell ref="I501:J501"/>
    <mergeCell ref="F496:G496"/>
    <mergeCell ref="I496:J496"/>
    <mergeCell ref="F497:G497"/>
    <mergeCell ref="I497:J497"/>
    <mergeCell ref="F498:G498"/>
    <mergeCell ref="I498:J498"/>
    <mergeCell ref="F493:G493"/>
    <mergeCell ref="I493:J493"/>
    <mergeCell ref="F494:G494"/>
    <mergeCell ref="I494:J494"/>
    <mergeCell ref="F495:G495"/>
    <mergeCell ref="I495:J495"/>
    <mergeCell ref="F490:G490"/>
    <mergeCell ref="I490:J490"/>
    <mergeCell ref="F491:G491"/>
    <mergeCell ref="I491:J491"/>
    <mergeCell ref="F492:G492"/>
    <mergeCell ref="I492:J492"/>
    <mergeCell ref="F487:G487"/>
    <mergeCell ref="I487:J487"/>
    <mergeCell ref="F488:G488"/>
    <mergeCell ref="I488:J488"/>
    <mergeCell ref="F489:G489"/>
    <mergeCell ref="I489:J489"/>
    <mergeCell ref="F484:G484"/>
    <mergeCell ref="I484:J484"/>
    <mergeCell ref="F485:G485"/>
    <mergeCell ref="I485:J485"/>
    <mergeCell ref="F486:G486"/>
    <mergeCell ref="I486:J486"/>
    <mergeCell ref="F481:G481"/>
    <mergeCell ref="I481:J481"/>
    <mergeCell ref="F482:G482"/>
    <mergeCell ref="I482:J482"/>
    <mergeCell ref="F483:G483"/>
    <mergeCell ref="I483:J483"/>
    <mergeCell ref="F478:G478"/>
    <mergeCell ref="I478:J478"/>
    <mergeCell ref="F479:G479"/>
    <mergeCell ref="I479:J479"/>
    <mergeCell ref="F480:G480"/>
    <mergeCell ref="I480:J480"/>
    <mergeCell ref="F475:G475"/>
    <mergeCell ref="I475:J475"/>
    <mergeCell ref="F476:G476"/>
    <mergeCell ref="I476:J476"/>
    <mergeCell ref="F477:G477"/>
    <mergeCell ref="I477:J477"/>
    <mergeCell ref="F472:G472"/>
    <mergeCell ref="I472:J472"/>
    <mergeCell ref="F473:G473"/>
    <mergeCell ref="I473:J473"/>
    <mergeCell ref="F474:G474"/>
    <mergeCell ref="I474:J474"/>
    <mergeCell ref="F469:G469"/>
    <mergeCell ref="I469:J469"/>
    <mergeCell ref="F470:G470"/>
    <mergeCell ref="I470:J470"/>
    <mergeCell ref="F471:G471"/>
    <mergeCell ref="I471:J471"/>
    <mergeCell ref="F466:G466"/>
    <mergeCell ref="I466:J466"/>
    <mergeCell ref="F467:G467"/>
    <mergeCell ref="I467:J467"/>
    <mergeCell ref="F468:G468"/>
    <mergeCell ref="I468:J468"/>
    <mergeCell ref="F463:G463"/>
    <mergeCell ref="I463:J463"/>
    <mergeCell ref="F464:G464"/>
    <mergeCell ref="I464:J464"/>
    <mergeCell ref="F465:G465"/>
    <mergeCell ref="I465:J465"/>
    <mergeCell ref="F460:G460"/>
    <mergeCell ref="I460:J460"/>
    <mergeCell ref="F461:G461"/>
    <mergeCell ref="I461:J461"/>
    <mergeCell ref="F462:G462"/>
    <mergeCell ref="I462:J462"/>
    <mergeCell ref="F457:G457"/>
    <mergeCell ref="I457:J457"/>
    <mergeCell ref="F458:G458"/>
    <mergeCell ref="I458:J458"/>
    <mergeCell ref="F459:G459"/>
    <mergeCell ref="I459:J459"/>
    <mergeCell ref="F454:G454"/>
    <mergeCell ref="I454:J454"/>
    <mergeCell ref="F455:G455"/>
    <mergeCell ref="I455:J455"/>
    <mergeCell ref="F456:G456"/>
    <mergeCell ref="I456:J456"/>
    <mergeCell ref="F451:G451"/>
    <mergeCell ref="I451:J451"/>
    <mergeCell ref="F452:G452"/>
    <mergeCell ref="I452:J452"/>
    <mergeCell ref="F453:G453"/>
    <mergeCell ref="I453:J453"/>
    <mergeCell ref="F448:G448"/>
    <mergeCell ref="I448:J448"/>
    <mergeCell ref="F449:G449"/>
    <mergeCell ref="I449:J449"/>
    <mergeCell ref="F450:G450"/>
    <mergeCell ref="I450:J450"/>
    <mergeCell ref="F445:G445"/>
    <mergeCell ref="I445:J445"/>
    <mergeCell ref="F446:G446"/>
    <mergeCell ref="I446:J446"/>
    <mergeCell ref="F447:G447"/>
    <mergeCell ref="I447:J447"/>
    <mergeCell ref="F442:G442"/>
    <mergeCell ref="I442:J442"/>
    <mergeCell ref="F443:G443"/>
    <mergeCell ref="I443:J443"/>
    <mergeCell ref="F444:G444"/>
    <mergeCell ref="I444:J444"/>
    <mergeCell ref="F439:G439"/>
    <mergeCell ref="I439:J439"/>
    <mergeCell ref="F440:G440"/>
    <mergeCell ref="I440:J440"/>
    <mergeCell ref="F441:G441"/>
    <mergeCell ref="I441:J441"/>
    <mergeCell ref="F436:G436"/>
    <mergeCell ref="I436:J436"/>
    <mergeCell ref="F437:G437"/>
    <mergeCell ref="I437:J437"/>
    <mergeCell ref="F438:G438"/>
    <mergeCell ref="I438:J438"/>
    <mergeCell ref="F433:G433"/>
    <mergeCell ref="I433:J433"/>
    <mergeCell ref="F434:G434"/>
    <mergeCell ref="I434:J434"/>
    <mergeCell ref="F435:G435"/>
    <mergeCell ref="I435:J435"/>
    <mergeCell ref="F430:G430"/>
    <mergeCell ref="I430:J430"/>
    <mergeCell ref="F431:G431"/>
    <mergeCell ref="I431:J431"/>
    <mergeCell ref="F432:G432"/>
    <mergeCell ref="I432:J432"/>
    <mergeCell ref="F427:G427"/>
    <mergeCell ref="I427:J427"/>
    <mergeCell ref="F428:G428"/>
    <mergeCell ref="I428:J428"/>
    <mergeCell ref="F429:G429"/>
    <mergeCell ref="I429:J429"/>
    <mergeCell ref="F424:G424"/>
    <mergeCell ref="I424:J424"/>
    <mergeCell ref="F425:G425"/>
    <mergeCell ref="I425:J425"/>
    <mergeCell ref="F426:G426"/>
    <mergeCell ref="I426:J426"/>
    <mergeCell ref="F421:G421"/>
    <mergeCell ref="I421:J421"/>
    <mergeCell ref="F422:G422"/>
    <mergeCell ref="I422:J422"/>
    <mergeCell ref="F423:G423"/>
    <mergeCell ref="I423:J423"/>
    <mergeCell ref="F418:G418"/>
    <mergeCell ref="I418:J418"/>
    <mergeCell ref="F419:G419"/>
    <mergeCell ref="I419:J419"/>
    <mergeCell ref="F420:G420"/>
    <mergeCell ref="I420:J420"/>
    <mergeCell ref="F415:G415"/>
    <mergeCell ref="I415:J415"/>
    <mergeCell ref="F416:G416"/>
    <mergeCell ref="I416:J416"/>
    <mergeCell ref="F417:G417"/>
    <mergeCell ref="I417:J417"/>
    <mergeCell ref="F412:G412"/>
    <mergeCell ref="I412:J412"/>
    <mergeCell ref="F413:G413"/>
    <mergeCell ref="I413:J413"/>
    <mergeCell ref="F414:G414"/>
    <mergeCell ref="I414:J414"/>
    <mergeCell ref="F409:G409"/>
    <mergeCell ref="I409:J409"/>
    <mergeCell ref="F410:G410"/>
    <mergeCell ref="I410:J410"/>
    <mergeCell ref="F411:G411"/>
    <mergeCell ref="I411:J411"/>
    <mergeCell ref="F406:G406"/>
    <mergeCell ref="I406:J406"/>
    <mergeCell ref="F407:G407"/>
    <mergeCell ref="I407:J407"/>
    <mergeCell ref="F408:G408"/>
    <mergeCell ref="I408:J408"/>
    <mergeCell ref="F403:G403"/>
    <mergeCell ref="I403:J403"/>
    <mergeCell ref="F404:G404"/>
    <mergeCell ref="I404:J404"/>
    <mergeCell ref="F405:G405"/>
    <mergeCell ref="I405:J405"/>
    <mergeCell ref="F400:G400"/>
    <mergeCell ref="I400:J400"/>
    <mergeCell ref="F401:G401"/>
    <mergeCell ref="I401:J401"/>
    <mergeCell ref="F402:G402"/>
    <mergeCell ref="I402:J402"/>
    <mergeCell ref="F397:G397"/>
    <mergeCell ref="I397:J397"/>
    <mergeCell ref="F398:G398"/>
    <mergeCell ref="I398:J398"/>
    <mergeCell ref="F399:G399"/>
    <mergeCell ref="I399:J399"/>
    <mergeCell ref="F394:G394"/>
    <mergeCell ref="I394:J394"/>
    <mergeCell ref="F395:G395"/>
    <mergeCell ref="I395:J395"/>
    <mergeCell ref="F396:G396"/>
    <mergeCell ref="I396:J396"/>
    <mergeCell ref="F391:G391"/>
    <mergeCell ref="I391:J391"/>
    <mergeCell ref="F392:G392"/>
    <mergeCell ref="I392:J392"/>
    <mergeCell ref="F393:G393"/>
    <mergeCell ref="I393:J393"/>
    <mergeCell ref="F388:G388"/>
    <mergeCell ref="I388:J388"/>
    <mergeCell ref="F389:G389"/>
    <mergeCell ref="I389:J389"/>
    <mergeCell ref="F390:G390"/>
    <mergeCell ref="I390:J390"/>
    <mergeCell ref="F385:G385"/>
    <mergeCell ref="I385:J385"/>
    <mergeCell ref="F386:G386"/>
    <mergeCell ref="I386:J386"/>
    <mergeCell ref="F387:G387"/>
    <mergeCell ref="I387:J387"/>
    <mergeCell ref="F382:G382"/>
    <mergeCell ref="I382:J382"/>
    <mergeCell ref="F383:G383"/>
    <mergeCell ref="I383:J383"/>
    <mergeCell ref="F384:G384"/>
    <mergeCell ref="I384:J384"/>
    <mergeCell ref="F379:G379"/>
    <mergeCell ref="I379:J379"/>
    <mergeCell ref="F380:G380"/>
    <mergeCell ref="I380:J380"/>
    <mergeCell ref="F381:G381"/>
    <mergeCell ref="I381:J381"/>
    <mergeCell ref="F376:G376"/>
    <mergeCell ref="I376:J376"/>
    <mergeCell ref="F377:G377"/>
    <mergeCell ref="I377:J377"/>
    <mergeCell ref="F378:G378"/>
    <mergeCell ref="I378:J378"/>
    <mergeCell ref="F373:G373"/>
    <mergeCell ref="I373:J373"/>
    <mergeCell ref="F374:G374"/>
    <mergeCell ref="I374:J374"/>
    <mergeCell ref="F375:G375"/>
    <mergeCell ref="I375:J375"/>
    <mergeCell ref="F370:G370"/>
    <mergeCell ref="I370:J370"/>
    <mergeCell ref="F371:G371"/>
    <mergeCell ref="I371:J371"/>
    <mergeCell ref="F372:G372"/>
    <mergeCell ref="I372:J372"/>
    <mergeCell ref="F367:G367"/>
    <mergeCell ref="I367:J367"/>
    <mergeCell ref="F368:G368"/>
    <mergeCell ref="I368:J368"/>
    <mergeCell ref="F369:G369"/>
    <mergeCell ref="I369:J369"/>
    <mergeCell ref="F364:G364"/>
    <mergeCell ref="I364:J364"/>
    <mergeCell ref="F365:G365"/>
    <mergeCell ref="I365:J365"/>
    <mergeCell ref="F366:G366"/>
    <mergeCell ref="I366:J366"/>
    <mergeCell ref="F361:G361"/>
    <mergeCell ref="I361:J361"/>
    <mergeCell ref="F362:G362"/>
    <mergeCell ref="I362:J362"/>
    <mergeCell ref="F363:G363"/>
    <mergeCell ref="I363:J363"/>
    <mergeCell ref="F358:G358"/>
    <mergeCell ref="I358:J358"/>
    <mergeCell ref="F359:G359"/>
    <mergeCell ref="I359:J359"/>
    <mergeCell ref="F360:G360"/>
    <mergeCell ref="I360:J360"/>
    <mergeCell ref="F355:G355"/>
    <mergeCell ref="I355:J355"/>
    <mergeCell ref="F356:G356"/>
    <mergeCell ref="I356:J356"/>
    <mergeCell ref="F357:G357"/>
    <mergeCell ref="I357:J357"/>
    <mergeCell ref="F352:G352"/>
    <mergeCell ref="I352:J352"/>
    <mergeCell ref="F353:G353"/>
    <mergeCell ref="I353:J353"/>
    <mergeCell ref="F354:G354"/>
    <mergeCell ref="I354:J354"/>
    <mergeCell ref="F349:G349"/>
    <mergeCell ref="I349:J349"/>
    <mergeCell ref="F350:G350"/>
    <mergeCell ref="I350:J350"/>
    <mergeCell ref="F351:G351"/>
    <mergeCell ref="I351:J351"/>
    <mergeCell ref="F346:G346"/>
    <mergeCell ref="I346:J346"/>
    <mergeCell ref="F347:G347"/>
    <mergeCell ref="I347:J347"/>
    <mergeCell ref="F348:G348"/>
    <mergeCell ref="I348:J348"/>
    <mergeCell ref="F343:G343"/>
    <mergeCell ref="I343:J343"/>
    <mergeCell ref="F344:G344"/>
    <mergeCell ref="I344:J344"/>
    <mergeCell ref="F345:G345"/>
    <mergeCell ref="I345:J345"/>
    <mergeCell ref="F340:G340"/>
    <mergeCell ref="I340:J340"/>
    <mergeCell ref="F341:G341"/>
    <mergeCell ref="I341:J341"/>
    <mergeCell ref="F342:G342"/>
    <mergeCell ref="I342:J342"/>
    <mergeCell ref="F337:G337"/>
    <mergeCell ref="I337:J337"/>
    <mergeCell ref="F338:G338"/>
    <mergeCell ref="I338:J338"/>
    <mergeCell ref="F339:G339"/>
    <mergeCell ref="I339:J339"/>
    <mergeCell ref="F334:G334"/>
    <mergeCell ref="I334:J334"/>
    <mergeCell ref="F335:G335"/>
    <mergeCell ref="I335:J335"/>
    <mergeCell ref="F336:G336"/>
    <mergeCell ref="I336:J336"/>
    <mergeCell ref="F331:G331"/>
    <mergeCell ref="I331:J331"/>
    <mergeCell ref="F332:G332"/>
    <mergeCell ref="I332:J332"/>
    <mergeCell ref="F333:G333"/>
    <mergeCell ref="I333:J333"/>
    <mergeCell ref="F328:G328"/>
    <mergeCell ref="I328:J328"/>
    <mergeCell ref="F329:G329"/>
    <mergeCell ref="I329:J329"/>
    <mergeCell ref="F330:G330"/>
    <mergeCell ref="I330:J330"/>
    <mergeCell ref="F325:G325"/>
    <mergeCell ref="I325:J325"/>
    <mergeCell ref="F326:G326"/>
    <mergeCell ref="I326:J326"/>
    <mergeCell ref="F327:G327"/>
    <mergeCell ref="I327:J327"/>
    <mergeCell ref="F322:G322"/>
    <mergeCell ref="I322:J322"/>
    <mergeCell ref="F323:G323"/>
    <mergeCell ref="I323:J323"/>
    <mergeCell ref="F324:G324"/>
    <mergeCell ref="I324:J324"/>
    <mergeCell ref="F319:G319"/>
    <mergeCell ref="I319:J319"/>
    <mergeCell ref="F320:G320"/>
    <mergeCell ref="I320:J320"/>
    <mergeCell ref="F321:G321"/>
    <mergeCell ref="I321:J321"/>
    <mergeCell ref="F316:G316"/>
    <mergeCell ref="I316:J316"/>
    <mergeCell ref="F317:G317"/>
    <mergeCell ref="I317:J317"/>
    <mergeCell ref="F318:G318"/>
    <mergeCell ref="I318:J318"/>
    <mergeCell ref="F313:G313"/>
    <mergeCell ref="I313:J313"/>
    <mergeCell ref="F314:G314"/>
    <mergeCell ref="I314:J314"/>
    <mergeCell ref="F315:G315"/>
    <mergeCell ref="I315:J315"/>
    <mergeCell ref="F310:G310"/>
    <mergeCell ref="I310:J310"/>
    <mergeCell ref="F311:G311"/>
    <mergeCell ref="I311:J311"/>
    <mergeCell ref="F312:G312"/>
    <mergeCell ref="I312:J312"/>
    <mergeCell ref="F307:G307"/>
    <mergeCell ref="I307:J307"/>
    <mergeCell ref="F308:G308"/>
    <mergeCell ref="I308:J308"/>
    <mergeCell ref="F309:G309"/>
    <mergeCell ref="I309:J309"/>
    <mergeCell ref="F304:G304"/>
    <mergeCell ref="I304:J304"/>
    <mergeCell ref="F305:G305"/>
    <mergeCell ref="I305:J305"/>
    <mergeCell ref="F306:G306"/>
    <mergeCell ref="I306:J306"/>
    <mergeCell ref="F301:G301"/>
    <mergeCell ref="I301:J301"/>
    <mergeCell ref="F302:G302"/>
    <mergeCell ref="I302:J302"/>
    <mergeCell ref="F303:G303"/>
    <mergeCell ref="I303:J303"/>
    <mergeCell ref="F298:G298"/>
    <mergeCell ref="I298:J298"/>
    <mergeCell ref="F299:G299"/>
    <mergeCell ref="I299:J299"/>
    <mergeCell ref="F300:G300"/>
    <mergeCell ref="I300:J300"/>
    <mergeCell ref="F295:G295"/>
    <mergeCell ref="I295:J295"/>
    <mergeCell ref="F296:G296"/>
    <mergeCell ref="I296:J296"/>
    <mergeCell ref="F297:G297"/>
    <mergeCell ref="I297:J297"/>
    <mergeCell ref="F292:G292"/>
    <mergeCell ref="I292:J292"/>
    <mergeCell ref="F293:G293"/>
    <mergeCell ref="I293:J293"/>
    <mergeCell ref="F294:G294"/>
    <mergeCell ref="I294:J294"/>
    <mergeCell ref="F289:G289"/>
    <mergeCell ref="I289:J289"/>
    <mergeCell ref="F290:G290"/>
    <mergeCell ref="I290:J290"/>
    <mergeCell ref="F291:G291"/>
    <mergeCell ref="I291:J291"/>
    <mergeCell ref="F286:G286"/>
    <mergeCell ref="I286:J286"/>
    <mergeCell ref="F287:G287"/>
    <mergeCell ref="I287:J287"/>
    <mergeCell ref="F288:G288"/>
    <mergeCell ref="I288:J288"/>
    <mergeCell ref="F283:G283"/>
    <mergeCell ref="I283:J283"/>
    <mergeCell ref="F284:G284"/>
    <mergeCell ref="I284:J284"/>
    <mergeCell ref="F285:G285"/>
    <mergeCell ref="I285:J285"/>
    <mergeCell ref="F280:G280"/>
    <mergeCell ref="I280:J280"/>
    <mergeCell ref="F281:G281"/>
    <mergeCell ref="I281:J281"/>
    <mergeCell ref="F282:G282"/>
    <mergeCell ref="I282:J282"/>
    <mergeCell ref="F277:G277"/>
    <mergeCell ref="I277:J277"/>
    <mergeCell ref="F278:G278"/>
    <mergeCell ref="I278:J278"/>
    <mergeCell ref="F279:G279"/>
    <mergeCell ref="I279:J279"/>
    <mergeCell ref="F274:G274"/>
    <mergeCell ref="I274:J274"/>
    <mergeCell ref="F275:G275"/>
    <mergeCell ref="I275:J275"/>
    <mergeCell ref="F276:G276"/>
    <mergeCell ref="I276:J276"/>
    <mergeCell ref="F271:G271"/>
    <mergeCell ref="I271:J271"/>
    <mergeCell ref="F272:G272"/>
    <mergeCell ref="I272:J272"/>
    <mergeCell ref="F273:G273"/>
    <mergeCell ref="I273:J273"/>
    <mergeCell ref="F268:G268"/>
    <mergeCell ref="I268:J268"/>
    <mergeCell ref="F269:G269"/>
    <mergeCell ref="I269:J269"/>
    <mergeCell ref="F270:G270"/>
    <mergeCell ref="I270:J270"/>
    <mergeCell ref="F265:G265"/>
    <mergeCell ref="I265:J265"/>
    <mergeCell ref="F266:G266"/>
    <mergeCell ref="I266:J266"/>
    <mergeCell ref="F267:G267"/>
    <mergeCell ref="I267:J267"/>
    <mergeCell ref="F262:G262"/>
    <mergeCell ref="I262:J262"/>
    <mergeCell ref="F263:G263"/>
    <mergeCell ref="I263:J263"/>
    <mergeCell ref="F264:G264"/>
    <mergeCell ref="I264:J264"/>
    <mergeCell ref="F259:G259"/>
    <mergeCell ref="I259:J259"/>
    <mergeCell ref="F260:G260"/>
    <mergeCell ref="I260:J260"/>
    <mergeCell ref="F261:G261"/>
    <mergeCell ref="I261:J261"/>
    <mergeCell ref="F256:G256"/>
    <mergeCell ref="I256:J256"/>
    <mergeCell ref="F257:G257"/>
    <mergeCell ref="I257:J257"/>
    <mergeCell ref="F258:G258"/>
    <mergeCell ref="I258:J258"/>
    <mergeCell ref="F253:G253"/>
    <mergeCell ref="I253:J253"/>
    <mergeCell ref="F254:G254"/>
    <mergeCell ref="I254:J254"/>
    <mergeCell ref="F255:G255"/>
    <mergeCell ref="I255:J255"/>
    <mergeCell ref="F250:G250"/>
    <mergeCell ref="I250:J250"/>
    <mergeCell ref="F251:G251"/>
    <mergeCell ref="I251:J251"/>
    <mergeCell ref="F252:G252"/>
    <mergeCell ref="I252:J252"/>
    <mergeCell ref="F247:G247"/>
    <mergeCell ref="I247:J247"/>
    <mergeCell ref="F248:G248"/>
    <mergeCell ref="I248:J248"/>
    <mergeCell ref="F249:G249"/>
    <mergeCell ref="I249:J249"/>
    <mergeCell ref="F244:G244"/>
    <mergeCell ref="I244:J244"/>
    <mergeCell ref="F245:G245"/>
    <mergeCell ref="I245:J245"/>
    <mergeCell ref="F246:G246"/>
    <mergeCell ref="I246:J246"/>
    <mergeCell ref="F241:G241"/>
    <mergeCell ref="I241:J241"/>
    <mergeCell ref="F242:G242"/>
    <mergeCell ref="I242:J242"/>
    <mergeCell ref="F243:G243"/>
    <mergeCell ref="I243:J243"/>
    <mergeCell ref="F238:G238"/>
    <mergeCell ref="I238:J238"/>
    <mergeCell ref="F239:G239"/>
    <mergeCell ref="I239:J239"/>
    <mergeCell ref="F240:G240"/>
    <mergeCell ref="I240:J240"/>
    <mergeCell ref="F235:G235"/>
    <mergeCell ref="I235:J235"/>
    <mergeCell ref="F236:G236"/>
    <mergeCell ref="I236:J236"/>
    <mergeCell ref="F237:G237"/>
    <mergeCell ref="I237:J237"/>
    <mergeCell ref="F232:G232"/>
    <mergeCell ref="I232:J232"/>
    <mergeCell ref="F233:G233"/>
    <mergeCell ref="I233:J233"/>
    <mergeCell ref="F234:G234"/>
    <mergeCell ref="I234:J234"/>
    <mergeCell ref="F229:G229"/>
    <mergeCell ref="I229:J229"/>
    <mergeCell ref="F230:G230"/>
    <mergeCell ref="I230:J230"/>
    <mergeCell ref="F231:G231"/>
    <mergeCell ref="I231:J231"/>
    <mergeCell ref="F226:G226"/>
    <mergeCell ref="I226:J226"/>
    <mergeCell ref="F227:G227"/>
    <mergeCell ref="I227:J227"/>
    <mergeCell ref="F228:G228"/>
    <mergeCell ref="I228:J228"/>
    <mergeCell ref="F223:G223"/>
    <mergeCell ref="I223:J223"/>
    <mergeCell ref="F224:G224"/>
    <mergeCell ref="I224:J224"/>
    <mergeCell ref="F225:G225"/>
    <mergeCell ref="I225:J225"/>
    <mergeCell ref="F220:G220"/>
    <mergeCell ref="I220:J220"/>
    <mergeCell ref="F221:G221"/>
    <mergeCell ref="I221:J221"/>
    <mergeCell ref="F222:G222"/>
    <mergeCell ref="I222:J222"/>
    <mergeCell ref="F217:G217"/>
    <mergeCell ref="I217:J217"/>
    <mergeCell ref="F218:G218"/>
    <mergeCell ref="I218:J218"/>
    <mergeCell ref="F219:G219"/>
    <mergeCell ref="I219:J219"/>
    <mergeCell ref="F214:G214"/>
    <mergeCell ref="I214:J214"/>
    <mergeCell ref="F215:G215"/>
    <mergeCell ref="I215:J215"/>
    <mergeCell ref="F216:G216"/>
    <mergeCell ref="I216:J216"/>
    <mergeCell ref="F211:G211"/>
    <mergeCell ref="I211:J211"/>
    <mergeCell ref="F212:G212"/>
    <mergeCell ref="I212:J212"/>
    <mergeCell ref="F213:G213"/>
    <mergeCell ref="I213:J213"/>
    <mergeCell ref="F208:G208"/>
    <mergeCell ref="I208:J208"/>
    <mergeCell ref="F209:G209"/>
    <mergeCell ref="I209:J209"/>
    <mergeCell ref="F210:G210"/>
    <mergeCell ref="I210:J210"/>
    <mergeCell ref="F205:G205"/>
    <mergeCell ref="I205:J205"/>
    <mergeCell ref="F206:G206"/>
    <mergeCell ref="I206:J206"/>
    <mergeCell ref="F207:G207"/>
    <mergeCell ref="I207:J207"/>
    <mergeCell ref="F202:G202"/>
    <mergeCell ref="I202:J202"/>
    <mergeCell ref="F203:G203"/>
    <mergeCell ref="I203:J203"/>
    <mergeCell ref="F204:G204"/>
    <mergeCell ref="I204:J204"/>
    <mergeCell ref="F199:G199"/>
    <mergeCell ref="I199:J199"/>
    <mergeCell ref="F200:G200"/>
    <mergeCell ref="I200:J200"/>
    <mergeCell ref="F201:G201"/>
    <mergeCell ref="I201:J201"/>
    <mergeCell ref="F196:G196"/>
    <mergeCell ref="I196:J196"/>
    <mergeCell ref="F197:G197"/>
    <mergeCell ref="I197:J197"/>
    <mergeCell ref="F198:G198"/>
    <mergeCell ref="I198:J198"/>
    <mergeCell ref="F193:G193"/>
    <mergeCell ref="I193:J193"/>
    <mergeCell ref="F194:G194"/>
    <mergeCell ref="I194:J194"/>
    <mergeCell ref="F195:G195"/>
    <mergeCell ref="I195:J195"/>
    <mergeCell ref="F190:G190"/>
    <mergeCell ref="I190:J190"/>
    <mergeCell ref="F191:G191"/>
    <mergeCell ref="I191:J191"/>
    <mergeCell ref="F192:G192"/>
    <mergeCell ref="I192:J192"/>
    <mergeCell ref="F187:G187"/>
    <mergeCell ref="I187:J187"/>
    <mergeCell ref="F188:G188"/>
    <mergeCell ref="I188:J188"/>
    <mergeCell ref="F189:G189"/>
    <mergeCell ref="I189:J189"/>
    <mergeCell ref="F184:G184"/>
    <mergeCell ref="I184:J184"/>
    <mergeCell ref="F185:G185"/>
    <mergeCell ref="I185:J185"/>
    <mergeCell ref="F186:G186"/>
    <mergeCell ref="I186:J186"/>
    <mergeCell ref="F181:G181"/>
    <mergeCell ref="I181:J181"/>
    <mergeCell ref="F182:G182"/>
    <mergeCell ref="I182:J182"/>
    <mergeCell ref="F183:G183"/>
    <mergeCell ref="I183:J183"/>
    <mergeCell ref="F178:G178"/>
    <mergeCell ref="I178:J178"/>
    <mergeCell ref="F179:G179"/>
    <mergeCell ref="I179:J179"/>
    <mergeCell ref="F180:G180"/>
    <mergeCell ref="I180:J180"/>
    <mergeCell ref="F175:G175"/>
    <mergeCell ref="I175:J175"/>
    <mergeCell ref="F176:G176"/>
    <mergeCell ref="I176:J176"/>
    <mergeCell ref="F177:G177"/>
    <mergeCell ref="I177:J177"/>
    <mergeCell ref="F172:G172"/>
    <mergeCell ref="I172:J172"/>
    <mergeCell ref="F173:G173"/>
    <mergeCell ref="I173:J173"/>
    <mergeCell ref="F174:G174"/>
    <mergeCell ref="I174:J174"/>
    <mergeCell ref="F169:G169"/>
    <mergeCell ref="I169:J169"/>
    <mergeCell ref="F170:G170"/>
    <mergeCell ref="I170:J170"/>
    <mergeCell ref="F171:G171"/>
    <mergeCell ref="I171:J171"/>
    <mergeCell ref="F166:G166"/>
    <mergeCell ref="I166:J166"/>
    <mergeCell ref="F167:G167"/>
    <mergeCell ref="I167:J167"/>
    <mergeCell ref="F168:G168"/>
    <mergeCell ref="I168:J168"/>
    <mergeCell ref="F163:G163"/>
    <mergeCell ref="I163:J163"/>
    <mergeCell ref="F164:G164"/>
    <mergeCell ref="I164:J164"/>
    <mergeCell ref="F165:G165"/>
    <mergeCell ref="I165:J165"/>
    <mergeCell ref="F160:G160"/>
    <mergeCell ref="I160:J160"/>
    <mergeCell ref="F161:G161"/>
    <mergeCell ref="I161:J161"/>
    <mergeCell ref="F162:G162"/>
    <mergeCell ref="I162:J162"/>
    <mergeCell ref="F157:G157"/>
    <mergeCell ref="I157:J157"/>
    <mergeCell ref="F158:G158"/>
    <mergeCell ref="I158:J158"/>
    <mergeCell ref="F159:G159"/>
    <mergeCell ref="I159:J159"/>
    <mergeCell ref="F154:G154"/>
    <mergeCell ref="I154:J154"/>
    <mergeCell ref="F155:G155"/>
    <mergeCell ref="I155:J155"/>
    <mergeCell ref="F156:G156"/>
    <mergeCell ref="I156:J156"/>
    <mergeCell ref="F151:G151"/>
    <mergeCell ref="I151:J151"/>
    <mergeCell ref="F152:G152"/>
    <mergeCell ref="I152:J152"/>
    <mergeCell ref="F153:G153"/>
    <mergeCell ref="I153:J153"/>
    <mergeCell ref="F148:G148"/>
    <mergeCell ref="I148:J148"/>
    <mergeCell ref="F149:G149"/>
    <mergeCell ref="I149:J149"/>
    <mergeCell ref="F150:G150"/>
    <mergeCell ref="I150:J150"/>
    <mergeCell ref="F145:G145"/>
    <mergeCell ref="I145:J145"/>
    <mergeCell ref="F146:G146"/>
    <mergeCell ref="I146:J146"/>
    <mergeCell ref="F147:G147"/>
    <mergeCell ref="I147:J147"/>
    <mergeCell ref="F142:G142"/>
    <mergeCell ref="I142:J142"/>
    <mergeCell ref="F143:G143"/>
    <mergeCell ref="I143:J143"/>
    <mergeCell ref="F144:G144"/>
    <mergeCell ref="I144:J144"/>
    <mergeCell ref="F139:G139"/>
    <mergeCell ref="I139:J139"/>
    <mergeCell ref="F140:G140"/>
    <mergeCell ref="I140:J140"/>
    <mergeCell ref="F141:G141"/>
    <mergeCell ref="I141:J141"/>
    <mergeCell ref="F136:G136"/>
    <mergeCell ref="I136:J136"/>
    <mergeCell ref="F137:G137"/>
    <mergeCell ref="I137:J137"/>
    <mergeCell ref="F138:G138"/>
    <mergeCell ref="I138:J138"/>
    <mergeCell ref="F133:G133"/>
    <mergeCell ref="I133:J133"/>
    <mergeCell ref="F134:G134"/>
    <mergeCell ref="I134:J134"/>
    <mergeCell ref="F135:G135"/>
    <mergeCell ref="I135:J135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Ретал.ГПУ</vt:lpstr>
      <vt:lpstr>Тищенки</vt:lpstr>
      <vt:lpstr>Глобино-2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i.steblianko</cp:lastModifiedBy>
  <dcterms:created xsi:type="dcterms:W3CDTF">2015-06-05T18:17:20Z</dcterms:created>
  <dcterms:modified xsi:type="dcterms:W3CDTF">2026-02-23T20:12:34Z</dcterms:modified>
</cp:coreProperties>
</file>
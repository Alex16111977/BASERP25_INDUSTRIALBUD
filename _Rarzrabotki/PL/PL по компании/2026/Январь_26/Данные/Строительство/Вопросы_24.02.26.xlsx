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Январь_26\Данные\Строительство\"/>
    </mc:Choice>
  </mc:AlternateContent>
  <xr:revisionPtr revIDLastSave="0" documentId="13_ncr:1_{41FEB70C-449A-4826-85F8-6CE736DC876E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" l="1"/>
  <c r="E6" i="1"/>
  <c r="E5" i="1" s="1"/>
  <c r="E11" i="1" l="1"/>
</calcChain>
</file>

<file path=xl/sharedStrings.xml><?xml version="1.0" encoding="utf-8"?>
<sst xmlns="http://schemas.openxmlformats.org/spreadsheetml/2006/main" count="23" uniqueCount="23">
  <si>
    <t>№</t>
  </si>
  <si>
    <t>ШМ Групп</t>
  </si>
  <si>
    <t>ТСПЛ</t>
  </si>
  <si>
    <t>ТПК Центр</t>
  </si>
  <si>
    <t>Мошинець ФОП</t>
  </si>
  <si>
    <t>Кійко О.В. ФОП</t>
  </si>
  <si>
    <t>Денбетон</t>
  </si>
  <si>
    <t>Алюмикс-Південь</t>
  </si>
  <si>
    <t>Іновація Буд</t>
  </si>
  <si>
    <t>Контрагент</t>
  </si>
  <si>
    <t>Предоплата</t>
  </si>
  <si>
    <t>Примечание</t>
  </si>
  <si>
    <t>Аренда крана СКГ-63. Оплата 05.02.26 - ждем акт за февраль.</t>
  </si>
  <si>
    <t>Акт у Томашука Д., документ не согласовывает Стариков С.В. (по его информации работы выполненны на 90%)</t>
  </si>
  <si>
    <t>Акт у Томашука Д., не согласовывает Стариков С.В.</t>
  </si>
  <si>
    <t>Акты за февраль, находяться у снабжения, пришли 19.02.26</t>
  </si>
  <si>
    <t>Спец №411</t>
  </si>
  <si>
    <t>Спец №420</t>
  </si>
  <si>
    <t>Сумма предоплаты за изготовление сендвич панелей. Поставка планируется в марте 2026 г.</t>
  </si>
  <si>
    <t>Документы</t>
  </si>
  <si>
    <t>Документы есть, оригиналы будут февралем 2026</t>
  </si>
  <si>
    <t>не корректно разнесена оплата., по факту объект Астарта.Тищенки. Акт будет февралем. Разница = 184 992,42 (будет возврат дс, после подписания акта)</t>
  </si>
  <si>
    <t>документов нет., выписать нет возможности. Писали претензии, контрагент на связь не выходит. Теоретическая сумма поставки = 2 663 327,44 грн.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</si>
</sst>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4" fontId="2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3"/>
  <sheetViews>
    <sheetView tabSelected="1" workbookViewId="0">
      <selection activeCell="D18" sqref="D18"/>
    </sheetView>
  </sheetViews>
  <sheetFormatPr defaultRowHeight="14.4" outlineLevelRow="1" x14ac:dyDescent="0.3"/>
  <cols>
    <col min="1" max="1" width="3.109375" customWidth="1"/>
    <col min="2" max="2" width="3.6640625" bestFit="1" customWidth="1"/>
    <col min="3" max="3" width="20.6640625" bestFit="1" customWidth="1"/>
    <col min="4" max="5" width="14.88671875" bestFit="1" customWidth="1"/>
    <col min="6" max="6" width="171.77734375" bestFit="1" customWidth="1"/>
  </cols>
  <sheetData>
    <row r="2" spans="2:6" ht="18" x14ac:dyDescent="0.35">
      <c r="B2" s="2" t="s">
        <v>0</v>
      </c>
      <c r="C2" s="2" t="s">
        <v>9</v>
      </c>
      <c r="D2" s="2" t="s">
        <v>10</v>
      </c>
      <c r="E2" s="2" t="s">
        <v>19</v>
      </c>
      <c r="F2" s="2" t="s">
        <v>11</v>
      </c>
    </row>
    <row r="3" spans="2:6" ht="18" x14ac:dyDescent="0.35">
      <c r="B3" s="3">
        <v>1</v>
      </c>
      <c r="C3" s="3" t="s">
        <v>1</v>
      </c>
      <c r="D3" s="4">
        <v>408596.09</v>
      </c>
      <c r="E3" s="4">
        <v>583708.69999999995</v>
      </c>
      <c r="F3" s="3" t="s">
        <v>13</v>
      </c>
    </row>
    <row r="4" spans="2:6" ht="18" x14ac:dyDescent="0.35">
      <c r="B4" s="3">
        <v>2</v>
      </c>
      <c r="C4" s="3" t="s">
        <v>2</v>
      </c>
      <c r="D4" s="4">
        <v>1470026.2</v>
      </c>
      <c r="E4" s="4">
        <v>2663327.44</v>
      </c>
      <c r="F4" s="3" t="s">
        <v>22</v>
      </c>
    </row>
    <row r="5" spans="2:6" ht="18" x14ac:dyDescent="0.35">
      <c r="B5" s="3">
        <v>3</v>
      </c>
      <c r="C5" s="3" t="s">
        <v>3</v>
      </c>
      <c r="D5" s="4">
        <v>3637076.04</v>
      </c>
      <c r="E5" s="4">
        <f>E6+E7</f>
        <v>6486707.5999999996</v>
      </c>
      <c r="F5" s="3" t="s">
        <v>18</v>
      </c>
    </row>
    <row r="6" spans="2:6" s="7" customFormat="1" ht="13.8" hidden="1" outlineLevel="1" x14ac:dyDescent="0.3">
      <c r="B6" s="5"/>
      <c r="C6" s="5" t="s">
        <v>16</v>
      </c>
      <c r="D6" s="6">
        <f>1562007.51+0.04</f>
        <v>1562007.55</v>
      </c>
      <c r="E6" s="6">
        <f>2572903.4</f>
        <v>2572903.4</v>
      </c>
      <c r="F6" s="5"/>
    </row>
    <row r="7" spans="2:6" s="7" customFormat="1" ht="13.8" hidden="1" outlineLevel="1" x14ac:dyDescent="0.3">
      <c r="B7" s="5"/>
      <c r="C7" s="5" t="s">
        <v>17</v>
      </c>
      <c r="D7" s="6">
        <v>2075068.49</v>
      </c>
      <c r="E7" s="6">
        <v>3913804.2</v>
      </c>
      <c r="F7" s="5"/>
    </row>
    <row r="8" spans="2:6" ht="18" collapsed="1" x14ac:dyDescent="0.35">
      <c r="B8" s="3">
        <v>4</v>
      </c>
      <c r="C8" s="3" t="s">
        <v>4</v>
      </c>
      <c r="D8" s="4">
        <v>307103.2</v>
      </c>
      <c r="E8" s="4">
        <v>424857</v>
      </c>
      <c r="F8" s="3" t="s">
        <v>20</v>
      </c>
    </row>
    <row r="9" spans="2:6" ht="18" x14ac:dyDescent="0.35">
      <c r="B9" s="3">
        <v>5</v>
      </c>
      <c r="C9" s="3" t="s">
        <v>5</v>
      </c>
      <c r="D9" s="4">
        <v>15840</v>
      </c>
      <c r="E9" s="4">
        <v>15840</v>
      </c>
      <c r="F9" s="3" t="s">
        <v>14</v>
      </c>
    </row>
    <row r="10" spans="2:6" ht="18" x14ac:dyDescent="0.35">
      <c r="B10" s="3">
        <v>6</v>
      </c>
      <c r="C10" s="3" t="s">
        <v>6</v>
      </c>
      <c r="D10" s="4">
        <v>423593.42</v>
      </c>
      <c r="E10" s="4">
        <v>238601</v>
      </c>
      <c r="F10" s="3" t="s">
        <v>21</v>
      </c>
    </row>
    <row r="11" spans="2:6" ht="18" x14ac:dyDescent="0.35">
      <c r="B11" s="3">
        <v>7</v>
      </c>
      <c r="C11" s="3" t="s">
        <v>7</v>
      </c>
      <c r="D11" s="4">
        <v>1945319</v>
      </c>
      <c r="E11" s="4">
        <f>1373648.03+528729.26+185711.75+726578.53</f>
        <v>2814667.5700000003</v>
      </c>
      <c r="F11" s="3" t="s">
        <v>15</v>
      </c>
    </row>
    <row r="12" spans="2:6" ht="18" x14ac:dyDescent="0.35">
      <c r="B12" s="3">
        <v>8</v>
      </c>
      <c r="C12" s="3" t="s">
        <v>8</v>
      </c>
      <c r="D12" s="4">
        <v>241018</v>
      </c>
      <c r="E12" s="4"/>
      <c r="F12" s="3" t="s">
        <v>12</v>
      </c>
    </row>
    <row r="13" spans="2:6" x14ac:dyDescent="0.3">
      <c r="D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2026-02-25T14:34:36Z</dcterms:modified>
</cp:coreProperties>
</file>
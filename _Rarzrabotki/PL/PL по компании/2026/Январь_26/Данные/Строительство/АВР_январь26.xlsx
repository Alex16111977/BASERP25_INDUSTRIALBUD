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6\Январь_26\Данные\Строительство\"/>
    </mc:Choice>
  </mc:AlternateContent>
  <xr:revisionPtr revIDLastSave="0" documentId="13_ncr:1_{4C62E86E-421C-45E6-B509-66128465F2C2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2" i="1" l="1"/>
  <c r="E35" i="1" l="1"/>
  <c r="E34" i="1"/>
  <c r="E31" i="1"/>
  <c r="E32" i="1" l="1"/>
</calcChain>
</file>

<file path=xl/sharedStrings.xml><?xml version="1.0" encoding="utf-8"?>
<sst xmlns="http://schemas.openxmlformats.org/spreadsheetml/2006/main" count="424" uniqueCount="132">
  <si>
    <t>Оригинал</t>
  </si>
  <si>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</si>
  <si>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</si>
  <si>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</si>
  <si>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</si>
  <si>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</si>
  <si>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</si>
  <si>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</si>
  <si>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</si>
  <si>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</si>
  <si>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ІБ00-000016</t>
  </si>
  <si>
    <t>грн</t>
  </si>
  <si>
    <t>ТОВ "ІНДАСТРІАЛБУД"</t>
  </si>
  <si>
    <t>АСТАРТА АГРО ПРОТЕЇН ТОВ</t>
  </si>
  <si>
    <t>Виробничий (Глобине-2)</t>
  </si>
  <si>
    <t>Хлань Елена</t>
  </si>
  <si>
    <t>ІБ00-000012</t>
  </si>
  <si>
    <t>Так</t>
  </si>
  <si>
    <t>13.01.2026 00:00:00</t>
  </si>
  <si>
    <t>ІБ00-000010</t>
  </si>
  <si>
    <t>ГЛОБИНСЬКИЙ ПЕРЕРОБНИЙ ЗАВОД ТОВ</t>
  </si>
  <si>
    <t>Акт 16/ГПЗ перепідписати</t>
  </si>
  <si>
    <t>15.01.2026 00:00:00</t>
  </si>
  <si>
    <t>ІБ00-000004</t>
  </si>
  <si>
    <t xml:space="preserve"> Акт 4/1.10-АР</t>
  </si>
  <si>
    <t>ІБ00-000005</t>
  </si>
  <si>
    <t xml:space="preserve"> Акт 23/1.10-КБ</t>
  </si>
  <si>
    <t>ІБ00-000007</t>
  </si>
  <si>
    <t xml:space="preserve"> Акт 4/1.10-КМ</t>
  </si>
  <si>
    <t>ІБ00-000011</t>
  </si>
  <si>
    <t>Акт 17/ГПЗ</t>
  </si>
  <si>
    <t>Аулова Маргарита</t>
  </si>
  <si>
    <t>20.01.2026 00:00:00</t>
  </si>
  <si>
    <t>ІБ00-000001</t>
  </si>
  <si>
    <t xml:space="preserve"> Акт 24/1.10-КБ</t>
  </si>
  <si>
    <t>ІБ00-000008</t>
  </si>
  <si>
    <t>Акт 103/1.3-КМ(Цех екстракції поз. 3 ГБ) 0.01 коп</t>
  </si>
  <si>
    <t>ІБ00-000009</t>
  </si>
  <si>
    <t xml:space="preserve"> Акт 21/1.1-АР</t>
  </si>
  <si>
    <t>21.01.2026 00:00:00</t>
  </si>
  <si>
    <t>ІБ00-000018</t>
  </si>
  <si>
    <t>Акт 47/1.3-ТХ (Цех екстракції поз. 3 ГБ)</t>
  </si>
  <si>
    <t>26.01.2026 00:00:00</t>
  </si>
  <si>
    <t>ІБ00-000003</t>
  </si>
  <si>
    <t xml:space="preserve"> Акт 24/1.14-КМ (Котельня)</t>
  </si>
  <si>
    <t>26.01.2026 12:20:49</t>
  </si>
  <si>
    <t>ІБ00-000017</t>
  </si>
  <si>
    <t xml:space="preserve"> Акт 32/1.14-АР (Котельня)</t>
  </si>
  <si>
    <t>26.01.2026 12:31:54</t>
  </si>
  <si>
    <t>ІБ00-000019</t>
  </si>
  <si>
    <t xml:space="preserve">Акт 104/1.3-КМ(Цех екстракції поз. 3 ГБ) </t>
  </si>
  <si>
    <t>26.01.2026 12:41:21</t>
  </si>
  <si>
    <t>ІБ00-000021</t>
  </si>
  <si>
    <t xml:space="preserve"> Акт 33/1.14-АР (Котельня)</t>
  </si>
  <si>
    <t>26.01.2026 12:42:29</t>
  </si>
  <si>
    <t>ІБ00-000022</t>
  </si>
  <si>
    <t xml:space="preserve"> Акт 5/1.10-КМ</t>
  </si>
  <si>
    <t>26.01.2026 12:49:34</t>
  </si>
  <si>
    <t>ІБ00-000025</t>
  </si>
  <si>
    <t>Акт 50/1.3-ТХ (Цех екстракції поз. 3 ГБ)</t>
  </si>
  <si>
    <t>26.01.2026 12:52:12</t>
  </si>
  <si>
    <t>ІБ00-000026</t>
  </si>
  <si>
    <t xml:space="preserve"> Акт 5/1.10-АР</t>
  </si>
  <si>
    <t>26.01.2026 13:08:47</t>
  </si>
  <si>
    <t>ІБ00-000030</t>
  </si>
  <si>
    <t>Акт 18/ГПЗ</t>
  </si>
  <si>
    <t>28.01.2026 00:00:00</t>
  </si>
  <si>
    <t>ІБ00-000006</t>
  </si>
  <si>
    <t xml:space="preserve"> Акт 1/1.9-ТХ (СПК) перероблений</t>
  </si>
  <si>
    <t>ІБ00-000029</t>
  </si>
  <si>
    <t xml:space="preserve"> Акт 34/1.9-КМ (СПК)</t>
  </si>
  <si>
    <t>28.01.2026 12:36:47</t>
  </si>
  <si>
    <t>ІБ00-000020</t>
  </si>
  <si>
    <t xml:space="preserve"> Акт 23/1.1-АР</t>
  </si>
  <si>
    <t>28.01.2026 12:44:57</t>
  </si>
  <si>
    <t>ІБ00-000023</t>
  </si>
  <si>
    <t>Акт 48/1.3-ТХ (Цех екстракції поз. 3 ГБ)</t>
  </si>
  <si>
    <t>28.01.2026 12:59:31</t>
  </si>
  <si>
    <t>ІБ00-000027</t>
  </si>
  <si>
    <t xml:space="preserve"> Акт 22/1.1-АР</t>
  </si>
  <si>
    <t>28.01.2026 13:01:44</t>
  </si>
  <si>
    <t>ІБ00-000028</t>
  </si>
  <si>
    <t xml:space="preserve"> Акт 2/1.16-АР (Пожежний резервуар) </t>
  </si>
  <si>
    <t>28.01.2026 16:25:41</t>
  </si>
  <si>
    <t>ІБ00-000015</t>
  </si>
  <si>
    <t xml:space="preserve"> Акт 1/1.1-ВК (АПК)</t>
  </si>
  <si>
    <t>30.01.2026 13:44:58</t>
  </si>
  <si>
    <t>ІБ00-000031</t>
  </si>
  <si>
    <t>АГРОФІРМА ІМ. ДОВЖЕНКА ТОВ</t>
  </si>
  <si>
    <t>Виробничий (Астарта_Тищенки)</t>
  </si>
  <si>
    <t>Доїльно-молочний блок Акт 4-17</t>
  </si>
  <si>
    <t>30.01.2026 13:46:10</t>
  </si>
  <si>
    <t>ІБ00-000032</t>
  </si>
  <si>
    <t>Доїльно-молочний блок Акт 4-18</t>
  </si>
  <si>
    <t>30.01.2026 14:05:45</t>
  </si>
  <si>
    <t>ІБ00-000033</t>
  </si>
  <si>
    <t>Корівник № 6 Акт  1-15</t>
  </si>
  <si>
    <t>30.01.2026 15:02:46</t>
  </si>
  <si>
    <t>ІБ00-000039</t>
  </si>
  <si>
    <t>Корівник №7 АВР № 2-21</t>
  </si>
  <si>
    <t>30.01.2026 16:05:14</t>
  </si>
  <si>
    <t>ІБ00-000040</t>
  </si>
  <si>
    <t>Сепараторна Акт 5-06</t>
  </si>
  <si>
    <t>Глобино-2</t>
  </si>
  <si>
    <t>Астарта.Тищенки</t>
  </si>
  <si>
    <t>Вид операції</t>
  </si>
  <si>
    <t>Склад</t>
  </si>
  <si>
    <t>Продаж, комісія</t>
  </si>
  <si>
    <t>06.01.2026 00:00:00</t>
  </si>
  <si>
    <t>ГРП (Глобине)</t>
  </si>
  <si>
    <t>СКАН спец 19</t>
  </si>
  <si>
    <t>Пожежений резервуар (Глобине)</t>
  </si>
  <si>
    <t>СКАН спец 20</t>
  </si>
  <si>
    <t>ЗВК_Глобіне</t>
  </si>
  <si>
    <t>СКАН спец 14</t>
  </si>
  <si>
    <t>14.01.2026 09:40:20</t>
  </si>
  <si>
    <t>14.01.2026 10:17:51</t>
  </si>
  <si>
    <t>14.01.2026 10:25:44</t>
  </si>
  <si>
    <t>ІБ00-000013</t>
  </si>
  <si>
    <t>Цех екстракції (Глобине)</t>
  </si>
  <si>
    <t>СКАН спец 22</t>
  </si>
  <si>
    <t>14.01.2026 10:35:08</t>
  </si>
  <si>
    <t>ІБ00-000014</t>
  </si>
  <si>
    <t>СКАН спец 2</t>
  </si>
  <si>
    <t>16.01.2026 08:28:18</t>
  </si>
  <si>
    <t>СКАН спец 6</t>
  </si>
  <si>
    <t>16.01.2026 08:39:32</t>
  </si>
  <si>
    <t>СКАН спец 3</t>
  </si>
  <si>
    <t>21.01.2026 08:46:22</t>
  </si>
  <si>
    <t>22.01.2026 11:47:29</t>
  </si>
  <si>
    <t>СКАН спец 11</t>
  </si>
  <si>
    <t>23.01.2026 10:39:19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</si>
</sst>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63"/>
      <name val="Arial"/>
    </font>
    <font>
      <sz val="8"/>
      <color indexed="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4" fontId="3" fillId="2" borderId="1" xfId="1" applyNumberFormat="1" applyFont="1" applyFill="1" applyBorder="1" applyAlignment="1">
      <alignment horizontal="right" vertical="top"/>
    </xf>
    <xf numFmtId="4" fontId="0" fillId="0" borderId="0" xfId="0" applyNumberFormat="1"/>
  </cellXfs>
  <cellStyles count="2">
    <cellStyle name="Обычный" xfId="0" builtinId="0"/>
    <cellStyle name="Обычный_Sheet1" xfId="1" xr:uid="{B3BE4617-79E2-4FC7-B0E1-28B85E9EBD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topLeftCell="A16" workbookViewId="0">
      <selection activeCell="D26" sqref="D26:D29"/>
    </sheetView>
  </sheetViews>
  <sheetFormatPr defaultRowHeight="14.4" x14ac:dyDescent="0.3"/>
  <cols>
    <col min="1" max="1" width="9.109375" bestFit="1" customWidth="1"/>
    <col min="2" max="2" width="14" bestFit="1" customWidth="1"/>
    <col min="3" max="3" width="8.77734375" bestFit="1" customWidth="1"/>
    <col min="4" max="4" width="33" bestFit="1" customWidth="1"/>
    <col min="5" max="5" width="12.33203125" bestFit="1" customWidth="1"/>
    <col min="6" max="6" width="7.6640625" bestFit="1" customWidth="1"/>
    <col min="7" max="7" width="22.33203125" bestFit="1" customWidth="1"/>
    <col min="8" max="8" width="16.6640625" bestFit="1" customWidth="1"/>
    <col min="9" max="9" width="14.5546875" bestFit="1" customWidth="1"/>
    <col min="10" max="10" width="34.77734375" bestFit="1" customWidth="1"/>
    <col min="11" max="11" width="10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</v>
      </c>
      <c r="B2" s="2" t="s">
        <v>18</v>
      </c>
      <c r="C2" s="2" t="s">
        <v>19</v>
      </c>
      <c r="D2" s="2" t="s">
        <v>20</v>
      </c>
      <c r="E2" s="3">
        <v>381680.3</v>
      </c>
      <c r="F2" s="2" t="s">
        <v>11</v>
      </c>
      <c r="G2" s="2" t="s">
        <v>14</v>
      </c>
      <c r="H2" s="2" t="s">
        <v>12</v>
      </c>
      <c r="I2" s="2" t="s">
        <v>15</v>
      </c>
      <c r="J2" s="2" t="s">
        <v>21</v>
      </c>
    </row>
    <row r="3" spans="1:10" x14ac:dyDescent="0.3">
      <c r="A3" s="2" t="s">
        <v>17</v>
      </c>
      <c r="B3" s="2" t="s">
        <v>22</v>
      </c>
      <c r="C3" s="2" t="s">
        <v>23</v>
      </c>
      <c r="D3" s="2" t="s">
        <v>13</v>
      </c>
      <c r="E3" s="3">
        <v>87001.1</v>
      </c>
      <c r="F3" s="2" t="s">
        <v>11</v>
      </c>
      <c r="G3" s="2" t="s">
        <v>14</v>
      </c>
      <c r="H3" s="2" t="s">
        <v>12</v>
      </c>
      <c r="I3" s="2" t="s">
        <v>15</v>
      </c>
      <c r="J3" s="2" t="s">
        <v>24</v>
      </c>
    </row>
    <row r="4" spans="1:10" x14ac:dyDescent="0.3">
      <c r="A4" s="2" t="s">
        <v>17</v>
      </c>
      <c r="B4" s="2" t="s">
        <v>22</v>
      </c>
      <c r="C4" s="2" t="s">
        <v>25</v>
      </c>
      <c r="D4" s="2" t="s">
        <v>13</v>
      </c>
      <c r="E4" s="3">
        <v>41320.870000000003</v>
      </c>
      <c r="F4" s="2" t="s">
        <v>11</v>
      </c>
      <c r="G4" s="2" t="s">
        <v>14</v>
      </c>
      <c r="H4" s="2" t="s">
        <v>12</v>
      </c>
      <c r="I4" s="2" t="s">
        <v>15</v>
      </c>
      <c r="J4" s="2" t="s">
        <v>26</v>
      </c>
    </row>
    <row r="5" spans="1:10" x14ac:dyDescent="0.3">
      <c r="A5" s="2" t="s">
        <v>17</v>
      </c>
      <c r="B5" s="2" t="s">
        <v>22</v>
      </c>
      <c r="C5" s="2" t="s">
        <v>27</v>
      </c>
      <c r="D5" s="2" t="s">
        <v>13</v>
      </c>
      <c r="E5" s="3">
        <v>180060.3</v>
      </c>
      <c r="F5" s="2" t="s">
        <v>11</v>
      </c>
      <c r="G5" s="2" t="s">
        <v>14</v>
      </c>
      <c r="H5" s="2" t="s">
        <v>12</v>
      </c>
      <c r="I5" s="2" t="s">
        <v>15</v>
      </c>
      <c r="J5" s="2" t="s">
        <v>28</v>
      </c>
    </row>
    <row r="6" spans="1:10" x14ac:dyDescent="0.3">
      <c r="A6" s="2" t="s">
        <v>17</v>
      </c>
      <c r="B6" s="2" t="s">
        <v>22</v>
      </c>
      <c r="C6" s="2" t="s">
        <v>29</v>
      </c>
      <c r="D6" s="2" t="s">
        <v>20</v>
      </c>
      <c r="E6" s="3">
        <v>49362</v>
      </c>
      <c r="F6" s="2" t="s">
        <v>11</v>
      </c>
      <c r="G6" s="2" t="s">
        <v>14</v>
      </c>
      <c r="H6" s="2" t="s">
        <v>12</v>
      </c>
      <c r="I6" s="2" t="s">
        <v>15</v>
      </c>
      <c r="J6" s="2" t="s">
        <v>30</v>
      </c>
    </row>
    <row r="7" spans="1:10" x14ac:dyDescent="0.3">
      <c r="A7" s="2" t="s">
        <v>17</v>
      </c>
      <c r="B7" s="2" t="s">
        <v>32</v>
      </c>
      <c r="C7" s="2" t="s">
        <v>33</v>
      </c>
      <c r="D7" s="2" t="s">
        <v>13</v>
      </c>
      <c r="E7" s="3">
        <v>110000</v>
      </c>
      <c r="F7" s="2" t="s">
        <v>11</v>
      </c>
      <c r="G7" s="2" t="s">
        <v>14</v>
      </c>
      <c r="H7" s="2" t="s">
        <v>12</v>
      </c>
      <c r="I7" s="2" t="s">
        <v>15</v>
      </c>
      <c r="J7" s="2" t="s">
        <v>34</v>
      </c>
    </row>
    <row r="8" spans="1:10" x14ac:dyDescent="0.3">
      <c r="A8" s="2" t="s">
        <v>17</v>
      </c>
      <c r="B8" s="2" t="s">
        <v>32</v>
      </c>
      <c r="C8" s="2" t="s">
        <v>35</v>
      </c>
      <c r="D8" s="2" t="s">
        <v>13</v>
      </c>
      <c r="E8" s="3">
        <v>152391.37</v>
      </c>
      <c r="F8" s="2" t="s">
        <v>11</v>
      </c>
      <c r="G8" s="2" t="s">
        <v>14</v>
      </c>
      <c r="H8" s="2" t="s">
        <v>12</v>
      </c>
      <c r="I8" s="2" t="s">
        <v>15</v>
      </c>
      <c r="J8" s="2" t="s">
        <v>36</v>
      </c>
    </row>
    <row r="9" spans="1:10" x14ac:dyDescent="0.3">
      <c r="A9" s="2" t="s">
        <v>17</v>
      </c>
      <c r="B9" s="2" t="s">
        <v>32</v>
      </c>
      <c r="C9" s="2" t="s">
        <v>37</v>
      </c>
      <c r="D9" s="2" t="s">
        <v>13</v>
      </c>
      <c r="E9" s="3">
        <v>332607.32</v>
      </c>
      <c r="F9" s="2" t="s">
        <v>11</v>
      </c>
      <c r="G9" s="2" t="s">
        <v>14</v>
      </c>
      <c r="H9" s="2" t="s">
        <v>12</v>
      </c>
      <c r="I9" s="2" t="s">
        <v>15</v>
      </c>
      <c r="J9" s="2" t="s">
        <v>38</v>
      </c>
    </row>
    <row r="10" spans="1:10" x14ac:dyDescent="0.3">
      <c r="A10" s="2" t="s">
        <v>17</v>
      </c>
      <c r="B10" s="2" t="s">
        <v>39</v>
      </c>
      <c r="C10" s="2" t="s">
        <v>40</v>
      </c>
      <c r="D10" s="2" t="s">
        <v>13</v>
      </c>
      <c r="E10" s="3">
        <v>564645.9</v>
      </c>
      <c r="F10" s="2" t="s">
        <v>11</v>
      </c>
      <c r="G10" s="2" t="s">
        <v>14</v>
      </c>
      <c r="H10" s="2" t="s">
        <v>12</v>
      </c>
      <c r="I10" s="2" t="s">
        <v>31</v>
      </c>
      <c r="J10" s="2" t="s">
        <v>41</v>
      </c>
    </row>
    <row r="11" spans="1:10" x14ac:dyDescent="0.3">
      <c r="A11" s="2" t="s">
        <v>17</v>
      </c>
      <c r="B11" s="2" t="s">
        <v>42</v>
      </c>
      <c r="C11" s="2" t="s">
        <v>43</v>
      </c>
      <c r="D11" s="2" t="s">
        <v>13</v>
      </c>
      <c r="E11" s="3">
        <v>254435.71</v>
      </c>
      <c r="F11" s="2" t="s">
        <v>11</v>
      </c>
      <c r="G11" s="2" t="s">
        <v>14</v>
      </c>
      <c r="H11" s="2" t="s">
        <v>12</v>
      </c>
      <c r="I11" s="2" t="s">
        <v>15</v>
      </c>
      <c r="J11" s="2" t="s">
        <v>44</v>
      </c>
    </row>
    <row r="12" spans="1:10" x14ac:dyDescent="0.3">
      <c r="A12" s="2" t="s">
        <v>17</v>
      </c>
      <c r="B12" s="2" t="s">
        <v>45</v>
      </c>
      <c r="C12" s="2" t="s">
        <v>46</v>
      </c>
      <c r="D12" s="2" t="s">
        <v>13</v>
      </c>
      <c r="E12" s="3">
        <v>140655.14000000001</v>
      </c>
      <c r="F12" s="2" t="s">
        <v>11</v>
      </c>
      <c r="G12" s="2" t="s">
        <v>14</v>
      </c>
      <c r="H12" s="2" t="s">
        <v>12</v>
      </c>
      <c r="I12" s="2" t="s">
        <v>31</v>
      </c>
      <c r="J12" s="2" t="s">
        <v>47</v>
      </c>
    </row>
    <row r="13" spans="1:10" x14ac:dyDescent="0.3">
      <c r="A13" s="2" t="s">
        <v>17</v>
      </c>
      <c r="B13" s="2" t="s">
        <v>48</v>
      </c>
      <c r="C13" s="2" t="s">
        <v>49</v>
      </c>
      <c r="D13" s="2" t="s">
        <v>13</v>
      </c>
      <c r="E13" s="3">
        <v>665529.81999999995</v>
      </c>
      <c r="F13" s="2" t="s">
        <v>11</v>
      </c>
      <c r="G13" s="2" t="s">
        <v>14</v>
      </c>
      <c r="H13" s="2" t="s">
        <v>12</v>
      </c>
      <c r="I13" s="2" t="s">
        <v>31</v>
      </c>
      <c r="J13" s="2" t="s">
        <v>50</v>
      </c>
    </row>
    <row r="14" spans="1:10" x14ac:dyDescent="0.3">
      <c r="A14" s="2" t="s">
        <v>17</v>
      </c>
      <c r="B14" s="2" t="s">
        <v>51</v>
      </c>
      <c r="C14" s="2" t="s">
        <v>52</v>
      </c>
      <c r="D14" s="2" t="s">
        <v>13</v>
      </c>
      <c r="E14" s="3">
        <v>605141.41</v>
      </c>
      <c r="F14" s="2" t="s">
        <v>11</v>
      </c>
      <c r="G14" s="2" t="s">
        <v>14</v>
      </c>
      <c r="H14" s="2" t="s">
        <v>12</v>
      </c>
      <c r="I14" s="2" t="s">
        <v>31</v>
      </c>
      <c r="J14" s="2" t="s">
        <v>53</v>
      </c>
    </row>
    <row r="15" spans="1:10" x14ac:dyDescent="0.3">
      <c r="A15" s="2" t="s">
        <v>17</v>
      </c>
      <c r="B15" s="2" t="s">
        <v>54</v>
      </c>
      <c r="C15" s="2" t="s">
        <v>55</v>
      </c>
      <c r="D15" s="2" t="s">
        <v>13</v>
      </c>
      <c r="E15" s="3">
        <v>97101.22</v>
      </c>
      <c r="F15" s="2" t="s">
        <v>11</v>
      </c>
      <c r="G15" s="2" t="s">
        <v>14</v>
      </c>
      <c r="H15" s="2" t="s">
        <v>12</v>
      </c>
      <c r="I15" s="2" t="s">
        <v>31</v>
      </c>
      <c r="J15" s="2" t="s">
        <v>56</v>
      </c>
    </row>
    <row r="16" spans="1:10" x14ac:dyDescent="0.3">
      <c r="A16" s="2" t="s">
        <v>17</v>
      </c>
      <c r="B16" s="2" t="s">
        <v>57</v>
      </c>
      <c r="C16" s="2" t="s">
        <v>58</v>
      </c>
      <c r="D16" s="2" t="s">
        <v>13</v>
      </c>
      <c r="E16" s="3">
        <v>439624.62</v>
      </c>
      <c r="F16" s="2" t="s">
        <v>11</v>
      </c>
      <c r="G16" s="2" t="s">
        <v>14</v>
      </c>
      <c r="H16" s="2" t="s">
        <v>12</v>
      </c>
      <c r="I16" s="2" t="s">
        <v>31</v>
      </c>
      <c r="J16" s="2" t="s">
        <v>59</v>
      </c>
    </row>
    <row r="17" spans="1:10" x14ac:dyDescent="0.3">
      <c r="A17" s="2" t="s">
        <v>17</v>
      </c>
      <c r="B17" s="2" t="s">
        <v>60</v>
      </c>
      <c r="C17" s="2" t="s">
        <v>61</v>
      </c>
      <c r="D17" s="2" t="s">
        <v>13</v>
      </c>
      <c r="E17" s="3">
        <v>456704.41</v>
      </c>
      <c r="F17" s="2" t="s">
        <v>11</v>
      </c>
      <c r="G17" s="2" t="s">
        <v>14</v>
      </c>
      <c r="H17" s="2" t="s">
        <v>12</v>
      </c>
      <c r="I17" s="2" t="s">
        <v>31</v>
      </c>
      <c r="J17" s="2" t="s">
        <v>62</v>
      </c>
    </row>
    <row r="18" spans="1:10" x14ac:dyDescent="0.3">
      <c r="A18" s="2" t="s">
        <v>17</v>
      </c>
      <c r="B18" s="2" t="s">
        <v>63</v>
      </c>
      <c r="C18" s="2" t="s">
        <v>64</v>
      </c>
      <c r="D18" s="2" t="s">
        <v>20</v>
      </c>
      <c r="E18" s="3">
        <v>628066.07999999996</v>
      </c>
      <c r="F18" s="2" t="s">
        <v>11</v>
      </c>
      <c r="G18" s="2" t="s">
        <v>14</v>
      </c>
      <c r="H18" s="2" t="s">
        <v>12</v>
      </c>
      <c r="I18" s="2" t="s">
        <v>31</v>
      </c>
      <c r="J18" s="2" t="s">
        <v>65</v>
      </c>
    </row>
    <row r="19" spans="1:10" x14ac:dyDescent="0.3">
      <c r="A19" s="2" t="s">
        <v>17</v>
      </c>
      <c r="B19" s="2" t="s">
        <v>66</v>
      </c>
      <c r="C19" s="2" t="s">
        <v>67</v>
      </c>
      <c r="D19" s="2" t="s">
        <v>13</v>
      </c>
      <c r="E19" s="3">
        <v>871429.49</v>
      </c>
      <c r="F19" s="2" t="s">
        <v>11</v>
      </c>
      <c r="G19" s="2" t="s">
        <v>14</v>
      </c>
      <c r="H19" s="2" t="s">
        <v>12</v>
      </c>
      <c r="I19" s="2" t="s">
        <v>15</v>
      </c>
      <c r="J19" s="2" t="s">
        <v>68</v>
      </c>
    </row>
    <row r="20" spans="1:10" x14ac:dyDescent="0.3">
      <c r="A20" s="2" t="s">
        <v>17</v>
      </c>
      <c r="B20" s="2" t="s">
        <v>66</v>
      </c>
      <c r="C20" s="2" t="s">
        <v>69</v>
      </c>
      <c r="D20" s="2" t="s">
        <v>13</v>
      </c>
      <c r="E20" s="3">
        <v>806601.32</v>
      </c>
      <c r="F20" s="2" t="s">
        <v>11</v>
      </c>
      <c r="G20" s="2" t="s">
        <v>14</v>
      </c>
      <c r="H20" s="2" t="s">
        <v>12</v>
      </c>
      <c r="I20" s="2" t="s">
        <v>31</v>
      </c>
      <c r="J20" s="2" t="s">
        <v>70</v>
      </c>
    </row>
    <row r="21" spans="1:10" x14ac:dyDescent="0.3">
      <c r="A21" s="2" t="s">
        <v>17</v>
      </c>
      <c r="B21" s="2" t="s">
        <v>71</v>
      </c>
      <c r="C21" s="2" t="s">
        <v>72</v>
      </c>
      <c r="D21" s="2" t="s">
        <v>13</v>
      </c>
      <c r="E21" s="3">
        <v>3244411.07</v>
      </c>
      <c r="F21" s="2" t="s">
        <v>11</v>
      </c>
      <c r="G21" s="2" t="s">
        <v>14</v>
      </c>
      <c r="H21" s="2" t="s">
        <v>12</v>
      </c>
      <c r="I21" s="2" t="s">
        <v>31</v>
      </c>
      <c r="J21" s="2" t="s">
        <v>73</v>
      </c>
    </row>
    <row r="22" spans="1:10" x14ac:dyDescent="0.3">
      <c r="A22" s="2" t="s">
        <v>17</v>
      </c>
      <c r="B22" s="2" t="s">
        <v>74</v>
      </c>
      <c r="C22" s="2" t="s">
        <v>75</v>
      </c>
      <c r="D22" s="2" t="s">
        <v>13</v>
      </c>
      <c r="E22" s="3">
        <v>3777061.62</v>
      </c>
      <c r="F22" s="2" t="s">
        <v>11</v>
      </c>
      <c r="G22" s="2" t="s">
        <v>14</v>
      </c>
      <c r="H22" s="2" t="s">
        <v>12</v>
      </c>
      <c r="I22" s="2" t="s">
        <v>31</v>
      </c>
      <c r="J22" s="2" t="s">
        <v>76</v>
      </c>
    </row>
    <row r="23" spans="1:10" x14ac:dyDescent="0.3">
      <c r="A23" s="2" t="s">
        <v>17</v>
      </c>
      <c r="B23" s="2" t="s">
        <v>77</v>
      </c>
      <c r="C23" s="2" t="s">
        <v>78</v>
      </c>
      <c r="D23" s="2" t="s">
        <v>13</v>
      </c>
      <c r="E23" s="3">
        <v>717104.94</v>
      </c>
      <c r="F23" s="2" t="s">
        <v>11</v>
      </c>
      <c r="G23" s="2" t="s">
        <v>14</v>
      </c>
      <c r="H23" s="2" t="s">
        <v>12</v>
      </c>
      <c r="I23" s="2" t="s">
        <v>31</v>
      </c>
      <c r="J23" s="2" t="s">
        <v>79</v>
      </c>
    </row>
    <row r="24" spans="1:10" x14ac:dyDescent="0.3">
      <c r="A24" s="2" t="s">
        <v>17</v>
      </c>
      <c r="B24" s="2" t="s">
        <v>80</v>
      </c>
      <c r="C24" s="2" t="s">
        <v>81</v>
      </c>
      <c r="D24" s="2" t="s">
        <v>13</v>
      </c>
      <c r="E24" s="3">
        <v>1044259.58</v>
      </c>
      <c r="F24" s="2" t="s">
        <v>11</v>
      </c>
      <c r="G24" s="2" t="s">
        <v>14</v>
      </c>
      <c r="H24" s="2" t="s">
        <v>12</v>
      </c>
      <c r="I24" s="2" t="s">
        <v>31</v>
      </c>
      <c r="J24" s="2" t="s">
        <v>82</v>
      </c>
    </row>
    <row r="25" spans="1:10" x14ac:dyDescent="0.3">
      <c r="A25" s="2" t="s">
        <v>17</v>
      </c>
      <c r="B25" s="2" t="s">
        <v>83</v>
      </c>
      <c r="C25" s="2" t="s">
        <v>84</v>
      </c>
      <c r="D25" s="2" t="s">
        <v>13</v>
      </c>
      <c r="E25" s="3">
        <v>136696.62</v>
      </c>
      <c r="F25" s="2" t="s">
        <v>11</v>
      </c>
      <c r="G25" s="2" t="s">
        <v>14</v>
      </c>
      <c r="H25" s="2" t="s">
        <v>12</v>
      </c>
      <c r="I25" s="2" t="s">
        <v>15</v>
      </c>
      <c r="J25" s="2" t="s">
        <v>85</v>
      </c>
    </row>
    <row r="26" spans="1:10" x14ac:dyDescent="0.3">
      <c r="A26" s="2" t="s">
        <v>17</v>
      </c>
      <c r="B26" s="2" t="s">
        <v>86</v>
      </c>
      <c r="C26" s="2" t="s">
        <v>87</v>
      </c>
      <c r="D26" s="2" t="s">
        <v>88</v>
      </c>
      <c r="E26" s="3">
        <v>116038.81</v>
      </c>
      <c r="F26" s="2" t="s">
        <v>11</v>
      </c>
      <c r="G26" s="2" t="s">
        <v>89</v>
      </c>
      <c r="H26" s="2" t="s">
        <v>12</v>
      </c>
      <c r="I26" s="2" t="s">
        <v>31</v>
      </c>
      <c r="J26" s="2" t="s">
        <v>90</v>
      </c>
    </row>
    <row r="27" spans="1:10" x14ac:dyDescent="0.3">
      <c r="A27" s="2" t="s">
        <v>17</v>
      </c>
      <c r="B27" s="2" t="s">
        <v>91</v>
      </c>
      <c r="C27" s="2" t="s">
        <v>92</v>
      </c>
      <c r="D27" s="2" t="s">
        <v>88</v>
      </c>
      <c r="E27" s="3">
        <v>63180.2</v>
      </c>
      <c r="F27" s="2" t="s">
        <v>11</v>
      </c>
      <c r="G27" s="2" t="s">
        <v>89</v>
      </c>
      <c r="H27" s="2" t="s">
        <v>12</v>
      </c>
      <c r="I27" s="2" t="s">
        <v>31</v>
      </c>
      <c r="J27" s="2" t="s">
        <v>93</v>
      </c>
    </row>
    <row r="28" spans="1:10" x14ac:dyDescent="0.3">
      <c r="A28" s="2" t="s">
        <v>17</v>
      </c>
      <c r="B28" s="2" t="s">
        <v>94</v>
      </c>
      <c r="C28" s="2" t="s">
        <v>95</v>
      </c>
      <c r="D28" s="2" t="s">
        <v>88</v>
      </c>
      <c r="E28" s="3">
        <v>309229.96000000002</v>
      </c>
      <c r="F28" s="2" t="s">
        <v>11</v>
      </c>
      <c r="G28" s="2" t="s">
        <v>89</v>
      </c>
      <c r="H28" s="2" t="s">
        <v>12</v>
      </c>
      <c r="I28" s="2" t="s">
        <v>31</v>
      </c>
      <c r="J28" s="2" t="s">
        <v>96</v>
      </c>
    </row>
    <row r="29" spans="1:10" x14ac:dyDescent="0.3">
      <c r="A29" s="2" t="s">
        <v>17</v>
      </c>
      <c r="B29" s="2" t="s">
        <v>97</v>
      </c>
      <c r="C29" s="2" t="s">
        <v>98</v>
      </c>
      <c r="D29" s="2" t="s">
        <v>88</v>
      </c>
      <c r="E29" s="3">
        <v>835768.98</v>
      </c>
      <c r="F29" s="2" t="s">
        <v>11</v>
      </c>
      <c r="G29" s="2" t="s">
        <v>89</v>
      </c>
      <c r="H29" s="2" t="s">
        <v>12</v>
      </c>
      <c r="I29" s="2" t="s">
        <v>31</v>
      </c>
      <c r="J29" s="2" t="s">
        <v>99</v>
      </c>
    </row>
    <row r="30" spans="1:10" x14ac:dyDescent="0.3">
      <c r="A30" s="2" t="s">
        <v>17</v>
      </c>
      <c r="B30" s="2" t="s">
        <v>100</v>
      </c>
      <c r="C30" s="2" t="s">
        <v>101</v>
      </c>
      <c r="D30" s="2" t="s">
        <v>88</v>
      </c>
      <c r="E30" s="3">
        <v>426973.01</v>
      </c>
      <c r="F30" s="2" t="s">
        <v>11</v>
      </c>
      <c r="G30" s="2" t="s">
        <v>89</v>
      </c>
      <c r="H30" s="2" t="s">
        <v>12</v>
      </c>
      <c r="I30" s="2" t="s">
        <v>31</v>
      </c>
      <c r="J30" s="2" t="s">
        <v>102</v>
      </c>
    </row>
    <row r="31" spans="1:10" x14ac:dyDescent="0.3">
      <c r="E31" s="4">
        <f>SUM(E2:E30)</f>
        <v>17535083.170000002</v>
      </c>
    </row>
    <row r="32" spans="1:10" x14ac:dyDescent="0.3">
      <c r="E32" s="4">
        <f>E31-E34-E35</f>
        <v>2.7939677238464355E-9</v>
      </c>
    </row>
    <row r="34" spans="1:11" x14ac:dyDescent="0.3">
      <c r="E34" s="4">
        <f>SUM(E2:E25)</f>
        <v>15783892.209999999</v>
      </c>
      <c r="G34" t="s">
        <v>103</v>
      </c>
    </row>
    <row r="35" spans="1:11" x14ac:dyDescent="0.3">
      <c r="E35" s="4">
        <f>SUM(E26:E30)</f>
        <v>1751190.96</v>
      </c>
      <c r="G35" t="s">
        <v>104</v>
      </c>
    </row>
    <row r="37" spans="1:11" x14ac:dyDescent="0.3">
      <c r="A37" s="1" t="s">
        <v>0</v>
      </c>
      <c r="B37" s="1" t="s">
        <v>1</v>
      </c>
      <c r="C37" s="1" t="s">
        <v>2</v>
      </c>
      <c r="D37" s="1" t="s">
        <v>105</v>
      </c>
      <c r="E37" s="1" t="s">
        <v>4</v>
      </c>
      <c r="F37" s="1" t="s">
        <v>5</v>
      </c>
      <c r="G37" s="1" t="s">
        <v>3</v>
      </c>
      <c r="H37" s="1" t="s">
        <v>106</v>
      </c>
      <c r="I37" s="1" t="s">
        <v>7</v>
      </c>
      <c r="J37" s="1" t="s">
        <v>8</v>
      </c>
      <c r="K37" s="1" t="s">
        <v>9</v>
      </c>
    </row>
    <row r="38" spans="1:11" x14ac:dyDescent="0.3">
      <c r="A38" s="2" t="s">
        <v>17</v>
      </c>
      <c r="B38" s="2" t="s">
        <v>108</v>
      </c>
      <c r="C38" s="2" t="s">
        <v>43</v>
      </c>
      <c r="D38" s="2" t="s">
        <v>107</v>
      </c>
      <c r="E38" s="3">
        <v>173750.8</v>
      </c>
      <c r="F38" s="2" t="s">
        <v>11</v>
      </c>
      <c r="G38" s="2" t="s">
        <v>13</v>
      </c>
      <c r="H38" s="2" t="s">
        <v>109</v>
      </c>
      <c r="I38" s="2" t="s">
        <v>12</v>
      </c>
      <c r="J38" s="2" t="s">
        <v>31</v>
      </c>
      <c r="K38" s="2" t="s">
        <v>110</v>
      </c>
    </row>
    <row r="39" spans="1:11" x14ac:dyDescent="0.3">
      <c r="A39" s="2" t="s">
        <v>17</v>
      </c>
      <c r="B39" s="2" t="s">
        <v>108</v>
      </c>
      <c r="C39" s="2" t="s">
        <v>23</v>
      </c>
      <c r="D39" s="2" t="s">
        <v>107</v>
      </c>
      <c r="E39" s="3">
        <v>624736.36</v>
      </c>
      <c r="F39" s="2" t="s">
        <v>11</v>
      </c>
      <c r="G39" s="2" t="s">
        <v>13</v>
      </c>
      <c r="H39" s="2" t="s">
        <v>111</v>
      </c>
      <c r="I39" s="2" t="s">
        <v>12</v>
      </c>
      <c r="J39" s="2" t="s">
        <v>31</v>
      </c>
      <c r="K39" s="2" t="s">
        <v>112</v>
      </c>
    </row>
    <row r="40" spans="1:11" x14ac:dyDescent="0.3">
      <c r="A40" s="2" t="s">
        <v>17</v>
      </c>
      <c r="B40" s="2" t="s">
        <v>108</v>
      </c>
      <c r="C40" s="2" t="s">
        <v>25</v>
      </c>
      <c r="D40" s="2" t="s">
        <v>107</v>
      </c>
      <c r="E40" s="3">
        <v>216788.78</v>
      </c>
      <c r="F40" s="2" t="s">
        <v>11</v>
      </c>
      <c r="G40" s="2" t="s">
        <v>13</v>
      </c>
      <c r="H40" s="2" t="s">
        <v>113</v>
      </c>
      <c r="I40" s="2" t="s">
        <v>12</v>
      </c>
      <c r="J40" s="2" t="s">
        <v>31</v>
      </c>
      <c r="K40" s="2" t="s">
        <v>114</v>
      </c>
    </row>
    <row r="41" spans="1:11" x14ac:dyDescent="0.3">
      <c r="A41" s="2" t="s">
        <v>17</v>
      </c>
      <c r="B41" s="2" t="s">
        <v>108</v>
      </c>
      <c r="C41" s="2" t="s">
        <v>67</v>
      </c>
      <c r="D41" s="2" t="s">
        <v>107</v>
      </c>
      <c r="E41" s="3">
        <v>142472.23000000001</v>
      </c>
      <c r="F41" s="2" t="s">
        <v>11</v>
      </c>
      <c r="G41" s="2" t="s">
        <v>13</v>
      </c>
      <c r="H41" s="2" t="s">
        <v>113</v>
      </c>
      <c r="I41" s="2" t="s">
        <v>12</v>
      </c>
      <c r="J41" s="2" t="s">
        <v>31</v>
      </c>
      <c r="K41" s="2" t="s">
        <v>114</v>
      </c>
    </row>
    <row r="42" spans="1:11" x14ac:dyDescent="0.3">
      <c r="A42" s="2" t="s">
        <v>17</v>
      </c>
      <c r="B42" s="2" t="s">
        <v>108</v>
      </c>
      <c r="C42" s="2" t="s">
        <v>27</v>
      </c>
      <c r="D42" s="2" t="s">
        <v>107</v>
      </c>
      <c r="E42" s="3">
        <v>340540.87</v>
      </c>
      <c r="F42" s="2" t="s">
        <v>11</v>
      </c>
      <c r="G42" s="2" t="s">
        <v>13</v>
      </c>
      <c r="H42" s="2" t="s">
        <v>113</v>
      </c>
      <c r="I42" s="2" t="s">
        <v>12</v>
      </c>
      <c r="J42" s="2" t="s">
        <v>31</v>
      </c>
      <c r="K42" s="2" t="s">
        <v>114</v>
      </c>
    </row>
    <row r="43" spans="1:11" x14ac:dyDescent="0.3">
      <c r="A43" s="2" t="s">
        <v>17</v>
      </c>
      <c r="B43" s="2" t="s">
        <v>115</v>
      </c>
      <c r="C43" s="2" t="s">
        <v>29</v>
      </c>
      <c r="D43" s="2" t="s">
        <v>107</v>
      </c>
      <c r="E43" s="3">
        <v>113080.73</v>
      </c>
      <c r="F43" s="2" t="s">
        <v>11</v>
      </c>
      <c r="G43" s="2" t="s">
        <v>13</v>
      </c>
      <c r="H43" s="2" t="s">
        <v>113</v>
      </c>
      <c r="I43" s="2" t="s">
        <v>12</v>
      </c>
      <c r="J43" s="2" t="s">
        <v>31</v>
      </c>
      <c r="K43" s="2" t="s">
        <v>114</v>
      </c>
    </row>
    <row r="44" spans="1:11" x14ac:dyDescent="0.3">
      <c r="A44" s="2" t="s">
        <v>17</v>
      </c>
      <c r="B44" s="2" t="s">
        <v>116</v>
      </c>
      <c r="C44" s="2" t="s">
        <v>16</v>
      </c>
      <c r="D44" s="2" t="s">
        <v>107</v>
      </c>
      <c r="E44" s="3">
        <v>472859.69</v>
      </c>
      <c r="F44" s="2" t="s">
        <v>11</v>
      </c>
      <c r="G44" s="2" t="s">
        <v>13</v>
      </c>
      <c r="H44" s="2" t="s">
        <v>111</v>
      </c>
      <c r="I44" s="2" t="s">
        <v>12</v>
      </c>
      <c r="J44" s="2" t="s">
        <v>31</v>
      </c>
      <c r="K44" s="2" t="s">
        <v>112</v>
      </c>
    </row>
    <row r="45" spans="1:11" x14ac:dyDescent="0.3">
      <c r="A45" s="2" t="s">
        <v>17</v>
      </c>
      <c r="B45" s="2" t="s">
        <v>117</v>
      </c>
      <c r="C45" s="2" t="s">
        <v>118</v>
      </c>
      <c r="D45" s="2" t="s">
        <v>107</v>
      </c>
      <c r="E45" s="3">
        <v>11218.7</v>
      </c>
      <c r="F45" s="2" t="s">
        <v>11</v>
      </c>
      <c r="G45" s="2" t="s">
        <v>13</v>
      </c>
      <c r="H45" s="2" t="s">
        <v>119</v>
      </c>
      <c r="I45" s="2" t="s">
        <v>12</v>
      </c>
      <c r="J45" s="2" t="s">
        <v>31</v>
      </c>
      <c r="K45" s="2" t="s">
        <v>120</v>
      </c>
    </row>
    <row r="46" spans="1:11" x14ac:dyDescent="0.3">
      <c r="A46" s="2" t="s">
        <v>17</v>
      </c>
      <c r="B46" s="2" t="s">
        <v>121</v>
      </c>
      <c r="C46" s="2" t="s">
        <v>122</v>
      </c>
      <c r="D46" s="2" t="s">
        <v>107</v>
      </c>
      <c r="E46" s="3">
        <v>127756.67</v>
      </c>
      <c r="F46" s="2" t="s">
        <v>11</v>
      </c>
      <c r="G46" s="2" t="s">
        <v>13</v>
      </c>
      <c r="H46" s="2" t="s">
        <v>119</v>
      </c>
      <c r="I46" s="2" t="s">
        <v>12</v>
      </c>
      <c r="J46" s="2" t="s">
        <v>31</v>
      </c>
      <c r="K46" s="2" t="s">
        <v>123</v>
      </c>
    </row>
    <row r="47" spans="1:11" x14ac:dyDescent="0.3">
      <c r="A47" s="2" t="s">
        <v>17</v>
      </c>
      <c r="B47" s="2" t="s">
        <v>124</v>
      </c>
      <c r="C47" s="2" t="s">
        <v>84</v>
      </c>
      <c r="D47" s="2" t="s">
        <v>107</v>
      </c>
      <c r="E47" s="3">
        <v>16105321.800000001</v>
      </c>
      <c r="F47" s="2" t="s">
        <v>11</v>
      </c>
      <c r="G47" s="2" t="s">
        <v>13</v>
      </c>
      <c r="H47" s="2" t="s">
        <v>119</v>
      </c>
      <c r="I47" s="2" t="s">
        <v>12</v>
      </c>
      <c r="J47" s="2" t="s">
        <v>31</v>
      </c>
      <c r="K47" s="2" t="s">
        <v>125</v>
      </c>
    </row>
    <row r="48" spans="1:11" x14ac:dyDescent="0.3">
      <c r="A48" s="2" t="s">
        <v>17</v>
      </c>
      <c r="B48" s="2" t="s">
        <v>126</v>
      </c>
      <c r="C48" s="2" t="s">
        <v>10</v>
      </c>
      <c r="D48" s="2" t="s">
        <v>107</v>
      </c>
      <c r="E48" s="3">
        <v>12271303.48</v>
      </c>
      <c r="F48" s="2" t="s">
        <v>11</v>
      </c>
      <c r="G48" s="2" t="s">
        <v>13</v>
      </c>
      <c r="H48" s="2" t="s">
        <v>119</v>
      </c>
      <c r="I48" s="2" t="s">
        <v>12</v>
      </c>
      <c r="J48" s="2" t="s">
        <v>31</v>
      </c>
      <c r="K48" s="2" t="s">
        <v>127</v>
      </c>
    </row>
    <row r="49" spans="1:11" x14ac:dyDescent="0.3">
      <c r="A49" s="2" t="s">
        <v>17</v>
      </c>
      <c r="B49" s="2" t="s">
        <v>128</v>
      </c>
      <c r="C49" s="2" t="s">
        <v>40</v>
      </c>
      <c r="D49" s="2" t="s">
        <v>107</v>
      </c>
      <c r="E49" s="3">
        <v>4775741.9400000004</v>
      </c>
      <c r="F49" s="2" t="s">
        <v>11</v>
      </c>
      <c r="G49" s="2" t="s">
        <v>13</v>
      </c>
      <c r="H49" s="2" t="s">
        <v>119</v>
      </c>
      <c r="I49" s="2" t="s">
        <v>12</v>
      </c>
      <c r="J49" s="2" t="s">
        <v>31</v>
      </c>
      <c r="K49" s="2" t="s">
        <v>125</v>
      </c>
    </row>
    <row r="50" spans="1:11" x14ac:dyDescent="0.3">
      <c r="A50" s="2" t="s">
        <v>17</v>
      </c>
      <c r="B50" s="2" t="s">
        <v>129</v>
      </c>
      <c r="C50" s="2" t="s">
        <v>72</v>
      </c>
      <c r="D50" s="2" t="s">
        <v>107</v>
      </c>
      <c r="E50" s="3">
        <v>680533.06</v>
      </c>
      <c r="F50" s="2" t="s">
        <v>11</v>
      </c>
      <c r="G50" s="2" t="s">
        <v>13</v>
      </c>
      <c r="H50" s="2" t="s">
        <v>119</v>
      </c>
      <c r="I50" s="2" t="s">
        <v>12</v>
      </c>
      <c r="J50" s="2" t="s">
        <v>31</v>
      </c>
      <c r="K50" s="2" t="s">
        <v>130</v>
      </c>
    </row>
    <row r="51" spans="1:11" x14ac:dyDescent="0.3">
      <c r="A51" s="2" t="s">
        <v>17</v>
      </c>
      <c r="B51" s="2" t="s">
        <v>131</v>
      </c>
      <c r="C51" s="2" t="s">
        <v>52</v>
      </c>
      <c r="D51" s="2" t="s">
        <v>107</v>
      </c>
      <c r="E51" s="3">
        <v>834594.82</v>
      </c>
      <c r="F51" s="2" t="s">
        <v>11</v>
      </c>
      <c r="G51" s="2" t="s">
        <v>13</v>
      </c>
      <c r="H51" s="2" t="s">
        <v>119</v>
      </c>
      <c r="I51" s="2" t="s">
        <v>12</v>
      </c>
      <c r="J51" s="2" t="s">
        <v>31</v>
      </c>
      <c r="K51" s="2" t="s">
        <v>130</v>
      </c>
    </row>
    <row r="52" spans="1:11" x14ac:dyDescent="0.3">
      <c r="E52" s="4">
        <f>SUM(E38:E51)</f>
        <v>36890699.930000007</v>
      </c>
    </row>
    <row r="54" spans="1:11" x14ac:dyDescent="0.3">
      <c r="E54" s="4"/>
    </row>
  </sheetData>
  <autoFilter ref="A1:J1" xr:uid="{4B98A356-E78F-4DA6-9809-4AEA674346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2026-02-22T16:57:51Z</dcterms:modified>
</cp:coreProperties>
</file>
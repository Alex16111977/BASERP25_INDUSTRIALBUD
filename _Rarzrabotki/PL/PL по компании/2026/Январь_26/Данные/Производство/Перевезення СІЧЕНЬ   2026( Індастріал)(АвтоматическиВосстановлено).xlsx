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l.shyshkina\Desktop\Логістика\"/>
    </mc:Choice>
  </mc:AlternateContent>
  <xr:revisionPtr revIDLastSave="0" documentId="13_ncr:1_{A0B5CA78-7518-401E-B675-26643E3C3E4A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Обєкти" sheetId="10" r:id="rId1"/>
    <sheet name="01.2026 МАНИ" sheetId="1" r:id="rId2"/>
    <sheet name="Автосвіт" sheetId="2" r:id="rId3"/>
    <sheet name="Нікса" sheetId="6" r:id="rId4"/>
    <sheet name="Приватний Двір" sheetId="5" r:id="rId5"/>
    <sheet name="Ендор Логістик " sheetId="3" r:id="rId6"/>
    <sheet name="Корусанд" sheetId="9" r:id="rId7"/>
    <sheet name="АЙРІС ВОРДВАЙЛ" sheetId="8" r:id="rId8"/>
    <sheet name="ФЛУКОРДІ" sheetId="4" r:id="rId9"/>
    <sheet name="ПРЕМІУМ ТРАНС" sheetId="11" r:id="rId10"/>
    <sheet name="Компанія Агротранс" sheetId="14" r:id="rId11"/>
    <sheet name="Автоленд" sheetId="15" r:id="rId12"/>
    <sheet name="Лист2" sheetId="13" r:id="rId13"/>
  </sheets>
  <definedNames>
    <definedName name="_xlnm._FilterDatabase" localSheetId="0" hidden="1">Обєкти!$A$2:$T$51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7" i="2" l="1"/>
  <c r="F37" i="2"/>
  <c r="E12" i="3" l="1"/>
  <c r="F12" i="3" l="1"/>
  <c r="F14" i="5"/>
  <c r="E14" i="5"/>
  <c r="E65" i="10"/>
  <c r="E15" i="1"/>
  <c r="K61" i="10" l="1"/>
  <c r="L61" i="10"/>
  <c r="M61" i="10"/>
  <c r="N61" i="10"/>
  <c r="O61" i="10"/>
  <c r="P61" i="10"/>
  <c r="Q61" i="10"/>
  <c r="R61" i="10"/>
  <c r="S61" i="10"/>
  <c r="T61" i="10"/>
  <c r="J61" i="10"/>
  <c r="U61" i="10" l="1"/>
  <c r="F65" i="10"/>
  <c r="M63" i="10" l="1"/>
  <c r="F8" i="15" l="1"/>
  <c r="E8" i="15"/>
  <c r="L63" i="10"/>
  <c r="K63" i="10"/>
  <c r="I14" i="5" l="1"/>
  <c r="F11" i="14" l="1"/>
  <c r="E11" i="14"/>
  <c r="F11" i="11" l="1"/>
  <c r="E11" i="11"/>
  <c r="E7" i="4" l="1"/>
  <c r="I62" i="10" l="1"/>
  <c r="U62" i="10"/>
  <c r="Q63" i="10" l="1"/>
  <c r="F66" i="10" l="1"/>
  <c r="N63" i="10" l="1"/>
  <c r="O63" i="10"/>
  <c r="R63" i="10"/>
  <c r="S63" i="10"/>
  <c r="T63" i="10"/>
  <c r="J63" i="10" l="1"/>
  <c r="P63" i="10" l="1"/>
  <c r="U63" i="10" s="1"/>
  <c r="F67" i="10" l="1"/>
  <c r="E8" i="9" l="1"/>
  <c r="E11" i="6"/>
  <c r="E16" i="1" s="1"/>
  <c r="F12" i="8" l="1"/>
  <c r="E12" i="8"/>
  <c r="F11" i="6"/>
  <c r="F8" i="9" l="1"/>
  <c r="F7" i="4" l="1"/>
  <c r="E18" i="1" s="1"/>
  <c r="E21" i="1" s="1"/>
</calcChain>
</file>

<file path=xl/sharedStrings.xml><?xml version="1.0" encoding="utf-8"?>
<sst xmlns="http://schemas.openxmlformats.org/spreadsheetml/2006/main" count="523" uniqueCount="146">
  <si>
    <t>АКТ</t>
  </si>
  <si>
    <t>ДАТА</t>
  </si>
  <si>
    <t>акт</t>
  </si>
  <si>
    <t>РАХ</t>
  </si>
  <si>
    <t>МАНИ</t>
  </si>
  <si>
    <t xml:space="preserve"> Експедиція</t>
  </si>
  <si>
    <t>Індаст</t>
  </si>
  <si>
    <t>дата</t>
  </si>
  <si>
    <t>ВООЗ</t>
  </si>
  <si>
    <t>Глобине</t>
  </si>
  <si>
    <t>ООН</t>
  </si>
  <si>
    <t xml:space="preserve">Стіл </t>
  </si>
  <si>
    <t>ТТН</t>
  </si>
  <si>
    <t>Об'єднання</t>
  </si>
  <si>
    <t>КУХНЯ КЕРНЕЛ</t>
  </si>
  <si>
    <t xml:space="preserve">ОПЛАТА </t>
  </si>
  <si>
    <t>оплачено</t>
  </si>
  <si>
    <t>ттн</t>
  </si>
  <si>
    <t>рах</t>
  </si>
  <si>
    <t xml:space="preserve">Акт </t>
  </si>
  <si>
    <t>ДАТА ОТР</t>
  </si>
  <si>
    <t>ОТР</t>
  </si>
  <si>
    <t>Біла Церква</t>
  </si>
  <si>
    <t>ТИЩЕНКИ</t>
  </si>
  <si>
    <t xml:space="preserve">ТОВ "АВТОСВІФТ" </t>
  </si>
  <si>
    <t>проведено</t>
  </si>
  <si>
    <t xml:space="preserve">проведено </t>
  </si>
  <si>
    <t>непров</t>
  </si>
  <si>
    <t>пров</t>
  </si>
  <si>
    <t>путрівка</t>
  </si>
  <si>
    <t>Спецтехніка</t>
  </si>
  <si>
    <t>рахунок</t>
  </si>
  <si>
    <t>Будматеріали ВООЗ</t>
  </si>
  <si>
    <t>06.01 - 06.01</t>
  </si>
  <si>
    <t>Тищенки - Яреськи</t>
  </si>
  <si>
    <t>балони</t>
  </si>
  <si>
    <t>07.01 - 07.01</t>
  </si>
  <si>
    <t>реклама ВООЗ</t>
  </si>
  <si>
    <t>ТОВ "Ендор Логістик"</t>
  </si>
  <si>
    <t>Біла Церква - Київ</t>
  </si>
  <si>
    <t>МК Бориспільська</t>
  </si>
  <si>
    <t>08.01 - 08.01</t>
  </si>
  <si>
    <t>Фурси - Біла Церква</t>
  </si>
  <si>
    <t>матраци ООН</t>
  </si>
  <si>
    <t>ТОВ "Приватний Двір"</t>
  </si>
  <si>
    <t>Тищенки - Бровари</t>
  </si>
  <si>
    <t>опалубка</t>
  </si>
  <si>
    <t>08.01 - 09.01</t>
  </si>
  <si>
    <t>ТОВ "Нікса ЛТД"</t>
  </si>
  <si>
    <t>Глобине - Буча</t>
  </si>
  <si>
    <t>обладнання</t>
  </si>
  <si>
    <t>12.01 - 13.01</t>
  </si>
  <si>
    <t>Будматеріали  КПП Червоний хрест</t>
  </si>
  <si>
    <t>13.01 - 13.01</t>
  </si>
  <si>
    <t>Профлист КПП Червоний хрест</t>
  </si>
  <si>
    <t>Бровари - Тищенки</t>
  </si>
  <si>
    <t>13.01 - 14.01</t>
  </si>
  <si>
    <t>Ніжин - Глобине</t>
  </si>
  <si>
    <t>інструменталка</t>
  </si>
  <si>
    <t>14.01 - 15.01</t>
  </si>
  <si>
    <t>Новоолександрівка - Запоріжжя</t>
  </si>
  <si>
    <t>меблі ВООЗ</t>
  </si>
  <si>
    <t>14.01 - 14.01</t>
  </si>
  <si>
    <t>Стройдорс будматеріали ООН</t>
  </si>
  <si>
    <t>Червоний Хрест</t>
  </si>
  <si>
    <t>09.01 - 09.01</t>
  </si>
  <si>
    <t>Біла Церква - Запоріжжя (+ Наталівка та Лежине)</t>
  </si>
  <si>
    <t xml:space="preserve">комплектація ООН </t>
  </si>
  <si>
    <t>09.01 - 10.01</t>
  </si>
  <si>
    <t>комплектація ВООЗ</t>
  </si>
  <si>
    <t>09.01 - 11.01</t>
  </si>
  <si>
    <t>15.01 - 16.01</t>
  </si>
  <si>
    <t>Будматеріали ООН</t>
  </si>
  <si>
    <t>15.01 - 15.01</t>
  </si>
  <si>
    <t xml:space="preserve">кільця ООН  </t>
  </si>
  <si>
    <t>ТОВ "КОРУСАНД"</t>
  </si>
  <si>
    <t>Біла Церква - Миргород</t>
  </si>
  <si>
    <t>інвентар ООН</t>
  </si>
  <si>
    <t>16.01 - 17.01</t>
  </si>
  <si>
    <t xml:space="preserve">Біла Церква </t>
  </si>
  <si>
    <t>16.01 - 16.01</t>
  </si>
  <si>
    <t>Біла Церква ЦЕХ</t>
  </si>
  <si>
    <t>кутики</t>
  </si>
  <si>
    <t>Глобине МАН 5 Голуб</t>
  </si>
  <si>
    <t>Біла Церква - Глобине</t>
  </si>
  <si>
    <t>МК</t>
  </si>
  <si>
    <t>кран балка / інструмент на ремонт1200+ 1000</t>
  </si>
  <si>
    <t>МК Бориспільська повернення металу</t>
  </si>
  <si>
    <t>19.01 - 19.01</t>
  </si>
  <si>
    <t>Київ - Біла Церква</t>
  </si>
  <si>
    <t>двері ООН</t>
  </si>
  <si>
    <t>ліжка ООН</t>
  </si>
  <si>
    <t>ООН МАН 4 Коваленко</t>
  </si>
  <si>
    <t>17.01 - 20.01</t>
  </si>
  <si>
    <t>модуль</t>
  </si>
  <si>
    <t>ТДВ "ОДЕБП" МАН 5 Голуб</t>
  </si>
  <si>
    <t>Власівка - Біла Церква</t>
  </si>
  <si>
    <t>19.01 - 20.01</t>
  </si>
  <si>
    <t>ЗБК</t>
  </si>
  <si>
    <t>будматеріали ВООЗ</t>
  </si>
  <si>
    <t>20.01 - 20.01</t>
  </si>
  <si>
    <t>20.01 - 21.01</t>
  </si>
  <si>
    <t>21.01 - 21.01</t>
  </si>
  <si>
    <t>ООН МАН 5 Голуб</t>
  </si>
  <si>
    <t>21.01 - 22.01</t>
  </si>
  <si>
    <t>ТДВ "ОДЕБП" МАН 4 Коваленко</t>
  </si>
  <si>
    <t>Власівка - Бородянка</t>
  </si>
  <si>
    <t>ТОВ "Автоленд-Кремінь"</t>
  </si>
  <si>
    <t>Глобине - Піщане</t>
  </si>
  <si>
    <t>перебазування автокрана Клинці</t>
  </si>
  <si>
    <t>22.01 - 22.01</t>
  </si>
  <si>
    <t>22.01 - 23.01</t>
  </si>
  <si>
    <t>Боярка - Біла Церква</t>
  </si>
  <si>
    <t>23.01 - 23.01</t>
  </si>
  <si>
    <t>будматеріали ВООЗ Будмаг</t>
  </si>
  <si>
    <t>металеві меблі ВООЗ / Укрнафта2200 +2200</t>
  </si>
  <si>
    <t>Черкаси - Єрки</t>
  </si>
  <si>
    <t>кутик металевий</t>
  </si>
  <si>
    <t>26.01 26.01</t>
  </si>
  <si>
    <t>будматеріали ВООЗ/Укрнафта Будмаг/Масюк500+500</t>
  </si>
  <si>
    <t>мхп Катер</t>
  </si>
  <si>
    <t>Колонщина - Біла Церква</t>
  </si>
  <si>
    <r>
      <t xml:space="preserve">сендвіч панелі ЧХ </t>
    </r>
    <r>
      <rPr>
        <sz val="9"/>
        <color rgb="FF000000"/>
        <rFont val="ArialMT"/>
      </rPr>
      <t>Легіон Інжиніринг</t>
    </r>
  </si>
  <si>
    <t>27.01 - 27.01</t>
  </si>
  <si>
    <t>Повернення кран балки ЦЕХ (ФОП Котєнков)</t>
  </si>
  <si>
    <t>28.01 - 29.01</t>
  </si>
  <si>
    <t>Бровари - Біла Церква</t>
  </si>
  <si>
    <t>28.01 - 28.01</t>
  </si>
  <si>
    <t>опалубка на чистку</t>
  </si>
  <si>
    <t>+</t>
  </si>
  <si>
    <t>Біла Церква - Запоріжжя</t>
  </si>
  <si>
    <t>Інвентар ВООЗ</t>
  </si>
  <si>
    <t>27.01 - 28.01</t>
  </si>
  <si>
    <t>Тищенки - Чорноморськ</t>
  </si>
  <si>
    <t>перебазування екскаватора 3СХ 2008</t>
  </si>
  <si>
    <t>29.01 - 30.01</t>
  </si>
  <si>
    <t>Єрки - Чорноморськ</t>
  </si>
  <si>
    <t>перебазування битовок</t>
  </si>
  <si>
    <t>29.01 - 29.01</t>
  </si>
  <si>
    <t>будматеріали Будмаг ЧХ</t>
  </si>
  <si>
    <t>Профлист на гнуття ( Перша покрівельна) ЧХ</t>
  </si>
  <si>
    <t>Чорноморськ</t>
  </si>
  <si>
    <t>Профлист з гнуття ( Перша покрівельна) ЧХ</t>
  </si>
  <si>
    <t>30.01 - 30.01</t>
  </si>
  <si>
    <t xml:space="preserve">будматеріали Синявська ЧХ </t>
  </si>
  <si>
    <t>будматеріали Синявська ООН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</si>
</sst>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b/>
      <sz val="8"/>
      <color theme="1"/>
      <name val="Calibri"/>
      <family val="2"/>
      <charset val="204"/>
      <scheme val="minor"/>
    </font>
    <font>
      <b/>
      <sz val="8"/>
      <color rgb="FFFF0000"/>
      <name val="Calibri"/>
      <family val="2"/>
      <charset val="204"/>
      <scheme val="minor"/>
    </font>
    <font>
      <sz val="11"/>
      <color rgb="FF1F1F1F"/>
      <name val="Calibri"/>
      <family val="2"/>
      <charset val="204"/>
    </font>
    <font>
      <sz val="12"/>
      <color rgb="FF000000"/>
      <name val="Calibri"/>
      <family val="2"/>
      <charset val="204"/>
    </font>
    <font>
      <sz val="9"/>
      <color rgb="FF000000"/>
      <name val="ArialMT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right" vertical="center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wrapText="1"/>
    </xf>
    <xf numFmtId="0" fontId="1" fillId="2" borderId="2" xfId="0" applyFont="1" applyFill="1" applyBorder="1" applyAlignment="1">
      <alignment vertical="center"/>
    </xf>
    <xf numFmtId="14" fontId="0" fillId="0" borderId="6" xfId="0" applyNumberFormat="1" applyBorder="1"/>
    <xf numFmtId="0" fontId="0" fillId="0" borderId="6" xfId="0" applyBorder="1"/>
    <xf numFmtId="0" fontId="1" fillId="4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>
      <alignment horizontal="right" vertical="center"/>
    </xf>
    <xf numFmtId="0" fontId="1" fillId="4" borderId="3" xfId="0" applyFont="1" applyFill="1" applyBorder="1" applyAlignment="1">
      <alignment horizontal="right" vertical="center"/>
    </xf>
    <xf numFmtId="0" fontId="0" fillId="4" borderId="0" xfId="0" applyFill="1"/>
    <xf numFmtId="0" fontId="1" fillId="2" borderId="7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3" fontId="1" fillId="2" borderId="4" xfId="0" applyNumberFormat="1" applyFont="1" applyFill="1" applyBorder="1" applyAlignment="1">
      <alignment horizontal="right" vertical="center"/>
    </xf>
    <xf numFmtId="0" fontId="1" fillId="4" borderId="3" xfId="0" applyFont="1" applyFill="1" applyBorder="1" applyAlignment="1">
      <alignment horizontal="center" vertical="center" wrapText="1"/>
    </xf>
    <xf numFmtId="3" fontId="1" fillId="4" borderId="4" xfId="0" applyNumberFormat="1" applyFont="1" applyFill="1" applyBorder="1" applyAlignment="1">
      <alignment horizontal="right" vertical="center"/>
    </xf>
    <xf numFmtId="0" fontId="0" fillId="3" borderId="0" xfId="0" applyFill="1"/>
    <xf numFmtId="0" fontId="0" fillId="5" borderId="0" xfId="0" applyFill="1"/>
    <xf numFmtId="16" fontId="0" fillId="0" borderId="0" xfId="0" applyNumberFormat="1"/>
    <xf numFmtId="0" fontId="1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right" vertical="center"/>
    </xf>
    <xf numFmtId="0" fontId="1" fillId="4" borderId="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/>
    </xf>
    <xf numFmtId="0" fontId="0" fillId="0" borderId="0" xfId="0" applyBorder="1"/>
    <xf numFmtId="0" fontId="1" fillId="4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center" vertical="center"/>
    </xf>
    <xf numFmtId="3" fontId="1" fillId="2" borderId="6" xfId="0" applyNumberFormat="1" applyFont="1" applyFill="1" applyBorder="1" applyAlignment="1">
      <alignment horizontal="right" vertical="center"/>
    </xf>
    <xf numFmtId="0" fontId="0" fillId="0" borderId="10" xfId="0" applyBorder="1"/>
    <xf numFmtId="0" fontId="0" fillId="6" borderId="9" xfId="0" applyFill="1" applyBorder="1" applyAlignment="1">
      <alignment wrapText="1"/>
    </xf>
    <xf numFmtId="14" fontId="0" fillId="6" borderId="6" xfId="0" applyNumberFormat="1" applyFill="1" applyBorder="1"/>
    <xf numFmtId="0" fontId="1" fillId="6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right" vertical="center"/>
    </xf>
    <xf numFmtId="3" fontId="1" fillId="6" borderId="6" xfId="0" applyNumberFormat="1" applyFont="1" applyFill="1" applyBorder="1" applyAlignment="1">
      <alignment horizontal="right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right" vertical="center"/>
    </xf>
    <xf numFmtId="0" fontId="0" fillId="6" borderId="6" xfId="0" applyFill="1" applyBorder="1"/>
    <xf numFmtId="0" fontId="2" fillId="2" borderId="0" xfId="0" applyFont="1" applyFill="1" applyBorder="1" applyAlignment="1">
      <alignment vertical="center"/>
    </xf>
    <xf numFmtId="3" fontId="1" fillId="4" borderId="0" xfId="0" applyNumberFormat="1" applyFont="1" applyFill="1" applyBorder="1" applyAlignment="1">
      <alignment horizontal="right" vertical="center"/>
    </xf>
    <xf numFmtId="0" fontId="0" fillId="4" borderId="6" xfId="0" applyFill="1" applyBorder="1"/>
    <xf numFmtId="49" fontId="0" fillId="0" borderId="6" xfId="0" applyNumberFormat="1" applyBorder="1"/>
    <xf numFmtId="3" fontId="0" fillId="3" borderId="0" xfId="0" applyNumberFormat="1" applyFill="1"/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vertical="center"/>
    </xf>
    <xf numFmtId="0" fontId="0" fillId="8" borderId="12" xfId="0" applyFill="1" applyBorder="1"/>
    <xf numFmtId="0" fontId="0" fillId="8" borderId="0" xfId="0" applyFill="1"/>
    <xf numFmtId="0" fontId="0" fillId="0" borderId="10" xfId="0" applyBorder="1" applyAlignment="1">
      <alignment wrapText="1"/>
    </xf>
    <xf numFmtId="0" fontId="0" fillId="5" borderId="10" xfId="0" applyFill="1" applyBorder="1"/>
    <xf numFmtId="0" fontId="1" fillId="4" borderId="0" xfId="0" applyFont="1" applyFill="1" applyBorder="1" applyAlignment="1">
      <alignment vertical="center"/>
    </xf>
    <xf numFmtId="0" fontId="0" fillId="9" borderId="0" xfId="0" applyFill="1" applyBorder="1"/>
    <xf numFmtId="16" fontId="0" fillId="0" borderId="6" xfId="0" applyNumberFormat="1" applyBorder="1"/>
    <xf numFmtId="0" fontId="0" fillId="5" borderId="6" xfId="0" applyFill="1" applyBorder="1"/>
    <xf numFmtId="0" fontId="0" fillId="8" borderId="6" xfId="0" applyFill="1" applyBorder="1"/>
    <xf numFmtId="0" fontId="1" fillId="7" borderId="3" xfId="0" applyFont="1" applyFill="1" applyBorder="1" applyAlignment="1">
      <alignment horizontal="center" vertical="center"/>
    </xf>
    <xf numFmtId="0" fontId="5" fillId="10" borderId="0" xfId="0" applyFont="1" applyFill="1"/>
    <xf numFmtId="0" fontId="0" fillId="11" borderId="0" xfId="0" applyFill="1"/>
    <xf numFmtId="49" fontId="0" fillId="0" borderId="0" xfId="0" applyNumberFormat="1"/>
    <xf numFmtId="0" fontId="0" fillId="10" borderId="6" xfId="0" applyFill="1" applyBorder="1"/>
    <xf numFmtId="0" fontId="0" fillId="10" borderId="0" xfId="0" applyFill="1"/>
    <xf numFmtId="0" fontId="1" fillId="4" borderId="6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wrapText="1"/>
    </xf>
    <xf numFmtId="0" fontId="3" fillId="4" borderId="6" xfId="0" applyFont="1" applyFill="1" applyBorder="1"/>
    <xf numFmtId="0" fontId="3" fillId="4" borderId="0" xfId="0" applyFont="1" applyFill="1"/>
    <xf numFmtId="14" fontId="0" fillId="0" borderId="0" xfId="0" applyNumberFormat="1"/>
    <xf numFmtId="0" fontId="7" fillId="0" borderId="10" xfId="0" applyFont="1" applyBorder="1" applyAlignment="1">
      <alignment wrapText="1"/>
    </xf>
    <xf numFmtId="0" fontId="8" fillId="4" borderId="10" xfId="0" applyFont="1" applyFill="1" applyBorder="1" applyAlignment="1">
      <alignment wrapText="1"/>
    </xf>
    <xf numFmtId="0" fontId="7" fillId="5" borderId="10" xfId="0" applyFont="1" applyFill="1" applyBorder="1"/>
    <xf numFmtId="0" fontId="7" fillId="8" borderId="12" xfId="0" applyFont="1" applyFill="1" applyBorder="1"/>
    <xf numFmtId="0" fontId="1" fillId="10" borderId="3" xfId="0" applyFont="1" applyFill="1" applyBorder="1" applyAlignment="1">
      <alignment horizontal="right" vertical="center"/>
    </xf>
    <xf numFmtId="3" fontId="1" fillId="3" borderId="2" xfId="0" applyNumberFormat="1" applyFont="1" applyFill="1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/>
    </xf>
    <xf numFmtId="0" fontId="1" fillId="7" borderId="2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/>
    </xf>
    <xf numFmtId="3" fontId="1" fillId="4" borderId="2" xfId="0" applyNumberFormat="1" applyFont="1" applyFill="1" applyBorder="1" applyAlignment="1">
      <alignment horizontal="right" vertical="center"/>
    </xf>
    <xf numFmtId="3" fontId="1" fillId="4" borderId="3" xfId="0" applyNumberFormat="1" applyFont="1" applyFill="1" applyBorder="1" applyAlignment="1">
      <alignment horizontal="right" vertical="center"/>
    </xf>
    <xf numFmtId="0" fontId="9" fillId="0" borderId="5" xfId="0" applyFont="1" applyBorder="1" applyAlignment="1">
      <alignment horizontal="center" vertical="center" wrapText="1"/>
    </xf>
    <xf numFmtId="3" fontId="1" fillId="3" borderId="3" xfId="0" applyNumberFormat="1" applyFont="1" applyFill="1" applyBorder="1" applyAlignment="1">
      <alignment horizontal="right" vertical="center"/>
    </xf>
    <xf numFmtId="0" fontId="1" fillId="2" borderId="11" xfId="0" applyFont="1" applyFill="1" applyBorder="1" applyAlignment="1">
      <alignment horizontal="right" vertical="center"/>
    </xf>
    <xf numFmtId="0" fontId="1" fillId="2" borderId="10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0" fillId="0" borderId="13" xfId="0" applyBorder="1"/>
    <xf numFmtId="0" fontId="0" fillId="4" borderId="10" xfId="0" applyFill="1" applyBorder="1"/>
    <xf numFmtId="0" fontId="3" fillId="4" borderId="10" xfId="0" applyFont="1" applyFill="1" applyBorder="1"/>
    <xf numFmtId="0" fontId="0" fillId="8" borderId="10" xfId="0" applyFill="1" applyBorder="1"/>
    <xf numFmtId="0" fontId="6" fillId="0" borderId="7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" fillId="2" borderId="8" xfId="0" applyFont="1" applyFill="1" applyBorder="1" applyAlignment="1">
      <alignment horizontal="right" vertical="center"/>
    </xf>
    <xf numFmtId="0" fontId="0" fillId="0" borderId="9" xfId="0" applyBorder="1"/>
    <xf numFmtId="0" fontId="0" fillId="4" borderId="9" xfId="0" applyFill="1" applyBorder="1"/>
    <xf numFmtId="0" fontId="0" fillId="4" borderId="14" xfId="0" applyFill="1" applyBorder="1"/>
    <xf numFmtId="0" fontId="1" fillId="5" borderId="6" xfId="0" applyFont="1" applyFill="1" applyBorder="1" applyAlignment="1">
      <alignment vertical="center"/>
    </xf>
    <xf numFmtId="0" fontId="0" fillId="6" borderId="6" xfId="0" applyFill="1" applyBorder="1" applyAlignment="1">
      <alignment wrapText="1"/>
    </xf>
    <xf numFmtId="0" fontId="0" fillId="12" borderId="6" xfId="0" applyFill="1" applyBorder="1"/>
    <xf numFmtId="49" fontId="0" fillId="0" borderId="9" xfId="0" applyNumberFormat="1" applyBorder="1"/>
    <xf numFmtId="0" fontId="1" fillId="3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center" vertical="center" wrapText="1"/>
    </xf>
    <xf numFmtId="0" fontId="1" fillId="7" borderId="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5" borderId="2" xfId="0" applyFont="1" applyFill="1" applyBorder="1" applyAlignment="1">
      <alignment horizontal="right" vertical="center"/>
    </xf>
    <xf numFmtId="0" fontId="1" fillId="5" borderId="3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 wrapText="1"/>
    </xf>
    <xf numFmtId="0" fontId="0" fillId="4" borderId="0" xfId="0" applyFill="1" applyBorder="1"/>
    <xf numFmtId="0" fontId="1" fillId="3" borderId="7" xfId="0" applyFont="1" applyFill="1" applyBorder="1" applyAlignment="1">
      <alignment horizontal="right" vertical="center"/>
    </xf>
    <xf numFmtId="0" fontId="1" fillId="3" borderId="5" xfId="0" applyFont="1" applyFill="1" applyBorder="1" applyAlignment="1">
      <alignment horizontal="right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3787A-38EB-4EC4-9761-627ECCB07D42}">
  <dimension ref="A1:U67"/>
  <sheetViews>
    <sheetView tabSelected="1" topLeftCell="B49" workbookViewId="0">
      <selection activeCell="S63" sqref="S63"/>
    </sheetView>
  </sheetViews>
  <sheetFormatPr defaultRowHeight="14.4"/>
  <cols>
    <col min="1" max="1" width="22.44140625" customWidth="1"/>
    <col min="2" max="2" width="21.44140625" customWidth="1"/>
    <col min="3" max="3" width="33.6640625" style="7" customWidth="1"/>
    <col min="4" max="4" width="11.44140625" customWidth="1"/>
    <col min="5" max="6" width="8.6640625" customWidth="1"/>
    <col min="7" max="7" width="5.5546875" customWidth="1"/>
    <col min="8" max="8" width="4.6640625" customWidth="1"/>
    <col min="9" max="9" width="7.88671875" customWidth="1"/>
    <col min="10" max="10" width="7.33203125" customWidth="1"/>
    <col min="11" max="11" width="10" customWidth="1"/>
    <col min="12" max="12" width="7.21875" customWidth="1"/>
    <col min="13" max="13" width="8.44140625" customWidth="1"/>
    <col min="14" max="14" width="7.109375" customWidth="1"/>
    <col min="15" max="15" width="6.88671875" style="83" customWidth="1"/>
    <col min="16" max="16" width="8.6640625" customWidth="1"/>
    <col min="17" max="17" width="7.77734375" customWidth="1"/>
    <col min="18" max="18" width="8" customWidth="1"/>
    <col min="19" max="19" width="6.88671875" customWidth="1"/>
    <col min="20" max="20" width="7.109375" style="64" customWidth="1"/>
  </cols>
  <sheetData>
    <row r="1" spans="1:20" ht="29.4" customHeight="1" thickBot="1">
      <c r="H1" t="s">
        <v>12</v>
      </c>
      <c r="J1" s="65" t="s">
        <v>8</v>
      </c>
      <c r="K1" s="65" t="s">
        <v>64</v>
      </c>
      <c r="L1" s="65" t="s">
        <v>10</v>
      </c>
      <c r="M1" s="65" t="s">
        <v>9</v>
      </c>
      <c r="N1" s="85" t="s">
        <v>14</v>
      </c>
      <c r="O1" s="81" t="s">
        <v>29</v>
      </c>
      <c r="P1" s="65" t="s">
        <v>30</v>
      </c>
      <c r="Q1" s="65" t="s">
        <v>120</v>
      </c>
      <c r="R1" s="65" t="s">
        <v>23</v>
      </c>
      <c r="S1" s="66" t="s">
        <v>11</v>
      </c>
      <c r="T1" s="63" t="s">
        <v>13</v>
      </c>
    </row>
    <row r="2" spans="1:20" ht="15" thickBot="1">
      <c r="A2" s="1" t="s">
        <v>24</v>
      </c>
      <c r="B2" s="2" t="s">
        <v>22</v>
      </c>
      <c r="C2" s="122" t="s">
        <v>32</v>
      </c>
      <c r="D2" s="95" t="s">
        <v>33</v>
      </c>
      <c r="E2" s="123">
        <v>3600</v>
      </c>
      <c r="F2" s="29">
        <v>4000</v>
      </c>
      <c r="G2" s="31"/>
      <c r="H2" s="10"/>
      <c r="I2" s="114"/>
      <c r="J2" s="10">
        <v>4000</v>
      </c>
      <c r="K2" s="10"/>
      <c r="L2" s="10"/>
      <c r="M2" s="10"/>
      <c r="N2" s="10"/>
      <c r="O2" s="82"/>
      <c r="P2" s="10"/>
      <c r="Q2" s="10"/>
      <c r="R2" s="10"/>
      <c r="S2" s="70"/>
      <c r="T2" s="71"/>
    </row>
    <row r="3" spans="1:20" ht="15" thickBot="1">
      <c r="A3" s="1" t="s">
        <v>24</v>
      </c>
      <c r="B3" s="2" t="s">
        <v>34</v>
      </c>
      <c r="C3" s="121" t="s">
        <v>35</v>
      </c>
      <c r="D3" s="95" t="s">
        <v>36</v>
      </c>
      <c r="E3" s="61">
        <v>2300</v>
      </c>
      <c r="F3" s="29">
        <v>2300</v>
      </c>
      <c r="G3" s="31"/>
      <c r="H3" s="10"/>
      <c r="I3" s="114"/>
      <c r="J3" s="10"/>
      <c r="K3" s="10"/>
      <c r="L3" s="10"/>
      <c r="M3" s="10"/>
      <c r="N3" s="10"/>
      <c r="O3" s="82"/>
      <c r="P3" s="10"/>
      <c r="Q3" s="10"/>
      <c r="R3" s="10">
        <v>2300</v>
      </c>
      <c r="S3" s="70"/>
      <c r="T3" s="71"/>
    </row>
    <row r="4" spans="1:20" ht="30" customHeight="1" thickBot="1">
      <c r="A4" s="62" t="s">
        <v>24</v>
      </c>
      <c r="B4" s="5" t="s">
        <v>22</v>
      </c>
      <c r="C4" s="80" t="s">
        <v>32</v>
      </c>
      <c r="D4" s="72" t="s">
        <v>36</v>
      </c>
      <c r="E4" s="59">
        <v>5400</v>
      </c>
      <c r="F4" s="30">
        <v>6000</v>
      </c>
      <c r="G4" s="117"/>
      <c r="H4" s="10"/>
      <c r="I4" s="114"/>
      <c r="J4" s="10">
        <v>6000</v>
      </c>
      <c r="K4" s="10"/>
      <c r="L4" s="10"/>
      <c r="M4" s="10"/>
      <c r="N4" s="10"/>
      <c r="O4" s="82"/>
      <c r="P4" s="10"/>
      <c r="Q4" s="10"/>
      <c r="R4" s="10"/>
      <c r="S4" s="70"/>
      <c r="T4" s="71"/>
    </row>
    <row r="5" spans="1:20" ht="15" thickBot="1">
      <c r="A5" s="62" t="s">
        <v>24</v>
      </c>
      <c r="B5" s="5" t="s">
        <v>22</v>
      </c>
      <c r="C5" s="80" t="s">
        <v>37</v>
      </c>
      <c r="D5" s="72" t="s">
        <v>36</v>
      </c>
      <c r="E5" s="59">
        <v>900</v>
      </c>
      <c r="F5" s="30">
        <v>1000</v>
      </c>
      <c r="G5" s="31"/>
      <c r="H5" s="10"/>
      <c r="I5" s="114"/>
      <c r="J5" s="10">
        <v>1000</v>
      </c>
      <c r="K5" s="10"/>
      <c r="L5" s="10"/>
      <c r="M5" s="10"/>
      <c r="N5" s="10"/>
      <c r="O5" s="82"/>
      <c r="P5" s="10"/>
      <c r="Q5" s="10"/>
      <c r="R5" s="10"/>
      <c r="S5" s="70"/>
      <c r="T5" s="71"/>
    </row>
    <row r="6" spans="1:20" s="17" customFormat="1" ht="15" thickBot="1">
      <c r="A6" s="1" t="s">
        <v>38</v>
      </c>
      <c r="B6" s="2" t="s">
        <v>39</v>
      </c>
      <c r="C6" s="121" t="s">
        <v>40</v>
      </c>
      <c r="D6" s="95" t="s">
        <v>41</v>
      </c>
      <c r="E6" s="61">
        <v>2700</v>
      </c>
      <c r="F6" s="29">
        <v>3000</v>
      </c>
      <c r="G6" s="78"/>
      <c r="H6" s="55"/>
      <c r="I6" s="115"/>
      <c r="J6" s="55"/>
      <c r="K6" s="55"/>
      <c r="L6" s="55"/>
      <c r="M6" s="55"/>
      <c r="N6" s="55"/>
      <c r="O6" s="82"/>
      <c r="P6" s="55"/>
      <c r="Q6" s="55"/>
      <c r="R6" s="55"/>
      <c r="S6" s="70">
        <v>3000</v>
      </c>
      <c r="T6" s="71"/>
    </row>
    <row r="7" spans="1:20" s="17" customFormat="1" ht="15" thickBot="1">
      <c r="A7" s="62" t="s">
        <v>24</v>
      </c>
      <c r="B7" s="5" t="s">
        <v>42</v>
      </c>
      <c r="C7" s="80" t="s">
        <v>43</v>
      </c>
      <c r="D7" s="72" t="s">
        <v>41</v>
      </c>
      <c r="E7" s="59">
        <v>1500</v>
      </c>
      <c r="F7" s="30">
        <v>1650</v>
      </c>
      <c r="G7" s="78"/>
      <c r="H7" s="55"/>
      <c r="I7" s="115"/>
      <c r="J7" s="55"/>
      <c r="K7" s="55"/>
      <c r="L7" s="55">
        <v>1650</v>
      </c>
      <c r="M7" s="55"/>
      <c r="N7" s="55"/>
      <c r="O7" s="82"/>
      <c r="P7" s="55"/>
      <c r="Q7" s="55"/>
      <c r="R7" s="55"/>
      <c r="S7" s="70"/>
      <c r="T7" s="71"/>
    </row>
    <row r="8" spans="1:20" s="17" customFormat="1" ht="15" thickBot="1">
      <c r="A8" s="62" t="s">
        <v>24</v>
      </c>
      <c r="B8" s="5" t="s">
        <v>22</v>
      </c>
      <c r="C8" s="80" t="s">
        <v>32</v>
      </c>
      <c r="D8" s="72" t="s">
        <v>41</v>
      </c>
      <c r="E8" s="59">
        <v>3600</v>
      </c>
      <c r="F8" s="30">
        <v>4000</v>
      </c>
      <c r="G8" s="78"/>
      <c r="H8" s="55"/>
      <c r="I8" s="115"/>
      <c r="J8" s="55">
        <v>4000</v>
      </c>
      <c r="K8" s="55"/>
      <c r="L8" s="55"/>
      <c r="M8" s="55"/>
      <c r="N8" s="55"/>
      <c r="O8" s="82"/>
      <c r="P8" s="55"/>
      <c r="Q8" s="55"/>
      <c r="R8" s="55"/>
      <c r="S8" s="70"/>
      <c r="T8" s="71"/>
    </row>
    <row r="9" spans="1:20" s="17" customFormat="1" ht="15" thickBot="1">
      <c r="A9" s="62" t="s">
        <v>44</v>
      </c>
      <c r="B9" s="5" t="s">
        <v>45</v>
      </c>
      <c r="C9" s="80" t="s">
        <v>46</v>
      </c>
      <c r="D9" s="72" t="s">
        <v>47</v>
      </c>
      <c r="E9" s="59">
        <v>18000</v>
      </c>
      <c r="F9" s="30">
        <v>18900</v>
      </c>
      <c r="G9" s="78"/>
      <c r="H9" s="55"/>
      <c r="I9" s="115"/>
      <c r="J9" s="55"/>
      <c r="K9" s="55"/>
      <c r="L9" s="55"/>
      <c r="M9" s="55"/>
      <c r="N9" s="55"/>
      <c r="O9" s="82"/>
      <c r="P9" s="55"/>
      <c r="Q9" s="55"/>
      <c r="R9" s="55">
        <v>18900</v>
      </c>
      <c r="S9" s="70"/>
      <c r="T9" s="71"/>
    </row>
    <row r="10" spans="1:20" s="17" customFormat="1" ht="15" thickBot="1">
      <c r="A10" s="1" t="s">
        <v>24</v>
      </c>
      <c r="B10" s="2" t="s">
        <v>22</v>
      </c>
      <c r="C10" s="121" t="s">
        <v>32</v>
      </c>
      <c r="D10" s="95" t="s">
        <v>65</v>
      </c>
      <c r="E10" s="61">
        <v>2700</v>
      </c>
      <c r="F10" s="29">
        <v>3000</v>
      </c>
      <c r="G10" s="78"/>
      <c r="H10" s="55"/>
      <c r="I10" s="115"/>
      <c r="J10" s="55">
        <v>3000</v>
      </c>
      <c r="K10" s="55"/>
      <c r="L10" s="55"/>
      <c r="M10" s="55"/>
      <c r="N10" s="55"/>
      <c r="O10" s="82"/>
      <c r="P10" s="55"/>
      <c r="Q10" s="55"/>
      <c r="R10" s="55"/>
      <c r="S10" s="70"/>
      <c r="T10" s="71"/>
    </row>
    <row r="11" spans="1:20" s="17" customFormat="1" ht="15" thickBot="1">
      <c r="A11" s="62" t="s">
        <v>44</v>
      </c>
      <c r="B11" s="5" t="s">
        <v>66</v>
      </c>
      <c r="C11" s="80" t="s">
        <v>67</v>
      </c>
      <c r="D11" s="72" t="s">
        <v>68</v>
      </c>
      <c r="E11" s="131">
        <v>47000</v>
      </c>
      <c r="F11" s="30">
        <v>17200</v>
      </c>
      <c r="G11" s="78"/>
      <c r="H11" s="55"/>
      <c r="I11" s="115"/>
      <c r="J11" s="55"/>
      <c r="K11" s="55"/>
      <c r="L11" s="55">
        <v>17200</v>
      </c>
      <c r="M11" s="55"/>
      <c r="N11" s="55"/>
      <c r="O11" s="82"/>
      <c r="P11" s="55"/>
      <c r="Q11" s="55"/>
      <c r="R11" s="55"/>
      <c r="S11" s="70"/>
      <c r="T11" s="71"/>
    </row>
    <row r="12" spans="1:20" s="17" customFormat="1" ht="15" thickBot="1">
      <c r="A12" s="62" t="s">
        <v>44</v>
      </c>
      <c r="B12" s="5" t="s">
        <v>66</v>
      </c>
      <c r="C12" s="80" t="s">
        <v>69</v>
      </c>
      <c r="D12" s="72" t="s">
        <v>70</v>
      </c>
      <c r="E12" s="132"/>
      <c r="F12" s="30">
        <v>34400</v>
      </c>
      <c r="G12" s="78"/>
      <c r="H12" s="55"/>
      <c r="I12" s="115"/>
      <c r="J12" s="55">
        <v>34400</v>
      </c>
      <c r="K12" s="55"/>
      <c r="L12" s="55"/>
      <c r="M12" s="55"/>
      <c r="N12" s="55"/>
      <c r="O12" s="82"/>
      <c r="P12" s="55"/>
      <c r="Q12" s="55"/>
      <c r="R12" s="55"/>
      <c r="S12" s="70"/>
      <c r="T12" s="71"/>
    </row>
    <row r="13" spans="1:20" s="17" customFormat="1" ht="15" thickBot="1">
      <c r="A13" s="1" t="s">
        <v>48</v>
      </c>
      <c r="B13" s="2" t="s">
        <v>49</v>
      </c>
      <c r="C13" s="121" t="s">
        <v>50</v>
      </c>
      <c r="D13" s="95" t="s">
        <v>51</v>
      </c>
      <c r="E13" s="61">
        <v>18000</v>
      </c>
      <c r="F13" s="29">
        <v>19800</v>
      </c>
      <c r="G13" s="78"/>
      <c r="H13" s="55"/>
      <c r="I13" s="115"/>
      <c r="J13" s="55"/>
      <c r="K13" s="55"/>
      <c r="L13" s="55"/>
      <c r="M13" s="55">
        <v>19800</v>
      </c>
      <c r="N13" s="55"/>
      <c r="O13" s="82"/>
      <c r="P13" s="55"/>
      <c r="Q13" s="55"/>
      <c r="R13" s="55"/>
      <c r="S13" s="70"/>
      <c r="T13" s="71"/>
    </row>
    <row r="14" spans="1:20" s="17" customFormat="1" ht="15" thickBot="1">
      <c r="A14" s="1" t="s">
        <v>24</v>
      </c>
      <c r="B14" s="2" t="s">
        <v>22</v>
      </c>
      <c r="C14" s="121" t="s">
        <v>52</v>
      </c>
      <c r="D14" s="95" t="s">
        <v>53</v>
      </c>
      <c r="E14" s="61">
        <v>900</v>
      </c>
      <c r="F14" s="29">
        <v>1000</v>
      </c>
      <c r="G14" s="78"/>
      <c r="H14" s="78"/>
      <c r="I14" s="115"/>
      <c r="J14" s="55"/>
      <c r="K14" s="55">
        <v>1000</v>
      </c>
      <c r="L14" s="55"/>
      <c r="M14" s="55"/>
      <c r="N14" s="55"/>
      <c r="O14" s="82"/>
      <c r="P14" s="55"/>
      <c r="Q14" s="55"/>
      <c r="R14" s="55"/>
      <c r="S14" s="70"/>
      <c r="T14" s="71"/>
    </row>
    <row r="15" spans="1:20" s="17" customFormat="1" ht="22.8" customHeight="1" thickBot="1">
      <c r="A15" s="62" t="s">
        <v>24</v>
      </c>
      <c r="B15" s="5" t="s">
        <v>22</v>
      </c>
      <c r="C15" s="80" t="s">
        <v>54</v>
      </c>
      <c r="D15" s="72" t="s">
        <v>53</v>
      </c>
      <c r="E15" s="59">
        <v>900</v>
      </c>
      <c r="F15" s="30">
        <v>1000</v>
      </c>
      <c r="G15" s="78"/>
      <c r="H15" s="78"/>
      <c r="I15" s="115"/>
      <c r="J15" s="55"/>
      <c r="K15" s="55">
        <v>1000</v>
      </c>
      <c r="L15" s="55"/>
      <c r="M15" s="55"/>
      <c r="N15" s="55"/>
      <c r="O15" s="82"/>
      <c r="P15" s="55"/>
      <c r="Q15" s="55"/>
      <c r="R15" s="55"/>
      <c r="S15" s="70"/>
      <c r="T15" s="71"/>
    </row>
    <row r="16" spans="1:20" s="17" customFormat="1" ht="15" thickBot="1">
      <c r="A16" s="62" t="s">
        <v>44</v>
      </c>
      <c r="B16" s="5" t="s">
        <v>55</v>
      </c>
      <c r="C16" s="80" t="s">
        <v>46</v>
      </c>
      <c r="D16" s="72" t="s">
        <v>56</v>
      </c>
      <c r="E16" s="59">
        <v>16000</v>
      </c>
      <c r="F16" s="30">
        <v>16800</v>
      </c>
      <c r="G16" s="78"/>
      <c r="H16" s="78"/>
      <c r="I16" s="115"/>
      <c r="J16" s="55"/>
      <c r="K16" s="55"/>
      <c r="L16" s="55"/>
      <c r="M16" s="55"/>
      <c r="N16" s="55"/>
      <c r="O16" s="82"/>
      <c r="P16" s="55"/>
      <c r="Q16" s="55"/>
      <c r="R16" s="55">
        <v>16800</v>
      </c>
      <c r="S16" s="70"/>
      <c r="T16" s="71"/>
    </row>
    <row r="17" spans="1:20" s="17" customFormat="1" ht="15" thickBot="1">
      <c r="A17" s="62" t="s">
        <v>24</v>
      </c>
      <c r="B17" s="5" t="s">
        <v>22</v>
      </c>
      <c r="C17" s="80" t="s">
        <v>32</v>
      </c>
      <c r="D17" s="72" t="s">
        <v>53</v>
      </c>
      <c r="E17" s="59">
        <v>2700</v>
      </c>
      <c r="F17" s="30">
        <v>3000</v>
      </c>
      <c r="G17" s="78"/>
      <c r="H17" s="55"/>
      <c r="I17" s="115"/>
      <c r="J17" s="55">
        <v>3000</v>
      </c>
      <c r="K17" s="55"/>
      <c r="L17" s="55"/>
      <c r="M17" s="55"/>
      <c r="N17" s="55"/>
      <c r="O17" s="82"/>
      <c r="P17" s="55"/>
      <c r="Q17" s="55"/>
      <c r="R17" s="55"/>
      <c r="S17" s="70"/>
      <c r="T17" s="71"/>
    </row>
    <row r="18" spans="1:20" s="17" customFormat="1" ht="15" thickBot="1">
      <c r="A18" s="1" t="s">
        <v>24</v>
      </c>
      <c r="B18" s="2" t="s">
        <v>57</v>
      </c>
      <c r="C18" s="121" t="s">
        <v>58</v>
      </c>
      <c r="D18" s="95" t="s">
        <v>59</v>
      </c>
      <c r="E18" s="61">
        <v>13000</v>
      </c>
      <c r="F18" s="29">
        <v>14300</v>
      </c>
      <c r="G18" s="78"/>
      <c r="H18" s="55"/>
      <c r="I18" s="115"/>
      <c r="J18" s="55"/>
      <c r="K18" s="55"/>
      <c r="L18" s="55"/>
      <c r="M18" s="55">
        <v>14300</v>
      </c>
      <c r="N18" s="55"/>
      <c r="O18" s="82"/>
      <c r="P18" s="55"/>
      <c r="Q18" s="55"/>
      <c r="R18" s="55"/>
      <c r="S18" s="70"/>
      <c r="T18" s="71"/>
    </row>
    <row r="19" spans="1:20" s="17" customFormat="1" ht="15" thickBot="1">
      <c r="A19" s="62" t="s">
        <v>24</v>
      </c>
      <c r="B19" s="5" t="s">
        <v>60</v>
      </c>
      <c r="C19" s="80" t="s">
        <v>61</v>
      </c>
      <c r="D19" s="72" t="s">
        <v>62</v>
      </c>
      <c r="E19" s="59">
        <v>5000</v>
      </c>
      <c r="F19" s="30">
        <v>5500</v>
      </c>
      <c r="G19" s="78"/>
      <c r="H19" s="55"/>
      <c r="I19" s="115"/>
      <c r="J19" s="55">
        <v>5500</v>
      </c>
      <c r="K19" s="55"/>
      <c r="L19" s="55"/>
      <c r="M19" s="55"/>
      <c r="N19" s="55"/>
      <c r="O19" s="82"/>
      <c r="P19" s="55"/>
      <c r="Q19" s="55"/>
      <c r="R19" s="55"/>
      <c r="S19" s="70"/>
      <c r="T19" s="71"/>
    </row>
    <row r="20" spans="1:20" s="17" customFormat="1" ht="15" thickBot="1">
      <c r="A20" s="62" t="s">
        <v>24</v>
      </c>
      <c r="B20" s="5" t="s">
        <v>22</v>
      </c>
      <c r="C20" s="80" t="s">
        <v>32</v>
      </c>
      <c r="D20" s="72" t="s">
        <v>62</v>
      </c>
      <c r="E20" s="59">
        <v>900</v>
      </c>
      <c r="F20" s="30">
        <v>1000</v>
      </c>
      <c r="G20" s="78"/>
      <c r="H20" s="55"/>
      <c r="I20" s="115"/>
      <c r="J20" s="55">
        <v>1000</v>
      </c>
      <c r="K20" s="55"/>
      <c r="L20" s="55"/>
      <c r="M20" s="55"/>
      <c r="N20" s="55"/>
      <c r="O20" s="82"/>
      <c r="P20" s="55"/>
      <c r="Q20" s="55"/>
      <c r="R20" s="55"/>
      <c r="S20" s="70"/>
      <c r="T20" s="71"/>
    </row>
    <row r="21" spans="1:20" s="17" customFormat="1" ht="15" thickBot="1">
      <c r="A21" s="62" t="s">
        <v>24</v>
      </c>
      <c r="B21" s="5" t="s">
        <v>22</v>
      </c>
      <c r="C21" s="80" t="s">
        <v>63</v>
      </c>
      <c r="D21" s="72" t="s">
        <v>62</v>
      </c>
      <c r="E21" s="59">
        <v>1800</v>
      </c>
      <c r="F21" s="30">
        <v>2000</v>
      </c>
      <c r="G21" s="78"/>
      <c r="H21" s="55"/>
      <c r="I21" s="115"/>
      <c r="J21" s="55"/>
      <c r="K21" s="55"/>
      <c r="L21" s="55">
        <v>2000</v>
      </c>
      <c r="M21" s="55"/>
      <c r="N21" s="55"/>
      <c r="O21" s="82"/>
      <c r="P21" s="55"/>
      <c r="Q21" s="55"/>
      <c r="R21" s="55"/>
      <c r="S21" s="70"/>
      <c r="T21" s="71"/>
    </row>
    <row r="22" spans="1:20" s="17" customFormat="1" ht="15" thickBot="1">
      <c r="A22" s="1" t="s">
        <v>44</v>
      </c>
      <c r="B22" s="2" t="s">
        <v>45</v>
      </c>
      <c r="C22" s="121" t="s">
        <v>46</v>
      </c>
      <c r="D22" s="95" t="s">
        <v>71</v>
      </c>
      <c r="E22" s="61">
        <v>18500</v>
      </c>
      <c r="F22" s="29">
        <v>18900</v>
      </c>
      <c r="G22" s="78"/>
      <c r="H22" s="55"/>
      <c r="I22" s="115"/>
      <c r="J22" s="55"/>
      <c r="K22" s="55"/>
      <c r="L22" s="55"/>
      <c r="M22" s="55"/>
      <c r="N22" s="55"/>
      <c r="O22" s="82"/>
      <c r="P22" s="55"/>
      <c r="Q22" s="55"/>
      <c r="R22" s="55">
        <v>18900</v>
      </c>
      <c r="S22" s="70"/>
      <c r="T22" s="71"/>
    </row>
    <row r="23" spans="1:20" s="17" customFormat="1" ht="15" thickBot="1">
      <c r="A23" s="62" t="s">
        <v>24</v>
      </c>
      <c r="B23" s="5" t="s">
        <v>22</v>
      </c>
      <c r="C23" s="80" t="s">
        <v>72</v>
      </c>
      <c r="D23" s="72" t="s">
        <v>73</v>
      </c>
      <c r="E23" s="59">
        <v>900</v>
      </c>
      <c r="F23" s="30">
        <v>1000</v>
      </c>
      <c r="G23" s="78"/>
      <c r="H23" s="55"/>
      <c r="I23" s="115"/>
      <c r="J23" s="55"/>
      <c r="K23" s="55"/>
      <c r="L23" s="55">
        <v>1000</v>
      </c>
      <c r="M23" s="55"/>
      <c r="N23" s="55"/>
      <c r="O23" s="82"/>
      <c r="P23" s="55"/>
      <c r="Q23" s="55"/>
      <c r="R23" s="55"/>
      <c r="S23" s="70"/>
      <c r="T23" s="71"/>
    </row>
    <row r="24" spans="1:20" s="17" customFormat="1" ht="15" thickBot="1">
      <c r="A24" s="62" t="s">
        <v>24</v>
      </c>
      <c r="B24" s="5" t="s">
        <v>22</v>
      </c>
      <c r="C24" s="80" t="s">
        <v>74</v>
      </c>
      <c r="D24" s="72" t="s">
        <v>73</v>
      </c>
      <c r="E24" s="59">
        <v>3700</v>
      </c>
      <c r="F24" s="30">
        <v>4000</v>
      </c>
      <c r="G24" s="78"/>
      <c r="H24" s="55"/>
      <c r="I24" s="115"/>
      <c r="J24" s="55"/>
      <c r="K24" s="55"/>
      <c r="L24" s="55">
        <v>4000</v>
      </c>
      <c r="M24" s="55"/>
      <c r="N24" s="55"/>
      <c r="O24" s="82"/>
      <c r="P24" s="55"/>
      <c r="Q24" s="55"/>
      <c r="R24" s="55"/>
      <c r="S24" s="70"/>
      <c r="T24" s="71"/>
    </row>
    <row r="25" spans="1:20" s="17" customFormat="1" ht="15" thickBot="1">
      <c r="A25" s="1" t="s">
        <v>75</v>
      </c>
      <c r="B25" s="2" t="s">
        <v>76</v>
      </c>
      <c r="C25" s="121" t="s">
        <v>77</v>
      </c>
      <c r="D25" s="95" t="s">
        <v>78</v>
      </c>
      <c r="E25" s="61">
        <v>17000</v>
      </c>
      <c r="F25" s="29">
        <v>18700</v>
      </c>
      <c r="G25" s="78"/>
      <c r="H25" s="55"/>
      <c r="I25" s="115"/>
      <c r="J25" s="55"/>
      <c r="K25" s="55"/>
      <c r="L25" s="55">
        <v>18700</v>
      </c>
      <c r="M25" s="55"/>
      <c r="N25" s="55"/>
      <c r="O25" s="82"/>
      <c r="P25" s="55"/>
      <c r="Q25" s="55"/>
      <c r="R25" s="55"/>
      <c r="S25" s="70"/>
      <c r="T25" s="71"/>
    </row>
    <row r="26" spans="1:20" s="17" customFormat="1" ht="15" thickBot="1">
      <c r="A26" s="62" t="s">
        <v>24</v>
      </c>
      <c r="B26" s="5" t="s">
        <v>79</v>
      </c>
      <c r="C26" s="80" t="s">
        <v>72</v>
      </c>
      <c r="D26" s="72" t="s">
        <v>80</v>
      </c>
      <c r="E26" s="59">
        <v>1800</v>
      </c>
      <c r="F26" s="30">
        <v>2000</v>
      </c>
      <c r="G26" s="78"/>
      <c r="H26" s="55"/>
      <c r="I26" s="115"/>
      <c r="J26" s="55"/>
      <c r="K26" s="55"/>
      <c r="L26" s="55">
        <v>2000</v>
      </c>
      <c r="M26" s="55"/>
      <c r="N26" s="55"/>
      <c r="O26" s="82"/>
      <c r="P26" s="55"/>
      <c r="Q26" s="55"/>
      <c r="R26" s="55"/>
      <c r="S26" s="70"/>
      <c r="T26" s="71"/>
    </row>
    <row r="27" spans="1:20" s="17" customFormat="1" ht="29.4" thickBot="1">
      <c r="A27" s="62" t="s">
        <v>24</v>
      </c>
      <c r="B27" s="5" t="s">
        <v>81</v>
      </c>
      <c r="C27" s="80" t="s">
        <v>86</v>
      </c>
      <c r="D27" s="72" t="s">
        <v>80</v>
      </c>
      <c r="E27" s="59">
        <v>2000</v>
      </c>
      <c r="F27" s="30">
        <v>2200</v>
      </c>
      <c r="G27" s="78"/>
      <c r="H27" s="55"/>
      <c r="I27" s="115"/>
      <c r="J27" s="55"/>
      <c r="K27" s="55"/>
      <c r="L27" s="55"/>
      <c r="M27" s="55"/>
      <c r="N27" s="55"/>
      <c r="O27" s="82"/>
      <c r="P27" s="55"/>
      <c r="Q27" s="55"/>
      <c r="R27" s="55"/>
      <c r="S27" s="70">
        <v>2200</v>
      </c>
      <c r="T27" s="71"/>
    </row>
    <row r="28" spans="1:20" s="17" customFormat="1" ht="15" thickBot="1">
      <c r="A28" s="62" t="s">
        <v>24</v>
      </c>
      <c r="B28" s="5" t="s">
        <v>79</v>
      </c>
      <c r="C28" s="80" t="s">
        <v>82</v>
      </c>
      <c r="D28" s="72" t="s">
        <v>80</v>
      </c>
      <c r="E28" s="59">
        <v>900</v>
      </c>
      <c r="F28" s="30">
        <v>1000</v>
      </c>
      <c r="G28" s="78"/>
      <c r="H28" s="78"/>
      <c r="I28" s="116"/>
      <c r="J28" s="106"/>
      <c r="K28" s="106"/>
      <c r="L28" s="106">
        <v>1000</v>
      </c>
      <c r="M28" s="106"/>
      <c r="N28" s="106"/>
      <c r="O28" s="107"/>
      <c r="P28" s="106"/>
      <c r="Q28" s="106"/>
      <c r="R28" s="106"/>
      <c r="S28" s="66"/>
      <c r="T28" s="108"/>
    </row>
    <row r="29" spans="1:20" s="17" customFormat="1" ht="15" thickBot="1">
      <c r="A29" s="1"/>
      <c r="B29" s="1" t="s">
        <v>83</v>
      </c>
      <c r="C29" s="2" t="s">
        <v>84</v>
      </c>
      <c r="D29" s="60" t="s">
        <v>78</v>
      </c>
      <c r="E29" s="121" t="s">
        <v>85</v>
      </c>
      <c r="F29" s="61">
        <v>23400</v>
      </c>
      <c r="G29" s="78"/>
      <c r="H29" s="78"/>
      <c r="I29" s="115"/>
      <c r="J29" s="55"/>
      <c r="K29" s="55"/>
      <c r="L29" s="55"/>
      <c r="M29" s="55"/>
      <c r="N29" s="55"/>
      <c r="O29" s="82"/>
      <c r="P29" s="55"/>
      <c r="Q29" s="55"/>
      <c r="R29" s="55"/>
      <c r="S29" s="70">
        <v>23400</v>
      </c>
      <c r="T29" s="71"/>
    </row>
    <row r="30" spans="1:20" s="17" customFormat="1" ht="15" thickBot="1">
      <c r="A30" s="1"/>
      <c r="B30" s="110" t="s">
        <v>92</v>
      </c>
      <c r="C30" s="2" t="s">
        <v>76</v>
      </c>
      <c r="D30" s="60" t="s">
        <v>93</v>
      </c>
      <c r="E30" s="121" t="s">
        <v>94</v>
      </c>
      <c r="F30" s="90">
        <v>23100</v>
      </c>
      <c r="G30" s="78"/>
      <c r="H30" s="78"/>
      <c r="I30" s="115"/>
      <c r="J30" s="55"/>
      <c r="K30" s="55"/>
      <c r="L30" s="55">
        <v>23100</v>
      </c>
      <c r="M30" s="55"/>
      <c r="N30" s="55"/>
      <c r="O30" s="82"/>
      <c r="P30" s="55"/>
      <c r="Q30" s="55"/>
      <c r="R30" s="55"/>
      <c r="S30" s="70"/>
      <c r="T30" s="71"/>
    </row>
    <row r="31" spans="1:20" s="17" customFormat="1" ht="29.4" thickBot="1">
      <c r="A31" s="1" t="s">
        <v>38</v>
      </c>
      <c r="B31" s="2" t="s">
        <v>39</v>
      </c>
      <c r="C31" s="121" t="s">
        <v>87</v>
      </c>
      <c r="D31" s="95" t="s">
        <v>88</v>
      </c>
      <c r="E31" s="61">
        <v>9000</v>
      </c>
      <c r="F31" s="29">
        <v>9900</v>
      </c>
      <c r="G31" s="78"/>
      <c r="H31" s="78"/>
      <c r="I31" s="115"/>
      <c r="J31" s="55"/>
      <c r="K31" s="55"/>
      <c r="L31" s="55"/>
      <c r="M31" s="55"/>
      <c r="N31" s="55"/>
      <c r="O31" s="82"/>
      <c r="P31" s="55"/>
      <c r="Q31" s="55"/>
      <c r="R31" s="55"/>
      <c r="S31" s="70">
        <v>9900</v>
      </c>
      <c r="T31" s="71"/>
    </row>
    <row r="32" spans="1:20" s="17" customFormat="1" ht="15" thickBot="1">
      <c r="A32" s="62" t="s">
        <v>38</v>
      </c>
      <c r="B32" s="5" t="s">
        <v>89</v>
      </c>
      <c r="C32" s="80" t="s">
        <v>90</v>
      </c>
      <c r="D32" s="72" t="s">
        <v>88</v>
      </c>
      <c r="E32" s="59">
        <v>3500</v>
      </c>
      <c r="F32" s="30">
        <v>3850</v>
      </c>
      <c r="G32" s="78"/>
      <c r="H32" s="78"/>
      <c r="I32" s="115"/>
      <c r="J32" s="55"/>
      <c r="K32" s="55"/>
      <c r="L32" s="55">
        <v>3850</v>
      </c>
      <c r="M32" s="55"/>
      <c r="N32" s="55"/>
      <c r="O32" s="82"/>
      <c r="P32" s="55"/>
      <c r="Q32" s="55"/>
      <c r="R32" s="55"/>
      <c r="S32" s="70"/>
      <c r="T32" s="71"/>
    </row>
    <row r="33" spans="1:20" s="17" customFormat="1" ht="15" thickBot="1">
      <c r="A33" s="62" t="s">
        <v>24</v>
      </c>
      <c r="B33" s="5" t="s">
        <v>79</v>
      </c>
      <c r="C33" s="80" t="s">
        <v>72</v>
      </c>
      <c r="D33" s="72" t="s">
        <v>88</v>
      </c>
      <c r="E33" s="59">
        <v>900</v>
      </c>
      <c r="F33" s="30">
        <v>1000</v>
      </c>
      <c r="G33" s="78"/>
      <c r="H33" s="78"/>
      <c r="I33" s="115"/>
      <c r="J33" s="55"/>
      <c r="K33" s="55"/>
      <c r="L33" s="55">
        <v>1000</v>
      </c>
      <c r="M33" s="55"/>
      <c r="N33" s="55"/>
      <c r="O33" s="82"/>
      <c r="P33" s="55"/>
      <c r="Q33" s="55"/>
      <c r="R33" s="55"/>
      <c r="S33" s="70"/>
      <c r="T33" s="71"/>
    </row>
    <row r="34" spans="1:20" s="17" customFormat="1" ht="15" thickBot="1">
      <c r="A34" s="62" t="s">
        <v>24</v>
      </c>
      <c r="B34" s="5" t="s">
        <v>79</v>
      </c>
      <c r="C34" s="80" t="s">
        <v>91</v>
      </c>
      <c r="D34" s="72" t="s">
        <v>88</v>
      </c>
      <c r="E34" s="59">
        <v>900</v>
      </c>
      <c r="F34" s="30">
        <v>1000</v>
      </c>
      <c r="G34" s="78"/>
      <c r="H34" s="78"/>
      <c r="I34" s="115"/>
      <c r="J34" s="55"/>
      <c r="K34" s="55"/>
      <c r="L34" s="55">
        <v>1000</v>
      </c>
      <c r="M34" s="55"/>
      <c r="N34" s="55"/>
      <c r="O34" s="82"/>
      <c r="P34" s="55"/>
      <c r="Q34" s="55"/>
      <c r="R34" s="55"/>
      <c r="S34" s="70"/>
      <c r="T34" s="71"/>
    </row>
    <row r="35" spans="1:20" s="17" customFormat="1" ht="29.4" thickBot="1">
      <c r="A35" s="1"/>
      <c r="B35" s="111" t="s">
        <v>95</v>
      </c>
      <c r="C35" s="8" t="s">
        <v>96</v>
      </c>
      <c r="D35" s="60" t="s">
        <v>97</v>
      </c>
      <c r="E35" s="60" t="s">
        <v>98</v>
      </c>
      <c r="F35" s="61">
        <v>14000</v>
      </c>
      <c r="G35" s="78"/>
      <c r="H35" s="78"/>
      <c r="I35" s="115"/>
      <c r="J35" s="55"/>
      <c r="K35" s="55"/>
      <c r="L35" s="55"/>
      <c r="M35" s="55"/>
      <c r="N35" s="55"/>
      <c r="O35" s="82"/>
      <c r="P35" s="55"/>
      <c r="Q35" s="55"/>
      <c r="R35" s="55"/>
      <c r="S35" s="70"/>
      <c r="T35" s="71">
        <v>14000</v>
      </c>
    </row>
    <row r="36" spans="1:20" s="17" customFormat="1" ht="15" thickBot="1">
      <c r="A36" s="1" t="s">
        <v>24</v>
      </c>
      <c r="B36" s="2" t="s">
        <v>79</v>
      </c>
      <c r="C36" s="121" t="s">
        <v>99</v>
      </c>
      <c r="D36" s="95" t="s">
        <v>100</v>
      </c>
      <c r="E36" s="61">
        <v>1800</v>
      </c>
      <c r="F36" s="29">
        <v>2000</v>
      </c>
      <c r="G36" s="78"/>
      <c r="H36" s="78"/>
      <c r="I36" s="115"/>
      <c r="J36" s="55">
        <v>2000</v>
      </c>
      <c r="K36" s="55"/>
      <c r="L36" s="55"/>
      <c r="M36" s="55"/>
      <c r="N36" s="55"/>
      <c r="O36" s="82"/>
      <c r="P36" s="55"/>
      <c r="Q36" s="55"/>
      <c r="R36" s="55"/>
      <c r="S36" s="70"/>
      <c r="T36" s="71"/>
    </row>
    <row r="37" spans="1:20" s="17" customFormat="1" ht="15" thickBot="1">
      <c r="A37" s="62" t="s">
        <v>24</v>
      </c>
      <c r="B37" s="5" t="s">
        <v>79</v>
      </c>
      <c r="C37" s="80" t="s">
        <v>72</v>
      </c>
      <c r="D37" s="72" t="s">
        <v>100</v>
      </c>
      <c r="E37" s="59">
        <v>1800</v>
      </c>
      <c r="F37" s="30">
        <v>2000</v>
      </c>
      <c r="G37" s="78"/>
      <c r="H37" s="78"/>
      <c r="I37" s="115"/>
      <c r="J37" s="55"/>
      <c r="K37" s="55"/>
      <c r="L37" s="55">
        <v>2000</v>
      </c>
      <c r="M37" s="55"/>
      <c r="N37" s="55"/>
      <c r="O37" s="82"/>
      <c r="P37" s="55"/>
      <c r="Q37" s="55"/>
      <c r="R37" s="55"/>
      <c r="S37" s="70"/>
      <c r="T37" s="71"/>
    </row>
    <row r="38" spans="1:20" s="17" customFormat="1" ht="15" thickBot="1">
      <c r="A38" s="1" t="s">
        <v>44</v>
      </c>
      <c r="B38" s="2" t="s">
        <v>49</v>
      </c>
      <c r="C38" s="121" t="s">
        <v>50</v>
      </c>
      <c r="D38" s="95" t="s">
        <v>101</v>
      </c>
      <c r="E38" s="61">
        <v>13000</v>
      </c>
      <c r="F38" s="29">
        <v>14300</v>
      </c>
      <c r="G38" s="78"/>
      <c r="H38" s="78"/>
      <c r="I38" s="115"/>
      <c r="J38" s="55"/>
      <c r="K38" s="55"/>
      <c r="L38" s="55"/>
      <c r="M38" s="55">
        <v>14300</v>
      </c>
      <c r="N38" s="55"/>
      <c r="O38" s="82"/>
      <c r="P38" s="55"/>
      <c r="Q38" s="55"/>
      <c r="R38" s="55"/>
      <c r="S38" s="70"/>
      <c r="T38" s="71"/>
    </row>
    <row r="39" spans="1:20" s="17" customFormat="1" ht="15" thickBot="1">
      <c r="A39" s="62" t="s">
        <v>24</v>
      </c>
      <c r="B39" s="5" t="s">
        <v>79</v>
      </c>
      <c r="C39" s="80" t="s">
        <v>99</v>
      </c>
      <c r="D39" s="72" t="s">
        <v>102</v>
      </c>
      <c r="E39" s="59">
        <v>900</v>
      </c>
      <c r="F39" s="30">
        <v>1000</v>
      </c>
      <c r="G39" s="78"/>
      <c r="H39" s="78"/>
      <c r="I39" s="115"/>
      <c r="J39" s="55">
        <v>1000</v>
      </c>
      <c r="K39" s="55"/>
      <c r="L39" s="55"/>
      <c r="M39" s="55"/>
      <c r="N39" s="55"/>
      <c r="O39" s="82"/>
      <c r="P39" s="55"/>
      <c r="Q39" s="55"/>
      <c r="R39" s="55"/>
      <c r="S39" s="70"/>
      <c r="T39" s="71"/>
    </row>
    <row r="40" spans="1:20" s="17" customFormat="1" ht="15" thickBot="1">
      <c r="A40" s="62"/>
      <c r="B40" s="110" t="s">
        <v>103</v>
      </c>
      <c r="C40" s="2" t="s">
        <v>76</v>
      </c>
      <c r="D40" s="60" t="s">
        <v>104</v>
      </c>
      <c r="E40" s="121" t="s">
        <v>94</v>
      </c>
      <c r="F40" s="90">
        <v>23100</v>
      </c>
      <c r="G40" s="78"/>
      <c r="H40" s="78"/>
      <c r="I40" s="115"/>
      <c r="J40" s="55"/>
      <c r="K40" s="55"/>
      <c r="L40" s="55">
        <v>23100</v>
      </c>
      <c r="M40" s="55"/>
      <c r="N40" s="55"/>
      <c r="O40" s="82"/>
      <c r="P40" s="55"/>
      <c r="Q40" s="55"/>
      <c r="R40" s="55"/>
      <c r="S40" s="70"/>
      <c r="T40" s="71"/>
    </row>
    <row r="41" spans="1:20" s="17" customFormat="1" ht="29.4" thickBot="1">
      <c r="A41" s="62"/>
      <c r="B41" s="111" t="s">
        <v>105</v>
      </c>
      <c r="C41" s="8" t="s">
        <v>106</v>
      </c>
      <c r="D41" s="60" t="s">
        <v>104</v>
      </c>
      <c r="E41" s="60" t="s">
        <v>98</v>
      </c>
      <c r="F41" s="61">
        <v>17500</v>
      </c>
      <c r="G41" s="78"/>
      <c r="H41" s="78"/>
      <c r="I41" s="115"/>
      <c r="J41" s="55"/>
      <c r="K41" s="55"/>
      <c r="L41" s="55"/>
      <c r="M41" s="55"/>
      <c r="N41" s="55"/>
      <c r="O41" s="82"/>
      <c r="P41" s="55"/>
      <c r="Q41" s="55"/>
      <c r="R41" s="55"/>
      <c r="S41" s="70"/>
      <c r="T41" s="71">
        <v>17500</v>
      </c>
    </row>
    <row r="42" spans="1:20" s="17" customFormat="1" ht="15" thickBot="1">
      <c r="A42" s="1" t="s">
        <v>107</v>
      </c>
      <c r="B42" s="2" t="s">
        <v>108</v>
      </c>
      <c r="C42" s="121" t="s">
        <v>109</v>
      </c>
      <c r="D42" s="95" t="s">
        <v>110</v>
      </c>
      <c r="E42" s="61">
        <v>29000</v>
      </c>
      <c r="F42" s="29">
        <v>29000</v>
      </c>
      <c r="G42" s="78"/>
      <c r="H42" s="78"/>
      <c r="I42" s="115"/>
      <c r="J42" s="55"/>
      <c r="K42" s="55"/>
      <c r="L42" s="55"/>
      <c r="M42" s="55"/>
      <c r="N42" s="55"/>
      <c r="O42" s="82"/>
      <c r="P42" s="55">
        <v>29000</v>
      </c>
      <c r="Q42" s="55"/>
      <c r="R42" s="55"/>
      <c r="S42" s="70"/>
      <c r="T42" s="71"/>
    </row>
    <row r="43" spans="1:20" s="17" customFormat="1" ht="29.4" thickBot="1">
      <c r="A43" s="62"/>
      <c r="B43" s="111" t="s">
        <v>95</v>
      </c>
      <c r="C43" s="8" t="s">
        <v>106</v>
      </c>
      <c r="D43" s="60" t="s">
        <v>111</v>
      </c>
      <c r="E43" s="60" t="s">
        <v>98</v>
      </c>
      <c r="F43" s="61">
        <v>17500</v>
      </c>
      <c r="G43" s="78"/>
      <c r="H43" s="78"/>
      <c r="I43" s="115"/>
      <c r="J43" s="55"/>
      <c r="K43" s="55"/>
      <c r="L43" s="55"/>
      <c r="M43" s="55"/>
      <c r="N43" s="55"/>
      <c r="O43" s="82"/>
      <c r="P43" s="55"/>
      <c r="Q43" s="55"/>
      <c r="R43" s="55"/>
      <c r="S43" s="70"/>
      <c r="T43" s="71">
        <v>17500</v>
      </c>
    </row>
    <row r="44" spans="1:20" s="17" customFormat="1" ht="29.4" thickBot="1">
      <c r="A44" s="1" t="s">
        <v>24</v>
      </c>
      <c r="B44" s="2" t="s">
        <v>112</v>
      </c>
      <c r="C44" s="121" t="s">
        <v>115</v>
      </c>
      <c r="D44" s="95" t="s">
        <v>113</v>
      </c>
      <c r="E44" s="61">
        <v>4000</v>
      </c>
      <c r="F44" s="29">
        <v>4400</v>
      </c>
      <c r="G44" s="78"/>
      <c r="H44" s="78"/>
      <c r="I44" s="115"/>
      <c r="J44" s="55">
        <v>2200</v>
      </c>
      <c r="K44" s="55"/>
      <c r="L44" s="55"/>
      <c r="M44" s="55"/>
      <c r="N44" s="55"/>
      <c r="O44" s="82"/>
      <c r="P44" s="55"/>
      <c r="Q44" s="55"/>
      <c r="R44" s="55"/>
      <c r="S44" s="70">
        <v>2200</v>
      </c>
      <c r="T44" s="71"/>
    </row>
    <row r="45" spans="1:20" s="17" customFormat="1" ht="15" thickBot="1">
      <c r="A45" s="62" t="s">
        <v>24</v>
      </c>
      <c r="B45" s="5" t="s">
        <v>79</v>
      </c>
      <c r="C45" s="80" t="s">
        <v>114</v>
      </c>
      <c r="D45" s="72" t="s">
        <v>113</v>
      </c>
      <c r="E45" s="59">
        <v>1800</v>
      </c>
      <c r="F45" s="30">
        <v>2000</v>
      </c>
      <c r="G45" s="78"/>
      <c r="H45" s="78"/>
      <c r="I45" s="115"/>
      <c r="J45" s="55">
        <v>2000</v>
      </c>
      <c r="K45" s="55"/>
      <c r="L45" s="55"/>
      <c r="M45" s="55"/>
      <c r="N45" s="55"/>
      <c r="O45" s="82"/>
      <c r="P45" s="55"/>
      <c r="Q45" s="55"/>
      <c r="R45" s="55"/>
      <c r="S45" s="70"/>
      <c r="T45" s="71"/>
    </row>
    <row r="46" spans="1:20" s="17" customFormat="1" ht="15" thickBot="1">
      <c r="A46" s="1" t="s">
        <v>38</v>
      </c>
      <c r="B46" s="2" t="s">
        <v>116</v>
      </c>
      <c r="C46" s="121" t="s">
        <v>117</v>
      </c>
      <c r="D46" s="95" t="s">
        <v>118</v>
      </c>
      <c r="E46" s="61">
        <v>5000</v>
      </c>
      <c r="F46" s="29">
        <v>5500</v>
      </c>
      <c r="G46" s="78"/>
      <c r="H46" s="78"/>
      <c r="I46" s="115"/>
      <c r="J46" s="55"/>
      <c r="K46" s="55"/>
      <c r="L46" s="55"/>
      <c r="M46" s="55"/>
      <c r="N46" s="55"/>
      <c r="O46" s="82"/>
      <c r="P46" s="55"/>
      <c r="Q46" s="55">
        <v>5500</v>
      </c>
      <c r="R46" s="55"/>
      <c r="S46" s="70"/>
      <c r="T46" s="71"/>
    </row>
    <row r="47" spans="1:20" s="17" customFormat="1" ht="29.4" thickBot="1">
      <c r="A47" s="62" t="s">
        <v>24</v>
      </c>
      <c r="B47" s="5" t="s">
        <v>79</v>
      </c>
      <c r="C47" s="80" t="s">
        <v>119</v>
      </c>
      <c r="D47" s="72" t="s">
        <v>118</v>
      </c>
      <c r="E47" s="59">
        <v>900</v>
      </c>
      <c r="F47" s="30">
        <v>1000</v>
      </c>
      <c r="G47" s="78"/>
      <c r="H47" s="78"/>
      <c r="I47" s="115"/>
      <c r="J47" s="55">
        <v>500</v>
      </c>
      <c r="K47" s="55"/>
      <c r="L47" s="55"/>
      <c r="M47" s="55"/>
      <c r="N47" s="55"/>
      <c r="O47" s="82"/>
      <c r="P47" s="55"/>
      <c r="Q47" s="55"/>
      <c r="R47" s="55"/>
      <c r="S47" s="70">
        <v>500</v>
      </c>
      <c r="T47" s="71"/>
    </row>
    <row r="48" spans="1:20" s="17" customFormat="1" ht="15" thickBot="1">
      <c r="A48" s="1" t="s">
        <v>75</v>
      </c>
      <c r="B48" s="2" t="s">
        <v>121</v>
      </c>
      <c r="C48" s="121" t="s">
        <v>122</v>
      </c>
      <c r="D48" s="95" t="s">
        <v>123</v>
      </c>
      <c r="E48" s="61">
        <v>10000</v>
      </c>
      <c r="F48" s="29">
        <v>11000</v>
      </c>
      <c r="G48" s="78"/>
      <c r="H48" s="78"/>
      <c r="I48" s="115"/>
      <c r="J48" s="55"/>
      <c r="K48" s="55">
        <v>11000</v>
      </c>
      <c r="L48" s="55"/>
      <c r="M48" s="55"/>
      <c r="N48" s="55"/>
      <c r="O48" s="82"/>
      <c r="P48" s="55"/>
      <c r="Q48" s="55"/>
      <c r="R48" s="55"/>
      <c r="S48" s="70"/>
      <c r="T48" s="71"/>
    </row>
    <row r="49" spans="1:21" s="17" customFormat="1" ht="29.4" thickBot="1">
      <c r="A49" s="62" t="s">
        <v>24</v>
      </c>
      <c r="B49" s="5" t="s">
        <v>79</v>
      </c>
      <c r="C49" s="80" t="s">
        <v>124</v>
      </c>
      <c r="D49" s="72" t="s">
        <v>123</v>
      </c>
      <c r="E49" s="59">
        <v>1200</v>
      </c>
      <c r="F49" s="30">
        <v>1200</v>
      </c>
      <c r="G49" s="78"/>
      <c r="H49" s="78"/>
      <c r="I49" s="115"/>
      <c r="J49" s="55"/>
      <c r="K49" s="55"/>
      <c r="L49" s="55"/>
      <c r="M49" s="55"/>
      <c r="N49" s="55"/>
      <c r="O49" s="82"/>
      <c r="P49" s="55"/>
      <c r="Q49" s="55"/>
      <c r="R49" s="55"/>
      <c r="S49" s="70">
        <v>1200</v>
      </c>
      <c r="T49" s="71"/>
    </row>
    <row r="50" spans="1:21" s="17" customFormat="1" ht="15" thickBot="1">
      <c r="A50" s="1" t="s">
        <v>44</v>
      </c>
      <c r="B50" s="2" t="s">
        <v>45</v>
      </c>
      <c r="C50" s="121" t="s">
        <v>46</v>
      </c>
      <c r="D50" s="95" t="s">
        <v>125</v>
      </c>
      <c r="E50" s="61">
        <v>14500</v>
      </c>
      <c r="F50" s="29">
        <v>16000</v>
      </c>
      <c r="G50" s="78"/>
      <c r="H50" s="78"/>
      <c r="I50" s="115"/>
      <c r="J50" s="55"/>
      <c r="K50" s="55"/>
      <c r="L50" s="55"/>
      <c r="M50" s="55"/>
      <c r="N50" s="55"/>
      <c r="O50" s="82"/>
      <c r="P50" s="55"/>
      <c r="Q50" s="55"/>
      <c r="R50" s="55">
        <v>16000</v>
      </c>
      <c r="S50" s="70"/>
      <c r="T50" s="71"/>
    </row>
    <row r="51" spans="1:21" s="17" customFormat="1" ht="15" thickBot="1">
      <c r="A51" s="62" t="s">
        <v>24</v>
      </c>
      <c r="B51" s="5" t="s">
        <v>126</v>
      </c>
      <c r="C51" s="80" t="s">
        <v>128</v>
      </c>
      <c r="D51" s="72" t="s">
        <v>127</v>
      </c>
      <c r="E51" s="59">
        <v>5600</v>
      </c>
      <c r="F51" s="30">
        <v>6000</v>
      </c>
      <c r="G51" s="78"/>
      <c r="H51" s="78"/>
      <c r="I51" s="115"/>
      <c r="J51" s="55"/>
      <c r="K51" s="55"/>
      <c r="L51" s="55"/>
      <c r="M51" s="55"/>
      <c r="N51" s="55"/>
      <c r="O51" s="82"/>
      <c r="P51" s="55"/>
      <c r="Q51" s="55"/>
      <c r="R51" s="55">
        <v>6000</v>
      </c>
      <c r="S51" s="70"/>
      <c r="T51" s="71"/>
    </row>
    <row r="52" spans="1:21" s="17" customFormat="1" ht="15" thickBot="1">
      <c r="A52" s="1" t="s">
        <v>44</v>
      </c>
      <c r="B52" s="2" t="s">
        <v>130</v>
      </c>
      <c r="C52" s="121" t="s">
        <v>131</v>
      </c>
      <c r="D52" s="95" t="s">
        <v>132</v>
      </c>
      <c r="E52" s="61">
        <v>30000</v>
      </c>
      <c r="F52" s="29">
        <v>31000</v>
      </c>
      <c r="G52" s="78"/>
      <c r="H52" s="78"/>
      <c r="I52" s="115"/>
      <c r="J52" s="55">
        <v>31000</v>
      </c>
      <c r="K52" s="55"/>
      <c r="L52" s="55"/>
      <c r="M52" s="55"/>
      <c r="N52" s="55"/>
      <c r="O52" s="82"/>
      <c r="P52" s="55"/>
      <c r="Q52" s="55"/>
      <c r="R52" s="55"/>
      <c r="S52" s="70"/>
      <c r="T52" s="71"/>
    </row>
    <row r="53" spans="1:21" s="17" customFormat="1" ht="29.4" thickBot="1">
      <c r="A53" s="62" t="s">
        <v>107</v>
      </c>
      <c r="B53" s="5" t="s">
        <v>133</v>
      </c>
      <c r="C53" s="80" t="s">
        <v>134</v>
      </c>
      <c r="D53" s="72" t="s">
        <v>135</v>
      </c>
      <c r="E53" s="59">
        <v>58200</v>
      </c>
      <c r="F53" s="129">
        <v>61000</v>
      </c>
      <c r="G53" s="78"/>
      <c r="H53" s="78"/>
      <c r="I53" s="115"/>
      <c r="J53" s="55"/>
      <c r="K53" s="55"/>
      <c r="L53" s="55"/>
      <c r="M53" s="55"/>
      <c r="N53" s="55"/>
      <c r="O53" s="82">
        <v>61000</v>
      </c>
      <c r="P53" s="55"/>
      <c r="Q53" s="55"/>
      <c r="R53" s="55"/>
      <c r="S53" s="70"/>
      <c r="T53" s="71"/>
    </row>
    <row r="54" spans="1:21" s="17" customFormat="1" ht="15" thickBot="1">
      <c r="A54" s="62" t="s">
        <v>107</v>
      </c>
      <c r="B54" s="5" t="s">
        <v>136</v>
      </c>
      <c r="C54" s="80" t="s">
        <v>137</v>
      </c>
      <c r="D54" s="72" t="s">
        <v>135</v>
      </c>
      <c r="E54" s="59">
        <v>52000</v>
      </c>
      <c r="F54" s="30">
        <v>55000</v>
      </c>
      <c r="G54" s="78"/>
      <c r="H54" s="78"/>
      <c r="I54" s="115"/>
      <c r="J54" s="55"/>
      <c r="K54" s="55"/>
      <c r="L54" s="55"/>
      <c r="M54" s="55"/>
      <c r="N54" s="55"/>
      <c r="O54" s="82">
        <v>55000</v>
      </c>
      <c r="P54" s="55"/>
      <c r="Q54" s="55"/>
      <c r="R54" s="55"/>
      <c r="S54" s="70"/>
      <c r="T54" s="71"/>
    </row>
    <row r="55" spans="1:21" s="17" customFormat="1" ht="15" thickBot="1">
      <c r="A55" s="62" t="s">
        <v>24</v>
      </c>
      <c r="B55" s="5" t="s">
        <v>60</v>
      </c>
      <c r="C55" s="80" t="s">
        <v>61</v>
      </c>
      <c r="D55" s="72" t="s">
        <v>138</v>
      </c>
      <c r="E55" s="59">
        <v>5000</v>
      </c>
      <c r="F55" s="30">
        <v>5500</v>
      </c>
      <c r="G55" s="78"/>
      <c r="H55" s="78"/>
      <c r="I55" s="115"/>
      <c r="J55" s="55">
        <v>5500</v>
      </c>
      <c r="K55" s="55"/>
      <c r="L55" s="55"/>
      <c r="M55" s="55"/>
      <c r="N55" s="55"/>
      <c r="O55" s="82"/>
      <c r="P55" s="55"/>
      <c r="Q55" s="55"/>
      <c r="R55" s="55"/>
      <c r="S55" s="70"/>
      <c r="T55" s="71"/>
    </row>
    <row r="56" spans="1:21" s="17" customFormat="1" ht="15" thickBot="1">
      <c r="A56" s="62" t="s">
        <v>24</v>
      </c>
      <c r="B56" s="5" t="s">
        <v>79</v>
      </c>
      <c r="C56" s="80" t="s">
        <v>139</v>
      </c>
      <c r="D56" s="72" t="s">
        <v>138</v>
      </c>
      <c r="E56" s="59">
        <v>900</v>
      </c>
      <c r="F56" s="30">
        <v>1000</v>
      </c>
      <c r="G56" s="78"/>
      <c r="H56" s="78"/>
      <c r="I56" s="115"/>
      <c r="J56" s="55"/>
      <c r="K56" s="55">
        <v>1000</v>
      </c>
      <c r="L56" s="55"/>
      <c r="M56" s="55"/>
      <c r="N56" s="55"/>
      <c r="O56" s="82"/>
      <c r="P56" s="55"/>
      <c r="Q56" s="55"/>
      <c r="R56" s="55"/>
      <c r="S56" s="70"/>
      <c r="T56" s="71"/>
    </row>
    <row r="57" spans="1:21" s="17" customFormat="1" ht="29.4" thickBot="1">
      <c r="A57" s="62" t="s">
        <v>24</v>
      </c>
      <c r="B57" s="5" t="s">
        <v>79</v>
      </c>
      <c r="C57" s="80" t="s">
        <v>140</v>
      </c>
      <c r="D57" s="72" t="s">
        <v>138</v>
      </c>
      <c r="E57" s="59">
        <v>900</v>
      </c>
      <c r="F57" s="30">
        <v>1000</v>
      </c>
      <c r="G57" s="78"/>
      <c r="H57" s="78"/>
      <c r="I57" s="115"/>
      <c r="J57" s="55"/>
      <c r="K57" s="55">
        <v>1000</v>
      </c>
      <c r="L57" s="55"/>
      <c r="M57" s="55"/>
      <c r="N57" s="55"/>
      <c r="O57" s="82"/>
      <c r="P57" s="55"/>
      <c r="Q57" s="55"/>
      <c r="R57" s="55"/>
      <c r="S57" s="70"/>
      <c r="T57" s="71"/>
    </row>
    <row r="58" spans="1:21" s="17" customFormat="1" ht="29.4" thickBot="1">
      <c r="A58" s="1" t="s">
        <v>24</v>
      </c>
      <c r="B58" s="2" t="s">
        <v>79</v>
      </c>
      <c r="C58" s="122" t="s">
        <v>142</v>
      </c>
      <c r="D58" s="95" t="s">
        <v>143</v>
      </c>
      <c r="E58" s="123">
        <v>900</v>
      </c>
      <c r="F58" s="29">
        <v>1000</v>
      </c>
      <c r="G58" s="78"/>
      <c r="H58" s="78"/>
      <c r="I58" s="115"/>
      <c r="J58" s="55"/>
      <c r="K58" s="55">
        <v>1000</v>
      </c>
      <c r="L58" s="55"/>
      <c r="M58" s="55"/>
      <c r="N58" s="55"/>
      <c r="O58" s="82"/>
      <c r="P58" s="55"/>
      <c r="Q58" s="55"/>
      <c r="R58" s="55"/>
      <c r="S58" s="70"/>
      <c r="T58" s="71"/>
    </row>
    <row r="59" spans="1:21" s="17" customFormat="1" ht="15" thickBot="1">
      <c r="A59" s="62" t="s">
        <v>24</v>
      </c>
      <c r="B59" s="5" t="s">
        <v>79</v>
      </c>
      <c r="C59" s="96" t="s">
        <v>144</v>
      </c>
      <c r="D59" s="72" t="s">
        <v>143</v>
      </c>
      <c r="E59" s="89">
        <v>450</v>
      </c>
      <c r="F59" s="30">
        <v>500</v>
      </c>
      <c r="G59" s="78"/>
      <c r="H59" s="78"/>
      <c r="I59" s="115"/>
      <c r="J59" s="55"/>
      <c r="K59" s="55">
        <v>500</v>
      </c>
      <c r="L59" s="55"/>
      <c r="M59" s="55"/>
      <c r="N59" s="55"/>
      <c r="O59" s="82"/>
      <c r="P59" s="55"/>
      <c r="Q59" s="55"/>
      <c r="R59" s="55"/>
      <c r="S59" s="70"/>
      <c r="T59" s="71"/>
    </row>
    <row r="60" spans="1:21" s="17" customFormat="1" ht="15" thickBot="1">
      <c r="A60" s="62" t="s">
        <v>24</v>
      </c>
      <c r="B60" s="5" t="s">
        <v>79</v>
      </c>
      <c r="C60" s="96" t="s">
        <v>145</v>
      </c>
      <c r="D60" s="72" t="s">
        <v>143</v>
      </c>
      <c r="E60" s="89">
        <v>450</v>
      </c>
      <c r="F60" s="30">
        <v>500</v>
      </c>
      <c r="G60" s="78"/>
      <c r="H60" s="78"/>
      <c r="I60" s="55"/>
      <c r="J60" s="55"/>
      <c r="K60" s="55"/>
      <c r="L60" s="55">
        <v>500</v>
      </c>
      <c r="M60" s="55"/>
      <c r="N60" s="55"/>
      <c r="O60" s="82"/>
      <c r="P60" s="55"/>
      <c r="Q60" s="55"/>
      <c r="R60" s="55"/>
      <c r="S60" s="70"/>
      <c r="T60" s="71"/>
    </row>
    <row r="61" spans="1:21">
      <c r="A61" s="12"/>
      <c r="B61" s="13"/>
      <c r="C61" s="34"/>
      <c r="D61" s="27"/>
      <c r="E61" s="54"/>
      <c r="F61" s="67"/>
      <c r="I61" t="s">
        <v>16</v>
      </c>
      <c r="J61" s="68">
        <f t="shared" ref="J61:T61" si="0">SUM(J2:J60)</f>
        <v>106100</v>
      </c>
      <c r="K61" s="68">
        <f t="shared" si="0"/>
        <v>16500</v>
      </c>
      <c r="L61" s="68">
        <f t="shared" si="0"/>
        <v>102100</v>
      </c>
      <c r="M61" s="68">
        <f t="shared" si="0"/>
        <v>48400</v>
      </c>
      <c r="N61" s="68">
        <f t="shared" si="0"/>
        <v>0</v>
      </c>
      <c r="O61" s="68">
        <f t="shared" si="0"/>
        <v>116000</v>
      </c>
      <c r="P61" s="68">
        <f t="shared" si="0"/>
        <v>29000</v>
      </c>
      <c r="Q61" s="68">
        <f t="shared" si="0"/>
        <v>5500</v>
      </c>
      <c r="R61" s="68">
        <f t="shared" si="0"/>
        <v>78900</v>
      </c>
      <c r="S61" s="68">
        <f t="shared" si="0"/>
        <v>42400</v>
      </c>
      <c r="T61" s="68">
        <f t="shared" si="0"/>
        <v>49000</v>
      </c>
      <c r="U61" s="76">
        <f>SUM(J61:T61)</f>
        <v>593900</v>
      </c>
    </row>
    <row r="62" spans="1:21">
      <c r="I62">
        <f>J62+K62+L62+M62+N62+O62+P62+R62+S62+T62+Q62</f>
        <v>330000</v>
      </c>
      <c r="J62">
        <v>64900</v>
      </c>
      <c r="K62" s="130">
        <v>2000</v>
      </c>
      <c r="L62">
        <v>19500</v>
      </c>
      <c r="M62" s="74">
        <v>48400</v>
      </c>
      <c r="O62" s="83">
        <v>116000</v>
      </c>
      <c r="Q62">
        <v>5500</v>
      </c>
      <c r="S62">
        <v>42200</v>
      </c>
      <c r="T62" s="64">
        <v>31500</v>
      </c>
      <c r="U62" s="76">
        <f>SUM(J62:T62)</f>
        <v>330000</v>
      </c>
    </row>
    <row r="63" spans="1:21">
      <c r="J63" s="77">
        <f>J61-J62</f>
        <v>41200</v>
      </c>
      <c r="K63" s="77">
        <f>K61-K62</f>
        <v>14500</v>
      </c>
      <c r="L63" s="77">
        <f>L61-L62</f>
        <v>82600</v>
      </c>
      <c r="M63" s="77">
        <f>M61-M62</f>
        <v>0</v>
      </c>
      <c r="N63" s="77">
        <f t="shared" ref="N63:T63" si="1">N61-N62</f>
        <v>0</v>
      </c>
      <c r="O63" s="17">
        <f t="shared" si="1"/>
        <v>0</v>
      </c>
      <c r="P63" s="77">
        <f t="shared" si="1"/>
        <v>29000</v>
      </c>
      <c r="Q63" s="77">
        <f t="shared" si="1"/>
        <v>0</v>
      </c>
      <c r="R63" s="77">
        <f t="shared" si="1"/>
        <v>78900</v>
      </c>
      <c r="S63" s="77">
        <f t="shared" si="1"/>
        <v>200</v>
      </c>
      <c r="T63" s="77">
        <f t="shared" si="1"/>
        <v>17500</v>
      </c>
      <c r="U63" s="76">
        <f>SUM(J63:T63)</f>
        <v>263900</v>
      </c>
    </row>
    <row r="65" spans="5:20" ht="37.200000000000003" customHeight="1">
      <c r="E65">
        <f>SUM(E2:E64)</f>
        <v>444300</v>
      </c>
      <c r="F65" s="24">
        <f>SUM(F2:F64)</f>
        <v>593900</v>
      </c>
      <c r="J65" s="85" t="s">
        <v>8</v>
      </c>
      <c r="K65" s="65" t="s">
        <v>64</v>
      </c>
      <c r="L65" s="85" t="s">
        <v>10</v>
      </c>
      <c r="M65" s="85" t="s">
        <v>9</v>
      </c>
      <c r="N65" s="85" t="s">
        <v>14</v>
      </c>
      <c r="O65" s="86" t="s">
        <v>141</v>
      </c>
      <c r="P65" s="85" t="s">
        <v>30</v>
      </c>
      <c r="Q65" s="65" t="s">
        <v>120</v>
      </c>
      <c r="R65" s="85" t="s">
        <v>23</v>
      </c>
      <c r="S65" s="87" t="s">
        <v>11</v>
      </c>
      <c r="T65" s="88" t="s">
        <v>13</v>
      </c>
    </row>
    <row r="66" spans="5:20">
      <c r="E66" t="s">
        <v>15</v>
      </c>
      <c r="F66">
        <f>I62</f>
        <v>330000</v>
      </c>
    </row>
    <row r="67" spans="5:20" ht="25.2" customHeight="1">
      <c r="F67" s="73">
        <f>F65-F66</f>
        <v>263900</v>
      </c>
    </row>
  </sheetData>
  <mergeCells count="1">
    <mergeCell ref="E11:E12"/>
  </mergeCells>
  <pageMargins left="0.23622047244094491" right="0.23622047244094491" top="0.74803149606299213" bottom="0.74803149606299213" header="0.31496062992125984" footer="0.31496062992125984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1"/>
  <sheetViews>
    <sheetView workbookViewId="0">
      <selection activeCell="B2" sqref="B2"/>
    </sheetView>
  </sheetViews>
  <sheetFormatPr defaultRowHeight="14.4"/>
  <cols>
    <col min="1" max="1" width="44.44140625" customWidth="1"/>
    <col min="2" max="2" width="40.6640625" customWidth="1"/>
    <col min="3" max="3" width="21.21875" customWidth="1"/>
    <col min="4" max="4" width="15.33203125" customWidth="1"/>
    <col min="5" max="5" width="14.109375" customWidth="1"/>
  </cols>
  <sheetData>
    <row r="1" spans="1:9" ht="15" thickBot="1">
      <c r="A1" s="1" t="s">
        <v>83</v>
      </c>
      <c r="B1" s="2" t="s">
        <v>84</v>
      </c>
      <c r="C1" s="60" t="s">
        <v>78</v>
      </c>
      <c r="D1" s="121" t="s">
        <v>85</v>
      </c>
      <c r="E1" s="61">
        <v>23400</v>
      </c>
      <c r="F1" s="12"/>
      <c r="H1" s="12"/>
      <c r="I1" s="36"/>
    </row>
    <row r="2" spans="1:9" ht="15" thickBot="1">
      <c r="A2" s="110" t="s">
        <v>92</v>
      </c>
      <c r="B2" s="2" t="s">
        <v>76</v>
      </c>
      <c r="C2" s="60" t="s">
        <v>93</v>
      </c>
      <c r="D2" s="121" t="s">
        <v>94</v>
      </c>
      <c r="E2" s="90">
        <v>23100</v>
      </c>
      <c r="G2" s="12"/>
    </row>
    <row r="3" spans="1:9" ht="15" thickBot="1">
      <c r="A3" s="111" t="s">
        <v>95</v>
      </c>
      <c r="B3" s="8" t="s">
        <v>96</v>
      </c>
      <c r="C3" s="60" t="s">
        <v>97</v>
      </c>
      <c r="D3" s="60" t="s">
        <v>98</v>
      </c>
      <c r="E3" s="61">
        <v>14000</v>
      </c>
      <c r="G3" s="12"/>
    </row>
    <row r="4" spans="1:9" ht="15" thickBot="1">
      <c r="A4" s="110" t="s">
        <v>103</v>
      </c>
      <c r="B4" s="2" t="s">
        <v>76</v>
      </c>
      <c r="C4" s="60" t="s">
        <v>104</v>
      </c>
      <c r="D4" s="121" t="s">
        <v>94</v>
      </c>
      <c r="E4" s="90">
        <v>23100</v>
      </c>
      <c r="F4" s="17"/>
      <c r="G4" s="36"/>
    </row>
    <row r="5" spans="1:9" ht="15" thickBot="1">
      <c r="A5" s="111" t="s">
        <v>105</v>
      </c>
      <c r="B5" s="8" t="s">
        <v>106</v>
      </c>
      <c r="C5" s="60" t="s">
        <v>104</v>
      </c>
      <c r="D5" s="60" t="s">
        <v>98</v>
      </c>
      <c r="E5" s="61">
        <v>17500</v>
      </c>
    </row>
    <row r="6" spans="1:9" ht="15" thickBot="1">
      <c r="A6" s="111" t="s">
        <v>95</v>
      </c>
      <c r="B6" s="8" t="s">
        <v>106</v>
      </c>
      <c r="C6" s="60" t="s">
        <v>111</v>
      </c>
      <c r="D6" s="60" t="s">
        <v>98</v>
      </c>
      <c r="E6" s="61">
        <v>17500</v>
      </c>
    </row>
    <row r="7" spans="1:9" ht="15" thickBot="1">
      <c r="A7" s="62"/>
      <c r="B7" s="5"/>
      <c r="C7" s="58"/>
      <c r="D7" s="80"/>
      <c r="E7" s="101"/>
      <c r="F7" s="17"/>
    </row>
    <row r="8" spans="1:9" ht="15" thickBot="1">
      <c r="A8" s="1"/>
      <c r="B8" s="2"/>
      <c r="C8" s="60"/>
      <c r="D8" s="121"/>
      <c r="E8" s="61"/>
      <c r="F8" s="17"/>
    </row>
    <row r="9" spans="1:9" ht="15" thickBot="1">
      <c r="A9" s="62"/>
      <c r="B9" s="5"/>
      <c r="C9" s="58"/>
      <c r="D9" s="80"/>
      <c r="E9" s="59"/>
      <c r="F9" s="98"/>
    </row>
    <row r="10" spans="1:9" ht="16.2" thickBot="1">
      <c r="A10" s="112"/>
      <c r="B10" s="2"/>
      <c r="C10" s="60"/>
      <c r="D10" s="60"/>
      <c r="E10" s="61"/>
      <c r="F10" s="99"/>
    </row>
    <row r="11" spans="1:9" ht="15" thickBot="1">
      <c r="A11" s="110"/>
      <c r="B11" s="2"/>
      <c r="C11" s="60"/>
      <c r="D11" s="60"/>
      <c r="E11" s="90"/>
      <c r="F11" s="54"/>
    </row>
    <row r="12" spans="1:9" ht="15" thickBot="1">
      <c r="A12" s="62"/>
      <c r="B12" s="5"/>
      <c r="C12" s="58"/>
      <c r="D12" s="58"/>
      <c r="E12" s="101"/>
      <c r="F12" s="54"/>
    </row>
    <row r="13" spans="1:9" ht="15" thickBot="1">
      <c r="A13" s="1"/>
      <c r="B13" s="2"/>
      <c r="C13" s="60"/>
      <c r="D13" s="60"/>
      <c r="E13" s="61"/>
      <c r="F13" s="54"/>
    </row>
    <row r="14" spans="1:9">
      <c r="A14" s="53"/>
      <c r="B14" s="13"/>
      <c r="C14" s="27"/>
      <c r="D14" s="34"/>
      <c r="E14" s="54"/>
      <c r="F14" s="12"/>
    </row>
    <row r="15" spans="1:9">
      <c r="D15" t="s">
        <v>4</v>
      </c>
      <c r="E15" s="6">
        <f>SUM(E1:E14)</f>
        <v>118600</v>
      </c>
    </row>
    <row r="16" spans="1:9">
      <c r="D16" t="s">
        <v>5</v>
      </c>
      <c r="E16">
        <f>Автосвіт!E37+Нікса!E11+'Приватний Двір'!E14+'Ендор Логістик '!E12+Корусанд!E8+'АЙРІС ВОРДВАЙЛ'!E12+ФЛУКОРДІ!E7+'ПРЕМІУМ ТРАНС'!E11+'Компанія Агротранс'!E11+Автоленд!E8</f>
        <v>444300</v>
      </c>
    </row>
    <row r="18" spans="4:5">
      <c r="D18" t="s">
        <v>6</v>
      </c>
      <c r="E18" s="6">
        <f>Автосвіт!F37+Нікса!F11+'Приватний Двір'!F14+'Ендор Логістик '!F12+Корусанд!F8+'АЙРІС ВОРДВАЙЛ'!F12+ФЛУКОРДІ!F7+'ПРЕМІУМ ТРАНС'!F11+'Компанія Агротранс'!F11+Автоленд!F8</f>
        <v>475300</v>
      </c>
    </row>
    <row r="21" spans="4:5">
      <c r="E21" s="57">
        <f>E18+E15</f>
        <v>593900</v>
      </c>
    </row>
  </sheetData>
  <pageMargins left="0.7" right="0.7" top="0.75" bottom="0.75" header="0.3" footer="0.3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37"/>
  <sheetViews>
    <sheetView topLeftCell="A34" workbookViewId="0">
      <selection activeCell="E30" sqref="E30"/>
    </sheetView>
  </sheetViews>
  <sheetFormatPr defaultRowHeight="14.4"/>
  <cols>
    <col min="1" max="1" width="17" customWidth="1"/>
    <col min="2" max="2" width="30.5546875" customWidth="1"/>
    <col min="3" max="3" width="39.88671875" customWidth="1"/>
    <col min="4" max="4" width="13.88671875" customWidth="1"/>
    <col min="5" max="5" width="11.5546875" customWidth="1"/>
    <col min="6" max="6" width="8.5546875" customWidth="1"/>
    <col min="7" max="7" width="10" customWidth="1"/>
    <col min="8" max="8" width="5" customWidth="1"/>
    <col min="9" max="9" width="6.77734375" customWidth="1"/>
    <col min="10" max="10" width="6.5546875" style="7" customWidth="1"/>
    <col min="11" max="11" width="11.109375" customWidth="1"/>
    <col min="12" max="12" width="5.88671875" customWidth="1"/>
  </cols>
  <sheetData>
    <row r="1" spans="1:11" ht="15" thickBot="1">
      <c r="G1" t="s">
        <v>25</v>
      </c>
      <c r="H1" t="s">
        <v>17</v>
      </c>
      <c r="I1" t="s">
        <v>31</v>
      </c>
      <c r="J1" s="7" t="s">
        <v>0</v>
      </c>
      <c r="K1" t="s">
        <v>1</v>
      </c>
    </row>
    <row r="2" spans="1:11" ht="15" thickBot="1">
      <c r="A2" s="1" t="s">
        <v>24</v>
      </c>
      <c r="B2" s="2" t="s">
        <v>22</v>
      </c>
      <c r="C2" s="122" t="s">
        <v>32</v>
      </c>
      <c r="D2" s="95" t="s">
        <v>33</v>
      </c>
      <c r="E2" s="123">
        <v>3600</v>
      </c>
      <c r="F2" s="29">
        <v>4000</v>
      </c>
      <c r="G2" s="78"/>
      <c r="H2" s="78"/>
      <c r="I2" s="78"/>
      <c r="J2" s="44"/>
      <c r="K2" s="45"/>
    </row>
    <row r="3" spans="1:11" ht="15" thickBot="1">
      <c r="A3" s="1" t="s">
        <v>24</v>
      </c>
      <c r="B3" s="2" t="s">
        <v>34</v>
      </c>
      <c r="C3" s="121" t="s">
        <v>35</v>
      </c>
      <c r="D3" s="95" t="s">
        <v>36</v>
      </c>
      <c r="E3" s="61">
        <v>2300</v>
      </c>
      <c r="F3" s="29">
        <v>2300</v>
      </c>
      <c r="G3" s="78"/>
      <c r="H3" s="78"/>
      <c r="I3" s="78"/>
      <c r="J3" s="44"/>
      <c r="K3" s="45"/>
    </row>
    <row r="4" spans="1:11" ht="15" thickBot="1">
      <c r="A4" s="62" t="s">
        <v>24</v>
      </c>
      <c r="B4" s="5" t="s">
        <v>22</v>
      </c>
      <c r="C4" s="80" t="s">
        <v>32</v>
      </c>
      <c r="D4" s="72" t="s">
        <v>36</v>
      </c>
      <c r="E4" s="59">
        <v>5400</v>
      </c>
      <c r="F4" s="30">
        <v>6000</v>
      </c>
      <c r="G4" s="133"/>
      <c r="H4" s="78"/>
      <c r="I4" s="78"/>
      <c r="J4" s="44"/>
      <c r="K4" s="45"/>
    </row>
    <row r="5" spans="1:11" ht="15" thickBot="1">
      <c r="A5" s="62" t="s">
        <v>24</v>
      </c>
      <c r="B5" s="5" t="s">
        <v>22</v>
      </c>
      <c r="C5" s="80" t="s">
        <v>37</v>
      </c>
      <c r="D5" s="72" t="s">
        <v>36</v>
      </c>
      <c r="E5" s="59">
        <v>900</v>
      </c>
      <c r="F5" s="30">
        <v>1000</v>
      </c>
      <c r="G5" s="134"/>
      <c r="H5" s="78"/>
      <c r="I5" s="78"/>
      <c r="J5" s="44"/>
      <c r="K5" s="45"/>
    </row>
    <row r="6" spans="1:11" ht="15" thickBot="1">
      <c r="A6" s="62" t="s">
        <v>24</v>
      </c>
      <c r="B6" s="5" t="s">
        <v>42</v>
      </c>
      <c r="C6" s="80" t="s">
        <v>43</v>
      </c>
      <c r="D6" s="72" t="s">
        <v>41</v>
      </c>
      <c r="E6" s="59">
        <v>1500</v>
      </c>
      <c r="F6" s="30">
        <v>1650</v>
      </c>
      <c r="G6" s="133"/>
      <c r="H6" s="78"/>
      <c r="I6" s="78"/>
      <c r="J6" s="44"/>
      <c r="K6" s="45"/>
    </row>
    <row r="7" spans="1:11" ht="18" customHeight="1" thickBot="1">
      <c r="A7" s="62" t="s">
        <v>24</v>
      </c>
      <c r="B7" s="5" t="s">
        <v>22</v>
      </c>
      <c r="C7" s="80" t="s">
        <v>32</v>
      </c>
      <c r="D7" s="72" t="s">
        <v>41</v>
      </c>
      <c r="E7" s="59">
        <v>3600</v>
      </c>
      <c r="F7" s="30">
        <v>4000</v>
      </c>
      <c r="G7" s="134"/>
      <c r="H7" s="78"/>
      <c r="I7" s="78"/>
      <c r="J7" s="44"/>
      <c r="K7" s="45"/>
    </row>
    <row r="8" spans="1:11" ht="15" thickBot="1">
      <c r="A8" s="1" t="s">
        <v>24</v>
      </c>
      <c r="B8" s="2" t="s">
        <v>22</v>
      </c>
      <c r="C8" s="121" t="s">
        <v>32</v>
      </c>
      <c r="D8" s="95" t="s">
        <v>65</v>
      </c>
      <c r="E8" s="61">
        <v>2700</v>
      </c>
      <c r="F8" s="29">
        <v>3000</v>
      </c>
      <c r="G8" s="31"/>
      <c r="H8" s="31"/>
      <c r="I8" s="31"/>
      <c r="J8" s="44"/>
      <c r="K8" s="52"/>
    </row>
    <row r="9" spans="1:11" ht="19.8" customHeight="1" thickBot="1">
      <c r="A9" s="1" t="s">
        <v>24</v>
      </c>
      <c r="B9" s="2" t="s">
        <v>22</v>
      </c>
      <c r="C9" s="121" t="s">
        <v>52</v>
      </c>
      <c r="D9" s="95" t="s">
        <v>53</v>
      </c>
      <c r="E9" s="61">
        <v>900</v>
      </c>
      <c r="F9" s="29">
        <v>1000</v>
      </c>
      <c r="G9" s="78"/>
      <c r="H9" s="78"/>
      <c r="I9" s="78"/>
      <c r="J9" s="44"/>
      <c r="K9" s="45"/>
    </row>
    <row r="10" spans="1:11" ht="17.399999999999999" customHeight="1" thickBot="1">
      <c r="A10" s="62" t="s">
        <v>24</v>
      </c>
      <c r="B10" s="5" t="s">
        <v>22</v>
      </c>
      <c r="C10" s="80" t="s">
        <v>54</v>
      </c>
      <c r="D10" s="72" t="s">
        <v>53</v>
      </c>
      <c r="E10" s="59">
        <v>900</v>
      </c>
      <c r="F10" s="30">
        <v>1000</v>
      </c>
      <c r="G10" s="133"/>
      <c r="H10" s="78"/>
      <c r="I10" s="78"/>
      <c r="J10" s="44"/>
      <c r="K10" s="45"/>
    </row>
    <row r="11" spans="1:11" ht="19.2" customHeight="1" thickBot="1">
      <c r="A11" s="62" t="s">
        <v>24</v>
      </c>
      <c r="B11" s="5" t="s">
        <v>22</v>
      </c>
      <c r="C11" s="80" t="s">
        <v>32</v>
      </c>
      <c r="D11" s="72" t="s">
        <v>53</v>
      </c>
      <c r="E11" s="59">
        <v>2700</v>
      </c>
      <c r="F11" s="30">
        <v>3000</v>
      </c>
      <c r="G11" s="134"/>
      <c r="H11" s="78"/>
      <c r="I11" s="78"/>
      <c r="J11" s="44"/>
      <c r="K11" s="45"/>
    </row>
    <row r="12" spans="1:11" ht="15" thickBot="1">
      <c r="A12" s="1" t="s">
        <v>24</v>
      </c>
      <c r="B12" s="2" t="s">
        <v>57</v>
      </c>
      <c r="C12" s="121" t="s">
        <v>58</v>
      </c>
      <c r="D12" s="95" t="s">
        <v>59</v>
      </c>
      <c r="E12" s="61">
        <v>13000</v>
      </c>
      <c r="F12" s="29">
        <v>14300</v>
      </c>
      <c r="G12" s="78"/>
      <c r="H12" s="78"/>
      <c r="I12" s="78"/>
      <c r="J12" s="44"/>
      <c r="K12" s="45"/>
    </row>
    <row r="13" spans="1:11" ht="15" thickBot="1">
      <c r="A13" s="62" t="s">
        <v>24</v>
      </c>
      <c r="B13" s="5" t="s">
        <v>60</v>
      </c>
      <c r="C13" s="80" t="s">
        <v>61</v>
      </c>
      <c r="D13" s="72" t="s">
        <v>62</v>
      </c>
      <c r="E13" s="59">
        <v>5000</v>
      </c>
      <c r="F13" s="30">
        <v>5500</v>
      </c>
      <c r="G13" s="78"/>
      <c r="H13" s="78" t="s">
        <v>129</v>
      </c>
      <c r="I13" s="78"/>
      <c r="J13" s="44"/>
      <c r="K13" s="52"/>
    </row>
    <row r="14" spans="1:11" ht="15" thickBot="1">
      <c r="A14" s="62" t="s">
        <v>24</v>
      </c>
      <c r="B14" s="5" t="s">
        <v>22</v>
      </c>
      <c r="C14" s="80" t="s">
        <v>32</v>
      </c>
      <c r="D14" s="72" t="s">
        <v>62</v>
      </c>
      <c r="E14" s="59">
        <v>900</v>
      </c>
      <c r="F14" s="30">
        <v>1000</v>
      </c>
      <c r="G14" s="78"/>
      <c r="H14" s="78"/>
      <c r="I14" s="78"/>
      <c r="J14" s="44"/>
      <c r="K14" s="52"/>
    </row>
    <row r="15" spans="1:11" ht="15" thickBot="1">
      <c r="A15" s="62" t="s">
        <v>24</v>
      </c>
      <c r="B15" s="5" t="s">
        <v>22</v>
      </c>
      <c r="C15" s="80" t="s">
        <v>63</v>
      </c>
      <c r="D15" s="72" t="s">
        <v>62</v>
      </c>
      <c r="E15" s="59">
        <v>1800</v>
      </c>
      <c r="F15" s="30">
        <v>2000</v>
      </c>
      <c r="G15" s="31"/>
      <c r="H15" s="31"/>
      <c r="I15" s="31"/>
      <c r="J15" s="44"/>
      <c r="K15" s="52"/>
    </row>
    <row r="16" spans="1:11" ht="15" thickBot="1">
      <c r="A16" s="62" t="s">
        <v>24</v>
      </c>
      <c r="B16" s="5" t="s">
        <v>22</v>
      </c>
      <c r="C16" s="80" t="s">
        <v>72</v>
      </c>
      <c r="D16" s="72" t="s">
        <v>73</v>
      </c>
      <c r="E16" s="59">
        <v>900</v>
      </c>
      <c r="F16" s="30">
        <v>1000</v>
      </c>
      <c r="G16" s="31"/>
      <c r="H16" s="10" t="s">
        <v>129</v>
      </c>
      <c r="I16" s="31"/>
      <c r="J16" s="118"/>
      <c r="K16" s="52"/>
    </row>
    <row r="17" spans="1:11" ht="15" thickBot="1">
      <c r="A17" s="62" t="s">
        <v>24</v>
      </c>
      <c r="B17" s="5" t="s">
        <v>22</v>
      </c>
      <c r="C17" s="80" t="s">
        <v>74</v>
      </c>
      <c r="D17" s="72" t="s">
        <v>73</v>
      </c>
      <c r="E17" s="59">
        <v>3700</v>
      </c>
      <c r="F17" s="30">
        <v>4000</v>
      </c>
      <c r="G17" s="31"/>
      <c r="H17" s="10"/>
      <c r="I17" s="31"/>
      <c r="J17" s="118"/>
      <c r="K17" s="52"/>
    </row>
    <row r="18" spans="1:11" ht="15" thickBot="1">
      <c r="A18" s="62" t="s">
        <v>24</v>
      </c>
      <c r="B18" s="5" t="s">
        <v>79</v>
      </c>
      <c r="C18" s="80" t="s">
        <v>72</v>
      </c>
      <c r="D18" s="72" t="s">
        <v>80</v>
      </c>
      <c r="E18" s="59">
        <v>1800</v>
      </c>
      <c r="F18" s="30">
        <v>2000</v>
      </c>
      <c r="G18" s="31"/>
      <c r="H18" s="10" t="s">
        <v>129</v>
      </c>
      <c r="I18" s="31"/>
      <c r="J18" s="118"/>
      <c r="K18" s="52"/>
    </row>
    <row r="19" spans="1:11" ht="29.4" thickBot="1">
      <c r="A19" s="62" t="s">
        <v>24</v>
      </c>
      <c r="B19" s="5" t="s">
        <v>81</v>
      </c>
      <c r="C19" s="80" t="s">
        <v>86</v>
      </c>
      <c r="D19" s="72" t="s">
        <v>80</v>
      </c>
      <c r="E19" s="59">
        <v>2000</v>
      </c>
      <c r="F19" s="30">
        <v>2200</v>
      </c>
      <c r="G19" s="31"/>
      <c r="H19" s="10"/>
      <c r="I19" s="31"/>
      <c r="J19" s="118"/>
      <c r="K19" s="52"/>
    </row>
    <row r="20" spans="1:11" ht="15" thickBot="1">
      <c r="A20" s="62" t="s">
        <v>24</v>
      </c>
      <c r="B20" s="5" t="s">
        <v>79</v>
      </c>
      <c r="C20" s="80" t="s">
        <v>82</v>
      </c>
      <c r="D20" s="72" t="s">
        <v>80</v>
      </c>
      <c r="E20" s="59">
        <v>900</v>
      </c>
      <c r="F20" s="30">
        <v>1000</v>
      </c>
      <c r="G20" s="31"/>
      <c r="H20" s="10"/>
      <c r="I20" s="31"/>
      <c r="J20" s="118"/>
      <c r="K20" s="52"/>
    </row>
    <row r="21" spans="1:11" ht="15" thickBot="1">
      <c r="A21" s="62" t="s">
        <v>24</v>
      </c>
      <c r="B21" s="5" t="s">
        <v>79</v>
      </c>
      <c r="C21" s="80" t="s">
        <v>72</v>
      </c>
      <c r="D21" s="72" t="s">
        <v>88</v>
      </c>
      <c r="E21" s="59">
        <v>900</v>
      </c>
      <c r="F21" s="30">
        <v>1000</v>
      </c>
      <c r="G21" s="31"/>
      <c r="H21" s="10"/>
      <c r="I21" s="31"/>
      <c r="J21" s="118"/>
      <c r="K21" s="52"/>
    </row>
    <row r="22" spans="1:11" ht="15" thickBot="1">
      <c r="A22" s="62" t="s">
        <v>24</v>
      </c>
      <c r="B22" s="5" t="s">
        <v>79</v>
      </c>
      <c r="C22" s="80" t="s">
        <v>91</v>
      </c>
      <c r="D22" s="72" t="s">
        <v>88</v>
      </c>
      <c r="E22" s="59">
        <v>900</v>
      </c>
      <c r="F22" s="30">
        <v>1000</v>
      </c>
      <c r="G22" s="31"/>
      <c r="H22" s="10" t="s">
        <v>129</v>
      </c>
      <c r="I22" s="31"/>
      <c r="J22" s="118"/>
      <c r="K22" s="52"/>
    </row>
    <row r="23" spans="1:11" ht="15" thickBot="1">
      <c r="A23" s="1" t="s">
        <v>24</v>
      </c>
      <c r="B23" s="2" t="s">
        <v>79</v>
      </c>
      <c r="C23" s="121" t="s">
        <v>99</v>
      </c>
      <c r="D23" s="95" t="s">
        <v>100</v>
      </c>
      <c r="E23" s="61">
        <v>1800</v>
      </c>
      <c r="F23" s="29">
        <v>2000</v>
      </c>
      <c r="G23" s="31"/>
      <c r="H23" s="10"/>
      <c r="I23" s="31"/>
      <c r="J23" s="118"/>
      <c r="K23" s="52"/>
    </row>
    <row r="24" spans="1:11" ht="15" thickBot="1">
      <c r="A24" s="62" t="s">
        <v>24</v>
      </c>
      <c r="B24" s="5" t="s">
        <v>79</v>
      </c>
      <c r="C24" s="80" t="s">
        <v>72</v>
      </c>
      <c r="D24" s="72" t="s">
        <v>100</v>
      </c>
      <c r="E24" s="59">
        <v>1800</v>
      </c>
      <c r="F24" s="30">
        <v>2000</v>
      </c>
      <c r="G24" s="31"/>
      <c r="H24" s="10" t="s">
        <v>129</v>
      </c>
      <c r="I24" s="31"/>
      <c r="J24" s="118"/>
      <c r="K24" s="52"/>
    </row>
    <row r="25" spans="1:11" ht="15" thickBot="1">
      <c r="A25" s="62" t="s">
        <v>24</v>
      </c>
      <c r="B25" s="5" t="s">
        <v>79</v>
      </c>
      <c r="C25" s="80" t="s">
        <v>99</v>
      </c>
      <c r="D25" s="72" t="s">
        <v>102</v>
      </c>
      <c r="E25" s="59">
        <v>900</v>
      </c>
      <c r="F25" s="102">
        <v>1000</v>
      </c>
      <c r="G25" s="31"/>
      <c r="H25" s="10"/>
      <c r="I25" s="31"/>
      <c r="J25" s="118"/>
      <c r="K25" s="52"/>
    </row>
    <row r="26" spans="1:11" ht="15" thickBot="1">
      <c r="A26" s="1" t="s">
        <v>24</v>
      </c>
      <c r="B26" s="2" t="s">
        <v>112</v>
      </c>
      <c r="C26" s="121" t="s">
        <v>115</v>
      </c>
      <c r="D26" s="95" t="s">
        <v>113</v>
      </c>
      <c r="E26" s="61">
        <v>4000</v>
      </c>
      <c r="F26" s="113">
        <v>4400</v>
      </c>
      <c r="G26" s="31"/>
      <c r="H26" s="10"/>
      <c r="I26" s="31"/>
      <c r="J26" s="118"/>
      <c r="K26" s="52"/>
    </row>
    <row r="27" spans="1:11" ht="15" thickBot="1">
      <c r="A27" s="62" t="s">
        <v>24</v>
      </c>
      <c r="B27" s="5" t="s">
        <v>79</v>
      </c>
      <c r="C27" s="80" t="s">
        <v>114</v>
      </c>
      <c r="D27" s="72" t="s">
        <v>113</v>
      </c>
      <c r="E27" s="59">
        <v>1800</v>
      </c>
      <c r="F27" s="102">
        <v>2000</v>
      </c>
      <c r="G27" s="31"/>
      <c r="H27" s="10"/>
      <c r="I27" s="31"/>
      <c r="J27" s="118"/>
      <c r="K27" s="52"/>
    </row>
    <row r="28" spans="1:11" ht="29.4" thickBot="1">
      <c r="A28" s="62" t="s">
        <v>24</v>
      </c>
      <c r="B28" s="5" t="s">
        <v>79</v>
      </c>
      <c r="C28" s="80" t="s">
        <v>119</v>
      </c>
      <c r="D28" s="72" t="s">
        <v>118</v>
      </c>
      <c r="E28" s="59">
        <v>900</v>
      </c>
      <c r="F28" s="102">
        <v>1000</v>
      </c>
      <c r="G28" s="31"/>
      <c r="H28" s="10"/>
      <c r="I28" s="31"/>
      <c r="J28" s="118"/>
      <c r="K28" s="52"/>
    </row>
    <row r="29" spans="1:11" ht="29.4" thickBot="1">
      <c r="A29" s="62" t="s">
        <v>24</v>
      </c>
      <c r="B29" s="5" t="s">
        <v>79</v>
      </c>
      <c r="C29" s="80" t="s">
        <v>124</v>
      </c>
      <c r="D29" s="72" t="s">
        <v>123</v>
      </c>
      <c r="E29" s="59">
        <v>1200</v>
      </c>
      <c r="F29" s="102">
        <v>1200</v>
      </c>
      <c r="G29" s="31"/>
      <c r="H29" s="10"/>
      <c r="I29" s="31"/>
      <c r="J29" s="118"/>
      <c r="K29" s="52"/>
    </row>
    <row r="30" spans="1:11" ht="15" thickBot="1">
      <c r="A30" s="62" t="s">
        <v>24</v>
      </c>
      <c r="B30" s="5" t="s">
        <v>126</v>
      </c>
      <c r="C30" s="80" t="s">
        <v>128</v>
      </c>
      <c r="D30" s="72" t="s">
        <v>127</v>
      </c>
      <c r="E30" s="59">
        <v>5600</v>
      </c>
      <c r="F30" s="102">
        <v>6000</v>
      </c>
      <c r="G30" s="31"/>
      <c r="H30" s="10"/>
      <c r="I30" s="31"/>
      <c r="J30" s="118"/>
      <c r="K30" s="52"/>
    </row>
    <row r="31" spans="1:11" ht="15" thickBot="1">
      <c r="A31" s="62" t="s">
        <v>24</v>
      </c>
      <c r="B31" s="5" t="s">
        <v>60</v>
      </c>
      <c r="C31" s="80" t="s">
        <v>61</v>
      </c>
      <c r="D31" s="72" t="s">
        <v>138</v>
      </c>
      <c r="E31" s="59">
        <v>5000</v>
      </c>
      <c r="F31" s="102">
        <v>5500</v>
      </c>
      <c r="G31" s="31"/>
      <c r="H31" s="10"/>
      <c r="I31" s="31"/>
      <c r="J31" s="118"/>
      <c r="K31" s="52"/>
    </row>
    <row r="32" spans="1:11" ht="15" thickBot="1">
      <c r="A32" s="62" t="s">
        <v>24</v>
      </c>
      <c r="B32" s="5" t="s">
        <v>79</v>
      </c>
      <c r="C32" s="80" t="s">
        <v>139</v>
      </c>
      <c r="D32" s="72" t="s">
        <v>138</v>
      </c>
      <c r="E32" s="59">
        <v>900</v>
      </c>
      <c r="F32" s="102">
        <v>1000</v>
      </c>
      <c r="G32" s="31"/>
      <c r="H32" s="10"/>
      <c r="I32" s="31"/>
      <c r="J32" s="118"/>
      <c r="K32" s="52"/>
    </row>
    <row r="33" spans="1:11" ht="15" thickBot="1">
      <c r="A33" s="62" t="s">
        <v>24</v>
      </c>
      <c r="B33" s="5" t="s">
        <v>79</v>
      </c>
      <c r="C33" s="80" t="s">
        <v>140</v>
      </c>
      <c r="D33" s="72" t="s">
        <v>138</v>
      </c>
      <c r="E33" s="59">
        <v>900</v>
      </c>
      <c r="F33" s="102">
        <v>1000</v>
      </c>
      <c r="G33" s="31"/>
      <c r="H33" s="10"/>
      <c r="I33" s="31"/>
      <c r="J33" s="118"/>
      <c r="K33" s="52"/>
    </row>
    <row r="34" spans="1:11" ht="15" thickBot="1">
      <c r="A34" s="1" t="s">
        <v>24</v>
      </c>
      <c r="B34" s="2" t="s">
        <v>79</v>
      </c>
      <c r="C34" s="122" t="s">
        <v>142</v>
      </c>
      <c r="D34" s="95" t="s">
        <v>143</v>
      </c>
      <c r="E34" s="123">
        <v>900</v>
      </c>
      <c r="F34" s="113">
        <v>1000</v>
      </c>
      <c r="G34" s="31"/>
      <c r="H34" s="10"/>
      <c r="I34" s="31"/>
      <c r="J34" s="118"/>
      <c r="K34" s="52"/>
    </row>
    <row r="35" spans="1:11" ht="15" thickBot="1">
      <c r="A35" s="62" t="s">
        <v>24</v>
      </c>
      <c r="B35" s="5" t="s">
        <v>79</v>
      </c>
      <c r="C35" s="96" t="s">
        <v>144</v>
      </c>
      <c r="D35" s="72" t="s">
        <v>143</v>
      </c>
      <c r="E35" s="89">
        <v>450</v>
      </c>
      <c r="F35" s="102">
        <v>500</v>
      </c>
      <c r="G35" s="31"/>
      <c r="H35" s="10"/>
      <c r="I35" s="31"/>
      <c r="J35" s="118"/>
      <c r="K35" s="52"/>
    </row>
    <row r="36" spans="1:11" ht="15" thickBot="1">
      <c r="A36" s="62" t="s">
        <v>24</v>
      </c>
      <c r="B36" s="5" t="s">
        <v>79</v>
      </c>
      <c r="C36" s="96" t="s">
        <v>145</v>
      </c>
      <c r="D36" s="72" t="s">
        <v>143</v>
      </c>
      <c r="E36" s="89">
        <v>450</v>
      </c>
      <c r="F36" s="102">
        <v>500</v>
      </c>
      <c r="G36" s="31"/>
      <c r="H36" s="10"/>
      <c r="I36" s="31"/>
      <c r="J36" s="118"/>
      <c r="K36" s="52"/>
    </row>
    <row r="37" spans="1:11" ht="15" customHeight="1">
      <c r="E37" s="24">
        <f>SUM(E2:E36)</f>
        <v>82900</v>
      </c>
      <c r="F37" s="24">
        <f>SUM(F2:F36)</f>
        <v>91050</v>
      </c>
      <c r="G37" s="24"/>
    </row>
  </sheetData>
  <mergeCells count="3">
    <mergeCell ref="G4:G5"/>
    <mergeCell ref="G6:G7"/>
    <mergeCell ref="G10:G11"/>
  </mergeCells>
  <pageMargins left="0.70866141732283472" right="0.70866141732283472" top="0.74803149606299213" bottom="0.74803149606299213" header="0.31496062992125984" footer="0.31496062992125984"/>
  <pageSetup paperSize="9" scale="7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selection activeCell="B2" sqref="B2"/>
    </sheetView>
  </sheetViews>
  <sheetFormatPr defaultRowHeight="14.4"/>
  <cols>
    <col min="1" max="1" width="23.33203125" customWidth="1"/>
    <col min="2" max="2" width="20.88671875" customWidth="1"/>
    <col min="3" max="3" width="17.88671875" customWidth="1"/>
    <col min="4" max="4" width="13.88671875" customWidth="1"/>
    <col min="5" max="5" width="13.5546875" customWidth="1"/>
    <col min="6" max="6" width="14.5546875" customWidth="1"/>
    <col min="7" max="7" width="13.88671875" customWidth="1"/>
    <col min="9" max="9" width="10.109375" bestFit="1" customWidth="1"/>
  </cols>
  <sheetData>
    <row r="1" spans="1:9" ht="15" thickBot="1">
      <c r="A1" s="18"/>
      <c r="B1" s="19"/>
      <c r="C1" s="32"/>
      <c r="D1" s="32"/>
      <c r="E1" s="33"/>
      <c r="F1" s="23"/>
      <c r="G1" s="20"/>
      <c r="H1" t="s">
        <v>19</v>
      </c>
    </row>
    <row r="2" spans="1:9" ht="15" thickBot="1">
      <c r="A2" s="1" t="s">
        <v>48</v>
      </c>
      <c r="B2" s="2" t="s">
        <v>49</v>
      </c>
      <c r="C2" s="121" t="s">
        <v>50</v>
      </c>
      <c r="D2" s="95" t="s">
        <v>51</v>
      </c>
      <c r="E2" s="61">
        <v>18000</v>
      </c>
      <c r="F2" s="29">
        <v>19800</v>
      </c>
      <c r="G2" s="8"/>
      <c r="H2" s="52"/>
      <c r="I2" s="45"/>
    </row>
    <row r="3" spans="1:9" ht="15" thickBot="1">
      <c r="A3" s="1"/>
      <c r="B3" s="2"/>
      <c r="C3" s="49"/>
      <c r="D3" s="50"/>
      <c r="E3" s="51"/>
      <c r="F3" s="3"/>
      <c r="G3" s="8"/>
      <c r="H3" s="10"/>
      <c r="I3" s="10"/>
    </row>
    <row r="4" spans="1:9" ht="15" thickBot="1">
      <c r="A4" s="35"/>
      <c r="B4" s="5"/>
      <c r="C4" s="22"/>
      <c r="D4" s="11"/>
      <c r="E4" s="16"/>
      <c r="F4" s="30"/>
      <c r="G4" s="20"/>
    </row>
    <row r="11" spans="1:9">
      <c r="E11" s="24">
        <f>SUM(E1:E10)</f>
        <v>18000</v>
      </c>
      <c r="F11" s="6">
        <f>SUM(F1:F10)</f>
        <v>19800</v>
      </c>
    </row>
  </sheetData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4"/>
  <sheetViews>
    <sheetView topLeftCell="A7" workbookViewId="0">
      <selection activeCell="A12" sqref="A12:XFD15"/>
    </sheetView>
  </sheetViews>
  <sheetFormatPr defaultRowHeight="14.4"/>
  <cols>
    <col min="1" max="1" width="23.88671875" customWidth="1"/>
    <col min="2" max="2" width="41.33203125" customWidth="1"/>
    <col min="3" max="3" width="38.6640625" customWidth="1"/>
    <col min="4" max="4" width="12.6640625" customWidth="1"/>
    <col min="5" max="5" width="8.44140625" customWidth="1"/>
    <col min="6" max="6" width="11" customWidth="1"/>
    <col min="7" max="7" width="17.88671875" customWidth="1"/>
    <col min="8" max="8" width="7.109375" customWidth="1"/>
    <col min="9" max="9" width="10.109375" bestFit="1" customWidth="1"/>
  </cols>
  <sheetData>
    <row r="1" spans="1:9">
      <c r="A1" s="18"/>
      <c r="B1" s="19"/>
      <c r="C1" s="19"/>
      <c r="D1" s="32"/>
      <c r="E1" s="33"/>
      <c r="F1" s="21"/>
      <c r="G1" s="20" t="s">
        <v>26</v>
      </c>
      <c r="H1" s="43"/>
      <c r="I1" s="43"/>
    </row>
    <row r="2" spans="1:9" ht="15" thickBot="1">
      <c r="A2" s="62" t="s">
        <v>44</v>
      </c>
      <c r="B2" s="5" t="s">
        <v>45</v>
      </c>
      <c r="C2" s="80" t="s">
        <v>46</v>
      </c>
      <c r="D2" s="72" t="s">
        <v>47</v>
      </c>
      <c r="E2" s="59">
        <v>18000</v>
      </c>
      <c r="F2" s="30">
        <v>18900</v>
      </c>
      <c r="G2" s="4"/>
      <c r="H2" s="52"/>
      <c r="I2" s="45"/>
    </row>
    <row r="3" spans="1:9" ht="15" thickBot="1">
      <c r="A3" s="62" t="s">
        <v>44</v>
      </c>
      <c r="B3" s="5" t="s">
        <v>66</v>
      </c>
      <c r="C3" s="80" t="s">
        <v>67</v>
      </c>
      <c r="D3" s="72" t="s">
        <v>68</v>
      </c>
      <c r="E3" s="131">
        <v>47000</v>
      </c>
      <c r="F3" s="30">
        <v>17200</v>
      </c>
      <c r="G3" s="4"/>
      <c r="H3" s="52"/>
      <c r="I3" s="45"/>
    </row>
    <row r="4" spans="1:9" ht="15" thickBot="1">
      <c r="A4" s="62" t="s">
        <v>44</v>
      </c>
      <c r="B4" s="5" t="s">
        <v>66</v>
      </c>
      <c r="C4" s="80" t="s">
        <v>69</v>
      </c>
      <c r="D4" s="72" t="s">
        <v>70</v>
      </c>
      <c r="E4" s="132"/>
      <c r="F4" s="30">
        <v>34400</v>
      </c>
      <c r="G4" s="4"/>
      <c r="H4" s="52"/>
      <c r="I4" s="45"/>
    </row>
    <row r="5" spans="1:9" ht="18.600000000000001" customHeight="1" thickBot="1">
      <c r="A5" s="62" t="s">
        <v>44</v>
      </c>
      <c r="B5" s="5" t="s">
        <v>55</v>
      </c>
      <c r="C5" s="80" t="s">
        <v>46</v>
      </c>
      <c r="D5" s="72" t="s">
        <v>56</v>
      </c>
      <c r="E5" s="59">
        <v>16000</v>
      </c>
      <c r="F5" s="30">
        <v>16800</v>
      </c>
      <c r="G5" s="4"/>
      <c r="H5" s="52"/>
      <c r="I5" s="45"/>
    </row>
    <row r="6" spans="1:9" ht="15" thickBot="1">
      <c r="A6" s="1" t="s">
        <v>44</v>
      </c>
      <c r="B6" s="2" t="s">
        <v>45</v>
      </c>
      <c r="C6" s="121" t="s">
        <v>46</v>
      </c>
      <c r="D6" s="95" t="s">
        <v>71</v>
      </c>
      <c r="E6" s="61">
        <v>18500</v>
      </c>
      <c r="F6" s="29">
        <v>18900</v>
      </c>
      <c r="G6" s="4"/>
      <c r="H6" s="52"/>
      <c r="I6" s="45"/>
    </row>
    <row r="7" spans="1:9" ht="15" thickBot="1">
      <c r="A7" s="1" t="s">
        <v>44</v>
      </c>
      <c r="B7" s="2" t="s">
        <v>49</v>
      </c>
      <c r="C7" s="121" t="s">
        <v>50</v>
      </c>
      <c r="D7" s="95" t="s">
        <v>101</v>
      </c>
      <c r="E7" s="61">
        <v>13000</v>
      </c>
      <c r="F7" s="29">
        <v>14300</v>
      </c>
      <c r="G7" s="4"/>
      <c r="H7" s="52"/>
      <c r="I7" s="45"/>
    </row>
    <row r="8" spans="1:9" ht="15" thickBot="1">
      <c r="A8" s="1" t="s">
        <v>44</v>
      </c>
      <c r="B8" s="2" t="s">
        <v>45</v>
      </c>
      <c r="C8" s="121" t="s">
        <v>46</v>
      </c>
      <c r="D8" s="95" t="s">
        <v>125</v>
      </c>
      <c r="E8" s="61">
        <v>14500</v>
      </c>
      <c r="F8" s="29">
        <v>16000</v>
      </c>
      <c r="G8" s="4"/>
      <c r="H8" s="10"/>
      <c r="I8" s="10"/>
    </row>
    <row r="9" spans="1:9" ht="15" thickBot="1">
      <c r="A9" s="1" t="s">
        <v>44</v>
      </c>
      <c r="B9" s="2" t="s">
        <v>130</v>
      </c>
      <c r="C9" s="121" t="s">
        <v>131</v>
      </c>
      <c r="D9" s="95" t="s">
        <v>132</v>
      </c>
      <c r="E9" s="61">
        <v>30000</v>
      </c>
      <c r="F9" s="29">
        <v>31000</v>
      </c>
      <c r="G9" s="4"/>
      <c r="H9" s="10"/>
      <c r="I9" s="10"/>
    </row>
    <row r="10" spans="1:9" ht="15" thickBot="1">
      <c r="A10" s="62"/>
      <c r="B10" s="5"/>
      <c r="C10" s="80"/>
      <c r="D10" s="58"/>
      <c r="E10" s="59"/>
      <c r="F10" s="30"/>
      <c r="G10" s="31"/>
      <c r="H10" s="10"/>
      <c r="I10" s="10"/>
    </row>
    <row r="11" spans="1:9" ht="15" thickBot="1">
      <c r="A11" s="62"/>
      <c r="B11" s="5"/>
      <c r="C11" s="80"/>
      <c r="D11" s="72"/>
      <c r="E11" s="59"/>
      <c r="F11" s="30"/>
      <c r="G11" s="31"/>
      <c r="H11" s="10"/>
      <c r="I11" s="10"/>
    </row>
    <row r="12" spans="1:9">
      <c r="A12" s="12"/>
      <c r="B12" s="13"/>
      <c r="C12" s="34"/>
      <c r="D12" s="27"/>
      <c r="E12" s="28"/>
      <c r="F12" s="14"/>
      <c r="G12" s="12"/>
      <c r="H12" s="36"/>
      <c r="I12" s="36"/>
    </row>
    <row r="13" spans="1:9">
      <c r="A13" s="12"/>
      <c r="B13" s="13"/>
      <c r="C13" s="27"/>
      <c r="D13" s="27"/>
      <c r="E13" s="28"/>
      <c r="F13" s="15"/>
      <c r="G13" s="12"/>
      <c r="I13" t="s">
        <v>27</v>
      </c>
    </row>
    <row r="14" spans="1:9">
      <c r="E14" s="24">
        <f>SUM(E1:E11)</f>
        <v>157000</v>
      </c>
      <c r="F14" s="57">
        <f>SUM(F1:F11)</f>
        <v>167500</v>
      </c>
      <c r="G14" s="57">
        <v>37500</v>
      </c>
      <c r="I14" s="6">
        <f>E14-G14</f>
        <v>119500</v>
      </c>
    </row>
  </sheetData>
  <mergeCells count="1">
    <mergeCell ref="E3:E4"/>
  </mergeCells>
  <pageMargins left="0.7" right="0.7" top="0.75" bottom="0.75" header="0.3" footer="0.3"/>
  <pageSetup paperSize="9" scale="7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"/>
  <sheetViews>
    <sheetView workbookViewId="0">
      <selection activeCell="A10" sqref="A10:XFD14"/>
    </sheetView>
  </sheetViews>
  <sheetFormatPr defaultRowHeight="14.4"/>
  <cols>
    <col min="1" max="1" width="22.6640625" customWidth="1"/>
    <col min="2" max="2" width="23.33203125" customWidth="1"/>
    <col min="3" max="3" width="18" customWidth="1"/>
    <col min="4" max="4" width="13.88671875" customWidth="1"/>
    <col min="5" max="5" width="7.88671875" customWidth="1"/>
    <col min="7" max="7" width="9.44140625" customWidth="1"/>
    <col min="8" max="8" width="8.44140625" style="75" customWidth="1"/>
    <col min="9" max="9" width="7.6640625" customWidth="1"/>
    <col min="10" max="10" width="9.77734375" style="75" customWidth="1"/>
    <col min="11" max="11" width="5.109375" customWidth="1"/>
    <col min="12" max="12" width="10.109375" bestFit="1" customWidth="1"/>
  </cols>
  <sheetData>
    <row r="1" spans="1:12" ht="15" thickBot="1">
      <c r="H1" s="75" t="s">
        <v>0</v>
      </c>
      <c r="J1" s="75" t="s">
        <v>18</v>
      </c>
      <c r="L1" t="s">
        <v>20</v>
      </c>
    </row>
    <row r="2" spans="1:12" ht="23.4" customHeight="1" thickBot="1">
      <c r="A2" s="1" t="s">
        <v>38</v>
      </c>
      <c r="B2" s="2" t="s">
        <v>39</v>
      </c>
      <c r="C2" s="121" t="s">
        <v>40</v>
      </c>
      <c r="D2" s="95" t="s">
        <v>41</v>
      </c>
      <c r="E2" s="61">
        <v>2700</v>
      </c>
      <c r="F2" s="29">
        <v>3000</v>
      </c>
      <c r="G2" s="31"/>
      <c r="H2" s="120"/>
      <c r="I2" s="9"/>
      <c r="J2" s="56"/>
      <c r="K2" s="119"/>
      <c r="L2" s="84"/>
    </row>
    <row r="3" spans="1:12" ht="43.8" thickBot="1">
      <c r="A3" s="1" t="s">
        <v>38</v>
      </c>
      <c r="B3" s="2" t="s">
        <v>39</v>
      </c>
      <c r="C3" s="121" t="s">
        <v>87</v>
      </c>
      <c r="D3" s="95" t="s">
        <v>88</v>
      </c>
      <c r="E3" s="61">
        <v>9000</v>
      </c>
      <c r="F3" s="29">
        <v>9900</v>
      </c>
      <c r="G3" s="31"/>
      <c r="H3" s="120"/>
      <c r="I3" s="9"/>
      <c r="J3" s="56"/>
      <c r="K3" s="119"/>
      <c r="L3" s="84"/>
    </row>
    <row r="4" spans="1:12" ht="15" thickBot="1">
      <c r="A4" s="62" t="s">
        <v>38</v>
      </c>
      <c r="B4" s="5" t="s">
        <v>89</v>
      </c>
      <c r="C4" s="80" t="s">
        <v>90</v>
      </c>
      <c r="D4" s="72" t="s">
        <v>88</v>
      </c>
      <c r="E4" s="59">
        <v>3500</v>
      </c>
      <c r="F4" s="30">
        <v>3850</v>
      </c>
      <c r="G4" s="31"/>
      <c r="H4" s="120"/>
      <c r="I4" s="9"/>
      <c r="J4" s="56"/>
      <c r="K4" s="119"/>
      <c r="L4" s="84"/>
    </row>
    <row r="5" spans="1:12" ht="15" thickBot="1">
      <c r="A5" s="1" t="s">
        <v>38</v>
      </c>
      <c r="B5" s="2" t="s">
        <v>116</v>
      </c>
      <c r="C5" s="121" t="s">
        <v>117</v>
      </c>
      <c r="D5" s="95" t="s">
        <v>118</v>
      </c>
      <c r="E5" s="61">
        <v>5000</v>
      </c>
      <c r="F5" s="29">
        <v>5500</v>
      </c>
      <c r="G5" s="31"/>
      <c r="H5" s="120"/>
      <c r="I5" s="9"/>
      <c r="J5" s="56"/>
      <c r="K5" s="119"/>
      <c r="L5" s="84"/>
    </row>
    <row r="6" spans="1:12" ht="15" thickBot="1">
      <c r="A6" s="62"/>
      <c r="B6" s="5"/>
      <c r="C6" s="80"/>
      <c r="D6" s="72"/>
      <c r="E6" s="59"/>
      <c r="F6" s="128"/>
      <c r="G6" s="31"/>
      <c r="H6" s="56"/>
      <c r="I6" s="10"/>
      <c r="J6" s="56"/>
      <c r="K6" s="119"/>
    </row>
    <row r="7" spans="1:12" ht="15" thickBot="1">
      <c r="A7" s="62"/>
      <c r="B7" s="5"/>
      <c r="C7" s="80"/>
      <c r="D7" s="72"/>
      <c r="E7" s="59"/>
      <c r="F7" s="128"/>
      <c r="G7" s="31"/>
      <c r="H7" s="56"/>
      <c r="I7" s="10"/>
      <c r="J7" s="56"/>
      <c r="K7" s="119"/>
    </row>
    <row r="8" spans="1:12" ht="15" thickBot="1">
      <c r="A8" s="62"/>
      <c r="B8" s="5"/>
      <c r="C8" s="80"/>
      <c r="D8" s="72"/>
      <c r="E8" s="59"/>
      <c r="F8" s="128"/>
      <c r="G8" s="31"/>
      <c r="H8" s="56"/>
      <c r="I8" s="10"/>
      <c r="J8" s="56"/>
      <c r="K8" s="119"/>
    </row>
    <row r="9" spans="1:12" ht="15" thickBot="1">
      <c r="A9" s="1"/>
      <c r="B9" s="2"/>
      <c r="C9" s="121"/>
      <c r="D9" s="60"/>
      <c r="E9" s="61"/>
      <c r="F9" s="127"/>
      <c r="G9" s="31"/>
      <c r="H9" s="56"/>
      <c r="I9" s="10"/>
      <c r="J9" s="56"/>
      <c r="K9" s="119"/>
    </row>
    <row r="10" spans="1:12">
      <c r="A10" s="12"/>
      <c r="B10" s="13"/>
      <c r="C10" s="124"/>
      <c r="D10" s="125"/>
      <c r="E10" s="79"/>
      <c r="F10" s="14"/>
      <c r="G10" s="12"/>
    </row>
    <row r="11" spans="1:12">
      <c r="A11" s="12"/>
      <c r="B11" s="13"/>
      <c r="C11" s="124"/>
      <c r="D11" s="125"/>
      <c r="E11" s="79"/>
      <c r="F11" s="14"/>
      <c r="G11" s="12"/>
    </row>
    <row r="12" spans="1:12">
      <c r="E12" s="24">
        <f>SUM(E2:E9)</f>
        <v>20200</v>
      </c>
      <c r="F12" s="24">
        <f>SUM(F2:F9)</f>
        <v>22250</v>
      </c>
      <c r="G12">
        <v>53000</v>
      </c>
    </row>
  </sheetData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"/>
  <sheetViews>
    <sheetView workbookViewId="0">
      <selection activeCell="A4" sqref="A4:XFD5"/>
    </sheetView>
  </sheetViews>
  <sheetFormatPr defaultRowHeight="14.4"/>
  <cols>
    <col min="1" max="1" width="19.33203125" customWidth="1"/>
    <col min="2" max="2" width="24.88671875" customWidth="1"/>
    <col min="3" max="3" width="31.6640625" customWidth="1"/>
    <col min="4" max="4" width="13.33203125" customWidth="1"/>
    <col min="7" max="7" width="16.5546875" customWidth="1"/>
    <col min="9" max="10" width="10.109375" bestFit="1" customWidth="1"/>
  </cols>
  <sheetData>
    <row r="1" spans="1:10" ht="15" thickBot="1">
      <c r="H1" s="10" t="s">
        <v>2</v>
      </c>
      <c r="I1" s="10" t="s">
        <v>7</v>
      </c>
      <c r="J1" t="s">
        <v>21</v>
      </c>
    </row>
    <row r="2" spans="1:10" ht="15" thickBot="1">
      <c r="A2" s="1" t="s">
        <v>75</v>
      </c>
      <c r="B2" s="2" t="s">
        <v>76</v>
      </c>
      <c r="C2" s="121" t="s">
        <v>77</v>
      </c>
      <c r="D2" s="95" t="s">
        <v>78</v>
      </c>
      <c r="E2" s="61">
        <v>17000</v>
      </c>
      <c r="F2" s="29">
        <v>18700</v>
      </c>
      <c r="G2" s="4"/>
      <c r="H2" s="10"/>
      <c r="I2" s="9"/>
      <c r="J2" s="84"/>
    </row>
    <row r="3" spans="1:10" ht="15" thickBot="1">
      <c r="A3" s="1" t="s">
        <v>75</v>
      </c>
      <c r="B3" s="2" t="s">
        <v>121</v>
      </c>
      <c r="C3" s="121" t="s">
        <v>122</v>
      </c>
      <c r="D3" s="95" t="s">
        <v>123</v>
      </c>
      <c r="E3" s="61">
        <v>10000</v>
      </c>
      <c r="F3" s="29">
        <v>11000</v>
      </c>
      <c r="G3" s="4"/>
      <c r="H3" s="10"/>
      <c r="I3" s="69"/>
      <c r="J3" s="84"/>
    </row>
    <row r="8" spans="1:10">
      <c r="E8" s="25">
        <f>SUM(E2:E7)</f>
        <v>27000</v>
      </c>
      <c r="F8">
        <f>SUM(F2:F7)</f>
        <v>29700</v>
      </c>
      <c r="G8">
        <v>23000</v>
      </c>
    </row>
  </sheetData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12"/>
  <sheetViews>
    <sheetView workbookViewId="0">
      <selection activeCell="A2" sqref="A2:F2"/>
    </sheetView>
  </sheetViews>
  <sheetFormatPr defaultRowHeight="14.4"/>
  <cols>
    <col min="1" max="1" width="18.109375" customWidth="1"/>
    <col min="2" max="2" width="38.6640625" customWidth="1"/>
    <col min="3" max="3" width="21" customWidth="1"/>
    <col min="4" max="4" width="13.6640625" customWidth="1"/>
    <col min="5" max="5" width="11" customWidth="1"/>
    <col min="6" max="6" width="11.109375" customWidth="1"/>
    <col min="9" max="9" width="10.109375" bestFit="1" customWidth="1"/>
  </cols>
  <sheetData>
    <row r="1" spans="1:10" ht="16.5" customHeight="1" thickBot="1">
      <c r="A1" s="31"/>
      <c r="B1" s="41"/>
      <c r="C1" s="38"/>
      <c r="D1" s="46"/>
      <c r="E1" s="47"/>
      <c r="F1" s="48"/>
      <c r="G1" s="103"/>
      <c r="H1" s="43"/>
      <c r="I1">
        <v>1</v>
      </c>
      <c r="J1" s="26"/>
    </row>
    <row r="2" spans="1:10">
      <c r="A2" s="109"/>
      <c r="B2" s="19"/>
      <c r="C2" s="92"/>
      <c r="D2" s="97"/>
      <c r="E2" s="93"/>
      <c r="F2" s="94"/>
      <c r="G2" s="31"/>
      <c r="H2" s="10"/>
      <c r="I2" s="9"/>
    </row>
    <row r="3" spans="1:10" ht="15" thickBot="1">
      <c r="A3" s="100"/>
      <c r="B3" s="5"/>
      <c r="C3" s="80"/>
      <c r="D3" s="72"/>
      <c r="E3" s="59"/>
      <c r="F3" s="102"/>
      <c r="G3" s="31"/>
      <c r="H3" s="10"/>
      <c r="I3" s="10"/>
    </row>
    <row r="4" spans="1:10">
      <c r="A4" s="31"/>
      <c r="B4" s="41"/>
      <c r="C4" s="37"/>
      <c r="D4" s="46"/>
      <c r="E4" s="47"/>
      <c r="F4" s="48"/>
      <c r="G4" s="104"/>
      <c r="H4" s="105"/>
    </row>
    <row r="5" spans="1:10">
      <c r="A5" s="31"/>
      <c r="B5" s="41"/>
      <c r="C5" s="37"/>
      <c r="D5" s="46"/>
      <c r="E5" s="47"/>
      <c r="F5" s="48"/>
      <c r="G5" s="31"/>
      <c r="H5" s="10"/>
    </row>
    <row r="6" spans="1:10">
      <c r="A6" s="31"/>
      <c r="B6" s="41"/>
      <c r="C6" s="37"/>
      <c r="D6" s="46"/>
      <c r="E6" s="47"/>
      <c r="F6" s="48"/>
      <c r="G6" s="31"/>
      <c r="H6" s="10"/>
    </row>
    <row r="7" spans="1:10">
      <c r="A7" s="31"/>
      <c r="B7" s="41"/>
      <c r="C7" s="37"/>
      <c r="D7" s="38"/>
      <c r="E7" s="39"/>
      <c r="F7" s="42"/>
      <c r="G7" s="31"/>
      <c r="H7" s="10"/>
    </row>
    <row r="8" spans="1:10">
      <c r="A8" s="31"/>
      <c r="B8" s="41"/>
      <c r="C8" s="37"/>
      <c r="D8" s="38"/>
      <c r="E8" s="39"/>
      <c r="F8" s="40"/>
      <c r="G8" s="31"/>
      <c r="H8" s="10"/>
    </row>
    <row r="9" spans="1:10">
      <c r="A9" s="12"/>
      <c r="B9" s="13"/>
      <c r="C9" s="34"/>
      <c r="D9" s="27"/>
      <c r="E9" s="28"/>
      <c r="F9" s="15"/>
      <c r="G9" s="12"/>
    </row>
    <row r="10" spans="1:10">
      <c r="A10" s="12"/>
      <c r="B10" s="13"/>
      <c r="C10" s="34"/>
      <c r="D10" s="27"/>
      <c r="E10" s="28"/>
      <c r="F10" s="15"/>
      <c r="G10" s="12"/>
    </row>
    <row r="11" spans="1:10">
      <c r="A11" s="12"/>
      <c r="B11" s="13"/>
      <c r="C11" s="34"/>
      <c r="D11" s="27"/>
      <c r="E11" s="14"/>
      <c r="F11" s="15"/>
      <c r="G11" s="12"/>
    </row>
    <row r="12" spans="1:10">
      <c r="E12" s="24">
        <f>SUM(E1:E8)</f>
        <v>0</v>
      </c>
      <c r="F12" s="24">
        <f>SUM(F1:F8)</f>
        <v>0</v>
      </c>
    </row>
  </sheetData>
  <pageMargins left="0.7" right="0.7" top="0.75" bottom="0.75" header="0.3" footer="0.3"/>
  <pageSetup paperSize="9" scale="9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"/>
  <sheetViews>
    <sheetView workbookViewId="0">
      <selection activeCell="A2" sqref="A2:F2"/>
    </sheetView>
  </sheetViews>
  <sheetFormatPr defaultRowHeight="14.4"/>
  <cols>
    <col min="1" max="1" width="17.109375" customWidth="1"/>
    <col min="2" max="2" width="32.6640625" customWidth="1"/>
    <col min="3" max="3" width="17.5546875" customWidth="1"/>
    <col min="4" max="4" width="13.88671875" customWidth="1"/>
    <col min="5" max="5" width="14.44140625" customWidth="1"/>
    <col min="7" max="7" width="8" customWidth="1"/>
    <col min="9" max="9" width="10.109375" bestFit="1" customWidth="1"/>
  </cols>
  <sheetData>
    <row r="1" spans="1:10" ht="15" thickBot="1">
      <c r="H1" t="s">
        <v>0</v>
      </c>
      <c r="I1" t="s">
        <v>1</v>
      </c>
      <c r="J1" t="s">
        <v>3</v>
      </c>
    </row>
    <row r="2" spans="1:10" ht="15" thickBot="1">
      <c r="A2" s="18"/>
      <c r="B2" s="19"/>
      <c r="C2" s="92"/>
      <c r="D2" s="97"/>
      <c r="E2" s="93"/>
      <c r="F2" s="94"/>
      <c r="G2" s="4"/>
      <c r="H2" s="56"/>
      <c r="I2" s="9"/>
      <c r="J2" s="10"/>
    </row>
    <row r="3" spans="1:10" ht="15" thickBot="1">
      <c r="A3" s="1"/>
      <c r="B3" s="19"/>
      <c r="C3" s="91"/>
      <c r="D3" s="97"/>
      <c r="E3" s="93"/>
      <c r="F3" s="94"/>
      <c r="G3" s="4"/>
      <c r="H3" s="56"/>
      <c r="I3" s="9"/>
      <c r="J3" s="10"/>
    </row>
    <row r="4" spans="1:10" ht="15" thickBot="1">
      <c r="A4" s="1"/>
      <c r="B4" s="2"/>
      <c r="C4" s="96"/>
      <c r="D4" s="72"/>
      <c r="E4" s="89"/>
      <c r="F4" s="30"/>
      <c r="G4" s="10"/>
      <c r="H4" s="10"/>
      <c r="I4" s="10"/>
      <c r="J4" s="10"/>
    </row>
    <row r="5" spans="1:10" ht="15" thickBot="1">
      <c r="A5" s="62"/>
      <c r="B5" s="19"/>
      <c r="C5" s="91"/>
      <c r="D5" s="92"/>
      <c r="E5" s="93"/>
      <c r="F5" s="94"/>
      <c r="G5" s="10"/>
      <c r="H5" s="10"/>
      <c r="I5" s="10"/>
      <c r="J5" s="10"/>
    </row>
    <row r="7" spans="1:10">
      <c r="E7">
        <f>SUM(E2:E6)</f>
        <v>0</v>
      </c>
      <c r="F7" s="6">
        <f>SUM(F2:F6)</f>
        <v>0</v>
      </c>
    </row>
  </sheetData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8D48-F5DF-4F72-A463-23D973439B67}">
  <sheetPr>
    <pageSetUpPr fitToPage="1"/>
  </sheetPr>
  <dimension ref="A1:J11"/>
  <sheetViews>
    <sheetView workbookViewId="0">
      <selection activeCell="E16" sqref="E16"/>
    </sheetView>
  </sheetViews>
  <sheetFormatPr defaultRowHeight="14.4"/>
  <cols>
    <col min="1" max="1" width="18.109375" customWidth="1"/>
    <col min="2" max="2" width="38.6640625" customWidth="1"/>
    <col min="3" max="3" width="21" customWidth="1"/>
    <col min="4" max="4" width="13.6640625" customWidth="1"/>
    <col min="5" max="5" width="11" customWidth="1"/>
    <col min="6" max="6" width="11.109375" customWidth="1"/>
    <col min="9" max="9" width="10.109375" bestFit="1" customWidth="1"/>
  </cols>
  <sheetData>
    <row r="1" spans="1:10" ht="16.5" customHeight="1" thickBot="1">
      <c r="A1" s="31"/>
      <c r="B1" s="41"/>
      <c r="C1" s="38"/>
      <c r="D1" s="46"/>
      <c r="E1" s="47"/>
      <c r="F1" s="48"/>
      <c r="G1" s="31"/>
      <c r="H1" s="10"/>
      <c r="I1">
        <v>1</v>
      </c>
      <c r="J1" s="26"/>
    </row>
    <row r="2" spans="1:10" ht="15" thickBot="1">
      <c r="A2" s="1"/>
      <c r="B2" s="2"/>
      <c r="C2" s="60"/>
      <c r="D2" s="95"/>
      <c r="E2" s="61"/>
      <c r="F2" s="29"/>
      <c r="G2" s="8"/>
      <c r="I2" s="84"/>
    </row>
    <row r="3" spans="1:10" ht="15" thickBot="1">
      <c r="A3" s="1"/>
      <c r="B3" s="5"/>
      <c r="C3" s="58"/>
      <c r="D3" s="72"/>
      <c r="E3" s="59"/>
      <c r="F3" s="30"/>
      <c r="G3" s="31"/>
      <c r="H3" s="10"/>
    </row>
    <row r="4" spans="1:10">
      <c r="A4" s="31"/>
      <c r="B4" s="41"/>
      <c r="C4" s="37"/>
      <c r="D4" s="46"/>
      <c r="E4" s="47"/>
      <c r="F4" s="48"/>
      <c r="G4" s="31"/>
      <c r="H4" s="10"/>
    </row>
    <row r="5" spans="1:10">
      <c r="A5" s="31"/>
      <c r="B5" s="41"/>
      <c r="C5" s="37"/>
      <c r="D5" s="46"/>
      <c r="E5" s="47"/>
      <c r="F5" s="48"/>
      <c r="G5" s="31"/>
      <c r="H5" s="10"/>
    </row>
    <row r="6" spans="1:10">
      <c r="A6" s="31"/>
      <c r="B6" s="41"/>
      <c r="C6" s="37"/>
      <c r="D6" s="38"/>
      <c r="E6" s="39"/>
      <c r="F6" s="42"/>
      <c r="G6" s="31"/>
      <c r="H6" s="10"/>
    </row>
    <row r="7" spans="1:10">
      <c r="A7" s="31"/>
      <c r="B7" s="41"/>
      <c r="C7" s="37"/>
      <c r="D7" s="38"/>
      <c r="E7" s="39"/>
      <c r="F7" s="40"/>
      <c r="G7" s="31"/>
      <c r="H7" s="10"/>
    </row>
    <row r="8" spans="1:10">
      <c r="A8" s="12"/>
      <c r="B8" s="13"/>
      <c r="C8" s="34"/>
      <c r="D8" s="27"/>
      <c r="E8" s="28"/>
      <c r="F8" s="15"/>
      <c r="G8" s="12"/>
    </row>
    <row r="9" spans="1:10">
      <c r="A9" s="12"/>
      <c r="B9" s="13"/>
      <c r="C9" s="34"/>
      <c r="D9" s="27"/>
      <c r="E9" s="28"/>
      <c r="F9" s="15"/>
      <c r="G9" s="12"/>
    </row>
    <row r="10" spans="1:10">
      <c r="A10" s="12"/>
      <c r="B10" s="13"/>
      <c r="C10" s="34"/>
      <c r="D10" s="27"/>
      <c r="E10" s="14"/>
      <c r="F10" s="15"/>
      <c r="G10" s="12" t="s">
        <v>28</v>
      </c>
    </row>
    <row r="11" spans="1:10">
      <c r="E11" s="24">
        <f>SUM(E1:E7)</f>
        <v>0</v>
      </c>
      <c r="F11" s="24">
        <f>SUM(F1:F7)</f>
        <v>0</v>
      </c>
      <c r="G11">
        <v>41000</v>
      </c>
    </row>
  </sheetData>
  <pageMargins left="0.7" right="0.7" top="0.75" bottom="0.75" header="0.3" footer="0.3"/>
  <pageSetup paperSize="9" scale="9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C0AA-8F4C-4375-819C-3918EA4E1CE6}">
  <sheetPr>
    <pageSetUpPr fitToPage="1"/>
  </sheetPr>
  <dimension ref="A1:J11"/>
  <sheetViews>
    <sheetView workbookViewId="0">
      <selection activeCell="A2" sqref="A2:F2"/>
    </sheetView>
  </sheetViews>
  <sheetFormatPr defaultRowHeight="14.4"/>
  <cols>
    <col min="1" max="1" width="25.77734375" customWidth="1"/>
    <col min="2" max="2" width="38.6640625" customWidth="1"/>
    <col min="3" max="3" width="21" customWidth="1"/>
    <col min="4" max="4" width="13.6640625" customWidth="1"/>
    <col min="5" max="5" width="11" customWidth="1"/>
    <col min="6" max="6" width="11.109375" customWidth="1"/>
  </cols>
  <sheetData>
    <row r="1" spans="1:10" ht="16.5" customHeight="1" thickBot="1">
      <c r="A1" s="31"/>
      <c r="B1" s="41"/>
      <c r="C1" s="38"/>
      <c r="D1" s="46"/>
      <c r="E1" s="47"/>
      <c r="F1" s="48"/>
      <c r="G1" s="31"/>
      <c r="H1" s="10"/>
      <c r="I1">
        <v>1</v>
      </c>
      <c r="J1" s="26"/>
    </row>
    <row r="2" spans="1:10" ht="15" thickBot="1">
      <c r="A2" s="1"/>
      <c r="B2" s="2"/>
      <c r="C2" s="60"/>
      <c r="D2" s="95"/>
      <c r="E2" s="61"/>
      <c r="F2" s="29"/>
      <c r="G2" s="8"/>
    </row>
    <row r="3" spans="1:10" ht="15" thickBot="1">
      <c r="A3" s="62"/>
      <c r="B3" s="5"/>
      <c r="C3" s="58"/>
      <c r="D3" s="72"/>
      <c r="E3" s="59"/>
      <c r="F3" s="30"/>
      <c r="G3" s="31"/>
      <c r="H3" s="10"/>
    </row>
    <row r="4" spans="1:10">
      <c r="A4" s="31"/>
      <c r="B4" s="41"/>
      <c r="C4" s="37"/>
      <c r="D4" s="46"/>
      <c r="E4" s="47"/>
      <c r="F4" s="48"/>
      <c r="G4" s="31"/>
      <c r="H4" s="10"/>
    </row>
    <row r="5" spans="1:10">
      <c r="A5" s="31"/>
      <c r="B5" s="41"/>
      <c r="C5" s="37"/>
      <c r="D5" s="46"/>
      <c r="E5" s="47"/>
      <c r="F5" s="48"/>
      <c r="G5" s="31"/>
      <c r="H5" s="10"/>
    </row>
    <row r="6" spans="1:10">
      <c r="A6" s="31"/>
      <c r="B6" s="41"/>
      <c r="C6" s="37"/>
      <c r="D6" s="38"/>
      <c r="E6" s="39"/>
      <c r="F6" s="42"/>
      <c r="G6" s="31"/>
      <c r="H6" s="10"/>
    </row>
    <row r="7" spans="1:10">
      <c r="A7" s="31"/>
      <c r="B7" s="41"/>
      <c r="C7" s="37"/>
      <c r="D7" s="38"/>
      <c r="E7" s="39"/>
      <c r="F7" s="40"/>
      <c r="G7" s="31"/>
      <c r="H7" s="10"/>
    </row>
    <row r="8" spans="1:10">
      <c r="A8" s="12"/>
      <c r="B8" s="13"/>
      <c r="C8" s="34"/>
      <c r="D8" s="27"/>
      <c r="E8" s="28"/>
      <c r="F8" s="15"/>
      <c r="G8" s="12"/>
    </row>
    <row r="9" spans="1:10">
      <c r="A9" s="12"/>
      <c r="B9" s="13"/>
      <c r="C9" s="34"/>
      <c r="D9" s="27"/>
      <c r="E9" s="28"/>
      <c r="F9" s="15"/>
      <c r="G9" s="12"/>
    </row>
    <row r="10" spans="1:10">
      <c r="A10" s="12"/>
      <c r="B10" s="13"/>
      <c r="C10" s="34"/>
      <c r="D10" s="27"/>
      <c r="E10" s="14"/>
      <c r="F10" s="15"/>
      <c r="G10" s="12"/>
    </row>
    <row r="11" spans="1:10">
      <c r="E11" s="24">
        <f>SUM(E1:E7)</f>
        <v>0</v>
      </c>
      <c r="F11" s="24">
        <f>SUM(F1:F7)</f>
        <v>0</v>
      </c>
    </row>
  </sheetData>
  <pageMargins left="0.7" right="0.7" top="0.75" bottom="0.75" header="0.3" footer="0.3"/>
  <pageSetup paperSize="9" scale="8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0008-CCDE-4A5F-8E18-ED0A0A22280E}">
  <sheetPr>
    <pageSetUpPr fitToPage="1"/>
  </sheetPr>
  <dimension ref="A1:J8"/>
  <sheetViews>
    <sheetView workbookViewId="0">
      <selection activeCell="D1" sqref="D1"/>
    </sheetView>
  </sheetViews>
  <sheetFormatPr defaultRowHeight="14.4"/>
  <cols>
    <col min="1" max="1" width="18.109375" customWidth="1"/>
    <col min="2" max="2" width="38.6640625" customWidth="1"/>
    <col min="3" max="3" width="21" customWidth="1"/>
    <col min="4" max="4" width="13.6640625" customWidth="1"/>
    <col min="5" max="5" width="11" customWidth="1"/>
    <col min="6" max="6" width="11.109375" customWidth="1"/>
  </cols>
  <sheetData>
    <row r="1" spans="1:10" ht="34.200000000000003" customHeight="1" thickBot="1">
      <c r="A1" s="1" t="s">
        <v>107</v>
      </c>
      <c r="B1" s="2" t="s">
        <v>108</v>
      </c>
      <c r="C1" s="121" t="s">
        <v>109</v>
      </c>
      <c r="D1" s="95" t="s">
        <v>110</v>
      </c>
      <c r="E1" s="61">
        <v>29000</v>
      </c>
      <c r="F1" s="29">
        <v>29000</v>
      </c>
      <c r="G1" s="126"/>
      <c r="H1" s="10"/>
      <c r="I1">
        <v>1</v>
      </c>
      <c r="J1" s="26"/>
    </row>
    <row r="2" spans="1:10" ht="29.4" thickBot="1">
      <c r="A2" s="62" t="s">
        <v>107</v>
      </c>
      <c r="B2" s="5" t="s">
        <v>133</v>
      </c>
      <c r="C2" s="80" t="s">
        <v>134</v>
      </c>
      <c r="D2" s="72" t="s">
        <v>135</v>
      </c>
      <c r="E2" s="59">
        <v>58200</v>
      </c>
      <c r="F2" s="129">
        <v>61000</v>
      </c>
      <c r="G2" s="126"/>
      <c r="H2" s="10"/>
    </row>
    <row r="3" spans="1:10" ht="29.4" thickBot="1">
      <c r="A3" s="62" t="s">
        <v>107</v>
      </c>
      <c r="B3" s="5" t="s">
        <v>136</v>
      </c>
      <c r="C3" s="80" t="s">
        <v>137</v>
      </c>
      <c r="D3" s="72" t="s">
        <v>135</v>
      </c>
      <c r="E3" s="59">
        <v>52000</v>
      </c>
      <c r="F3" s="30">
        <v>55000</v>
      </c>
      <c r="G3" s="126"/>
      <c r="H3" s="10"/>
    </row>
    <row r="4" spans="1:10" ht="15" thickBot="1">
      <c r="A4" s="62"/>
      <c r="B4" s="5"/>
      <c r="C4" s="58"/>
      <c r="D4" s="58"/>
      <c r="E4" s="59"/>
      <c r="F4" s="30"/>
      <c r="G4" s="126"/>
      <c r="H4" s="10"/>
    </row>
    <row r="5" spans="1:10">
      <c r="A5" s="12"/>
      <c r="B5" s="13"/>
      <c r="C5" s="34"/>
      <c r="D5" s="27"/>
      <c r="E5" s="28"/>
      <c r="F5" s="15"/>
      <c r="G5" s="12"/>
    </row>
    <row r="6" spans="1:10">
      <c r="A6" s="12"/>
      <c r="B6" s="13"/>
      <c r="C6" s="34"/>
      <c r="D6" s="27"/>
      <c r="E6" s="28"/>
      <c r="F6" s="15"/>
      <c r="G6" s="12"/>
    </row>
    <row r="7" spans="1:10">
      <c r="A7" s="12"/>
      <c r="B7" s="13"/>
      <c r="C7" s="34"/>
      <c r="D7" s="27"/>
      <c r="E7" s="14"/>
      <c r="F7" s="15"/>
      <c r="G7" s="12"/>
    </row>
    <row r="8" spans="1:10">
      <c r="E8" s="24">
        <f>SUM(E1:E4)</f>
        <v>139200</v>
      </c>
      <c r="F8" s="24">
        <f>SUM(F1:F4)</f>
        <v>145000</v>
      </c>
      <c r="G8">
        <v>36000</v>
      </c>
    </row>
  </sheetData>
  <pageMargins left="0.7" right="0.7" top="0.75" bottom="0.75" header="0.3" footer="0.3"/>
  <pageSetup paperSize="9" scale="93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92F47-7FA9-40EF-90CF-065C2C41D0D1}">
  <dimension ref="A1"/>
  <sheetViews>
    <sheetView workbookViewId="0">
      <selection activeCell="P11" sqref="P11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Обєкти</vt:lpstr>
      <vt:lpstr>01.2026 МАНИ</vt:lpstr>
      <vt:lpstr>Автосвіт</vt:lpstr>
      <vt:lpstr>Нікса</vt:lpstr>
      <vt:lpstr>Приватний Двір</vt:lpstr>
      <vt:lpstr>Ендор Логістик </vt:lpstr>
      <vt:lpstr>Корусанд</vt:lpstr>
      <vt:lpstr>АЙРІС ВОРДВАЙЛ</vt:lpstr>
      <vt:lpstr>ФЛУКОРДІ</vt:lpstr>
      <vt:lpstr>ПРЕМІУМ ТРАНС</vt:lpstr>
      <vt:lpstr>Компанія Агротранс</vt:lpstr>
      <vt:lpstr>Автоленд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l.shyshkina</cp:lastModifiedBy>
  <cp:lastPrinted>2026-02-05T10:44:13Z</cp:lastPrinted>
  <dcterms:created xsi:type="dcterms:W3CDTF">2015-06-05T18:17:20Z</dcterms:created>
  <dcterms:modified xsi:type="dcterms:W3CDTF">2026-02-19T10:46:05Z</dcterms:modified>
</cp:coreProperties>
</file>
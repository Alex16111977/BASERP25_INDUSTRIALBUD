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Акты заказчика" sheetId="1" r:id="rId1"/>
    <sheet name="Списание стройматериалов" sheetId="2" r:id="rId2"/>
    <sheet name="ВаловаяПрибыль" sheetId="3" r:id="rId3"/>
    <sheet name="Услуги_сторонних" sheetId="4" r:id="rId4"/>
  </sheets>
  <definedNames>
    <definedName name="_xlnm._FilterDatabase" localSheetId="0" hidden="1">'Акты заказчика'!$A$1:$J$45</definedName>
    <definedName name="_xlnm._FilterDatabase" localSheetId="1" hidden="1">'Списание стройматериалов'!$A$1:$I$59</definedName>
  </definedNames>
  <calcPr calcId="145621"/>
</workbook>
</file>

<file path=xl/calcChain.xml><?xml version="1.0" encoding="utf-8"?>
<calcChain xmlns="http://schemas.openxmlformats.org/spreadsheetml/2006/main">
  <c r="E49" i="1" l="1"/>
  <c r="E61" i="2" l="1"/>
  <c r="D61" i="2"/>
  <c r="E71" i="2"/>
  <c r="D71" i="2"/>
  <c r="E60" i="2"/>
  <c r="D60" i="2"/>
  <c r="D70" i="2"/>
  <c r="D69" i="2"/>
  <c r="D68" i="2"/>
  <c r="D67" i="2"/>
  <c r="D66" i="2"/>
  <c r="D65" i="2"/>
  <c r="D64" i="2"/>
  <c r="D63" i="2"/>
  <c r="D62" i="2"/>
  <c r="E58" i="2"/>
  <c r="E56" i="2"/>
  <c r="E55" i="2"/>
  <c r="E29" i="2"/>
  <c r="E18" i="2"/>
  <c r="E8" i="2"/>
  <c r="E59" i="2"/>
  <c r="E57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70" i="2" s="1"/>
  <c r="E34" i="2"/>
  <c r="E33" i="2"/>
  <c r="E32" i="2"/>
  <c r="E31" i="2"/>
  <c r="E30" i="2"/>
  <c r="E28" i="2"/>
  <c r="E27" i="2"/>
  <c r="E26" i="2"/>
  <c r="E25" i="2"/>
  <c r="E24" i="2"/>
  <c r="E68" i="2" s="1"/>
  <c r="E23" i="2"/>
  <c r="E22" i="2"/>
  <c r="E21" i="2"/>
  <c r="E20" i="2"/>
  <c r="E19" i="2"/>
  <c r="E17" i="2"/>
  <c r="E16" i="2"/>
  <c r="E15" i="2"/>
  <c r="E14" i="2"/>
  <c r="E13" i="2"/>
  <c r="E12" i="2"/>
  <c r="E11" i="2"/>
  <c r="E10" i="2"/>
  <c r="E9" i="2"/>
  <c r="E7" i="2"/>
  <c r="E6" i="2"/>
  <c r="E5" i="2"/>
  <c r="E4" i="2"/>
  <c r="E3" i="2"/>
  <c r="E2" i="2"/>
  <c r="E63" i="2" l="1"/>
  <c r="E69" i="2"/>
  <c r="E65" i="2"/>
  <c r="E67" i="2"/>
  <c r="E66" i="2"/>
  <c r="E64" i="2"/>
  <c r="E62" i="2"/>
  <c r="E45" i="1" l="1"/>
  <c r="E52" i="1"/>
  <c r="E51" i="1"/>
  <c r="E50" i="1"/>
  <c r="E48" i="1"/>
  <c r="E47" i="1"/>
  <c r="E53" i="1" l="1"/>
  <c r="E54" i="1" s="1"/>
</calcChain>
</file>

<file path=xl/sharedStrings.xml><?xml version="1.0" encoding="utf-8"?>
<sst xmlns="http://schemas.openxmlformats.org/spreadsheetml/2006/main" count="909" uniqueCount="364">
  <si>
    <t>Оригинал</t>
  </si>
  <si>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</si>
  <si>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</si>
  <si>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</si>
  <si>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</si>
  <si>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</si>
  <si>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</si>
  <si>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</si>
  <si>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</si>
  <si>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</si>
  <si>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Да</t>
  </si>
  <si>
    <t>02.02.2024 00:00:00</t>
  </si>
  <si>
    <t>ІБ00-000008</t>
  </si>
  <si>
    <t xml:space="preserve">Старокостянтинівський олійноекстраційний завод ТОВ </t>
  </si>
  <si>
    <t>грн</t>
  </si>
  <si>
    <t>Виробничий (Старокостянтинів</t>
  </si>
  <si>
    <t>ТОВ "ІНДАСТРІАЛБУД"</t>
  </si>
  <si>
    <t>Хлань Елена</t>
  </si>
  <si>
    <t>Акт 2  ДОГОВІР ПІДРЯДУ № 06/11/2023 -Б -СтОЕЗ від 06.11.23</t>
  </si>
  <si>
    <t>ІБ00-000009</t>
  </si>
  <si>
    <t>Акт 2 ДОГОВІР ПІДРЯДУ № 3.3.3 – КМР - СтОЕЗ від 20.09.2023</t>
  </si>
  <si>
    <t>ІБ00-000010</t>
  </si>
  <si>
    <t>Акт № 4 ДОГОВІР  № 04/09/2023 -АР-СтОЕЗ від 04.09.2023</t>
  </si>
  <si>
    <t>02.02.2024 11:26:20</t>
  </si>
  <si>
    <t>ІБ00-000014</t>
  </si>
  <si>
    <t>УВБК ООН</t>
  </si>
  <si>
    <t>Виробничий (ООН Київ)</t>
  </si>
  <si>
    <t>АЕ 63 Виконання ремонтно-відновлювальних робіт житлового будинку лот ID:  АЕ 63</t>
  </si>
  <si>
    <t>02.02.2024 11:26:49</t>
  </si>
  <si>
    <t>ІБ00-000015</t>
  </si>
  <si>
    <t>АЕ 62 Виконання ремонтно-відновлювальних робіт житлового будинку лот ID:  АЕ 62</t>
  </si>
  <si>
    <t>02.02.2024 11:27:30</t>
  </si>
  <si>
    <t>ІБ00-000016</t>
  </si>
  <si>
    <t>Р 285 Виконання ремонтно-відновлювальних робіт житлового будинку лот ID:  Р 285</t>
  </si>
  <si>
    <t>02.02.2024 11:28:00</t>
  </si>
  <si>
    <t>ІБ00-000017</t>
  </si>
  <si>
    <t>АЕ 61 Виконання ремонтно-відновлювальних робіт житлового будинку лот ID:  АЕ 61</t>
  </si>
  <si>
    <t>02.02.2024 11:28:34</t>
  </si>
  <si>
    <t>ІБ00-000018</t>
  </si>
  <si>
    <t>АЕ 26 Виконання ремонтно-відновлювальних робіт житлового будинку лот ID:  АЕ 26</t>
  </si>
  <si>
    <t>02.02.2024 11:29:17</t>
  </si>
  <si>
    <t>ІБ00-000019</t>
  </si>
  <si>
    <t>Р 350 Виконання ремонтно-відновлювальних робіт житлового будинку лот ID:  Р 350</t>
  </si>
  <si>
    <t>05.02.2024 15:53:48</t>
  </si>
  <si>
    <t>ІБ00-000026</t>
  </si>
  <si>
    <t>Вінницька птахофабрика ВКВК філія ТОВ</t>
  </si>
  <si>
    <t>Виробничий (Ладижин)</t>
  </si>
  <si>
    <t>Акт №25</t>
  </si>
  <si>
    <t>06.02.2024 00:00:00</t>
  </si>
  <si>
    <t>ІБ00-000061</t>
  </si>
  <si>
    <t>АВІА ВЕНЧУРС ТОВ</t>
  </si>
  <si>
    <t>Виробничий (Крушинка)</t>
  </si>
  <si>
    <t>Таншин Леонид</t>
  </si>
  <si>
    <t>акт №16 за лютий 2024 не підписаний</t>
  </si>
  <si>
    <t>06.02.2024 17:52:23</t>
  </si>
  <si>
    <t>ІБ00-000041</t>
  </si>
  <si>
    <t>акт №15 за січень 2024 не підписаний</t>
  </si>
  <si>
    <t>06.02.2024 17:52:27</t>
  </si>
  <si>
    <t>ІБ00-000046</t>
  </si>
  <si>
    <t xml:space="preserve">акт №14 за лютий 2024 </t>
  </si>
  <si>
    <t>Нет</t>
  </si>
  <si>
    <t>08.02.2024 15:59:27</t>
  </si>
  <si>
    <t>ІБ00-000028</t>
  </si>
  <si>
    <t>Акт 2 ДОГОВІР ПІДРЯДУ № 07/11/2023 -КМ5 -СтОЕЗ</t>
  </si>
  <si>
    <t>09.02.2024 17:52:00</t>
  </si>
  <si>
    <t>ІБ00-000034</t>
  </si>
  <si>
    <t>Акт №26</t>
  </si>
  <si>
    <t>12.02.2024 18:30:42</t>
  </si>
  <si>
    <t>ІБ00-000036</t>
  </si>
  <si>
    <t xml:space="preserve"> Акт 1 ДОГОВІР ПІДРЯДУ № 13/12/2023-3.4.5-АР-СтОЕЗ від 13</t>
  </si>
  <si>
    <t>12.02.2024 18:30:43</t>
  </si>
  <si>
    <t>ІБ00-000037</t>
  </si>
  <si>
    <t>Акт № 1 ДОГОВІР ПІДРЯДУ № 18/12/23-3.3.3-АР-СтОЕЗ від 18.1</t>
  </si>
  <si>
    <t>12.02.2024 18:30:49</t>
  </si>
  <si>
    <t>ІБ00-000040</t>
  </si>
  <si>
    <t>Акт №27</t>
  </si>
  <si>
    <t>19.02.2024 17:11:47</t>
  </si>
  <si>
    <t>ІБ00-000047</t>
  </si>
  <si>
    <t>Акт №28</t>
  </si>
  <si>
    <t>20.02.2024 00:00:00</t>
  </si>
  <si>
    <t>ІБ00-000027</t>
  </si>
  <si>
    <t>Акт 10 Договір Підряду  №4.4,4.4.1–АР-СтОЕЗ-ВО</t>
  </si>
  <si>
    <t>ІБ00-000043</t>
  </si>
  <si>
    <t>акт №19 за січень 2024 не підписаний</t>
  </si>
  <si>
    <t>20.02.2024 08:41:35</t>
  </si>
  <si>
    <t>ІБ00-000024</t>
  </si>
  <si>
    <t>Акт 3 ДОГОВІР ПІДРЯДУ   № 3.3.3 – КМР - СтОЕЗ від 20.09.2023</t>
  </si>
  <si>
    <t>20.02.2024 11:09:05</t>
  </si>
  <si>
    <t>ІБ00-000044</t>
  </si>
  <si>
    <t>акт №18 за січень 2024 не підписаний</t>
  </si>
  <si>
    <t>26.02.2024 00:00:00</t>
  </si>
  <si>
    <t>ІБ00-000038</t>
  </si>
  <si>
    <t>Акт № 2 ДОГОВІР ПІДРЯДУ № 18/12/23-3.3.3-АР-СтОЕЗ від 18.1</t>
  </si>
  <si>
    <t>26.02.2024 13:11:06</t>
  </si>
  <si>
    <t>ІБ00-000039</t>
  </si>
  <si>
    <t xml:space="preserve"> Акт 2 ДОГОВІР ПІДРЯДУ № 13/12/2023-3.4.5-АР-СтОЕЗ від 13</t>
  </si>
  <si>
    <t>26.02.2024 15:15:54</t>
  </si>
  <si>
    <t>ІБ00-000025</t>
  </si>
  <si>
    <t xml:space="preserve">акт №17 за лютий 2024 </t>
  </si>
  <si>
    <t>26.02.2024 17:11:01</t>
  </si>
  <si>
    <t>ІБ00-000055</t>
  </si>
  <si>
    <t>Акт №29</t>
  </si>
  <si>
    <t>26.02.2024 17:11:02</t>
  </si>
  <si>
    <t>ІБ00-000056</t>
  </si>
  <si>
    <t>Акт №30</t>
  </si>
  <si>
    <t>27.02.2024 11:14:30</t>
  </si>
  <si>
    <t>ІБ00-000050</t>
  </si>
  <si>
    <t>ЗАПОРІЗЬКИЙ ОЛІЯЖИРКОМБІНАТ ПРАТ</t>
  </si>
  <si>
    <t>Виробничий Щедро_Флексітанки</t>
  </si>
  <si>
    <t xml:space="preserve">акт №1 земляні роботи </t>
  </si>
  <si>
    <t>27.02.2024 11:15:48</t>
  </si>
  <si>
    <t>ІБ00-000051</t>
  </si>
  <si>
    <t>акт №2 монтаж металоконструкцій</t>
  </si>
  <si>
    <t>27.02.2024 11:18:10</t>
  </si>
  <si>
    <t>ІБ00-000052</t>
  </si>
  <si>
    <t>акт №1 метаконструкції</t>
  </si>
  <si>
    <t>27.02.2024 11:18:55</t>
  </si>
  <si>
    <t>ІБ00-000053</t>
  </si>
  <si>
    <t>акт №1 влаштування дорожних плит</t>
  </si>
  <si>
    <t>27.02.2024 11:19:49</t>
  </si>
  <si>
    <t>ІБ00-000054</t>
  </si>
  <si>
    <t>акт №2 влаштування дорожних плит</t>
  </si>
  <si>
    <t>28.02.2024 00:00:00</t>
  </si>
  <si>
    <t>ІБ00-000042</t>
  </si>
  <si>
    <t>акт №2 гідроізоляція за лютий 2024</t>
  </si>
  <si>
    <t>ІБ00-000045</t>
  </si>
  <si>
    <t xml:space="preserve">акт №1 гідроізоляція за лютий 2024 </t>
  </si>
  <si>
    <t>28.02.2024 11:02:19</t>
  </si>
  <si>
    <t>ІБ00-000057</t>
  </si>
  <si>
    <t>(без матеріалів)акт №6 за лютий 2024 ДУ № 2 ДОГОВІР ПІДРЯДУ № 20230815-3 від 15.08.2023</t>
  </si>
  <si>
    <t>28.02.2024 11:08:35</t>
  </si>
  <si>
    <t>ІБ00-000058</t>
  </si>
  <si>
    <t>Акт 1</t>
  </si>
  <si>
    <t>29.02.2024 00:00:00</t>
  </si>
  <si>
    <t>ІБ00-000029</t>
  </si>
  <si>
    <t>ЗАПОРІЗЬКИЙ ОЛІЙНОЕКСТРАКЦІЙНИЙ ЗАВОД  ПРАТ</t>
  </si>
  <si>
    <t>Виробничий (Запоріж_Турбіна2)</t>
  </si>
  <si>
    <t xml:space="preserve"> Акт № 4/1</t>
  </si>
  <si>
    <t>ІБ00-000059</t>
  </si>
  <si>
    <t xml:space="preserve">акт №20 за лютий 2024 </t>
  </si>
  <si>
    <t>29.02.2024 12:01:28</t>
  </si>
  <si>
    <t>ІБ00-000030</t>
  </si>
  <si>
    <t xml:space="preserve"> Акт № 4/2</t>
  </si>
  <si>
    <t>29.02.2024 12:02:10</t>
  </si>
  <si>
    <t>ІБ00-000031</t>
  </si>
  <si>
    <t xml:space="preserve"> Акт № 4/3</t>
  </si>
  <si>
    <t>29.02.2024 12:02:43</t>
  </si>
  <si>
    <t>ІБ00-000032</t>
  </si>
  <si>
    <t xml:space="preserve"> Акт № 4/4</t>
  </si>
  <si>
    <t>29.02.2024 12:03:27</t>
  </si>
  <si>
    <t>ІБ00-000033</t>
  </si>
  <si>
    <t xml:space="preserve"> Акт № 4/5</t>
  </si>
  <si>
    <t>Крушинка</t>
  </si>
  <si>
    <t>Ладыжин-3</t>
  </si>
  <si>
    <t>Турбина-2</t>
  </si>
  <si>
    <t>Щедро.Флекситанки</t>
  </si>
  <si>
    <t>Староконстантинов</t>
  </si>
  <si>
    <t>ООН Киевская обл.</t>
  </si>
  <si>
    <t>ИТОГО</t>
  </si>
  <si>
    <t>Вид операції</t>
  </si>
  <si>
    <t>Склад</t>
  </si>
  <si>
    <t>Дата вх.</t>
  </si>
  <si>
    <t>Номер вх.</t>
  </si>
  <si>
    <t>Договір</t>
  </si>
  <si>
    <t>Документ розрахунків</t>
  </si>
  <si>
    <t>09.02.2024 17:51:59</t>
  </si>
  <si>
    <t>ІБ00-000442</t>
  </si>
  <si>
    <t>Покупка, комісія</t>
  </si>
  <si>
    <t>Щедро_Флекситанки</t>
  </si>
  <si>
    <t>ІНДЕПТ СТІЛ ТОВ</t>
  </si>
  <si>
    <t>09.02.2024</t>
  </si>
  <si>
    <t>3</t>
  </si>
  <si>
    <t>Договір 20/12-23  від 20.12.2023_Щедро.Флексі</t>
  </si>
  <si>
    <t>Рахунок на оплату постачальника ІБ00-001518 от 26.12.2023 17:59:02</t>
  </si>
  <si>
    <t>Шостак Жанета</t>
  </si>
  <si>
    <t>29.02.2024 23:00:53</t>
  </si>
  <si>
    <t>ІБ00-000808</t>
  </si>
  <si>
    <t>Старокостянтинів</t>
  </si>
  <si>
    <t>Денбетон</t>
  </si>
  <si>
    <t>29.02.2024</t>
  </si>
  <si>
    <t>ДОГОВІР підр 26/09-023 від 26.09.2023 СТАРКОН</t>
  </si>
  <si>
    <t>28.02.2024 17:11:38</t>
  </si>
  <si>
    <t>ІБ00-000725</t>
  </si>
  <si>
    <t>ДНІПРО АКВАБУД ІНВЕСТ</t>
  </si>
  <si>
    <t>28.02.2024</t>
  </si>
  <si>
    <t>Акт 6</t>
  </si>
  <si>
    <t>Дог№12/09 від 12.09.23 ДУ1_661 044,29_Крушинка</t>
  </si>
  <si>
    <t>Рахунок на оплату постачальника ІБ00-000314 от 26.01.2024 17:45:34</t>
  </si>
  <si>
    <t>Дохід</t>
  </si>
  <si>
    <t>ПДВ</t>
  </si>
  <si>
    <t>Собівартість</t>
  </si>
  <si>
    <t>Акт</t>
  </si>
  <si>
    <t>ДОГОВІР ПІДРЯДУ № 20230815-3 від 15.08.2023</t>
  </si>
  <si>
    <t>Надання виробничих послуг ІБ00-000025 от 26.02.2024 15:15:54</t>
  </si>
  <si>
    <t>Надання виробничих послуг ІБ00-000041 от 06.02.2024 17:52:23</t>
  </si>
  <si>
    <t>Надання виробничих послуг ІБ00-000043 от 20.02.2024 00:00:00</t>
  </si>
  <si>
    <t>Надання виробничих послуг ІБ00-000044 от 20.02.2024 11:09:05</t>
  </si>
  <si>
    <t>Надання виробничих послуг ІБ00-000046 от 06.02.2024 17:52:27</t>
  </si>
  <si>
    <t>Надання виробничих послуг ІБ00-000059 от 29.02.2024 00:00:00</t>
  </si>
  <si>
    <t>Надання виробничих послуг ІБ00-000061 от 06.02.2024 00:00:00</t>
  </si>
  <si>
    <t>ДОГОВІР ПІДРЯДУ № F-20231127-1 від 27.11.2023</t>
  </si>
  <si>
    <t>Надання виробничих послуг ІБ00-000042 от 28.02.2024 00:00:00</t>
  </si>
  <si>
    <t>Надання виробничих послуг ІБ00-000045 от 28.02.2024 00:00:00</t>
  </si>
  <si>
    <t>ДУ № 2 ДОГОВІР ПІДРЯДУ № 20230815-3 від 15.08.2023</t>
  </si>
  <si>
    <t>Надання виробничих послуг ІБ00-000057 от 28.02.2024 11:02:19</t>
  </si>
  <si>
    <t>ДУ № 6 ДОГОВІР ПІДРЯДУ № 20230815-3 від 15.08.2023</t>
  </si>
  <si>
    <t>Надання виробничих послуг ІБ00-000058 от 28.02.2024 11:08:35</t>
  </si>
  <si>
    <t>Договір №2909/2023/ЛА від 29.09.2023 року</t>
  </si>
  <si>
    <t>Надання виробничих послуг ІБ00-000026 от 05.02.2024 15:53:48</t>
  </si>
  <si>
    <t>Надання виробничих послуг ІБ00-000034 от 09.02.2024 17:52:00</t>
  </si>
  <si>
    <t>Надання виробничих послуг ІБ00-000040 от 12.02.2024 18:30:49</t>
  </si>
  <si>
    <t>Надання виробничих послуг ІБ00-000047 от 19.02.2024 17:11:47</t>
  </si>
  <si>
    <t>Надання виробничих послуг ІБ00-000055 от 26.02.2024 17:11:01</t>
  </si>
  <si>
    <t>Надання виробничих послуг ІБ00-000056 от 26.02.2024 17:11:02</t>
  </si>
  <si>
    <t>Договір підряду №3-23 від 28.09.2023</t>
  </si>
  <si>
    <t>Надання виробничих послуг ІБ00-000029 от 29.02.2024 00:00:00</t>
  </si>
  <si>
    <t>Надання виробничих послуг ІБ00-000030 от 29.02.2024 12:01:28</t>
  </si>
  <si>
    <t>Надання виробничих послуг ІБ00-000031 от 29.02.2024 12:02:10</t>
  </si>
  <si>
    <t>Надання виробничих послуг ІБ00-000032 от 29.02.2024 12:02:43</t>
  </si>
  <si>
    <t>Надання виробничих послуг ІБ00-000033 от 29.02.2024 12:03:27</t>
  </si>
  <si>
    <t>Договір підряду №26</t>
  </si>
  <si>
    <t>Надання виробничих послуг ІБ00-000050 от 27.02.2024 11:14:30</t>
  </si>
  <si>
    <t>Надання виробничих послуг ІБ00-000051 от 27.02.2024 11:15:48</t>
  </si>
  <si>
    <t>Надання виробничих послуг ІБ00-000052 от 27.02.2024 11:18:10</t>
  </si>
  <si>
    <t>Надання виробничих послуг ІБ00-000053 от 27.02.2024 11:18:55</t>
  </si>
  <si>
    <t>Надання виробничих послуг ІБ00-000054 от 27.02.2024 11:19:49</t>
  </si>
  <si>
    <t>ДОГОВІР  № 04/09/2023 -АР-СтОЕЗ від 04.09.2023</t>
  </si>
  <si>
    <t>Надання виробничих послуг ІБ00-000010 от 02.02.2024 00:00:00</t>
  </si>
  <si>
    <t>ДОГОВІР ПІДРЯДУ № 06/11/2023 -Б -СтОЕЗ від 06.11.2</t>
  </si>
  <si>
    <t>Надання виробничих послуг ІБ00-000008 от 02.02.2024 00:00:00</t>
  </si>
  <si>
    <t>ДОГОВІР ПІДРЯДУ № 13/12/2023-3.4.5-АР-СтОЕЗ від 13</t>
  </si>
  <si>
    <t>Надання виробничих послуг ІБ00-000036 от 12.02.2024 18:30:42</t>
  </si>
  <si>
    <t>Надання виробничих послуг ІБ00-000039 от 26.02.2024 13:11:06</t>
  </si>
  <si>
    <t>ДОГОВІР ПІДРЯДУ № 18/12/23-3.3.3-АР-СтОЕЗ від 18.1</t>
  </si>
  <si>
    <t>Надання виробничих послуг ІБ00-000037 от 12.02.2024 18:30:43</t>
  </si>
  <si>
    <t>Надання виробничих послуг ІБ00-000038 от 26.02.2024 00:00:00</t>
  </si>
  <si>
    <t>ДОГОВІР ПІДРЯДУ № 3.3.3 – КМР - СтОЕЗ від 20.09.20</t>
  </si>
  <si>
    <t>Надання виробничих послуг ІБ00-000009 от 02.02.2024 00:00:00</t>
  </si>
  <si>
    <t>Надання виробничих послуг ІБ00-000024 от 20.02.2024 08:41:35</t>
  </si>
  <si>
    <t xml:space="preserve">Договір Підряду №4.4,4.4.1–АР-СтОЕЗ-ВО від </t>
  </si>
  <si>
    <t>Надання виробничих послуг ІБ00-000027 от 20.02.2024 00:00:00</t>
  </si>
  <si>
    <t>Договір про надання послуг 2022-DEC-178 від 13.03.</t>
  </si>
  <si>
    <t>Надання виробничих послуг ІБ00-000014 от 02.02.2024 11:26:20</t>
  </si>
  <si>
    <t>Надання виробничих послуг ІБ00-000015 от 02.02.2024 11:26:49</t>
  </si>
  <si>
    <t>Надання виробничих послуг ІБ00-000016 от 02.02.2024 11:27:30</t>
  </si>
  <si>
    <t>Надання виробничих послуг ІБ00-000017 от 02.02.2024 11:28:00</t>
  </si>
  <si>
    <t>Надання виробничих послуг ІБ00-000018 от 02.02.2024 11:28:34</t>
  </si>
  <si>
    <t>Надання виробничих послуг ІБ00-000019 от 02.02.2024 11:29:17</t>
  </si>
  <si>
    <t>Итого</t>
  </si>
  <si>
    <t>02.02.2024 17:32:52</t>
  </si>
  <si>
    <t>ІБ00-000035</t>
  </si>
  <si>
    <t>ООН Київ</t>
  </si>
  <si>
    <t>АЕ 63 622 248,83</t>
  </si>
  <si>
    <t>02.02.2024 17:40:56</t>
  </si>
  <si>
    <t>Р 285 - 34 074,89</t>
  </si>
  <si>
    <t>02.02.2024 17:40:59</t>
  </si>
  <si>
    <t>Р 350 - 176 340,07</t>
  </si>
  <si>
    <t>02.02.2024 17:41:02</t>
  </si>
  <si>
    <t>АЕ 62 - 1 205 734,97</t>
  </si>
  <si>
    <t>02.02.2024 17:41:05</t>
  </si>
  <si>
    <t>АЕ 61 - 1 482 198,00</t>
  </si>
  <si>
    <t>02.02.2024 17:41:09</t>
  </si>
  <si>
    <t>АЕ 26 - 755 008,69</t>
  </si>
  <si>
    <t>02.02.2024 17:41:23</t>
  </si>
  <si>
    <t>ІБ00-000091</t>
  </si>
  <si>
    <t>02.02.2024 17:41:24</t>
  </si>
  <si>
    <t>ІБ00-000092</t>
  </si>
  <si>
    <t>02.02.2024 17:41:28</t>
  </si>
  <si>
    <t>ІБ00-000093</t>
  </si>
  <si>
    <t>05.02.2024 15:54:18</t>
  </si>
  <si>
    <t>Ладижин-3</t>
  </si>
  <si>
    <t>Біогаз</t>
  </si>
  <si>
    <t>06.02.2024 17:52:30</t>
  </si>
  <si>
    <t>ІБ00-000064</t>
  </si>
  <si>
    <t>06.02.2024 17:52:35</t>
  </si>
  <si>
    <t>ІБ00-000066</t>
  </si>
  <si>
    <t>12.02.2024 18:30:56</t>
  </si>
  <si>
    <t>12.02.2024 22:52:33</t>
  </si>
  <si>
    <t>ІБ00-000065</t>
  </si>
  <si>
    <t>12.02.2024 22:52:38</t>
  </si>
  <si>
    <t>ІБ00-000082</t>
  </si>
  <si>
    <t>12.02.2024 23:58:42</t>
  </si>
  <si>
    <t>ІБ00-000083</t>
  </si>
  <si>
    <t>14.02.2024 11:46:04</t>
  </si>
  <si>
    <t>Досписання До акту № 2</t>
  </si>
  <si>
    <t>14.02.2024 12:00:03</t>
  </si>
  <si>
    <t>Досписання До акту № 3</t>
  </si>
  <si>
    <t>14.02.2024 13:11:01</t>
  </si>
  <si>
    <t>Досписання До акту № 6</t>
  </si>
  <si>
    <t>14.02.2024 13:15:45</t>
  </si>
  <si>
    <t>Досписання До акту № 1 ДУ2</t>
  </si>
  <si>
    <t>14.02.2024 14:07:18</t>
  </si>
  <si>
    <t>Досписання До акту № 4</t>
  </si>
  <si>
    <t>14.02.2024 14:40:27</t>
  </si>
  <si>
    <t>Досписання До акту № 5</t>
  </si>
  <si>
    <t>14.02.2024 17:53:14</t>
  </si>
  <si>
    <t>Придніпровський МЕЗ-2</t>
  </si>
  <si>
    <t>До акту № 1 (рахунок 30 від 06.02.2023)</t>
  </si>
  <si>
    <t>19.02.2024 17:11:50</t>
  </si>
  <si>
    <t>20.02.2024 18:03:34</t>
  </si>
  <si>
    <t>ІБ00-000074</t>
  </si>
  <si>
    <t>20.02.2024 18:03:36</t>
  </si>
  <si>
    <t>ІБ00-000075</t>
  </si>
  <si>
    <t>20.02.2024 18:03:39</t>
  </si>
  <si>
    <t>ІБ00-000079</t>
  </si>
  <si>
    <t>20.02.2024 18:03:43</t>
  </si>
  <si>
    <t>ІБ00-000081</t>
  </si>
  <si>
    <t>26.02.2024 17:11:07</t>
  </si>
  <si>
    <t>26.02.2024 18:13:48</t>
  </si>
  <si>
    <t>ІБ00-000067</t>
  </si>
  <si>
    <t>26.02.2024 18:13:51</t>
  </si>
  <si>
    <t>ІБ00-000071</t>
  </si>
  <si>
    <t>26.02.2024 18:13:55</t>
  </si>
  <si>
    <t>ІБ00-000072</t>
  </si>
  <si>
    <t>26.02.2024 18:13:59</t>
  </si>
  <si>
    <t>ІБ00-000073</t>
  </si>
  <si>
    <t>27.02.2024 17:29:45</t>
  </si>
  <si>
    <t>ІБ00-000068</t>
  </si>
  <si>
    <t>27.02.2024 17:29:49</t>
  </si>
  <si>
    <t>ІБ00-000069</t>
  </si>
  <si>
    <t>27.02.2024 17:29:53</t>
  </si>
  <si>
    <t>ІБ00-000070</t>
  </si>
  <si>
    <t>ІБ00-000078</t>
  </si>
  <si>
    <t>28.02.2024 09:35:38</t>
  </si>
  <si>
    <t>досписання</t>
  </si>
  <si>
    <t>28.02.2024 09:44:34</t>
  </si>
  <si>
    <t>28.02.2024 09:46:21</t>
  </si>
  <si>
    <t>28.02.2024 09:48:11</t>
  </si>
  <si>
    <t>28.02.2024 10:18:10</t>
  </si>
  <si>
    <t>ІБ00-000048</t>
  </si>
  <si>
    <t>28.02.2024 10:22:14</t>
  </si>
  <si>
    <t>ІБ00-000049</t>
  </si>
  <si>
    <t>28.02.2024 10:24:59</t>
  </si>
  <si>
    <t>28.02.2024 17:11:31</t>
  </si>
  <si>
    <t>досписання АА-108/АА113/АА112/А287</t>
  </si>
  <si>
    <t>28.02.2024 17:11:32</t>
  </si>
  <si>
    <t>28.02.2024 17:11:33</t>
  </si>
  <si>
    <t>28.02.2024 17:11:34</t>
  </si>
  <si>
    <t>28.02.2024 17:11:35</t>
  </si>
  <si>
    <t>28.02.2024 17:11:36</t>
  </si>
  <si>
    <t>28.02.2024 17:11:37</t>
  </si>
  <si>
    <t>ІБ00-000060</t>
  </si>
  <si>
    <t>28.02.2024 17:12:01</t>
  </si>
  <si>
    <t>ІБ00-000077</t>
  </si>
  <si>
    <t>ІБ00-000089</t>
  </si>
  <si>
    <t>Запоріжжя_Турбіна 2</t>
  </si>
  <si>
    <t>29.02.2024 20:00:00</t>
  </si>
  <si>
    <t>ІБ00-000086</t>
  </si>
  <si>
    <t>29.02.2024 20:10:00</t>
  </si>
  <si>
    <t>ІБ00-000087</t>
  </si>
  <si>
    <t>29.02.2024 20:20:00</t>
  </si>
  <si>
    <t>ІБ00-000090</t>
  </si>
  <si>
    <t>29.02.2024 23:01:07</t>
  </si>
  <si>
    <t>ІБ00-000076</t>
  </si>
  <si>
    <t>29.02.2024 23:59:59</t>
  </si>
  <si>
    <t>ІБ00-000088</t>
  </si>
  <si>
    <t>Сумма без НДС</t>
  </si>
  <si>
    <t>Сумма С НДС</t>
  </si>
  <si>
    <t>Биогаз (досписания)</t>
  </si>
  <si>
    <t>ООН Киев</t>
  </si>
  <si>
    <t>ООН Киев (досписания)</t>
  </si>
  <si>
    <t>МЕЗ-2 (досписание)</t>
  </si>
  <si>
    <t>Староконстартинов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</si>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</sst>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1"/>
      <color theme="1"/>
      <name val="Calibri"/>
      <family val="2"/>
      <charset val="204"/>
      <scheme val="minor"/>
    </font>
    <font>
      <b/>
      <sz val="8"/>
      <color indexed="63"/>
      <name val="Arial"/>
      <family val="2"/>
      <charset val="204"/>
    </font>
    <font>
      <sz val="10"/>
      <color indexed="63"/>
      <name val="Arial"/>
      <family val="2"/>
      <charset val="204"/>
    </font>
    <font>
      <b/>
      <sz val="10"/>
      <color indexed="9"/>
      <name val="Arial"/>
      <family val="2"/>
      <charset val="204"/>
    </font>
    <font>
      <b/>
      <sz val="8"/>
      <color indexed="56"/>
      <name val="Arial"/>
      <family val="2"/>
      <charset val="204"/>
    </font>
    <font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</fills>
  <borders count="7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4" fontId="0" fillId="3" borderId="0" xfId="0" applyNumberFormat="1" applyFill="1"/>
    <xf numFmtId="0" fontId="2" fillId="2" borderId="1" xfId="2" applyNumberFormat="1" applyFont="1" applyFill="1" applyBorder="1" applyAlignment="1">
      <alignment horizontal="left" vertical="top"/>
    </xf>
    <xf numFmtId="0" fontId="3" fillId="2" borderId="1" xfId="2" applyNumberFormat="1" applyFont="1" applyFill="1" applyBorder="1" applyAlignment="1">
      <alignment horizontal="left" vertical="top"/>
    </xf>
    <xf numFmtId="4" fontId="3" fillId="2" borderId="1" xfId="2" applyNumberFormat="1" applyFont="1" applyFill="1" applyBorder="1" applyAlignment="1">
      <alignment horizontal="right" vertical="top"/>
    </xf>
    <xf numFmtId="4" fontId="5" fillId="2" borderId="1" xfId="2" applyNumberFormat="1" applyFont="1" applyFill="1" applyBorder="1" applyAlignment="1">
      <alignment horizontal="right" vertical="top"/>
    </xf>
    <xf numFmtId="0" fontId="7" fillId="4" borderId="2" xfId="3" applyNumberFormat="1" applyFont="1" applyFill="1" applyBorder="1" applyAlignment="1">
      <alignment vertical="top" wrapText="1"/>
    </xf>
    <xf numFmtId="0" fontId="8" fillId="5" borderId="6" xfId="3" applyNumberFormat="1" applyFont="1" applyFill="1" applyBorder="1" applyAlignment="1">
      <alignment vertical="top" wrapText="1"/>
    </xf>
    <xf numFmtId="4" fontId="8" fillId="5" borderId="6" xfId="3" applyNumberFormat="1" applyFont="1" applyFill="1" applyBorder="1" applyAlignment="1">
      <alignment horizontal="right" vertical="top"/>
    </xf>
    <xf numFmtId="0" fontId="8" fillId="6" borderId="6" xfId="3" applyNumberFormat="1" applyFont="1" applyFill="1" applyBorder="1" applyAlignment="1">
      <alignment vertical="top" wrapText="1" indent="2"/>
    </xf>
    <xf numFmtId="164" fontId="8" fillId="6" borderId="6" xfId="3" applyNumberFormat="1" applyFont="1" applyFill="1" applyBorder="1" applyAlignment="1">
      <alignment horizontal="right" vertical="top"/>
    </xf>
    <xf numFmtId="4" fontId="8" fillId="6" borderId="6" xfId="3" applyNumberFormat="1" applyFont="1" applyFill="1" applyBorder="1" applyAlignment="1">
      <alignment horizontal="right" vertical="top"/>
    </xf>
    <xf numFmtId="0" fontId="1" fillId="0" borderId="6" xfId="3" applyNumberFormat="1" applyFont="1" applyBorder="1" applyAlignment="1">
      <alignment vertical="top" wrapText="1" indent="4"/>
    </xf>
    <xf numFmtId="4" fontId="1" fillId="0" borderId="6" xfId="3" applyNumberFormat="1" applyFont="1" applyBorder="1" applyAlignment="1">
      <alignment horizontal="right" vertical="top"/>
    </xf>
    <xf numFmtId="3" fontId="1" fillId="0" borderId="6" xfId="3" applyNumberFormat="1" applyFont="1" applyBorder="1" applyAlignment="1">
      <alignment horizontal="right" vertical="top"/>
    </xf>
    <xf numFmtId="164" fontId="1" fillId="0" borderId="6" xfId="3" applyNumberFormat="1" applyFont="1" applyBorder="1" applyAlignment="1">
      <alignment horizontal="right" vertical="top"/>
    </xf>
    <xf numFmtId="2" fontId="8" fillId="6" borderId="6" xfId="3" applyNumberFormat="1" applyFont="1" applyFill="1" applyBorder="1" applyAlignment="1">
      <alignment horizontal="right" vertical="top"/>
    </xf>
    <xf numFmtId="0" fontId="8" fillId="6" borderId="6" xfId="3" applyNumberFormat="1" applyFont="1" applyFill="1" applyBorder="1" applyAlignment="1">
      <alignment horizontal="right" vertical="top"/>
    </xf>
    <xf numFmtId="2" fontId="1" fillId="0" borderId="6" xfId="3" applyNumberFormat="1" applyFont="1" applyBorder="1" applyAlignment="1">
      <alignment horizontal="right" vertical="top"/>
    </xf>
    <xf numFmtId="0" fontId="1" fillId="0" borderId="6" xfId="3" applyNumberFormat="1" applyFont="1" applyBorder="1" applyAlignment="1">
      <alignment horizontal="right" vertical="top"/>
    </xf>
    <xf numFmtId="0" fontId="7" fillId="7" borderId="2" xfId="3" applyNumberFormat="1" applyFont="1" applyFill="1" applyBorder="1" applyAlignment="1">
      <alignment vertical="top"/>
    </xf>
    <xf numFmtId="4" fontId="7" fillId="7" borderId="2" xfId="3" applyNumberFormat="1" applyFont="1" applyFill="1" applyBorder="1" applyAlignment="1">
      <alignment horizontal="right" vertical="top"/>
    </xf>
    <xf numFmtId="0" fontId="2" fillId="2" borderId="1" xfId="4" applyNumberFormat="1" applyFont="1" applyFill="1" applyBorder="1" applyAlignment="1">
      <alignment horizontal="left" vertical="top"/>
    </xf>
    <xf numFmtId="0" fontId="3" fillId="2" borderId="1" xfId="4" applyNumberFormat="1" applyFont="1" applyFill="1" applyBorder="1" applyAlignment="1">
      <alignment horizontal="left" vertical="top"/>
    </xf>
    <xf numFmtId="4" fontId="6" fillId="2" borderId="1" xfId="4" applyNumberFormat="1" applyFont="1" applyFill="1" applyBorder="1" applyAlignment="1">
      <alignment horizontal="center" vertical="center"/>
    </xf>
    <xf numFmtId="4" fontId="3" fillId="2" borderId="1" xfId="4" applyNumberFormat="1" applyFont="1" applyFill="1" applyBorder="1" applyAlignment="1">
      <alignment horizontal="center" vertical="top"/>
    </xf>
    <xf numFmtId="4" fontId="0" fillId="0" borderId="0" xfId="0" applyNumberFormat="1" applyAlignment="1">
      <alignment horizontal="center"/>
    </xf>
    <xf numFmtId="0" fontId="4" fillId="0" borderId="0" xfId="0" applyFont="1"/>
    <xf numFmtId="4" fontId="4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4" fontId="0" fillId="3" borderId="0" xfId="0" applyNumberFormat="1" applyFill="1" applyAlignment="1">
      <alignment horizontal="center"/>
    </xf>
    <xf numFmtId="0" fontId="7" fillId="4" borderId="3" xfId="3" applyNumberFormat="1" applyFont="1" applyFill="1" applyBorder="1" applyAlignment="1">
      <alignment vertical="top" wrapText="1"/>
    </xf>
    <xf numFmtId="0" fontId="7" fillId="4" borderId="4" xfId="3" applyNumberFormat="1" applyFont="1" applyFill="1" applyBorder="1" applyAlignment="1">
      <alignment vertical="top" wrapText="1"/>
    </xf>
    <xf numFmtId="0" fontId="7" fillId="4" borderId="5" xfId="3" applyNumberFormat="1" applyFont="1" applyFill="1" applyBorder="1" applyAlignment="1">
      <alignment vertical="top" wrapText="1"/>
    </xf>
  </cellXfs>
  <cellStyles count="5">
    <cellStyle name="Обычный" xfId="0" builtinId="0"/>
    <cellStyle name="Обычный_ВаловаяПрибыль" xfId="3"/>
    <cellStyle name="Обычный_Лист1" xfId="1"/>
    <cellStyle name="Обычный_Списание стройматериалов" xfId="4"/>
    <cellStyle name="Обычный_Услуги_сторонних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28" workbookViewId="0">
      <selection activeCell="E44" sqref="E44"/>
    </sheetView>
  </sheetViews>
  <sheetFormatPr defaultRowHeight="14.4" x14ac:dyDescent="0.3"/>
  <cols>
    <col min="1" max="1" width="4.5546875" customWidth="1"/>
    <col min="2" max="2" width="14" bestFit="1" customWidth="1"/>
    <col min="3" max="3" width="8.77734375" bestFit="1" customWidth="1"/>
    <col min="4" max="4" width="39.6640625" bestFit="1" customWidth="1"/>
    <col min="5" max="5" width="12.33203125" bestFit="1" customWidth="1"/>
    <col min="6" max="6" width="7.6640625" bestFit="1" customWidth="1"/>
    <col min="7" max="7" width="22.88671875" bestFit="1" customWidth="1"/>
    <col min="8" max="8" width="16.6640625" bestFit="1" customWidth="1"/>
    <col min="9" max="9" width="14.5546875" bestFit="1" customWidth="1"/>
    <col min="10" max="10" width="6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3">
        <v>693583.4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3">
      <c r="A3" s="2" t="s">
        <v>10</v>
      </c>
      <c r="B3" s="2" t="s">
        <v>11</v>
      </c>
      <c r="C3" s="2" t="s">
        <v>19</v>
      </c>
      <c r="D3" s="2" t="s">
        <v>13</v>
      </c>
      <c r="E3" s="3">
        <v>237993.73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20</v>
      </c>
    </row>
    <row r="4" spans="1:10" x14ac:dyDescent="0.3">
      <c r="A4" s="2" t="s">
        <v>10</v>
      </c>
      <c r="B4" s="2" t="s">
        <v>11</v>
      </c>
      <c r="C4" s="2" t="s">
        <v>21</v>
      </c>
      <c r="D4" s="2" t="s">
        <v>13</v>
      </c>
      <c r="E4" s="3">
        <v>63794.94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22</v>
      </c>
    </row>
    <row r="5" spans="1:10" x14ac:dyDescent="0.3">
      <c r="A5" s="2" t="s">
        <v>10</v>
      </c>
      <c r="B5" s="2" t="s">
        <v>23</v>
      </c>
      <c r="C5" s="2" t="s">
        <v>24</v>
      </c>
      <c r="D5" s="2" t="s">
        <v>25</v>
      </c>
      <c r="E5" s="3">
        <v>622248.82999999996</v>
      </c>
      <c r="F5" s="2" t="s">
        <v>14</v>
      </c>
      <c r="G5" s="2" t="s">
        <v>26</v>
      </c>
      <c r="H5" s="2" t="s">
        <v>16</v>
      </c>
      <c r="I5" s="2" t="s">
        <v>17</v>
      </c>
      <c r="J5" s="2" t="s">
        <v>27</v>
      </c>
    </row>
    <row r="6" spans="1:10" x14ac:dyDescent="0.3">
      <c r="A6" s="2" t="s">
        <v>10</v>
      </c>
      <c r="B6" s="2" t="s">
        <v>28</v>
      </c>
      <c r="C6" s="2" t="s">
        <v>29</v>
      </c>
      <c r="D6" s="2" t="s">
        <v>25</v>
      </c>
      <c r="E6" s="3">
        <v>1205734.97</v>
      </c>
      <c r="F6" s="2" t="s">
        <v>14</v>
      </c>
      <c r="G6" s="2" t="s">
        <v>26</v>
      </c>
      <c r="H6" s="2" t="s">
        <v>16</v>
      </c>
      <c r="I6" s="2" t="s">
        <v>17</v>
      </c>
      <c r="J6" s="2" t="s">
        <v>30</v>
      </c>
    </row>
    <row r="7" spans="1:10" x14ac:dyDescent="0.3">
      <c r="A7" s="2" t="s">
        <v>10</v>
      </c>
      <c r="B7" s="2" t="s">
        <v>31</v>
      </c>
      <c r="C7" s="2" t="s">
        <v>32</v>
      </c>
      <c r="D7" s="2" t="s">
        <v>25</v>
      </c>
      <c r="E7" s="3">
        <v>34074.89</v>
      </c>
      <c r="F7" s="2" t="s">
        <v>14</v>
      </c>
      <c r="G7" s="2" t="s">
        <v>26</v>
      </c>
      <c r="H7" s="2" t="s">
        <v>16</v>
      </c>
      <c r="I7" s="2" t="s">
        <v>17</v>
      </c>
      <c r="J7" s="2" t="s">
        <v>33</v>
      </c>
    </row>
    <row r="8" spans="1:10" x14ac:dyDescent="0.3">
      <c r="A8" s="2" t="s">
        <v>10</v>
      </c>
      <c r="B8" s="2" t="s">
        <v>34</v>
      </c>
      <c r="C8" s="2" t="s">
        <v>35</v>
      </c>
      <c r="D8" s="2" t="s">
        <v>25</v>
      </c>
      <c r="E8" s="3">
        <v>1482198</v>
      </c>
      <c r="F8" s="2" t="s">
        <v>14</v>
      </c>
      <c r="G8" s="2" t="s">
        <v>26</v>
      </c>
      <c r="H8" s="2" t="s">
        <v>16</v>
      </c>
      <c r="I8" s="2" t="s">
        <v>17</v>
      </c>
      <c r="J8" s="2" t="s">
        <v>36</v>
      </c>
    </row>
    <row r="9" spans="1:10" x14ac:dyDescent="0.3">
      <c r="A9" s="2" t="s">
        <v>10</v>
      </c>
      <c r="B9" s="2" t="s">
        <v>37</v>
      </c>
      <c r="C9" s="2" t="s">
        <v>38</v>
      </c>
      <c r="D9" s="2" t="s">
        <v>25</v>
      </c>
      <c r="E9" s="3">
        <v>755008.69</v>
      </c>
      <c r="F9" s="2" t="s">
        <v>14</v>
      </c>
      <c r="G9" s="2" t="s">
        <v>26</v>
      </c>
      <c r="H9" s="2" t="s">
        <v>16</v>
      </c>
      <c r="I9" s="2" t="s">
        <v>17</v>
      </c>
      <c r="J9" s="2" t="s">
        <v>39</v>
      </c>
    </row>
    <row r="10" spans="1:10" x14ac:dyDescent="0.3">
      <c r="A10" s="2" t="s">
        <v>10</v>
      </c>
      <c r="B10" s="2" t="s">
        <v>40</v>
      </c>
      <c r="C10" s="2" t="s">
        <v>41</v>
      </c>
      <c r="D10" s="2" t="s">
        <v>25</v>
      </c>
      <c r="E10" s="3">
        <v>176340.07</v>
      </c>
      <c r="F10" s="2" t="s">
        <v>14</v>
      </c>
      <c r="G10" s="2" t="s">
        <v>26</v>
      </c>
      <c r="H10" s="2" t="s">
        <v>16</v>
      </c>
      <c r="I10" s="2" t="s">
        <v>17</v>
      </c>
      <c r="J10" s="2" t="s">
        <v>42</v>
      </c>
    </row>
    <row r="11" spans="1:10" x14ac:dyDescent="0.3">
      <c r="A11" s="2" t="s">
        <v>10</v>
      </c>
      <c r="B11" s="2" t="s">
        <v>43</v>
      </c>
      <c r="C11" s="2" t="s">
        <v>44</v>
      </c>
      <c r="D11" s="2" t="s">
        <v>45</v>
      </c>
      <c r="E11" s="3">
        <v>1273689.76</v>
      </c>
      <c r="F11" s="2" t="s">
        <v>14</v>
      </c>
      <c r="G11" s="2" t="s">
        <v>46</v>
      </c>
      <c r="H11" s="2" t="s">
        <v>16</v>
      </c>
      <c r="I11" s="2" t="s">
        <v>17</v>
      </c>
      <c r="J11" s="2" t="s">
        <v>47</v>
      </c>
    </row>
    <row r="12" spans="1:10" x14ac:dyDescent="0.3">
      <c r="A12" s="2" t="s">
        <v>10</v>
      </c>
      <c r="B12" s="2" t="s">
        <v>48</v>
      </c>
      <c r="C12" s="2" t="s">
        <v>49</v>
      </c>
      <c r="D12" s="2" t="s">
        <v>50</v>
      </c>
      <c r="E12" s="3">
        <v>140758.31</v>
      </c>
      <c r="F12" s="2" t="s">
        <v>14</v>
      </c>
      <c r="G12" s="2" t="s">
        <v>51</v>
      </c>
      <c r="H12" s="2" t="s">
        <v>16</v>
      </c>
      <c r="I12" s="2" t="s">
        <v>52</v>
      </c>
      <c r="J12" s="2" t="s">
        <v>53</v>
      </c>
    </row>
    <row r="13" spans="1:10" x14ac:dyDescent="0.3">
      <c r="A13" s="2" t="s">
        <v>10</v>
      </c>
      <c r="B13" s="2" t="s">
        <v>54</v>
      </c>
      <c r="C13" s="2" t="s">
        <v>55</v>
      </c>
      <c r="D13" s="2" t="s">
        <v>50</v>
      </c>
      <c r="E13" s="3">
        <v>118627.25</v>
      </c>
      <c r="F13" s="2" t="s">
        <v>14</v>
      </c>
      <c r="G13" s="2" t="s">
        <v>51</v>
      </c>
      <c r="H13" s="2" t="s">
        <v>16</v>
      </c>
      <c r="I13" s="2" t="s">
        <v>17</v>
      </c>
      <c r="J13" s="2" t="s">
        <v>56</v>
      </c>
    </row>
    <row r="14" spans="1:10" x14ac:dyDescent="0.3">
      <c r="A14" s="2" t="s">
        <v>10</v>
      </c>
      <c r="B14" s="2" t="s">
        <v>57</v>
      </c>
      <c r="C14" s="2" t="s">
        <v>58</v>
      </c>
      <c r="D14" s="2" t="s">
        <v>50</v>
      </c>
      <c r="E14" s="3">
        <v>3270399.41</v>
      </c>
      <c r="F14" s="2" t="s">
        <v>14</v>
      </c>
      <c r="G14" s="2" t="s">
        <v>51</v>
      </c>
      <c r="H14" s="2" t="s">
        <v>16</v>
      </c>
      <c r="I14" s="2" t="s">
        <v>17</v>
      </c>
      <c r="J14" s="2" t="s">
        <v>59</v>
      </c>
    </row>
    <row r="15" spans="1:10" x14ac:dyDescent="0.3">
      <c r="A15" s="2" t="s">
        <v>60</v>
      </c>
      <c r="B15" s="2" t="s">
        <v>61</v>
      </c>
      <c r="C15" s="2" t="s">
        <v>62</v>
      </c>
      <c r="D15" s="2" t="s">
        <v>13</v>
      </c>
      <c r="E15" s="3">
        <v>228576.73</v>
      </c>
      <c r="F15" s="2" t="s">
        <v>14</v>
      </c>
      <c r="G15" s="2" t="s">
        <v>15</v>
      </c>
      <c r="H15" s="2" t="s">
        <v>16</v>
      </c>
      <c r="I15" s="2" t="s">
        <v>17</v>
      </c>
      <c r="J15" s="2" t="s">
        <v>63</v>
      </c>
    </row>
    <row r="16" spans="1:10" x14ac:dyDescent="0.3">
      <c r="A16" s="2" t="s">
        <v>10</v>
      </c>
      <c r="B16" s="2" t="s">
        <v>64</v>
      </c>
      <c r="C16" s="2" t="s">
        <v>65</v>
      </c>
      <c r="D16" s="2" t="s">
        <v>45</v>
      </c>
      <c r="E16" s="3">
        <v>278074.64</v>
      </c>
      <c r="F16" s="2" t="s">
        <v>14</v>
      </c>
      <c r="G16" s="2" t="s">
        <v>46</v>
      </c>
      <c r="H16" s="2" t="s">
        <v>16</v>
      </c>
      <c r="I16" s="2" t="s">
        <v>17</v>
      </c>
      <c r="J16" s="2" t="s">
        <v>66</v>
      </c>
    </row>
    <row r="17" spans="1:10" x14ac:dyDescent="0.3">
      <c r="A17" s="2" t="s">
        <v>10</v>
      </c>
      <c r="B17" s="2" t="s">
        <v>67</v>
      </c>
      <c r="C17" s="2" t="s">
        <v>68</v>
      </c>
      <c r="D17" s="2" t="s">
        <v>13</v>
      </c>
      <c r="E17" s="3">
        <v>469517.42</v>
      </c>
      <c r="F17" s="2" t="s">
        <v>14</v>
      </c>
      <c r="G17" s="2" t="s">
        <v>15</v>
      </c>
      <c r="H17" s="2" t="s">
        <v>16</v>
      </c>
      <c r="I17" s="2" t="s">
        <v>17</v>
      </c>
      <c r="J17" s="2" t="s">
        <v>69</v>
      </c>
    </row>
    <row r="18" spans="1:10" x14ac:dyDescent="0.3">
      <c r="A18" s="2" t="s">
        <v>10</v>
      </c>
      <c r="B18" s="2" t="s">
        <v>70</v>
      </c>
      <c r="C18" s="2" t="s">
        <v>71</v>
      </c>
      <c r="D18" s="2" t="s">
        <v>13</v>
      </c>
      <c r="E18" s="3">
        <v>836213.36</v>
      </c>
      <c r="F18" s="2" t="s">
        <v>14</v>
      </c>
      <c r="G18" s="2" t="s">
        <v>15</v>
      </c>
      <c r="H18" s="2" t="s">
        <v>16</v>
      </c>
      <c r="I18" s="2" t="s">
        <v>17</v>
      </c>
      <c r="J18" s="2" t="s">
        <v>72</v>
      </c>
    </row>
    <row r="19" spans="1:10" x14ac:dyDescent="0.3">
      <c r="A19" s="2" t="s">
        <v>10</v>
      </c>
      <c r="B19" s="2" t="s">
        <v>73</v>
      </c>
      <c r="C19" s="2" t="s">
        <v>74</v>
      </c>
      <c r="D19" s="2" t="s">
        <v>45</v>
      </c>
      <c r="E19" s="3">
        <v>150334.85999999999</v>
      </c>
      <c r="F19" s="2" t="s">
        <v>14</v>
      </c>
      <c r="G19" s="2" t="s">
        <v>46</v>
      </c>
      <c r="H19" s="2" t="s">
        <v>16</v>
      </c>
      <c r="I19" s="2" t="s">
        <v>17</v>
      </c>
      <c r="J19" s="2" t="s">
        <v>75</v>
      </c>
    </row>
    <row r="20" spans="1:10" x14ac:dyDescent="0.3">
      <c r="A20" s="2" t="s">
        <v>10</v>
      </c>
      <c r="B20" s="2" t="s">
        <v>76</v>
      </c>
      <c r="C20" s="2" t="s">
        <v>77</v>
      </c>
      <c r="D20" s="2" t="s">
        <v>45</v>
      </c>
      <c r="E20" s="3">
        <v>174251.02</v>
      </c>
      <c r="F20" s="2" t="s">
        <v>14</v>
      </c>
      <c r="G20" s="2" t="s">
        <v>46</v>
      </c>
      <c r="H20" s="2" t="s">
        <v>16</v>
      </c>
      <c r="I20" s="2" t="s">
        <v>17</v>
      </c>
      <c r="J20" s="2" t="s">
        <v>78</v>
      </c>
    </row>
    <row r="21" spans="1:10" x14ac:dyDescent="0.3">
      <c r="A21" s="2" t="s">
        <v>10</v>
      </c>
      <c r="B21" s="2" t="s">
        <v>79</v>
      </c>
      <c r="C21" s="2" t="s">
        <v>80</v>
      </c>
      <c r="D21" s="2" t="s">
        <v>13</v>
      </c>
      <c r="E21" s="3">
        <v>126334.2</v>
      </c>
      <c r="F21" s="2" t="s">
        <v>14</v>
      </c>
      <c r="G21" s="2" t="s">
        <v>15</v>
      </c>
      <c r="H21" s="2" t="s">
        <v>16</v>
      </c>
      <c r="I21" s="2" t="s">
        <v>17</v>
      </c>
      <c r="J21" s="2" t="s">
        <v>81</v>
      </c>
    </row>
    <row r="22" spans="1:10" x14ac:dyDescent="0.3">
      <c r="A22" s="2" t="s">
        <v>10</v>
      </c>
      <c r="B22" s="2" t="s">
        <v>79</v>
      </c>
      <c r="C22" s="2" t="s">
        <v>82</v>
      </c>
      <c r="D22" s="2" t="s">
        <v>50</v>
      </c>
      <c r="E22" s="3">
        <v>753745</v>
      </c>
      <c r="F22" s="2" t="s">
        <v>14</v>
      </c>
      <c r="G22" s="2" t="s">
        <v>51</v>
      </c>
      <c r="H22" s="2" t="s">
        <v>16</v>
      </c>
      <c r="I22" s="2" t="s">
        <v>17</v>
      </c>
      <c r="J22" s="2" t="s">
        <v>83</v>
      </c>
    </row>
    <row r="23" spans="1:10" x14ac:dyDescent="0.3">
      <c r="A23" s="2" t="s">
        <v>10</v>
      </c>
      <c r="B23" s="2" t="s">
        <v>84</v>
      </c>
      <c r="C23" s="2" t="s">
        <v>85</v>
      </c>
      <c r="D23" s="2" t="s">
        <v>13</v>
      </c>
      <c r="E23" s="3">
        <v>51632.31</v>
      </c>
      <c r="F23" s="2" t="s">
        <v>14</v>
      </c>
      <c r="G23" s="2" t="s">
        <v>15</v>
      </c>
      <c r="H23" s="2" t="s">
        <v>16</v>
      </c>
      <c r="I23" s="2" t="s">
        <v>17</v>
      </c>
      <c r="J23" s="2" t="s">
        <v>86</v>
      </c>
    </row>
    <row r="24" spans="1:10" x14ac:dyDescent="0.3">
      <c r="A24" s="2" t="s">
        <v>10</v>
      </c>
      <c r="B24" s="2" t="s">
        <v>87</v>
      </c>
      <c r="C24" s="2" t="s">
        <v>88</v>
      </c>
      <c r="D24" s="2" t="s">
        <v>50</v>
      </c>
      <c r="E24" s="3">
        <v>609343.34</v>
      </c>
      <c r="F24" s="2" t="s">
        <v>14</v>
      </c>
      <c r="G24" s="2" t="s">
        <v>51</v>
      </c>
      <c r="H24" s="2" t="s">
        <v>16</v>
      </c>
      <c r="I24" s="2" t="s">
        <v>17</v>
      </c>
      <c r="J24" s="2" t="s">
        <v>89</v>
      </c>
    </row>
    <row r="25" spans="1:10" x14ac:dyDescent="0.3">
      <c r="A25" s="2" t="s">
        <v>10</v>
      </c>
      <c r="B25" s="2" t="s">
        <v>90</v>
      </c>
      <c r="C25" s="2" t="s">
        <v>91</v>
      </c>
      <c r="D25" s="2" t="s">
        <v>13</v>
      </c>
      <c r="E25" s="3">
        <v>391917.91</v>
      </c>
      <c r="F25" s="2" t="s">
        <v>14</v>
      </c>
      <c r="G25" s="2" t="s">
        <v>15</v>
      </c>
      <c r="H25" s="2" t="s">
        <v>16</v>
      </c>
      <c r="I25" s="2" t="s">
        <v>17</v>
      </c>
      <c r="J25" s="2" t="s">
        <v>92</v>
      </c>
    </row>
    <row r="26" spans="1:10" x14ac:dyDescent="0.3">
      <c r="A26" s="2" t="s">
        <v>10</v>
      </c>
      <c r="B26" s="2" t="s">
        <v>93</v>
      </c>
      <c r="C26" s="2" t="s">
        <v>94</v>
      </c>
      <c r="D26" s="2" t="s">
        <v>13</v>
      </c>
      <c r="E26" s="3">
        <v>586349.1</v>
      </c>
      <c r="F26" s="2" t="s">
        <v>14</v>
      </c>
      <c r="G26" s="2" t="s">
        <v>15</v>
      </c>
      <c r="H26" s="2" t="s">
        <v>16</v>
      </c>
      <c r="I26" s="2" t="s">
        <v>17</v>
      </c>
      <c r="J26" s="2" t="s">
        <v>95</v>
      </c>
    </row>
    <row r="27" spans="1:10" x14ac:dyDescent="0.3">
      <c r="A27" s="2" t="s">
        <v>10</v>
      </c>
      <c r="B27" s="2" t="s">
        <v>96</v>
      </c>
      <c r="C27" s="2" t="s">
        <v>97</v>
      </c>
      <c r="D27" s="2" t="s">
        <v>50</v>
      </c>
      <c r="E27" s="3">
        <v>1287044.8600000001</v>
      </c>
      <c r="F27" s="2" t="s">
        <v>14</v>
      </c>
      <c r="G27" s="2" t="s">
        <v>51</v>
      </c>
      <c r="H27" s="2" t="s">
        <v>16</v>
      </c>
      <c r="I27" s="2" t="s">
        <v>52</v>
      </c>
      <c r="J27" s="2" t="s">
        <v>98</v>
      </c>
    </row>
    <row r="28" spans="1:10" x14ac:dyDescent="0.3">
      <c r="A28" s="2" t="s">
        <v>10</v>
      </c>
      <c r="B28" s="2" t="s">
        <v>99</v>
      </c>
      <c r="C28" s="2" t="s">
        <v>100</v>
      </c>
      <c r="D28" s="2" t="s">
        <v>45</v>
      </c>
      <c r="E28" s="3">
        <v>169492.76</v>
      </c>
      <c r="F28" s="2" t="s">
        <v>14</v>
      </c>
      <c r="G28" s="2" t="s">
        <v>46</v>
      </c>
      <c r="H28" s="2" t="s">
        <v>16</v>
      </c>
      <c r="I28" s="2" t="s">
        <v>17</v>
      </c>
      <c r="J28" s="2" t="s">
        <v>101</v>
      </c>
    </row>
    <row r="29" spans="1:10" x14ac:dyDescent="0.3">
      <c r="A29" s="2" t="s">
        <v>10</v>
      </c>
      <c r="B29" s="2" t="s">
        <v>102</v>
      </c>
      <c r="C29" s="2" t="s">
        <v>103</v>
      </c>
      <c r="D29" s="2" t="s">
        <v>45</v>
      </c>
      <c r="E29" s="3">
        <v>810065.04</v>
      </c>
      <c r="F29" s="2" t="s">
        <v>14</v>
      </c>
      <c r="G29" s="2" t="s">
        <v>46</v>
      </c>
      <c r="H29" s="2" t="s">
        <v>16</v>
      </c>
      <c r="I29" s="2" t="s">
        <v>17</v>
      </c>
      <c r="J29" s="2" t="s">
        <v>104</v>
      </c>
    </row>
    <row r="30" spans="1:10" x14ac:dyDescent="0.3">
      <c r="A30" s="2" t="s">
        <v>10</v>
      </c>
      <c r="B30" s="2" t="s">
        <v>105</v>
      </c>
      <c r="C30" s="2" t="s">
        <v>106</v>
      </c>
      <c r="D30" s="2" t="s">
        <v>107</v>
      </c>
      <c r="E30" s="3">
        <v>2755491.55</v>
      </c>
      <c r="F30" s="2" t="s">
        <v>14</v>
      </c>
      <c r="G30" s="2" t="s">
        <v>108</v>
      </c>
      <c r="H30" s="2" t="s">
        <v>16</v>
      </c>
      <c r="I30" s="2" t="s">
        <v>17</v>
      </c>
      <c r="J30" s="2" t="s">
        <v>109</v>
      </c>
    </row>
    <row r="31" spans="1:10" x14ac:dyDescent="0.3">
      <c r="A31" s="2" t="s">
        <v>10</v>
      </c>
      <c r="B31" s="2" t="s">
        <v>110</v>
      </c>
      <c r="C31" s="2" t="s">
        <v>111</v>
      </c>
      <c r="D31" s="2" t="s">
        <v>107</v>
      </c>
      <c r="E31" s="3">
        <v>530786.04</v>
      </c>
      <c r="F31" s="2" t="s">
        <v>14</v>
      </c>
      <c r="G31" s="2" t="s">
        <v>108</v>
      </c>
      <c r="H31" s="2" t="s">
        <v>16</v>
      </c>
      <c r="I31" s="2" t="s">
        <v>17</v>
      </c>
      <c r="J31" s="2" t="s">
        <v>112</v>
      </c>
    </row>
    <row r="32" spans="1:10" x14ac:dyDescent="0.3">
      <c r="A32" s="2" t="s">
        <v>10</v>
      </c>
      <c r="B32" s="2" t="s">
        <v>113</v>
      </c>
      <c r="C32" s="2" t="s">
        <v>114</v>
      </c>
      <c r="D32" s="2" t="s">
        <v>107</v>
      </c>
      <c r="E32" s="3">
        <v>2674262.7200000002</v>
      </c>
      <c r="F32" s="2" t="s">
        <v>14</v>
      </c>
      <c r="G32" s="2" t="s">
        <v>108</v>
      </c>
      <c r="H32" s="2" t="s">
        <v>16</v>
      </c>
      <c r="I32" s="2" t="s">
        <v>17</v>
      </c>
      <c r="J32" s="2" t="s">
        <v>115</v>
      </c>
    </row>
    <row r="33" spans="1:10" x14ac:dyDescent="0.3">
      <c r="A33" s="2" t="s">
        <v>10</v>
      </c>
      <c r="B33" s="2" t="s">
        <v>116</v>
      </c>
      <c r="C33" s="2" t="s">
        <v>117</v>
      </c>
      <c r="D33" s="2" t="s">
        <v>107</v>
      </c>
      <c r="E33" s="3">
        <v>1035362.98</v>
      </c>
      <c r="F33" s="2" t="s">
        <v>14</v>
      </c>
      <c r="G33" s="2" t="s">
        <v>108</v>
      </c>
      <c r="H33" s="2" t="s">
        <v>16</v>
      </c>
      <c r="I33" s="2" t="s">
        <v>17</v>
      </c>
      <c r="J33" s="2" t="s">
        <v>118</v>
      </c>
    </row>
    <row r="34" spans="1:10" x14ac:dyDescent="0.3">
      <c r="A34" s="2" t="s">
        <v>10</v>
      </c>
      <c r="B34" s="2" t="s">
        <v>119</v>
      </c>
      <c r="C34" s="2" t="s">
        <v>120</v>
      </c>
      <c r="D34" s="2" t="s">
        <v>107</v>
      </c>
      <c r="E34" s="3">
        <v>2036882.4</v>
      </c>
      <c r="F34" s="2" t="s">
        <v>14</v>
      </c>
      <c r="G34" s="2" t="s">
        <v>108</v>
      </c>
      <c r="H34" s="2" t="s">
        <v>16</v>
      </c>
      <c r="I34" s="2" t="s">
        <v>17</v>
      </c>
      <c r="J34" s="2" t="s">
        <v>121</v>
      </c>
    </row>
    <row r="35" spans="1:10" x14ac:dyDescent="0.3">
      <c r="A35" s="2" t="s">
        <v>10</v>
      </c>
      <c r="B35" s="2" t="s">
        <v>122</v>
      </c>
      <c r="C35" s="2" t="s">
        <v>123</v>
      </c>
      <c r="D35" s="2" t="s">
        <v>50</v>
      </c>
      <c r="E35" s="3">
        <v>648268.93000000005</v>
      </c>
      <c r="F35" s="2" t="s">
        <v>14</v>
      </c>
      <c r="G35" s="2" t="s">
        <v>51</v>
      </c>
      <c r="H35" s="2" t="s">
        <v>16</v>
      </c>
      <c r="I35" s="2" t="s">
        <v>17</v>
      </c>
      <c r="J35" s="2" t="s">
        <v>124</v>
      </c>
    </row>
    <row r="36" spans="1:10" x14ac:dyDescent="0.3">
      <c r="A36" s="2" t="s">
        <v>10</v>
      </c>
      <c r="B36" s="2" t="s">
        <v>122</v>
      </c>
      <c r="C36" s="2" t="s">
        <v>125</v>
      </c>
      <c r="D36" s="2" t="s">
        <v>50</v>
      </c>
      <c r="E36" s="3">
        <v>4613140.4800000004</v>
      </c>
      <c r="F36" s="2" t="s">
        <v>14</v>
      </c>
      <c r="G36" s="2" t="s">
        <v>51</v>
      </c>
      <c r="H36" s="2" t="s">
        <v>16</v>
      </c>
      <c r="I36" s="2" t="s">
        <v>52</v>
      </c>
      <c r="J36" s="2" t="s">
        <v>126</v>
      </c>
    </row>
    <row r="37" spans="1:10" x14ac:dyDescent="0.3">
      <c r="A37" s="2" t="s">
        <v>10</v>
      </c>
      <c r="B37" s="2" t="s">
        <v>127</v>
      </c>
      <c r="C37" s="2" t="s">
        <v>128</v>
      </c>
      <c r="D37" s="2" t="s">
        <v>50</v>
      </c>
      <c r="E37" s="3">
        <v>1996.56</v>
      </c>
      <c r="F37" s="2" t="s">
        <v>14</v>
      </c>
      <c r="G37" s="2" t="s">
        <v>51</v>
      </c>
      <c r="H37" s="2" t="s">
        <v>16</v>
      </c>
      <c r="I37" s="2" t="s">
        <v>17</v>
      </c>
      <c r="J37" s="2" t="s">
        <v>129</v>
      </c>
    </row>
    <row r="38" spans="1:10" x14ac:dyDescent="0.3">
      <c r="A38" s="2" t="s">
        <v>10</v>
      </c>
      <c r="B38" s="2" t="s">
        <v>130</v>
      </c>
      <c r="C38" s="2" t="s">
        <v>131</v>
      </c>
      <c r="D38" s="2" t="s">
        <v>50</v>
      </c>
      <c r="E38" s="3">
        <v>462990.42</v>
      </c>
      <c r="F38" s="2" t="s">
        <v>14</v>
      </c>
      <c r="G38" s="2" t="s">
        <v>51</v>
      </c>
      <c r="H38" s="2" t="s">
        <v>16</v>
      </c>
      <c r="I38" s="2" t="s">
        <v>17</v>
      </c>
      <c r="J38" s="2" t="s">
        <v>132</v>
      </c>
    </row>
    <row r="39" spans="1:10" x14ac:dyDescent="0.3">
      <c r="A39" s="2" t="s">
        <v>60</v>
      </c>
      <c r="B39" s="2" t="s">
        <v>133</v>
      </c>
      <c r="C39" s="2" t="s">
        <v>134</v>
      </c>
      <c r="D39" s="2" t="s">
        <v>135</v>
      </c>
      <c r="E39" s="3">
        <v>559012.18000000005</v>
      </c>
      <c r="F39" s="2" t="s">
        <v>14</v>
      </c>
      <c r="G39" s="2" t="s">
        <v>136</v>
      </c>
      <c r="H39" s="2" t="s">
        <v>16</v>
      </c>
      <c r="I39" s="2" t="s">
        <v>17</v>
      </c>
      <c r="J39" s="2" t="s">
        <v>137</v>
      </c>
    </row>
    <row r="40" spans="1:10" x14ac:dyDescent="0.3">
      <c r="A40" s="2" t="s">
        <v>10</v>
      </c>
      <c r="B40" s="2" t="s">
        <v>133</v>
      </c>
      <c r="C40" s="2" t="s">
        <v>138</v>
      </c>
      <c r="D40" s="2" t="s">
        <v>50</v>
      </c>
      <c r="E40" s="3">
        <v>16538270.630000001</v>
      </c>
      <c r="F40" s="2" t="s">
        <v>14</v>
      </c>
      <c r="G40" s="2" t="s">
        <v>51</v>
      </c>
      <c r="H40" s="2" t="s">
        <v>16</v>
      </c>
      <c r="I40" s="2" t="s">
        <v>17</v>
      </c>
      <c r="J40" s="2" t="s">
        <v>139</v>
      </c>
    </row>
    <row r="41" spans="1:10" x14ac:dyDescent="0.3">
      <c r="A41" s="2" t="s">
        <v>60</v>
      </c>
      <c r="B41" s="2" t="s">
        <v>140</v>
      </c>
      <c r="C41" s="2" t="s">
        <v>141</v>
      </c>
      <c r="D41" s="2" t="s">
        <v>135</v>
      </c>
      <c r="E41" s="3">
        <v>91075.73</v>
      </c>
      <c r="F41" s="2" t="s">
        <v>14</v>
      </c>
      <c r="G41" s="2" t="s">
        <v>136</v>
      </c>
      <c r="H41" s="2" t="s">
        <v>16</v>
      </c>
      <c r="I41" s="2" t="s">
        <v>17</v>
      </c>
      <c r="J41" s="2" t="s">
        <v>142</v>
      </c>
    </row>
    <row r="42" spans="1:10" x14ac:dyDescent="0.3">
      <c r="A42" s="2" t="s">
        <v>60</v>
      </c>
      <c r="B42" s="2" t="s">
        <v>143</v>
      </c>
      <c r="C42" s="2" t="s">
        <v>144</v>
      </c>
      <c r="D42" s="2" t="s">
        <v>135</v>
      </c>
      <c r="E42" s="3">
        <v>10855.73</v>
      </c>
      <c r="F42" s="2" t="s">
        <v>14</v>
      </c>
      <c r="G42" s="2" t="s">
        <v>136</v>
      </c>
      <c r="H42" s="2" t="s">
        <v>16</v>
      </c>
      <c r="I42" s="2" t="s">
        <v>17</v>
      </c>
      <c r="J42" s="2" t="s">
        <v>145</v>
      </c>
    </row>
    <row r="43" spans="1:10" x14ac:dyDescent="0.3">
      <c r="A43" s="2" t="s">
        <v>60</v>
      </c>
      <c r="B43" s="2" t="s">
        <v>146</v>
      </c>
      <c r="C43" s="2" t="s">
        <v>147</v>
      </c>
      <c r="D43" s="2" t="s">
        <v>135</v>
      </c>
      <c r="E43" s="3">
        <v>362721.46</v>
      </c>
      <c r="F43" s="2" t="s">
        <v>14</v>
      </c>
      <c r="G43" s="2" t="s">
        <v>136</v>
      </c>
      <c r="H43" s="2" t="s">
        <v>16</v>
      </c>
      <c r="I43" s="2" t="s">
        <v>17</v>
      </c>
      <c r="J43" s="2" t="s">
        <v>148</v>
      </c>
    </row>
    <row r="44" spans="1:10" x14ac:dyDescent="0.3">
      <c r="A44" s="2" t="s">
        <v>60</v>
      </c>
      <c r="B44" s="2" t="s">
        <v>149</v>
      </c>
      <c r="C44" s="2" t="s">
        <v>150</v>
      </c>
      <c r="D44" s="2" t="s">
        <v>135</v>
      </c>
      <c r="E44" s="3">
        <v>2106229.33</v>
      </c>
      <c r="F44" s="2" t="s">
        <v>14</v>
      </c>
      <c r="G44" s="2" t="s">
        <v>136</v>
      </c>
      <c r="H44" s="2" t="s">
        <v>16</v>
      </c>
      <c r="I44" s="2" t="s">
        <v>17</v>
      </c>
      <c r="J44" s="2" t="s">
        <v>151</v>
      </c>
    </row>
    <row r="45" spans="1:10" x14ac:dyDescent="0.3">
      <c r="E45" s="4">
        <f>SUM(E2:E44)</f>
        <v>51424691.93999999</v>
      </c>
    </row>
    <row r="47" spans="1:10" x14ac:dyDescent="0.3">
      <c r="D47" t="s">
        <v>152</v>
      </c>
      <c r="E47" s="5">
        <f>E12+E13+E14+E22+E24+E27+E35+E36+E37+E38+E40</f>
        <v>28444585.190000005</v>
      </c>
    </row>
    <row r="48" spans="1:10" x14ac:dyDescent="0.3">
      <c r="D48" t="s">
        <v>153</v>
      </c>
      <c r="E48" s="5">
        <f>E11+E16+E19+E20+E28+E29</f>
        <v>2855908.08</v>
      </c>
    </row>
    <row r="49" spans="4:5" x14ac:dyDescent="0.3">
      <c r="D49" t="s">
        <v>154</v>
      </c>
      <c r="E49" s="5">
        <f>E39+E41+E42+E43+E44</f>
        <v>3129894.43</v>
      </c>
    </row>
    <row r="50" spans="4:5" x14ac:dyDescent="0.3">
      <c r="D50" t="s">
        <v>155</v>
      </c>
      <c r="E50" s="5">
        <f>E30+E31+E32+E33+E34</f>
        <v>9032785.6900000013</v>
      </c>
    </row>
    <row r="51" spans="4:5" x14ac:dyDescent="0.3">
      <c r="D51" t="s">
        <v>156</v>
      </c>
      <c r="E51" s="5">
        <f>E2+E3+E4+E15+E17+E18+E21+E23+E25+E26</f>
        <v>3685913.1000000006</v>
      </c>
    </row>
    <row r="52" spans="4:5" x14ac:dyDescent="0.3">
      <c r="D52" t="s">
        <v>157</v>
      </c>
      <c r="E52" s="5">
        <f>E5+E6+E7+E8+E9+E10</f>
        <v>4275605.4499999993</v>
      </c>
    </row>
    <row r="53" spans="4:5" x14ac:dyDescent="0.3">
      <c r="D53" t="s">
        <v>158</v>
      </c>
      <c r="E53" s="4">
        <f>SUM(E47:E52)</f>
        <v>51424691.939999998</v>
      </c>
    </row>
    <row r="54" spans="4:5" x14ac:dyDescent="0.3">
      <c r="E54" s="4">
        <f>E53-E45</f>
        <v>0</v>
      </c>
    </row>
  </sheetData>
  <autoFilter ref="A1:J45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opLeftCell="A52" workbookViewId="0">
      <selection activeCell="D76" sqref="D76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21.77734375" bestFit="1" customWidth="1"/>
    <col min="4" max="5" width="17.21875" style="30" customWidth="1"/>
    <col min="6" max="6" width="16.6640625" bestFit="1" customWidth="1"/>
    <col min="7" max="7" width="22.88671875" bestFit="1" customWidth="1"/>
    <col min="8" max="8" width="14.5546875" bestFit="1" customWidth="1"/>
    <col min="9" max="9" width="37.33203125" bestFit="1" customWidth="1"/>
  </cols>
  <sheetData>
    <row r="1" spans="1:9" x14ac:dyDescent="0.3">
      <c r="A1" s="26" t="s">
        <v>1</v>
      </c>
      <c r="B1" s="26" t="s">
        <v>2</v>
      </c>
      <c r="C1" s="26" t="s">
        <v>160</v>
      </c>
      <c r="D1" s="28" t="s">
        <v>356</v>
      </c>
      <c r="E1" s="28" t="s">
        <v>357</v>
      </c>
      <c r="F1" s="26" t="s">
        <v>7</v>
      </c>
      <c r="G1" s="26" t="s">
        <v>6</v>
      </c>
      <c r="H1" s="26" t="s">
        <v>8</v>
      </c>
      <c r="I1" s="26" t="s">
        <v>9</v>
      </c>
    </row>
    <row r="2" spans="1:9" x14ac:dyDescent="0.3">
      <c r="A2" s="27" t="s">
        <v>249</v>
      </c>
      <c r="B2" s="27" t="s">
        <v>250</v>
      </c>
      <c r="C2" s="27" t="s">
        <v>251</v>
      </c>
      <c r="D2" s="29">
        <v>93928.680000000008</v>
      </c>
      <c r="E2" s="29">
        <f>D2*1.2</f>
        <v>112714.41600000001</v>
      </c>
      <c r="F2" s="27" t="s">
        <v>16</v>
      </c>
      <c r="G2" s="27" t="s">
        <v>26</v>
      </c>
      <c r="H2" s="27" t="s">
        <v>174</v>
      </c>
      <c r="I2" s="27" t="s">
        <v>252</v>
      </c>
    </row>
    <row r="3" spans="1:9" x14ac:dyDescent="0.3">
      <c r="A3" s="27" t="s">
        <v>253</v>
      </c>
      <c r="B3" s="27" t="s">
        <v>68</v>
      </c>
      <c r="C3" s="27" t="s">
        <v>251</v>
      </c>
      <c r="D3" s="29">
        <v>12867.9</v>
      </c>
      <c r="E3" s="29">
        <f t="shared" ref="E3:E59" si="0">D3*1.2</f>
        <v>15441.48</v>
      </c>
      <c r="F3" s="27" t="s">
        <v>16</v>
      </c>
      <c r="G3" s="27" t="s">
        <v>26</v>
      </c>
      <c r="H3" s="27" t="s">
        <v>174</v>
      </c>
      <c r="I3" s="27" t="s">
        <v>254</v>
      </c>
    </row>
    <row r="4" spans="1:9" x14ac:dyDescent="0.3">
      <c r="A4" s="27" t="s">
        <v>255</v>
      </c>
      <c r="B4" s="27" t="s">
        <v>71</v>
      </c>
      <c r="C4" s="27" t="s">
        <v>251</v>
      </c>
      <c r="D4" s="29">
        <v>91445.24</v>
      </c>
      <c r="E4" s="29">
        <f t="shared" si="0"/>
        <v>109734.288</v>
      </c>
      <c r="F4" s="27" t="s">
        <v>16</v>
      </c>
      <c r="G4" s="27" t="s">
        <v>26</v>
      </c>
      <c r="H4" s="27" t="s">
        <v>174</v>
      </c>
      <c r="I4" s="27" t="s">
        <v>256</v>
      </c>
    </row>
    <row r="5" spans="1:9" x14ac:dyDescent="0.3">
      <c r="A5" s="27" t="s">
        <v>257</v>
      </c>
      <c r="B5" s="27" t="s">
        <v>94</v>
      </c>
      <c r="C5" s="27" t="s">
        <v>251</v>
      </c>
      <c r="D5" s="29">
        <v>155580.99</v>
      </c>
      <c r="E5" s="29">
        <f t="shared" si="0"/>
        <v>186697.18799999999</v>
      </c>
      <c r="F5" s="27" t="s">
        <v>16</v>
      </c>
      <c r="G5" s="27" t="s">
        <v>26</v>
      </c>
      <c r="H5" s="27" t="s">
        <v>174</v>
      </c>
      <c r="I5" s="27" t="s">
        <v>258</v>
      </c>
    </row>
    <row r="6" spans="1:9" x14ac:dyDescent="0.3">
      <c r="A6" s="27" t="s">
        <v>259</v>
      </c>
      <c r="B6" s="27" t="s">
        <v>74</v>
      </c>
      <c r="C6" s="27" t="s">
        <v>251</v>
      </c>
      <c r="D6" s="29">
        <v>201835.61</v>
      </c>
      <c r="E6" s="29">
        <f t="shared" si="0"/>
        <v>242202.73199999996</v>
      </c>
      <c r="F6" s="27" t="s">
        <v>16</v>
      </c>
      <c r="G6" s="27" t="s">
        <v>26</v>
      </c>
      <c r="H6" s="27" t="s">
        <v>174</v>
      </c>
      <c r="I6" s="27" t="s">
        <v>260</v>
      </c>
    </row>
    <row r="7" spans="1:9" x14ac:dyDescent="0.3">
      <c r="A7" s="27" t="s">
        <v>261</v>
      </c>
      <c r="B7" s="27" t="s">
        <v>55</v>
      </c>
      <c r="C7" s="27" t="s">
        <v>251</v>
      </c>
      <c r="D7" s="29">
        <v>166460.38000000003</v>
      </c>
      <c r="E7" s="29">
        <f t="shared" si="0"/>
        <v>199752.45600000003</v>
      </c>
      <c r="F7" s="27" t="s">
        <v>16</v>
      </c>
      <c r="G7" s="27" t="s">
        <v>26</v>
      </c>
      <c r="H7" s="27" t="s">
        <v>174</v>
      </c>
      <c r="I7" s="27" t="s">
        <v>262</v>
      </c>
    </row>
    <row r="8" spans="1:9" x14ac:dyDescent="0.3">
      <c r="A8" s="27" t="s">
        <v>263</v>
      </c>
      <c r="B8" s="27" t="s">
        <v>264</v>
      </c>
      <c r="C8" s="27" t="s">
        <v>177</v>
      </c>
      <c r="D8" s="29">
        <v>295104.96999999997</v>
      </c>
      <c r="E8" s="29">
        <f t="shared" si="0"/>
        <v>354125.96399999998</v>
      </c>
      <c r="F8" s="27" t="s">
        <v>16</v>
      </c>
      <c r="G8" s="27" t="s">
        <v>15</v>
      </c>
      <c r="H8" s="27" t="s">
        <v>17</v>
      </c>
      <c r="I8" s="27"/>
    </row>
    <row r="9" spans="1:9" x14ac:dyDescent="0.3">
      <c r="A9" s="27" t="s">
        <v>265</v>
      </c>
      <c r="B9" s="27" t="s">
        <v>266</v>
      </c>
      <c r="C9" s="27" t="s">
        <v>177</v>
      </c>
      <c r="D9" s="29">
        <v>48370.67000000002</v>
      </c>
      <c r="E9" s="29">
        <f t="shared" si="0"/>
        <v>58044.804000000026</v>
      </c>
      <c r="F9" s="27" t="s">
        <v>16</v>
      </c>
      <c r="G9" s="27" t="s">
        <v>15</v>
      </c>
      <c r="H9" s="27" t="s">
        <v>17</v>
      </c>
      <c r="I9" s="27"/>
    </row>
    <row r="10" spans="1:9" x14ac:dyDescent="0.3">
      <c r="A10" s="27" t="s">
        <v>267</v>
      </c>
      <c r="B10" s="27" t="s">
        <v>268</v>
      </c>
      <c r="C10" s="27" t="s">
        <v>177</v>
      </c>
      <c r="D10" s="29">
        <v>2954.86</v>
      </c>
      <c r="E10" s="29">
        <f t="shared" si="0"/>
        <v>3545.8319999999999</v>
      </c>
      <c r="F10" s="27" t="s">
        <v>16</v>
      </c>
      <c r="G10" s="27" t="s">
        <v>15</v>
      </c>
      <c r="H10" s="27" t="s">
        <v>17</v>
      </c>
      <c r="I10" s="27"/>
    </row>
    <row r="11" spans="1:9" x14ac:dyDescent="0.3">
      <c r="A11" s="27" t="s">
        <v>269</v>
      </c>
      <c r="B11" s="27" t="s">
        <v>123</v>
      </c>
      <c r="C11" s="27" t="s">
        <v>270</v>
      </c>
      <c r="D11" s="29">
        <v>282515.47000000003</v>
      </c>
      <c r="E11" s="29">
        <f t="shared" si="0"/>
        <v>339018.56400000001</v>
      </c>
      <c r="F11" s="27" t="s">
        <v>16</v>
      </c>
      <c r="G11" s="27" t="s">
        <v>46</v>
      </c>
      <c r="H11" s="27" t="s">
        <v>17</v>
      </c>
      <c r="I11" s="27"/>
    </row>
    <row r="12" spans="1:9" x14ac:dyDescent="0.3">
      <c r="A12" s="27" t="s">
        <v>272</v>
      </c>
      <c r="B12" s="27" t="s">
        <v>273</v>
      </c>
      <c r="C12" s="27" t="s">
        <v>152</v>
      </c>
      <c r="D12" s="29">
        <v>1151680.83</v>
      </c>
      <c r="E12" s="29">
        <f t="shared" si="0"/>
        <v>1382016.996</v>
      </c>
      <c r="F12" s="27" t="s">
        <v>16</v>
      </c>
      <c r="G12" s="27" t="s">
        <v>51</v>
      </c>
      <c r="H12" s="27" t="s">
        <v>17</v>
      </c>
      <c r="I12" s="27" t="s">
        <v>58</v>
      </c>
    </row>
    <row r="13" spans="1:9" x14ac:dyDescent="0.3">
      <c r="A13" s="27" t="s">
        <v>274</v>
      </c>
      <c r="B13" s="27" t="s">
        <v>275</v>
      </c>
      <c r="C13" s="27" t="s">
        <v>152</v>
      </c>
      <c r="D13" s="29">
        <v>45007.5</v>
      </c>
      <c r="E13" s="29">
        <f t="shared" si="0"/>
        <v>54009</v>
      </c>
      <c r="F13" s="27" t="s">
        <v>16</v>
      </c>
      <c r="G13" s="27" t="s">
        <v>51</v>
      </c>
      <c r="H13" s="27" t="s">
        <v>17</v>
      </c>
      <c r="I13" s="27"/>
    </row>
    <row r="14" spans="1:9" x14ac:dyDescent="0.3">
      <c r="A14" s="27" t="s">
        <v>276</v>
      </c>
      <c r="B14" s="27" t="s">
        <v>111</v>
      </c>
      <c r="C14" s="27" t="s">
        <v>270</v>
      </c>
      <c r="D14" s="29">
        <v>50739.47</v>
      </c>
      <c r="E14" s="29">
        <f t="shared" si="0"/>
        <v>60887.364000000001</v>
      </c>
      <c r="F14" s="27" t="s">
        <v>16</v>
      </c>
      <c r="G14" s="27" t="s">
        <v>46</v>
      </c>
      <c r="H14" s="27" t="s">
        <v>17</v>
      </c>
      <c r="I14" s="27"/>
    </row>
    <row r="15" spans="1:9" x14ac:dyDescent="0.3">
      <c r="A15" s="27" t="s">
        <v>277</v>
      </c>
      <c r="B15" s="27" t="s">
        <v>278</v>
      </c>
      <c r="C15" s="27" t="s">
        <v>152</v>
      </c>
      <c r="D15" s="29">
        <v>39514.880000000005</v>
      </c>
      <c r="E15" s="29">
        <f t="shared" si="0"/>
        <v>47417.856000000007</v>
      </c>
      <c r="F15" s="27" t="s">
        <v>16</v>
      </c>
      <c r="G15" s="27" t="s">
        <v>51</v>
      </c>
      <c r="H15" s="27" t="s">
        <v>17</v>
      </c>
      <c r="I15" s="27"/>
    </row>
    <row r="16" spans="1:9" x14ac:dyDescent="0.3">
      <c r="A16" s="27" t="s">
        <v>279</v>
      </c>
      <c r="B16" s="27" t="s">
        <v>280</v>
      </c>
      <c r="C16" s="27" t="s">
        <v>177</v>
      </c>
      <c r="D16" s="29">
        <v>217986.45</v>
      </c>
      <c r="E16" s="29">
        <f t="shared" si="0"/>
        <v>261583.74</v>
      </c>
      <c r="F16" s="27" t="s">
        <v>16</v>
      </c>
      <c r="G16" s="27" t="s">
        <v>15</v>
      </c>
      <c r="H16" s="27" t="s">
        <v>17</v>
      </c>
      <c r="I16" s="27"/>
    </row>
    <row r="17" spans="1:9" x14ac:dyDescent="0.3">
      <c r="A17" s="27" t="s">
        <v>281</v>
      </c>
      <c r="B17" s="27" t="s">
        <v>282</v>
      </c>
      <c r="C17" s="27" t="s">
        <v>177</v>
      </c>
      <c r="D17" s="29">
        <v>384167.36</v>
      </c>
      <c r="E17" s="29">
        <f t="shared" si="0"/>
        <v>461000.83199999999</v>
      </c>
      <c r="F17" s="27" t="s">
        <v>16</v>
      </c>
      <c r="G17" s="27" t="s">
        <v>15</v>
      </c>
      <c r="H17" s="27" t="s">
        <v>17</v>
      </c>
      <c r="I17" s="27"/>
    </row>
    <row r="18" spans="1:9" x14ac:dyDescent="0.3">
      <c r="A18" s="27" t="s">
        <v>283</v>
      </c>
      <c r="B18" s="27" t="s">
        <v>134</v>
      </c>
      <c r="C18" s="27" t="s">
        <v>271</v>
      </c>
      <c r="D18" s="29">
        <v>176132.77</v>
      </c>
      <c r="E18" s="29">
        <f t="shared" si="0"/>
        <v>211359.32399999999</v>
      </c>
      <c r="F18" s="27" t="s">
        <v>16</v>
      </c>
      <c r="G18" s="27"/>
      <c r="H18" s="27" t="s">
        <v>17</v>
      </c>
      <c r="I18" s="27" t="s">
        <v>284</v>
      </c>
    </row>
    <row r="19" spans="1:9" x14ac:dyDescent="0.3">
      <c r="A19" s="27" t="s">
        <v>285</v>
      </c>
      <c r="B19" s="27" t="s">
        <v>141</v>
      </c>
      <c r="C19" s="27" t="s">
        <v>271</v>
      </c>
      <c r="D19" s="29">
        <v>86517.119999999995</v>
      </c>
      <c r="E19" s="29">
        <f t="shared" si="0"/>
        <v>103820.54399999999</v>
      </c>
      <c r="F19" s="27" t="s">
        <v>16</v>
      </c>
      <c r="G19" s="27"/>
      <c r="H19" s="27" t="s">
        <v>17</v>
      </c>
      <c r="I19" s="27" t="s">
        <v>286</v>
      </c>
    </row>
    <row r="20" spans="1:9" x14ac:dyDescent="0.3">
      <c r="A20" s="27" t="s">
        <v>287</v>
      </c>
      <c r="B20" s="27" t="s">
        <v>144</v>
      </c>
      <c r="C20" s="27" t="s">
        <v>271</v>
      </c>
      <c r="D20" s="29">
        <v>57743.53</v>
      </c>
      <c r="E20" s="29">
        <f t="shared" si="0"/>
        <v>69292.23599999999</v>
      </c>
      <c r="F20" s="27" t="s">
        <v>16</v>
      </c>
      <c r="G20" s="27"/>
      <c r="H20" s="27" t="s">
        <v>17</v>
      </c>
      <c r="I20" s="27" t="s">
        <v>288</v>
      </c>
    </row>
    <row r="21" spans="1:9" x14ac:dyDescent="0.3">
      <c r="A21" s="27" t="s">
        <v>289</v>
      </c>
      <c r="B21" s="27" t="s">
        <v>147</v>
      </c>
      <c r="C21" s="27" t="s">
        <v>271</v>
      </c>
      <c r="D21" s="29">
        <v>3820.3300000000004</v>
      </c>
      <c r="E21" s="29">
        <f t="shared" si="0"/>
        <v>4584.3960000000006</v>
      </c>
      <c r="F21" s="27" t="s">
        <v>16</v>
      </c>
      <c r="G21" s="27"/>
      <c r="H21" s="27" t="s">
        <v>17</v>
      </c>
      <c r="I21" s="27" t="s">
        <v>290</v>
      </c>
    </row>
    <row r="22" spans="1:9" x14ac:dyDescent="0.3">
      <c r="A22" s="27" t="s">
        <v>291</v>
      </c>
      <c r="B22" s="27" t="s">
        <v>150</v>
      </c>
      <c r="C22" s="27" t="s">
        <v>271</v>
      </c>
      <c r="D22" s="29">
        <v>5607.5599999999995</v>
      </c>
      <c r="E22" s="29">
        <f t="shared" si="0"/>
        <v>6729.0719999999992</v>
      </c>
      <c r="F22" s="27" t="s">
        <v>16</v>
      </c>
      <c r="G22" s="27"/>
      <c r="H22" s="27" t="s">
        <v>17</v>
      </c>
      <c r="I22" s="27" t="s">
        <v>292</v>
      </c>
    </row>
    <row r="23" spans="1:9" x14ac:dyDescent="0.3">
      <c r="A23" s="27" t="s">
        <v>293</v>
      </c>
      <c r="B23" s="27" t="s">
        <v>65</v>
      </c>
      <c r="C23" s="27" t="s">
        <v>271</v>
      </c>
      <c r="D23" s="29">
        <v>31887</v>
      </c>
      <c r="E23" s="29">
        <f t="shared" si="0"/>
        <v>38264.400000000001</v>
      </c>
      <c r="F23" s="27" t="s">
        <v>16</v>
      </c>
      <c r="G23" s="27"/>
      <c r="H23" s="27" t="s">
        <v>17</v>
      </c>
      <c r="I23" s="27" t="s">
        <v>294</v>
      </c>
    </row>
    <row r="24" spans="1:9" x14ac:dyDescent="0.3">
      <c r="A24" s="27" t="s">
        <v>295</v>
      </c>
      <c r="B24" s="27" t="s">
        <v>91</v>
      </c>
      <c r="C24" s="27" t="s">
        <v>296</v>
      </c>
      <c r="D24" s="29">
        <v>14335</v>
      </c>
      <c r="E24" s="29">
        <f t="shared" si="0"/>
        <v>17202</v>
      </c>
      <c r="F24" s="27" t="s">
        <v>16</v>
      </c>
      <c r="G24" s="27"/>
      <c r="H24" s="27" t="s">
        <v>17</v>
      </c>
      <c r="I24" s="27" t="s">
        <v>297</v>
      </c>
    </row>
    <row r="25" spans="1:9" x14ac:dyDescent="0.3">
      <c r="A25" s="27" t="s">
        <v>298</v>
      </c>
      <c r="B25" s="27" t="s">
        <v>114</v>
      </c>
      <c r="C25" s="27" t="s">
        <v>270</v>
      </c>
      <c r="D25" s="29">
        <v>77469.52</v>
      </c>
      <c r="E25" s="29">
        <f t="shared" si="0"/>
        <v>92963.423999999999</v>
      </c>
      <c r="F25" s="27" t="s">
        <v>16</v>
      </c>
      <c r="G25" s="27" t="s">
        <v>46</v>
      </c>
      <c r="H25" s="27" t="s">
        <v>17</v>
      </c>
      <c r="I25" s="27"/>
    </row>
    <row r="26" spans="1:9" x14ac:dyDescent="0.3">
      <c r="A26" s="27" t="s">
        <v>299</v>
      </c>
      <c r="B26" s="27" t="s">
        <v>300</v>
      </c>
      <c r="C26" s="27" t="s">
        <v>152</v>
      </c>
      <c r="D26" s="29">
        <v>242162.3</v>
      </c>
      <c r="E26" s="29">
        <f t="shared" si="0"/>
        <v>290594.75999999995</v>
      </c>
      <c r="F26" s="27" t="s">
        <v>16</v>
      </c>
      <c r="G26" s="27" t="s">
        <v>51</v>
      </c>
      <c r="H26" s="27" t="s">
        <v>17</v>
      </c>
      <c r="I26" s="27"/>
    </row>
    <row r="27" spans="1:9" x14ac:dyDescent="0.3">
      <c r="A27" s="27" t="s">
        <v>301</v>
      </c>
      <c r="B27" s="27" t="s">
        <v>302</v>
      </c>
      <c r="C27" s="27" t="s">
        <v>152</v>
      </c>
      <c r="D27" s="29">
        <v>376360.5</v>
      </c>
      <c r="E27" s="29">
        <f t="shared" si="0"/>
        <v>451632.6</v>
      </c>
      <c r="F27" s="27" t="s">
        <v>16</v>
      </c>
      <c r="G27" s="27" t="s">
        <v>51</v>
      </c>
      <c r="H27" s="27" t="s">
        <v>17</v>
      </c>
      <c r="I27" s="27"/>
    </row>
    <row r="28" spans="1:9" x14ac:dyDescent="0.3">
      <c r="A28" s="27" t="s">
        <v>303</v>
      </c>
      <c r="B28" s="27" t="s">
        <v>304</v>
      </c>
      <c r="C28" s="27" t="s">
        <v>177</v>
      </c>
      <c r="D28" s="29">
        <v>41557.389999999992</v>
      </c>
      <c r="E28" s="29">
        <f t="shared" si="0"/>
        <v>49868.867999999988</v>
      </c>
      <c r="F28" s="27" t="s">
        <v>16</v>
      </c>
      <c r="G28" s="27" t="s">
        <v>15</v>
      </c>
      <c r="H28" s="27" t="s">
        <v>17</v>
      </c>
      <c r="I28" s="27"/>
    </row>
    <row r="29" spans="1:9" x14ac:dyDescent="0.3">
      <c r="A29" s="27" t="s">
        <v>305</v>
      </c>
      <c r="B29" s="27" t="s">
        <v>306</v>
      </c>
      <c r="C29" s="27" t="s">
        <v>177</v>
      </c>
      <c r="D29" s="29">
        <v>161.91</v>
      </c>
      <c r="E29" s="29">
        <f t="shared" si="0"/>
        <v>194.292</v>
      </c>
      <c r="F29" s="27" t="s">
        <v>16</v>
      </c>
      <c r="G29" s="27" t="s">
        <v>15</v>
      </c>
      <c r="H29" s="27" t="s">
        <v>17</v>
      </c>
      <c r="I29" s="27"/>
    </row>
    <row r="30" spans="1:9" x14ac:dyDescent="0.3">
      <c r="A30" s="27" t="s">
        <v>307</v>
      </c>
      <c r="B30" s="27" t="s">
        <v>117</v>
      </c>
      <c r="C30" s="27" t="s">
        <v>270</v>
      </c>
      <c r="D30" s="29">
        <v>106656.13</v>
      </c>
      <c r="E30" s="29">
        <f t="shared" si="0"/>
        <v>127987.356</v>
      </c>
      <c r="F30" s="27" t="s">
        <v>16</v>
      </c>
      <c r="G30" s="27" t="s">
        <v>46</v>
      </c>
      <c r="H30" s="27" t="s">
        <v>17</v>
      </c>
      <c r="I30" s="27"/>
    </row>
    <row r="31" spans="1:9" x14ac:dyDescent="0.3">
      <c r="A31" s="27" t="s">
        <v>308</v>
      </c>
      <c r="B31" s="27" t="s">
        <v>309</v>
      </c>
      <c r="C31" s="27" t="s">
        <v>152</v>
      </c>
      <c r="D31" s="29">
        <v>452853.74</v>
      </c>
      <c r="E31" s="29">
        <f t="shared" si="0"/>
        <v>543424.48800000001</v>
      </c>
      <c r="F31" s="27" t="s">
        <v>16</v>
      </c>
      <c r="G31" s="27" t="s">
        <v>51</v>
      </c>
      <c r="H31" s="27" t="s">
        <v>17</v>
      </c>
      <c r="I31" s="27"/>
    </row>
    <row r="32" spans="1:9" x14ac:dyDescent="0.3">
      <c r="A32" s="27" t="s">
        <v>310</v>
      </c>
      <c r="B32" s="27" t="s">
        <v>311</v>
      </c>
      <c r="C32" s="27" t="s">
        <v>177</v>
      </c>
      <c r="D32" s="29">
        <v>233463.09</v>
      </c>
      <c r="E32" s="29">
        <f t="shared" si="0"/>
        <v>280155.70799999998</v>
      </c>
      <c r="F32" s="27" t="s">
        <v>16</v>
      </c>
      <c r="G32" s="27" t="s">
        <v>15</v>
      </c>
      <c r="H32" s="27" t="s">
        <v>17</v>
      </c>
      <c r="I32" s="27"/>
    </row>
    <row r="33" spans="1:9" x14ac:dyDescent="0.3">
      <c r="A33" s="27" t="s">
        <v>312</v>
      </c>
      <c r="B33" s="27" t="s">
        <v>313</v>
      </c>
      <c r="C33" s="27" t="s">
        <v>177</v>
      </c>
      <c r="D33" s="29">
        <v>288834.12</v>
      </c>
      <c r="E33" s="29">
        <f t="shared" si="0"/>
        <v>346600.94399999996</v>
      </c>
      <c r="F33" s="27" t="s">
        <v>16</v>
      </c>
      <c r="G33" s="27" t="s">
        <v>15</v>
      </c>
      <c r="H33" s="27" t="s">
        <v>17</v>
      </c>
      <c r="I33" s="27"/>
    </row>
    <row r="34" spans="1:9" x14ac:dyDescent="0.3">
      <c r="A34" s="27" t="s">
        <v>314</v>
      </c>
      <c r="B34" s="27" t="s">
        <v>315</v>
      </c>
      <c r="C34" s="27" t="s">
        <v>270</v>
      </c>
      <c r="D34" s="29">
        <v>280831.5</v>
      </c>
      <c r="E34" s="29">
        <f t="shared" si="0"/>
        <v>336997.8</v>
      </c>
      <c r="F34" s="27" t="s">
        <v>16</v>
      </c>
      <c r="G34" s="27" t="s">
        <v>46</v>
      </c>
      <c r="H34" s="27" t="s">
        <v>17</v>
      </c>
      <c r="I34" s="27"/>
    </row>
    <row r="35" spans="1:9" x14ac:dyDescent="0.3">
      <c r="A35" s="27" t="s">
        <v>316</v>
      </c>
      <c r="B35" s="27" t="s">
        <v>317</v>
      </c>
      <c r="C35" s="27" t="s">
        <v>168</v>
      </c>
      <c r="D35" s="29">
        <v>211890.94999999998</v>
      </c>
      <c r="E35" s="29">
        <f t="shared" si="0"/>
        <v>254269.13999999996</v>
      </c>
      <c r="F35" s="27" t="s">
        <v>16</v>
      </c>
      <c r="G35" s="27" t="s">
        <v>108</v>
      </c>
      <c r="H35" s="27" t="s">
        <v>17</v>
      </c>
      <c r="I35" s="27"/>
    </row>
    <row r="36" spans="1:9" x14ac:dyDescent="0.3">
      <c r="A36" s="27" t="s">
        <v>318</v>
      </c>
      <c r="B36" s="27" t="s">
        <v>319</v>
      </c>
      <c r="C36" s="27" t="s">
        <v>168</v>
      </c>
      <c r="D36" s="29">
        <v>1087640.31</v>
      </c>
      <c r="E36" s="29">
        <f t="shared" si="0"/>
        <v>1305168.372</v>
      </c>
      <c r="F36" s="27" t="s">
        <v>16</v>
      </c>
      <c r="G36" s="27" t="s">
        <v>108</v>
      </c>
      <c r="H36" s="27" t="s">
        <v>17</v>
      </c>
      <c r="I36" s="27"/>
    </row>
    <row r="37" spans="1:9" x14ac:dyDescent="0.3">
      <c r="A37" s="27" t="s">
        <v>320</v>
      </c>
      <c r="B37" s="27" t="s">
        <v>321</v>
      </c>
      <c r="C37" s="27" t="s">
        <v>168</v>
      </c>
      <c r="D37" s="29">
        <v>913164.05</v>
      </c>
      <c r="E37" s="29">
        <f t="shared" si="0"/>
        <v>1095796.8600000001</v>
      </c>
      <c r="F37" s="27" t="s">
        <v>16</v>
      </c>
      <c r="G37" s="27" t="s">
        <v>108</v>
      </c>
      <c r="H37" s="27" t="s">
        <v>17</v>
      </c>
      <c r="I37" s="27" t="s">
        <v>106</v>
      </c>
    </row>
    <row r="38" spans="1:9" x14ac:dyDescent="0.3">
      <c r="A38" s="27" t="s">
        <v>122</v>
      </c>
      <c r="B38" s="27" t="s">
        <v>322</v>
      </c>
      <c r="C38" s="27" t="s">
        <v>152</v>
      </c>
      <c r="D38" s="29">
        <v>326450.44</v>
      </c>
      <c r="E38" s="29">
        <f t="shared" si="0"/>
        <v>391740.52799999999</v>
      </c>
      <c r="F38" s="27" t="s">
        <v>16</v>
      </c>
      <c r="G38" s="27" t="s">
        <v>51</v>
      </c>
      <c r="H38" s="27" t="s">
        <v>17</v>
      </c>
      <c r="I38" s="27"/>
    </row>
    <row r="39" spans="1:9" x14ac:dyDescent="0.3">
      <c r="A39" s="27" t="s">
        <v>323</v>
      </c>
      <c r="B39" s="27" t="s">
        <v>88</v>
      </c>
      <c r="C39" s="27" t="s">
        <v>251</v>
      </c>
      <c r="D39" s="29">
        <v>2634.59</v>
      </c>
      <c r="E39" s="29">
        <f t="shared" si="0"/>
        <v>3161.5080000000003</v>
      </c>
      <c r="F39" s="27" t="s">
        <v>16</v>
      </c>
      <c r="G39" s="27" t="s">
        <v>26</v>
      </c>
      <c r="H39" s="27" t="s">
        <v>17</v>
      </c>
      <c r="I39" s="27" t="s">
        <v>324</v>
      </c>
    </row>
    <row r="40" spans="1:9" x14ac:dyDescent="0.3">
      <c r="A40" s="27" t="s">
        <v>325</v>
      </c>
      <c r="B40" s="27" t="s">
        <v>125</v>
      </c>
      <c r="C40" s="27" t="s">
        <v>251</v>
      </c>
      <c r="D40" s="29">
        <v>2192.5</v>
      </c>
      <c r="E40" s="29">
        <f t="shared" si="0"/>
        <v>2631</v>
      </c>
      <c r="F40" s="27" t="s">
        <v>16</v>
      </c>
      <c r="G40" s="27" t="s">
        <v>26</v>
      </c>
      <c r="H40" s="27" t="s">
        <v>17</v>
      </c>
      <c r="I40" s="27" t="s">
        <v>324</v>
      </c>
    </row>
    <row r="41" spans="1:9" x14ac:dyDescent="0.3">
      <c r="A41" s="27" t="s">
        <v>326</v>
      </c>
      <c r="B41" s="27" t="s">
        <v>58</v>
      </c>
      <c r="C41" s="27" t="s">
        <v>251</v>
      </c>
      <c r="D41" s="29">
        <v>168.33</v>
      </c>
      <c r="E41" s="29">
        <f t="shared" si="0"/>
        <v>201.99600000000001</v>
      </c>
      <c r="F41" s="27" t="s">
        <v>16</v>
      </c>
      <c r="G41" s="27" t="s">
        <v>26</v>
      </c>
      <c r="H41" s="27" t="s">
        <v>17</v>
      </c>
      <c r="I41" s="27" t="s">
        <v>324</v>
      </c>
    </row>
    <row r="42" spans="1:9" x14ac:dyDescent="0.3">
      <c r="A42" s="27" t="s">
        <v>327</v>
      </c>
      <c r="B42" s="27" t="s">
        <v>77</v>
      </c>
      <c r="C42" s="27" t="s">
        <v>251</v>
      </c>
      <c r="D42" s="29">
        <v>29976.729999999996</v>
      </c>
      <c r="E42" s="29">
        <f t="shared" si="0"/>
        <v>35972.075999999994</v>
      </c>
      <c r="F42" s="27" t="s">
        <v>16</v>
      </c>
      <c r="G42" s="27" t="s">
        <v>26</v>
      </c>
      <c r="H42" s="27" t="s">
        <v>17</v>
      </c>
      <c r="I42" s="27" t="s">
        <v>324</v>
      </c>
    </row>
    <row r="43" spans="1:9" x14ac:dyDescent="0.3">
      <c r="A43" s="27" t="s">
        <v>328</v>
      </c>
      <c r="B43" s="27" t="s">
        <v>329</v>
      </c>
      <c r="C43" s="27" t="s">
        <v>251</v>
      </c>
      <c r="D43" s="29">
        <v>6534</v>
      </c>
      <c r="E43" s="29">
        <f t="shared" si="0"/>
        <v>7840.7999999999993</v>
      </c>
      <c r="F43" s="27" t="s">
        <v>16</v>
      </c>
      <c r="G43" s="27" t="s">
        <v>26</v>
      </c>
      <c r="H43" s="27" t="s">
        <v>17</v>
      </c>
      <c r="I43" s="27" t="s">
        <v>324</v>
      </c>
    </row>
    <row r="44" spans="1:9" x14ac:dyDescent="0.3">
      <c r="A44" s="27" t="s">
        <v>330</v>
      </c>
      <c r="B44" s="27" t="s">
        <v>331</v>
      </c>
      <c r="C44" s="27" t="s">
        <v>251</v>
      </c>
      <c r="D44" s="29">
        <v>10330.77</v>
      </c>
      <c r="E44" s="29">
        <f t="shared" si="0"/>
        <v>12396.924000000001</v>
      </c>
      <c r="F44" s="27" t="s">
        <v>16</v>
      </c>
      <c r="G44" s="27" t="s">
        <v>26</v>
      </c>
      <c r="H44" s="27" t="s">
        <v>17</v>
      </c>
      <c r="I44" s="27" t="s">
        <v>324</v>
      </c>
    </row>
    <row r="45" spans="1:9" x14ac:dyDescent="0.3">
      <c r="A45" s="27" t="s">
        <v>332</v>
      </c>
      <c r="B45" s="27" t="s">
        <v>106</v>
      </c>
      <c r="C45" s="27" t="s">
        <v>251</v>
      </c>
      <c r="D45" s="29">
        <v>12622.5</v>
      </c>
      <c r="E45" s="29">
        <f t="shared" si="0"/>
        <v>15147</v>
      </c>
      <c r="F45" s="27" t="s">
        <v>16</v>
      </c>
      <c r="G45" s="27" t="s">
        <v>26</v>
      </c>
      <c r="H45" s="27" t="s">
        <v>17</v>
      </c>
      <c r="I45" s="27" t="s">
        <v>324</v>
      </c>
    </row>
    <row r="46" spans="1:9" x14ac:dyDescent="0.3">
      <c r="A46" s="27" t="s">
        <v>333</v>
      </c>
      <c r="B46" s="27" t="s">
        <v>120</v>
      </c>
      <c r="C46" s="27" t="s">
        <v>251</v>
      </c>
      <c r="D46" s="29">
        <v>741.76</v>
      </c>
      <c r="E46" s="29">
        <f t="shared" si="0"/>
        <v>890.11199999999997</v>
      </c>
      <c r="F46" s="27" t="s">
        <v>16</v>
      </c>
      <c r="G46" s="27" t="s">
        <v>26</v>
      </c>
      <c r="H46" s="27" t="s">
        <v>17</v>
      </c>
      <c r="I46" s="27" t="s">
        <v>334</v>
      </c>
    </row>
    <row r="47" spans="1:9" x14ac:dyDescent="0.3">
      <c r="A47" s="27" t="s">
        <v>335</v>
      </c>
      <c r="B47" s="27" t="s">
        <v>100</v>
      </c>
      <c r="C47" s="27" t="s">
        <v>251</v>
      </c>
      <c r="D47" s="29">
        <v>459.8</v>
      </c>
      <c r="E47" s="29">
        <f t="shared" si="0"/>
        <v>551.76</v>
      </c>
      <c r="F47" s="27" t="s">
        <v>16</v>
      </c>
      <c r="G47" s="27" t="s">
        <v>26</v>
      </c>
      <c r="H47" s="27" t="s">
        <v>17</v>
      </c>
      <c r="I47" s="27" t="s">
        <v>324</v>
      </c>
    </row>
    <row r="48" spans="1:9" x14ac:dyDescent="0.3">
      <c r="A48" s="27" t="s">
        <v>336</v>
      </c>
      <c r="B48" s="27" t="s">
        <v>103</v>
      </c>
      <c r="C48" s="27" t="s">
        <v>251</v>
      </c>
      <c r="D48" s="29">
        <v>304.54000000000002</v>
      </c>
      <c r="E48" s="29">
        <f t="shared" si="0"/>
        <v>365.44800000000004</v>
      </c>
      <c r="F48" s="27" t="s">
        <v>16</v>
      </c>
      <c r="G48" s="27" t="s">
        <v>26</v>
      </c>
      <c r="H48" s="27" t="s">
        <v>17</v>
      </c>
      <c r="I48" s="27" t="s">
        <v>324</v>
      </c>
    </row>
    <row r="49" spans="1:9" x14ac:dyDescent="0.3">
      <c r="A49" s="27" t="s">
        <v>337</v>
      </c>
      <c r="B49" s="27" t="s">
        <v>128</v>
      </c>
      <c r="C49" s="27" t="s">
        <v>251</v>
      </c>
      <c r="D49" s="29">
        <v>3489.75</v>
      </c>
      <c r="E49" s="29">
        <f t="shared" si="0"/>
        <v>4187.7</v>
      </c>
      <c r="F49" s="27" t="s">
        <v>16</v>
      </c>
      <c r="G49" s="27" t="s">
        <v>26</v>
      </c>
      <c r="H49" s="27" t="s">
        <v>17</v>
      </c>
      <c r="I49" s="27" t="s">
        <v>324</v>
      </c>
    </row>
    <row r="50" spans="1:9" x14ac:dyDescent="0.3">
      <c r="A50" s="27" t="s">
        <v>338</v>
      </c>
      <c r="B50" s="27" t="s">
        <v>131</v>
      </c>
      <c r="C50" s="27" t="s">
        <v>251</v>
      </c>
      <c r="D50" s="29">
        <v>1633.33</v>
      </c>
      <c r="E50" s="29">
        <f t="shared" si="0"/>
        <v>1959.9959999999999</v>
      </c>
      <c r="F50" s="27" t="s">
        <v>16</v>
      </c>
      <c r="G50" s="27" t="s">
        <v>26</v>
      </c>
      <c r="H50" s="27" t="s">
        <v>17</v>
      </c>
      <c r="I50" s="27" t="s">
        <v>324</v>
      </c>
    </row>
    <row r="51" spans="1:9" x14ac:dyDescent="0.3">
      <c r="A51" s="27" t="s">
        <v>339</v>
      </c>
      <c r="B51" s="27" t="s">
        <v>138</v>
      </c>
      <c r="C51" s="27" t="s">
        <v>251</v>
      </c>
      <c r="D51" s="29">
        <v>1445.38</v>
      </c>
      <c r="E51" s="29">
        <f t="shared" si="0"/>
        <v>1734.4560000000001</v>
      </c>
      <c r="F51" s="27" t="s">
        <v>16</v>
      </c>
      <c r="G51" s="27" t="s">
        <v>26</v>
      </c>
      <c r="H51" s="27" t="s">
        <v>17</v>
      </c>
      <c r="I51" s="27" t="s">
        <v>324</v>
      </c>
    </row>
    <row r="52" spans="1:9" x14ac:dyDescent="0.3">
      <c r="A52" s="27" t="s">
        <v>340</v>
      </c>
      <c r="B52" s="27" t="s">
        <v>341</v>
      </c>
      <c r="C52" s="27" t="s">
        <v>251</v>
      </c>
      <c r="D52" s="29">
        <v>3341.25</v>
      </c>
      <c r="E52" s="29">
        <f t="shared" si="0"/>
        <v>4009.5</v>
      </c>
      <c r="F52" s="27" t="s">
        <v>16</v>
      </c>
      <c r="G52" s="27" t="s">
        <v>26</v>
      </c>
      <c r="H52" s="27" t="s">
        <v>17</v>
      </c>
      <c r="I52" s="27"/>
    </row>
    <row r="53" spans="1:9" x14ac:dyDescent="0.3">
      <c r="A53" s="27" t="s">
        <v>342</v>
      </c>
      <c r="B53" s="27" t="s">
        <v>343</v>
      </c>
      <c r="C53" s="27" t="s">
        <v>152</v>
      </c>
      <c r="D53" s="29">
        <v>2495996.9200000004</v>
      </c>
      <c r="E53" s="29">
        <f t="shared" si="0"/>
        <v>2995196.3040000005</v>
      </c>
      <c r="F53" s="27" t="s">
        <v>16</v>
      </c>
      <c r="G53" s="27" t="s">
        <v>51</v>
      </c>
      <c r="H53" s="27" t="s">
        <v>17</v>
      </c>
      <c r="I53" s="27"/>
    </row>
    <row r="54" spans="1:9" x14ac:dyDescent="0.3">
      <c r="A54" s="27" t="s">
        <v>133</v>
      </c>
      <c r="B54" s="27" t="s">
        <v>344</v>
      </c>
      <c r="C54" s="27" t="s">
        <v>345</v>
      </c>
      <c r="D54" s="29">
        <v>35147.06</v>
      </c>
      <c r="E54" s="29">
        <f t="shared" si="0"/>
        <v>42176.471999999994</v>
      </c>
      <c r="F54" s="27" t="s">
        <v>16</v>
      </c>
      <c r="G54" s="27" t="s">
        <v>136</v>
      </c>
      <c r="H54" s="27" t="s">
        <v>17</v>
      </c>
      <c r="I54" s="27"/>
    </row>
    <row r="55" spans="1:9" x14ac:dyDescent="0.3">
      <c r="A55" s="27" t="s">
        <v>346</v>
      </c>
      <c r="B55" s="27" t="s">
        <v>347</v>
      </c>
      <c r="C55" s="27" t="s">
        <v>345</v>
      </c>
      <c r="D55" s="29">
        <v>94701.6</v>
      </c>
      <c r="E55" s="29">
        <f t="shared" si="0"/>
        <v>113641.92</v>
      </c>
      <c r="F55" s="27" t="s">
        <v>16</v>
      </c>
      <c r="G55" s="27" t="s">
        <v>136</v>
      </c>
      <c r="H55" s="27" t="s">
        <v>17</v>
      </c>
      <c r="I55" s="27"/>
    </row>
    <row r="56" spans="1:9" x14ac:dyDescent="0.3">
      <c r="A56" s="27" t="s">
        <v>348</v>
      </c>
      <c r="B56" s="27" t="s">
        <v>349</v>
      </c>
      <c r="C56" s="27" t="s">
        <v>345</v>
      </c>
      <c r="D56" s="29">
        <v>6130.8099999999995</v>
      </c>
      <c r="E56" s="29">
        <f t="shared" si="0"/>
        <v>7356.9719999999988</v>
      </c>
      <c r="F56" s="27" t="s">
        <v>16</v>
      </c>
      <c r="G56" s="27" t="s">
        <v>136</v>
      </c>
      <c r="H56" s="27" t="s">
        <v>17</v>
      </c>
      <c r="I56" s="27"/>
    </row>
    <row r="57" spans="1:9" x14ac:dyDescent="0.3">
      <c r="A57" s="27" t="s">
        <v>350</v>
      </c>
      <c r="B57" s="27" t="s">
        <v>351</v>
      </c>
      <c r="C57" s="27" t="s">
        <v>345</v>
      </c>
      <c r="D57" s="29">
        <v>51684.55</v>
      </c>
      <c r="E57" s="29">
        <f t="shared" si="0"/>
        <v>62021.46</v>
      </c>
      <c r="F57" s="27" t="s">
        <v>16</v>
      </c>
      <c r="G57" s="27" t="s">
        <v>136</v>
      </c>
      <c r="H57" s="27" t="s">
        <v>17</v>
      </c>
      <c r="I57" s="27"/>
    </row>
    <row r="58" spans="1:9" x14ac:dyDescent="0.3">
      <c r="A58" s="27" t="s">
        <v>352</v>
      </c>
      <c r="B58" s="27" t="s">
        <v>353</v>
      </c>
      <c r="C58" s="27" t="s">
        <v>152</v>
      </c>
      <c r="D58" s="29">
        <v>7042440.1999999993</v>
      </c>
      <c r="E58" s="29">
        <f t="shared" si="0"/>
        <v>8450928.2399999984</v>
      </c>
      <c r="F58" s="27" t="s">
        <v>16</v>
      </c>
      <c r="G58" s="27" t="s">
        <v>51</v>
      </c>
      <c r="H58" s="27" t="s">
        <v>17</v>
      </c>
      <c r="I58" s="27"/>
    </row>
    <row r="59" spans="1:9" x14ac:dyDescent="0.3">
      <c r="A59" s="27" t="s">
        <v>354</v>
      </c>
      <c r="B59" s="27" t="s">
        <v>355</v>
      </c>
      <c r="C59" s="27" t="s">
        <v>345</v>
      </c>
      <c r="D59" s="29">
        <v>46.24</v>
      </c>
      <c r="E59" s="29">
        <f t="shared" si="0"/>
        <v>55.488</v>
      </c>
      <c r="F59" s="27" t="s">
        <v>16</v>
      </c>
      <c r="G59" s="27" t="s">
        <v>136</v>
      </c>
      <c r="H59" s="27" t="s">
        <v>17</v>
      </c>
      <c r="I59" s="27"/>
    </row>
    <row r="60" spans="1:9" x14ac:dyDescent="0.3">
      <c r="D60" s="32">
        <f>SUM(D2:D59)</f>
        <v>18057723.129999999</v>
      </c>
      <c r="E60" s="32">
        <f>SUM(E2:E59)</f>
        <v>21669267.755999994</v>
      </c>
    </row>
    <row r="61" spans="1:9" x14ac:dyDescent="0.3">
      <c r="D61" s="33">
        <f>D60-D71</f>
        <v>0</v>
      </c>
      <c r="E61" s="33">
        <f>E60-E71</f>
        <v>0</v>
      </c>
    </row>
    <row r="62" spans="1:9" x14ac:dyDescent="0.3">
      <c r="C62" t="s">
        <v>358</v>
      </c>
      <c r="D62" s="34">
        <f>D18+D19+D20+D21+D22+D23</f>
        <v>361708.31000000006</v>
      </c>
      <c r="E62" s="34">
        <f>E18+E19+E20+E21+E22+E23</f>
        <v>434049.97200000001</v>
      </c>
    </row>
    <row r="63" spans="1:9" x14ac:dyDescent="0.3">
      <c r="C63" t="s">
        <v>154</v>
      </c>
      <c r="D63" s="34">
        <f>D54+D55+D56+D57+D59</f>
        <v>187710.26</v>
      </c>
      <c r="E63" s="34">
        <f>E54+E55+E56+E57+E59</f>
        <v>225252.31200000001</v>
      </c>
    </row>
    <row r="64" spans="1:9" x14ac:dyDescent="0.3">
      <c r="C64" t="s">
        <v>152</v>
      </c>
      <c r="D64" s="34">
        <f>D12+D13+D15+D26+D27+D31+D38+D53+D58</f>
        <v>12172467.309999999</v>
      </c>
      <c r="E64" s="34">
        <f>E12+E13+E15+E26+E27+E31+E38+E53+E58</f>
        <v>14606960.771999998</v>
      </c>
    </row>
    <row r="65" spans="3:5" x14ac:dyDescent="0.3">
      <c r="C65" t="s">
        <v>270</v>
      </c>
      <c r="D65" s="34">
        <f>D11+D14+D25+D30+D34</f>
        <v>798212.09000000008</v>
      </c>
      <c r="E65" s="34">
        <f>E11+E14+E25+E30+E34</f>
        <v>957854.50799999991</v>
      </c>
    </row>
    <row r="66" spans="3:5" x14ac:dyDescent="0.3">
      <c r="C66" t="s">
        <v>359</v>
      </c>
      <c r="D66" s="34">
        <f>D7+D6+D5+D4+D3+D2</f>
        <v>722118.8</v>
      </c>
      <c r="E66" s="34">
        <f>E7+E6+E5+E4+E3+E2</f>
        <v>866542.55999999982</v>
      </c>
    </row>
    <row r="67" spans="3:5" x14ac:dyDescent="0.3">
      <c r="C67" t="s">
        <v>360</v>
      </c>
      <c r="D67" s="34">
        <f>D39+D40+D41+D42+D43+D44+D45+D46+D47+D48+D49+D50+D51+D52</f>
        <v>75875.23</v>
      </c>
      <c r="E67" s="34">
        <f>E39+E40+E41+E42+E43+E44+E45+E46+E47+E48+E49+E50+E51+E52</f>
        <v>91050.275999999983</v>
      </c>
    </row>
    <row r="68" spans="3:5" x14ac:dyDescent="0.3">
      <c r="C68" t="s">
        <v>361</v>
      </c>
      <c r="D68" s="30">
        <f>D24</f>
        <v>14335</v>
      </c>
      <c r="E68" s="30">
        <f>E24</f>
        <v>17202</v>
      </c>
    </row>
    <row r="69" spans="3:5" x14ac:dyDescent="0.3">
      <c r="C69" t="s">
        <v>362</v>
      </c>
      <c r="D69" s="34">
        <f>D8+D9+D10+D16+D17+D28+D29+D32+D33</f>
        <v>1512600.8199999998</v>
      </c>
      <c r="E69" s="34">
        <f>E8+E9+E10+E16+E17+E28+E29+E32+E33</f>
        <v>1815120.9839999999</v>
      </c>
    </row>
    <row r="70" spans="3:5" x14ac:dyDescent="0.3">
      <c r="C70" t="s">
        <v>168</v>
      </c>
      <c r="D70" s="34">
        <f>D35+D36+D37</f>
        <v>2212695.31</v>
      </c>
      <c r="E70" s="34">
        <f>E35+E36+E37</f>
        <v>2655234.372</v>
      </c>
    </row>
    <row r="71" spans="3:5" x14ac:dyDescent="0.3">
      <c r="C71" s="31" t="s">
        <v>363</v>
      </c>
      <c r="D71" s="32">
        <f>SUM(D62:D70)</f>
        <v>18057723.129999999</v>
      </c>
      <c r="E71" s="32">
        <f>SUM(E62:E70)</f>
        <v>21669267.756000001</v>
      </c>
    </row>
  </sheetData>
  <autoFilter ref="A1:I59"/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workbookViewId="0">
      <selection activeCell="C8" sqref="C8"/>
    </sheetView>
  </sheetViews>
  <sheetFormatPr defaultRowHeight="14.4" x14ac:dyDescent="0.3"/>
  <cols>
    <col min="1" max="1" width="49.88671875" bestFit="1" customWidth="1"/>
    <col min="2" max="2" width="12.6640625" bestFit="1" customWidth="1"/>
    <col min="3" max="3" width="11.6640625" bestFit="1" customWidth="1"/>
    <col min="4" max="4" width="12.6640625" bestFit="1" customWidth="1"/>
  </cols>
  <sheetData>
    <row r="1" spans="1:4" x14ac:dyDescent="0.3">
      <c r="A1" s="10" t="s">
        <v>3</v>
      </c>
      <c r="B1" s="35" t="s">
        <v>188</v>
      </c>
      <c r="C1" s="35" t="s">
        <v>189</v>
      </c>
      <c r="D1" s="35" t="s">
        <v>190</v>
      </c>
    </row>
    <row r="2" spans="1:4" x14ac:dyDescent="0.3">
      <c r="A2" s="10" t="s">
        <v>163</v>
      </c>
      <c r="B2" s="36"/>
      <c r="C2" s="36"/>
      <c r="D2" s="36"/>
    </row>
    <row r="3" spans="1:4" x14ac:dyDescent="0.3">
      <c r="A3" s="10" t="s">
        <v>191</v>
      </c>
      <c r="B3" s="37"/>
      <c r="C3" s="37"/>
      <c r="D3" s="37"/>
    </row>
    <row r="4" spans="1:4" x14ac:dyDescent="0.3">
      <c r="A4" s="11" t="s">
        <v>50</v>
      </c>
      <c r="B4" s="12">
        <v>28444585.190000001</v>
      </c>
      <c r="C4" s="12">
        <v>4740764.21</v>
      </c>
      <c r="D4" s="12">
        <v>12448487.359999999</v>
      </c>
    </row>
    <row r="5" spans="1:4" x14ac:dyDescent="0.3">
      <c r="A5" s="13" t="s">
        <v>192</v>
      </c>
      <c r="B5" s="14">
        <v>22718188.800000001</v>
      </c>
      <c r="C5" s="15">
        <v>3786364.81</v>
      </c>
      <c r="D5" s="15">
        <v>9350019.9499999993</v>
      </c>
    </row>
    <row r="6" spans="1:4" x14ac:dyDescent="0.3">
      <c r="A6" s="16" t="s">
        <v>193</v>
      </c>
      <c r="B6" s="17">
        <v>1287044.8600000001</v>
      </c>
      <c r="C6" s="17">
        <v>214507.48</v>
      </c>
      <c r="D6" s="17">
        <v>452853.74</v>
      </c>
    </row>
    <row r="7" spans="1:4" x14ac:dyDescent="0.3">
      <c r="A7" s="16" t="s">
        <v>194</v>
      </c>
      <c r="B7" s="17">
        <v>118627.25</v>
      </c>
      <c r="C7" s="17">
        <v>19771.21</v>
      </c>
      <c r="D7" s="17">
        <v>39514.879999999997</v>
      </c>
    </row>
    <row r="8" spans="1:4" x14ac:dyDescent="0.3">
      <c r="A8" s="16" t="s">
        <v>195</v>
      </c>
      <c r="B8" s="18">
        <v>753745</v>
      </c>
      <c r="C8" s="17">
        <v>125624.17</v>
      </c>
      <c r="D8" s="19">
        <v>376360.5</v>
      </c>
    </row>
    <row r="9" spans="1:4" x14ac:dyDescent="0.3">
      <c r="A9" s="16" t="s">
        <v>196</v>
      </c>
      <c r="B9" s="17">
        <v>609343.34</v>
      </c>
      <c r="C9" s="17">
        <v>101557.22</v>
      </c>
      <c r="D9" s="19">
        <v>242162.3</v>
      </c>
    </row>
    <row r="10" spans="1:4" x14ac:dyDescent="0.3">
      <c r="A10" s="16" t="s">
        <v>197</v>
      </c>
      <c r="B10" s="17">
        <v>3270399.41</v>
      </c>
      <c r="C10" s="17">
        <v>545066.56999999995</v>
      </c>
      <c r="D10" s="17">
        <v>1151680.83</v>
      </c>
    </row>
    <row r="11" spans="1:4" x14ac:dyDescent="0.3">
      <c r="A11" s="16" t="s">
        <v>198</v>
      </c>
      <c r="B11" s="17">
        <v>16538270.630000001</v>
      </c>
      <c r="C11" s="17">
        <v>2756378.44</v>
      </c>
      <c r="D11" s="19">
        <v>7042440.2000000002</v>
      </c>
    </row>
    <row r="12" spans="1:4" x14ac:dyDescent="0.3">
      <c r="A12" s="16" t="s">
        <v>199</v>
      </c>
      <c r="B12" s="17">
        <v>140758.31</v>
      </c>
      <c r="C12" s="17">
        <v>23459.72</v>
      </c>
      <c r="D12" s="19">
        <v>45007.5</v>
      </c>
    </row>
    <row r="13" spans="1:4" x14ac:dyDescent="0.3">
      <c r="A13" s="13" t="s">
        <v>200</v>
      </c>
      <c r="B13" s="15">
        <v>5261409.41</v>
      </c>
      <c r="C13" s="15">
        <v>876901.57</v>
      </c>
      <c r="D13" s="15">
        <v>2822447.36</v>
      </c>
    </row>
    <row r="14" spans="1:4" x14ac:dyDescent="0.3">
      <c r="A14" s="16" t="s">
        <v>201</v>
      </c>
      <c r="B14" s="17">
        <v>648268.93000000005</v>
      </c>
      <c r="C14" s="17">
        <v>108044.82</v>
      </c>
      <c r="D14" s="17">
        <v>326450.44</v>
      </c>
    </row>
    <row r="15" spans="1:4" x14ac:dyDescent="0.3">
      <c r="A15" s="16" t="s">
        <v>202</v>
      </c>
      <c r="B15" s="17">
        <v>4613140.4800000004</v>
      </c>
      <c r="C15" s="17">
        <v>768856.75</v>
      </c>
      <c r="D15" s="17">
        <v>2495996.92</v>
      </c>
    </row>
    <row r="16" spans="1:4" x14ac:dyDescent="0.3">
      <c r="A16" s="13" t="s">
        <v>203</v>
      </c>
      <c r="B16" s="15">
        <v>1996.56</v>
      </c>
      <c r="C16" s="20">
        <v>332.76</v>
      </c>
      <c r="D16" s="21"/>
    </row>
    <row r="17" spans="1:4" x14ac:dyDescent="0.3">
      <c r="A17" s="16" t="s">
        <v>204</v>
      </c>
      <c r="B17" s="17">
        <v>1996.56</v>
      </c>
      <c r="C17" s="22">
        <v>332.76</v>
      </c>
      <c r="D17" s="23"/>
    </row>
    <row r="18" spans="1:4" x14ac:dyDescent="0.3">
      <c r="A18" s="13" t="s">
        <v>205</v>
      </c>
      <c r="B18" s="15">
        <v>462990.42</v>
      </c>
      <c r="C18" s="15">
        <v>77165.070000000007</v>
      </c>
      <c r="D18" s="15">
        <v>276020.05</v>
      </c>
    </row>
    <row r="19" spans="1:4" x14ac:dyDescent="0.3">
      <c r="A19" s="16" t="s">
        <v>206</v>
      </c>
      <c r="B19" s="17">
        <v>462990.42</v>
      </c>
      <c r="C19" s="17">
        <v>77165.070000000007</v>
      </c>
      <c r="D19" s="17">
        <v>276020.05</v>
      </c>
    </row>
    <row r="20" spans="1:4" x14ac:dyDescent="0.3">
      <c r="A20" s="11" t="s">
        <v>45</v>
      </c>
      <c r="B20" s="12">
        <v>2855908.08</v>
      </c>
      <c r="C20" s="12">
        <v>475984.68</v>
      </c>
      <c r="D20" s="12">
        <v>804485.79</v>
      </c>
    </row>
    <row r="21" spans="1:4" x14ac:dyDescent="0.3">
      <c r="A21" s="13" t="s">
        <v>207</v>
      </c>
      <c r="B21" s="15">
        <v>2855908.08</v>
      </c>
      <c r="C21" s="15">
        <v>475984.68</v>
      </c>
      <c r="D21" s="15">
        <v>804485.79</v>
      </c>
    </row>
    <row r="22" spans="1:4" x14ac:dyDescent="0.3">
      <c r="A22" s="16" t="s">
        <v>208</v>
      </c>
      <c r="B22" s="17">
        <v>1273689.76</v>
      </c>
      <c r="C22" s="17">
        <v>212281.63</v>
      </c>
      <c r="D22" s="17">
        <v>284772.96999999997</v>
      </c>
    </row>
    <row r="23" spans="1:4" x14ac:dyDescent="0.3">
      <c r="A23" s="16" t="s">
        <v>209</v>
      </c>
      <c r="B23" s="17">
        <v>278074.64</v>
      </c>
      <c r="C23" s="17">
        <v>46345.77</v>
      </c>
      <c r="D23" s="23"/>
    </row>
    <row r="24" spans="1:4" x14ac:dyDescent="0.3">
      <c r="A24" s="16" t="s">
        <v>210</v>
      </c>
      <c r="B24" s="17">
        <v>150334.85999999999</v>
      </c>
      <c r="C24" s="17">
        <v>25055.81</v>
      </c>
      <c r="D24" s="17">
        <v>51447.47</v>
      </c>
    </row>
    <row r="25" spans="1:4" x14ac:dyDescent="0.3">
      <c r="A25" s="16" t="s">
        <v>211</v>
      </c>
      <c r="B25" s="17">
        <v>174251.02</v>
      </c>
      <c r="C25" s="17">
        <v>29041.84</v>
      </c>
      <c r="D25" s="17">
        <v>78343.72</v>
      </c>
    </row>
    <row r="26" spans="1:4" x14ac:dyDescent="0.3">
      <c r="A26" s="16" t="s">
        <v>212</v>
      </c>
      <c r="B26" s="17">
        <v>169492.76</v>
      </c>
      <c r="C26" s="17">
        <v>28248.79</v>
      </c>
      <c r="D26" s="17">
        <v>106656.13</v>
      </c>
    </row>
    <row r="27" spans="1:4" x14ac:dyDescent="0.3">
      <c r="A27" s="16" t="s">
        <v>213</v>
      </c>
      <c r="B27" s="17">
        <v>810065.04</v>
      </c>
      <c r="C27" s="17">
        <v>135010.84</v>
      </c>
      <c r="D27" s="19">
        <v>283265.5</v>
      </c>
    </row>
    <row r="28" spans="1:4" x14ac:dyDescent="0.3">
      <c r="A28" s="11" t="s">
        <v>135</v>
      </c>
      <c r="B28" s="12">
        <v>3129894.43</v>
      </c>
      <c r="C28" s="12">
        <v>521649.08</v>
      </c>
      <c r="D28" s="12">
        <v>187710.26</v>
      </c>
    </row>
    <row r="29" spans="1:4" x14ac:dyDescent="0.3">
      <c r="A29" s="13" t="s">
        <v>214</v>
      </c>
      <c r="B29" s="15">
        <v>3129894.43</v>
      </c>
      <c r="C29" s="15">
        <v>521649.08</v>
      </c>
      <c r="D29" s="15">
        <v>187710.26</v>
      </c>
    </row>
    <row r="30" spans="1:4" x14ac:dyDescent="0.3">
      <c r="A30" s="16" t="s">
        <v>215</v>
      </c>
      <c r="B30" s="17">
        <v>559012.18000000005</v>
      </c>
      <c r="C30" s="19">
        <v>93168.7</v>
      </c>
      <c r="D30" s="19">
        <v>94701.6</v>
      </c>
    </row>
    <row r="31" spans="1:4" x14ac:dyDescent="0.3">
      <c r="A31" s="16" t="s">
        <v>216</v>
      </c>
      <c r="B31" s="17">
        <v>91075.73</v>
      </c>
      <c r="C31" s="17">
        <v>15179.29</v>
      </c>
      <c r="D31" s="17">
        <v>6130.81</v>
      </c>
    </row>
    <row r="32" spans="1:4" x14ac:dyDescent="0.3">
      <c r="A32" s="16" t="s">
        <v>217</v>
      </c>
      <c r="B32" s="17">
        <v>10855.73</v>
      </c>
      <c r="C32" s="17">
        <v>1809.29</v>
      </c>
      <c r="D32" s="22">
        <v>46.24</v>
      </c>
    </row>
    <row r="33" spans="1:4" x14ac:dyDescent="0.3">
      <c r="A33" s="16" t="s">
        <v>218</v>
      </c>
      <c r="B33" s="17">
        <v>362721.46</v>
      </c>
      <c r="C33" s="17">
        <v>60453.58</v>
      </c>
      <c r="D33" s="17">
        <v>35147.06</v>
      </c>
    </row>
    <row r="34" spans="1:4" x14ac:dyDescent="0.3">
      <c r="A34" s="16" t="s">
        <v>219</v>
      </c>
      <c r="B34" s="17">
        <v>2106229.33</v>
      </c>
      <c r="C34" s="17">
        <v>351038.22</v>
      </c>
      <c r="D34" s="17">
        <v>51684.55</v>
      </c>
    </row>
    <row r="35" spans="1:4" x14ac:dyDescent="0.3">
      <c r="A35" s="11" t="s">
        <v>107</v>
      </c>
      <c r="B35" s="12">
        <v>9032785.6899999995</v>
      </c>
      <c r="C35" s="12">
        <v>1505464.28</v>
      </c>
      <c r="D35" s="12">
        <v>2212695.31</v>
      </c>
    </row>
    <row r="36" spans="1:4" x14ac:dyDescent="0.3">
      <c r="A36" s="13" t="s">
        <v>220</v>
      </c>
      <c r="B36" s="15">
        <v>9032785.6899999995</v>
      </c>
      <c r="C36" s="15">
        <v>1505464.28</v>
      </c>
      <c r="D36" s="15">
        <v>2212695.31</v>
      </c>
    </row>
    <row r="37" spans="1:4" x14ac:dyDescent="0.3">
      <c r="A37" s="16" t="s">
        <v>221</v>
      </c>
      <c r="B37" s="17">
        <v>2755491.55</v>
      </c>
      <c r="C37" s="17">
        <v>459248.59</v>
      </c>
      <c r="D37" s="17">
        <v>913164.05</v>
      </c>
    </row>
    <row r="38" spans="1:4" x14ac:dyDescent="0.3">
      <c r="A38" s="16" t="s">
        <v>222</v>
      </c>
      <c r="B38" s="17">
        <v>530786.04</v>
      </c>
      <c r="C38" s="17">
        <v>88464.34</v>
      </c>
      <c r="D38" s="23"/>
    </row>
    <row r="39" spans="1:4" x14ac:dyDescent="0.3">
      <c r="A39" s="16" t="s">
        <v>223</v>
      </c>
      <c r="B39" s="17">
        <v>2674262.7200000002</v>
      </c>
      <c r="C39" s="17">
        <v>445710.45</v>
      </c>
      <c r="D39" s="23"/>
    </row>
    <row r="40" spans="1:4" x14ac:dyDescent="0.3">
      <c r="A40" s="16" t="s">
        <v>224</v>
      </c>
      <c r="B40" s="17">
        <v>1035362.98</v>
      </c>
      <c r="C40" s="19">
        <v>172560.5</v>
      </c>
      <c r="D40" s="17">
        <v>211890.95</v>
      </c>
    </row>
    <row r="41" spans="1:4" x14ac:dyDescent="0.3">
      <c r="A41" s="16" t="s">
        <v>225</v>
      </c>
      <c r="B41" s="19">
        <v>2036882.4</v>
      </c>
      <c r="C41" s="19">
        <v>339480.4</v>
      </c>
      <c r="D41" s="17">
        <v>1087640.31</v>
      </c>
    </row>
    <row r="42" spans="1:4" x14ac:dyDescent="0.3">
      <c r="A42" s="11" t="s">
        <v>13</v>
      </c>
      <c r="B42" s="12">
        <v>3457336.37</v>
      </c>
      <c r="C42" s="12">
        <v>576222.71999999997</v>
      </c>
      <c r="D42" s="12">
        <v>1513042.11</v>
      </c>
    </row>
    <row r="43" spans="1:4" x14ac:dyDescent="0.3">
      <c r="A43" s="13" t="s">
        <v>226</v>
      </c>
      <c r="B43" s="15">
        <v>63794.94</v>
      </c>
      <c r="C43" s="15">
        <v>10632.49</v>
      </c>
      <c r="D43" s="15">
        <v>2954.86</v>
      </c>
    </row>
    <row r="44" spans="1:4" x14ac:dyDescent="0.3">
      <c r="A44" s="16" t="s">
        <v>227</v>
      </c>
      <c r="B44" s="17">
        <v>63794.94</v>
      </c>
      <c r="C44" s="17">
        <v>10632.49</v>
      </c>
      <c r="D44" s="17">
        <v>2954.86</v>
      </c>
    </row>
    <row r="45" spans="1:4" x14ac:dyDescent="0.3">
      <c r="A45" s="13" t="s">
        <v>228</v>
      </c>
      <c r="B45" s="14">
        <v>693583.4</v>
      </c>
      <c r="C45" s="15">
        <v>115597.23</v>
      </c>
      <c r="D45" s="15">
        <v>295104.96999999997</v>
      </c>
    </row>
    <row r="46" spans="1:4" x14ac:dyDescent="0.3">
      <c r="A46" s="16" t="s">
        <v>229</v>
      </c>
      <c r="B46" s="19">
        <v>693583.4</v>
      </c>
      <c r="C46" s="17">
        <v>115597.23</v>
      </c>
      <c r="D46" s="17">
        <v>295104.96999999997</v>
      </c>
    </row>
    <row r="47" spans="1:4" x14ac:dyDescent="0.3">
      <c r="A47" s="13" t="s">
        <v>230</v>
      </c>
      <c r="B47" s="15">
        <v>1055866.52</v>
      </c>
      <c r="C47" s="15">
        <v>175977.75</v>
      </c>
      <c r="D47" s="15">
        <v>506820.57</v>
      </c>
    </row>
    <row r="48" spans="1:4" x14ac:dyDescent="0.3">
      <c r="A48" s="16" t="s">
        <v>231</v>
      </c>
      <c r="B48" s="17">
        <v>469517.42</v>
      </c>
      <c r="C48" s="19">
        <v>78252.899999999994</v>
      </c>
      <c r="D48" s="17">
        <v>217986.45</v>
      </c>
    </row>
    <row r="49" spans="1:4" x14ac:dyDescent="0.3">
      <c r="A49" s="16" t="s">
        <v>232</v>
      </c>
      <c r="B49" s="19">
        <v>586349.1</v>
      </c>
      <c r="C49" s="17">
        <v>97724.85</v>
      </c>
      <c r="D49" s="17">
        <v>288834.12</v>
      </c>
    </row>
    <row r="50" spans="1:4" x14ac:dyDescent="0.3">
      <c r="A50" s="13" t="s">
        <v>233</v>
      </c>
      <c r="B50" s="15">
        <v>1228131.27</v>
      </c>
      <c r="C50" s="15">
        <v>204688.54</v>
      </c>
      <c r="D50" s="15">
        <v>617630.44999999995</v>
      </c>
    </row>
    <row r="51" spans="1:4" x14ac:dyDescent="0.3">
      <c r="A51" s="16" t="s">
        <v>234</v>
      </c>
      <c r="B51" s="17">
        <v>836213.36</v>
      </c>
      <c r="C51" s="17">
        <v>139368.89000000001</v>
      </c>
      <c r="D51" s="17">
        <v>384167.36</v>
      </c>
    </row>
    <row r="52" spans="1:4" x14ac:dyDescent="0.3">
      <c r="A52" s="16" t="s">
        <v>235</v>
      </c>
      <c r="B52" s="17">
        <v>391917.91</v>
      </c>
      <c r="C52" s="17">
        <v>65319.65</v>
      </c>
      <c r="D52" s="17">
        <v>233463.09</v>
      </c>
    </row>
    <row r="53" spans="1:4" x14ac:dyDescent="0.3">
      <c r="A53" s="13" t="s">
        <v>236</v>
      </c>
      <c r="B53" s="15">
        <v>289626.03999999998</v>
      </c>
      <c r="C53" s="15">
        <v>48271.01</v>
      </c>
      <c r="D53" s="15">
        <v>48551.38</v>
      </c>
    </row>
    <row r="54" spans="1:4" x14ac:dyDescent="0.3">
      <c r="A54" s="16" t="s">
        <v>237</v>
      </c>
      <c r="B54" s="17">
        <v>237993.73</v>
      </c>
      <c r="C54" s="17">
        <v>39665.620000000003</v>
      </c>
      <c r="D54" s="17">
        <v>48370.67</v>
      </c>
    </row>
    <row r="55" spans="1:4" x14ac:dyDescent="0.3">
      <c r="A55" s="16" t="s">
        <v>238</v>
      </c>
      <c r="B55" s="17">
        <v>51632.31</v>
      </c>
      <c r="C55" s="17">
        <v>8605.39</v>
      </c>
      <c r="D55" s="22">
        <v>180.71</v>
      </c>
    </row>
    <row r="56" spans="1:4" x14ac:dyDescent="0.3">
      <c r="A56" s="13" t="s">
        <v>239</v>
      </c>
      <c r="B56" s="14">
        <v>126334.2</v>
      </c>
      <c r="C56" s="14">
        <v>21055.7</v>
      </c>
      <c r="D56" s="15">
        <v>41979.88</v>
      </c>
    </row>
    <row r="57" spans="1:4" x14ac:dyDescent="0.3">
      <c r="A57" s="16" t="s">
        <v>240</v>
      </c>
      <c r="B57" s="19">
        <v>126334.2</v>
      </c>
      <c r="C57" s="19">
        <v>21055.7</v>
      </c>
      <c r="D57" s="17">
        <v>41979.88</v>
      </c>
    </row>
    <row r="58" spans="1:4" x14ac:dyDescent="0.3">
      <c r="A58" s="11" t="s">
        <v>25</v>
      </c>
      <c r="B58" s="12">
        <v>4275605.45</v>
      </c>
      <c r="C58" s="12">
        <v>712600.91</v>
      </c>
      <c r="D58" s="12">
        <v>769713.45</v>
      </c>
    </row>
    <row r="59" spans="1:4" x14ac:dyDescent="0.3">
      <c r="A59" s="13" t="s">
        <v>241</v>
      </c>
      <c r="B59" s="15">
        <v>4275605.45</v>
      </c>
      <c r="C59" s="15">
        <v>712600.91</v>
      </c>
      <c r="D59" s="15">
        <v>769713.45</v>
      </c>
    </row>
    <row r="60" spans="1:4" x14ac:dyDescent="0.3">
      <c r="A60" s="16" t="s">
        <v>242</v>
      </c>
      <c r="B60" s="17">
        <v>622248.82999999996</v>
      </c>
      <c r="C60" s="17">
        <v>103708.14</v>
      </c>
      <c r="D60" s="17">
        <v>123905.41</v>
      </c>
    </row>
    <row r="61" spans="1:4" x14ac:dyDescent="0.3">
      <c r="A61" s="16" t="s">
        <v>243</v>
      </c>
      <c r="B61" s="17">
        <v>1205734.97</v>
      </c>
      <c r="C61" s="17">
        <v>200955.83</v>
      </c>
      <c r="D61" s="17">
        <v>157773.49</v>
      </c>
    </row>
    <row r="62" spans="1:4" x14ac:dyDescent="0.3">
      <c r="A62" s="16" t="s">
        <v>244</v>
      </c>
      <c r="B62" s="17">
        <v>34074.89</v>
      </c>
      <c r="C62" s="17">
        <v>5679.15</v>
      </c>
      <c r="D62" s="17">
        <v>13036.23</v>
      </c>
    </row>
    <row r="63" spans="1:4" x14ac:dyDescent="0.3">
      <c r="A63" s="16" t="s">
        <v>245</v>
      </c>
      <c r="B63" s="18">
        <v>1482198</v>
      </c>
      <c r="C63" s="18">
        <v>247033</v>
      </c>
      <c r="D63" s="19">
        <v>204470.2</v>
      </c>
    </row>
    <row r="64" spans="1:4" x14ac:dyDescent="0.3">
      <c r="A64" s="16" t="s">
        <v>246</v>
      </c>
      <c r="B64" s="17">
        <v>755008.69</v>
      </c>
      <c r="C64" s="17">
        <v>125834.78</v>
      </c>
      <c r="D64" s="17">
        <v>179082.88</v>
      </c>
    </row>
    <row r="65" spans="1:4" x14ac:dyDescent="0.3">
      <c r="A65" s="16" t="s">
        <v>247</v>
      </c>
      <c r="B65" s="17">
        <v>176340.07</v>
      </c>
      <c r="C65" s="17">
        <v>29390.01</v>
      </c>
      <c r="D65" s="17">
        <v>91445.24</v>
      </c>
    </row>
    <row r="66" spans="1:4" x14ac:dyDescent="0.3">
      <c r="A66" s="24" t="s">
        <v>248</v>
      </c>
      <c r="B66" s="25">
        <v>51196115.210000001</v>
      </c>
      <c r="C66" s="25">
        <v>8532685.8800000008</v>
      </c>
      <c r="D66" s="25">
        <v>17936134.280000001</v>
      </c>
    </row>
  </sheetData>
  <mergeCells count="3">
    <mergeCell ref="B1:B3"/>
    <mergeCell ref="C1:C3"/>
    <mergeCell ref="D1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B14" sqref="B14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12" bestFit="1" customWidth="1"/>
    <col min="4" max="4" width="8.6640625" customWidth="1"/>
    <col min="5" max="5" width="7.6640625" bestFit="1" customWidth="1"/>
    <col min="6" max="6" width="14.6640625" bestFit="1" customWidth="1"/>
    <col min="7" max="7" width="12.88671875" bestFit="1" customWidth="1"/>
    <col min="8" max="8" width="8.109375" bestFit="1" customWidth="1"/>
    <col min="9" max="9" width="9.33203125" bestFit="1" customWidth="1"/>
    <col min="10" max="10" width="33" bestFit="1" customWidth="1"/>
    <col min="11" max="11" width="12.21875" customWidth="1"/>
    <col min="12" max="12" width="16.6640625" bestFit="1" customWidth="1"/>
    <col min="13" max="13" width="14.5546875" bestFit="1" customWidth="1"/>
    <col min="14" max="14" width="9.21875" bestFit="1" customWidth="1"/>
  </cols>
  <sheetData>
    <row r="1" spans="1:14" x14ac:dyDescent="0.3">
      <c r="A1" s="6" t="s">
        <v>1</v>
      </c>
      <c r="B1" s="6" t="s">
        <v>2</v>
      </c>
      <c r="C1" s="6" t="s">
        <v>159</v>
      </c>
      <c r="D1" s="6" t="s">
        <v>4</v>
      </c>
      <c r="E1" s="6" t="s">
        <v>5</v>
      </c>
      <c r="F1" s="6" t="s">
        <v>160</v>
      </c>
      <c r="G1" s="6" t="s">
        <v>3</v>
      </c>
      <c r="H1" s="6" t="s">
        <v>161</v>
      </c>
      <c r="I1" s="6" t="s">
        <v>162</v>
      </c>
      <c r="J1" s="6" t="s">
        <v>163</v>
      </c>
      <c r="K1" s="6" t="s">
        <v>164</v>
      </c>
      <c r="L1" s="6" t="s">
        <v>7</v>
      </c>
      <c r="M1" s="6" t="s">
        <v>8</v>
      </c>
      <c r="N1" s="6" t="s">
        <v>9</v>
      </c>
    </row>
    <row r="2" spans="1:14" x14ac:dyDescent="0.3">
      <c r="A2" s="7" t="s">
        <v>165</v>
      </c>
      <c r="B2" s="7" t="s">
        <v>166</v>
      </c>
      <c r="C2" s="7" t="s">
        <v>167</v>
      </c>
      <c r="D2" s="9">
        <v>687545.81</v>
      </c>
      <c r="E2" s="7" t="s">
        <v>14</v>
      </c>
      <c r="F2" s="7" t="s">
        <v>168</v>
      </c>
      <c r="G2" s="7" t="s">
        <v>169</v>
      </c>
      <c r="H2" s="7" t="s">
        <v>170</v>
      </c>
      <c r="I2" s="7" t="s">
        <v>171</v>
      </c>
      <c r="J2" s="7" t="s">
        <v>172</v>
      </c>
      <c r="K2" s="7" t="s">
        <v>173</v>
      </c>
      <c r="L2" s="7" t="s">
        <v>16</v>
      </c>
      <c r="M2" s="7" t="s">
        <v>174</v>
      </c>
      <c r="N2" s="7"/>
    </row>
    <row r="4" spans="1:14" x14ac:dyDescent="0.3">
      <c r="A4" s="7" t="s">
        <v>175</v>
      </c>
      <c r="B4" s="7" t="s">
        <v>176</v>
      </c>
      <c r="C4" s="7" t="s">
        <v>167</v>
      </c>
      <c r="D4" s="8">
        <v>95403.27</v>
      </c>
      <c r="E4" s="7" t="s">
        <v>14</v>
      </c>
      <c r="F4" s="7" t="s">
        <v>177</v>
      </c>
      <c r="G4" s="7" t="s">
        <v>178</v>
      </c>
      <c r="H4" s="7" t="s">
        <v>179</v>
      </c>
      <c r="I4" s="7"/>
      <c r="J4" s="7" t="s">
        <v>180</v>
      </c>
      <c r="K4" s="7"/>
      <c r="L4" s="7" t="s">
        <v>16</v>
      </c>
      <c r="M4" s="7" t="s">
        <v>174</v>
      </c>
      <c r="N4" s="7"/>
    </row>
    <row r="6" spans="1:14" x14ac:dyDescent="0.3">
      <c r="A6" s="7" t="s">
        <v>181</v>
      </c>
      <c r="B6" s="7" t="s">
        <v>182</v>
      </c>
      <c r="C6" s="7" t="s">
        <v>167</v>
      </c>
      <c r="D6" s="8">
        <v>331224.06</v>
      </c>
      <c r="E6" s="7" t="s">
        <v>14</v>
      </c>
      <c r="F6" s="7" t="s">
        <v>152</v>
      </c>
      <c r="G6" s="7" t="s">
        <v>183</v>
      </c>
      <c r="H6" s="7" t="s">
        <v>184</v>
      </c>
      <c r="I6" s="7" t="s">
        <v>185</v>
      </c>
      <c r="J6" s="7" t="s">
        <v>186</v>
      </c>
      <c r="K6" s="7" t="s">
        <v>187</v>
      </c>
      <c r="L6" s="7" t="s">
        <v>16</v>
      </c>
      <c r="M6" s="7" t="s">
        <v>17</v>
      </c>
      <c r="N6" s="7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Акты заказчика</vt:lpstr>
      <vt:lpstr>Списание стройматериалов</vt:lpstr>
      <vt:lpstr>ВаловаяПрибыль</vt:lpstr>
      <vt:lpstr>Услуги_сторонних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2024-04-17T13:04:20Z</dcterms:modified>
</cp:coreProperties>
</file>
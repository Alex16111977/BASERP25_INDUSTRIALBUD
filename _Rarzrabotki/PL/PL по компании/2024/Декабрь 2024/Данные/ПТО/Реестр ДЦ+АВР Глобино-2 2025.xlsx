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ПТО\"/>
    </mc:Choice>
  </mc:AlternateContent>
  <bookViews>
    <workbookView xWindow="-108" yWindow="-108" windowWidth="23256" windowHeight="12456" firstSheet="2" activeTab="3"/>
  </bookViews>
  <sheets>
    <sheet name="ноябрь" sheetId="10" state="hidden" r:id="rId1"/>
    <sheet name="Реєстр ДЦ" sheetId="18" state="hidden" r:id="rId2"/>
    <sheet name="Реєстр ДЦ " sheetId="22" r:id="rId3"/>
    <sheet name="РеєстрАВР" sheetId="27" r:id="rId4"/>
    <sheet name="РеєстрАВР (2)" sheetId="28" state="hidden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2" hidden="1">'Реєстр ДЦ '!#REF!</definedName>
    <definedName name="_xlnm._FilterDatabase" localSheetId="3" hidden="1">РеєстрАВР!$A$4:$AO$4</definedName>
    <definedName name="_xlnm._FilterDatabase" localSheetId="4" hidden="1">'РеєстрАВР (2)'!$A$4:$AP$19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ДЦ '!$A$4:$H$24</definedName>
    <definedName name="_xlnm.Print_Area" localSheetId="3">РеєстрАВР!$A$1:$O$92</definedName>
    <definedName name="_xlnm.Print_Area" localSheetId="4">'РеєстрАВР (2)'!$A$1:$J$20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5" i="27" l="1"/>
  <c r="J86" i="27" l="1"/>
  <c r="F36" i="27" l="1"/>
  <c r="G35" i="27"/>
  <c r="F35" i="27"/>
  <c r="G34" i="27" l="1"/>
  <c r="G80" i="27" l="1"/>
  <c r="F80" i="27"/>
  <c r="G55" i="27" l="1"/>
  <c r="G78" i="27" l="1"/>
  <c r="C79" i="27" l="1"/>
  <c r="C47" i="27"/>
  <c r="E24" i="22"/>
  <c r="D24" i="22"/>
  <c r="C24" i="22"/>
  <c r="C23" i="22"/>
  <c r="C16" i="22" l="1"/>
  <c r="C12" i="22"/>
  <c r="C14" i="22" l="1"/>
  <c r="C15" i="22" l="1"/>
  <c r="G40" i="27" l="1"/>
  <c r="G83" i="27" l="1"/>
  <c r="G77" i="27" l="1"/>
  <c r="G33" i="27"/>
  <c r="F37" i="27" l="1"/>
  <c r="G32" i="27" l="1"/>
  <c r="F32" i="27"/>
  <c r="G26" i="27"/>
  <c r="G27" i="27"/>
  <c r="F27" i="27"/>
  <c r="G29" i="27"/>
  <c r="F29" i="27"/>
  <c r="G28" i="27"/>
  <c r="F28" i="27"/>
  <c r="G25" i="27"/>
  <c r="F25" i="27"/>
  <c r="C21" i="27"/>
  <c r="G20" i="27"/>
  <c r="F20" i="27"/>
  <c r="G19" i="27"/>
  <c r="F19" i="27"/>
  <c r="C5" i="27"/>
  <c r="G76" i="27"/>
  <c r="F76" i="27"/>
  <c r="G75" i="27"/>
  <c r="G74" i="27"/>
  <c r="F74" i="27"/>
  <c r="C70" i="27"/>
  <c r="G69" i="27"/>
  <c r="F69" i="27"/>
  <c r="G68" i="27"/>
  <c r="F68" i="27"/>
  <c r="G46" i="27"/>
  <c r="F46" i="27"/>
  <c r="F39" i="27"/>
  <c r="G39" i="27" s="1"/>
  <c r="G81" i="27"/>
  <c r="C81" i="27"/>
  <c r="G79" i="27"/>
  <c r="G82" i="27"/>
  <c r="C82" i="27"/>
  <c r="F54" i="27"/>
  <c r="G54" i="27" s="1"/>
  <c r="F53" i="27"/>
  <c r="G53" i="27" s="1"/>
  <c r="J24" i="27" l="1"/>
  <c r="J26" i="27" s="1"/>
  <c r="J28" i="27" s="1"/>
  <c r="J30" i="27" s="1"/>
  <c r="J32" i="27" s="1"/>
  <c r="E22" i="22" l="1"/>
  <c r="E13" i="22" l="1"/>
  <c r="G73" i="27" l="1"/>
  <c r="F73" i="27"/>
  <c r="J21" i="27" l="1"/>
  <c r="J23" i="27" s="1"/>
  <c r="J25" i="27" s="1"/>
  <c r="J27" i="27" s="1"/>
  <c r="J29" i="27" s="1"/>
  <c r="J31" i="27" s="1"/>
  <c r="F24" i="27" l="1"/>
  <c r="G24" i="27" s="1"/>
  <c r="F18" i="27" l="1"/>
  <c r="G18" i="27" s="1"/>
  <c r="F67" i="27" l="1"/>
  <c r="G67" i="27" s="1"/>
  <c r="G45" i="27" l="1"/>
  <c r="G52" i="27" l="1"/>
  <c r="F52" i="27"/>
  <c r="F21" i="27" l="1"/>
  <c r="C19" i="22" l="1"/>
  <c r="F72" i="27" l="1"/>
  <c r="F23" i="27" l="1"/>
  <c r="F22" i="27" l="1"/>
  <c r="G72" i="27" l="1"/>
  <c r="G23" i="27" l="1"/>
  <c r="G22" i="27" l="1"/>
  <c r="C8" i="22" l="1"/>
  <c r="C7" i="22"/>
  <c r="C18" i="22" l="1"/>
  <c r="C17" i="22"/>
  <c r="F44" i="27" l="1"/>
  <c r="G44" i="27" s="1"/>
  <c r="G21" i="27" l="1"/>
  <c r="F17" i="27" l="1"/>
  <c r="G17" i="27" s="1"/>
  <c r="F66" i="27" l="1"/>
  <c r="G66" i="27" s="1"/>
  <c r="F71" i="27" l="1"/>
  <c r="G71" i="27" s="1"/>
  <c r="F70" i="27" l="1"/>
  <c r="G70" i="27" s="1"/>
  <c r="C20" i="22" l="1"/>
  <c r="C10" i="22" l="1"/>
  <c r="G65" i="27" l="1"/>
  <c r="G16" i="27" l="1"/>
  <c r="C21" i="22" l="1"/>
  <c r="F43" i="27" l="1"/>
  <c r="G43" i="27" s="1"/>
  <c r="F64" i="27" l="1"/>
  <c r="G64" i="27" s="1"/>
  <c r="F49" i="27" l="1"/>
  <c r="G49" i="27" s="1"/>
  <c r="F15" i="27" l="1"/>
  <c r="G15" i="27" s="1"/>
  <c r="F63" i="27" l="1"/>
  <c r="G63" i="27" s="1"/>
  <c r="G14" i="27" l="1"/>
  <c r="G42" i="27" l="1"/>
  <c r="F48" i="27" l="1"/>
  <c r="G48" i="27" s="1"/>
  <c r="F62" i="27" l="1"/>
  <c r="G62" i="27" s="1"/>
  <c r="F13" i="27" l="1"/>
  <c r="G13" i="27" s="1"/>
  <c r="F47" i="27" l="1"/>
  <c r="G47" i="27" l="1"/>
  <c r="G61" i="27" l="1"/>
  <c r="G12" i="27" l="1"/>
  <c r="G11" i="27" l="1"/>
  <c r="E11" i="22" l="1"/>
  <c r="E9" i="22" l="1"/>
  <c r="C38" i="27" l="1"/>
  <c r="G10" i="27"/>
  <c r="F59" i="27" l="1"/>
  <c r="F60" i="27" l="1"/>
  <c r="F85" i="27" s="1"/>
  <c r="G9" i="27" l="1"/>
  <c r="G8" i="27" l="1"/>
  <c r="G59" i="27" l="1"/>
  <c r="G58" i="27" l="1"/>
  <c r="G7" i="27" l="1"/>
  <c r="C41" i="27" l="1"/>
  <c r="F5" i="27" l="1"/>
  <c r="G5" i="27" l="1"/>
  <c r="F41" i="27"/>
  <c r="G41" i="27" l="1"/>
  <c r="G57" i="27"/>
  <c r="F86" i="27" l="1"/>
  <c r="G6" i="27" l="1"/>
  <c r="G56" i="27"/>
  <c r="C56" i="27" l="1"/>
  <c r="C85" i="27" s="1"/>
  <c r="G38" i="27" l="1"/>
  <c r="G85" i="27" s="1"/>
  <c r="C20" i="28" l="1"/>
  <c r="F19" i="28"/>
  <c r="F20" i="28" s="1"/>
  <c r="C19" i="28"/>
  <c r="G18" i="28"/>
  <c r="G17" i="28"/>
  <c r="G16" i="28"/>
  <c r="F15" i="28"/>
  <c r="G15" i="28" s="1"/>
  <c r="S14" i="28"/>
  <c r="G14" i="28"/>
  <c r="G13" i="28"/>
  <c r="G12" i="28"/>
  <c r="F11" i="28"/>
  <c r="G11" i="28" s="1"/>
  <c r="G19" i="28" s="1"/>
  <c r="G20" i="28" s="1"/>
  <c r="G10" i="28"/>
  <c r="F10" i="28"/>
  <c r="E9" i="28"/>
  <c r="E19" i="28" s="1"/>
  <c r="E20" i="28" s="1"/>
  <c r="G8" i="28"/>
  <c r="G7" i="28"/>
  <c r="S6" i="28"/>
  <c r="G6" i="28"/>
  <c r="G5" i="28"/>
  <c r="F5" i="28"/>
  <c r="E86" i="27" l="1"/>
  <c r="S38" i="27" l="1"/>
  <c r="S6" i="27" l="1"/>
  <c r="G86" i="27" l="1"/>
  <c r="E48" i="26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G6" i="18" l="1"/>
  <c r="K7" i="18" l="1"/>
  <c r="J7" i="18"/>
  <c r="L7" i="18" l="1"/>
  <c r="H9" i="18"/>
  <c r="F9" i="18"/>
  <c r="G9" i="18" l="1"/>
  <c r="G8" i="18" l="1"/>
  <c r="G10" i="18" s="1"/>
  <c r="F8" i="18"/>
  <c r="F6" i="18"/>
  <c r="H7" i="18"/>
  <c r="F10" i="18" l="1"/>
  <c r="F11" i="18" s="1"/>
  <c r="H8" i="18"/>
  <c r="H6" i="18" l="1"/>
  <c r="H10" i="18" l="1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G20" i="10" l="1"/>
  <c r="G17" i="10" l="1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<sst xmlns="http://schemas.openxmlformats.org/spreadsheetml/2006/main" count="1055" uniqueCount="338">
  <si>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</si>
  <si>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</si>
  <si>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</si>
  <si>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</si>
  <si>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</si>
  <si>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</si>
  <si>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</si>
  <si>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</si>
  <si>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</si>
  <si>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</si>
  <si>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</si>
  <si>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</si>
  <si>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</si>
  <si>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</si>
  <si>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</si>
  <si>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</si>
  <si>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</si>
  <si>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</si>
  <si>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</si>
  <si>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</si>
  <si>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</si>
  <si>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</si>
  <si>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</si>
  <si>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</si>
  <si>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</si>
  <si>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</si>
  <si>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</si>
  <si>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</si>
  <si>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</si>
  <si>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</si>
  <si>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</si>
  <si>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</si>
  <si>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</si>
  <si>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</si>
  <si>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</si>
  <si>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</si>
  <si>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</si>
  <si>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</si>
  <si>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</si>
  <si>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</si>
  <si>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</si>
  <si>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</si>
  <si>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</si>
  <si>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</si>
  <si>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</si>
  <si>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</si>
  <si>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</si>
  <si>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</si>
  <si>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</si>
  <si>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</si>
  <si>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</si>
  <si>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</si>
  <si>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</si>
  <si>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</si>
  <si>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</si>
  <si>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</si>
  <si>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</si>
  <si>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</si>
  <si>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</si>
  <si>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</si>
  <si>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</si>
  <si>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</si>
  <si>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</si>
  <si>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</si>
  <si>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</si>
  <si>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</si>
  <si>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</si>
  <si>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</si>
  <si>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</si>
  <si>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</si>
  <si>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</si>
  <si>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</si>
  <si>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</si>
  <si>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</si>
  <si>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</si>
  <si>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</si>
  <si>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</si>
  <si>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</si>
  <si>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</si>
  <si>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</si>
  <si>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</si>
  <si>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</si>
  <si>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</si>
  <si>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</si>
  <si>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</si>
  <si>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</si>
  <si>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</si>
  <si>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</si>
  <si>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</si>
  <si>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</si>
  <si>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</si>
  <si>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</si>
  <si>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</si>
  <si>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</si>
  <si>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</si>
  <si>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</si>
  <si>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</si>
  <si>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</si>
  <si>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</si>
  <si>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 xml:space="preserve">№396-10 від 31.03.2021      </t>
  </si>
  <si>
    <t>Д/У№1 до дог. №389-10 від 19.02.2021</t>
  </si>
  <si>
    <t>Мурування ТП</t>
  </si>
  <si>
    <t>Внутр. погодження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</si>
  <si>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</si>
  <si>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</si>
  <si>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</si>
  <si>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</si>
  <si>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</si>
  <si>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</si>
  <si>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</si>
  <si>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</si>
  <si>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</si>
  <si>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</si>
  <si>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</si>
  <si>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</si>
  <si>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</si>
  <si>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</si>
  <si>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</si>
  <si>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</si>
  <si>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</si>
  <si>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</si>
  <si>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</si>
  <si>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</si>
  <si>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</si>
  <si>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</si>
  <si>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</si>
  <si>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</si>
  <si>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</si>
  <si>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</si>
  <si>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</si>
  <si>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</si>
  <si>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</si>
  <si>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</si>
  <si>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</si>
  <si>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</si>
  <si>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</si>
  <si>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</si>
  <si>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</si>
  <si>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</si>
  <si>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</si>
  <si>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</si>
  <si>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</si>
  <si>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</si>
  <si>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</si>
  <si>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</si>
  <si>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</si>
  <si>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</si>
  <si>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</si>
  <si>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</si>
  <si>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</si>
  <si>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</si>
  <si>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</si>
  <si>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</si>
  <si>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</si>
  <si>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</si>
  <si>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</si>
  <si>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</si>
  <si>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</si>
  <si>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</si>
  <si>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</si>
  <si>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</si>
  <si>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</si>
  <si>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</si>
  <si>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</si>
  <si>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</si>
  <si>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</si>
  <si>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</si>
  <si>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</si>
  <si>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</si>
  <si>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</si>
  <si>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</si>
  <si>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</si>
  <si>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</si>
  <si>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</si>
  <si>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</si>
  <si>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</si>
  <si>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</si>
  <si>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</si>
  <si>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</si>
  <si>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Всього, грн з ПДВ</t>
  </si>
  <si>
    <t>Оригінал</t>
  </si>
  <si>
    <t>Варіанти статусу</t>
  </si>
  <si>
    <t>заповнюємо колонку коментарі з датою коли буде оригінал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</si>
  <si>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</si>
  <si>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</si>
  <si>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</si>
  <si>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</si>
  <si>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</si>
  <si>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</si>
  <si>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списання так/ні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</si>
  <si>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</si>
  <si>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 xml:space="preserve"> Реєстр актів виконаних робіт по об'єкту ""комплекс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область»""</t>
  </si>
  <si>
    <t>Оригинал в офисе</t>
  </si>
  <si>
    <t>оплачено</t>
  </si>
  <si>
    <t>Підготовчі роботи та монтаж пальового поля (Договір № 19/07/2024)</t>
  </si>
  <si>
    <t>Підготовчі роботи та монтаж пальового поля (Договір №14/06/2024)</t>
  </si>
  <si>
    <t>Оригинал в офисе (подписан без даты)</t>
  </si>
  <si>
    <t>+</t>
  </si>
  <si>
    <t>оплата</t>
  </si>
  <si>
    <t>АВР підписаний діректором Індастріалбуд</t>
  </si>
  <si>
    <t>АВР та рахунок відправлений на підпис Астарта</t>
  </si>
  <si>
    <t>Після подачи рахунку до п'ятниці,планується оплата на наступному тижні вівторок,четвер</t>
  </si>
  <si>
    <t>Об'єми подані в ВТВ для КБ6</t>
  </si>
  <si>
    <t>Погодження КБ6 технаглядом</t>
  </si>
  <si>
    <t>АВР підписаний технаглядом</t>
  </si>
  <si>
    <t>АВР  підписаний директором замовника</t>
  </si>
  <si>
    <t>Орігінал АВР в офісі</t>
  </si>
  <si>
    <t>Оплата по АВР</t>
  </si>
  <si>
    <t xml:space="preserve"> Списання М29</t>
  </si>
  <si>
    <t>влаштування тимчасових доріг (ДУ №1 до договору 19.07.2024)</t>
  </si>
  <si>
    <t>Влаштування паркану (ДУ №2 до договору №19.07.2024)</t>
  </si>
  <si>
    <t>Оригинал на подписи у директора.</t>
  </si>
  <si>
    <t>ДОГОВІР ГЕНЕРАЛЬНОГО ПІДРЯДУ №  12/09/2024-ГП</t>
  </si>
  <si>
    <t xml:space="preserve"> Реєстр ДЦ  з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</t>
  </si>
  <si>
    <t>Локальний кошторис 1.3 "Цех екстракції поз. 3 по ГП</t>
  </si>
  <si>
    <t>Розділ КБ</t>
  </si>
  <si>
    <t>Локальний кошторис 1.5 "Насосна оборотного водопостачання поз. 3.2 по ГП та градирня поз. 3.3 по ГП</t>
  </si>
  <si>
    <t>Локальний кошторис 1.14. Котельня. Побутовому корпусу. ТП 10/0,4кВ. Електрощитових поз.6 по ГП та димовій трубі поз. 6.1 по ГП</t>
  </si>
  <si>
    <t>Локальний кошторис 1.4 Резервуари для зберігання розчинника місткістю 600 м3 (2 шт.) поз. 3.1.1-3.1.2 по ГП та Резервуарам для зберігання розчинника місткістю 150 м3 (2 шт.) поз. 3.1.3-3.1.4 по ГП</t>
  </si>
  <si>
    <t xml:space="preserve"> Реєстр актів виконаних робіт з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</t>
  </si>
  <si>
    <t>№1/1.3-КБ</t>
  </si>
  <si>
    <t>№1/1.4-КБ</t>
  </si>
  <si>
    <t>№1/1.5-КБ</t>
  </si>
  <si>
    <t>№1/1.14-КБ</t>
  </si>
  <si>
    <t>№2/1.3-КБ</t>
  </si>
  <si>
    <t>№2/1.14-КБ</t>
  </si>
  <si>
    <t>№3/1.3-КБ</t>
  </si>
  <si>
    <t>№3/1.14-КБ</t>
  </si>
  <si>
    <t>№4/1.14-КБ</t>
  </si>
  <si>
    <t>№4/1.3-КБ</t>
  </si>
  <si>
    <t>ЗП</t>
  </si>
  <si>
    <t>№5/1.3-КБ</t>
  </si>
  <si>
    <t>Розділ КМ</t>
  </si>
  <si>
    <t>№5/1.14-КБ</t>
  </si>
  <si>
    <t>№6/1.3-КБ</t>
  </si>
  <si>
    <t>Розділ КБ+зворотня засипка</t>
  </si>
  <si>
    <t xml:space="preserve">Локальний кошторис 1.9 Склад соєвого протеїнового концентрату насипом з пунктом фасування та відвантаження до залізничного транспорту поз. 4 по ГП </t>
  </si>
  <si>
    <t>№7/1.3-КБ</t>
  </si>
  <si>
    <t>№8/1.3-КБ</t>
  </si>
  <si>
    <t>№6/1.14-КБ</t>
  </si>
  <si>
    <t>№1/1.9-КБ</t>
  </si>
  <si>
    <t>Коментарі (оплачено/дата оплати)</t>
  </si>
  <si>
    <t>Генплан (работы на участке №2+забор) + Подпорная стенка</t>
  </si>
  <si>
    <t>Локальний кошторис №1.25</t>
  </si>
  <si>
    <t>нет</t>
  </si>
  <si>
    <t>подписано. Оригинал в офисе</t>
  </si>
  <si>
    <t>№9/1.3-КБ</t>
  </si>
  <si>
    <t>№7/1.14-КБ</t>
  </si>
  <si>
    <t>№2/1.9-КБ</t>
  </si>
  <si>
    <t>№2/1.5-КБ</t>
  </si>
  <si>
    <t>№10/1.3-КБ</t>
  </si>
  <si>
    <t>№8/1.14-КБ</t>
  </si>
  <si>
    <t>№11/1.3-КБ</t>
  </si>
  <si>
    <t>№3/1.9-КБ</t>
  </si>
  <si>
    <t>№9/1.14-КБ</t>
  </si>
  <si>
    <t>№3/1.5-КБ</t>
  </si>
  <si>
    <t xml:space="preserve">Локальний кошторис №1.12. Резервуарний парк соєвої меляси місткістю 4000м3 поз. 5 по ГП </t>
  </si>
  <si>
    <t>№4/1.9-КБ</t>
  </si>
  <si>
    <t>№12/1.3-КБ</t>
  </si>
  <si>
    <t>№10/1.14-КБ</t>
  </si>
  <si>
    <t>Локальний кошторис 1.16. Пожежний резервуар місткістю 1000 м3 (3 шт)</t>
  </si>
  <si>
    <t>№1/1.14-КМ</t>
  </si>
  <si>
    <t>№2/1.14-КМ</t>
  </si>
  <si>
    <t>№11/1.14-КБ</t>
  </si>
  <si>
    <t>№13/1.3-КБ</t>
  </si>
  <si>
    <t>№1/1.,3-КМ</t>
  </si>
  <si>
    <t>№5/1.9-КБ</t>
  </si>
  <si>
    <t>№4/1.5-КБ</t>
  </si>
  <si>
    <t>Розділ КМ  + переделка МК</t>
  </si>
  <si>
    <t>№2/1.3-КМ</t>
  </si>
  <si>
    <t>№3/1.3-КМ</t>
  </si>
  <si>
    <t>№3/1.14-КМ</t>
  </si>
  <si>
    <t>Локальний кошторис 1.15 Насоная пожежогасыння поз. 7 по ГП</t>
  </si>
  <si>
    <t>№6/1.9-КБ</t>
  </si>
  <si>
    <t>№5/1.5-КБ</t>
  </si>
  <si>
    <t>№12/1.14-КБ</t>
  </si>
  <si>
    <t>№14/1.3-КБ</t>
  </si>
  <si>
    <t>№4/1.3-КМ</t>
  </si>
  <si>
    <t>№4/1.14-КМ</t>
  </si>
  <si>
    <t>ДУ №3 подписан. Оригинал в офисе</t>
  </si>
  <si>
    <t>Розділ АР</t>
  </si>
  <si>
    <t xml:space="preserve">Отправлено на согласование Заказчику </t>
  </si>
  <si>
    <t>Комплекс робіт по вивозу відходів будівництва (ґрунту) на сміттєзвалище та планування території під будівельно-монтажні роботи</t>
  </si>
  <si>
    <t xml:space="preserve">ДУ №4 подписан. </t>
  </si>
  <si>
    <t>№7/1.9-КБ</t>
  </si>
  <si>
    <t>№8/1.9-КБ</t>
  </si>
  <si>
    <t>Локальний кошторис №1.25 Генплан (работы на участке №2+забор) + Подпорная стенка</t>
  </si>
  <si>
    <t>№1/1.25-КБ</t>
  </si>
  <si>
    <t>№1/1.12-КБ</t>
  </si>
  <si>
    <t>№1/1.16-КБ</t>
  </si>
  <si>
    <t>№2/1.4-КБ</t>
  </si>
  <si>
    <t>№6/1.5-КБ</t>
  </si>
  <si>
    <t>№13/1.14-КБ</t>
  </si>
  <si>
    <t>№14/1.14-КБ</t>
  </si>
  <si>
    <t>№5/1.14-КМ</t>
  </si>
  <si>
    <t>№6/1.14-КМ</t>
  </si>
  <si>
    <t>№7/1.14-КМ</t>
  </si>
  <si>
    <t>№15/1.3-КБ</t>
  </si>
  <si>
    <t>№16/1.3-КБ</t>
  </si>
  <si>
    <t>№5/1.3-КМ</t>
  </si>
  <si>
    <t>№6/1.3-КМ</t>
  </si>
  <si>
    <t>№7/1.3-КМ</t>
  </si>
  <si>
    <t>№8/1.3-КМ</t>
  </si>
  <si>
    <t>№9/1.3-КМ</t>
  </si>
  <si>
    <t>№10/1.3-КМ</t>
  </si>
  <si>
    <t>№11/1.3-КМ</t>
  </si>
  <si>
    <t>№12/1.3-КМ</t>
  </si>
  <si>
    <t>№1/1.3-ТХ</t>
  </si>
  <si>
    <t>Оригинал в офисн. Подписан со стороны Заказчика</t>
  </si>
  <si>
    <t>№3/1.4-КБ</t>
  </si>
  <si>
    <t>№2/1.25-КБ</t>
  </si>
  <si>
    <t>№8/1.14-КМ</t>
  </si>
  <si>
    <t>№13/1.3-КМ</t>
  </si>
  <si>
    <t>Накопление</t>
  </si>
  <si>
    <t>подписан. Оригинал передан в офис</t>
  </si>
  <si>
    <t>Отправлено на согласование Заказчику</t>
  </si>
  <si>
    <t>Включен фактически согласованный объем 2,3 поставка + допоставка, метизы для монтажа МК+анкерные группы</t>
  </si>
  <si>
    <t xml:space="preserve">ДУ №2 подписан. Оригинал в офисе </t>
  </si>
  <si>
    <t>с учетом согласованных материалов</t>
  </si>
  <si>
    <t>Локальний кошторис 1.6 "Галерея соевого шроту поз. по ГП 3.4"</t>
  </si>
  <si>
    <t>Добавлені работі по устройству обмазочной гидроизоляции</t>
  </si>
  <si>
    <t>Скорректирован объем арматуры ПС-1+ добавлены работы обрамление отверстий арматурой. Изменения rev 1,2)</t>
  </si>
  <si>
    <t xml:space="preserve">ДУ №4 подписан. Оригинал в офисе </t>
  </si>
  <si>
    <t>Демонтаж АБК</t>
  </si>
  <si>
    <t>галерея на существующее производство</t>
  </si>
  <si>
    <t>Отправлено на согласование Заказчику (без стоимости материалов)</t>
  </si>
  <si>
    <t>Замовником погоджено</t>
  </si>
  <si>
    <t>Уменьшение КП на 25%</t>
  </si>
  <si>
    <t>ССКП по перекрытию котельной+ изменение в проекте в работе</t>
  </si>
  <si>
    <t>ССКП корректировка КМД в работе</t>
  </si>
  <si>
    <t>Изменение в проекте (армирование пола+Фп1, Фм1) в работе</t>
  </si>
  <si>
    <t>№9/1.14-КМ</t>
  </si>
  <si>
    <t>после подписания будет отправлен Заказчику на подпись</t>
  </si>
  <si>
    <t>№9/1.9-КБ</t>
  </si>
  <si>
    <t>№2/1.12-КБ</t>
  </si>
  <si>
    <t>№14/1.3-КМ</t>
  </si>
  <si>
    <t>№15/1.3-КМ</t>
  </si>
  <si>
    <t>№16/1.3-КМ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</si>
</sst>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6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85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0" fontId="28" fillId="4" borderId="2" xfId="0" applyFont="1" applyFill="1" applyBorder="1" applyAlignment="1">
      <alignment horizontal="center" vertical="center"/>
    </xf>
    <xf numFmtId="0" fontId="25" fillId="4" borderId="30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1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5" fillId="4" borderId="40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42" xfId="0" applyFont="1" applyBorder="1" applyAlignment="1">
      <alignment vertical="center" wrapText="1"/>
    </xf>
    <xf numFmtId="4" fontId="30" fillId="0" borderId="32" xfId="0" applyNumberFormat="1" applyFont="1" applyBorder="1" applyAlignment="1">
      <alignment vertical="center" wrapText="1"/>
    </xf>
    <xf numFmtId="4" fontId="29" fillId="0" borderId="33" xfId="0" applyNumberFormat="1" applyFont="1" applyBorder="1" applyAlignment="1">
      <alignment vertical="center"/>
    </xf>
    <xf numFmtId="0" fontId="29" fillId="0" borderId="34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9" fillId="0" borderId="29" xfId="0" applyFont="1" applyBorder="1" applyAlignment="1">
      <alignment vertical="center" wrapText="1"/>
    </xf>
    <xf numFmtId="4" fontId="30" fillId="0" borderId="22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5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4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2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5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10" fontId="29" fillId="0" borderId="36" xfId="0" applyNumberFormat="1" applyFont="1" applyBorder="1" applyAlignment="1">
      <alignment vertical="center"/>
    </xf>
    <xf numFmtId="0" fontId="26" fillId="5" borderId="33" xfId="0" applyFont="1" applyFill="1" applyBorder="1" applyAlignment="1">
      <alignment vertical="center"/>
    </xf>
    <xf numFmtId="0" fontId="26" fillId="5" borderId="34" xfId="0" applyFont="1" applyFill="1" applyBorder="1" applyAlignment="1">
      <alignment vertical="center" wrapText="1"/>
    </xf>
    <xf numFmtId="0" fontId="26" fillId="5" borderId="27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6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2" xfId="0" applyFont="1" applyBorder="1" applyAlignment="1">
      <alignment vertical="center"/>
    </xf>
    <xf numFmtId="0" fontId="36" fillId="2" borderId="0" xfId="20" applyFont="1" applyFill="1" applyAlignment="1">
      <alignment horizontal="center" vertical="center"/>
    </xf>
    <xf numFmtId="0" fontId="36" fillId="0" borderId="0" xfId="20" applyFont="1"/>
    <xf numFmtId="0" fontId="37" fillId="0" borderId="0" xfId="20" applyFont="1" applyAlignment="1">
      <alignment horizontal="center" vertical="center"/>
    </xf>
    <xf numFmtId="167" fontId="37" fillId="0" borderId="0" xfId="20" applyNumberFormat="1" applyFont="1" applyAlignment="1">
      <alignment horizontal="center" vertical="center"/>
    </xf>
    <xf numFmtId="0" fontId="36" fillId="0" borderId="0" xfId="20" applyFont="1" applyAlignment="1">
      <alignment horizontal="left"/>
    </xf>
    <xf numFmtId="167" fontId="37" fillId="2" borderId="0" xfId="20" applyNumberFormat="1" applyFont="1" applyFill="1" applyAlignment="1">
      <alignment horizontal="center" vertical="center"/>
    </xf>
    <xf numFmtId="0" fontId="37" fillId="2" borderId="0" xfId="20" applyFont="1" applyFill="1" applyAlignment="1">
      <alignment horizontal="center" vertical="center"/>
    </xf>
    <xf numFmtId="165" fontId="37" fillId="2" borderId="2" xfId="21" applyFont="1" applyFill="1" applyBorder="1" applyAlignment="1">
      <alignment horizontal="center" vertical="center" wrapText="1"/>
    </xf>
    <xf numFmtId="167" fontId="37" fillId="2" borderId="2" xfId="21" applyNumberFormat="1" applyFont="1" applyFill="1" applyBorder="1" applyAlignment="1">
      <alignment horizontal="center" vertical="center" wrapText="1"/>
    </xf>
    <xf numFmtId="0" fontId="37" fillId="2" borderId="2" xfId="20" applyFont="1" applyFill="1" applyBorder="1" applyAlignment="1">
      <alignment horizontal="center" vertical="center"/>
    </xf>
    <xf numFmtId="17" fontId="37" fillId="2" borderId="2" xfId="18" applyNumberFormat="1" applyFont="1" applyFill="1" applyBorder="1" applyAlignment="1">
      <alignment horizontal="center" vertical="center"/>
    </xf>
    <xf numFmtId="0" fontId="36" fillId="0" borderId="0" xfId="20" applyFont="1" applyAlignment="1">
      <alignment horizontal="center" vertical="center"/>
    </xf>
    <xf numFmtId="164" fontId="36" fillId="9" borderId="2" xfId="20" applyNumberFormat="1" applyFont="1" applyFill="1" applyBorder="1" applyAlignment="1">
      <alignment horizontal="left" vertical="center"/>
    </xf>
    <xf numFmtId="164" fontId="36" fillId="9" borderId="1" xfId="20" applyNumberFormat="1" applyFont="1" applyFill="1" applyBorder="1" applyAlignment="1">
      <alignment horizontal="center" vertical="center"/>
    </xf>
    <xf numFmtId="173" fontId="36" fillId="9" borderId="2" xfId="20" applyNumberFormat="1" applyFont="1" applyFill="1" applyBorder="1" applyAlignment="1">
      <alignment horizontal="center" vertical="center"/>
    </xf>
    <xf numFmtId="164" fontId="36" fillId="9" borderId="2" xfId="20" applyNumberFormat="1" applyFont="1" applyFill="1" applyBorder="1" applyAlignment="1">
      <alignment horizontal="center" vertical="center"/>
    </xf>
    <xf numFmtId="0" fontId="36" fillId="9" borderId="0" xfId="20" applyFont="1" applyFill="1" applyAlignment="1">
      <alignment horizontal="center" vertical="center"/>
    </xf>
    <xf numFmtId="0" fontId="37" fillId="0" borderId="0" xfId="20" applyFont="1" applyAlignment="1">
      <alignment vertical="center"/>
    </xf>
    <xf numFmtId="0" fontId="37" fillId="0" borderId="0" xfId="20" applyFont="1" applyAlignment="1">
      <alignment horizontal="left" vertical="center"/>
    </xf>
    <xf numFmtId="165" fontId="37" fillId="0" borderId="0" xfId="21" applyFont="1" applyFill="1" applyBorder="1" applyAlignment="1">
      <alignment horizontal="center" vertical="center"/>
    </xf>
    <xf numFmtId="167" fontId="37" fillId="0" borderId="0" xfId="21" applyNumberFormat="1" applyFont="1" applyFill="1" applyBorder="1" applyAlignment="1">
      <alignment horizontal="center" vertical="center"/>
    </xf>
    <xf numFmtId="167" fontId="37" fillId="0" borderId="0" xfId="21" applyNumberFormat="1" applyFont="1" applyFill="1" applyBorder="1" applyAlignment="1"/>
    <xf numFmtId="0" fontId="36" fillId="0" borderId="0" xfId="20" applyFont="1" applyAlignment="1">
      <alignment horizontal="left" vertical="center"/>
    </xf>
    <xf numFmtId="164" fontId="37" fillId="0" borderId="0" xfId="20" applyNumberFormat="1" applyFont="1" applyAlignment="1">
      <alignment vertical="center"/>
    </xf>
    <xf numFmtId="0" fontId="36" fillId="0" borderId="0" xfId="20" applyFont="1" applyAlignment="1">
      <alignment horizontal="center"/>
    </xf>
    <xf numFmtId="165" fontId="36" fillId="0" borderId="0" xfId="21" applyFont="1" applyFill="1" applyBorder="1" applyAlignment="1">
      <alignment horizontal="center"/>
    </xf>
    <xf numFmtId="167" fontId="36" fillId="0" borderId="0" xfId="21" applyNumberFormat="1" applyFont="1" applyFill="1" applyBorder="1" applyAlignment="1">
      <alignment horizontal="center"/>
    </xf>
    <xf numFmtId="167" fontId="36" fillId="0" borderId="0" xfId="20" applyNumberFormat="1" applyFont="1"/>
    <xf numFmtId="4" fontId="36" fillId="0" borderId="0" xfId="20" applyNumberFormat="1" applyFont="1" applyAlignment="1">
      <alignment horizontal="center" vertical="center"/>
    </xf>
    <xf numFmtId="43" fontId="36" fillId="0" borderId="0" xfId="20" applyNumberFormat="1" applyFont="1" applyAlignment="1">
      <alignment horizontal="center"/>
    </xf>
    <xf numFmtId="4" fontId="36" fillId="0" borderId="0" xfId="20" applyNumberFormat="1" applyFont="1" applyAlignment="1">
      <alignment horizontal="center"/>
    </xf>
    <xf numFmtId="165" fontId="36" fillId="0" borderId="0" xfId="21" applyFont="1" applyFill="1" applyAlignment="1">
      <alignment horizontal="center"/>
    </xf>
    <xf numFmtId="167" fontId="36" fillId="0" borderId="0" xfId="21" applyNumberFormat="1" applyFont="1" applyFill="1" applyAlignment="1">
      <alignment horizontal="center"/>
    </xf>
    <xf numFmtId="165" fontId="36" fillId="0" borderId="0" xfId="20" applyNumberFormat="1" applyFont="1" applyAlignment="1">
      <alignment horizontal="center" vertical="center"/>
    </xf>
    <xf numFmtId="165" fontId="36" fillId="2" borderId="0" xfId="21" applyFont="1" applyFill="1" applyAlignment="1">
      <alignment horizontal="center"/>
    </xf>
    <xf numFmtId="167" fontId="36" fillId="2" borderId="0" xfId="21" applyNumberFormat="1" applyFont="1" applyFill="1" applyAlignment="1">
      <alignment horizontal="center"/>
    </xf>
    <xf numFmtId="167" fontId="36" fillId="2" borderId="0" xfId="20" applyNumberFormat="1" applyFont="1" applyFill="1"/>
    <xf numFmtId="164" fontId="33" fillId="9" borderId="1" xfId="20" applyNumberFormat="1" applyFont="1" applyFill="1" applyBorder="1" applyAlignment="1">
      <alignment horizontal="center" vertical="center"/>
    </xf>
    <xf numFmtId="0" fontId="36" fillId="9" borderId="2" xfId="20" applyFont="1" applyFill="1" applyBorder="1" applyAlignment="1">
      <alignment horizontal="center" vertical="center"/>
    </xf>
    <xf numFmtId="167" fontId="36" fillId="9" borderId="2" xfId="20" applyNumberFormat="1" applyFont="1" applyFill="1" applyBorder="1" applyAlignment="1">
      <alignment horizontal="center" vertical="center"/>
    </xf>
    <xf numFmtId="164" fontId="36" fillId="0" borderId="2" xfId="20" applyNumberFormat="1" applyFont="1" applyBorder="1" applyAlignment="1">
      <alignment horizontal="left" vertical="center"/>
    </xf>
    <xf numFmtId="164" fontId="36" fillId="0" borderId="1" xfId="20" applyNumberFormat="1" applyFont="1" applyBorder="1" applyAlignment="1">
      <alignment horizontal="center" vertical="center"/>
    </xf>
    <xf numFmtId="173" fontId="36" fillId="0" borderId="2" xfId="20" applyNumberFormat="1" applyFont="1" applyBorder="1" applyAlignment="1">
      <alignment horizontal="center" vertical="center"/>
    </xf>
    <xf numFmtId="164" fontId="36" fillId="0" borderId="2" xfId="20" applyNumberFormat="1" applyFont="1" applyBorder="1" applyAlignment="1">
      <alignment horizontal="center" vertical="center"/>
    </xf>
    <xf numFmtId="172" fontId="36" fillId="0" borderId="1" xfId="20" applyNumberFormat="1" applyFont="1" applyBorder="1" applyAlignment="1">
      <alignment horizontal="center" vertical="center"/>
    </xf>
    <xf numFmtId="173" fontId="36" fillId="0" borderId="1" xfId="20" applyNumberFormat="1" applyFont="1" applyBorder="1" applyAlignment="1">
      <alignment horizontal="center" vertical="center"/>
    </xf>
    <xf numFmtId="164" fontId="36" fillId="0" borderId="1" xfId="20" applyNumberFormat="1" applyFont="1" applyBorder="1" applyAlignment="1">
      <alignment horizontal="left" vertical="center"/>
    </xf>
    <xf numFmtId="165" fontId="37" fillId="0" borderId="0" xfId="21" applyFont="1" applyFill="1" applyBorder="1" applyAlignment="1">
      <alignment vertical="center"/>
    </xf>
    <xf numFmtId="167" fontId="39" fillId="0" borderId="0" xfId="21" applyNumberFormat="1" applyFont="1" applyFill="1" applyBorder="1" applyAlignment="1">
      <alignment vertical="center"/>
    </xf>
    <xf numFmtId="165" fontId="37" fillId="0" borderId="0" xfId="21" applyFont="1" applyFill="1" applyBorder="1" applyAlignment="1">
      <alignment horizontal="left" vertical="center"/>
    </xf>
    <xf numFmtId="167" fontId="37" fillId="0" borderId="0" xfId="21" applyNumberFormat="1" applyFont="1" applyFill="1" applyBorder="1" applyAlignment="1">
      <alignment vertical="center"/>
    </xf>
    <xf numFmtId="164" fontId="37" fillId="0" borderId="0" xfId="21" applyNumberFormat="1" applyFont="1" applyFill="1" applyBorder="1" applyAlignment="1">
      <alignment vertical="center"/>
    </xf>
    <xf numFmtId="164" fontId="36" fillId="9" borderId="1" xfId="20" applyNumberFormat="1" applyFont="1" applyFill="1" applyBorder="1" applyAlignment="1">
      <alignment horizontal="left" vertical="center"/>
    </xf>
    <xf numFmtId="164" fontId="36" fillId="0" borderId="12" xfId="20" applyNumberFormat="1" applyFont="1" applyBorder="1" applyAlignment="1">
      <alignment horizontal="center" vertical="center"/>
    </xf>
    <xf numFmtId="164" fontId="36" fillId="0" borderId="46" xfId="20" applyNumberFormat="1" applyFont="1" applyBorder="1" applyAlignment="1">
      <alignment horizontal="center" vertical="center"/>
    </xf>
    <xf numFmtId="164" fontId="36" fillId="0" borderId="13" xfId="20" applyNumberFormat="1" applyFont="1" applyBorder="1" applyAlignment="1">
      <alignment horizontal="center" vertical="center"/>
    </xf>
    <xf numFmtId="172" fontId="37" fillId="0" borderId="13" xfId="20" applyNumberFormat="1" applyFont="1" applyBorder="1" applyAlignment="1">
      <alignment horizontal="center" vertical="center"/>
    </xf>
    <xf numFmtId="164" fontId="37" fillId="0" borderId="8" xfId="20" applyNumberFormat="1" applyFont="1" applyBorder="1" applyAlignment="1">
      <alignment horizontal="center" vertical="center"/>
    </xf>
    <xf numFmtId="173" fontId="37" fillId="0" borderId="8" xfId="20" applyNumberFormat="1" applyFont="1" applyBorder="1" applyAlignment="1">
      <alignment horizontal="center" vertical="center"/>
    </xf>
    <xf numFmtId="164" fontId="37" fillId="0" borderId="45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3" fontId="37" fillId="0" borderId="13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2" fillId="0" borderId="12" xfId="20" applyNumberFormat="1" applyFont="1" applyBorder="1" applyAlignment="1">
      <alignment horizontal="center" vertical="center"/>
    </xf>
    <xf numFmtId="164" fontId="42" fillId="9" borderId="1" xfId="20" applyNumberFormat="1" applyFont="1" applyFill="1" applyBorder="1" applyAlignment="1">
      <alignment horizontal="center" vertical="center"/>
    </xf>
    <xf numFmtId="172" fontId="42" fillId="9" borderId="2" xfId="20" applyNumberFormat="1" applyFont="1" applyFill="1" applyBorder="1" applyAlignment="1">
      <alignment horizontal="center" vertical="center"/>
    </xf>
    <xf numFmtId="173" fontId="42" fillId="9" borderId="2" xfId="20" applyNumberFormat="1" applyFont="1" applyFill="1" applyBorder="1" applyAlignment="1">
      <alignment horizontal="center" vertical="center"/>
    </xf>
    <xf numFmtId="164" fontId="36" fillId="0" borderId="0" xfId="20" applyNumberFormat="1" applyFont="1" applyAlignment="1">
      <alignment horizontal="center" vertical="center"/>
    </xf>
    <xf numFmtId="164" fontId="36" fillId="0" borderId="15" xfId="20" applyNumberFormat="1" applyFont="1" applyBorder="1" applyAlignment="1">
      <alignment horizontal="center" vertical="center"/>
    </xf>
    <xf numFmtId="172" fontId="37" fillId="0" borderId="15" xfId="20" applyNumberFormat="1" applyFont="1" applyBorder="1" applyAlignment="1">
      <alignment horizontal="center" vertical="center"/>
    </xf>
    <xf numFmtId="164" fontId="37" fillId="0" borderId="20" xfId="20" applyNumberFormat="1" applyFont="1" applyBorder="1" applyAlignment="1">
      <alignment horizontal="center" vertical="center"/>
    </xf>
    <xf numFmtId="173" fontId="37" fillId="0" borderId="20" xfId="20" applyNumberFormat="1" applyFont="1" applyBorder="1" applyAlignment="1">
      <alignment horizontal="center" vertical="center"/>
    </xf>
    <xf numFmtId="0" fontId="37" fillId="0" borderId="7" xfId="20" applyFont="1" applyBorder="1" applyAlignment="1">
      <alignment vertical="center"/>
    </xf>
    <xf numFmtId="0" fontId="37" fillId="0" borderId="8" xfId="20" applyFont="1" applyBorder="1" applyAlignment="1">
      <alignment vertical="center"/>
    </xf>
    <xf numFmtId="165" fontId="37" fillId="0" borderId="8" xfId="21" applyFont="1" applyFill="1" applyBorder="1" applyAlignment="1">
      <alignment vertical="center"/>
    </xf>
    <xf numFmtId="167" fontId="39" fillId="0" borderId="8" xfId="21" applyNumberFormat="1" applyFont="1" applyFill="1" applyBorder="1" applyAlignment="1">
      <alignment vertical="center"/>
    </xf>
    <xf numFmtId="165" fontId="37" fillId="0" borderId="8" xfId="21" applyFont="1" applyFill="1" applyBorder="1" applyAlignment="1">
      <alignment horizontal="left" vertical="center"/>
    </xf>
    <xf numFmtId="167" fontId="37" fillId="0" borderId="13" xfId="21" applyNumberFormat="1" applyFont="1" applyFill="1" applyBorder="1" applyAlignment="1">
      <alignment vertical="center"/>
    </xf>
    <xf numFmtId="164" fontId="37" fillId="9" borderId="52" xfId="20" applyNumberFormat="1" applyFont="1" applyFill="1" applyBorder="1" applyAlignment="1">
      <alignment horizontal="center" vertical="center"/>
    </xf>
    <xf numFmtId="164" fontId="37" fillId="9" borderId="39" xfId="20" applyNumberFormat="1" applyFont="1" applyFill="1" applyBorder="1" applyAlignment="1">
      <alignment horizontal="center" vertical="center"/>
    </xf>
    <xf numFmtId="172" fontId="37" fillId="9" borderId="39" xfId="20" applyNumberFormat="1" applyFont="1" applyFill="1" applyBorder="1" applyAlignment="1">
      <alignment horizontal="center" vertical="center"/>
    </xf>
    <xf numFmtId="173" fontId="37" fillId="9" borderId="39" xfId="20" applyNumberFormat="1" applyFont="1" applyFill="1" applyBorder="1" applyAlignment="1">
      <alignment horizontal="center" vertical="center"/>
    </xf>
    <xf numFmtId="173" fontId="37" fillId="9" borderId="24" xfId="20" applyNumberFormat="1" applyFont="1" applyFill="1" applyBorder="1" applyAlignment="1">
      <alignment horizontal="center" vertical="center"/>
    </xf>
    <xf numFmtId="164" fontId="37" fillId="9" borderId="28" xfId="20" applyNumberFormat="1" applyFont="1" applyFill="1" applyBorder="1" applyAlignment="1">
      <alignment horizontal="center" vertical="center"/>
    </xf>
    <xf numFmtId="164" fontId="36" fillId="9" borderId="33" xfId="20" applyNumberFormat="1" applyFont="1" applyFill="1" applyBorder="1" applyAlignment="1">
      <alignment horizontal="left" vertical="center"/>
    </xf>
    <xf numFmtId="164" fontId="36" fillId="9" borderId="25" xfId="20" applyNumberFormat="1" applyFont="1" applyFill="1" applyBorder="1" applyAlignment="1">
      <alignment horizontal="center" vertical="center"/>
    </xf>
    <xf numFmtId="172" fontId="36" fillId="9" borderId="25" xfId="20" applyNumberFormat="1" applyFont="1" applyFill="1" applyBorder="1" applyAlignment="1">
      <alignment horizontal="center" vertical="center"/>
    </xf>
    <xf numFmtId="173" fontId="36" fillId="9" borderId="25" xfId="20" applyNumberFormat="1" applyFont="1" applyFill="1" applyBorder="1" applyAlignment="1">
      <alignment horizontal="center" vertical="center"/>
    </xf>
    <xf numFmtId="164" fontId="36" fillId="9" borderId="34" xfId="20" applyNumberFormat="1" applyFont="1" applyFill="1" applyBorder="1" applyAlignment="1">
      <alignment horizontal="center" vertical="center"/>
    </xf>
    <xf numFmtId="0" fontId="36" fillId="9" borderId="53" xfId="20" applyFont="1" applyFill="1" applyBorder="1" applyAlignment="1">
      <alignment horizontal="center" vertical="center"/>
    </xf>
    <xf numFmtId="0" fontId="36" fillId="9" borderId="4" xfId="20" applyFont="1" applyFill="1" applyBorder="1" applyAlignment="1">
      <alignment horizontal="center" vertical="center"/>
    </xf>
    <xf numFmtId="164" fontId="36" fillId="9" borderId="21" xfId="20" applyNumberFormat="1" applyFont="1" applyFill="1" applyBorder="1" applyAlignment="1">
      <alignment horizontal="left" vertical="center"/>
    </xf>
    <xf numFmtId="164" fontId="36" fillId="9" borderId="37" xfId="20" applyNumberFormat="1" applyFont="1" applyFill="1" applyBorder="1" applyAlignment="1">
      <alignment horizontal="center" vertical="center"/>
    </xf>
    <xf numFmtId="172" fontId="36" fillId="9" borderId="37" xfId="20" applyNumberFormat="1" applyFont="1" applyFill="1" applyBorder="1" applyAlignment="1">
      <alignment horizontal="center" vertical="center"/>
    </xf>
    <xf numFmtId="173" fontId="36" fillId="9" borderId="37" xfId="20" applyNumberFormat="1" applyFont="1" applyFill="1" applyBorder="1" applyAlignment="1">
      <alignment horizontal="center" vertical="center"/>
    </xf>
    <xf numFmtId="164" fontId="36" fillId="9" borderId="38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center" vertical="center"/>
    </xf>
    <xf numFmtId="172" fontId="37" fillId="4" borderId="15" xfId="20" applyNumberFormat="1" applyFont="1" applyFill="1" applyBorder="1" applyAlignment="1">
      <alignment horizontal="center" vertical="center"/>
    </xf>
    <xf numFmtId="173" fontId="37" fillId="4" borderId="15" xfId="20" applyNumberFormat="1" applyFont="1" applyFill="1" applyBorder="1" applyAlignment="1">
      <alignment horizontal="center" vertical="center"/>
    </xf>
    <xf numFmtId="164" fontId="37" fillId="0" borderId="4" xfId="20" applyNumberFormat="1" applyFont="1" applyBorder="1" applyAlignment="1">
      <alignment horizontal="center" vertical="center"/>
    </xf>
    <xf numFmtId="164" fontId="37" fillId="0" borderId="4" xfId="20" applyNumberFormat="1" applyFont="1" applyBorder="1" applyAlignment="1">
      <alignment horizontal="left" vertical="center"/>
    </xf>
    <xf numFmtId="164" fontId="37" fillId="0" borderId="40" xfId="20" applyNumberFormat="1" applyFont="1" applyBorder="1" applyAlignment="1">
      <alignment horizontal="center" vertical="center"/>
    </xf>
    <xf numFmtId="172" fontId="37" fillId="0" borderId="40" xfId="20" applyNumberFormat="1" applyFont="1" applyBorder="1" applyAlignment="1">
      <alignment horizontal="center" vertical="center"/>
    </xf>
    <xf numFmtId="164" fontId="36" fillId="0" borderId="25" xfId="20" applyNumberFormat="1" applyFont="1" applyBorder="1" applyAlignment="1">
      <alignment horizontal="center" vertical="center"/>
    </xf>
    <xf numFmtId="0" fontId="42" fillId="9" borderId="2" xfId="20" applyFont="1" applyFill="1" applyBorder="1" applyAlignment="1">
      <alignment horizontal="center" vertical="center"/>
    </xf>
    <xf numFmtId="167" fontId="42" fillId="9" borderId="2" xfId="20" applyNumberFormat="1" applyFont="1" applyFill="1" applyBorder="1" applyAlignment="1">
      <alignment horizontal="center" vertical="center"/>
    </xf>
    <xf numFmtId="164" fontId="42" fillId="9" borderId="2" xfId="20" applyNumberFormat="1" applyFont="1" applyFill="1" applyBorder="1" applyAlignment="1">
      <alignment horizontal="center" vertical="center"/>
    </xf>
    <xf numFmtId="172" fontId="43" fillId="0" borderId="1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72" fontId="43" fillId="0" borderId="12" xfId="20" applyNumberFormat="1" applyFont="1" applyBorder="1" applyAlignment="1">
      <alignment horizontal="center" vertical="center"/>
    </xf>
    <xf numFmtId="173" fontId="43" fillId="0" borderId="40" xfId="20" applyNumberFormat="1" applyFont="1" applyBorder="1" applyAlignment="1">
      <alignment horizontal="center" vertical="center"/>
    </xf>
    <xf numFmtId="164" fontId="43" fillId="0" borderId="40" xfId="20" applyNumberFormat="1" applyFont="1" applyBorder="1" applyAlignment="1">
      <alignment horizontal="center" vertical="center"/>
    </xf>
    <xf numFmtId="164" fontId="43" fillId="0" borderId="31" xfId="20" applyNumberFormat="1" applyFont="1" applyBorder="1" applyAlignment="1">
      <alignment horizontal="center" vertical="center"/>
    </xf>
    <xf numFmtId="43" fontId="36" fillId="9" borderId="2" xfId="20" applyNumberFormat="1" applyFont="1" applyFill="1" applyBorder="1" applyAlignment="1">
      <alignment horizontal="center" vertical="center"/>
    </xf>
    <xf numFmtId="173" fontId="37" fillId="9" borderId="19" xfId="20" applyNumberFormat="1" applyFont="1" applyFill="1" applyBorder="1" applyAlignment="1">
      <alignment horizontal="center" vertical="center"/>
    </xf>
    <xf numFmtId="0" fontId="37" fillId="9" borderId="24" xfId="20" applyFont="1" applyFill="1" applyBorder="1" applyAlignment="1">
      <alignment horizontal="left" vertical="center" wrapText="1"/>
    </xf>
    <xf numFmtId="164" fontId="36" fillId="0" borderId="47" xfId="20" applyNumberFormat="1" applyFont="1" applyBorder="1" applyAlignment="1">
      <alignment horizontal="center" vertical="center"/>
    </xf>
    <xf numFmtId="164" fontId="36" fillId="0" borderId="40" xfId="20" applyNumberFormat="1" applyFont="1" applyBorder="1" applyAlignment="1">
      <alignment horizontal="center" vertical="center"/>
    </xf>
    <xf numFmtId="164" fontId="37" fillId="0" borderId="8" xfId="21" applyNumberFormat="1" applyFont="1" applyFill="1" applyBorder="1" applyAlignment="1">
      <alignment vertical="center"/>
    </xf>
    <xf numFmtId="167" fontId="37" fillId="0" borderId="8" xfId="21" applyNumberFormat="1" applyFont="1" applyFill="1" applyBorder="1" applyAlignment="1">
      <alignment vertical="center"/>
    </xf>
    <xf numFmtId="167" fontId="37" fillId="0" borderId="45" xfId="21" applyNumberFormat="1" applyFont="1" applyFill="1" applyBorder="1" applyAlignment="1">
      <alignment vertical="center"/>
    </xf>
    <xf numFmtId="164" fontId="36" fillId="0" borderId="33" xfId="20" applyNumberFormat="1" applyFont="1" applyBorder="1" applyAlignment="1">
      <alignment horizontal="left" vertical="center"/>
    </xf>
    <xf numFmtId="164" fontId="36" fillId="0" borderId="34" xfId="20" applyNumberFormat="1" applyFont="1" applyBorder="1" applyAlignment="1">
      <alignment horizontal="center" vertical="center"/>
    </xf>
    <xf numFmtId="164" fontId="36" fillId="0" borderId="36" xfId="20" applyNumberFormat="1" applyFont="1" applyBorder="1" applyAlignment="1">
      <alignment horizontal="center" vertical="center"/>
    </xf>
    <xf numFmtId="164" fontId="36" fillId="0" borderId="37" xfId="20" applyNumberFormat="1" applyFont="1" applyBorder="1" applyAlignment="1">
      <alignment horizontal="left" vertical="center"/>
    </xf>
    <xf numFmtId="0" fontId="36" fillId="4" borderId="0" xfId="20" applyFont="1" applyFill="1" applyAlignment="1">
      <alignment horizontal="center" vertical="center"/>
    </xf>
    <xf numFmtId="0" fontId="38" fillId="4" borderId="15" xfId="20" applyFont="1" applyFill="1" applyBorder="1" applyAlignment="1">
      <alignment horizontal="left" vertical="center" wrapText="1"/>
    </xf>
    <xf numFmtId="0" fontId="36" fillId="4" borderId="20" xfId="20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64" fontId="36" fillId="4" borderId="15" xfId="20" applyNumberFormat="1" applyFont="1" applyFill="1" applyBorder="1" applyAlignment="1">
      <alignment horizontal="left" vertical="center"/>
    </xf>
    <xf numFmtId="164" fontId="36" fillId="4" borderId="15" xfId="20" applyNumberFormat="1" applyFont="1" applyFill="1" applyBorder="1" applyAlignment="1">
      <alignment horizontal="center" vertical="center"/>
    </xf>
    <xf numFmtId="164" fontId="36" fillId="0" borderId="25" xfId="20" applyNumberFormat="1" applyFont="1" applyBorder="1" applyAlignment="1">
      <alignment horizontal="left" vertical="center"/>
    </xf>
    <xf numFmtId="164" fontId="41" fillId="0" borderId="25" xfId="20" applyNumberFormat="1" applyFont="1" applyBorder="1" applyAlignment="1">
      <alignment horizontal="center" vertical="center"/>
    </xf>
    <xf numFmtId="164" fontId="42" fillId="0" borderId="25" xfId="20" applyNumberFormat="1" applyFont="1" applyBorder="1" applyAlignment="1">
      <alignment horizontal="center" vertical="center"/>
    </xf>
    <xf numFmtId="164" fontId="42" fillId="0" borderId="33" xfId="20" applyNumberFormat="1" applyFont="1" applyBorder="1" applyAlignment="1">
      <alignment horizontal="center" vertical="center"/>
    </xf>
    <xf numFmtId="164" fontId="42" fillId="0" borderId="34" xfId="20" applyNumberFormat="1" applyFont="1" applyBorder="1" applyAlignment="1">
      <alignment horizontal="center" vertical="center"/>
    </xf>
    <xf numFmtId="164" fontId="43" fillId="0" borderId="36" xfId="20" applyNumberFormat="1" applyFont="1" applyBorder="1" applyAlignment="1">
      <alignment horizontal="center" vertical="center"/>
    </xf>
    <xf numFmtId="164" fontId="43" fillId="0" borderId="42" xfId="20" applyNumberFormat="1" applyFont="1" applyBorder="1" applyAlignment="1">
      <alignment horizontal="center" vertical="center"/>
    </xf>
    <xf numFmtId="164" fontId="42" fillId="0" borderId="36" xfId="20" applyNumberFormat="1" applyFont="1" applyBorder="1" applyAlignment="1">
      <alignment horizontal="center" vertical="center"/>
    </xf>
    <xf numFmtId="164" fontId="42" fillId="0" borderId="42" xfId="20" applyNumberFormat="1" applyFont="1" applyBorder="1" applyAlignment="1">
      <alignment horizontal="center" vertical="center"/>
    </xf>
    <xf numFmtId="164" fontId="36" fillId="9" borderId="37" xfId="20" applyNumberFormat="1" applyFont="1" applyFill="1" applyBorder="1" applyAlignment="1">
      <alignment horizontal="left" vertical="center"/>
    </xf>
    <xf numFmtId="164" fontId="36" fillId="9" borderId="25" xfId="20" applyNumberFormat="1" applyFont="1" applyFill="1" applyBorder="1" applyAlignment="1">
      <alignment horizontal="left" vertical="center"/>
    </xf>
    <xf numFmtId="164" fontId="36" fillId="0" borderId="54" xfId="20" applyNumberFormat="1" applyFont="1" applyBorder="1" applyAlignment="1">
      <alignment horizontal="center" vertical="center"/>
    </xf>
    <xf numFmtId="164" fontId="36" fillId="0" borderId="39" xfId="20" applyNumberFormat="1" applyFont="1" applyBorder="1" applyAlignment="1">
      <alignment horizontal="center" vertical="center"/>
    </xf>
    <xf numFmtId="172" fontId="37" fillId="0" borderId="39" xfId="20" applyNumberFormat="1" applyFont="1" applyBorder="1" applyAlignment="1">
      <alignment horizontal="center" vertical="center"/>
    </xf>
    <xf numFmtId="164" fontId="37" fillId="0" borderId="24" xfId="20" applyNumberFormat="1" applyFont="1" applyBorder="1" applyAlignment="1">
      <alignment horizontal="center" vertical="center"/>
    </xf>
    <xf numFmtId="173" fontId="37" fillId="0" borderId="24" xfId="20" applyNumberFormat="1" applyFont="1" applyBorder="1" applyAlignment="1">
      <alignment horizontal="center" vertical="center"/>
    </xf>
    <xf numFmtId="164" fontId="37" fillId="0" borderId="28" xfId="20" applyNumberFormat="1" applyFont="1" applyBorder="1" applyAlignment="1">
      <alignment horizontal="center" vertical="center"/>
    </xf>
    <xf numFmtId="164" fontId="37" fillId="0" borderId="50" xfId="20" applyNumberFormat="1" applyFont="1" applyBorder="1" applyAlignment="1">
      <alignment horizontal="center" vertical="center"/>
    </xf>
    <xf numFmtId="164" fontId="36" fillId="0" borderId="48" xfId="20" applyNumberFormat="1" applyFont="1" applyBorder="1" applyAlignment="1">
      <alignment horizontal="center" vertical="center"/>
    </xf>
    <xf numFmtId="173" fontId="37" fillId="0" borderId="4" xfId="20" applyNumberFormat="1" applyFont="1" applyBorder="1" applyAlignment="1">
      <alignment horizontal="center" vertical="center"/>
    </xf>
    <xf numFmtId="164" fontId="37" fillId="0" borderId="31" xfId="20" applyNumberFormat="1" applyFont="1" applyBorder="1" applyAlignment="1">
      <alignment horizontal="center" vertical="center"/>
    </xf>
    <xf numFmtId="0" fontId="36" fillId="0" borderId="43" xfId="20" applyFont="1" applyBorder="1" applyAlignment="1">
      <alignment horizontal="center" vertical="center"/>
    </xf>
    <xf numFmtId="0" fontId="36" fillId="0" borderId="6" xfId="20" applyFont="1" applyBorder="1" applyAlignment="1">
      <alignment horizontal="center" vertical="center"/>
    </xf>
    <xf numFmtId="0" fontId="36" fillId="2" borderId="6" xfId="20" applyFont="1" applyFill="1" applyBorder="1" applyAlignment="1">
      <alignment horizontal="center" vertical="center"/>
    </xf>
    <xf numFmtId="172" fontId="36" fillId="2" borderId="12" xfId="20" applyNumberFormat="1" applyFont="1" applyFill="1" applyBorder="1" applyAlignment="1">
      <alignment horizontal="center" vertical="center"/>
    </xf>
    <xf numFmtId="172" fontId="36" fillId="2" borderId="6" xfId="20" applyNumberFormat="1" applyFont="1" applyFill="1" applyBorder="1" applyAlignment="1">
      <alignment horizontal="center" vertical="center"/>
    </xf>
    <xf numFmtId="164" fontId="33" fillId="9" borderId="25" xfId="20" applyNumberFormat="1" applyFont="1" applyFill="1" applyBorder="1" applyAlignment="1">
      <alignment horizontal="center" vertical="center"/>
    </xf>
    <xf numFmtId="0" fontId="42" fillId="9" borderId="33" xfId="20" applyFont="1" applyFill="1" applyBorder="1" applyAlignment="1">
      <alignment horizontal="center" vertical="center"/>
    </xf>
    <xf numFmtId="173" fontId="42" fillId="9" borderId="33" xfId="20" applyNumberFormat="1" applyFont="1" applyFill="1" applyBorder="1" applyAlignment="1">
      <alignment horizontal="center" vertical="center"/>
    </xf>
    <xf numFmtId="167" fontId="42" fillId="9" borderId="33" xfId="20" applyNumberFormat="1" applyFont="1" applyFill="1" applyBorder="1" applyAlignment="1">
      <alignment horizontal="center" vertical="center"/>
    </xf>
    <xf numFmtId="164" fontId="36" fillId="9" borderId="33" xfId="20" applyNumberFormat="1" applyFont="1" applyFill="1" applyBorder="1" applyAlignment="1">
      <alignment horizontal="center" vertical="center"/>
    </xf>
    <xf numFmtId="164" fontId="36" fillId="9" borderId="36" xfId="20" applyNumberFormat="1" applyFont="1" applyFill="1" applyBorder="1" applyAlignment="1">
      <alignment horizontal="center" vertical="center"/>
    </xf>
    <xf numFmtId="0" fontId="36" fillId="9" borderId="21" xfId="20" applyFont="1" applyFill="1" applyBorder="1" applyAlignment="1">
      <alignment horizontal="center" vertical="center"/>
    </xf>
    <xf numFmtId="164" fontId="42" fillId="9" borderId="37" xfId="20" applyNumberFormat="1" applyFont="1" applyFill="1" applyBorder="1" applyAlignment="1">
      <alignment horizontal="center" vertical="center"/>
    </xf>
    <xf numFmtId="173" fontId="42" fillId="9" borderId="21" xfId="20" applyNumberFormat="1" applyFont="1" applyFill="1" applyBorder="1" applyAlignment="1">
      <alignment horizontal="center" vertical="center"/>
    </xf>
    <xf numFmtId="164" fontId="42" fillId="9" borderId="21" xfId="20" applyNumberFormat="1" applyFont="1" applyFill="1" applyBorder="1" applyAlignment="1">
      <alignment horizontal="center" vertical="center"/>
    </xf>
    <xf numFmtId="164" fontId="36" fillId="9" borderId="21" xfId="20" applyNumberFormat="1" applyFont="1" applyFill="1" applyBorder="1" applyAlignment="1">
      <alignment horizontal="center" vertical="center"/>
    </xf>
    <xf numFmtId="171" fontId="34" fillId="0" borderId="19" xfId="18" applyNumberFormat="1" applyFont="1" applyBorder="1" applyAlignment="1">
      <alignment horizontal="center" vertical="center" wrapText="1"/>
    </xf>
    <xf numFmtId="164" fontId="37" fillId="0" borderId="19" xfId="20" applyNumberFormat="1" applyFont="1" applyBorder="1" applyAlignment="1">
      <alignment horizontal="left" vertical="center"/>
    </xf>
    <xf numFmtId="164" fontId="37" fillId="0" borderId="14" xfId="20" applyNumberFormat="1" applyFont="1" applyBorder="1" applyAlignment="1">
      <alignment horizontal="center" vertical="center"/>
    </xf>
    <xf numFmtId="0" fontId="36" fillId="0" borderId="19" xfId="20" applyFont="1" applyBorder="1" applyAlignment="1">
      <alignment horizontal="center" vertical="center"/>
    </xf>
    <xf numFmtId="164" fontId="36" fillId="0" borderId="14" xfId="20" applyNumberFormat="1" applyFont="1" applyBorder="1" applyAlignment="1">
      <alignment horizontal="center" vertical="center"/>
    </xf>
    <xf numFmtId="174" fontId="45" fillId="0" borderId="29" xfId="23" applyNumberFormat="1" applyFont="1" applyBorder="1" applyAlignment="1">
      <alignment horizontal="right" vertical="center" wrapText="1"/>
    </xf>
    <xf numFmtId="174" fontId="45" fillId="0" borderId="14" xfId="23" applyNumberFormat="1" applyFont="1" applyBorder="1" applyAlignment="1">
      <alignment horizontal="right" vertical="center" wrapText="1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9" xfId="20" applyNumberFormat="1" applyFont="1" applyBorder="1" applyAlignment="1">
      <alignment horizontal="center" vertical="center"/>
    </xf>
    <xf numFmtId="0" fontId="37" fillId="9" borderId="23" xfId="20" applyFont="1" applyFill="1" applyBorder="1" applyAlignment="1">
      <alignment horizontal="center" vertical="center"/>
    </xf>
    <xf numFmtId="0" fontId="37" fillId="9" borderId="24" xfId="20" applyFont="1" applyFill="1" applyBorder="1" applyAlignment="1">
      <alignment horizontal="center" vertical="center"/>
    </xf>
    <xf numFmtId="164" fontId="37" fillId="9" borderId="24" xfId="20" applyNumberFormat="1" applyFont="1" applyFill="1" applyBorder="1" applyAlignment="1">
      <alignment horizontal="center" vertical="center"/>
    </xf>
    <xf numFmtId="164" fontId="37" fillId="9" borderId="39" xfId="20" applyNumberFormat="1" applyFont="1" applyFill="1" applyBorder="1" applyAlignment="1">
      <alignment horizontal="left" vertical="center"/>
    </xf>
    <xf numFmtId="0" fontId="37" fillId="4" borderId="30" xfId="20" applyFont="1" applyFill="1" applyBorder="1" applyAlignment="1">
      <alignment horizontal="center" vertical="center"/>
    </xf>
    <xf numFmtId="0" fontId="37" fillId="4" borderId="4" xfId="20" applyFont="1" applyFill="1" applyBorder="1" applyAlignment="1">
      <alignment horizontal="left" vertical="center" wrapText="1"/>
    </xf>
    <xf numFmtId="0" fontId="37" fillId="4" borderId="4" xfId="20" applyFont="1" applyFill="1" applyBorder="1" applyAlignment="1">
      <alignment horizontal="center" vertical="center"/>
    </xf>
    <xf numFmtId="164" fontId="37" fillId="4" borderId="4" xfId="20" applyNumberFormat="1" applyFont="1" applyFill="1" applyBorder="1" applyAlignment="1">
      <alignment horizontal="center" vertical="center"/>
    </xf>
    <xf numFmtId="164" fontId="37" fillId="4" borderId="4" xfId="20" applyNumberFormat="1" applyFont="1" applyFill="1" applyBorder="1" applyAlignment="1">
      <alignment horizontal="left" vertical="center"/>
    </xf>
    <xf numFmtId="164" fontId="37" fillId="4" borderId="40" xfId="20" applyNumberFormat="1" applyFont="1" applyFill="1" applyBorder="1" applyAlignment="1">
      <alignment horizontal="center" vertical="center"/>
    </xf>
    <xf numFmtId="172" fontId="37" fillId="4" borderId="40" xfId="20" applyNumberFormat="1" applyFont="1" applyFill="1" applyBorder="1" applyAlignment="1">
      <alignment horizontal="center" vertical="center"/>
    </xf>
    <xf numFmtId="173" fontId="37" fillId="4" borderId="40" xfId="20" applyNumberFormat="1" applyFont="1" applyFill="1" applyBorder="1" applyAlignment="1">
      <alignment horizontal="center" vertical="center"/>
    </xf>
    <xf numFmtId="173" fontId="37" fillId="4" borderId="4" xfId="20" applyNumberFormat="1" applyFont="1" applyFill="1" applyBorder="1" applyAlignment="1">
      <alignment horizontal="center" vertical="center"/>
    </xf>
    <xf numFmtId="164" fontId="37" fillId="4" borderId="31" xfId="20" applyNumberFormat="1" applyFont="1" applyFill="1" applyBorder="1" applyAlignment="1">
      <alignment horizontal="center" vertical="center"/>
    </xf>
    <xf numFmtId="0" fontId="36" fillId="0" borderId="2" xfId="20" applyFont="1" applyBorder="1" applyAlignment="1">
      <alignment horizontal="center" vertical="center"/>
    </xf>
    <xf numFmtId="164" fontId="36" fillId="0" borderId="12" xfId="20" applyNumberFormat="1" applyFont="1" applyBorder="1" applyAlignment="1">
      <alignment horizontal="left" vertical="center"/>
    </xf>
    <xf numFmtId="0" fontId="36" fillId="0" borderId="15" xfId="20" applyFont="1" applyBorder="1" applyAlignment="1">
      <alignment horizontal="center" vertical="center"/>
    </xf>
    <xf numFmtId="173" fontId="36" fillId="9" borderId="6" xfId="20" applyNumberFormat="1" applyFont="1" applyFill="1" applyBorder="1" applyAlignment="1">
      <alignment horizontal="center" vertical="center"/>
    </xf>
    <xf numFmtId="173" fontId="41" fillId="0" borderId="2" xfId="20" applyNumberFormat="1" applyFont="1" applyBorder="1" applyAlignment="1">
      <alignment horizontal="center" vertical="center"/>
    </xf>
    <xf numFmtId="0" fontId="36" fillId="0" borderId="1" xfId="20" applyFont="1" applyBorder="1" applyAlignment="1">
      <alignment horizontal="center" vertical="center"/>
    </xf>
    <xf numFmtId="164" fontId="41" fillId="0" borderId="2" xfId="20" applyNumberFormat="1" applyFont="1" applyBorder="1" applyAlignment="1">
      <alignment horizontal="center" vertical="center"/>
    </xf>
    <xf numFmtId="164" fontId="41" fillId="0" borderId="36" xfId="20" applyNumberFormat="1" applyFont="1" applyBorder="1" applyAlignment="1">
      <alignment horizontal="center" vertical="center"/>
    </xf>
    <xf numFmtId="164" fontId="41" fillId="0" borderId="1" xfId="20" applyNumberFormat="1" applyFont="1" applyBorder="1" applyAlignment="1">
      <alignment horizontal="center" vertical="center"/>
    </xf>
    <xf numFmtId="164" fontId="42" fillId="0" borderId="14" xfId="20" applyNumberFormat="1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43" fontId="37" fillId="0" borderId="0" xfId="20" applyNumberFormat="1" applyFont="1" applyAlignment="1">
      <alignment vertical="center"/>
    </xf>
    <xf numFmtId="0" fontId="36" fillId="9" borderId="24" xfId="20" applyFont="1" applyFill="1" applyBorder="1" applyAlignment="1">
      <alignment horizontal="center" vertical="center"/>
    </xf>
    <xf numFmtId="0" fontId="36" fillId="9" borderId="20" xfId="20" applyFont="1" applyFill="1" applyBorder="1" applyAlignment="1">
      <alignment horizontal="center" vertical="center"/>
    </xf>
    <xf numFmtId="165" fontId="37" fillId="2" borderId="17" xfId="21" applyFont="1" applyFill="1" applyBorder="1" applyAlignment="1">
      <alignment horizontal="center" vertical="center" wrapText="1"/>
    </xf>
    <xf numFmtId="165" fontId="37" fillId="2" borderId="16" xfId="21" applyFont="1" applyFill="1" applyBorder="1" applyAlignment="1">
      <alignment horizontal="center" vertical="center" wrapText="1"/>
    </xf>
    <xf numFmtId="173" fontId="42" fillId="10" borderId="2" xfId="20" applyNumberFormat="1" applyFont="1" applyFill="1" applyBorder="1" applyAlignment="1">
      <alignment horizontal="center" vertical="center"/>
    </xf>
    <xf numFmtId="173" fontId="42" fillId="10" borderId="6" xfId="20" applyNumberFormat="1" applyFont="1" applyFill="1" applyBorder="1" applyAlignment="1">
      <alignment horizontal="center" vertical="center"/>
    </xf>
    <xf numFmtId="164" fontId="36" fillId="9" borderId="6" xfId="20" applyNumberFormat="1" applyFont="1" applyFill="1" applyBorder="1" applyAlignment="1">
      <alignment horizontal="center" vertical="center"/>
    </xf>
    <xf numFmtId="164" fontId="36" fillId="0" borderId="19" xfId="20" applyNumberFormat="1" applyFont="1" applyBorder="1" applyAlignment="1">
      <alignment horizontal="center" vertical="center"/>
    </xf>
    <xf numFmtId="0" fontId="37" fillId="0" borderId="30" xfId="20" applyFont="1" applyBorder="1" applyAlignment="1">
      <alignment vertical="center"/>
    </xf>
    <xf numFmtId="0" fontId="37" fillId="0" borderId="4" xfId="20" applyFont="1" applyBorder="1" applyAlignment="1">
      <alignment vertical="center"/>
    </xf>
    <xf numFmtId="17" fontId="37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7" fillId="0" borderId="2" xfId="20" applyFont="1" applyBorder="1" applyAlignment="1">
      <alignment horizontal="center" vertical="center"/>
    </xf>
    <xf numFmtId="165" fontId="37" fillId="2" borderId="6" xfId="21" applyFont="1" applyFill="1" applyBorder="1" applyAlignment="1">
      <alignment horizontal="center" vertical="center" wrapText="1"/>
    </xf>
    <xf numFmtId="0" fontId="36" fillId="9" borderId="7" xfId="20" applyFont="1" applyFill="1" applyBorder="1" applyAlignment="1">
      <alignment horizontal="center" vertical="center"/>
    </xf>
    <xf numFmtId="0" fontId="37" fillId="9" borderId="8" xfId="20" applyFont="1" applyFill="1" applyBorder="1" applyAlignment="1">
      <alignment horizontal="left" vertical="center" wrapText="1"/>
    </xf>
    <xf numFmtId="164" fontId="36" fillId="9" borderId="8" xfId="20" applyNumberFormat="1" applyFont="1" applyFill="1" applyBorder="1" applyAlignment="1">
      <alignment horizontal="center" vertical="center"/>
    </xf>
    <xf numFmtId="0" fontId="37" fillId="0" borderId="7" xfId="20" applyFont="1" applyBorder="1" applyAlignment="1">
      <alignment horizontal="center" vertical="center"/>
    </xf>
    <xf numFmtId="0" fontId="37" fillId="0" borderId="8" xfId="20" applyFont="1" applyBorder="1" applyAlignment="1">
      <alignment horizontal="left" vertical="center" wrapText="1"/>
    </xf>
    <xf numFmtId="167" fontId="37" fillId="0" borderId="49" xfId="21" applyNumberFormat="1" applyFont="1" applyFill="1" applyBorder="1" applyAlignment="1">
      <alignment vertical="center"/>
    </xf>
    <xf numFmtId="0" fontId="37" fillId="9" borderId="7" xfId="20" applyFont="1" applyFill="1" applyBorder="1" applyAlignment="1">
      <alignment horizontal="center" vertical="center"/>
    </xf>
    <xf numFmtId="172" fontId="37" fillId="6" borderId="13" xfId="20" applyNumberFormat="1" applyFont="1" applyFill="1" applyBorder="1" applyAlignment="1">
      <alignment horizontal="center" vertical="center"/>
    </xf>
    <xf numFmtId="164" fontId="37" fillId="6" borderId="45" xfId="20" applyNumberFormat="1" applyFont="1" applyFill="1" applyBorder="1" applyAlignment="1">
      <alignment horizontal="center" vertical="center"/>
    </xf>
    <xf numFmtId="0" fontId="47" fillId="0" borderId="2" xfId="20" applyFont="1" applyBorder="1" applyAlignment="1">
      <alignment vertical="center"/>
    </xf>
    <xf numFmtId="167" fontId="47" fillId="0" borderId="2" xfId="21" applyNumberFormat="1" applyFont="1" applyFill="1" applyBorder="1" applyAlignment="1">
      <alignment vertical="center"/>
    </xf>
    <xf numFmtId="165" fontId="47" fillId="4" borderId="6" xfId="21" applyFont="1" applyFill="1" applyBorder="1" applyAlignment="1">
      <alignment horizontal="center" vertical="center" wrapText="1"/>
    </xf>
    <xf numFmtId="165" fontId="47" fillId="4" borderId="6" xfId="21" applyFont="1" applyFill="1" applyBorder="1" applyAlignment="1">
      <alignment horizontal="center" vertical="center" wrapText="1"/>
    </xf>
    <xf numFmtId="0" fontId="48" fillId="11" borderId="2" xfId="20" applyFont="1" applyFill="1" applyBorder="1" applyAlignment="1">
      <alignment horizontal="center" vertical="center"/>
    </xf>
    <xf numFmtId="0" fontId="48" fillId="11" borderId="2" xfId="20" applyFont="1" applyFill="1" applyBorder="1" applyAlignment="1">
      <alignment horizontal="left" vertical="center" wrapText="1"/>
    </xf>
    <xf numFmtId="164" fontId="48" fillId="11" borderId="2" xfId="20" applyNumberFormat="1" applyFont="1" applyFill="1" applyBorder="1" applyAlignment="1">
      <alignment horizontal="center" vertical="center"/>
    </xf>
    <xf numFmtId="164" fontId="48" fillId="11" borderId="2" xfId="20" applyNumberFormat="1" applyFont="1" applyFill="1" applyBorder="1" applyAlignment="1">
      <alignment vertical="center"/>
    </xf>
    <xf numFmtId="164" fontId="47" fillId="11" borderId="2" xfId="20" applyNumberFormat="1" applyFont="1" applyFill="1" applyBorder="1" applyAlignment="1">
      <alignment vertical="center" wrapText="1"/>
    </xf>
    <xf numFmtId="0" fontId="48" fillId="0" borderId="2" xfId="20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164" fontId="48" fillId="0" borderId="2" xfId="20" applyNumberFormat="1" applyFont="1" applyFill="1" applyBorder="1" applyAlignment="1">
      <alignment horizontal="center" vertical="center"/>
    </xf>
    <xf numFmtId="1" fontId="48" fillId="0" borderId="2" xfId="20" applyNumberFormat="1" applyFont="1" applyFill="1" applyBorder="1" applyAlignment="1">
      <alignment horizontal="center" vertical="center"/>
    </xf>
    <xf numFmtId="164" fontId="47" fillId="0" borderId="2" xfId="20" applyNumberFormat="1" applyFont="1" applyFill="1" applyBorder="1" applyAlignment="1">
      <alignment horizontal="center" vertical="center"/>
    </xf>
    <xf numFmtId="164" fontId="48" fillId="0" borderId="6" xfId="20" applyNumberFormat="1" applyFont="1" applyFill="1" applyBorder="1" applyAlignment="1">
      <alignment horizontal="center" vertical="center"/>
    </xf>
    <xf numFmtId="1" fontId="48" fillId="0" borderId="2" xfId="20" applyNumberFormat="1" applyFont="1" applyFill="1" applyBorder="1" applyAlignment="1">
      <alignment horizontal="center" vertical="center" wrapText="1"/>
    </xf>
    <xf numFmtId="164" fontId="47" fillId="0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vertical="center" wrapText="1"/>
    </xf>
    <xf numFmtId="0" fontId="48" fillId="0" borderId="2" xfId="20" applyNumberFormat="1" applyFont="1" applyFill="1" applyBorder="1" applyAlignment="1">
      <alignment vertical="top" wrapText="1"/>
    </xf>
    <xf numFmtId="0" fontId="45" fillId="5" borderId="2" xfId="20" applyFont="1" applyFill="1" applyBorder="1" applyAlignment="1">
      <alignment horizontal="center" vertical="center"/>
    </xf>
    <xf numFmtId="0" fontId="38" fillId="0" borderId="2" xfId="20" applyFont="1" applyBorder="1" applyAlignment="1">
      <alignment horizontal="center" vertical="center" wrapText="1"/>
    </xf>
    <xf numFmtId="0" fontId="34" fillId="0" borderId="2" xfId="20" applyFont="1" applyBorder="1" applyAlignment="1">
      <alignment horizontal="center" vertical="center"/>
    </xf>
    <xf numFmtId="0" fontId="37" fillId="0" borderId="2" xfId="20" applyFont="1" applyBorder="1" applyAlignment="1">
      <alignment vertical="center"/>
    </xf>
    <xf numFmtId="0" fontId="41" fillId="0" borderId="0" xfId="20" applyFont="1" applyAlignment="1">
      <alignment vertical="center"/>
    </xf>
    <xf numFmtId="0" fontId="50" fillId="0" borderId="2" xfId="20" applyFont="1" applyBorder="1" applyAlignment="1">
      <alignment horizontal="center" vertical="center"/>
    </xf>
    <xf numFmtId="14" fontId="48" fillId="0" borderId="6" xfId="20" applyNumberFormat="1" applyFont="1" applyFill="1" applyBorder="1" applyAlignment="1">
      <alignment horizontal="center" vertical="center"/>
    </xf>
    <xf numFmtId="0" fontId="47" fillId="0" borderId="2" xfId="20" applyFont="1" applyFill="1" applyBorder="1" applyAlignment="1">
      <alignment horizontal="center" vertical="center"/>
    </xf>
    <xf numFmtId="0" fontId="47" fillId="0" borderId="2" xfId="20" applyFont="1" applyFill="1" applyBorder="1" applyAlignment="1">
      <alignment horizontal="left" vertical="center" wrapText="1"/>
    </xf>
    <xf numFmtId="164" fontId="48" fillId="0" borderId="6" xfId="20" applyNumberFormat="1" applyFont="1" applyFill="1" applyBorder="1" applyAlignment="1">
      <alignment horizontal="center" vertical="center" wrapText="1"/>
    </xf>
    <xf numFmtId="0" fontId="50" fillId="0" borderId="1" xfId="20" applyFont="1" applyBorder="1" applyAlignment="1">
      <alignment horizontal="center" vertical="center"/>
    </xf>
    <xf numFmtId="0" fontId="36" fillId="0" borderId="2" xfId="20" applyFont="1" applyBorder="1"/>
    <xf numFmtId="14" fontId="48" fillId="0" borderId="2" xfId="20" applyNumberFormat="1" applyFont="1" applyFill="1" applyBorder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9" borderId="0" xfId="20" applyFont="1" applyFill="1" applyAlignment="1">
      <alignment horizontal="center" vertical="center"/>
    </xf>
    <xf numFmtId="0" fontId="45" fillId="5" borderId="1" xfId="20" applyFont="1" applyFill="1" applyBorder="1" applyAlignment="1">
      <alignment horizontal="center" vertical="center"/>
    </xf>
    <xf numFmtId="0" fontId="39" fillId="8" borderId="1" xfId="20" applyFont="1" applyFill="1" applyBorder="1" applyAlignment="1">
      <alignment horizontal="center" vertical="center" wrapText="1"/>
    </xf>
    <xf numFmtId="0" fontId="39" fillId="0" borderId="0" xfId="2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38" fillId="8" borderId="2" xfId="20" applyFont="1" applyFill="1" applyBorder="1" applyAlignment="1">
      <alignment horizontal="center" vertical="center" wrapText="1"/>
    </xf>
    <xf numFmtId="0" fontId="43" fillId="0" borderId="2" xfId="20" applyFont="1" applyFill="1" applyBorder="1" applyAlignment="1">
      <alignment vertical="center"/>
    </xf>
    <xf numFmtId="43" fontId="36" fillId="0" borderId="2" xfId="20" applyNumberFormat="1" applyFont="1" applyBorder="1" applyAlignment="1">
      <alignment horizontal="center" vertical="center"/>
    </xf>
    <xf numFmtId="0" fontId="47" fillId="8" borderId="2" xfId="20" applyFont="1" applyFill="1" applyBorder="1" applyAlignment="1">
      <alignment horizontal="center" vertical="center"/>
    </xf>
    <xf numFmtId="0" fontId="54" fillId="5" borderId="1" xfId="20" applyFont="1" applyFill="1" applyBorder="1" applyAlignment="1">
      <alignment horizontal="center" vertical="center"/>
    </xf>
    <xf numFmtId="4" fontId="48" fillId="5" borderId="2" xfId="20" applyNumberFormat="1" applyFont="1" applyFill="1" applyBorder="1" applyAlignment="1">
      <alignment horizontal="center" vertical="center"/>
    </xf>
    <xf numFmtId="0" fontId="48" fillId="5" borderId="2" xfId="20" applyFont="1" applyFill="1" applyBorder="1" applyAlignment="1">
      <alignment horizontal="center" vertical="center"/>
    </xf>
    <xf numFmtId="164" fontId="48" fillId="5" borderId="2" xfId="20" applyNumberFormat="1" applyFont="1" applyFill="1" applyBorder="1" applyAlignment="1">
      <alignment horizontal="center" vertical="center"/>
    </xf>
    <xf numFmtId="0" fontId="48" fillId="5" borderId="2" xfId="20" applyFont="1" applyFill="1" applyBorder="1" applyAlignment="1">
      <alignment horizontal="center" vertical="center" wrapText="1"/>
    </xf>
    <xf numFmtId="0" fontId="48" fillId="0" borderId="2" xfId="20" applyNumberFormat="1" applyFont="1" applyFill="1" applyBorder="1" applyAlignment="1">
      <alignment horizontal="center" vertical="center" wrapText="1"/>
    </xf>
    <xf numFmtId="164" fontId="55" fillId="0" borderId="2" xfId="20" applyNumberFormat="1" applyFont="1" applyFill="1" applyBorder="1" applyAlignment="1">
      <alignment horizontal="center" vertical="center" wrapText="1"/>
    </xf>
    <xf numFmtId="0" fontId="56" fillId="0" borderId="2" xfId="20" applyNumberFormat="1" applyFont="1" applyFill="1" applyBorder="1" applyAlignment="1">
      <alignment horizontal="center" vertical="center" wrapText="1"/>
    </xf>
    <xf numFmtId="0" fontId="47" fillId="0" borderId="2" xfId="20" applyFont="1" applyFill="1" applyBorder="1" applyAlignment="1">
      <alignment vertical="center" wrapText="1"/>
    </xf>
    <xf numFmtId="14" fontId="52" fillId="2" borderId="2" xfId="20" applyNumberFormat="1" applyFont="1" applyFill="1" applyBorder="1" applyAlignment="1">
      <alignment horizontal="center" vertical="center" wrapText="1"/>
    </xf>
    <xf numFmtId="164" fontId="48" fillId="0" borderId="2" xfId="20" applyNumberFormat="1" applyFont="1" applyFill="1" applyBorder="1" applyAlignment="1">
      <alignment vertical="top" wrapText="1"/>
    </xf>
    <xf numFmtId="43" fontId="48" fillId="0" borderId="2" xfId="20" applyNumberFormat="1" applyFont="1" applyFill="1" applyBorder="1" applyAlignment="1">
      <alignment vertical="top" wrapText="1"/>
    </xf>
    <xf numFmtId="165" fontId="47" fillId="4" borderId="6" xfId="21" applyFont="1" applyFill="1" applyBorder="1" applyAlignment="1">
      <alignment horizontal="center" vertical="center" wrapText="1"/>
    </xf>
    <xf numFmtId="164" fontId="52" fillId="2" borderId="2" xfId="20" applyNumberFormat="1" applyFont="1" applyFill="1" applyBorder="1" applyAlignment="1">
      <alignment horizontal="center" vertical="center" wrapText="1"/>
    </xf>
    <xf numFmtId="164" fontId="48" fillId="0" borderId="2" xfId="20" applyNumberFormat="1" applyFont="1" applyFill="1" applyBorder="1" applyAlignment="1">
      <alignment horizontal="center" vertical="center" wrapText="1"/>
    </xf>
    <xf numFmtId="0" fontId="47" fillId="0" borderId="2" xfId="20" applyFont="1" applyBorder="1" applyAlignment="1">
      <alignment horizontal="center" vertical="center"/>
    </xf>
    <xf numFmtId="1" fontId="48" fillId="6" borderId="2" xfId="20" applyNumberFormat="1" applyFont="1" applyFill="1" applyBorder="1" applyAlignment="1">
      <alignment horizontal="center" vertical="center"/>
    </xf>
    <xf numFmtId="164" fontId="47" fillId="6" borderId="2" xfId="20" applyNumberFormat="1" applyFont="1" applyFill="1" applyBorder="1" applyAlignment="1">
      <alignment horizontal="center" vertical="center"/>
    </xf>
    <xf numFmtId="164" fontId="48" fillId="6" borderId="2" xfId="20" applyNumberFormat="1" applyFont="1" applyFill="1" applyBorder="1" applyAlignment="1">
      <alignment horizontal="center" vertical="center"/>
    </xf>
    <xf numFmtId="164" fontId="55" fillId="6" borderId="2" xfId="20" applyNumberFormat="1" applyFont="1" applyFill="1" applyBorder="1" applyAlignment="1">
      <alignment horizontal="center" vertical="center" wrapText="1"/>
    </xf>
    <xf numFmtId="164" fontId="52" fillId="6" borderId="2" xfId="20" applyNumberFormat="1" applyFont="1" applyFill="1" applyBorder="1" applyAlignment="1">
      <alignment horizontal="center" vertical="center"/>
    </xf>
    <xf numFmtId="164" fontId="53" fillId="6" borderId="2" xfId="20" applyNumberFormat="1" applyFont="1" applyFill="1" applyBorder="1" applyAlignment="1">
      <alignment horizontal="center" vertical="center"/>
    </xf>
    <xf numFmtId="14" fontId="48" fillId="6" borderId="2" xfId="20" applyNumberFormat="1" applyFont="1" applyFill="1" applyBorder="1" applyAlignment="1">
      <alignment horizontal="center" vertical="center"/>
    </xf>
    <xf numFmtId="164" fontId="48" fillId="2" borderId="2" xfId="20" applyNumberFormat="1" applyFont="1" applyFill="1" applyBorder="1" applyAlignment="1">
      <alignment horizontal="center" vertical="center"/>
    </xf>
    <xf numFmtId="167" fontId="33" fillId="0" borderId="0" xfId="21" applyNumberFormat="1" applyFont="1" applyFill="1" applyAlignment="1">
      <alignment horizontal="center"/>
    </xf>
    <xf numFmtId="0" fontId="47" fillId="6" borderId="2" xfId="20" applyNumberFormat="1" applyFont="1" applyFill="1" applyBorder="1" applyAlignment="1">
      <alignment horizontal="center" vertical="center" wrapText="1"/>
    </xf>
    <xf numFmtId="0" fontId="48" fillId="2" borderId="2" xfId="20" applyFont="1" applyFill="1" applyBorder="1" applyAlignment="1">
      <alignment horizontal="center" vertical="center"/>
    </xf>
    <xf numFmtId="0" fontId="45" fillId="2" borderId="2" xfId="20" applyFont="1" applyFill="1" applyBorder="1" applyAlignment="1">
      <alignment horizontal="center" vertical="center"/>
    </xf>
    <xf numFmtId="0" fontId="45" fillId="2" borderId="1" xfId="20" applyFont="1" applyFill="1" applyBorder="1" applyAlignment="1">
      <alignment horizontal="center" vertical="center"/>
    </xf>
    <xf numFmtId="43" fontId="48" fillId="2" borderId="2" xfId="20" applyNumberFormat="1" applyFont="1" applyFill="1" applyBorder="1" applyAlignment="1">
      <alignment horizontal="center" vertical="center"/>
    </xf>
    <xf numFmtId="0" fontId="36" fillId="2" borderId="2" xfId="20" applyFont="1" applyFill="1" applyBorder="1" applyAlignment="1">
      <alignment horizontal="center" vertical="center"/>
    </xf>
    <xf numFmtId="0" fontId="52" fillId="2" borderId="19" xfId="20" applyFont="1" applyFill="1" applyBorder="1" applyAlignment="1">
      <alignment horizontal="left" vertical="center" wrapText="1"/>
    </xf>
    <xf numFmtId="164" fontId="52" fillId="2" borderId="19" xfId="20" applyNumberFormat="1" applyFont="1" applyFill="1" applyBorder="1" applyAlignment="1">
      <alignment horizontal="center" vertical="center"/>
    </xf>
    <xf numFmtId="175" fontId="52" fillId="2" borderId="19" xfId="20" applyNumberFormat="1" applyFont="1" applyFill="1" applyBorder="1" applyAlignment="1">
      <alignment horizontal="center" vertical="center"/>
    </xf>
    <xf numFmtId="164" fontId="53" fillId="2" borderId="19" xfId="20" applyNumberFormat="1" applyFont="1" applyFill="1" applyBorder="1" applyAlignment="1">
      <alignment horizontal="center" vertical="center"/>
    </xf>
    <xf numFmtId="14" fontId="52" fillId="2" borderId="2" xfId="20" applyNumberFormat="1" applyFont="1" applyFill="1" applyBorder="1" applyAlignment="1">
      <alignment horizontal="center" vertical="center"/>
    </xf>
    <xf numFmtId="0" fontId="42" fillId="2" borderId="2" xfId="20" applyFont="1" applyFill="1" applyBorder="1" applyAlignment="1">
      <alignment horizontal="center" vertical="center"/>
    </xf>
    <xf numFmtId="0" fontId="48" fillId="2" borderId="2" xfId="20" applyFont="1" applyFill="1" applyBorder="1" applyAlignment="1">
      <alignment horizontal="left" vertical="center" wrapText="1"/>
    </xf>
    <xf numFmtId="175" fontId="48" fillId="2" borderId="2" xfId="20" applyNumberFormat="1" applyFont="1" applyFill="1" applyBorder="1" applyAlignment="1">
      <alignment horizontal="center" vertical="center"/>
    </xf>
    <xf numFmtId="164" fontId="47" fillId="2" borderId="19" xfId="20" applyNumberFormat="1" applyFont="1" applyFill="1" applyBorder="1" applyAlignment="1">
      <alignment horizontal="center" vertical="center"/>
    </xf>
    <xf numFmtId="0" fontId="48" fillId="2" borderId="6" xfId="20" applyNumberFormat="1" applyFont="1" applyFill="1" applyBorder="1" applyAlignment="1">
      <alignment horizontal="center" vertical="center" wrapText="1"/>
    </xf>
    <xf numFmtId="0" fontId="47" fillId="2" borderId="2" xfId="20" applyFont="1" applyFill="1" applyBorder="1" applyAlignment="1">
      <alignment horizontal="center" vertical="center"/>
    </xf>
    <xf numFmtId="43" fontId="52" fillId="2" borderId="2" xfId="25" applyFont="1" applyFill="1" applyBorder="1" applyAlignment="1">
      <alignment horizontal="center" vertical="center"/>
    </xf>
    <xf numFmtId="0" fontId="42" fillId="2" borderId="0" xfId="20" applyFont="1" applyFill="1" applyAlignment="1">
      <alignment horizontal="center" vertical="center"/>
    </xf>
    <xf numFmtId="164" fontId="52" fillId="2" borderId="6" xfId="20" applyNumberFormat="1" applyFont="1" applyFill="1" applyBorder="1" applyAlignment="1">
      <alignment horizontal="center" vertical="center" wrapText="1"/>
    </xf>
    <xf numFmtId="0" fontId="52" fillId="7" borderId="19" xfId="20" applyFont="1" applyFill="1" applyBorder="1" applyAlignment="1">
      <alignment horizontal="left" vertical="center" wrapText="1"/>
    </xf>
    <xf numFmtId="164" fontId="52" fillId="7" borderId="19" xfId="20" applyNumberFormat="1" applyFont="1" applyFill="1" applyBorder="1" applyAlignment="1">
      <alignment horizontal="center" vertical="center"/>
    </xf>
    <xf numFmtId="175" fontId="52" fillId="7" borderId="19" xfId="20" applyNumberFormat="1" applyFont="1" applyFill="1" applyBorder="1" applyAlignment="1">
      <alignment horizontal="center" vertical="center"/>
    </xf>
    <xf numFmtId="164" fontId="53" fillId="7" borderId="19" xfId="20" applyNumberFormat="1" applyFont="1" applyFill="1" applyBorder="1" applyAlignment="1">
      <alignment horizontal="center" vertical="center"/>
    </xf>
    <xf numFmtId="14" fontId="52" fillId="7" borderId="2" xfId="20" applyNumberFormat="1" applyFont="1" applyFill="1" applyBorder="1" applyAlignment="1">
      <alignment horizontal="center" vertical="center"/>
    </xf>
    <xf numFmtId="164" fontId="52" fillId="7" borderId="14" xfId="20" applyNumberFormat="1" applyFont="1" applyFill="1" applyBorder="1" applyAlignment="1">
      <alignment horizontal="center" vertical="center" wrapText="1"/>
    </xf>
    <xf numFmtId="0" fontId="42" fillId="7" borderId="2" xfId="20" applyFont="1" applyFill="1" applyBorder="1" applyAlignment="1">
      <alignment horizontal="center" vertical="center"/>
    </xf>
    <xf numFmtId="14" fontId="52" fillId="7" borderId="2" xfId="20" applyNumberFormat="1" applyFont="1" applyFill="1" applyBorder="1" applyAlignment="1">
      <alignment horizontal="center" vertical="center" wrapText="1"/>
    </xf>
    <xf numFmtId="164" fontId="52" fillId="7" borderId="2" xfId="20" applyNumberFormat="1" applyFont="1" applyFill="1" applyBorder="1" applyAlignment="1">
      <alignment horizontal="center" vertical="center" wrapText="1"/>
    </xf>
    <xf numFmtId="43" fontId="52" fillId="7" borderId="2" xfId="25" applyFont="1" applyFill="1" applyBorder="1" applyAlignment="1">
      <alignment horizontal="center" vertical="center"/>
    </xf>
    <xf numFmtId="43" fontId="37" fillId="0" borderId="2" xfId="20" applyNumberFormat="1" applyFont="1" applyBorder="1" applyAlignment="1">
      <alignment vertical="center"/>
    </xf>
    <xf numFmtId="43" fontId="57" fillId="5" borderId="2" xfId="21" applyNumberFormat="1" applyFont="1" applyFill="1" applyBorder="1" applyAlignment="1">
      <alignment vertical="center"/>
    </xf>
    <xf numFmtId="14" fontId="48" fillId="2" borderId="2" xfId="20" applyNumberFormat="1" applyFont="1" applyFill="1" applyBorder="1" applyAlignment="1">
      <alignment horizontal="center" vertical="center"/>
    </xf>
    <xf numFmtId="0" fontId="47" fillId="2" borderId="19" xfId="20" applyFont="1" applyFill="1" applyBorder="1" applyAlignment="1">
      <alignment horizontal="left" vertical="center"/>
    </xf>
    <xf numFmtId="164" fontId="48" fillId="2" borderId="2" xfId="20" applyNumberFormat="1" applyFont="1" applyFill="1" applyBorder="1" applyAlignment="1">
      <alignment vertical="center"/>
    </xf>
    <xf numFmtId="164" fontId="53" fillId="2" borderId="6" xfId="20" applyNumberFormat="1" applyFont="1" applyFill="1" applyBorder="1" applyAlignment="1">
      <alignment horizontal="center" vertical="center"/>
    </xf>
    <xf numFmtId="164" fontId="52" fillId="2" borderId="2" xfId="20" applyNumberFormat="1" applyFont="1" applyFill="1" applyBorder="1" applyAlignment="1">
      <alignment horizontal="center" vertical="center"/>
    </xf>
    <xf numFmtId="164" fontId="52" fillId="2" borderId="6" xfId="20" applyNumberFormat="1" applyFont="1" applyFill="1" applyBorder="1" applyAlignment="1">
      <alignment horizontal="center" vertical="center"/>
    </xf>
    <xf numFmtId="164" fontId="55" fillId="2" borderId="2" xfId="20" applyNumberFormat="1" applyFont="1" applyFill="1" applyBorder="1" applyAlignment="1">
      <alignment horizontal="center" vertical="center" wrapText="1"/>
    </xf>
    <xf numFmtId="14" fontId="48" fillId="2" borderId="6" xfId="20" applyNumberFormat="1" applyFont="1" applyFill="1" applyBorder="1" applyAlignment="1">
      <alignment horizontal="center" vertical="center"/>
    </xf>
    <xf numFmtId="0" fontId="48" fillId="9" borderId="2" xfId="20" applyFont="1" applyFill="1" applyBorder="1" applyAlignment="1">
      <alignment horizontal="center" vertical="center"/>
    </xf>
    <xf numFmtId="1" fontId="48" fillId="9" borderId="2" xfId="20" applyNumberFormat="1" applyFont="1" applyFill="1" applyBorder="1" applyAlignment="1">
      <alignment horizontal="center" vertical="center"/>
    </xf>
    <xf numFmtId="164" fontId="53" fillId="9" borderId="2" xfId="20" applyNumberFormat="1" applyFont="1" applyFill="1" applyBorder="1" applyAlignment="1">
      <alignment horizontal="center" vertical="center"/>
    </xf>
    <xf numFmtId="164" fontId="52" fillId="9" borderId="2" xfId="20" applyNumberFormat="1" applyFont="1" applyFill="1" applyBorder="1" applyAlignment="1">
      <alignment horizontal="center" vertical="center"/>
    </xf>
    <xf numFmtId="164" fontId="55" fillId="9" borderId="2" xfId="20" applyNumberFormat="1" applyFont="1" applyFill="1" applyBorder="1" applyAlignment="1">
      <alignment horizontal="center" vertical="center" wrapText="1"/>
    </xf>
    <xf numFmtId="164" fontId="48" fillId="9" borderId="2" xfId="20" applyNumberFormat="1" applyFont="1" applyFill="1" applyBorder="1" applyAlignment="1">
      <alignment horizontal="center" vertical="center"/>
    </xf>
    <xf numFmtId="0" fontId="47" fillId="9" borderId="2" xfId="20" applyNumberFormat="1" applyFont="1" applyFill="1" applyBorder="1" applyAlignment="1">
      <alignment horizontal="center" vertical="center" wrapText="1"/>
    </xf>
    <xf numFmtId="1" fontId="48" fillId="2" borderId="2" xfId="20" applyNumberFormat="1" applyFont="1" applyFill="1" applyBorder="1" applyAlignment="1">
      <alignment horizontal="center" vertical="center"/>
    </xf>
    <xf numFmtId="164" fontId="47" fillId="2" borderId="2" xfId="20" applyNumberFormat="1" applyFont="1" applyFill="1" applyBorder="1" applyAlignment="1">
      <alignment horizontal="center" vertical="center"/>
    </xf>
    <xf numFmtId="0" fontId="47" fillId="2" borderId="2" xfId="20" applyNumberFormat="1" applyFont="1" applyFill="1" applyBorder="1" applyAlignment="1">
      <alignment horizontal="center" vertical="center" wrapText="1"/>
    </xf>
    <xf numFmtId="0" fontId="48" fillId="6" borderId="2" xfId="20" applyFont="1" applyFill="1" applyBorder="1" applyAlignment="1">
      <alignment horizontal="center" vertical="center"/>
    </xf>
    <xf numFmtId="0" fontId="47" fillId="6" borderId="19" xfId="20" applyFont="1" applyFill="1" applyBorder="1" applyAlignment="1">
      <alignment horizontal="left" vertical="center" wrapText="1"/>
    </xf>
    <xf numFmtId="164" fontId="47" fillId="6" borderId="19" xfId="20" applyNumberFormat="1" applyFont="1" applyFill="1" applyBorder="1" applyAlignment="1">
      <alignment horizontal="center" vertical="center"/>
    </xf>
    <xf numFmtId="0" fontId="47" fillId="6" borderId="19" xfId="20" applyFont="1" applyFill="1" applyBorder="1" applyAlignment="1">
      <alignment horizontal="center" vertical="center" wrapText="1"/>
    </xf>
    <xf numFmtId="0" fontId="47" fillId="6" borderId="2" xfId="20" applyFont="1" applyFill="1" applyBorder="1" applyAlignment="1">
      <alignment horizontal="center" vertical="center"/>
    </xf>
    <xf numFmtId="164" fontId="53" fillId="2" borderId="2" xfId="20" applyNumberFormat="1" applyFont="1" applyFill="1" applyBorder="1" applyAlignment="1">
      <alignment horizontal="center" vertical="center"/>
    </xf>
    <xf numFmtId="164" fontId="48" fillId="6" borderId="3" xfId="20" applyNumberFormat="1" applyFont="1" applyFill="1" applyBorder="1" applyAlignment="1">
      <alignment horizontal="center" vertical="center"/>
    </xf>
    <xf numFmtId="0" fontId="45" fillId="5" borderId="3" xfId="20" applyFont="1" applyFill="1" applyBorder="1" applyAlignment="1">
      <alignment horizontal="center" vertical="center"/>
    </xf>
    <xf numFmtId="0" fontId="45" fillId="2" borderId="3" xfId="20" applyFont="1" applyFill="1" applyBorder="1" applyAlignment="1">
      <alignment horizontal="center" vertical="center"/>
    </xf>
    <xf numFmtId="1" fontId="48" fillId="6" borderId="19" xfId="20" applyNumberFormat="1" applyFont="1" applyFill="1" applyBorder="1" applyAlignment="1">
      <alignment horizontal="center" vertical="center"/>
    </xf>
    <xf numFmtId="164" fontId="55" fillId="6" borderId="19" xfId="20" applyNumberFormat="1" applyFont="1" applyFill="1" applyBorder="1" applyAlignment="1">
      <alignment horizontal="center" vertical="center" wrapText="1"/>
    </xf>
    <xf numFmtId="0" fontId="47" fillId="6" borderId="19" xfId="20" applyNumberFormat="1" applyFont="1" applyFill="1" applyBorder="1" applyAlignment="1">
      <alignment horizontal="center" vertical="center" wrapText="1"/>
    </xf>
    <xf numFmtId="164" fontId="55" fillId="6" borderId="33" xfId="20" applyNumberFormat="1" applyFont="1" applyFill="1" applyBorder="1" applyAlignment="1">
      <alignment horizontal="center" vertical="center" wrapText="1"/>
    </xf>
    <xf numFmtId="0" fontId="47" fillId="6" borderId="34" xfId="20" applyNumberFormat="1" applyFont="1" applyFill="1" applyBorder="1" applyAlignment="1">
      <alignment horizontal="center" vertical="center" wrapText="1"/>
    </xf>
    <xf numFmtId="0" fontId="47" fillId="6" borderId="36" xfId="20" applyNumberFormat="1" applyFont="1" applyFill="1" applyBorder="1" applyAlignment="1">
      <alignment horizontal="center" vertical="center" wrapText="1"/>
    </xf>
    <xf numFmtId="164" fontId="47" fillId="6" borderId="21" xfId="20" applyNumberFormat="1" applyFont="1" applyFill="1" applyBorder="1" applyAlignment="1">
      <alignment horizontal="center" vertical="center"/>
    </xf>
    <xf numFmtId="164" fontId="48" fillId="6" borderId="21" xfId="20" applyNumberFormat="1" applyFont="1" applyFill="1" applyBorder="1" applyAlignment="1">
      <alignment horizontal="center" vertical="center"/>
    </xf>
    <xf numFmtId="164" fontId="55" fillId="6" borderId="21" xfId="20" applyNumberFormat="1" applyFont="1" applyFill="1" applyBorder="1" applyAlignment="1">
      <alignment horizontal="center" vertical="center" wrapText="1"/>
    </xf>
    <xf numFmtId="0" fontId="47" fillId="6" borderId="38" xfId="20" applyNumberFormat="1" applyFont="1" applyFill="1" applyBorder="1" applyAlignment="1">
      <alignment horizontal="center" vertical="center" wrapText="1"/>
    </xf>
    <xf numFmtId="1" fontId="48" fillId="6" borderId="27" xfId="20" applyNumberFormat="1" applyFont="1" applyFill="1" applyBorder="1" applyAlignment="1">
      <alignment horizontal="center" vertical="center"/>
    </xf>
    <xf numFmtId="1" fontId="48" fillId="6" borderId="3" xfId="20" applyNumberFormat="1" applyFont="1" applyFill="1" applyBorder="1" applyAlignment="1">
      <alignment horizontal="center" vertical="center"/>
    </xf>
    <xf numFmtId="1" fontId="48" fillId="6" borderId="51" xfId="20" applyNumberFormat="1" applyFont="1" applyFill="1" applyBorder="1" applyAlignment="1">
      <alignment horizontal="center" vertical="center"/>
    </xf>
    <xf numFmtId="1" fontId="48" fillId="6" borderId="56" xfId="20" applyNumberFormat="1" applyFont="1" applyFill="1" applyBorder="1" applyAlignment="1">
      <alignment horizontal="center" vertical="center"/>
    </xf>
    <xf numFmtId="164" fontId="48" fillId="2" borderId="19" xfId="20" applyNumberFormat="1" applyFont="1" applyFill="1" applyBorder="1" applyAlignment="1">
      <alignment horizontal="center" vertical="center"/>
    </xf>
    <xf numFmtId="164" fontId="55" fillId="2" borderId="19" xfId="20" applyNumberFormat="1" applyFont="1" applyFill="1" applyBorder="1" applyAlignment="1">
      <alignment horizontal="center" vertical="center" wrapText="1"/>
    </xf>
    <xf numFmtId="0" fontId="47" fillId="2" borderId="19" xfId="20" applyNumberFormat="1" applyFont="1" applyFill="1" applyBorder="1" applyAlignment="1">
      <alignment horizontal="center" vertical="center" wrapText="1"/>
    </xf>
    <xf numFmtId="164" fontId="47" fillId="6" borderId="33" xfId="20" applyNumberFormat="1" applyFont="1" applyFill="1" applyBorder="1" applyAlignment="1">
      <alignment horizontal="center" vertical="center"/>
    </xf>
    <xf numFmtId="164" fontId="48" fillId="6" borderId="33" xfId="20" applyNumberFormat="1" applyFont="1" applyFill="1" applyBorder="1" applyAlignment="1">
      <alignment horizontal="center" vertical="center"/>
    </xf>
    <xf numFmtId="164" fontId="47" fillId="2" borderId="33" xfId="20" applyNumberFormat="1" applyFont="1" applyFill="1" applyBorder="1" applyAlignment="1">
      <alignment horizontal="center" vertical="center"/>
    </xf>
    <xf numFmtId="164" fontId="48" fillId="2" borderId="33" xfId="20" applyNumberFormat="1" applyFont="1" applyFill="1" applyBorder="1" applyAlignment="1">
      <alignment horizontal="center" vertical="center"/>
    </xf>
    <xf numFmtId="164" fontId="55" fillId="2" borderId="33" xfId="20" applyNumberFormat="1" applyFont="1" applyFill="1" applyBorder="1" applyAlignment="1">
      <alignment horizontal="center" vertical="center" wrapText="1"/>
    </xf>
    <xf numFmtId="14" fontId="48" fillId="2" borderId="24" xfId="20" applyNumberFormat="1" applyFont="1" applyFill="1" applyBorder="1" applyAlignment="1">
      <alignment horizontal="center" vertical="center"/>
    </xf>
    <xf numFmtId="164" fontId="47" fillId="2" borderId="28" xfId="20" applyNumberFormat="1" applyFont="1" applyFill="1" applyBorder="1" applyAlignment="1">
      <alignment horizontal="center" vertical="center" wrapText="1"/>
    </xf>
    <xf numFmtId="164" fontId="47" fillId="2" borderId="42" xfId="20" applyNumberFormat="1" applyFont="1" applyFill="1" applyBorder="1" applyAlignment="1">
      <alignment horizontal="center" vertical="center" wrapText="1"/>
    </xf>
    <xf numFmtId="14" fontId="47" fillId="2" borderId="42" xfId="20" applyNumberFormat="1" applyFont="1" applyFill="1" applyBorder="1" applyAlignment="1">
      <alignment horizontal="center" vertical="center" wrapText="1"/>
    </xf>
    <xf numFmtId="43" fontId="47" fillId="2" borderId="42" xfId="25" applyFont="1" applyFill="1" applyBorder="1" applyAlignment="1">
      <alignment horizontal="center" vertical="center" wrapText="1"/>
    </xf>
    <xf numFmtId="164" fontId="53" fillId="2" borderId="21" xfId="20" applyNumberFormat="1" applyFont="1" applyFill="1" applyBorder="1" applyAlignment="1">
      <alignment horizontal="center" vertical="center"/>
    </xf>
    <xf numFmtId="164" fontId="52" fillId="2" borderId="21" xfId="20" applyNumberFormat="1" applyFont="1" applyFill="1" applyBorder="1" applyAlignment="1">
      <alignment horizontal="center" vertical="center"/>
    </xf>
    <xf numFmtId="164" fontId="55" fillId="2" borderId="21" xfId="20" applyNumberFormat="1" applyFont="1" applyFill="1" applyBorder="1" applyAlignment="1">
      <alignment horizontal="center" vertical="center" wrapText="1"/>
    </xf>
    <xf numFmtId="14" fontId="48" fillId="2" borderId="21" xfId="20" applyNumberFormat="1" applyFont="1" applyFill="1" applyBorder="1" applyAlignment="1">
      <alignment horizontal="center" vertical="center"/>
    </xf>
    <xf numFmtId="14" fontId="47" fillId="2" borderId="38" xfId="20" applyNumberFormat="1" applyFont="1" applyFill="1" applyBorder="1" applyAlignment="1">
      <alignment horizontal="center" vertical="center" wrapText="1"/>
    </xf>
    <xf numFmtId="1" fontId="48" fillId="2" borderId="27" xfId="20" applyNumberFormat="1" applyFont="1" applyFill="1" applyBorder="1" applyAlignment="1">
      <alignment horizontal="center" vertical="center"/>
    </xf>
    <xf numFmtId="1" fontId="48" fillId="2" borderId="3" xfId="20" applyNumberFormat="1" applyFont="1" applyFill="1" applyBorder="1" applyAlignment="1">
      <alignment horizontal="center" vertical="center" wrapText="1"/>
    </xf>
    <xf numFmtId="1" fontId="48" fillId="2" borderId="11" xfId="20" applyNumberFormat="1" applyFont="1" applyFill="1" applyBorder="1" applyAlignment="1">
      <alignment horizontal="center" vertical="center" wrapText="1"/>
    </xf>
    <xf numFmtId="164" fontId="55" fillId="2" borderId="6" xfId="20" applyNumberFormat="1" applyFont="1" applyFill="1" applyBorder="1" applyAlignment="1">
      <alignment horizontal="center" vertical="center" wrapText="1"/>
    </xf>
    <xf numFmtId="164" fontId="53" fillId="6" borderId="19" xfId="20" applyNumberFormat="1" applyFont="1" applyFill="1" applyBorder="1" applyAlignment="1">
      <alignment horizontal="center" vertical="center"/>
    </xf>
    <xf numFmtId="164" fontId="52" fillId="6" borderId="19" xfId="20" applyNumberFormat="1" applyFont="1" applyFill="1" applyBorder="1" applyAlignment="1">
      <alignment horizontal="center" vertical="center"/>
    </xf>
    <xf numFmtId="14" fontId="48" fillId="6" borderId="19" xfId="20" applyNumberFormat="1" applyFont="1" applyFill="1" applyBorder="1" applyAlignment="1">
      <alignment horizontal="center" vertical="center"/>
    </xf>
    <xf numFmtId="164" fontId="53" fillId="2" borderId="24" xfId="20" applyNumberFormat="1" applyFont="1" applyFill="1" applyBorder="1" applyAlignment="1">
      <alignment horizontal="center" vertical="center"/>
    </xf>
    <xf numFmtId="164" fontId="52" fillId="2" borderId="33" xfId="20" applyNumberFormat="1" applyFont="1" applyFill="1" applyBorder="1" applyAlignment="1">
      <alignment horizontal="center" vertical="center"/>
    </xf>
    <xf numFmtId="164" fontId="52" fillId="2" borderId="24" xfId="20" applyNumberFormat="1" applyFont="1" applyFill="1" applyBorder="1" applyAlignment="1">
      <alignment horizontal="center" vertical="center"/>
    </xf>
    <xf numFmtId="14" fontId="47" fillId="2" borderId="28" xfId="20" applyNumberFormat="1" applyFont="1" applyFill="1" applyBorder="1" applyAlignment="1">
      <alignment horizontal="center" vertical="center" wrapText="1"/>
    </xf>
    <xf numFmtId="0" fontId="47" fillId="2" borderId="42" xfId="20" applyNumberFormat="1" applyFont="1" applyFill="1" applyBorder="1" applyAlignment="1">
      <alignment horizontal="center" vertical="center" wrapText="1"/>
    </xf>
    <xf numFmtId="1" fontId="48" fillId="2" borderId="27" xfId="20" applyNumberFormat="1" applyFont="1" applyFill="1" applyBorder="1" applyAlignment="1">
      <alignment horizontal="center" vertical="center" wrapText="1"/>
    </xf>
    <xf numFmtId="0" fontId="47" fillId="2" borderId="2" xfId="20" applyFont="1" applyFill="1" applyBorder="1" applyAlignment="1">
      <alignment vertical="center"/>
    </xf>
    <xf numFmtId="0" fontId="47" fillId="12" borderId="2" xfId="20" applyFont="1" applyFill="1" applyBorder="1" applyAlignment="1">
      <alignment horizontal="center" vertical="center"/>
    </xf>
    <xf numFmtId="43" fontId="48" fillId="12" borderId="2" xfId="20" applyNumberFormat="1" applyFont="1" applyFill="1" applyBorder="1" applyAlignment="1">
      <alignment horizontal="center" vertical="center"/>
    </xf>
    <xf numFmtId="0" fontId="48" fillId="12" borderId="2" xfId="20" applyFont="1" applyFill="1" applyBorder="1" applyAlignment="1">
      <alignment horizontal="center" vertical="center"/>
    </xf>
    <xf numFmtId="0" fontId="48" fillId="13" borderId="2" xfId="20" applyFont="1" applyFill="1" applyBorder="1" applyAlignment="1">
      <alignment horizontal="center" vertical="center"/>
    </xf>
    <xf numFmtId="43" fontId="48" fillId="13" borderId="2" xfId="20" applyNumberFormat="1" applyFont="1" applyFill="1" applyBorder="1" applyAlignment="1">
      <alignment horizontal="center" vertical="center"/>
    </xf>
    <xf numFmtId="164" fontId="53" fillId="2" borderId="8" xfId="20" applyNumberFormat="1" applyFont="1" applyFill="1" applyBorder="1" applyAlignment="1">
      <alignment horizontal="center" vertical="center"/>
    </xf>
    <xf numFmtId="164" fontId="52" fillId="2" borderId="8" xfId="20" applyNumberFormat="1" applyFont="1" applyFill="1" applyBorder="1" applyAlignment="1">
      <alignment horizontal="center" vertical="center"/>
    </xf>
    <xf numFmtId="164" fontId="55" fillId="2" borderId="8" xfId="20" applyNumberFormat="1" applyFont="1" applyFill="1" applyBorder="1" applyAlignment="1">
      <alignment horizontal="center" vertical="center" wrapText="1"/>
    </xf>
    <xf numFmtId="14" fontId="48" fillId="2" borderId="8" xfId="20" applyNumberFormat="1" applyFont="1" applyFill="1" applyBorder="1" applyAlignment="1">
      <alignment horizontal="center" vertical="center"/>
    </xf>
    <xf numFmtId="14" fontId="47" fillId="2" borderId="45" xfId="20" applyNumberFormat="1" applyFont="1" applyFill="1" applyBorder="1" applyAlignment="1">
      <alignment horizontal="center" vertical="center" wrapText="1"/>
    </xf>
    <xf numFmtId="164" fontId="47" fillId="0" borderId="49" xfId="20" applyNumberFormat="1" applyFont="1" applyFill="1" applyBorder="1" applyAlignment="1">
      <alignment horizontal="center" vertical="center"/>
    </xf>
    <xf numFmtId="1" fontId="48" fillId="2" borderId="61" xfId="20" applyNumberFormat="1" applyFont="1" applyFill="1" applyBorder="1" applyAlignment="1">
      <alignment horizontal="center" vertical="center" wrapText="1"/>
    </xf>
    <xf numFmtId="1" fontId="48" fillId="2" borderId="57" xfId="20" applyNumberFormat="1" applyFont="1" applyFill="1" applyBorder="1" applyAlignment="1">
      <alignment horizontal="center" vertical="center" wrapText="1"/>
    </xf>
    <xf numFmtId="1" fontId="48" fillId="6" borderId="11" xfId="20" applyNumberFormat="1" applyFont="1" applyFill="1" applyBorder="1" applyAlignment="1">
      <alignment horizontal="center" vertical="center"/>
    </xf>
    <xf numFmtId="164" fontId="47" fillId="6" borderId="6" xfId="20" applyNumberFormat="1" applyFont="1" applyFill="1" applyBorder="1" applyAlignment="1">
      <alignment horizontal="center" vertical="center"/>
    </xf>
    <xf numFmtId="164" fontId="48" fillId="6" borderId="6" xfId="20" applyNumberFormat="1" applyFont="1" applyFill="1" applyBorder="1" applyAlignment="1">
      <alignment horizontal="center" vertical="center"/>
    </xf>
    <xf numFmtId="164" fontId="55" fillId="6" borderId="6" xfId="20" applyNumberFormat="1" applyFont="1" applyFill="1" applyBorder="1" applyAlignment="1">
      <alignment horizontal="center" vertical="center" wrapText="1"/>
    </xf>
    <xf numFmtId="164" fontId="53" fillId="2" borderId="4" xfId="20" applyNumberFormat="1" applyFont="1" applyFill="1" applyBorder="1" applyAlignment="1">
      <alignment horizontal="center" vertical="center"/>
    </xf>
    <xf numFmtId="164" fontId="52" fillId="2" borderId="4" xfId="20" applyNumberFormat="1" applyFont="1" applyFill="1" applyBorder="1" applyAlignment="1">
      <alignment horizontal="center" vertical="center"/>
    </xf>
    <xf numFmtId="14" fontId="48" fillId="2" borderId="4" xfId="20" applyNumberFormat="1" applyFont="1" applyFill="1" applyBorder="1" applyAlignment="1">
      <alignment horizontal="center" vertical="center"/>
    </xf>
    <xf numFmtId="14" fontId="47" fillId="2" borderId="31" xfId="20" applyNumberFormat="1" applyFont="1" applyFill="1" applyBorder="1" applyAlignment="1">
      <alignment horizontal="center" vertical="center" wrapText="1"/>
    </xf>
    <xf numFmtId="164" fontId="48" fillId="2" borderId="4" xfId="20" applyNumberFormat="1" applyFont="1" applyFill="1" applyBorder="1" applyAlignment="1">
      <alignment horizontal="center" vertical="center" wrapText="1"/>
    </xf>
    <xf numFmtId="164" fontId="48" fillId="2" borderId="2" xfId="20" applyNumberFormat="1" applyFont="1" applyFill="1" applyBorder="1" applyAlignment="1">
      <alignment horizontal="center" vertical="center" wrapText="1"/>
    </xf>
    <xf numFmtId="0" fontId="47" fillId="0" borderId="6" xfId="20" applyFont="1" applyBorder="1" applyAlignment="1">
      <alignment horizontal="center" vertical="center"/>
    </xf>
    <xf numFmtId="0" fontId="47" fillId="0" borderId="19" xfId="20" applyFont="1" applyBorder="1" applyAlignment="1">
      <alignment horizontal="center" vertical="center"/>
    </xf>
    <xf numFmtId="43" fontId="52" fillId="12" borderId="2" xfId="20" applyNumberFormat="1" applyFont="1" applyFill="1" applyBorder="1" applyAlignment="1">
      <alignment horizontal="center" vertical="center"/>
    </xf>
    <xf numFmtId="43" fontId="58" fillId="2" borderId="2" xfId="20" applyNumberFormat="1" applyFont="1" applyFill="1" applyBorder="1" applyAlignment="1">
      <alignment horizontal="center" vertical="center"/>
    </xf>
    <xf numFmtId="0" fontId="53" fillId="2" borderId="19" xfId="20" applyFont="1" applyFill="1" applyBorder="1" applyAlignment="1">
      <alignment horizontal="left" vertical="center" wrapText="1"/>
    </xf>
    <xf numFmtId="164" fontId="47" fillId="2" borderId="19" xfId="20" applyNumberFormat="1" applyFont="1" applyFill="1" applyBorder="1" applyAlignment="1">
      <alignment horizontal="center" vertical="center"/>
    </xf>
    <xf numFmtId="0" fontId="47" fillId="0" borderId="0" xfId="20" applyFont="1" applyAlignment="1">
      <alignment vertical="center"/>
    </xf>
    <xf numFmtId="0" fontId="52" fillId="14" borderId="19" xfId="20" applyFont="1" applyFill="1" applyBorder="1" applyAlignment="1">
      <alignment horizontal="left" vertical="center" wrapText="1"/>
    </xf>
    <xf numFmtId="164" fontId="52" fillId="14" borderId="19" xfId="20" applyNumberFormat="1" applyFont="1" applyFill="1" applyBorder="1" applyAlignment="1">
      <alignment horizontal="center" vertical="center"/>
    </xf>
    <xf numFmtId="175" fontId="52" fillId="14" borderId="19" xfId="20" applyNumberFormat="1" applyFont="1" applyFill="1" applyBorder="1" applyAlignment="1">
      <alignment horizontal="center" vertical="center"/>
    </xf>
    <xf numFmtId="164" fontId="53" fillId="14" borderId="19" xfId="20" applyNumberFormat="1" applyFont="1" applyFill="1" applyBorder="1" applyAlignment="1">
      <alignment horizontal="center" vertical="center"/>
    </xf>
    <xf numFmtId="164" fontId="52" fillId="14" borderId="2" xfId="20" applyNumberFormat="1" applyFont="1" applyFill="1" applyBorder="1" applyAlignment="1">
      <alignment horizontal="center" vertical="center" wrapText="1"/>
    </xf>
    <xf numFmtId="14" fontId="52" fillId="14" borderId="2" xfId="20" applyNumberFormat="1" applyFont="1" applyFill="1" applyBorder="1" applyAlignment="1">
      <alignment horizontal="center" vertical="center" wrapText="1"/>
    </xf>
    <xf numFmtId="43" fontId="52" fillId="14" borderId="2" xfId="25" applyFont="1" applyFill="1" applyBorder="1" applyAlignment="1">
      <alignment horizontal="center" vertical="center"/>
    </xf>
    <xf numFmtId="164" fontId="52" fillId="14" borderId="6" xfId="20" applyNumberFormat="1" applyFont="1" applyFill="1" applyBorder="1" applyAlignment="1">
      <alignment horizontal="center" vertical="center" wrapText="1"/>
    </xf>
    <xf numFmtId="0" fontId="53" fillId="14" borderId="19" xfId="20" applyFont="1" applyFill="1" applyBorder="1" applyAlignment="1">
      <alignment horizontal="left" vertical="center" wrapText="1"/>
    </xf>
    <xf numFmtId="0" fontId="48" fillId="14" borderId="2" xfId="20" applyFont="1" applyFill="1" applyBorder="1" applyAlignment="1">
      <alignment horizontal="left" vertical="center" wrapText="1"/>
    </xf>
    <xf numFmtId="164" fontId="48" fillId="14" borderId="2" xfId="20" applyNumberFormat="1" applyFont="1" applyFill="1" applyBorder="1" applyAlignment="1">
      <alignment horizontal="center" vertical="center"/>
    </xf>
    <xf numFmtId="175" fontId="48" fillId="14" borderId="2" xfId="20" applyNumberFormat="1" applyFont="1" applyFill="1" applyBorder="1" applyAlignment="1">
      <alignment horizontal="center" vertical="center"/>
    </xf>
    <xf numFmtId="164" fontId="47" fillId="14" borderId="19" xfId="20" applyNumberFormat="1" applyFont="1" applyFill="1" applyBorder="1" applyAlignment="1">
      <alignment horizontal="center" vertical="center"/>
    </xf>
    <xf numFmtId="0" fontId="48" fillId="14" borderId="6" xfId="20" applyNumberFormat="1" applyFont="1" applyFill="1" applyBorder="1" applyAlignment="1">
      <alignment horizontal="center" vertical="center" wrapText="1"/>
    </xf>
    <xf numFmtId="0" fontId="36" fillId="14" borderId="2" xfId="20" applyFont="1" applyFill="1" applyBorder="1" applyAlignment="1">
      <alignment horizontal="center" vertical="center"/>
    </xf>
    <xf numFmtId="0" fontId="59" fillId="7" borderId="2" xfId="20" applyFont="1" applyFill="1" applyBorder="1" applyAlignment="1">
      <alignment horizontal="center" vertical="center"/>
    </xf>
    <xf numFmtId="0" fontId="48" fillId="14" borderId="2" xfId="20" applyFont="1" applyFill="1" applyBorder="1" applyAlignment="1">
      <alignment horizontal="center" vertical="center"/>
    </xf>
    <xf numFmtId="164" fontId="47" fillId="2" borderId="11" xfId="20" applyNumberFormat="1" applyFont="1" applyFill="1" applyBorder="1" applyAlignment="1">
      <alignment horizontal="center" vertical="center"/>
    </xf>
    <xf numFmtId="164" fontId="48" fillId="2" borderId="6" xfId="20" applyNumberFormat="1" applyFont="1" applyFill="1" applyBorder="1" applyAlignment="1">
      <alignment horizontal="center" vertical="center"/>
    </xf>
    <xf numFmtId="164" fontId="48" fillId="2" borderId="6" xfId="20" applyNumberFormat="1" applyFont="1" applyFill="1" applyBorder="1" applyAlignment="1">
      <alignment horizontal="center" vertical="center" wrapText="1"/>
    </xf>
    <xf numFmtId="0" fontId="47" fillId="2" borderId="50" xfId="20" applyNumberFormat="1" applyFont="1" applyFill="1" applyBorder="1" applyAlignment="1">
      <alignment horizontal="center" vertical="center" wrapText="1"/>
    </xf>
    <xf numFmtId="0" fontId="45" fillId="2" borderId="11" xfId="20" applyFont="1" applyFill="1" applyBorder="1" applyAlignment="1">
      <alignment horizontal="center" vertical="center"/>
    </xf>
    <xf numFmtId="0" fontId="45" fillId="2" borderId="12" xfId="20" applyFont="1" applyFill="1" applyBorder="1" applyAlignment="1">
      <alignment horizontal="center" vertical="center"/>
    </xf>
    <xf numFmtId="0" fontId="48" fillId="2" borderId="6" xfId="20" applyFont="1" applyFill="1" applyBorder="1" applyAlignment="1">
      <alignment horizontal="center" vertical="center"/>
    </xf>
    <xf numFmtId="43" fontId="48" fillId="2" borderId="6" xfId="20" applyNumberFormat="1" applyFont="1" applyFill="1" applyBorder="1" applyAlignment="1">
      <alignment horizontal="center" vertical="center"/>
    </xf>
    <xf numFmtId="0" fontId="45" fillId="2" borderId="19" xfId="20" applyFont="1" applyFill="1" applyBorder="1" applyAlignment="1">
      <alignment horizontal="center" vertical="center"/>
    </xf>
    <xf numFmtId="0" fontId="45" fillId="2" borderId="14" xfId="20" applyFont="1" applyFill="1" applyBorder="1" applyAlignment="1">
      <alignment horizontal="center" vertical="center"/>
    </xf>
    <xf numFmtId="0" fontId="48" fillId="2" borderId="19" xfId="20" applyFont="1" applyFill="1" applyBorder="1" applyAlignment="1">
      <alignment horizontal="center" vertical="center"/>
    </xf>
    <xf numFmtId="43" fontId="52" fillId="12" borderId="19" xfId="20" applyNumberFormat="1" applyFont="1" applyFill="1" applyBorder="1" applyAlignment="1">
      <alignment horizontal="center" vertical="center"/>
    </xf>
    <xf numFmtId="0" fontId="47" fillId="2" borderId="19" xfId="20" applyFont="1" applyFill="1" applyBorder="1" applyAlignment="1">
      <alignment horizontal="center" vertical="center"/>
    </xf>
    <xf numFmtId="164" fontId="47" fillId="2" borderId="10" xfId="20" applyNumberFormat="1" applyFont="1" applyFill="1" applyBorder="1" applyAlignment="1">
      <alignment horizontal="center" vertical="center"/>
    </xf>
    <xf numFmtId="1" fontId="48" fillId="9" borderId="3" xfId="20" applyNumberFormat="1" applyFont="1" applyFill="1" applyBorder="1" applyAlignment="1">
      <alignment horizontal="center" vertical="center"/>
    </xf>
    <xf numFmtId="1" fontId="48" fillId="6" borderId="10" xfId="20" applyNumberFormat="1" applyFont="1" applyFill="1" applyBorder="1" applyAlignment="1">
      <alignment horizontal="center" vertical="center"/>
    </xf>
    <xf numFmtId="0" fontId="47" fillId="6" borderId="29" xfId="20" applyNumberFormat="1" applyFont="1" applyFill="1" applyBorder="1" applyAlignment="1">
      <alignment horizontal="center" vertical="center" wrapText="1"/>
    </xf>
    <xf numFmtId="1" fontId="58" fillId="2" borderId="57" xfId="20" applyNumberFormat="1" applyFont="1" applyFill="1" applyBorder="1" applyAlignment="1">
      <alignment horizontal="center" vertical="center" wrapText="1"/>
    </xf>
    <xf numFmtId="164" fontId="57" fillId="2" borderId="4" xfId="20" applyNumberFormat="1" applyFont="1" applyFill="1" applyBorder="1" applyAlignment="1">
      <alignment horizontal="center" vertical="center"/>
    </xf>
    <xf numFmtId="164" fontId="58" fillId="2" borderId="4" xfId="20" applyNumberFormat="1" applyFont="1" applyFill="1" applyBorder="1" applyAlignment="1">
      <alignment horizontal="center" vertical="center"/>
    </xf>
    <xf numFmtId="164" fontId="58" fillId="2" borderId="4" xfId="20" applyNumberFormat="1" applyFont="1" applyFill="1" applyBorder="1" applyAlignment="1">
      <alignment horizontal="center" vertical="center" wrapText="1"/>
    </xf>
    <xf numFmtId="14" fontId="58" fillId="2" borderId="4" xfId="20" applyNumberFormat="1" applyFont="1" applyFill="1" applyBorder="1" applyAlignment="1">
      <alignment horizontal="center" vertical="center"/>
    </xf>
    <xf numFmtId="14" fontId="57" fillId="2" borderId="31" xfId="20" applyNumberFormat="1" applyFont="1" applyFill="1" applyBorder="1" applyAlignment="1">
      <alignment horizontal="center" vertical="center" wrapText="1"/>
    </xf>
    <xf numFmtId="1" fontId="58" fillId="2" borderId="2" xfId="20" applyNumberFormat="1" applyFont="1" applyFill="1" applyBorder="1" applyAlignment="1">
      <alignment horizontal="center" vertical="center"/>
    </xf>
    <xf numFmtId="164" fontId="57" fillId="2" borderId="3" xfId="20" applyNumberFormat="1" applyFont="1" applyFill="1" applyBorder="1" applyAlignment="1">
      <alignment horizontal="center" vertical="center"/>
    </xf>
    <xf numFmtId="164" fontId="58" fillId="2" borderId="2" xfId="20" applyNumberFormat="1" applyFont="1" applyFill="1" applyBorder="1" applyAlignment="1">
      <alignment horizontal="center" vertical="center"/>
    </xf>
    <xf numFmtId="164" fontId="58" fillId="2" borderId="2" xfId="20" applyNumberFormat="1" applyFont="1" applyFill="1" applyBorder="1" applyAlignment="1">
      <alignment horizontal="center" vertical="center" wrapText="1"/>
    </xf>
    <xf numFmtId="164" fontId="57" fillId="2" borderId="10" xfId="20" applyNumberFormat="1" applyFont="1" applyFill="1" applyBorder="1" applyAlignment="1">
      <alignment horizontal="center" vertical="center"/>
    </xf>
    <xf numFmtId="164" fontId="58" fillId="2" borderId="19" xfId="20" applyNumberFormat="1" applyFont="1" applyFill="1" applyBorder="1" applyAlignment="1">
      <alignment horizontal="center" vertical="center"/>
    </xf>
    <xf numFmtId="164" fontId="58" fillId="2" borderId="19" xfId="20" applyNumberFormat="1" applyFont="1" applyFill="1" applyBorder="1" applyAlignment="1">
      <alignment horizontal="center" vertical="center" wrapText="1"/>
    </xf>
    <xf numFmtId="1" fontId="52" fillId="2" borderId="2" xfId="20" applyNumberFormat="1" applyFont="1" applyFill="1" applyBorder="1" applyAlignment="1">
      <alignment horizontal="center" vertical="center"/>
    </xf>
    <xf numFmtId="1" fontId="58" fillId="9" borderId="2" xfId="20" applyNumberFormat="1" applyFont="1" applyFill="1" applyBorder="1" applyAlignment="1">
      <alignment horizontal="center" vertical="center"/>
    </xf>
    <xf numFmtId="164" fontId="57" fillId="9" borderId="2" xfId="20" applyNumberFormat="1" applyFont="1" applyFill="1" applyBorder="1" applyAlignment="1">
      <alignment horizontal="center" vertical="center"/>
    </xf>
    <xf numFmtId="164" fontId="58" fillId="9" borderId="2" xfId="20" applyNumberFormat="1" applyFont="1" applyFill="1" applyBorder="1" applyAlignment="1">
      <alignment horizontal="center" vertical="center"/>
    </xf>
    <xf numFmtId="164" fontId="58" fillId="9" borderId="2" xfId="20" applyNumberFormat="1" applyFont="1" applyFill="1" applyBorder="1" applyAlignment="1">
      <alignment horizontal="center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39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8" xfId="9" applyNumberFormat="1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5" fillId="4" borderId="26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165" fontId="25" fillId="4" borderId="26" xfId="10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2" xfId="9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34" fillId="0" borderId="0" xfId="20" applyFont="1" applyAlignment="1">
      <alignment horizontal="left" vertical="center"/>
    </xf>
    <xf numFmtId="0" fontId="53" fillId="14" borderId="6" xfId="20" applyFont="1" applyFill="1" applyBorder="1" applyAlignment="1">
      <alignment horizontal="left" vertical="center" wrapText="1"/>
    </xf>
    <xf numFmtId="0" fontId="53" fillId="14" borderId="19" xfId="20" applyFont="1" applyFill="1" applyBorder="1" applyAlignment="1">
      <alignment horizontal="left" vertical="center" wrapText="1"/>
    </xf>
    <xf numFmtId="0" fontId="48" fillId="0" borderId="2" xfId="20" applyFont="1" applyBorder="1" applyAlignment="1">
      <alignment horizontal="center" vertical="center"/>
    </xf>
    <xf numFmtId="0" fontId="49" fillId="0" borderId="0" xfId="20" applyFont="1" applyAlignment="1">
      <alignment horizontal="center" vertical="center" wrapText="1"/>
    </xf>
    <xf numFmtId="165" fontId="47" fillId="4" borderId="23" xfId="21" applyFont="1" applyFill="1" applyBorder="1" applyAlignment="1">
      <alignment horizontal="center" vertical="center" wrapText="1"/>
    </xf>
    <xf numFmtId="165" fontId="47" fillId="4" borderId="35" xfId="21" applyFont="1" applyFill="1" applyBorder="1" applyAlignment="1">
      <alignment horizontal="center" vertical="center" wrapText="1"/>
    </xf>
    <xf numFmtId="167" fontId="47" fillId="4" borderId="24" xfId="21" applyNumberFormat="1" applyFont="1" applyFill="1" applyBorder="1" applyAlignment="1">
      <alignment horizontal="center" vertical="center" wrapText="1"/>
    </xf>
    <xf numFmtId="167" fontId="47" fillId="4" borderId="20" xfId="21" applyNumberFormat="1" applyFont="1" applyFill="1" applyBorder="1" applyAlignment="1">
      <alignment horizontal="center" vertical="center" wrapText="1"/>
    </xf>
    <xf numFmtId="165" fontId="47" fillId="4" borderId="39" xfId="21" applyFont="1" applyFill="1" applyBorder="1" applyAlignment="1">
      <alignment horizontal="center" vertical="center" wrapText="1"/>
    </xf>
    <xf numFmtId="165" fontId="47" fillId="4" borderId="15" xfId="21" applyFont="1" applyFill="1" applyBorder="1" applyAlignment="1">
      <alignment horizontal="center" vertical="center" wrapText="1"/>
    </xf>
    <xf numFmtId="0" fontId="47" fillId="4" borderId="33" xfId="20" applyFont="1" applyFill="1" applyBorder="1" applyAlignment="1">
      <alignment horizontal="center" vertical="center"/>
    </xf>
    <xf numFmtId="0" fontId="47" fillId="4" borderId="6" xfId="20" applyFont="1" applyFill="1" applyBorder="1" applyAlignment="1">
      <alignment horizontal="center" vertical="center"/>
    </xf>
    <xf numFmtId="165" fontId="47" fillId="4" borderId="24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3" fillId="2" borderId="6" xfId="20" applyFont="1" applyFill="1" applyBorder="1" applyAlignment="1">
      <alignment horizontal="center" vertical="center" wrapText="1"/>
    </xf>
    <xf numFmtId="0" fontId="53" fillId="2" borderId="19" xfId="20" applyFont="1" applyFill="1" applyBorder="1" applyAlignment="1">
      <alignment horizontal="center" vertical="center" wrapText="1"/>
    </xf>
    <xf numFmtId="0" fontId="53" fillId="7" borderId="20" xfId="20" applyFont="1" applyFill="1" applyBorder="1" applyAlignment="1">
      <alignment horizontal="left" vertical="center" wrapText="1"/>
    </xf>
    <xf numFmtId="0" fontId="53" fillId="7" borderId="19" xfId="20" applyFont="1" applyFill="1" applyBorder="1" applyAlignment="1">
      <alignment horizontal="left" vertical="center" wrapText="1"/>
    </xf>
    <xf numFmtId="0" fontId="53" fillId="7" borderId="6" xfId="20" applyFont="1" applyFill="1" applyBorder="1" applyAlignment="1">
      <alignment horizontal="left" vertical="center" wrapText="1"/>
    </xf>
    <xf numFmtId="0" fontId="47" fillId="2" borderId="6" xfId="20" applyFont="1" applyFill="1" applyBorder="1" applyAlignment="1">
      <alignment horizontal="center" vertical="center" wrapText="1"/>
    </xf>
    <xf numFmtId="0" fontId="47" fillId="2" borderId="19" xfId="20" applyFont="1" applyFill="1" applyBorder="1" applyAlignment="1">
      <alignment horizontal="center" vertical="center" wrapText="1"/>
    </xf>
    <xf numFmtId="164" fontId="47" fillId="2" borderId="6" xfId="20" applyNumberFormat="1" applyFont="1" applyFill="1" applyBorder="1" applyAlignment="1">
      <alignment horizontal="center" vertical="center"/>
    </xf>
    <xf numFmtId="164" fontId="47" fillId="2" borderId="19" xfId="20" applyNumberFormat="1" applyFont="1" applyFill="1" applyBorder="1" applyAlignment="1">
      <alignment horizontal="center" vertical="center"/>
    </xf>
    <xf numFmtId="164" fontId="47" fillId="6" borderId="63" xfId="20" applyNumberFormat="1" applyFont="1" applyFill="1" applyBorder="1" applyAlignment="1">
      <alignment horizontal="center" vertical="center"/>
    </xf>
    <xf numFmtId="164" fontId="47" fillId="6" borderId="55" xfId="20" applyNumberFormat="1" applyFont="1" applyFill="1" applyBorder="1" applyAlignment="1">
      <alignment horizontal="center" vertical="center"/>
    </xf>
    <xf numFmtId="164" fontId="47" fillId="6" borderId="62" xfId="20" applyNumberFormat="1" applyFont="1" applyFill="1" applyBorder="1" applyAlignment="1">
      <alignment horizontal="center" vertical="center"/>
    </xf>
    <xf numFmtId="0" fontId="47" fillId="0" borderId="6" xfId="20" applyFont="1" applyFill="1" applyBorder="1" applyAlignment="1">
      <alignment horizontal="center" vertical="center" wrapText="1"/>
    </xf>
    <xf numFmtId="0" fontId="47" fillId="0" borderId="20" xfId="20" applyFont="1" applyFill="1" applyBorder="1" applyAlignment="1">
      <alignment horizontal="center" vertical="center" wrapText="1"/>
    </xf>
    <xf numFmtId="0" fontId="47" fillId="0" borderId="19" xfId="20" applyFont="1" applyFill="1" applyBorder="1" applyAlignment="1">
      <alignment horizontal="center" vertical="center" wrapText="1"/>
    </xf>
    <xf numFmtId="164" fontId="47" fillId="0" borderId="6" xfId="20" applyNumberFormat="1" applyFont="1" applyFill="1" applyBorder="1" applyAlignment="1">
      <alignment horizontal="center" vertical="center"/>
    </xf>
    <xf numFmtId="164" fontId="47" fillId="0" borderId="20" xfId="20" applyNumberFormat="1" applyFont="1" applyFill="1" applyBorder="1" applyAlignment="1">
      <alignment horizontal="center" vertical="center"/>
    </xf>
    <xf numFmtId="164" fontId="47" fillId="0" borderId="19" xfId="20" applyNumberFormat="1" applyFont="1" applyFill="1" applyBorder="1" applyAlignment="1">
      <alignment horizontal="center" vertical="center"/>
    </xf>
    <xf numFmtId="0" fontId="47" fillId="6" borderId="12" xfId="20" applyFont="1" applyFill="1" applyBorder="1" applyAlignment="1">
      <alignment horizontal="center" vertical="center" wrapText="1"/>
    </xf>
    <xf numFmtId="0" fontId="47" fillId="6" borderId="15" xfId="20" applyFont="1" applyFill="1" applyBorder="1" applyAlignment="1">
      <alignment horizontal="center" vertical="center" wrapText="1"/>
    </xf>
    <xf numFmtId="0" fontId="47" fillId="6" borderId="14" xfId="20" applyFont="1" applyFill="1" applyBorder="1" applyAlignment="1">
      <alignment horizontal="center" vertical="center" wrapText="1"/>
    </xf>
    <xf numFmtId="164" fontId="47" fillId="6" borderId="2" xfId="20" applyNumberFormat="1" applyFont="1" applyFill="1" applyBorder="1" applyAlignment="1">
      <alignment horizontal="center" vertical="center"/>
    </xf>
    <xf numFmtId="0" fontId="49" fillId="0" borderId="16" xfId="20" applyFont="1" applyBorder="1" applyAlignment="1">
      <alignment horizontal="center" vertical="center" wrapText="1"/>
    </xf>
    <xf numFmtId="165" fontId="47" fillId="4" borderId="6" xfId="21" applyFont="1" applyFill="1" applyBorder="1" applyAlignment="1">
      <alignment horizontal="center" vertical="center" wrapText="1"/>
    </xf>
    <xf numFmtId="165" fontId="47" fillId="4" borderId="20" xfId="21" applyFont="1" applyFill="1" applyBorder="1" applyAlignment="1">
      <alignment horizontal="center" vertical="center" wrapText="1"/>
    </xf>
    <xf numFmtId="165" fontId="47" fillId="4" borderId="12" xfId="21" applyFont="1" applyFill="1" applyBorder="1" applyAlignment="1">
      <alignment horizontal="center" vertical="center" wrapText="1"/>
    </xf>
    <xf numFmtId="165" fontId="47" fillId="4" borderId="17" xfId="21" applyFont="1" applyFill="1" applyBorder="1" applyAlignment="1">
      <alignment horizontal="center" vertical="center" wrapText="1"/>
    </xf>
    <xf numFmtId="165" fontId="47" fillId="4" borderId="11" xfId="21" applyFont="1" applyFill="1" applyBorder="1" applyAlignment="1">
      <alignment horizontal="center" vertical="center" wrapText="1"/>
    </xf>
    <xf numFmtId="165" fontId="47" fillId="4" borderId="19" xfId="21" applyFont="1" applyFill="1" applyBorder="1" applyAlignment="1">
      <alignment horizontal="center" vertical="center" wrapText="1"/>
    </xf>
    <xf numFmtId="0" fontId="47" fillId="4" borderId="2" xfId="20" applyFont="1" applyFill="1" applyBorder="1" applyAlignment="1">
      <alignment horizontal="center" vertical="center"/>
    </xf>
    <xf numFmtId="167" fontId="47" fillId="4" borderId="6" xfId="21" applyNumberFormat="1" applyFont="1" applyFill="1" applyBorder="1" applyAlignment="1">
      <alignment horizontal="center" vertical="center" wrapText="1"/>
    </xf>
    <xf numFmtId="0" fontId="47" fillId="9" borderId="12" xfId="20" applyFont="1" applyFill="1" applyBorder="1" applyAlignment="1">
      <alignment horizontal="center" vertical="center" wrapText="1"/>
    </xf>
    <xf numFmtId="0" fontId="47" fillId="9" borderId="15" xfId="20" applyFont="1" applyFill="1" applyBorder="1" applyAlignment="1">
      <alignment horizontal="center" vertical="center" wrapText="1"/>
    </xf>
    <xf numFmtId="0" fontId="47" fillId="9" borderId="14" xfId="20" applyFont="1" applyFill="1" applyBorder="1" applyAlignment="1">
      <alignment horizontal="center" vertical="center" wrapText="1"/>
    </xf>
    <xf numFmtId="164" fontId="47" fillId="9" borderId="2" xfId="20" applyNumberFormat="1" applyFont="1" applyFill="1" applyBorder="1" applyAlignment="1">
      <alignment horizontal="center" vertical="center"/>
    </xf>
    <xf numFmtId="164" fontId="47" fillId="0" borderId="58" xfId="20" applyNumberFormat="1" applyFont="1" applyFill="1" applyBorder="1" applyAlignment="1">
      <alignment horizontal="center" vertical="center"/>
    </xf>
    <xf numFmtId="164" fontId="47" fillId="0" borderId="59" xfId="20" applyNumberFormat="1" applyFont="1" applyFill="1" applyBorder="1" applyAlignment="1">
      <alignment horizontal="center" vertical="center"/>
    </xf>
    <xf numFmtId="164" fontId="47" fillId="0" borderId="60" xfId="20" applyNumberFormat="1" applyFont="1" applyFill="1" applyBorder="1" applyAlignment="1">
      <alignment horizontal="center" vertical="center"/>
    </xf>
    <xf numFmtId="0" fontId="47" fillId="6" borderId="6" xfId="20" applyFont="1" applyFill="1" applyBorder="1" applyAlignment="1">
      <alignment horizontal="center" vertical="center" wrapText="1"/>
    </xf>
    <xf numFmtId="0" fontId="47" fillId="6" borderId="20" xfId="20" applyFont="1" applyFill="1" applyBorder="1" applyAlignment="1">
      <alignment horizontal="center" vertical="center" wrapText="1"/>
    </xf>
    <xf numFmtId="0" fontId="47" fillId="6" borderId="19" xfId="20" applyFont="1" applyFill="1" applyBorder="1" applyAlignment="1">
      <alignment horizontal="center" vertical="center" wrapText="1"/>
    </xf>
    <xf numFmtId="164" fontId="47" fillId="6" borderId="24" xfId="20" applyNumberFormat="1" applyFont="1" applyFill="1" applyBorder="1" applyAlignment="1">
      <alignment horizontal="center" vertical="center"/>
    </xf>
    <xf numFmtId="164" fontId="47" fillId="6" borderId="20" xfId="20" applyNumberFormat="1" applyFont="1" applyFill="1" applyBorder="1" applyAlignment="1">
      <alignment horizontal="center" vertical="center"/>
    </xf>
    <xf numFmtId="164" fontId="47" fillId="6" borderId="19" xfId="20" applyNumberFormat="1" applyFont="1" applyFill="1" applyBorder="1" applyAlignment="1">
      <alignment horizontal="center" vertical="center"/>
    </xf>
    <xf numFmtId="0" fontId="47" fillId="0" borderId="12" xfId="20" applyFont="1" applyFill="1" applyBorder="1" applyAlignment="1">
      <alignment horizontal="center" vertical="center" wrapText="1"/>
    </xf>
    <xf numFmtId="0" fontId="47" fillId="0" borderId="15" xfId="20" applyFont="1" applyFill="1" applyBorder="1" applyAlignment="1">
      <alignment horizontal="center" vertical="center" wrapText="1"/>
    </xf>
    <xf numFmtId="0" fontId="47" fillId="0" borderId="14" xfId="20" applyFont="1" applyFill="1" applyBorder="1" applyAlignment="1">
      <alignment horizontal="center" vertical="center" wrapText="1"/>
    </xf>
    <xf numFmtId="167" fontId="47" fillId="4" borderId="19" xfId="21" applyNumberFormat="1" applyFont="1" applyFill="1" applyBorder="1" applyAlignment="1">
      <alignment horizontal="center" vertical="center" wrapText="1"/>
    </xf>
    <xf numFmtId="173" fontId="43" fillId="0" borderId="24" xfId="20" applyNumberFormat="1" applyFont="1" applyBorder="1" applyAlignment="1">
      <alignment horizontal="center" vertical="center"/>
    </xf>
    <xf numFmtId="173" fontId="43" fillId="0" borderId="20" xfId="20" applyNumberFormat="1" applyFont="1" applyBorder="1" applyAlignment="1">
      <alignment horizontal="center" vertical="center"/>
    </xf>
    <xf numFmtId="173" fontId="37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6" fillId="0" borderId="23" xfId="20" applyFont="1" applyBorder="1" applyAlignment="1">
      <alignment horizontal="center" vertical="center"/>
    </xf>
    <xf numFmtId="0" fontId="36" fillId="0" borderId="35" xfId="20" applyFont="1" applyBorder="1" applyAlignment="1">
      <alignment horizontal="center" vertical="center"/>
    </xf>
    <xf numFmtId="0" fontId="36" fillId="0" borderId="30" xfId="20" applyFont="1" applyBorder="1" applyAlignment="1">
      <alignment horizontal="center" vertical="center"/>
    </xf>
    <xf numFmtId="0" fontId="38" fillId="0" borderId="24" xfId="20" applyFont="1" applyBorder="1" applyAlignment="1">
      <alignment horizontal="left" vertical="center" wrapText="1"/>
    </xf>
    <xf numFmtId="0" fontId="38" fillId="0" borderId="20" xfId="20" applyFont="1" applyBorder="1" applyAlignment="1">
      <alignment horizontal="left" vertical="center" wrapText="1"/>
    </xf>
    <xf numFmtId="0" fontId="38" fillId="0" borderId="4" xfId="20" applyFont="1" applyBorder="1" applyAlignment="1">
      <alignment horizontal="left" vertical="center" wrapText="1"/>
    </xf>
    <xf numFmtId="0" fontId="36" fillId="0" borderId="24" xfId="20" applyFont="1" applyBorder="1" applyAlignment="1">
      <alignment horizontal="center" vertical="center"/>
    </xf>
    <xf numFmtId="0" fontId="36" fillId="0" borderId="20" xfId="20" applyFont="1" applyBorder="1" applyAlignment="1">
      <alignment horizontal="center" vertical="center"/>
    </xf>
    <xf numFmtId="0" fontId="36" fillId="0" borderId="4" xfId="20" applyFont="1" applyBorder="1" applyAlignment="1">
      <alignment horizontal="center" vertical="center"/>
    </xf>
    <xf numFmtId="164" fontId="38" fillId="0" borderId="24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43" fillId="0" borderId="24" xfId="20" applyNumberFormat="1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6" fillId="9" borderId="24" xfId="20" applyFont="1" applyFill="1" applyBorder="1" applyAlignment="1">
      <alignment horizontal="center" vertical="center"/>
    </xf>
    <xf numFmtId="0" fontId="36" fillId="9" borderId="20" xfId="20" applyFont="1" applyFill="1" applyBorder="1" applyAlignment="1">
      <alignment horizontal="center" vertical="center"/>
    </xf>
    <xf numFmtId="164" fontId="38" fillId="9" borderId="24" xfId="20" applyNumberFormat="1" applyFont="1" applyFill="1" applyBorder="1" applyAlignment="1">
      <alignment horizontal="center" vertical="center"/>
    </xf>
    <xf numFmtId="164" fontId="38" fillId="9" borderId="20" xfId="20" applyNumberFormat="1" applyFont="1" applyFill="1" applyBorder="1" applyAlignment="1">
      <alignment horizontal="center" vertical="center"/>
    </xf>
    <xf numFmtId="164" fontId="38" fillId="9" borderId="4" xfId="20" applyNumberFormat="1" applyFont="1" applyFill="1" applyBorder="1" applyAlignment="1">
      <alignment horizontal="center" vertical="center"/>
    </xf>
    <xf numFmtId="173" fontId="43" fillId="9" borderId="24" xfId="20" applyNumberFormat="1" applyFont="1" applyFill="1" applyBorder="1" applyAlignment="1">
      <alignment horizontal="center" vertical="center"/>
    </xf>
    <xf numFmtId="173" fontId="43" fillId="9" borderId="20" xfId="20" applyNumberFormat="1" applyFont="1" applyFill="1" applyBorder="1" applyAlignment="1">
      <alignment horizontal="center" vertical="center"/>
    </xf>
    <xf numFmtId="173" fontId="43" fillId="9" borderId="4" xfId="20" applyNumberFormat="1" applyFont="1" applyFill="1" applyBorder="1" applyAlignment="1">
      <alignment horizontal="center" vertical="center"/>
    </xf>
    <xf numFmtId="0" fontId="36" fillId="9" borderId="23" xfId="20" applyFont="1" applyFill="1" applyBorder="1" applyAlignment="1">
      <alignment horizontal="center" vertical="center"/>
    </xf>
    <xf numFmtId="0" fontId="37" fillId="9" borderId="24" xfId="20" applyFont="1" applyFill="1" applyBorder="1" applyAlignment="1">
      <alignment horizontal="left" vertical="center" wrapText="1"/>
    </xf>
    <xf numFmtId="0" fontId="37" fillId="9" borderId="20" xfId="20" applyFont="1" applyFill="1" applyBorder="1" applyAlignment="1">
      <alignment horizontal="left" vertical="center" wrapText="1"/>
    </xf>
    <xf numFmtId="0" fontId="37" fillId="9" borderId="4" xfId="20" applyFont="1" applyFill="1" applyBorder="1" applyAlignment="1">
      <alignment horizontal="left" vertical="center" wrapText="1"/>
    </xf>
    <xf numFmtId="164" fontId="38" fillId="9" borderId="24" xfId="20" applyNumberFormat="1" applyFont="1" applyFill="1" applyBorder="1" applyAlignment="1">
      <alignment horizontal="left" vertical="center"/>
    </xf>
    <xf numFmtId="164" fontId="38" fillId="9" borderId="20" xfId="20" applyNumberFormat="1" applyFont="1" applyFill="1" applyBorder="1" applyAlignment="1">
      <alignment horizontal="left" vertical="center"/>
    </xf>
    <xf numFmtId="164" fontId="38" fillId="9" borderId="4" xfId="20" applyNumberFormat="1" applyFont="1" applyFill="1" applyBorder="1" applyAlignment="1">
      <alignment horizontal="left" vertical="center"/>
    </xf>
    <xf numFmtId="0" fontId="37" fillId="0" borderId="35" xfId="20" applyFont="1" applyBorder="1" applyAlignment="1">
      <alignment horizontal="center" vertical="center"/>
    </xf>
    <xf numFmtId="0" fontId="37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173" fontId="43" fillId="0" borderId="19" xfId="2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6" fillId="9" borderId="35" xfId="20" applyFont="1" applyFill="1" applyBorder="1" applyAlignment="1">
      <alignment horizontal="center" vertical="center"/>
    </xf>
    <xf numFmtId="0" fontId="36" fillId="9" borderId="30" xfId="20" applyFont="1" applyFill="1" applyBorder="1" applyAlignment="1">
      <alignment horizontal="center" vertical="center"/>
    </xf>
    <xf numFmtId="0" fontId="38" fillId="9" borderId="24" xfId="20" applyFont="1" applyFill="1" applyBorder="1" applyAlignment="1">
      <alignment horizontal="left" vertical="center" wrapText="1"/>
    </xf>
    <xf numFmtId="0" fontId="38" fillId="9" borderId="20" xfId="20" applyFont="1" applyFill="1" applyBorder="1" applyAlignment="1">
      <alignment horizontal="left" vertical="center" wrapText="1"/>
    </xf>
    <xf numFmtId="0" fontId="38" fillId="9" borderId="4" xfId="20" applyFont="1" applyFill="1" applyBorder="1" applyAlignment="1">
      <alignment horizontal="left" vertical="center" wrapText="1"/>
    </xf>
    <xf numFmtId="0" fontId="37" fillId="0" borderId="12" xfId="20" applyFont="1" applyBorder="1" applyAlignment="1">
      <alignment horizontal="center" vertical="center"/>
    </xf>
    <xf numFmtId="0" fontId="37" fillId="0" borderId="17" xfId="20" applyFont="1" applyBorder="1" applyAlignment="1">
      <alignment horizontal="center" vertical="center"/>
    </xf>
    <xf numFmtId="0" fontId="37" fillId="0" borderId="11" xfId="20" applyFont="1" applyBorder="1" applyAlignment="1">
      <alignment horizontal="center" vertical="center"/>
    </xf>
    <xf numFmtId="0" fontId="37" fillId="0" borderId="14" xfId="20" applyFont="1" applyBorder="1" applyAlignment="1">
      <alignment horizontal="center" vertical="center"/>
    </xf>
    <xf numFmtId="0" fontId="37" fillId="0" borderId="16" xfId="20" applyFont="1" applyBorder="1" applyAlignment="1">
      <alignment horizontal="center" vertical="center"/>
    </xf>
    <xf numFmtId="0" fontId="37" fillId="0" borderId="10" xfId="20" applyFont="1" applyBorder="1" applyAlignment="1">
      <alignment horizontal="center" vertical="center"/>
    </xf>
    <xf numFmtId="165" fontId="37" fillId="2" borderId="1" xfId="21" applyFont="1" applyFill="1" applyBorder="1" applyAlignment="1">
      <alignment horizontal="center" vertical="center" wrapText="1"/>
    </xf>
    <xf numFmtId="165" fontId="37" fillId="2" borderId="3" xfId="21" applyFont="1" applyFill="1" applyBorder="1" applyAlignment="1">
      <alignment horizontal="center" vertical="center" wrapText="1"/>
    </xf>
    <xf numFmtId="0" fontId="37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7" fillId="0" borderId="6" xfId="20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2" borderId="12" xfId="21" applyFont="1" applyFill="1" applyBorder="1" applyAlignment="1">
      <alignment horizontal="center" vertical="center" wrapText="1"/>
    </xf>
    <xf numFmtId="165" fontId="37" fillId="2" borderId="11" xfId="21" applyFont="1" applyFill="1" applyBorder="1" applyAlignment="1">
      <alignment horizontal="center" vertical="center" wrapText="1"/>
    </xf>
    <xf numFmtId="165" fontId="37" fillId="2" borderId="14" xfId="21" applyFont="1" applyFill="1" applyBorder="1" applyAlignment="1">
      <alignment horizontal="center" vertical="center" wrapText="1"/>
    </xf>
    <xf numFmtId="165" fontId="37" fillId="2" borderId="10" xfId="21" applyFont="1" applyFill="1" applyBorder="1" applyAlignment="1">
      <alignment horizontal="center" vertical="center" wrapText="1"/>
    </xf>
    <xf numFmtId="17" fontId="37" fillId="2" borderId="6" xfId="18" applyNumberFormat="1" applyFont="1" applyFill="1" applyBorder="1" applyAlignment="1">
      <alignment horizontal="center" vertical="center"/>
    </xf>
    <xf numFmtId="17" fontId="37" fillId="2" borderId="20" xfId="18" applyNumberFormat="1" applyFont="1" applyFill="1" applyBorder="1" applyAlignment="1">
      <alignment horizontal="center" vertical="center"/>
    </xf>
    <xf numFmtId="17" fontId="37" fillId="2" borderId="19" xfId="18" applyNumberFormat="1" applyFont="1" applyFill="1" applyBorder="1" applyAlignment="1">
      <alignment horizontal="center" vertical="center"/>
    </xf>
    <xf numFmtId="165" fontId="37" fillId="2" borderId="51" xfId="21" applyFont="1" applyFill="1" applyBorder="1" applyAlignment="1">
      <alignment horizontal="center" vertical="center" wrapText="1"/>
    </xf>
    <xf numFmtId="165" fontId="37" fillId="2" borderId="17" xfId="21" applyFont="1" applyFill="1" applyBorder="1" applyAlignment="1">
      <alignment horizontal="center" vertical="center" wrapText="1"/>
    </xf>
    <xf numFmtId="165" fontId="37" fillId="2" borderId="16" xfId="21" applyFont="1" applyFill="1" applyBorder="1" applyAlignment="1">
      <alignment horizontal="center" vertical="center" wrapText="1"/>
    </xf>
    <xf numFmtId="0" fontId="39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79" t="s">
        <v>37</v>
      </c>
      <c r="B5" s="679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79" t="s">
        <v>24</v>
      </c>
      <c r="B6" s="679"/>
      <c r="C6" s="82"/>
      <c r="D6" s="680"/>
      <c r="E6" s="680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79" t="s">
        <v>38</v>
      </c>
      <c r="B7" s="679"/>
      <c r="C7" s="679"/>
      <c r="D7" s="679"/>
      <c r="E7" s="679"/>
      <c r="F7" s="679"/>
      <c r="G7" s="679"/>
      <c r="H7" s="679"/>
      <c r="I7" s="679"/>
      <c r="J7" s="82"/>
      <c r="L7" s="61"/>
      <c r="V7" s="62"/>
      <c r="W7" s="63"/>
    </row>
    <row r="8" spans="1:23" s="60" customFormat="1" ht="12.75" customHeight="1" x14ac:dyDescent="0.25">
      <c r="A8" s="679" t="s">
        <v>39</v>
      </c>
      <c r="B8" s="679"/>
      <c r="C8" s="679"/>
      <c r="D8" s="679"/>
      <c r="E8" s="679"/>
      <c r="F8" s="679"/>
      <c r="G8" s="679"/>
      <c r="H8" s="679"/>
      <c r="I8" s="679"/>
      <c r="J8" s="82"/>
      <c r="L8" s="61"/>
      <c r="V8" s="62"/>
      <c r="W8" s="63"/>
    </row>
    <row r="9" spans="1:23" s="60" customFormat="1" ht="12.75" customHeight="1" x14ac:dyDescent="0.25">
      <c r="A9" s="678" t="s">
        <v>40</v>
      </c>
      <c r="B9" s="678"/>
      <c r="C9" s="678"/>
      <c r="D9" s="678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81" t="s">
        <v>0</v>
      </c>
      <c r="B11" s="681"/>
      <c r="C11" s="681"/>
      <c r="D11" s="681"/>
      <c r="E11" s="681"/>
      <c r="F11" s="681"/>
      <c r="G11" s="681"/>
      <c r="H11" s="681"/>
      <c r="I11" s="681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82" t="s">
        <v>1</v>
      </c>
      <c r="B13" s="665" t="s">
        <v>2</v>
      </c>
      <c r="C13" s="682" t="s">
        <v>13</v>
      </c>
      <c r="D13" s="683" t="s">
        <v>3</v>
      </c>
      <c r="E13" s="684" t="s">
        <v>14</v>
      </c>
      <c r="F13" s="685" t="s">
        <v>27</v>
      </c>
      <c r="G13" s="685"/>
      <c r="H13" s="683" t="s">
        <v>17</v>
      </c>
      <c r="I13" s="683"/>
      <c r="J13" s="666" t="s">
        <v>30</v>
      </c>
      <c r="K13" s="667"/>
      <c r="L13" s="668"/>
      <c r="M13" s="665" t="s">
        <v>26</v>
      </c>
      <c r="N13" s="665"/>
      <c r="O13" s="665"/>
      <c r="P13" s="665"/>
      <c r="Q13" s="665" t="s">
        <v>29</v>
      </c>
      <c r="R13" s="665"/>
      <c r="S13" s="665"/>
      <c r="T13" s="665"/>
      <c r="U13" s="665"/>
      <c r="V13" s="672" t="s">
        <v>34</v>
      </c>
      <c r="W13" s="673"/>
    </row>
    <row r="14" spans="1:23" s="3" customFormat="1" ht="20.25" customHeight="1" x14ac:dyDescent="0.25">
      <c r="A14" s="682"/>
      <c r="B14" s="665"/>
      <c r="C14" s="682"/>
      <c r="D14" s="683"/>
      <c r="E14" s="684"/>
      <c r="F14" s="683" t="s">
        <v>41</v>
      </c>
      <c r="G14" s="683"/>
      <c r="H14" s="683"/>
      <c r="I14" s="683"/>
      <c r="J14" s="669"/>
      <c r="K14" s="670"/>
      <c r="L14" s="671"/>
      <c r="M14" s="665"/>
      <c r="N14" s="665"/>
      <c r="O14" s="665"/>
      <c r="P14" s="665"/>
      <c r="Q14" s="665"/>
      <c r="R14" s="665"/>
      <c r="S14" s="665"/>
      <c r="T14" s="665"/>
      <c r="U14" s="665"/>
      <c r="V14" s="674"/>
      <c r="W14" s="675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74"/>
      <c r="W15" s="675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64" t="s">
        <v>32</v>
      </c>
      <c r="U16" s="664"/>
      <c r="V16" s="676"/>
      <c r="W16" s="677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95" t="s">
        <v>91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</row>
    <row r="2" spans="1:13" ht="16.2" thickBot="1" x14ac:dyDescent="0.3">
      <c r="M2" s="171"/>
    </row>
    <row r="3" spans="1:13" ht="31.5" customHeight="1" x14ac:dyDescent="0.25">
      <c r="A3" s="705" t="s">
        <v>83</v>
      </c>
      <c r="B3" s="707" t="s">
        <v>81</v>
      </c>
      <c r="C3" s="707" t="s">
        <v>85</v>
      </c>
      <c r="D3" s="707" t="s">
        <v>84</v>
      </c>
      <c r="E3" s="696" t="s">
        <v>82</v>
      </c>
      <c r="F3" s="700" t="s">
        <v>89</v>
      </c>
      <c r="G3" s="701"/>
      <c r="H3" s="702"/>
      <c r="I3" s="698" t="s">
        <v>9</v>
      </c>
      <c r="J3" s="703" t="s">
        <v>90</v>
      </c>
      <c r="K3" s="703"/>
      <c r="L3" s="704"/>
      <c r="M3" s="698" t="s">
        <v>50</v>
      </c>
    </row>
    <row r="4" spans="1:13" x14ac:dyDescent="0.25">
      <c r="A4" s="706"/>
      <c r="B4" s="708"/>
      <c r="C4" s="708"/>
      <c r="D4" s="708"/>
      <c r="E4" s="697"/>
      <c r="F4" s="143" t="s">
        <v>86</v>
      </c>
      <c r="G4" s="134" t="s">
        <v>87</v>
      </c>
      <c r="H4" s="134" t="s">
        <v>88</v>
      </c>
      <c r="I4" s="699"/>
      <c r="J4" s="141" t="s">
        <v>86</v>
      </c>
      <c r="K4" s="134" t="s">
        <v>87</v>
      </c>
      <c r="L4" s="134" t="s">
        <v>88</v>
      </c>
      <c r="M4" s="699"/>
    </row>
    <row r="5" spans="1:13" ht="16.2" thickBot="1" x14ac:dyDescent="0.3">
      <c r="A5" s="135">
        <v>1</v>
      </c>
      <c r="B5" s="136">
        <v>2</v>
      </c>
      <c r="C5" s="136">
        <v>3</v>
      </c>
      <c r="D5" s="136">
        <v>4</v>
      </c>
      <c r="E5" s="140">
        <v>5</v>
      </c>
      <c r="F5" s="135">
        <v>6</v>
      </c>
      <c r="G5" s="136">
        <v>7</v>
      </c>
      <c r="H5" s="136">
        <v>8</v>
      </c>
      <c r="I5" s="137">
        <v>9</v>
      </c>
      <c r="J5" s="142">
        <v>10</v>
      </c>
      <c r="K5" s="136">
        <v>11</v>
      </c>
      <c r="L5" s="136">
        <v>12</v>
      </c>
      <c r="M5" s="137">
        <v>10</v>
      </c>
    </row>
    <row r="6" spans="1:13" ht="62.4" x14ac:dyDescent="0.25">
      <c r="A6" s="689">
        <v>4</v>
      </c>
      <c r="B6" s="686" t="s">
        <v>95</v>
      </c>
      <c r="C6" s="692" t="s">
        <v>92</v>
      </c>
      <c r="D6" s="139" t="s">
        <v>93</v>
      </c>
      <c r="E6" s="149" t="s">
        <v>94</v>
      </c>
      <c r="F6" s="146">
        <f>9670800</f>
        <v>9670800</v>
      </c>
      <c r="G6" s="147">
        <f>980219.27</f>
        <v>980219.27</v>
      </c>
      <c r="H6" s="147">
        <f>F6-G6</f>
        <v>8690580.7300000004</v>
      </c>
      <c r="I6" s="148" t="s">
        <v>98</v>
      </c>
      <c r="J6" s="176"/>
      <c r="K6" s="174"/>
      <c r="L6" s="174"/>
      <c r="M6" s="175"/>
    </row>
    <row r="7" spans="1:13" ht="62.4" x14ac:dyDescent="0.25">
      <c r="A7" s="690"/>
      <c r="B7" s="687"/>
      <c r="C7" s="693"/>
      <c r="D7" s="138" t="s">
        <v>96</v>
      </c>
      <c r="E7" s="170" t="s">
        <v>100</v>
      </c>
      <c r="F7" s="151">
        <v>131336.26</v>
      </c>
      <c r="G7" s="152">
        <v>41465.11</v>
      </c>
      <c r="H7" s="152">
        <f>F7-G7</f>
        <v>89871.150000000009</v>
      </c>
      <c r="I7" s="150" t="s">
        <v>98</v>
      </c>
      <c r="J7" s="144">
        <f>102739.6</f>
        <v>102739.6</v>
      </c>
      <c r="K7" s="157">
        <f>16812.5</f>
        <v>16812.5</v>
      </c>
      <c r="L7" s="177">
        <f>J7-K7</f>
        <v>85927.1</v>
      </c>
      <c r="M7" s="173">
        <v>0.27829999999999999</v>
      </c>
    </row>
    <row r="8" spans="1:13" ht="62.4" x14ac:dyDescent="0.25">
      <c r="A8" s="690"/>
      <c r="B8" s="687"/>
      <c r="C8" s="693"/>
      <c r="D8" s="133" t="s">
        <v>97</v>
      </c>
      <c r="E8" s="172" t="s">
        <v>99</v>
      </c>
      <c r="F8" s="151">
        <f>4080000</f>
        <v>4080000</v>
      </c>
      <c r="G8" s="152">
        <f>2262472.26</f>
        <v>2262472.2599999998</v>
      </c>
      <c r="H8" s="152">
        <f>F8-G8</f>
        <v>1817527.7400000002</v>
      </c>
      <c r="I8" s="150" t="s">
        <v>98</v>
      </c>
      <c r="J8" s="178"/>
      <c r="K8" s="179"/>
      <c r="L8" s="179"/>
      <c r="M8" s="180"/>
    </row>
    <row r="9" spans="1:13" ht="31.2" x14ac:dyDescent="0.25">
      <c r="A9" s="691"/>
      <c r="B9" s="688"/>
      <c r="C9" s="694"/>
      <c r="D9" s="154" t="s">
        <v>101</v>
      </c>
      <c r="E9" s="153"/>
      <c r="F9" s="155">
        <f>1100452.22</f>
        <v>1100452.22</v>
      </c>
      <c r="G9" s="156">
        <f>F9-H9</f>
        <v>410866.37</v>
      </c>
      <c r="H9" s="156">
        <f>689585.85</f>
        <v>689585.85</v>
      </c>
      <c r="I9" s="145" t="s">
        <v>102</v>
      </c>
      <c r="J9" s="181"/>
      <c r="K9" s="182"/>
      <c r="L9" s="182"/>
      <c r="M9" s="183"/>
    </row>
    <row r="10" spans="1:13" ht="16.2" thickBot="1" x14ac:dyDescent="0.3">
      <c r="A10" s="158"/>
      <c r="B10" s="159"/>
      <c r="C10" s="159"/>
      <c r="D10" s="159"/>
      <c r="E10" s="160"/>
      <c r="F10" s="161">
        <f>SUM(F6:F9)</f>
        <v>14982588.48</v>
      </c>
      <c r="G10" s="162">
        <f>SUM(G6:G9)</f>
        <v>3695023.01</v>
      </c>
      <c r="H10" s="163">
        <f>SUM(H6:H9)</f>
        <v>11287565.470000001</v>
      </c>
      <c r="I10" s="164"/>
      <c r="J10" s="165"/>
      <c r="K10" s="159"/>
      <c r="L10" s="159"/>
      <c r="M10" s="164"/>
    </row>
    <row r="11" spans="1:13" ht="16.2" thickBot="1" x14ac:dyDescent="0.3">
      <c r="A11" s="166"/>
      <c r="B11" s="167"/>
      <c r="C11" s="167"/>
      <c r="D11" s="167"/>
      <c r="E11" s="167"/>
      <c r="F11" s="169" t="e">
        <f>F10+#REF!+#REF!+#REF!</f>
        <v>#REF!</v>
      </c>
      <c r="G11" s="169" t="e">
        <f>G10+#REF!+#REF!+#REF!</f>
        <v>#REF!</v>
      </c>
      <c r="H11" s="169" t="e">
        <f>H10+#REF!+#REF!+#REF!</f>
        <v>#REF!</v>
      </c>
      <c r="I11" s="167"/>
      <c r="J11" s="167"/>
      <c r="K11" s="167"/>
      <c r="L11" s="167"/>
      <c r="M11" s="168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2:AG28"/>
  <sheetViews>
    <sheetView showWhiteSpace="0" zoomScale="50" zoomScaleNormal="50" zoomScaleSheetLayoutView="76" workbookViewId="0">
      <pane ySplit="6" topLeftCell="A19" activePane="bottomLeft" state="frozen"/>
      <selection pane="bottomLeft" activeCell="B20" sqref="B20"/>
    </sheetView>
  </sheetViews>
  <sheetFormatPr defaultColWidth="9.109375" defaultRowHeight="12" x14ac:dyDescent="0.25"/>
  <cols>
    <col min="1" max="1" width="56.5546875" style="185" customWidth="1"/>
    <col min="2" max="2" width="67.88671875" style="185" customWidth="1"/>
    <col min="3" max="3" width="29" style="219" customWidth="1"/>
    <col min="4" max="4" width="28.5546875" style="219" customWidth="1"/>
    <col min="5" max="5" width="30.5546875" style="219" customWidth="1"/>
    <col min="6" max="6" width="49.6640625" style="219" customWidth="1"/>
    <col min="7" max="7" width="32.21875" style="219" customWidth="1"/>
    <col min="8" max="8" width="56.44140625" style="219" customWidth="1"/>
    <col min="9" max="9" width="50.6640625" style="185" customWidth="1"/>
    <col min="10" max="16384" width="9.109375" style="185"/>
  </cols>
  <sheetData>
    <row r="2" spans="1:33" ht="30" customHeight="1" x14ac:dyDescent="0.25">
      <c r="A2" s="709" t="s">
        <v>212</v>
      </c>
      <c r="B2" s="709"/>
    </row>
    <row r="3" spans="1:33" ht="16.95" customHeight="1" x14ac:dyDescent="0.25">
      <c r="A3" s="713" t="s">
        <v>213</v>
      </c>
      <c r="B3" s="713"/>
      <c r="C3" s="713"/>
      <c r="D3" s="713"/>
      <c r="E3" s="713"/>
      <c r="F3" s="713"/>
      <c r="G3" s="713"/>
      <c r="H3" s="713"/>
    </row>
    <row r="4" spans="1:33" ht="59.4" customHeight="1" thickBot="1" x14ac:dyDescent="0.3">
      <c r="A4" s="713"/>
      <c r="B4" s="713"/>
      <c r="C4" s="713"/>
      <c r="D4" s="713"/>
      <c r="E4" s="713"/>
      <c r="F4" s="713"/>
      <c r="G4" s="713"/>
      <c r="H4" s="713"/>
    </row>
    <row r="5" spans="1:33" ht="31.8" customHeight="1" x14ac:dyDescent="0.25">
      <c r="A5" s="714" t="s">
        <v>109</v>
      </c>
      <c r="B5" s="720" t="s">
        <v>170</v>
      </c>
      <c r="C5" s="716" t="s">
        <v>174</v>
      </c>
      <c r="D5" s="716" t="s">
        <v>175</v>
      </c>
      <c r="E5" s="716" t="s">
        <v>177</v>
      </c>
      <c r="F5" s="722" t="s">
        <v>9</v>
      </c>
      <c r="G5" s="722" t="s">
        <v>172</v>
      </c>
      <c r="H5" s="718" t="s">
        <v>173</v>
      </c>
      <c r="I5" s="712" t="s">
        <v>198</v>
      </c>
    </row>
    <row r="6" spans="1:33" ht="30.6" customHeight="1" x14ac:dyDescent="0.25">
      <c r="A6" s="715"/>
      <c r="B6" s="721"/>
      <c r="C6" s="717"/>
      <c r="D6" s="717"/>
      <c r="E6" s="717"/>
      <c r="F6" s="723"/>
      <c r="G6" s="723"/>
      <c r="H6" s="719"/>
      <c r="I6" s="712"/>
    </row>
    <row r="7" spans="1:33" s="443" customFormat="1" ht="57.6" customHeight="1" x14ac:dyDescent="0.25">
      <c r="A7" s="726" t="s">
        <v>214</v>
      </c>
      <c r="B7" s="497" t="s">
        <v>235</v>
      </c>
      <c r="C7" s="498">
        <f>E7-D7</f>
        <v>12389914.427080797</v>
      </c>
      <c r="D7" s="499">
        <v>12836129.86545</v>
      </c>
      <c r="E7" s="500">
        <v>25226044.292530797</v>
      </c>
      <c r="F7" s="505" t="s">
        <v>283</v>
      </c>
      <c r="G7" s="501"/>
      <c r="H7" s="502" t="s">
        <v>330</v>
      </c>
      <c r="I7" s="503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  <c r="AA7" s="442"/>
      <c r="AB7" s="442"/>
      <c r="AC7" s="442"/>
      <c r="AD7" s="442"/>
      <c r="AE7" s="442"/>
      <c r="AF7" s="442"/>
      <c r="AG7" s="442"/>
    </row>
    <row r="8" spans="1:33" s="443" customFormat="1" ht="57.6" customHeight="1" x14ac:dyDescent="0.25">
      <c r="A8" s="727"/>
      <c r="B8" s="497" t="s">
        <v>232</v>
      </c>
      <c r="C8" s="498">
        <f>E8-D8</f>
        <v>66856527.750000015</v>
      </c>
      <c r="D8" s="499">
        <v>91120605.019999996</v>
      </c>
      <c r="E8" s="500">
        <v>157977132.77000001</v>
      </c>
      <c r="F8" s="505" t="s">
        <v>315</v>
      </c>
      <c r="G8" s="501">
        <v>45672</v>
      </c>
      <c r="H8" s="502" t="s">
        <v>316</v>
      </c>
      <c r="I8" s="627" t="s">
        <v>326</v>
      </c>
      <c r="J8" s="442"/>
      <c r="K8" s="442"/>
      <c r="L8" s="442"/>
      <c r="M8" s="442"/>
      <c r="N8" s="442"/>
      <c r="O8" s="442"/>
      <c r="P8" s="442"/>
      <c r="Q8" s="442"/>
      <c r="R8" s="442"/>
      <c r="S8" s="442"/>
      <c r="T8" s="442"/>
      <c r="U8" s="442"/>
      <c r="V8" s="442"/>
      <c r="W8" s="442"/>
      <c r="X8" s="442"/>
      <c r="Y8" s="442"/>
      <c r="Z8" s="442"/>
      <c r="AA8" s="442"/>
      <c r="AB8" s="442"/>
      <c r="AC8" s="442"/>
      <c r="AD8" s="442"/>
      <c r="AE8" s="442"/>
      <c r="AF8" s="442"/>
      <c r="AG8" s="442"/>
    </row>
    <row r="9" spans="1:33" s="443" customFormat="1" ht="60" customHeight="1" x14ac:dyDescent="0.25">
      <c r="A9" s="724" t="s">
        <v>218</v>
      </c>
      <c r="B9" s="483" t="s">
        <v>235</v>
      </c>
      <c r="C9" s="484">
        <v>4594232.2842604788</v>
      </c>
      <c r="D9" s="485">
        <v>3640715.1783451997</v>
      </c>
      <c r="E9" s="486">
        <f>D9+C9</f>
        <v>8234947.4626056785</v>
      </c>
      <c r="F9" s="465" t="s">
        <v>317</v>
      </c>
      <c r="G9" s="487"/>
      <c r="H9" s="465"/>
      <c r="I9" s="488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42"/>
      <c r="U9" s="442"/>
      <c r="V9" s="442"/>
      <c r="W9" s="442"/>
      <c r="X9" s="442"/>
      <c r="Y9" s="442"/>
      <c r="Z9" s="442"/>
      <c r="AA9" s="442"/>
      <c r="AB9" s="442"/>
      <c r="AC9" s="442"/>
      <c r="AD9" s="442"/>
      <c r="AE9" s="442"/>
      <c r="AF9" s="442"/>
      <c r="AG9" s="442"/>
    </row>
    <row r="10" spans="1:33" s="443" customFormat="1" ht="49.2" customHeight="1" x14ac:dyDescent="0.25">
      <c r="A10" s="725"/>
      <c r="B10" s="483" t="s">
        <v>232</v>
      </c>
      <c r="C10" s="484">
        <f>E10-D10</f>
        <v>341594.12677116005</v>
      </c>
      <c r="D10" s="485">
        <v>386606.81405580009</v>
      </c>
      <c r="E10" s="486">
        <v>728200.94082696014</v>
      </c>
      <c r="F10" s="465" t="s">
        <v>322</v>
      </c>
      <c r="G10" s="487"/>
      <c r="H10" s="465"/>
      <c r="I10" s="488"/>
      <c r="J10" s="442"/>
      <c r="K10" s="442"/>
      <c r="L10" s="442"/>
      <c r="M10" s="442"/>
      <c r="N10" s="442"/>
      <c r="O10" s="442"/>
      <c r="P10" s="442"/>
      <c r="Q10" s="442"/>
      <c r="R10" s="442"/>
      <c r="S10" s="442"/>
      <c r="T10" s="442"/>
      <c r="U10" s="442"/>
      <c r="V10" s="442"/>
      <c r="W10" s="442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</row>
    <row r="11" spans="1:33" s="443" customFormat="1" ht="44.4" customHeight="1" x14ac:dyDescent="0.25">
      <c r="A11" s="728" t="s">
        <v>216</v>
      </c>
      <c r="B11" s="497" t="s">
        <v>235</v>
      </c>
      <c r="C11" s="498">
        <v>1891156.1816399998</v>
      </c>
      <c r="D11" s="499">
        <v>1845349.4383799999</v>
      </c>
      <c r="E11" s="500">
        <f>D11+C11</f>
        <v>3736505.6200199998</v>
      </c>
      <c r="F11" s="505" t="s">
        <v>317</v>
      </c>
      <c r="G11" s="504"/>
      <c r="H11" s="505"/>
      <c r="I11" s="506"/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</row>
    <row r="12" spans="1:33" s="443" customFormat="1" ht="44.4" customHeight="1" x14ac:dyDescent="0.25">
      <c r="A12" s="726"/>
      <c r="B12" s="497" t="s">
        <v>232</v>
      </c>
      <c r="C12" s="498">
        <f>E12-D12</f>
        <v>1001589.47</v>
      </c>
      <c r="D12" s="499">
        <v>698756.81</v>
      </c>
      <c r="E12" s="500">
        <v>1700346.28</v>
      </c>
      <c r="F12" s="505" t="s">
        <v>281</v>
      </c>
      <c r="G12" s="504">
        <v>45671</v>
      </c>
      <c r="H12" s="505" t="s">
        <v>318</v>
      </c>
      <c r="I12" s="506" t="s">
        <v>326</v>
      </c>
      <c r="J12" s="442"/>
      <c r="K12" s="442"/>
      <c r="L12" s="442"/>
      <c r="M12" s="442"/>
      <c r="N12" s="442"/>
      <c r="O12" s="442"/>
      <c r="P12" s="442"/>
      <c r="Q12" s="442"/>
      <c r="R12" s="442"/>
      <c r="S12" s="442"/>
      <c r="T12" s="442"/>
      <c r="U12" s="442"/>
      <c r="V12" s="442"/>
      <c r="W12" s="442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</row>
    <row r="13" spans="1:33" s="443" customFormat="1" ht="44.4" customHeight="1" x14ac:dyDescent="0.25">
      <c r="A13" s="727"/>
      <c r="B13" s="497" t="s">
        <v>280</v>
      </c>
      <c r="C13" s="498">
        <v>1034694.99</v>
      </c>
      <c r="D13" s="499"/>
      <c r="E13" s="500">
        <f>C13</f>
        <v>1034694.99</v>
      </c>
      <c r="F13" s="505" t="s">
        <v>325</v>
      </c>
      <c r="G13" s="504">
        <v>45643</v>
      </c>
      <c r="H13" s="505"/>
      <c r="I13" s="506"/>
      <c r="J13" s="442"/>
      <c r="K13" s="442"/>
      <c r="L13" s="442"/>
      <c r="M13" s="442"/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</row>
    <row r="14" spans="1:33" s="443" customFormat="1" ht="57.6" customHeight="1" x14ac:dyDescent="0.25">
      <c r="A14" s="609" t="s">
        <v>319</v>
      </c>
      <c r="B14" s="483" t="s">
        <v>215</v>
      </c>
      <c r="C14" s="484">
        <f>E14</f>
        <v>522907.4</v>
      </c>
      <c r="D14" s="485">
        <v>0</v>
      </c>
      <c r="E14" s="486">
        <v>522907.4</v>
      </c>
      <c r="F14" s="465" t="s">
        <v>325</v>
      </c>
      <c r="G14" s="461">
        <v>45670</v>
      </c>
      <c r="H14" s="496" t="s">
        <v>324</v>
      </c>
      <c r="I14" s="494" t="s">
        <v>326</v>
      </c>
      <c r="J14" s="442"/>
      <c r="K14" s="442"/>
      <c r="L14" s="442"/>
      <c r="M14" s="442"/>
      <c r="N14" s="442"/>
      <c r="O14" s="442"/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</row>
    <row r="15" spans="1:33" s="200" customFormat="1" ht="81" customHeight="1" x14ac:dyDescent="0.25">
      <c r="A15" s="620" t="s">
        <v>236</v>
      </c>
      <c r="B15" s="621" t="s">
        <v>215</v>
      </c>
      <c r="C15" s="622">
        <f t="shared" ref="C15:C16" si="0">E15-D15</f>
        <v>5020765.8269760013</v>
      </c>
      <c r="D15" s="623">
        <v>3405128.9058929612</v>
      </c>
      <c r="E15" s="624">
        <v>8425894.732868962</v>
      </c>
      <c r="F15" s="616" t="s">
        <v>281</v>
      </c>
      <c r="G15" s="617">
        <v>45672</v>
      </c>
      <c r="H15" s="625" t="s">
        <v>320</v>
      </c>
      <c r="I15" s="628" t="s">
        <v>326</v>
      </c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</row>
    <row r="16" spans="1:33" s="200" customFormat="1" ht="59.4" customHeight="1" x14ac:dyDescent="0.25">
      <c r="A16" s="609" t="s">
        <v>256</v>
      </c>
      <c r="B16" s="489" t="s">
        <v>215</v>
      </c>
      <c r="C16" s="475">
        <f t="shared" si="0"/>
        <v>3093569.9490935188</v>
      </c>
      <c r="D16" s="490">
        <v>3010059.8291380405</v>
      </c>
      <c r="E16" s="610">
        <v>6103629.7782315593</v>
      </c>
      <c r="F16" s="465" t="s">
        <v>279</v>
      </c>
      <c r="G16" s="461"/>
      <c r="H16" s="492"/>
      <c r="I16" s="482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</row>
    <row r="17" spans="1:33" s="495" customFormat="1" ht="64.2" customHeight="1" x14ac:dyDescent="0.25">
      <c r="A17" s="710" t="s">
        <v>217</v>
      </c>
      <c r="B17" s="612" t="s">
        <v>235</v>
      </c>
      <c r="C17" s="613">
        <f t="shared" ref="C17:C21" si="1">E17-D17</f>
        <v>4692224.5565448338</v>
      </c>
      <c r="D17" s="614">
        <v>4381381.7780504813</v>
      </c>
      <c r="E17" s="615">
        <v>9073606.3345953152</v>
      </c>
      <c r="F17" s="616" t="s">
        <v>322</v>
      </c>
      <c r="G17" s="617"/>
      <c r="H17" s="616" t="s">
        <v>328</v>
      </c>
      <c r="I17" s="618"/>
    </row>
    <row r="18" spans="1:33" s="495" customFormat="1" ht="46.2" customHeight="1" x14ac:dyDescent="0.25">
      <c r="A18" s="711"/>
      <c r="B18" s="612" t="s">
        <v>268</v>
      </c>
      <c r="C18" s="613">
        <f t="shared" si="1"/>
        <v>6897236.7021652805</v>
      </c>
      <c r="D18" s="614">
        <v>6169727.0035827374</v>
      </c>
      <c r="E18" s="615">
        <v>13066963.705748018</v>
      </c>
      <c r="F18" s="616" t="s">
        <v>322</v>
      </c>
      <c r="G18" s="617"/>
      <c r="H18" s="619" t="s">
        <v>329</v>
      </c>
      <c r="I18" s="618"/>
    </row>
    <row r="19" spans="1:33" s="200" customFormat="1" ht="61.2" customHeight="1" x14ac:dyDescent="0.25">
      <c r="A19" s="609" t="s">
        <v>272</v>
      </c>
      <c r="B19" s="489" t="s">
        <v>215</v>
      </c>
      <c r="C19" s="475">
        <f>E19</f>
        <v>1773941.2951199999</v>
      </c>
      <c r="D19" s="490"/>
      <c r="E19" s="610">
        <v>1773941.2951199999</v>
      </c>
      <c r="F19" s="465" t="s">
        <v>325</v>
      </c>
      <c r="G19" s="461">
        <v>45671</v>
      </c>
      <c r="H19" s="492" t="s">
        <v>321</v>
      </c>
      <c r="I19" s="482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</row>
    <row r="20" spans="1:33" s="184" customFormat="1" ht="45" customHeight="1" x14ac:dyDescent="0.25">
      <c r="A20" s="620" t="s">
        <v>260</v>
      </c>
      <c r="B20" s="621" t="s">
        <v>215</v>
      </c>
      <c r="C20" s="622">
        <f t="shared" si="1"/>
        <v>1635953.32454784</v>
      </c>
      <c r="D20" s="623">
        <v>1049755.4643659999</v>
      </c>
      <c r="E20" s="624">
        <v>2685708.78891384</v>
      </c>
      <c r="F20" s="616" t="s">
        <v>322</v>
      </c>
      <c r="G20" s="617"/>
      <c r="H20" s="625"/>
      <c r="I20" s="626"/>
    </row>
    <row r="21" spans="1:33" s="200" customFormat="1" ht="44.4" customHeight="1" x14ac:dyDescent="0.25">
      <c r="A21" s="510" t="s">
        <v>243</v>
      </c>
      <c r="B21" s="489" t="s">
        <v>242</v>
      </c>
      <c r="C21" s="511">
        <f t="shared" si="1"/>
        <v>2360241.4087938005</v>
      </c>
      <c r="D21" s="475">
        <v>796227.25120619987</v>
      </c>
      <c r="E21" s="610">
        <v>3156468.66</v>
      </c>
      <c r="F21" s="465" t="s">
        <v>279</v>
      </c>
      <c r="G21" s="509"/>
      <c r="H21" s="492"/>
      <c r="I21" s="482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</row>
    <row r="22" spans="1:33" s="184" customFormat="1" ht="62.4" customHeight="1" x14ac:dyDescent="0.25">
      <c r="A22" s="510"/>
      <c r="B22" s="489" t="s">
        <v>282</v>
      </c>
      <c r="C22" s="511">
        <v>4400370</v>
      </c>
      <c r="D22" s="475"/>
      <c r="E22" s="491">
        <f>C22</f>
        <v>4400370</v>
      </c>
      <c r="F22" s="465" t="s">
        <v>281</v>
      </c>
      <c r="G22" s="509">
        <v>45642</v>
      </c>
      <c r="H22" s="492"/>
      <c r="I22" s="482"/>
    </row>
    <row r="23" spans="1:33" s="184" customFormat="1" ht="62.4" customHeight="1" x14ac:dyDescent="0.25">
      <c r="A23" s="510"/>
      <c r="B23" s="489" t="s">
        <v>323</v>
      </c>
      <c r="C23" s="511">
        <f>E23</f>
        <v>1219891.95</v>
      </c>
      <c r="D23" s="475"/>
      <c r="E23" s="610">
        <v>1219891.95</v>
      </c>
      <c r="F23" s="465" t="s">
        <v>281</v>
      </c>
      <c r="G23" s="509">
        <v>45674</v>
      </c>
      <c r="H23" s="492" t="s">
        <v>327</v>
      </c>
      <c r="I23" s="482"/>
    </row>
    <row r="24" spans="1:33" s="201" customFormat="1" ht="22.8" customHeight="1" x14ac:dyDescent="0.25">
      <c r="A24" s="410"/>
      <c r="B24" s="410" t="s">
        <v>47</v>
      </c>
      <c r="C24" s="411">
        <f>SUM(C7:C23)</f>
        <v>119726811.64299375</v>
      </c>
      <c r="D24" s="411">
        <f>SUM(D7:D23)</f>
        <v>129340443.35846743</v>
      </c>
      <c r="E24" s="411">
        <f>SUM(E7:E23)</f>
        <v>249067255.00146118</v>
      </c>
      <c r="F24" s="411"/>
      <c r="G24" s="411"/>
      <c r="H24" s="411"/>
      <c r="I24" s="432"/>
    </row>
    <row r="25" spans="1:33" ht="19.8" customHeight="1" x14ac:dyDescent="0.25">
      <c r="C25" s="216"/>
      <c r="D25" s="216"/>
      <c r="E25" s="216"/>
      <c r="F25" s="216"/>
      <c r="G25" s="216"/>
      <c r="H25" s="216"/>
    </row>
    <row r="26" spans="1:33" x14ac:dyDescent="0.25">
      <c r="C26" s="216"/>
      <c r="D26" s="216"/>
      <c r="E26" s="216"/>
      <c r="F26" s="216"/>
      <c r="G26" s="216"/>
      <c r="H26" s="216"/>
    </row>
    <row r="27" spans="1:33" x14ac:dyDescent="0.25">
      <c r="C27" s="216"/>
      <c r="D27" s="216"/>
      <c r="E27" s="216"/>
      <c r="F27" s="216"/>
      <c r="G27" s="216"/>
      <c r="H27" s="216"/>
    </row>
    <row r="28" spans="1:33" x14ac:dyDescent="0.25">
      <c r="C28" s="216"/>
      <c r="D28" s="216"/>
      <c r="E28" s="216"/>
      <c r="F28" s="216"/>
      <c r="G28" s="216"/>
      <c r="H28" s="216"/>
    </row>
  </sheetData>
  <mergeCells count="15">
    <mergeCell ref="A2:B2"/>
    <mergeCell ref="A17:A18"/>
    <mergeCell ref="I5:I6"/>
    <mergeCell ref="A3:H4"/>
    <mergeCell ref="A5:A6"/>
    <mergeCell ref="C5:C6"/>
    <mergeCell ref="H5:H6"/>
    <mergeCell ref="B5:B6"/>
    <mergeCell ref="E5:E6"/>
    <mergeCell ref="D5:D6"/>
    <mergeCell ref="F5:F6"/>
    <mergeCell ref="G5:G6"/>
    <mergeCell ref="A9:A10"/>
    <mergeCell ref="A7:A8"/>
    <mergeCell ref="A11:A13"/>
  </mergeCells>
  <phoneticPr fontId="35" type="noConversion"/>
  <pageMargins left="3.937007874015748E-2" right="0.23622047244094491" top="0.74803149606299213" bottom="0.74803149606299213" header="0.31496062992125984" footer="0.31496062992125984"/>
  <pageSetup paperSize="9" scale="42" fitToHeight="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O109"/>
  <sheetViews>
    <sheetView tabSelected="1" showWhiteSpace="0" view="pageBreakPreview" zoomScale="60" zoomScaleNormal="50" workbookViewId="0">
      <pane xSplit="2" ySplit="4" topLeftCell="C69" activePane="bottomRight" state="frozen"/>
      <selection pane="topRight" activeCell="C1" sqref="C1"/>
      <selection pane="bottomLeft" activeCell="A6" sqref="A6"/>
      <selection pane="bottomRight" activeCell="F74" sqref="F74"/>
    </sheetView>
  </sheetViews>
  <sheetFormatPr defaultColWidth="9.109375" defaultRowHeight="17.399999999999999" x14ac:dyDescent="0.25"/>
  <cols>
    <col min="1" max="1" width="10.44140625" style="185" customWidth="1"/>
    <col min="2" max="2" width="56.33203125" style="185" customWidth="1"/>
    <col min="3" max="3" width="39" style="219" customWidth="1"/>
    <col min="4" max="4" width="24" style="219" customWidth="1"/>
    <col min="5" max="5" width="27.5546875" style="219" customWidth="1"/>
    <col min="6" max="6" width="27.77734375" style="219" customWidth="1"/>
    <col min="7" max="7" width="30.88671875" style="219" customWidth="1"/>
    <col min="8" max="8" width="50.21875" style="219" customWidth="1"/>
    <col min="9" max="9" width="26.88671875" style="219" customWidth="1"/>
    <col min="10" max="10" width="42" style="219" customWidth="1"/>
    <col min="11" max="14" width="31.33203125" style="185" hidden="1" customWidth="1"/>
    <col min="15" max="15" width="33.5546875" style="185" hidden="1" customWidth="1"/>
    <col min="16" max="18" width="31.33203125" style="185" hidden="1" customWidth="1"/>
    <col min="19" max="19" width="24.44140625" style="185" hidden="1" customWidth="1"/>
    <col min="20" max="20" width="34.88671875" style="185" customWidth="1"/>
    <col min="21" max="21" width="24.88671875" style="185" customWidth="1"/>
    <col min="22" max="22" width="26.21875" style="611" customWidth="1"/>
    <col min="23" max="16384" width="9.109375" style="185"/>
  </cols>
  <sheetData>
    <row r="1" spans="1:41" ht="16.95" customHeight="1" x14ac:dyDescent="0.25">
      <c r="A1" s="713" t="s">
        <v>219</v>
      </c>
      <c r="B1" s="713"/>
      <c r="C1" s="713"/>
      <c r="D1" s="713"/>
      <c r="E1" s="713"/>
      <c r="F1" s="713"/>
      <c r="G1" s="713"/>
      <c r="H1" s="713"/>
      <c r="I1" s="713"/>
      <c r="J1" s="713"/>
    </row>
    <row r="2" spans="1:41" ht="59.4" customHeight="1" x14ac:dyDescent="0.25">
      <c r="A2" s="746"/>
      <c r="B2" s="746"/>
      <c r="C2" s="746"/>
      <c r="D2" s="746"/>
      <c r="E2" s="746"/>
      <c r="F2" s="746"/>
      <c r="G2" s="746"/>
      <c r="H2" s="746"/>
      <c r="I2" s="746"/>
      <c r="J2" s="746"/>
      <c r="K2" s="446" t="s">
        <v>186</v>
      </c>
      <c r="L2" s="446"/>
      <c r="M2" s="446"/>
      <c r="N2" s="446"/>
      <c r="O2" s="446"/>
      <c r="P2" s="446"/>
      <c r="Q2" s="446"/>
      <c r="R2" s="446"/>
    </row>
    <row r="3" spans="1:41" ht="24" customHeight="1" x14ac:dyDescent="0.25">
      <c r="A3" s="747" t="s">
        <v>109</v>
      </c>
      <c r="B3" s="753" t="s">
        <v>170</v>
      </c>
      <c r="C3" s="754" t="s">
        <v>177</v>
      </c>
      <c r="D3" s="749" t="s">
        <v>178</v>
      </c>
      <c r="E3" s="750"/>
      <c r="F3" s="750"/>
      <c r="G3" s="750"/>
      <c r="H3" s="750"/>
      <c r="I3" s="751"/>
      <c r="J3" s="747" t="s">
        <v>241</v>
      </c>
      <c r="K3" s="434" t="s">
        <v>184</v>
      </c>
      <c r="L3" s="439"/>
      <c r="M3" s="439"/>
      <c r="N3" s="439"/>
      <c r="O3" s="439"/>
      <c r="P3" s="439"/>
      <c r="Q3" s="439"/>
      <c r="R3" s="439"/>
      <c r="S3" s="440"/>
      <c r="T3" s="440"/>
      <c r="U3" s="440"/>
      <c r="V3" s="410"/>
    </row>
    <row r="4" spans="1:41" ht="40.799999999999997" customHeight="1" thickBot="1" x14ac:dyDescent="0.3">
      <c r="A4" s="752"/>
      <c r="B4" s="753"/>
      <c r="C4" s="717"/>
      <c r="D4" s="412" t="s">
        <v>111</v>
      </c>
      <c r="E4" s="412" t="s">
        <v>179</v>
      </c>
      <c r="F4" s="413" t="s">
        <v>175</v>
      </c>
      <c r="G4" s="413" t="s">
        <v>174</v>
      </c>
      <c r="H4" s="412" t="s">
        <v>9</v>
      </c>
      <c r="I4" s="412" t="s">
        <v>172</v>
      </c>
      <c r="J4" s="748"/>
      <c r="K4" s="431" t="s">
        <v>181</v>
      </c>
      <c r="L4" s="445" t="s">
        <v>202</v>
      </c>
      <c r="M4" s="445" t="s">
        <v>203</v>
      </c>
      <c r="N4" s="445" t="s">
        <v>199</v>
      </c>
      <c r="O4" s="445" t="s">
        <v>200</v>
      </c>
      <c r="P4" s="445" t="s">
        <v>204</v>
      </c>
      <c r="Q4" s="445" t="s">
        <v>205</v>
      </c>
      <c r="R4" s="445" t="s">
        <v>206</v>
      </c>
      <c r="S4" s="451" t="s">
        <v>207</v>
      </c>
      <c r="T4" s="581" t="s">
        <v>208</v>
      </c>
      <c r="U4" s="605" t="s">
        <v>230</v>
      </c>
      <c r="V4" s="605" t="s">
        <v>313</v>
      </c>
    </row>
    <row r="5" spans="1:41" s="200" customFormat="1" ht="39.6" customHeight="1" x14ac:dyDescent="0.25">
      <c r="A5" s="436"/>
      <c r="B5" s="768" t="s">
        <v>214</v>
      </c>
      <c r="C5" s="759">
        <f>'Реєстр ДЦ '!E7</f>
        <v>25226044.292530797</v>
      </c>
      <c r="D5" s="568" t="s">
        <v>220</v>
      </c>
      <c r="E5" s="555">
        <v>2150496</v>
      </c>
      <c r="F5" s="556">
        <f>1785500*1.2</f>
        <v>2142600</v>
      </c>
      <c r="G5" s="556">
        <f t="shared" ref="G5:G38" si="0">E5-F5</f>
        <v>7896</v>
      </c>
      <c r="H5" s="557" t="s">
        <v>245</v>
      </c>
      <c r="I5" s="558"/>
      <c r="J5" s="559" t="s">
        <v>193</v>
      </c>
      <c r="K5" s="534" t="s">
        <v>187</v>
      </c>
      <c r="L5" s="444" t="s">
        <v>197</v>
      </c>
      <c r="M5" s="444" t="s">
        <v>197</v>
      </c>
      <c r="N5" s="444" t="s">
        <v>197</v>
      </c>
      <c r="O5" s="444" t="s">
        <v>197</v>
      </c>
      <c r="P5" s="444" t="s">
        <v>197</v>
      </c>
      <c r="Q5" s="444" t="s">
        <v>197</v>
      </c>
      <c r="R5" s="444" t="s">
        <v>197</v>
      </c>
      <c r="S5" s="453">
        <v>727783.74</v>
      </c>
      <c r="T5" s="582" t="s">
        <v>197</v>
      </c>
      <c r="U5" s="606" t="s">
        <v>197</v>
      </c>
      <c r="V5" s="606" t="s">
        <v>197</v>
      </c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</row>
    <row r="6" spans="1:41" s="200" customFormat="1" ht="38.4" customHeight="1" x14ac:dyDescent="0.25">
      <c r="A6" s="419"/>
      <c r="B6" s="769"/>
      <c r="C6" s="760"/>
      <c r="D6" s="569" t="s">
        <v>224</v>
      </c>
      <c r="E6" s="512">
        <v>1208467.1599999999</v>
      </c>
      <c r="F6" s="513">
        <v>325550.36</v>
      </c>
      <c r="G6" s="514">
        <f t="shared" si="0"/>
        <v>882916.79999999993</v>
      </c>
      <c r="H6" s="515" t="s">
        <v>245</v>
      </c>
      <c r="I6" s="516"/>
      <c r="J6" s="560" t="s">
        <v>193</v>
      </c>
      <c r="K6" s="534" t="s">
        <v>176</v>
      </c>
      <c r="L6" s="444" t="s">
        <v>197</v>
      </c>
      <c r="M6" s="444" t="s">
        <v>197</v>
      </c>
      <c r="N6" s="444" t="s">
        <v>197</v>
      </c>
      <c r="O6" s="444" t="s">
        <v>197</v>
      </c>
      <c r="P6" s="444" t="s">
        <v>197</v>
      </c>
      <c r="Q6" s="444" t="s">
        <v>197</v>
      </c>
      <c r="R6" s="444" t="s">
        <v>197</v>
      </c>
      <c r="S6" s="455">
        <f>E6</f>
        <v>1208467.1599999999</v>
      </c>
      <c r="T6" s="582" t="s">
        <v>197</v>
      </c>
      <c r="U6" s="467" t="s">
        <v>197</v>
      </c>
      <c r="V6" s="606" t="s">
        <v>197</v>
      </c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</row>
    <row r="7" spans="1:41" s="200" customFormat="1" ht="38.4" customHeight="1" x14ac:dyDescent="0.25">
      <c r="A7" s="419"/>
      <c r="B7" s="769"/>
      <c r="C7" s="760"/>
      <c r="D7" s="569" t="s">
        <v>226</v>
      </c>
      <c r="E7" s="512">
        <v>1573765.6036</v>
      </c>
      <c r="F7" s="513">
        <v>562317.06719999993</v>
      </c>
      <c r="G7" s="514">
        <f t="shared" si="0"/>
        <v>1011448.5364000001</v>
      </c>
      <c r="H7" s="515" t="s">
        <v>245</v>
      </c>
      <c r="I7" s="516"/>
      <c r="J7" s="560" t="s">
        <v>193</v>
      </c>
      <c r="K7" s="534"/>
      <c r="L7" s="444"/>
      <c r="M7" s="444"/>
      <c r="N7" s="444"/>
      <c r="O7" s="444"/>
      <c r="P7" s="444"/>
      <c r="Q7" s="444"/>
      <c r="R7" s="444"/>
      <c r="S7" s="455"/>
      <c r="T7" s="582" t="s">
        <v>197</v>
      </c>
      <c r="U7" s="467" t="s">
        <v>197</v>
      </c>
      <c r="V7" s="606" t="s">
        <v>197</v>
      </c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</row>
    <row r="8" spans="1:41" s="200" customFormat="1" ht="38.4" customHeight="1" x14ac:dyDescent="0.25">
      <c r="A8" s="419"/>
      <c r="B8" s="769"/>
      <c r="C8" s="760"/>
      <c r="D8" s="569" t="s">
        <v>229</v>
      </c>
      <c r="E8" s="512">
        <v>1019637.38</v>
      </c>
      <c r="F8" s="513">
        <v>146902.0644</v>
      </c>
      <c r="G8" s="514">
        <f t="shared" si="0"/>
        <v>872735.31559999997</v>
      </c>
      <c r="H8" s="515" t="s">
        <v>245</v>
      </c>
      <c r="I8" s="516"/>
      <c r="J8" s="560" t="s">
        <v>193</v>
      </c>
      <c r="K8" s="534"/>
      <c r="L8" s="444"/>
      <c r="M8" s="444"/>
      <c r="N8" s="444"/>
      <c r="O8" s="444"/>
      <c r="P8" s="444"/>
      <c r="Q8" s="444"/>
      <c r="R8" s="444"/>
      <c r="S8" s="455"/>
      <c r="T8" s="582" t="s">
        <v>197</v>
      </c>
      <c r="U8" s="467" t="s">
        <v>197</v>
      </c>
      <c r="V8" s="606" t="s">
        <v>197</v>
      </c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</row>
    <row r="9" spans="1:41" s="200" customFormat="1" ht="38.4" customHeight="1" x14ac:dyDescent="0.25">
      <c r="A9" s="419"/>
      <c r="B9" s="769"/>
      <c r="C9" s="760"/>
      <c r="D9" s="569" t="s">
        <v>231</v>
      </c>
      <c r="E9" s="512">
        <v>311201.77</v>
      </c>
      <c r="F9" s="513">
        <v>118866.3714</v>
      </c>
      <c r="G9" s="514">
        <f t="shared" si="0"/>
        <v>192335.39860000001</v>
      </c>
      <c r="H9" s="515" t="s">
        <v>245</v>
      </c>
      <c r="I9" s="516"/>
      <c r="J9" s="560" t="s">
        <v>193</v>
      </c>
      <c r="K9" s="534"/>
      <c r="L9" s="444"/>
      <c r="M9" s="444"/>
      <c r="N9" s="444"/>
      <c r="O9" s="444"/>
      <c r="P9" s="444"/>
      <c r="Q9" s="444"/>
      <c r="R9" s="444"/>
      <c r="S9" s="455"/>
      <c r="T9" s="582" t="s">
        <v>197</v>
      </c>
      <c r="U9" s="467" t="s">
        <v>197</v>
      </c>
      <c r="V9" s="606" t="s">
        <v>197</v>
      </c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</row>
    <row r="10" spans="1:41" s="200" customFormat="1" ht="38.4" customHeight="1" x14ac:dyDescent="0.25">
      <c r="A10" s="419"/>
      <c r="B10" s="769"/>
      <c r="C10" s="760"/>
      <c r="D10" s="569" t="s">
        <v>234</v>
      </c>
      <c r="E10" s="512">
        <v>262987.32</v>
      </c>
      <c r="F10" s="513"/>
      <c r="G10" s="514">
        <f>E10</f>
        <v>262987.32</v>
      </c>
      <c r="H10" s="515" t="s">
        <v>245</v>
      </c>
      <c r="I10" s="516"/>
      <c r="J10" s="561" t="s">
        <v>193</v>
      </c>
      <c r="K10" s="534"/>
      <c r="L10" s="444"/>
      <c r="M10" s="444"/>
      <c r="N10" s="444"/>
      <c r="O10" s="444"/>
      <c r="P10" s="444"/>
      <c r="Q10" s="444"/>
      <c r="R10" s="444"/>
      <c r="S10" s="455"/>
      <c r="T10" s="582" t="s">
        <v>197</v>
      </c>
      <c r="U10" s="467" t="s">
        <v>244</v>
      </c>
      <c r="V10" s="606" t="s">
        <v>197</v>
      </c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</row>
    <row r="11" spans="1:41" s="200" customFormat="1" ht="38.4" customHeight="1" x14ac:dyDescent="0.25">
      <c r="A11" s="419"/>
      <c r="B11" s="769"/>
      <c r="C11" s="760"/>
      <c r="D11" s="569" t="s">
        <v>237</v>
      </c>
      <c r="E11" s="512">
        <v>567906.10120000003</v>
      </c>
      <c r="F11" s="513">
        <v>216580.29120000004</v>
      </c>
      <c r="G11" s="514">
        <f t="shared" ref="G11:G16" si="1">E11-F11</f>
        <v>351325.81</v>
      </c>
      <c r="H11" s="515" t="s">
        <v>245</v>
      </c>
      <c r="I11" s="516"/>
      <c r="J11" s="562" t="s">
        <v>193</v>
      </c>
      <c r="K11" s="534"/>
      <c r="L11" s="444"/>
      <c r="M11" s="444"/>
      <c r="N11" s="444"/>
      <c r="O11" s="444"/>
      <c r="P11" s="444"/>
      <c r="Q11" s="444"/>
      <c r="R11" s="444"/>
      <c r="S11" s="455"/>
      <c r="T11" s="582" t="s">
        <v>197</v>
      </c>
      <c r="U11" s="467" t="s">
        <v>197</v>
      </c>
      <c r="V11" s="606" t="s">
        <v>197</v>
      </c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</row>
    <row r="12" spans="1:41" s="200" customFormat="1" ht="38.4" customHeight="1" x14ac:dyDescent="0.25">
      <c r="A12" s="419"/>
      <c r="B12" s="769"/>
      <c r="C12" s="760"/>
      <c r="D12" s="569" t="s">
        <v>238</v>
      </c>
      <c r="E12" s="512">
        <v>789116.71699999995</v>
      </c>
      <c r="F12" s="513">
        <v>573762</v>
      </c>
      <c r="G12" s="514">
        <f t="shared" si="1"/>
        <v>215354.71699999995</v>
      </c>
      <c r="H12" s="515" t="s">
        <v>245</v>
      </c>
      <c r="I12" s="516"/>
      <c r="J12" s="562" t="s">
        <v>193</v>
      </c>
      <c r="K12" s="534"/>
      <c r="L12" s="444"/>
      <c r="M12" s="444"/>
      <c r="N12" s="444"/>
      <c r="O12" s="444"/>
      <c r="P12" s="444"/>
      <c r="Q12" s="444"/>
      <c r="R12" s="444"/>
      <c r="S12" s="455"/>
      <c r="T12" s="582" t="s">
        <v>197</v>
      </c>
      <c r="U12" s="467" t="s">
        <v>197</v>
      </c>
      <c r="V12" s="606" t="s">
        <v>197</v>
      </c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</row>
    <row r="13" spans="1:41" s="200" customFormat="1" ht="38.4" customHeight="1" x14ac:dyDescent="0.25">
      <c r="A13" s="419"/>
      <c r="B13" s="769"/>
      <c r="C13" s="760"/>
      <c r="D13" s="569" t="s">
        <v>246</v>
      </c>
      <c r="E13" s="512">
        <v>518102.3</v>
      </c>
      <c r="F13" s="513">
        <f>173396.17*1.2</f>
        <v>208075.40400000001</v>
      </c>
      <c r="G13" s="514">
        <f t="shared" si="1"/>
        <v>310026.89599999995</v>
      </c>
      <c r="H13" s="515" t="s">
        <v>245</v>
      </c>
      <c r="I13" s="516"/>
      <c r="J13" s="562" t="s">
        <v>193</v>
      </c>
      <c r="K13" s="534"/>
      <c r="L13" s="444"/>
      <c r="M13" s="444"/>
      <c r="N13" s="444"/>
      <c r="O13" s="444"/>
      <c r="P13" s="444"/>
      <c r="Q13" s="444"/>
      <c r="R13" s="444"/>
      <c r="S13" s="455"/>
      <c r="T13" s="582" t="s">
        <v>197</v>
      </c>
      <c r="U13" s="467" t="s">
        <v>197</v>
      </c>
      <c r="V13" s="606" t="s">
        <v>197</v>
      </c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</row>
    <row r="14" spans="1:41" s="200" customFormat="1" ht="38.4" customHeight="1" x14ac:dyDescent="0.25">
      <c r="A14" s="419"/>
      <c r="B14" s="769"/>
      <c r="C14" s="760"/>
      <c r="D14" s="569" t="s">
        <v>250</v>
      </c>
      <c r="E14" s="512">
        <v>492959.28</v>
      </c>
      <c r="F14" s="513">
        <v>358263.5</v>
      </c>
      <c r="G14" s="514">
        <f t="shared" si="1"/>
        <v>134695.78000000003</v>
      </c>
      <c r="H14" s="515" t="s">
        <v>245</v>
      </c>
      <c r="I14" s="516"/>
      <c r="J14" s="561" t="s">
        <v>193</v>
      </c>
      <c r="K14" s="534"/>
      <c r="L14" s="444"/>
      <c r="M14" s="444"/>
      <c r="N14" s="444"/>
      <c r="O14" s="444"/>
      <c r="P14" s="444"/>
      <c r="Q14" s="444"/>
      <c r="R14" s="444"/>
      <c r="S14" s="455"/>
      <c r="T14" s="582" t="s">
        <v>197</v>
      </c>
      <c r="U14" s="467" t="s">
        <v>197</v>
      </c>
      <c r="V14" s="606" t="s">
        <v>197</v>
      </c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</row>
    <row r="15" spans="1:41" s="184" customFormat="1" ht="38.4" customHeight="1" x14ac:dyDescent="0.25">
      <c r="A15" s="478"/>
      <c r="B15" s="769"/>
      <c r="C15" s="760"/>
      <c r="D15" s="569" t="s">
        <v>252</v>
      </c>
      <c r="E15" s="512">
        <v>858855.57</v>
      </c>
      <c r="F15" s="513">
        <f>495869.21*1.2</f>
        <v>595043.05200000003</v>
      </c>
      <c r="G15" s="514">
        <f t="shared" si="1"/>
        <v>263812.51799999992</v>
      </c>
      <c r="H15" s="515" t="s">
        <v>245</v>
      </c>
      <c r="I15" s="516"/>
      <c r="J15" s="561" t="s">
        <v>193</v>
      </c>
      <c r="K15" s="535"/>
      <c r="L15" s="480"/>
      <c r="M15" s="480"/>
      <c r="N15" s="480"/>
      <c r="O15" s="480"/>
      <c r="P15" s="480"/>
      <c r="Q15" s="480"/>
      <c r="R15" s="480"/>
      <c r="S15" s="475"/>
      <c r="T15" s="582" t="s">
        <v>197</v>
      </c>
      <c r="U15" s="467" t="s">
        <v>197</v>
      </c>
      <c r="V15" s="606" t="s">
        <v>197</v>
      </c>
    </row>
    <row r="16" spans="1:41" s="184" customFormat="1" ht="38.4" customHeight="1" x14ac:dyDescent="0.25">
      <c r="A16" s="478"/>
      <c r="B16" s="769"/>
      <c r="C16" s="760"/>
      <c r="D16" s="569" t="s">
        <v>258</v>
      </c>
      <c r="E16" s="512">
        <v>255009.66779999997</v>
      </c>
      <c r="F16" s="513">
        <v>118861.87779999999</v>
      </c>
      <c r="G16" s="514">
        <f t="shared" si="1"/>
        <v>136147.78999999998</v>
      </c>
      <c r="H16" s="515" t="s">
        <v>245</v>
      </c>
      <c r="I16" s="516"/>
      <c r="J16" s="561" t="s">
        <v>193</v>
      </c>
      <c r="K16" s="535"/>
      <c r="L16" s="480"/>
      <c r="M16" s="480"/>
      <c r="N16" s="480"/>
      <c r="O16" s="480"/>
      <c r="P16" s="480"/>
      <c r="Q16" s="480"/>
      <c r="R16" s="480"/>
      <c r="S16" s="475"/>
      <c r="T16" s="583" t="s">
        <v>197</v>
      </c>
      <c r="U16" s="467" t="s">
        <v>197</v>
      </c>
      <c r="V16" s="606" t="s">
        <v>197</v>
      </c>
    </row>
    <row r="17" spans="1:22" s="184" customFormat="1" ht="38.4" customHeight="1" x14ac:dyDescent="0.25">
      <c r="A17" s="478"/>
      <c r="B17" s="769"/>
      <c r="C17" s="760"/>
      <c r="D17" s="569" t="s">
        <v>264</v>
      </c>
      <c r="E17" s="512">
        <v>916480.84</v>
      </c>
      <c r="F17" s="513">
        <f>493767.4*1.2</f>
        <v>592520.88</v>
      </c>
      <c r="G17" s="514">
        <f t="shared" ref="G17:G24" si="2">E17-F17</f>
        <v>323959.95999999996</v>
      </c>
      <c r="H17" s="515" t="s">
        <v>245</v>
      </c>
      <c r="I17" s="516"/>
      <c r="J17" s="561" t="s">
        <v>193</v>
      </c>
      <c r="K17" s="535"/>
      <c r="L17" s="480"/>
      <c r="M17" s="480"/>
      <c r="N17" s="480"/>
      <c r="O17" s="480"/>
      <c r="P17" s="480"/>
      <c r="Q17" s="480"/>
      <c r="R17" s="480"/>
      <c r="S17" s="475"/>
      <c r="T17" s="583" t="s">
        <v>197</v>
      </c>
      <c r="U17" s="467" t="s">
        <v>197</v>
      </c>
      <c r="V17" s="606" t="s">
        <v>197</v>
      </c>
    </row>
    <row r="18" spans="1:22" s="184" customFormat="1" ht="38.4" customHeight="1" x14ac:dyDescent="0.25">
      <c r="A18" s="478"/>
      <c r="B18" s="769"/>
      <c r="C18" s="760"/>
      <c r="D18" s="569" t="s">
        <v>276</v>
      </c>
      <c r="E18" s="512">
        <v>189299.33</v>
      </c>
      <c r="F18" s="513">
        <f>111828.54*1.2</f>
        <v>134194.24799999999</v>
      </c>
      <c r="G18" s="514">
        <f t="shared" si="2"/>
        <v>55105.081999999995</v>
      </c>
      <c r="H18" s="515" t="s">
        <v>245</v>
      </c>
      <c r="I18" s="516"/>
      <c r="J18" s="561" t="s">
        <v>193</v>
      </c>
      <c r="K18" s="535"/>
      <c r="L18" s="480"/>
      <c r="M18" s="480"/>
      <c r="N18" s="480"/>
      <c r="O18" s="480"/>
      <c r="P18" s="480"/>
      <c r="Q18" s="480"/>
      <c r="R18" s="480"/>
      <c r="S18" s="475"/>
      <c r="T18" s="583" t="s">
        <v>197</v>
      </c>
      <c r="U18" s="467" t="s">
        <v>197</v>
      </c>
      <c r="V18" s="606" t="s">
        <v>197</v>
      </c>
    </row>
    <row r="19" spans="1:22" s="184" customFormat="1" ht="38.4" customHeight="1" x14ac:dyDescent="0.25">
      <c r="A19" s="478"/>
      <c r="B19" s="769"/>
      <c r="C19" s="760"/>
      <c r="D19" s="569" t="s">
        <v>297</v>
      </c>
      <c r="E19" s="512">
        <v>1353790.73</v>
      </c>
      <c r="F19" s="513">
        <f>716042.98*1.2</f>
        <v>859251.576</v>
      </c>
      <c r="G19" s="514">
        <f>E19-F19</f>
        <v>494539.15399999998</v>
      </c>
      <c r="H19" s="515" t="s">
        <v>245</v>
      </c>
      <c r="I19" s="516"/>
      <c r="J19" s="561" t="s">
        <v>193</v>
      </c>
      <c r="K19" s="535"/>
      <c r="L19" s="480"/>
      <c r="M19" s="480"/>
      <c r="N19" s="480"/>
      <c r="O19" s="480"/>
      <c r="P19" s="480"/>
      <c r="Q19" s="480"/>
      <c r="R19" s="480"/>
      <c r="S19" s="475"/>
      <c r="T19" s="583" t="s">
        <v>197</v>
      </c>
      <c r="U19" s="467" t="s">
        <v>197</v>
      </c>
      <c r="V19" s="606" t="s">
        <v>197</v>
      </c>
    </row>
    <row r="20" spans="1:22" s="184" customFormat="1" ht="38.4" customHeight="1" thickBot="1" x14ac:dyDescent="0.3">
      <c r="A20" s="478"/>
      <c r="B20" s="769"/>
      <c r="C20" s="760"/>
      <c r="D20" s="570" t="s">
        <v>298</v>
      </c>
      <c r="E20" s="512">
        <v>2362222.88</v>
      </c>
      <c r="F20" s="514">
        <f>1056509.71*1.2</f>
        <v>1267811.652</v>
      </c>
      <c r="G20" s="514">
        <f>E20-F20</f>
        <v>1094411.2279999999</v>
      </c>
      <c r="H20" s="571" t="s">
        <v>245</v>
      </c>
      <c r="I20" s="516"/>
      <c r="J20" s="561" t="s">
        <v>193</v>
      </c>
      <c r="K20" s="535"/>
      <c r="L20" s="480"/>
      <c r="M20" s="480"/>
      <c r="N20" s="480"/>
      <c r="O20" s="480"/>
      <c r="P20" s="480"/>
      <c r="Q20" s="480"/>
      <c r="R20" s="480"/>
      <c r="S20" s="475"/>
      <c r="T20" s="583" t="s">
        <v>197</v>
      </c>
      <c r="U20" s="467" t="s">
        <v>197</v>
      </c>
      <c r="V20" s="606" t="s">
        <v>197</v>
      </c>
    </row>
    <row r="21" spans="1:22" s="184" customFormat="1" ht="38.4" customHeight="1" x14ac:dyDescent="0.25">
      <c r="A21" s="478"/>
      <c r="B21" s="769"/>
      <c r="C21" s="759">
        <f>'Реєстр ДЦ '!E8</f>
        <v>157977132.77000001</v>
      </c>
      <c r="D21" s="580" t="s">
        <v>265</v>
      </c>
      <c r="E21" s="575">
        <v>1493088.67</v>
      </c>
      <c r="F21" s="576">
        <f>706776.56*1.2</f>
        <v>848131.87200000009</v>
      </c>
      <c r="G21" s="577">
        <f t="shared" si="2"/>
        <v>644956.79799999984</v>
      </c>
      <c r="H21" s="557" t="s">
        <v>245</v>
      </c>
      <c r="I21" s="558"/>
      <c r="J21" s="578" t="str">
        <f>J17</f>
        <v>оплачено</v>
      </c>
      <c r="K21" s="535"/>
      <c r="L21" s="480"/>
      <c r="M21" s="480"/>
      <c r="N21" s="480"/>
      <c r="O21" s="480"/>
      <c r="P21" s="480"/>
      <c r="Q21" s="480"/>
      <c r="R21" s="480"/>
      <c r="S21" s="475"/>
      <c r="T21" s="583" t="s">
        <v>197</v>
      </c>
      <c r="U21" s="467" t="s">
        <v>197</v>
      </c>
      <c r="V21" s="606" t="s">
        <v>197</v>
      </c>
    </row>
    <row r="22" spans="1:22" s="184" customFormat="1" ht="38.4" customHeight="1" x14ac:dyDescent="0.25">
      <c r="A22" s="478"/>
      <c r="B22" s="769"/>
      <c r="C22" s="760"/>
      <c r="D22" s="569" t="s">
        <v>269</v>
      </c>
      <c r="E22" s="512">
        <v>1396069.49</v>
      </c>
      <c r="F22" s="513">
        <f>661370.24*1.2</f>
        <v>793644.28799999994</v>
      </c>
      <c r="G22" s="514">
        <f t="shared" si="2"/>
        <v>602425.20200000005</v>
      </c>
      <c r="H22" s="515" t="s">
        <v>245</v>
      </c>
      <c r="I22" s="516"/>
      <c r="J22" s="579" t="s">
        <v>193</v>
      </c>
      <c r="K22" s="535"/>
      <c r="L22" s="480"/>
      <c r="M22" s="480"/>
      <c r="N22" s="480"/>
      <c r="O22" s="480"/>
      <c r="P22" s="480"/>
      <c r="Q22" s="480"/>
      <c r="R22" s="480"/>
      <c r="S22" s="475"/>
      <c r="T22" s="583" t="s">
        <v>197</v>
      </c>
      <c r="U22" s="467" t="s">
        <v>197</v>
      </c>
      <c r="V22" s="606" t="s">
        <v>197</v>
      </c>
    </row>
    <row r="23" spans="1:22" s="184" customFormat="1" ht="38.4" customHeight="1" x14ac:dyDescent="0.25">
      <c r="A23" s="478"/>
      <c r="B23" s="769"/>
      <c r="C23" s="760"/>
      <c r="D23" s="569" t="s">
        <v>270</v>
      </c>
      <c r="E23" s="512">
        <v>1427253.71</v>
      </c>
      <c r="F23" s="513">
        <f>675983.59*1.2</f>
        <v>811180.30799999996</v>
      </c>
      <c r="G23" s="514">
        <f t="shared" si="2"/>
        <v>616073.402</v>
      </c>
      <c r="H23" s="515" t="s">
        <v>245</v>
      </c>
      <c r="I23" s="516"/>
      <c r="J23" s="561" t="str">
        <f t="shared" ref="J23:J32" si="3">J21</f>
        <v>оплачено</v>
      </c>
      <c r="K23" s="535"/>
      <c r="L23" s="480"/>
      <c r="M23" s="480"/>
      <c r="N23" s="480"/>
      <c r="O23" s="480"/>
      <c r="P23" s="480"/>
      <c r="Q23" s="480"/>
      <c r="R23" s="480"/>
      <c r="S23" s="475"/>
      <c r="T23" s="583" t="s">
        <v>197</v>
      </c>
      <c r="U23" s="467" t="s">
        <v>197</v>
      </c>
      <c r="V23" s="606" t="s">
        <v>197</v>
      </c>
    </row>
    <row r="24" spans="1:22" s="184" customFormat="1" ht="38.4" customHeight="1" x14ac:dyDescent="0.25">
      <c r="A24" s="478"/>
      <c r="B24" s="769"/>
      <c r="C24" s="760"/>
      <c r="D24" s="569" t="s">
        <v>277</v>
      </c>
      <c r="E24" s="512">
        <v>1647758.93</v>
      </c>
      <c r="F24" s="513">
        <f>814191.04*1.2</f>
        <v>977029.24800000002</v>
      </c>
      <c r="G24" s="514">
        <f t="shared" si="2"/>
        <v>670729.68199999991</v>
      </c>
      <c r="H24" s="515" t="s">
        <v>245</v>
      </c>
      <c r="I24" s="516"/>
      <c r="J24" s="561" t="str">
        <f t="shared" si="3"/>
        <v>оплачено</v>
      </c>
      <c r="K24" s="535"/>
      <c r="L24" s="480"/>
      <c r="M24" s="480"/>
      <c r="N24" s="480"/>
      <c r="O24" s="480"/>
      <c r="P24" s="480"/>
      <c r="Q24" s="480"/>
      <c r="R24" s="480"/>
      <c r="S24" s="475"/>
      <c r="T24" s="583" t="s">
        <v>197</v>
      </c>
      <c r="U24" s="467" t="s">
        <v>197</v>
      </c>
      <c r="V24" s="606" t="s">
        <v>197</v>
      </c>
    </row>
    <row r="25" spans="1:22" s="184" customFormat="1" ht="38.4" customHeight="1" x14ac:dyDescent="0.25">
      <c r="A25" s="478"/>
      <c r="B25" s="769"/>
      <c r="C25" s="760"/>
      <c r="D25" s="569" t="s">
        <v>299</v>
      </c>
      <c r="E25" s="512">
        <v>1594901.54</v>
      </c>
      <c r="F25" s="513">
        <f>797886.62*1.2</f>
        <v>957463.9439999999</v>
      </c>
      <c r="G25" s="514">
        <f>E25-F25</f>
        <v>637437.59600000014</v>
      </c>
      <c r="H25" s="515" t="s">
        <v>245</v>
      </c>
      <c r="I25" s="516"/>
      <c r="J25" s="561" t="str">
        <f t="shared" si="3"/>
        <v>оплачено</v>
      </c>
      <c r="K25" s="535"/>
      <c r="L25" s="480"/>
      <c r="M25" s="480"/>
      <c r="N25" s="480"/>
      <c r="O25" s="480"/>
      <c r="P25" s="480"/>
      <c r="Q25" s="480"/>
      <c r="R25" s="480"/>
      <c r="S25" s="475"/>
      <c r="T25" s="481"/>
      <c r="U25" s="467" t="s">
        <v>197</v>
      </c>
      <c r="V25" s="606" t="s">
        <v>197</v>
      </c>
    </row>
    <row r="26" spans="1:22" s="184" customFormat="1" ht="38.4" customHeight="1" x14ac:dyDescent="0.25">
      <c r="A26" s="478"/>
      <c r="B26" s="769"/>
      <c r="C26" s="760"/>
      <c r="D26" s="569" t="s">
        <v>300</v>
      </c>
      <c r="E26" s="512">
        <v>402909.6</v>
      </c>
      <c r="F26" s="513"/>
      <c r="G26" s="514">
        <f>E26</f>
        <v>402909.6</v>
      </c>
      <c r="H26" s="515" t="s">
        <v>245</v>
      </c>
      <c r="I26" s="516"/>
      <c r="J26" s="561" t="str">
        <f t="shared" si="3"/>
        <v>оплачено</v>
      </c>
      <c r="K26" s="535"/>
      <c r="L26" s="480"/>
      <c r="M26" s="480"/>
      <c r="N26" s="480"/>
      <c r="O26" s="480"/>
      <c r="P26" s="480"/>
      <c r="Q26" s="480"/>
      <c r="R26" s="480"/>
      <c r="S26" s="475"/>
      <c r="T26" s="481"/>
      <c r="U26" s="467" t="s">
        <v>197</v>
      </c>
      <c r="V26" s="606" t="s">
        <v>197</v>
      </c>
    </row>
    <row r="27" spans="1:22" s="184" customFormat="1" ht="38.4" customHeight="1" x14ac:dyDescent="0.25">
      <c r="A27" s="478"/>
      <c r="B27" s="769"/>
      <c r="C27" s="760"/>
      <c r="D27" s="569" t="s">
        <v>301</v>
      </c>
      <c r="E27" s="512">
        <v>1538203.55</v>
      </c>
      <c r="F27" s="513">
        <f>723312.8*1.2</f>
        <v>867975.36</v>
      </c>
      <c r="G27" s="514">
        <f>E27-F27</f>
        <v>670228.19000000006</v>
      </c>
      <c r="H27" s="515" t="s">
        <v>245</v>
      </c>
      <c r="I27" s="516"/>
      <c r="J27" s="561" t="str">
        <f t="shared" si="3"/>
        <v>оплачено</v>
      </c>
      <c r="K27" s="535"/>
      <c r="L27" s="480"/>
      <c r="M27" s="480"/>
      <c r="N27" s="480"/>
      <c r="O27" s="480"/>
      <c r="P27" s="480"/>
      <c r="Q27" s="480"/>
      <c r="R27" s="480"/>
      <c r="S27" s="475"/>
      <c r="T27" s="481"/>
      <c r="U27" s="467" t="s">
        <v>197</v>
      </c>
      <c r="V27" s="606" t="s">
        <v>197</v>
      </c>
    </row>
    <row r="28" spans="1:22" s="184" customFormat="1" ht="38.4" customHeight="1" x14ac:dyDescent="0.25">
      <c r="A28" s="478"/>
      <c r="B28" s="769"/>
      <c r="C28" s="760"/>
      <c r="D28" s="569" t="s">
        <v>302</v>
      </c>
      <c r="E28" s="512">
        <v>1919957.71</v>
      </c>
      <c r="F28" s="513">
        <f>1028057.57*1.2</f>
        <v>1233669.0839999998</v>
      </c>
      <c r="G28" s="514">
        <f>E28-F28</f>
        <v>686288.62600000016</v>
      </c>
      <c r="H28" s="515" t="s">
        <v>245</v>
      </c>
      <c r="I28" s="516"/>
      <c r="J28" s="561" t="str">
        <f t="shared" si="3"/>
        <v>оплачено</v>
      </c>
      <c r="K28" s="535"/>
      <c r="L28" s="480"/>
      <c r="M28" s="480"/>
      <c r="N28" s="480"/>
      <c r="O28" s="480"/>
      <c r="P28" s="480"/>
      <c r="Q28" s="480"/>
      <c r="R28" s="480"/>
      <c r="S28" s="475"/>
      <c r="T28" s="481"/>
      <c r="U28" s="467" t="s">
        <v>197</v>
      </c>
      <c r="V28" s="606" t="s">
        <v>197</v>
      </c>
    </row>
    <row r="29" spans="1:22" s="184" customFormat="1" ht="38.4" customHeight="1" x14ac:dyDescent="0.25">
      <c r="A29" s="478"/>
      <c r="B29" s="769"/>
      <c r="C29" s="760"/>
      <c r="D29" s="569" t="s">
        <v>303</v>
      </c>
      <c r="E29" s="512">
        <v>1155962.82</v>
      </c>
      <c r="F29" s="513">
        <f>555538.57*1.2</f>
        <v>666646.28399999987</v>
      </c>
      <c r="G29" s="514">
        <f>E29-F29</f>
        <v>489316.5360000002</v>
      </c>
      <c r="H29" s="515" t="s">
        <v>245</v>
      </c>
      <c r="I29" s="516"/>
      <c r="J29" s="561" t="str">
        <f t="shared" si="3"/>
        <v>оплачено</v>
      </c>
      <c r="K29" s="535"/>
      <c r="L29" s="480"/>
      <c r="M29" s="480"/>
      <c r="N29" s="480"/>
      <c r="O29" s="480"/>
      <c r="P29" s="480"/>
      <c r="Q29" s="480"/>
      <c r="R29" s="480"/>
      <c r="S29" s="475"/>
      <c r="T29" s="481"/>
      <c r="U29" s="467" t="s">
        <v>197</v>
      </c>
      <c r="V29" s="606" t="s">
        <v>197</v>
      </c>
    </row>
    <row r="30" spans="1:22" s="184" customFormat="1" ht="38.4" customHeight="1" x14ac:dyDescent="0.25">
      <c r="A30" s="478"/>
      <c r="B30" s="769"/>
      <c r="C30" s="760"/>
      <c r="D30" s="569" t="s">
        <v>304</v>
      </c>
      <c r="E30" s="512">
        <v>1394721.36</v>
      </c>
      <c r="F30" s="513">
        <v>803459.11199999996</v>
      </c>
      <c r="G30" s="514">
        <v>591262.24800000014</v>
      </c>
      <c r="H30" s="515" t="s">
        <v>245</v>
      </c>
      <c r="I30" s="516"/>
      <c r="J30" s="561" t="str">
        <f t="shared" si="3"/>
        <v>оплачено</v>
      </c>
      <c r="K30" s="535"/>
      <c r="L30" s="480"/>
      <c r="M30" s="480"/>
      <c r="N30" s="480"/>
      <c r="O30" s="480"/>
      <c r="P30" s="480"/>
      <c r="Q30" s="480"/>
      <c r="R30" s="480"/>
      <c r="S30" s="475"/>
      <c r="T30" s="481"/>
      <c r="U30" s="467" t="s">
        <v>197</v>
      </c>
      <c r="V30" s="606" t="s">
        <v>197</v>
      </c>
    </row>
    <row r="31" spans="1:22" s="184" customFormat="1" ht="38.4" customHeight="1" x14ac:dyDescent="0.25">
      <c r="A31" s="478"/>
      <c r="B31" s="769"/>
      <c r="C31" s="760"/>
      <c r="D31" s="569" t="s">
        <v>305</v>
      </c>
      <c r="E31" s="512">
        <v>1439689.54</v>
      </c>
      <c r="F31" s="513">
        <v>853042.29599999997</v>
      </c>
      <c r="G31" s="514">
        <v>586647.24400000006</v>
      </c>
      <c r="H31" s="515" t="s">
        <v>245</v>
      </c>
      <c r="I31" s="516"/>
      <c r="J31" s="561" t="str">
        <f t="shared" si="3"/>
        <v>оплачено</v>
      </c>
      <c r="K31" s="535"/>
      <c r="L31" s="480"/>
      <c r="M31" s="480"/>
      <c r="N31" s="480"/>
      <c r="O31" s="480"/>
      <c r="P31" s="480"/>
      <c r="Q31" s="480"/>
      <c r="R31" s="480"/>
      <c r="S31" s="475"/>
      <c r="T31" s="481"/>
      <c r="U31" s="467" t="s">
        <v>197</v>
      </c>
      <c r="V31" s="606" t="s">
        <v>197</v>
      </c>
    </row>
    <row r="32" spans="1:22" s="184" customFormat="1" ht="38.4" customHeight="1" thickBot="1" x14ac:dyDescent="0.3">
      <c r="A32" s="478"/>
      <c r="B32" s="769"/>
      <c r="C32" s="760"/>
      <c r="D32" s="594" t="s">
        <v>306</v>
      </c>
      <c r="E32" s="563">
        <v>1223132.93</v>
      </c>
      <c r="F32" s="564">
        <f>644266.69*1.2</f>
        <v>773120.02799999993</v>
      </c>
      <c r="G32" s="564">
        <f>E32-F32</f>
        <v>450012.902</v>
      </c>
      <c r="H32" s="565" t="s">
        <v>245</v>
      </c>
      <c r="I32" s="566"/>
      <c r="J32" s="567" t="str">
        <f t="shared" si="3"/>
        <v>оплачено</v>
      </c>
      <c r="K32" s="535"/>
      <c r="L32" s="480"/>
      <c r="M32" s="480"/>
      <c r="N32" s="480"/>
      <c r="O32" s="480"/>
      <c r="P32" s="480"/>
      <c r="Q32" s="480"/>
      <c r="R32" s="480"/>
      <c r="S32" s="475"/>
      <c r="T32" s="481"/>
      <c r="U32" s="467" t="s">
        <v>197</v>
      </c>
      <c r="V32" s="606" t="s">
        <v>197</v>
      </c>
    </row>
    <row r="33" spans="1:41" s="184" customFormat="1" ht="50.4" customHeight="1" thickBot="1" x14ac:dyDescent="0.3">
      <c r="A33" s="478"/>
      <c r="B33" s="769"/>
      <c r="C33" s="760"/>
      <c r="D33" s="594" t="s">
        <v>312</v>
      </c>
      <c r="E33" s="599">
        <v>1236731.02</v>
      </c>
      <c r="F33" s="600"/>
      <c r="G33" s="600">
        <f>E33</f>
        <v>1236731.02</v>
      </c>
      <c r="H33" s="603" t="s">
        <v>314</v>
      </c>
      <c r="I33" s="601"/>
      <c r="J33" s="602" t="s">
        <v>193</v>
      </c>
      <c r="K33" s="535"/>
      <c r="L33" s="480"/>
      <c r="M33" s="480"/>
      <c r="N33" s="480"/>
      <c r="O33" s="480"/>
      <c r="P33" s="480"/>
      <c r="Q33" s="480"/>
      <c r="R33" s="480"/>
      <c r="S33" s="475"/>
      <c r="T33" s="481"/>
      <c r="U33" s="467" t="s">
        <v>197</v>
      </c>
      <c r="V33" s="606" t="s">
        <v>197</v>
      </c>
    </row>
    <row r="34" spans="1:41" s="184" customFormat="1" ht="50.4" customHeight="1" thickBot="1" x14ac:dyDescent="0.3">
      <c r="A34" s="478"/>
      <c r="B34" s="769"/>
      <c r="C34" s="760"/>
      <c r="D34" s="646" t="s">
        <v>335</v>
      </c>
      <c r="E34" s="647">
        <v>1071739.54</v>
      </c>
      <c r="F34" s="648"/>
      <c r="G34" s="648">
        <f>E34</f>
        <v>1071739.54</v>
      </c>
      <c r="H34" s="649" t="s">
        <v>332</v>
      </c>
      <c r="I34" s="650"/>
      <c r="J34" s="651"/>
      <c r="K34" s="535"/>
      <c r="L34" s="480"/>
      <c r="M34" s="480"/>
      <c r="N34" s="480"/>
      <c r="O34" s="480"/>
      <c r="P34" s="480"/>
      <c r="Q34" s="480"/>
      <c r="R34" s="480"/>
      <c r="S34" s="475"/>
      <c r="T34" s="481"/>
      <c r="U34" s="467"/>
      <c r="V34" s="606"/>
    </row>
    <row r="35" spans="1:41" s="184" customFormat="1" ht="50.4" customHeight="1" thickBot="1" x14ac:dyDescent="0.3">
      <c r="A35" s="478"/>
      <c r="B35" s="769"/>
      <c r="C35" s="760"/>
      <c r="D35" s="646" t="s">
        <v>336</v>
      </c>
      <c r="E35" s="647">
        <v>1795822.42</v>
      </c>
      <c r="F35" s="648">
        <f>924738.45*1.2</f>
        <v>1109686.1399999999</v>
      </c>
      <c r="G35" s="648">
        <f>E35-F35</f>
        <v>686136.28</v>
      </c>
      <c r="H35" s="649" t="s">
        <v>332</v>
      </c>
      <c r="I35" s="650"/>
      <c r="J35" s="651"/>
      <c r="K35" s="535"/>
      <c r="L35" s="480"/>
      <c r="M35" s="480"/>
      <c r="N35" s="480"/>
      <c r="O35" s="480"/>
      <c r="P35" s="480"/>
      <c r="Q35" s="480"/>
      <c r="R35" s="480"/>
      <c r="S35" s="475"/>
      <c r="T35" s="481"/>
      <c r="U35" s="467"/>
      <c r="V35" s="606"/>
    </row>
    <row r="36" spans="1:41" s="184" customFormat="1" ht="50.4" customHeight="1" thickBot="1" x14ac:dyDescent="0.3">
      <c r="A36" s="478"/>
      <c r="B36" s="769"/>
      <c r="C36" s="761"/>
      <c r="D36" s="646" t="s">
        <v>337</v>
      </c>
      <c r="E36" s="647">
        <v>853456</v>
      </c>
      <c r="F36" s="648">
        <f>E36-G36</f>
        <v>515425</v>
      </c>
      <c r="G36" s="648">
        <v>338031</v>
      </c>
      <c r="H36" s="649" t="s">
        <v>332</v>
      </c>
      <c r="I36" s="650"/>
      <c r="J36" s="651"/>
      <c r="K36" s="535"/>
      <c r="L36" s="480"/>
      <c r="M36" s="480"/>
      <c r="N36" s="480"/>
      <c r="O36" s="480"/>
      <c r="P36" s="480"/>
      <c r="Q36" s="480"/>
      <c r="R36" s="480"/>
      <c r="S36" s="475"/>
      <c r="T36" s="481"/>
      <c r="U36" s="467"/>
      <c r="V36" s="606"/>
    </row>
    <row r="37" spans="1:41" s="184" customFormat="1" ht="52.2" customHeight="1" thickBot="1" x14ac:dyDescent="0.3">
      <c r="A37" s="478"/>
      <c r="B37" s="770"/>
      <c r="C37" s="592"/>
      <c r="D37" s="593" t="s">
        <v>307</v>
      </c>
      <c r="E37" s="587">
        <v>432820.72</v>
      </c>
      <c r="F37" s="588">
        <f>E37-G37</f>
        <v>302974.50999999995</v>
      </c>
      <c r="G37" s="588">
        <v>129846.21</v>
      </c>
      <c r="H37" s="589" t="s">
        <v>308</v>
      </c>
      <c r="I37" s="590"/>
      <c r="J37" s="591" t="s">
        <v>193</v>
      </c>
      <c r="K37" s="535"/>
      <c r="L37" s="480"/>
      <c r="M37" s="480"/>
      <c r="N37" s="480"/>
      <c r="O37" s="480"/>
      <c r="P37" s="480"/>
      <c r="Q37" s="480"/>
      <c r="R37" s="480"/>
      <c r="S37" s="475"/>
      <c r="T37" s="481"/>
      <c r="U37" s="467" t="s">
        <v>197</v>
      </c>
      <c r="V37" s="606" t="s">
        <v>197</v>
      </c>
    </row>
    <row r="38" spans="1:41" s="200" customFormat="1" ht="55.8" customHeight="1" x14ac:dyDescent="0.25">
      <c r="A38" s="531"/>
      <c r="B38" s="762" t="s">
        <v>218</v>
      </c>
      <c r="C38" s="765">
        <f>'Реєстр ДЦ '!E9</f>
        <v>8234947.4626056785</v>
      </c>
      <c r="D38" s="536" t="s">
        <v>221</v>
      </c>
      <c r="E38" s="572">
        <v>879777.9</v>
      </c>
      <c r="F38" s="573">
        <v>878727.9</v>
      </c>
      <c r="G38" s="573">
        <f t="shared" si="0"/>
        <v>1050</v>
      </c>
      <c r="H38" s="537" t="s">
        <v>245</v>
      </c>
      <c r="I38" s="574"/>
      <c r="J38" s="538" t="s">
        <v>193</v>
      </c>
      <c r="K38" s="429" t="s">
        <v>180</v>
      </c>
      <c r="L38" s="444" t="s">
        <v>197</v>
      </c>
      <c r="M38" s="444" t="s">
        <v>197</v>
      </c>
      <c r="N38" s="444" t="s">
        <v>197</v>
      </c>
      <c r="O38" s="444" t="s">
        <v>197</v>
      </c>
      <c r="P38" s="444" t="s">
        <v>197</v>
      </c>
      <c r="Q38" s="444" t="s">
        <v>197</v>
      </c>
      <c r="R38" s="444" t="s">
        <v>197</v>
      </c>
      <c r="S38" s="455">
        <f>E38</f>
        <v>879777.9</v>
      </c>
      <c r="T38" s="583" t="s">
        <v>197</v>
      </c>
      <c r="U38" s="467" t="s">
        <v>197</v>
      </c>
      <c r="V38" s="606" t="s">
        <v>197</v>
      </c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</row>
    <row r="39" spans="1:41" s="200" customFormat="1" ht="71.400000000000006" customHeight="1" x14ac:dyDescent="0.25">
      <c r="A39" s="531"/>
      <c r="B39" s="763"/>
      <c r="C39" s="766"/>
      <c r="D39" s="468" t="s">
        <v>290</v>
      </c>
      <c r="E39" s="473">
        <v>127818.11</v>
      </c>
      <c r="F39" s="472">
        <f>14801.49*1.2</f>
        <v>17761.788</v>
      </c>
      <c r="G39" s="472">
        <f>E39-F39</f>
        <v>110056.322</v>
      </c>
      <c r="H39" s="471" t="s">
        <v>245</v>
      </c>
      <c r="I39" s="474"/>
      <c r="J39" s="477" t="s">
        <v>193</v>
      </c>
      <c r="K39" s="429"/>
      <c r="L39" s="444"/>
      <c r="M39" s="444"/>
      <c r="N39" s="444"/>
      <c r="O39" s="444"/>
      <c r="P39" s="444"/>
      <c r="Q39" s="444"/>
      <c r="R39" s="444"/>
      <c r="S39" s="455"/>
      <c r="T39" s="583" t="s">
        <v>197</v>
      </c>
      <c r="U39" s="467" t="s">
        <v>197</v>
      </c>
      <c r="V39" s="606" t="s">
        <v>197</v>
      </c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</row>
    <row r="40" spans="1:41" s="184" customFormat="1" ht="71.400000000000006" customHeight="1" x14ac:dyDescent="0.25">
      <c r="A40" s="493"/>
      <c r="B40" s="764"/>
      <c r="C40" s="767"/>
      <c r="D40" s="659" t="s">
        <v>309</v>
      </c>
      <c r="E40" s="532">
        <v>252904.27</v>
      </c>
      <c r="F40" s="513">
        <v>162196.27050239997</v>
      </c>
      <c r="G40" s="513">
        <f>E40-F40</f>
        <v>90707.999497600016</v>
      </c>
      <c r="H40" s="465" t="s">
        <v>314</v>
      </c>
      <c r="I40" s="509"/>
      <c r="J40" s="526" t="s">
        <v>193</v>
      </c>
      <c r="K40" s="479"/>
      <c r="L40" s="480"/>
      <c r="M40" s="480"/>
      <c r="N40" s="480"/>
      <c r="O40" s="480"/>
      <c r="P40" s="480"/>
      <c r="Q40" s="480"/>
      <c r="R40" s="480"/>
      <c r="S40" s="475"/>
      <c r="T40" s="481"/>
      <c r="U40" s="467" t="s">
        <v>197</v>
      </c>
      <c r="V40" s="606" t="s">
        <v>197</v>
      </c>
    </row>
    <row r="41" spans="1:41" s="200" customFormat="1" ht="71.400000000000006" customHeight="1" x14ac:dyDescent="0.25">
      <c r="A41" s="419"/>
      <c r="B41" s="736" t="s">
        <v>216</v>
      </c>
      <c r="C41" s="739">
        <f>'Реєстр ДЦ '!E11</f>
        <v>3736505.6200199998</v>
      </c>
      <c r="D41" s="524" t="s">
        <v>222</v>
      </c>
      <c r="E41" s="532">
        <v>293650.2</v>
      </c>
      <c r="F41" s="513">
        <f>244008.5*1.2</f>
        <v>292810.2</v>
      </c>
      <c r="G41" s="513">
        <f t="shared" ref="G41:G59" si="4">E41-F41</f>
        <v>840</v>
      </c>
      <c r="H41" s="515" t="s">
        <v>245</v>
      </c>
      <c r="I41" s="509"/>
      <c r="J41" s="526" t="s">
        <v>193</v>
      </c>
      <c r="K41" s="429"/>
      <c r="L41" s="444"/>
      <c r="M41" s="444"/>
      <c r="N41" s="444"/>
      <c r="O41" s="444"/>
      <c r="P41" s="444"/>
      <c r="Q41" s="444"/>
      <c r="R41" s="444"/>
      <c r="S41" s="454"/>
      <c r="T41" s="584" t="s">
        <v>197</v>
      </c>
      <c r="U41" s="467" t="s">
        <v>197</v>
      </c>
      <c r="V41" s="606" t="s">
        <v>197</v>
      </c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</row>
    <row r="42" spans="1:41" s="200" customFormat="1" ht="49.8" customHeight="1" x14ac:dyDescent="0.25">
      <c r="A42" s="419"/>
      <c r="B42" s="737"/>
      <c r="C42" s="740"/>
      <c r="D42" s="524" t="s">
        <v>249</v>
      </c>
      <c r="E42" s="532">
        <v>344971.33</v>
      </c>
      <c r="F42" s="513"/>
      <c r="G42" s="513">
        <f>E42</f>
        <v>344971.33</v>
      </c>
      <c r="H42" s="515" t="s">
        <v>245</v>
      </c>
      <c r="I42" s="509"/>
      <c r="J42" s="526" t="s">
        <v>193</v>
      </c>
      <c r="K42" s="429"/>
      <c r="L42" s="444"/>
      <c r="M42" s="444"/>
      <c r="N42" s="444"/>
      <c r="O42" s="444"/>
      <c r="P42" s="444"/>
      <c r="Q42" s="444"/>
      <c r="R42" s="444"/>
      <c r="S42" s="454"/>
      <c r="T42" s="584" t="s">
        <v>197</v>
      </c>
      <c r="U42" s="467" t="s">
        <v>197</v>
      </c>
      <c r="V42" s="606" t="s">
        <v>197</v>
      </c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</row>
    <row r="43" spans="1:41" s="184" customFormat="1" ht="49.8" customHeight="1" x14ac:dyDescent="0.25">
      <c r="A43" s="478"/>
      <c r="B43" s="737"/>
      <c r="C43" s="740"/>
      <c r="D43" s="524" t="s">
        <v>255</v>
      </c>
      <c r="E43" s="532">
        <v>879169.39</v>
      </c>
      <c r="F43" s="513">
        <f>400042.83*1.2</f>
        <v>480051.39600000001</v>
      </c>
      <c r="G43" s="513">
        <f>E43-F43</f>
        <v>399117.99400000001</v>
      </c>
      <c r="H43" s="515" t="s">
        <v>245</v>
      </c>
      <c r="I43" s="509"/>
      <c r="J43" s="526" t="s">
        <v>193</v>
      </c>
      <c r="K43" s="479"/>
      <c r="L43" s="480"/>
      <c r="M43" s="480"/>
      <c r="N43" s="480"/>
      <c r="O43" s="480"/>
      <c r="P43" s="480"/>
      <c r="Q43" s="480"/>
      <c r="R43" s="480"/>
      <c r="S43" s="478"/>
      <c r="T43" s="584" t="s">
        <v>197</v>
      </c>
      <c r="U43" s="467" t="s">
        <v>197</v>
      </c>
      <c r="V43" s="606" t="s">
        <v>197</v>
      </c>
    </row>
    <row r="44" spans="1:41" s="184" customFormat="1" ht="49.8" customHeight="1" x14ac:dyDescent="0.25">
      <c r="A44" s="478"/>
      <c r="B44" s="737"/>
      <c r="C44" s="740"/>
      <c r="D44" s="524" t="s">
        <v>267</v>
      </c>
      <c r="E44" s="532">
        <v>551905.01</v>
      </c>
      <c r="F44" s="513">
        <f>242426.11*1.2</f>
        <v>290911.33199999999</v>
      </c>
      <c r="G44" s="513">
        <f>E44-F44</f>
        <v>260993.67800000001</v>
      </c>
      <c r="H44" s="515" t="s">
        <v>245</v>
      </c>
      <c r="I44" s="509"/>
      <c r="J44" s="526" t="s">
        <v>193</v>
      </c>
      <c r="K44" s="479"/>
      <c r="L44" s="480"/>
      <c r="M44" s="480"/>
      <c r="N44" s="480"/>
      <c r="O44" s="480"/>
      <c r="P44" s="480"/>
      <c r="Q44" s="480"/>
      <c r="R44" s="480"/>
      <c r="S44" s="478"/>
      <c r="T44" s="584" t="s">
        <v>197</v>
      </c>
      <c r="U44" s="467" t="s">
        <v>197</v>
      </c>
      <c r="V44" s="606" t="s">
        <v>197</v>
      </c>
    </row>
    <row r="45" spans="1:41" s="184" customFormat="1" ht="49.8" customHeight="1" x14ac:dyDescent="0.25">
      <c r="A45" s="478"/>
      <c r="B45" s="737"/>
      <c r="C45" s="740"/>
      <c r="D45" s="524" t="s">
        <v>274</v>
      </c>
      <c r="E45" s="532">
        <v>553342.96</v>
      </c>
      <c r="F45" s="513">
        <v>245992.95999999999</v>
      </c>
      <c r="G45" s="513">
        <f>E45-F45</f>
        <v>307350</v>
      </c>
      <c r="H45" s="515" t="s">
        <v>245</v>
      </c>
      <c r="I45" s="509"/>
      <c r="J45" s="526" t="s">
        <v>193</v>
      </c>
      <c r="K45" s="479"/>
      <c r="L45" s="480"/>
      <c r="M45" s="480"/>
      <c r="N45" s="480"/>
      <c r="O45" s="480"/>
      <c r="P45" s="480"/>
      <c r="Q45" s="480"/>
      <c r="R45" s="480"/>
      <c r="S45" s="478"/>
      <c r="T45" s="584" t="s">
        <v>197</v>
      </c>
      <c r="U45" s="467" t="s">
        <v>197</v>
      </c>
      <c r="V45" s="606" t="s">
        <v>197</v>
      </c>
    </row>
    <row r="46" spans="1:41" s="184" customFormat="1" ht="49.8" customHeight="1" x14ac:dyDescent="0.25">
      <c r="A46" s="478"/>
      <c r="B46" s="738"/>
      <c r="C46" s="741"/>
      <c r="D46" s="524" t="s">
        <v>291</v>
      </c>
      <c r="E46" s="532">
        <v>716695.44</v>
      </c>
      <c r="F46" s="513">
        <f>270876.79*1.2</f>
        <v>325052.14799999999</v>
      </c>
      <c r="G46" s="513">
        <f>E46-F46</f>
        <v>391643.29199999996</v>
      </c>
      <c r="H46" s="515" t="s">
        <v>245</v>
      </c>
      <c r="I46" s="509"/>
      <c r="J46" s="526" t="s">
        <v>193</v>
      </c>
      <c r="K46" s="479"/>
      <c r="L46" s="480"/>
      <c r="M46" s="480"/>
      <c r="N46" s="480"/>
      <c r="O46" s="480"/>
      <c r="P46" s="480"/>
      <c r="Q46" s="480"/>
      <c r="R46" s="480"/>
      <c r="S46" s="478"/>
      <c r="T46" s="584" t="s">
        <v>197</v>
      </c>
      <c r="U46" s="467" t="s">
        <v>197</v>
      </c>
      <c r="V46" s="606" t="s">
        <v>197</v>
      </c>
    </row>
    <row r="47" spans="1:41" s="200" customFormat="1" ht="51.6" customHeight="1" x14ac:dyDescent="0.25">
      <c r="A47" s="517"/>
      <c r="B47" s="755" t="s">
        <v>236</v>
      </c>
      <c r="C47" s="758">
        <f>'Реєстр ДЦ '!E15</f>
        <v>8425894.732868962</v>
      </c>
      <c r="D47" s="643" t="s">
        <v>240</v>
      </c>
      <c r="E47" s="519">
        <v>1069747.33</v>
      </c>
      <c r="F47" s="520">
        <f>256351.69*1.2</f>
        <v>307622.02799999999</v>
      </c>
      <c r="G47" s="520">
        <f t="shared" si="4"/>
        <v>762125.30200000014</v>
      </c>
      <c r="H47" s="521" t="s">
        <v>245</v>
      </c>
      <c r="I47" s="522"/>
      <c r="J47" s="523" t="s">
        <v>193</v>
      </c>
      <c r="K47" s="429"/>
      <c r="L47" s="444"/>
      <c r="M47" s="444"/>
      <c r="N47" s="444"/>
      <c r="O47" s="444"/>
      <c r="P47" s="444"/>
      <c r="Q47" s="444"/>
      <c r="R47" s="444"/>
      <c r="S47" s="454"/>
      <c r="T47" s="584" t="s">
        <v>197</v>
      </c>
      <c r="U47" s="467" t="s">
        <v>197</v>
      </c>
      <c r="V47" s="606" t="s">
        <v>197</v>
      </c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</row>
    <row r="48" spans="1:41" s="200" customFormat="1" ht="50.4" customHeight="1" x14ac:dyDescent="0.25">
      <c r="A48" s="517"/>
      <c r="B48" s="756"/>
      <c r="C48" s="758"/>
      <c r="D48" s="643" t="s">
        <v>248</v>
      </c>
      <c r="E48" s="519">
        <v>150631.84</v>
      </c>
      <c r="F48" s="520">
        <f>57178.53*1.2</f>
        <v>68614.23599999999</v>
      </c>
      <c r="G48" s="520">
        <f>E48-F48</f>
        <v>82017.604000000007</v>
      </c>
      <c r="H48" s="521" t="s">
        <v>245</v>
      </c>
      <c r="I48" s="522"/>
      <c r="J48" s="523" t="s">
        <v>193</v>
      </c>
      <c r="K48" s="429"/>
      <c r="L48" s="444"/>
      <c r="M48" s="444"/>
      <c r="N48" s="444"/>
      <c r="O48" s="444"/>
      <c r="P48" s="444"/>
      <c r="Q48" s="444"/>
      <c r="R48" s="444"/>
      <c r="S48" s="454"/>
      <c r="T48" s="584" t="s">
        <v>197</v>
      </c>
      <c r="U48" s="467" t="s">
        <v>197</v>
      </c>
      <c r="V48" s="606" t="s">
        <v>197</v>
      </c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</row>
    <row r="49" spans="1:41" s="184" customFormat="1" ht="50.4" customHeight="1" x14ac:dyDescent="0.25">
      <c r="A49" s="517"/>
      <c r="B49" s="756"/>
      <c r="C49" s="758"/>
      <c r="D49" s="643" t="s">
        <v>253</v>
      </c>
      <c r="E49" s="519">
        <v>570648.81999999995</v>
      </c>
      <c r="F49" s="520">
        <f>44834.64*1.2</f>
        <v>53801.567999999999</v>
      </c>
      <c r="G49" s="520">
        <f>E49-F49</f>
        <v>516847.25199999998</v>
      </c>
      <c r="H49" s="521" t="s">
        <v>245</v>
      </c>
      <c r="I49" s="522"/>
      <c r="J49" s="523" t="s">
        <v>193</v>
      </c>
      <c r="K49" s="479"/>
      <c r="L49" s="480"/>
      <c r="M49" s="480"/>
      <c r="N49" s="480"/>
      <c r="O49" s="480"/>
      <c r="P49" s="480"/>
      <c r="Q49" s="480"/>
      <c r="R49" s="480"/>
      <c r="S49" s="478"/>
      <c r="T49" s="584" t="s">
        <v>197</v>
      </c>
      <c r="U49" s="467" t="s">
        <v>197</v>
      </c>
      <c r="V49" s="606" t="s">
        <v>197</v>
      </c>
    </row>
    <row r="50" spans="1:41" s="184" customFormat="1" ht="50.4" customHeight="1" x14ac:dyDescent="0.25">
      <c r="A50" s="517"/>
      <c r="B50" s="756"/>
      <c r="C50" s="758"/>
      <c r="D50" s="643" t="s">
        <v>257</v>
      </c>
      <c r="E50" s="519">
        <v>891689.83919199998</v>
      </c>
      <c r="F50" s="520">
        <v>624534.33071200002</v>
      </c>
      <c r="G50" s="520">
        <v>267155.50847999996</v>
      </c>
      <c r="H50" s="521" t="s">
        <v>245</v>
      </c>
      <c r="I50" s="522"/>
      <c r="J50" s="523" t="s">
        <v>193</v>
      </c>
      <c r="K50" s="479"/>
      <c r="L50" s="480"/>
      <c r="M50" s="480"/>
      <c r="N50" s="480"/>
      <c r="O50" s="480"/>
      <c r="P50" s="480"/>
      <c r="Q50" s="480"/>
      <c r="R50" s="480"/>
      <c r="S50" s="478"/>
      <c r="T50" s="584" t="s">
        <v>197</v>
      </c>
      <c r="U50" s="467" t="s">
        <v>197</v>
      </c>
      <c r="V50" s="606" t="s">
        <v>197</v>
      </c>
    </row>
    <row r="51" spans="1:41" s="184" customFormat="1" ht="50.4" customHeight="1" x14ac:dyDescent="0.25">
      <c r="A51" s="517"/>
      <c r="B51" s="756"/>
      <c r="C51" s="758"/>
      <c r="D51" s="643" t="s">
        <v>266</v>
      </c>
      <c r="E51" s="519">
        <v>189732.76</v>
      </c>
      <c r="F51" s="520">
        <v>78686.555999999997</v>
      </c>
      <c r="G51" s="520">
        <v>111046.20400000001</v>
      </c>
      <c r="H51" s="521" t="s">
        <v>245</v>
      </c>
      <c r="I51" s="522"/>
      <c r="J51" s="523" t="s">
        <v>193</v>
      </c>
      <c r="K51" s="479"/>
      <c r="L51" s="480"/>
      <c r="M51" s="480"/>
      <c r="N51" s="480"/>
      <c r="O51" s="480"/>
      <c r="P51" s="480"/>
      <c r="Q51" s="480"/>
      <c r="R51" s="480"/>
      <c r="S51" s="478"/>
      <c r="T51" s="584" t="s">
        <v>197</v>
      </c>
      <c r="U51" s="467" t="s">
        <v>197</v>
      </c>
      <c r="V51" s="606" t="s">
        <v>197</v>
      </c>
    </row>
    <row r="52" spans="1:41" s="184" customFormat="1" ht="50.4" customHeight="1" x14ac:dyDescent="0.25">
      <c r="A52" s="517"/>
      <c r="B52" s="756"/>
      <c r="C52" s="758"/>
      <c r="D52" s="643" t="s">
        <v>273</v>
      </c>
      <c r="E52" s="519">
        <v>573416.30000000005</v>
      </c>
      <c r="F52" s="520">
        <f>221849.42*1.2</f>
        <v>266219.304</v>
      </c>
      <c r="G52" s="520">
        <f>E52-F52</f>
        <v>307196.99600000004</v>
      </c>
      <c r="H52" s="521" t="s">
        <v>245</v>
      </c>
      <c r="I52" s="522"/>
      <c r="J52" s="523" t="s">
        <v>193</v>
      </c>
      <c r="K52" s="479"/>
      <c r="L52" s="480"/>
      <c r="M52" s="480"/>
      <c r="N52" s="480"/>
      <c r="O52" s="480"/>
      <c r="P52" s="480"/>
      <c r="Q52" s="480"/>
      <c r="R52" s="480"/>
      <c r="S52" s="478"/>
      <c r="T52" s="584" t="s">
        <v>197</v>
      </c>
      <c r="U52" s="467" t="s">
        <v>197</v>
      </c>
      <c r="V52" s="606" t="s">
        <v>197</v>
      </c>
    </row>
    <row r="53" spans="1:41" s="184" customFormat="1" ht="50.4" customHeight="1" x14ac:dyDescent="0.25">
      <c r="A53" s="517"/>
      <c r="B53" s="756"/>
      <c r="C53" s="758"/>
      <c r="D53" s="643" t="s">
        <v>284</v>
      </c>
      <c r="E53" s="519">
        <v>385695.8</v>
      </c>
      <c r="F53" s="520">
        <f>128385.17*1.2</f>
        <v>154062.204</v>
      </c>
      <c r="G53" s="520">
        <f>E53-F53</f>
        <v>231633.59599999999</v>
      </c>
      <c r="H53" s="521" t="s">
        <v>245</v>
      </c>
      <c r="I53" s="522"/>
      <c r="J53" s="523" t="s">
        <v>193</v>
      </c>
      <c r="K53" s="479"/>
      <c r="L53" s="480"/>
      <c r="M53" s="480"/>
      <c r="N53" s="480"/>
      <c r="O53" s="480"/>
      <c r="P53" s="480"/>
      <c r="Q53" s="480"/>
      <c r="R53" s="480"/>
      <c r="S53" s="478"/>
      <c r="T53" s="584" t="s">
        <v>197</v>
      </c>
      <c r="U53" s="467" t="s">
        <v>197</v>
      </c>
      <c r="V53" s="606" t="s">
        <v>197</v>
      </c>
    </row>
    <row r="54" spans="1:41" s="184" customFormat="1" ht="18" customHeight="1" x14ac:dyDescent="0.25">
      <c r="A54" s="517"/>
      <c r="B54" s="756"/>
      <c r="C54" s="758"/>
      <c r="D54" s="518" t="s">
        <v>285</v>
      </c>
      <c r="E54" s="519">
        <v>643318.31999999995</v>
      </c>
      <c r="F54" s="520">
        <f>217218.1*1.2</f>
        <v>260661.72</v>
      </c>
      <c r="G54" s="520">
        <f>E54-F54</f>
        <v>382656.6</v>
      </c>
      <c r="H54" s="521" t="s">
        <v>245</v>
      </c>
      <c r="I54" s="522"/>
      <c r="J54" s="523" t="s">
        <v>193</v>
      </c>
      <c r="K54" s="535"/>
      <c r="L54" s="480"/>
      <c r="M54" s="480"/>
      <c r="N54" s="480"/>
      <c r="O54" s="480"/>
      <c r="P54" s="480"/>
      <c r="Q54" s="480"/>
      <c r="R54" s="480"/>
      <c r="S54" s="478"/>
      <c r="T54" s="584" t="s">
        <v>197</v>
      </c>
      <c r="U54" s="467" t="s">
        <v>197</v>
      </c>
      <c r="V54" s="606" t="s">
        <v>197</v>
      </c>
    </row>
    <row r="55" spans="1:41" s="184" customFormat="1" ht="98.4" customHeight="1" x14ac:dyDescent="0.25">
      <c r="A55" s="517"/>
      <c r="B55" s="757"/>
      <c r="C55" s="758"/>
      <c r="D55" s="660" t="s">
        <v>333</v>
      </c>
      <c r="E55" s="661">
        <v>817290.02</v>
      </c>
      <c r="F55" s="662">
        <v>534541.27867200004</v>
      </c>
      <c r="G55" s="662">
        <f>E55-F55</f>
        <v>282748.74132799997</v>
      </c>
      <c r="H55" s="663" t="s">
        <v>332</v>
      </c>
      <c r="I55" s="522"/>
      <c r="J55" s="523"/>
      <c r="K55" s="535"/>
      <c r="L55" s="480"/>
      <c r="M55" s="480"/>
      <c r="N55" s="480"/>
      <c r="O55" s="480"/>
      <c r="P55" s="480"/>
      <c r="Q55" s="480"/>
      <c r="R55" s="480"/>
      <c r="S55" s="478"/>
      <c r="T55" s="584"/>
      <c r="U55" s="467"/>
      <c r="V55" s="606"/>
    </row>
    <row r="56" spans="1:41" s="200" customFormat="1" ht="47.4" customHeight="1" x14ac:dyDescent="0.25">
      <c r="A56" s="419"/>
      <c r="B56" s="742" t="s">
        <v>217</v>
      </c>
      <c r="C56" s="733">
        <f>'Реєстр ДЦ '!E17</f>
        <v>9073606.3345953152</v>
      </c>
      <c r="D56" s="644" t="s">
        <v>223</v>
      </c>
      <c r="E56" s="572">
        <v>690300.6</v>
      </c>
      <c r="F56" s="573">
        <v>686067</v>
      </c>
      <c r="G56" s="573">
        <f t="shared" si="4"/>
        <v>4233.5999999999767</v>
      </c>
      <c r="H56" s="537" t="s">
        <v>245</v>
      </c>
      <c r="I56" s="574"/>
      <c r="J56" s="645" t="s">
        <v>193</v>
      </c>
      <c r="K56" s="534"/>
      <c r="L56" s="444"/>
      <c r="M56" s="444"/>
      <c r="N56" s="444"/>
      <c r="O56" s="444"/>
      <c r="P56" s="444"/>
      <c r="Q56" s="444"/>
      <c r="R56" s="444"/>
      <c r="S56" s="454"/>
      <c r="T56" s="584" t="s">
        <v>197</v>
      </c>
      <c r="U56" s="467" t="s">
        <v>197</v>
      </c>
      <c r="V56" s="606" t="s">
        <v>197</v>
      </c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</row>
    <row r="57" spans="1:41" s="200" customFormat="1" ht="39" customHeight="1" x14ac:dyDescent="0.25">
      <c r="A57" s="419"/>
      <c r="B57" s="743"/>
      <c r="C57" s="734"/>
      <c r="D57" s="547" t="s">
        <v>225</v>
      </c>
      <c r="E57" s="473">
        <v>676459.4412</v>
      </c>
      <c r="F57" s="472">
        <v>132977.54999999999</v>
      </c>
      <c r="G57" s="472">
        <f t="shared" si="4"/>
        <v>543481.89119999995</v>
      </c>
      <c r="H57" s="471" t="s">
        <v>245</v>
      </c>
      <c r="I57" s="474"/>
      <c r="J57" s="541" t="s">
        <v>193</v>
      </c>
      <c r="K57" s="534"/>
      <c r="L57" s="444"/>
      <c r="M57" s="444"/>
      <c r="N57" s="444"/>
      <c r="O57" s="444"/>
      <c r="P57" s="444"/>
      <c r="Q57" s="444"/>
      <c r="R57" s="444"/>
      <c r="S57" s="454"/>
      <c r="T57" s="584" t="s">
        <v>197</v>
      </c>
      <c r="U57" s="467" t="s">
        <v>197</v>
      </c>
      <c r="V57" s="606" t="s">
        <v>197</v>
      </c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</row>
    <row r="58" spans="1:41" s="200" customFormat="1" ht="39" customHeight="1" x14ac:dyDescent="0.25">
      <c r="A58" s="419"/>
      <c r="B58" s="743"/>
      <c r="C58" s="734"/>
      <c r="D58" s="547" t="s">
        <v>227</v>
      </c>
      <c r="E58" s="473">
        <v>400634.28960000002</v>
      </c>
      <c r="F58" s="472">
        <v>327537.48959999997</v>
      </c>
      <c r="G58" s="472">
        <f t="shared" si="4"/>
        <v>73096.800000000047</v>
      </c>
      <c r="H58" s="471" t="s">
        <v>245</v>
      </c>
      <c r="I58" s="474"/>
      <c r="J58" s="541" t="s">
        <v>193</v>
      </c>
      <c r="K58" s="534"/>
      <c r="L58" s="444"/>
      <c r="M58" s="444"/>
      <c r="N58" s="444"/>
      <c r="O58" s="444"/>
      <c r="P58" s="444"/>
      <c r="Q58" s="444"/>
      <c r="R58" s="444"/>
      <c r="S58" s="454"/>
      <c r="T58" s="584" t="s">
        <v>197</v>
      </c>
      <c r="U58" s="467" t="s">
        <v>197</v>
      </c>
      <c r="V58" s="606" t="s">
        <v>197</v>
      </c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</row>
    <row r="59" spans="1:41" s="200" customFormat="1" ht="39" customHeight="1" x14ac:dyDescent="0.25">
      <c r="A59" s="419"/>
      <c r="B59" s="743"/>
      <c r="C59" s="734"/>
      <c r="D59" s="547" t="s">
        <v>228</v>
      </c>
      <c r="E59" s="473">
        <v>827310.95</v>
      </c>
      <c r="F59" s="472">
        <f>270109.29*1.2</f>
        <v>324131.14799999999</v>
      </c>
      <c r="G59" s="472">
        <f t="shared" si="4"/>
        <v>503179.80199999997</v>
      </c>
      <c r="H59" s="471" t="s">
        <v>245</v>
      </c>
      <c r="I59" s="474"/>
      <c r="J59" s="541" t="s">
        <v>193</v>
      </c>
      <c r="K59" s="534"/>
      <c r="L59" s="444"/>
      <c r="M59" s="444"/>
      <c r="N59" s="444"/>
      <c r="O59" s="444"/>
      <c r="P59" s="444"/>
      <c r="Q59" s="444"/>
      <c r="R59" s="444"/>
      <c r="S59" s="454"/>
      <c r="T59" s="584" t="s">
        <v>197</v>
      </c>
      <c r="U59" s="467" t="s">
        <v>197</v>
      </c>
      <c r="V59" s="606" t="s">
        <v>197</v>
      </c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</row>
    <row r="60" spans="1:41" s="200" customFormat="1" ht="42.6" customHeight="1" x14ac:dyDescent="0.25">
      <c r="A60" s="419"/>
      <c r="B60" s="743"/>
      <c r="C60" s="734"/>
      <c r="D60" s="547" t="s">
        <v>233</v>
      </c>
      <c r="E60" s="469">
        <v>257756.03159999999</v>
      </c>
      <c r="F60" s="470">
        <f>E60-G60</f>
        <v>97877.631599999993</v>
      </c>
      <c r="G60" s="470">
        <v>159878.39999999999</v>
      </c>
      <c r="H60" s="471" t="s">
        <v>245</v>
      </c>
      <c r="I60" s="470"/>
      <c r="J60" s="541" t="s">
        <v>193</v>
      </c>
      <c r="K60" s="534"/>
      <c r="L60" s="444"/>
      <c r="M60" s="444"/>
      <c r="N60" s="444"/>
      <c r="O60" s="444"/>
      <c r="P60" s="444"/>
      <c r="Q60" s="444"/>
      <c r="R60" s="444"/>
      <c r="S60" s="454"/>
      <c r="T60" s="584" t="s">
        <v>197</v>
      </c>
      <c r="U60" s="467" t="s">
        <v>197</v>
      </c>
      <c r="V60" s="606" t="s">
        <v>197</v>
      </c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</row>
    <row r="61" spans="1:41" s="200" customFormat="1" ht="42.6" customHeight="1" x14ac:dyDescent="0.25">
      <c r="A61" s="419"/>
      <c r="B61" s="743"/>
      <c r="C61" s="734"/>
      <c r="D61" s="547" t="s">
        <v>239</v>
      </c>
      <c r="E61" s="469">
        <v>127800.19</v>
      </c>
      <c r="F61" s="470">
        <v>53067.193200000002</v>
      </c>
      <c r="G61" s="470">
        <f t="shared" ref="G61:G70" si="5">E61-F61</f>
        <v>74732.996799999994</v>
      </c>
      <c r="H61" s="471" t="s">
        <v>245</v>
      </c>
      <c r="I61" s="470"/>
      <c r="J61" s="541" t="s">
        <v>193</v>
      </c>
      <c r="K61" s="534"/>
      <c r="L61" s="444"/>
      <c r="M61" s="444"/>
      <c r="N61" s="444"/>
      <c r="O61" s="444"/>
      <c r="P61" s="444"/>
      <c r="Q61" s="444"/>
      <c r="R61" s="444"/>
      <c r="S61" s="454"/>
      <c r="T61" s="584" t="s">
        <v>197</v>
      </c>
      <c r="U61" s="467" t="s">
        <v>197</v>
      </c>
      <c r="V61" s="606" t="s">
        <v>197</v>
      </c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</row>
    <row r="62" spans="1:41" s="200" customFormat="1" ht="42.6" customHeight="1" x14ac:dyDescent="0.25">
      <c r="A62" s="419"/>
      <c r="B62" s="743"/>
      <c r="C62" s="734"/>
      <c r="D62" s="547" t="s">
        <v>247</v>
      </c>
      <c r="E62" s="469">
        <v>324958.37</v>
      </c>
      <c r="F62" s="470">
        <f>111397.64*1.2</f>
        <v>133677.16800000001</v>
      </c>
      <c r="G62" s="470">
        <f t="shared" si="5"/>
        <v>191281.20199999999</v>
      </c>
      <c r="H62" s="471" t="s">
        <v>245</v>
      </c>
      <c r="I62" s="470"/>
      <c r="J62" s="541" t="s">
        <v>193</v>
      </c>
      <c r="K62" s="534"/>
      <c r="L62" s="444"/>
      <c r="M62" s="444"/>
      <c r="N62" s="444"/>
      <c r="O62" s="444"/>
      <c r="P62" s="444"/>
      <c r="Q62" s="444"/>
      <c r="R62" s="444"/>
      <c r="S62" s="454"/>
      <c r="T62" s="584" t="s">
        <v>197</v>
      </c>
      <c r="U62" s="467" t="s">
        <v>197</v>
      </c>
      <c r="V62" s="606" t="s">
        <v>197</v>
      </c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</row>
    <row r="63" spans="1:41" s="200" customFormat="1" ht="42.6" customHeight="1" x14ac:dyDescent="0.25">
      <c r="A63" s="419"/>
      <c r="B63" s="743"/>
      <c r="C63" s="734"/>
      <c r="D63" s="547" t="s">
        <v>251</v>
      </c>
      <c r="E63" s="469">
        <v>734264.92</v>
      </c>
      <c r="F63" s="470">
        <f>435361.47*1.2</f>
        <v>522433.76399999997</v>
      </c>
      <c r="G63" s="470">
        <f t="shared" si="5"/>
        <v>211831.15600000008</v>
      </c>
      <c r="H63" s="471" t="s">
        <v>245</v>
      </c>
      <c r="I63" s="470"/>
      <c r="J63" s="541" t="s">
        <v>193</v>
      </c>
      <c r="K63" s="534"/>
      <c r="L63" s="444"/>
      <c r="M63" s="444"/>
      <c r="N63" s="444"/>
      <c r="O63" s="444"/>
      <c r="P63" s="444"/>
      <c r="Q63" s="444"/>
      <c r="R63" s="444"/>
      <c r="S63" s="454"/>
      <c r="T63" s="584" t="s">
        <v>197</v>
      </c>
      <c r="U63" s="467" t="s">
        <v>197</v>
      </c>
      <c r="V63" s="606" t="s">
        <v>197</v>
      </c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</row>
    <row r="64" spans="1:41" s="184" customFormat="1" ht="42.6" customHeight="1" x14ac:dyDescent="0.25">
      <c r="A64" s="478"/>
      <c r="B64" s="743"/>
      <c r="C64" s="734"/>
      <c r="D64" s="547" t="s">
        <v>254</v>
      </c>
      <c r="E64" s="469">
        <v>623405.12</v>
      </c>
      <c r="F64" s="470">
        <f>264960.13</f>
        <v>264960.13</v>
      </c>
      <c r="G64" s="470">
        <f t="shared" si="5"/>
        <v>358444.99</v>
      </c>
      <c r="H64" s="471" t="s">
        <v>245</v>
      </c>
      <c r="I64" s="470"/>
      <c r="J64" s="541" t="s">
        <v>193</v>
      </c>
      <c r="K64" s="535"/>
      <c r="L64" s="480"/>
      <c r="M64" s="480"/>
      <c r="N64" s="480"/>
      <c r="O64" s="480"/>
      <c r="P64" s="480"/>
      <c r="Q64" s="480"/>
      <c r="R64" s="480"/>
      <c r="S64" s="478"/>
      <c r="T64" s="584" t="s">
        <v>197</v>
      </c>
      <c r="U64" s="467" t="s">
        <v>197</v>
      </c>
      <c r="V64" s="606" t="s">
        <v>197</v>
      </c>
    </row>
    <row r="65" spans="1:22" s="184" customFormat="1" ht="42.6" customHeight="1" x14ac:dyDescent="0.25">
      <c r="A65" s="478"/>
      <c r="B65" s="743"/>
      <c r="C65" s="734"/>
      <c r="D65" s="548" t="s">
        <v>259</v>
      </c>
      <c r="E65" s="469">
        <v>74595.378960000016</v>
      </c>
      <c r="F65" s="533">
        <v>29726.418960000003</v>
      </c>
      <c r="G65" s="470">
        <f t="shared" si="5"/>
        <v>44868.960000000014</v>
      </c>
      <c r="H65" s="471" t="s">
        <v>245</v>
      </c>
      <c r="I65" s="470"/>
      <c r="J65" s="541" t="s">
        <v>193</v>
      </c>
      <c r="K65" s="535"/>
      <c r="L65" s="480"/>
      <c r="M65" s="480"/>
      <c r="N65" s="480"/>
      <c r="O65" s="480"/>
      <c r="P65" s="480"/>
      <c r="Q65" s="480"/>
      <c r="R65" s="480"/>
      <c r="S65" s="478"/>
      <c r="T65" s="584" t="s">
        <v>197</v>
      </c>
      <c r="U65" s="467" t="s">
        <v>197</v>
      </c>
      <c r="V65" s="606" t="s">
        <v>197</v>
      </c>
    </row>
    <row r="66" spans="1:22" s="184" customFormat="1" ht="42.6" customHeight="1" x14ac:dyDescent="0.25">
      <c r="A66" s="478"/>
      <c r="B66" s="743"/>
      <c r="C66" s="734"/>
      <c r="D66" s="548" t="s">
        <v>263</v>
      </c>
      <c r="E66" s="469">
        <v>293643.82</v>
      </c>
      <c r="F66" s="533">
        <f>112726.06*1.2</f>
        <v>135271.272</v>
      </c>
      <c r="G66" s="470">
        <f>E66-F66</f>
        <v>158372.54800000001</v>
      </c>
      <c r="H66" s="471" t="s">
        <v>245</v>
      </c>
      <c r="I66" s="470"/>
      <c r="J66" s="541" t="s">
        <v>193</v>
      </c>
      <c r="K66" s="535"/>
      <c r="L66" s="480"/>
      <c r="M66" s="480"/>
      <c r="N66" s="480"/>
      <c r="O66" s="480"/>
      <c r="P66" s="480"/>
      <c r="Q66" s="480"/>
      <c r="R66" s="480"/>
      <c r="S66" s="478"/>
      <c r="T66" s="584" t="s">
        <v>197</v>
      </c>
      <c r="U66" s="467" t="s">
        <v>197</v>
      </c>
      <c r="V66" s="606" t="s">
        <v>197</v>
      </c>
    </row>
    <row r="67" spans="1:22" s="184" customFormat="1" ht="42.6" customHeight="1" x14ac:dyDescent="0.25">
      <c r="A67" s="478"/>
      <c r="B67" s="743"/>
      <c r="C67" s="734"/>
      <c r="D67" s="548" t="s">
        <v>275</v>
      </c>
      <c r="E67" s="469">
        <v>149214.10999999999</v>
      </c>
      <c r="F67" s="533">
        <f>41366.64*1.2</f>
        <v>49639.968000000001</v>
      </c>
      <c r="G67" s="470">
        <f>E67-F67</f>
        <v>99574.141999999993</v>
      </c>
      <c r="H67" s="471" t="s">
        <v>245</v>
      </c>
      <c r="I67" s="470"/>
      <c r="J67" s="541" t="s">
        <v>193</v>
      </c>
      <c r="K67" s="535"/>
      <c r="L67" s="480"/>
      <c r="M67" s="480"/>
      <c r="N67" s="480"/>
      <c r="O67" s="480"/>
      <c r="P67" s="480"/>
      <c r="Q67" s="480"/>
      <c r="R67" s="480"/>
      <c r="S67" s="478"/>
      <c r="T67" s="584" t="s">
        <v>197</v>
      </c>
      <c r="U67" s="467" t="s">
        <v>197</v>
      </c>
      <c r="V67" s="606" t="s">
        <v>197</v>
      </c>
    </row>
    <row r="68" spans="1:22" s="184" customFormat="1" ht="42.6" customHeight="1" x14ac:dyDescent="0.25">
      <c r="A68" s="478"/>
      <c r="B68" s="743"/>
      <c r="C68" s="734"/>
      <c r="D68" s="548" t="s">
        <v>292</v>
      </c>
      <c r="E68" s="469">
        <v>912212.21</v>
      </c>
      <c r="F68" s="470">
        <f>375053.77*1.2</f>
        <v>450064.52400000003</v>
      </c>
      <c r="G68" s="470">
        <f>E68-F68</f>
        <v>462147.68599999993</v>
      </c>
      <c r="H68" s="471" t="s">
        <v>245</v>
      </c>
      <c r="I68" s="470"/>
      <c r="J68" s="541" t="s">
        <v>193</v>
      </c>
      <c r="K68" s="535"/>
      <c r="L68" s="480"/>
      <c r="M68" s="480"/>
      <c r="N68" s="480"/>
      <c r="O68" s="480"/>
      <c r="P68" s="480"/>
      <c r="Q68" s="480"/>
      <c r="R68" s="480"/>
      <c r="S68" s="478"/>
      <c r="T68" s="584" t="s">
        <v>197</v>
      </c>
      <c r="U68" s="467" t="s">
        <v>197</v>
      </c>
      <c r="V68" s="606" t="s">
        <v>197</v>
      </c>
    </row>
    <row r="69" spans="1:22" s="184" customFormat="1" ht="42.6" customHeight="1" thickBot="1" x14ac:dyDescent="0.3">
      <c r="A69" s="478"/>
      <c r="B69" s="743"/>
      <c r="C69" s="735"/>
      <c r="D69" s="549" t="s">
        <v>293</v>
      </c>
      <c r="E69" s="542">
        <v>347659.13</v>
      </c>
      <c r="F69" s="543">
        <f>137983.28*1.2</f>
        <v>165579.93599999999</v>
      </c>
      <c r="G69" s="543">
        <f>E69-F69</f>
        <v>182079.19400000002</v>
      </c>
      <c r="H69" s="544" t="s">
        <v>245</v>
      </c>
      <c r="I69" s="543"/>
      <c r="J69" s="545" t="s">
        <v>193</v>
      </c>
      <c r="K69" s="535"/>
      <c r="L69" s="480"/>
      <c r="M69" s="480"/>
      <c r="N69" s="480"/>
      <c r="O69" s="480"/>
      <c r="P69" s="480"/>
      <c r="Q69" s="480"/>
      <c r="R69" s="480"/>
      <c r="S69" s="478"/>
      <c r="T69" s="584" t="s">
        <v>197</v>
      </c>
      <c r="U69" s="467" t="s">
        <v>197</v>
      </c>
      <c r="V69" s="606" t="s">
        <v>197</v>
      </c>
    </row>
    <row r="70" spans="1:22" s="184" customFormat="1" ht="42.6" customHeight="1" x14ac:dyDescent="0.25">
      <c r="A70" s="478"/>
      <c r="B70" s="743"/>
      <c r="C70" s="745">
        <f>'Реєстр ДЦ '!E18</f>
        <v>13066963.705748018</v>
      </c>
      <c r="D70" s="546" t="s">
        <v>261</v>
      </c>
      <c r="E70" s="553">
        <v>1625770.4884807921</v>
      </c>
      <c r="F70" s="554">
        <f>776003.39*1.2</f>
        <v>931204.06799999997</v>
      </c>
      <c r="G70" s="554">
        <f t="shared" si="5"/>
        <v>694566.42048079218</v>
      </c>
      <c r="H70" s="539" t="s">
        <v>245</v>
      </c>
      <c r="I70" s="554"/>
      <c r="J70" s="540" t="s">
        <v>193</v>
      </c>
      <c r="K70" s="535"/>
      <c r="L70" s="480"/>
      <c r="M70" s="480"/>
      <c r="N70" s="480"/>
      <c r="O70" s="480"/>
      <c r="P70" s="480"/>
      <c r="Q70" s="480"/>
      <c r="R70" s="480"/>
      <c r="S70" s="478"/>
      <c r="T70" s="585"/>
      <c r="U70" s="467" t="s">
        <v>197</v>
      </c>
      <c r="V70" s="606" t="s">
        <v>197</v>
      </c>
    </row>
    <row r="71" spans="1:22" s="184" customFormat="1" ht="47.4" customHeight="1" x14ac:dyDescent="0.25">
      <c r="A71" s="478"/>
      <c r="B71" s="743"/>
      <c r="C71" s="745"/>
      <c r="D71" s="547" t="s">
        <v>262</v>
      </c>
      <c r="E71" s="469">
        <v>1852335.28</v>
      </c>
      <c r="F71" s="470">
        <f>937749.03*1.2</f>
        <v>1125298.8359999999</v>
      </c>
      <c r="G71" s="470">
        <f>E71-F71</f>
        <v>727036.44400000013</v>
      </c>
      <c r="H71" s="471" t="s">
        <v>245</v>
      </c>
      <c r="I71" s="470"/>
      <c r="J71" s="541" t="s">
        <v>193</v>
      </c>
      <c r="K71" s="535"/>
      <c r="L71" s="480"/>
      <c r="M71" s="480"/>
      <c r="N71" s="480"/>
      <c r="O71" s="480"/>
      <c r="P71" s="480"/>
      <c r="Q71" s="480"/>
      <c r="R71" s="480"/>
      <c r="S71" s="478"/>
      <c r="T71" s="586"/>
      <c r="U71" s="467" t="s">
        <v>197</v>
      </c>
      <c r="V71" s="606" t="s">
        <v>197</v>
      </c>
    </row>
    <row r="72" spans="1:22" s="184" customFormat="1" ht="47.4" customHeight="1" x14ac:dyDescent="0.25">
      <c r="A72" s="478"/>
      <c r="B72" s="743"/>
      <c r="C72" s="745"/>
      <c r="D72" s="547" t="s">
        <v>271</v>
      </c>
      <c r="E72" s="469">
        <v>1432990.86</v>
      </c>
      <c r="F72" s="470">
        <f>708431.25*1.2</f>
        <v>850117.5</v>
      </c>
      <c r="G72" s="470">
        <f>E72-F72</f>
        <v>582873.3600000001</v>
      </c>
      <c r="H72" s="471" t="s">
        <v>245</v>
      </c>
      <c r="I72" s="470"/>
      <c r="J72" s="541" t="s">
        <v>193</v>
      </c>
      <c r="K72" s="535"/>
      <c r="L72" s="480"/>
      <c r="M72" s="480"/>
      <c r="N72" s="480"/>
      <c r="O72" s="480"/>
      <c r="P72" s="480"/>
      <c r="Q72" s="480"/>
      <c r="R72" s="480"/>
      <c r="S72" s="478"/>
      <c r="T72" s="586"/>
      <c r="U72" s="467" t="s">
        <v>197</v>
      </c>
      <c r="V72" s="606" t="s">
        <v>197</v>
      </c>
    </row>
    <row r="73" spans="1:22" s="184" customFormat="1" ht="47.4" customHeight="1" x14ac:dyDescent="0.25">
      <c r="A73" s="478"/>
      <c r="B73" s="743"/>
      <c r="C73" s="745"/>
      <c r="D73" s="547" t="s">
        <v>278</v>
      </c>
      <c r="E73" s="469">
        <v>1581832.13</v>
      </c>
      <c r="F73" s="470">
        <f>778798.59*1.2</f>
        <v>934558.30799999996</v>
      </c>
      <c r="G73" s="470">
        <f>E73-F73</f>
        <v>647273.82199999993</v>
      </c>
      <c r="H73" s="471" t="s">
        <v>245</v>
      </c>
      <c r="I73" s="470"/>
      <c r="J73" s="541" t="s">
        <v>193</v>
      </c>
      <c r="K73" s="535"/>
      <c r="L73" s="480"/>
      <c r="M73" s="480"/>
      <c r="N73" s="480"/>
      <c r="O73" s="480"/>
      <c r="P73" s="480"/>
      <c r="Q73" s="480"/>
      <c r="R73" s="480"/>
      <c r="S73" s="478"/>
      <c r="T73" s="586"/>
      <c r="U73" s="467" t="s">
        <v>197</v>
      </c>
      <c r="V73" s="606" t="s">
        <v>197</v>
      </c>
    </row>
    <row r="74" spans="1:22" s="184" customFormat="1" ht="47.4" customHeight="1" x14ac:dyDescent="0.25">
      <c r="A74" s="478"/>
      <c r="B74" s="743"/>
      <c r="C74" s="745"/>
      <c r="D74" s="547" t="s">
        <v>294</v>
      </c>
      <c r="E74" s="469">
        <v>3319852.72</v>
      </c>
      <c r="F74" s="470">
        <f>1704047.43*1.2</f>
        <v>2044856.9159999997</v>
      </c>
      <c r="G74" s="470">
        <f>E74-F74</f>
        <v>1274995.8040000005</v>
      </c>
      <c r="H74" s="471" t="s">
        <v>245</v>
      </c>
      <c r="I74" s="470"/>
      <c r="J74" s="541" t="s">
        <v>193</v>
      </c>
      <c r="K74" s="535"/>
      <c r="L74" s="480"/>
      <c r="M74" s="480"/>
      <c r="N74" s="480"/>
      <c r="O74" s="480"/>
      <c r="P74" s="480"/>
      <c r="Q74" s="480"/>
      <c r="R74" s="480"/>
      <c r="S74" s="478"/>
      <c r="T74" s="586"/>
      <c r="U74" s="467" t="s">
        <v>197</v>
      </c>
      <c r="V74" s="606" t="s">
        <v>197</v>
      </c>
    </row>
    <row r="75" spans="1:22" s="184" customFormat="1" ht="47.4" customHeight="1" x14ac:dyDescent="0.25">
      <c r="A75" s="478"/>
      <c r="B75" s="743"/>
      <c r="C75" s="745"/>
      <c r="D75" s="547" t="s">
        <v>295</v>
      </c>
      <c r="E75" s="469">
        <v>402888</v>
      </c>
      <c r="F75" s="470"/>
      <c r="G75" s="470">
        <f>E75</f>
        <v>402888</v>
      </c>
      <c r="H75" s="471" t="s">
        <v>245</v>
      </c>
      <c r="I75" s="470"/>
      <c r="J75" s="541" t="s">
        <v>193</v>
      </c>
      <c r="K75" s="535"/>
      <c r="L75" s="480"/>
      <c r="M75" s="480"/>
      <c r="N75" s="480"/>
      <c r="O75" s="480"/>
      <c r="P75" s="480"/>
      <c r="Q75" s="480"/>
      <c r="R75" s="480"/>
      <c r="S75" s="478"/>
      <c r="T75" s="583" t="s">
        <v>197</v>
      </c>
      <c r="U75" s="467" t="s">
        <v>197</v>
      </c>
      <c r="V75" s="606" t="s">
        <v>197</v>
      </c>
    </row>
    <row r="76" spans="1:22" s="184" customFormat="1" ht="47.4" customHeight="1" x14ac:dyDescent="0.25">
      <c r="A76" s="478"/>
      <c r="B76" s="743"/>
      <c r="C76" s="745"/>
      <c r="D76" s="595" t="s">
        <v>296</v>
      </c>
      <c r="E76" s="596">
        <v>442334.76</v>
      </c>
      <c r="F76" s="597">
        <f>52491.84*1.2</f>
        <v>62990.207999999991</v>
      </c>
      <c r="G76" s="597">
        <f>E76-F76</f>
        <v>379344.55200000003</v>
      </c>
      <c r="H76" s="598" t="s">
        <v>245</v>
      </c>
      <c r="I76" s="597"/>
      <c r="J76" s="541" t="s">
        <v>193</v>
      </c>
      <c r="K76" s="535"/>
      <c r="L76" s="480"/>
      <c r="M76" s="480"/>
      <c r="N76" s="480"/>
      <c r="O76" s="480"/>
      <c r="P76" s="480"/>
      <c r="Q76" s="480"/>
      <c r="R76" s="480"/>
      <c r="S76" s="478"/>
      <c r="T76" s="586"/>
      <c r="U76" s="467" t="s">
        <v>197</v>
      </c>
      <c r="V76" s="606" t="s">
        <v>197</v>
      </c>
    </row>
    <row r="77" spans="1:22" s="184" customFormat="1" ht="82.2" customHeight="1" x14ac:dyDescent="0.25">
      <c r="A77" s="478"/>
      <c r="B77" s="743"/>
      <c r="C77" s="745"/>
      <c r="D77" s="524" t="s">
        <v>311</v>
      </c>
      <c r="E77" s="629">
        <v>1083567.28</v>
      </c>
      <c r="F77" s="630"/>
      <c r="G77" s="630">
        <f>E77</f>
        <v>1083567.28</v>
      </c>
      <c r="H77" s="631" t="s">
        <v>314</v>
      </c>
      <c r="I77" s="630"/>
      <c r="J77" s="632" t="s">
        <v>193</v>
      </c>
      <c r="K77" s="633"/>
      <c r="L77" s="634"/>
      <c r="M77" s="634"/>
      <c r="N77" s="634"/>
      <c r="O77" s="634"/>
      <c r="P77" s="634"/>
      <c r="Q77" s="634"/>
      <c r="R77" s="634"/>
      <c r="S77" s="635"/>
      <c r="T77" s="636"/>
      <c r="U77" s="493" t="s">
        <v>197</v>
      </c>
      <c r="V77" s="641" t="s">
        <v>197</v>
      </c>
    </row>
    <row r="78" spans="1:22" s="184" customFormat="1" ht="82.2" customHeight="1" x14ac:dyDescent="0.25">
      <c r="A78" s="478"/>
      <c r="B78" s="744"/>
      <c r="C78" s="745"/>
      <c r="D78" s="652" t="s">
        <v>331</v>
      </c>
      <c r="E78" s="653">
        <v>149068.56</v>
      </c>
      <c r="F78" s="654"/>
      <c r="G78" s="654">
        <f>E78</f>
        <v>149068.56</v>
      </c>
      <c r="H78" s="655" t="s">
        <v>332</v>
      </c>
      <c r="I78" s="475"/>
      <c r="J78" s="526"/>
      <c r="K78" s="479"/>
      <c r="L78" s="479"/>
      <c r="M78" s="479"/>
      <c r="N78" s="479"/>
      <c r="O78" s="479"/>
      <c r="P78" s="479"/>
      <c r="Q78" s="479"/>
      <c r="R78" s="479"/>
      <c r="S78" s="478"/>
      <c r="T78" s="481"/>
      <c r="U78" s="493"/>
      <c r="V78" s="641"/>
    </row>
    <row r="79" spans="1:22" s="184" customFormat="1" ht="61.8" customHeight="1" x14ac:dyDescent="0.25">
      <c r="A79" s="478"/>
      <c r="B79" s="729" t="s">
        <v>256</v>
      </c>
      <c r="C79" s="731">
        <f>'Реєстр ДЦ '!E16</f>
        <v>6103629.7782315593</v>
      </c>
      <c r="D79" s="524" t="s">
        <v>288</v>
      </c>
      <c r="E79" s="642">
        <v>166627.20000000001</v>
      </c>
      <c r="F79" s="550"/>
      <c r="G79" s="550">
        <f>E79</f>
        <v>166627.20000000001</v>
      </c>
      <c r="H79" s="551" t="s">
        <v>245</v>
      </c>
      <c r="I79" s="550"/>
      <c r="J79" s="552" t="s">
        <v>193</v>
      </c>
      <c r="K79" s="637"/>
      <c r="L79" s="638"/>
      <c r="M79" s="638"/>
      <c r="N79" s="638"/>
      <c r="O79" s="638"/>
      <c r="P79" s="638"/>
      <c r="Q79" s="638"/>
      <c r="R79" s="638"/>
      <c r="S79" s="639"/>
      <c r="T79" s="640" t="s">
        <v>197</v>
      </c>
      <c r="U79" s="467" t="s">
        <v>197</v>
      </c>
      <c r="V79" s="493" t="s">
        <v>197</v>
      </c>
    </row>
    <row r="80" spans="1:22" s="184" customFormat="1" ht="61.8" customHeight="1" x14ac:dyDescent="0.25">
      <c r="A80" s="478"/>
      <c r="B80" s="730"/>
      <c r="C80" s="732"/>
      <c r="D80" s="652" t="s">
        <v>334</v>
      </c>
      <c r="E80" s="656">
        <v>1091993.68</v>
      </c>
      <c r="F80" s="657">
        <f>829856.92*1.2</f>
        <v>995828.304</v>
      </c>
      <c r="G80" s="657">
        <f>E80-F80</f>
        <v>96165.375999999931</v>
      </c>
      <c r="H80" s="658" t="s">
        <v>332</v>
      </c>
      <c r="I80" s="550"/>
      <c r="J80" s="552"/>
      <c r="K80" s="637"/>
      <c r="L80" s="638"/>
      <c r="M80" s="638"/>
      <c r="N80" s="638"/>
      <c r="O80" s="638"/>
      <c r="P80" s="638"/>
      <c r="Q80" s="638"/>
      <c r="R80" s="638"/>
      <c r="S80" s="639"/>
      <c r="T80" s="640"/>
      <c r="U80" s="467"/>
      <c r="V80" s="493"/>
    </row>
    <row r="81" spans="1:41" s="184" customFormat="1" ht="47.4" customHeight="1" x14ac:dyDescent="0.25">
      <c r="A81" s="527"/>
      <c r="B81" s="528" t="s">
        <v>260</v>
      </c>
      <c r="C81" s="529">
        <f>'Реєстр ДЦ '!E20</f>
        <v>2685708.78891384</v>
      </c>
      <c r="D81" s="468" t="s">
        <v>289</v>
      </c>
      <c r="E81" s="469">
        <v>200560.63</v>
      </c>
      <c r="F81" s="470"/>
      <c r="G81" s="470">
        <f>E81</f>
        <v>200560.63</v>
      </c>
      <c r="H81" s="471" t="s">
        <v>245</v>
      </c>
      <c r="I81" s="470"/>
      <c r="J81" s="477" t="s">
        <v>193</v>
      </c>
      <c r="K81" s="479"/>
      <c r="L81" s="480"/>
      <c r="M81" s="480"/>
      <c r="N81" s="480"/>
      <c r="O81" s="480"/>
      <c r="P81" s="480"/>
      <c r="Q81" s="480"/>
      <c r="R81" s="480"/>
      <c r="S81" s="478"/>
      <c r="T81" s="607" t="s">
        <v>197</v>
      </c>
      <c r="U81" s="467" t="s">
        <v>197</v>
      </c>
      <c r="V81" s="493" t="s">
        <v>197</v>
      </c>
    </row>
    <row r="82" spans="1:41" s="184" customFormat="1" ht="59.4" customHeight="1" x14ac:dyDescent="0.25">
      <c r="A82" s="478"/>
      <c r="B82" s="729" t="s">
        <v>286</v>
      </c>
      <c r="C82" s="731">
        <f>'Реєстр ДЦ '!E21</f>
        <v>3156468.66</v>
      </c>
      <c r="D82" s="524" t="s">
        <v>287</v>
      </c>
      <c r="E82" s="525">
        <v>253226.72</v>
      </c>
      <c r="F82" s="475">
        <v>0</v>
      </c>
      <c r="G82" s="475">
        <f>E82</f>
        <v>253226.72</v>
      </c>
      <c r="H82" s="515" t="s">
        <v>245</v>
      </c>
      <c r="I82" s="475"/>
      <c r="J82" s="526" t="s">
        <v>193</v>
      </c>
      <c r="K82" s="479"/>
      <c r="L82" s="480"/>
      <c r="M82" s="480"/>
      <c r="N82" s="480"/>
      <c r="O82" s="480"/>
      <c r="P82" s="480"/>
      <c r="Q82" s="480"/>
      <c r="R82" s="480"/>
      <c r="S82" s="478"/>
      <c r="T82" s="607" t="s">
        <v>197</v>
      </c>
      <c r="U82" s="467" t="s">
        <v>197</v>
      </c>
      <c r="V82" s="493" t="s">
        <v>197</v>
      </c>
    </row>
    <row r="83" spans="1:41" s="184" customFormat="1" ht="59.4" customHeight="1" x14ac:dyDescent="0.25">
      <c r="A83" s="478"/>
      <c r="B83" s="730"/>
      <c r="C83" s="732"/>
      <c r="D83" s="524" t="s">
        <v>310</v>
      </c>
      <c r="E83" s="525">
        <v>164812.87</v>
      </c>
      <c r="F83" s="475">
        <v>73055.91455999999</v>
      </c>
      <c r="G83" s="475">
        <f>E83-F83</f>
        <v>91756.955440000005</v>
      </c>
      <c r="H83" s="604" t="s">
        <v>314</v>
      </c>
      <c r="I83" s="475"/>
      <c r="J83" s="526" t="s">
        <v>193</v>
      </c>
      <c r="K83" s="479"/>
      <c r="L83" s="480"/>
      <c r="M83" s="480"/>
      <c r="N83" s="480"/>
      <c r="O83" s="480"/>
      <c r="P83" s="480"/>
      <c r="Q83" s="480"/>
      <c r="R83" s="480"/>
      <c r="S83" s="478"/>
      <c r="T83" s="608"/>
      <c r="U83" s="493"/>
      <c r="V83" s="493" t="s">
        <v>197</v>
      </c>
    </row>
    <row r="84" spans="1:41" s="184" customFormat="1" ht="47.4" customHeight="1" x14ac:dyDescent="0.25">
      <c r="A84" s="527"/>
      <c r="B84" s="530"/>
      <c r="C84" s="529"/>
      <c r="D84" s="468"/>
      <c r="E84" s="469"/>
      <c r="F84" s="470"/>
      <c r="G84" s="470"/>
      <c r="H84" s="471"/>
      <c r="I84" s="470"/>
      <c r="J84" s="477"/>
      <c r="K84" s="479"/>
      <c r="L84" s="480"/>
      <c r="M84" s="480"/>
      <c r="N84" s="480"/>
      <c r="O84" s="480"/>
      <c r="P84" s="480"/>
      <c r="Q84" s="480"/>
      <c r="R84" s="480"/>
      <c r="S84" s="478"/>
      <c r="T84" s="481"/>
      <c r="U84" s="493"/>
      <c r="V84" s="493"/>
    </row>
    <row r="85" spans="1:41" s="201" customFormat="1" ht="32.4" customHeight="1" x14ac:dyDescent="0.25">
      <c r="A85" s="410"/>
      <c r="B85" s="410" t="s">
        <v>47</v>
      </c>
      <c r="C85" s="411">
        <f>SUM(C5:C84)</f>
        <v>237686902.14551422</v>
      </c>
      <c r="D85" s="411"/>
      <c r="E85" s="411">
        <f>SUM(E5:E84)</f>
        <v>66954999.578632802</v>
      </c>
      <c r="F85" s="411">
        <f>SUM(F5:F84)</f>
        <v>35167216.285806388</v>
      </c>
      <c r="G85" s="411">
        <f>SUM(G5:G84)</f>
        <v>31787783.292826392</v>
      </c>
      <c r="H85" s="411"/>
      <c r="I85" s="411"/>
      <c r="J85" s="508"/>
      <c r="K85" s="449"/>
      <c r="L85" s="449"/>
      <c r="M85" s="449"/>
      <c r="N85" s="449"/>
      <c r="O85" s="449"/>
      <c r="P85" s="449"/>
      <c r="Q85" s="449"/>
      <c r="R85" s="449"/>
      <c r="S85" s="432"/>
      <c r="T85" s="507"/>
      <c r="U85" s="432"/>
      <c r="V85" s="410"/>
    </row>
    <row r="86" spans="1:41" s="200" customFormat="1" ht="25.8" customHeight="1" x14ac:dyDescent="0.25">
      <c r="A86" s="414"/>
      <c r="B86" s="415"/>
      <c r="C86" s="418"/>
      <c r="D86" s="417"/>
      <c r="E86" s="418">
        <f>E85</f>
        <v>66954999.578632802</v>
      </c>
      <c r="F86" s="418">
        <f>F85</f>
        <v>35167216.285806388</v>
      </c>
      <c r="G86" s="418">
        <f>G85</f>
        <v>31787783.292826392</v>
      </c>
      <c r="H86" s="416"/>
      <c r="I86" s="416"/>
      <c r="J86" s="416">
        <f>E34+E35+E36+E55+E78+E80</f>
        <v>5779370.2199999997</v>
      </c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467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</row>
    <row r="87" spans="1:41" x14ac:dyDescent="0.25">
      <c r="C87" s="216"/>
      <c r="D87" s="216"/>
      <c r="E87" s="216"/>
      <c r="F87" s="216"/>
      <c r="G87" s="216"/>
      <c r="H87" s="216"/>
      <c r="I87" s="216"/>
      <c r="J87" s="216"/>
    </row>
    <row r="88" spans="1:41" x14ac:dyDescent="0.25">
      <c r="C88" s="216"/>
      <c r="D88" s="216"/>
      <c r="E88" s="216"/>
      <c r="F88" s="216"/>
      <c r="G88" s="216"/>
      <c r="H88" s="216"/>
      <c r="I88" s="216"/>
      <c r="J88" s="216"/>
    </row>
    <row r="89" spans="1:41" ht="19.2" customHeight="1" x14ac:dyDescent="0.25">
      <c r="B89" s="433"/>
      <c r="C89" s="216"/>
      <c r="D89" s="216"/>
      <c r="E89" s="216"/>
      <c r="F89" s="476"/>
      <c r="G89" s="216"/>
      <c r="H89" s="216"/>
      <c r="I89" s="216"/>
      <c r="J89" s="216"/>
    </row>
    <row r="90" spans="1:41" x14ac:dyDescent="0.25">
      <c r="C90" s="216"/>
      <c r="D90" s="216"/>
      <c r="E90" s="216"/>
      <c r="F90" s="216"/>
      <c r="G90" s="216"/>
      <c r="H90" s="216"/>
      <c r="I90" s="216"/>
      <c r="J90" s="216"/>
    </row>
    <row r="91" spans="1:41" x14ac:dyDescent="0.25">
      <c r="C91" s="216"/>
      <c r="D91" s="216"/>
      <c r="E91" s="216"/>
      <c r="F91" s="216"/>
      <c r="G91" s="216"/>
      <c r="H91" s="216"/>
      <c r="I91" s="216"/>
      <c r="J91" s="216"/>
    </row>
    <row r="92" spans="1:41" x14ac:dyDescent="0.25">
      <c r="C92" s="216"/>
      <c r="D92" s="216"/>
      <c r="E92" s="216"/>
      <c r="F92" s="216"/>
      <c r="G92" s="216"/>
      <c r="H92" s="216"/>
      <c r="I92" s="216"/>
      <c r="J92" s="216"/>
    </row>
    <row r="93" spans="1:41" x14ac:dyDescent="0.25">
      <c r="C93" s="216"/>
      <c r="D93" s="216"/>
      <c r="E93" s="216"/>
      <c r="F93" s="216"/>
      <c r="G93" s="216"/>
      <c r="H93" s="216"/>
      <c r="I93" s="216"/>
      <c r="J93" s="216"/>
    </row>
    <row r="94" spans="1:41" x14ac:dyDescent="0.25">
      <c r="C94" s="216"/>
      <c r="D94" s="216"/>
      <c r="E94" s="216"/>
      <c r="F94" s="216"/>
      <c r="G94" s="216"/>
      <c r="H94" s="216"/>
      <c r="I94" s="216"/>
      <c r="J94" s="216"/>
    </row>
    <row r="95" spans="1:41" ht="30" customHeight="1" x14ac:dyDescent="0.25">
      <c r="C95" s="216"/>
      <c r="D95" s="216"/>
      <c r="E95" s="216"/>
      <c r="F95" s="216"/>
      <c r="G95" s="216"/>
      <c r="H95" s="216"/>
      <c r="I95" s="216"/>
      <c r="J95" s="216"/>
    </row>
    <row r="96" spans="1:41" x14ac:dyDescent="0.25">
      <c r="C96" s="216"/>
      <c r="D96" s="216"/>
      <c r="E96" s="216"/>
      <c r="F96" s="216"/>
      <c r="G96" s="216"/>
      <c r="H96" s="216"/>
      <c r="I96" s="216"/>
      <c r="J96" s="216"/>
    </row>
    <row r="97" spans="3:10" x14ac:dyDescent="0.25">
      <c r="C97" s="216"/>
      <c r="D97" s="216"/>
      <c r="E97" s="216"/>
      <c r="F97" s="216"/>
      <c r="G97" s="216"/>
      <c r="H97" s="216"/>
      <c r="I97" s="216"/>
      <c r="J97" s="216"/>
    </row>
    <row r="98" spans="3:10" x14ac:dyDescent="0.25">
      <c r="C98" s="216"/>
      <c r="D98" s="216"/>
      <c r="E98" s="216"/>
      <c r="F98" s="216"/>
      <c r="G98" s="216"/>
      <c r="H98" s="216"/>
      <c r="I98" s="216"/>
      <c r="J98" s="216"/>
    </row>
    <row r="99" spans="3:10" x14ac:dyDescent="0.25">
      <c r="C99" s="216"/>
      <c r="D99" s="216"/>
      <c r="E99" s="216"/>
      <c r="F99" s="216"/>
      <c r="G99" s="216"/>
      <c r="H99" s="216"/>
      <c r="I99" s="216"/>
      <c r="J99" s="216"/>
    </row>
    <row r="100" spans="3:10" x14ac:dyDescent="0.25">
      <c r="C100" s="216"/>
      <c r="D100" s="216"/>
      <c r="E100" s="216"/>
      <c r="F100" s="216"/>
      <c r="G100" s="216"/>
      <c r="H100" s="216"/>
      <c r="I100" s="216"/>
      <c r="J100" s="216"/>
    </row>
    <row r="101" spans="3:10" x14ac:dyDescent="0.25">
      <c r="C101" s="216"/>
      <c r="D101" s="216"/>
      <c r="E101" s="216"/>
      <c r="F101" s="216"/>
      <c r="G101" s="216"/>
      <c r="H101" s="216"/>
      <c r="I101" s="216"/>
      <c r="J101" s="216"/>
    </row>
    <row r="102" spans="3:10" x14ac:dyDescent="0.25">
      <c r="C102" s="216"/>
      <c r="D102" s="216"/>
      <c r="E102" s="216"/>
      <c r="F102" s="216"/>
      <c r="G102" s="216"/>
      <c r="H102" s="216"/>
      <c r="I102" s="216"/>
      <c r="J102" s="216"/>
    </row>
    <row r="103" spans="3:10" x14ac:dyDescent="0.25">
      <c r="C103" s="216"/>
      <c r="D103" s="216"/>
      <c r="E103" s="216"/>
      <c r="F103" s="216"/>
      <c r="G103" s="216"/>
      <c r="H103" s="216"/>
      <c r="I103" s="216"/>
      <c r="J103" s="216"/>
    </row>
    <row r="104" spans="3:10" x14ac:dyDescent="0.25">
      <c r="C104" s="216"/>
      <c r="D104" s="216"/>
      <c r="E104" s="216"/>
      <c r="F104" s="216"/>
      <c r="G104" s="216"/>
      <c r="H104" s="216"/>
      <c r="I104" s="216"/>
      <c r="J104" s="216"/>
    </row>
    <row r="105" spans="3:10" x14ac:dyDescent="0.25">
      <c r="C105" s="216"/>
      <c r="D105" s="216"/>
      <c r="E105" s="216"/>
      <c r="F105" s="216"/>
      <c r="G105" s="216"/>
      <c r="H105" s="216"/>
      <c r="I105" s="216"/>
      <c r="J105" s="216"/>
    </row>
    <row r="106" spans="3:10" x14ac:dyDescent="0.25">
      <c r="C106" s="216"/>
      <c r="D106" s="216"/>
      <c r="E106" s="216"/>
      <c r="F106" s="216"/>
      <c r="G106" s="216"/>
      <c r="H106" s="216"/>
      <c r="I106" s="216"/>
      <c r="J106" s="216"/>
    </row>
    <row r="107" spans="3:10" x14ac:dyDescent="0.25">
      <c r="C107" s="216"/>
      <c r="D107" s="216"/>
      <c r="E107" s="216"/>
      <c r="F107" s="216"/>
      <c r="G107" s="216"/>
      <c r="H107" s="216"/>
      <c r="I107" s="216"/>
      <c r="J107" s="216"/>
    </row>
    <row r="108" spans="3:10" x14ac:dyDescent="0.25">
      <c r="C108" s="216"/>
      <c r="D108" s="216"/>
      <c r="E108" s="216"/>
      <c r="F108" s="216"/>
      <c r="G108" s="216"/>
      <c r="H108" s="216"/>
      <c r="I108" s="216"/>
      <c r="J108" s="216"/>
    </row>
    <row r="109" spans="3:10" x14ac:dyDescent="0.25">
      <c r="C109" s="216"/>
      <c r="D109" s="216"/>
      <c r="E109" s="216"/>
      <c r="F109" s="216"/>
      <c r="G109" s="216"/>
      <c r="H109" s="216"/>
      <c r="I109" s="216"/>
      <c r="J109" s="216"/>
    </row>
  </sheetData>
  <autoFilter ref="A4:AO4"/>
  <mergeCells count="22">
    <mergeCell ref="C21:C36"/>
    <mergeCell ref="B38:B40"/>
    <mergeCell ref="C38:C40"/>
    <mergeCell ref="B5:B37"/>
    <mergeCell ref="C5:C20"/>
    <mergeCell ref="A1:J2"/>
    <mergeCell ref="J3:J4"/>
    <mergeCell ref="D3:I3"/>
    <mergeCell ref="A3:A4"/>
    <mergeCell ref="B3:B4"/>
    <mergeCell ref="C3:C4"/>
    <mergeCell ref="B82:B83"/>
    <mergeCell ref="C82:C83"/>
    <mergeCell ref="C56:C69"/>
    <mergeCell ref="B41:B46"/>
    <mergeCell ref="C41:C46"/>
    <mergeCell ref="B56:B78"/>
    <mergeCell ref="C70:C78"/>
    <mergeCell ref="B47:B55"/>
    <mergeCell ref="C47:C55"/>
    <mergeCell ref="B79:B80"/>
    <mergeCell ref="C79:C80"/>
  </mergeCells>
  <phoneticPr fontId="35" type="noConversion"/>
  <pageMargins left="3.937007874015748E-2" right="0.23622047244094491" top="0.74803149606299213" bottom="0.74803149606299213" header="0.31496062992125984" footer="0.31496062992125984"/>
  <pageSetup paperSize="9" scale="1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3"/>
  <sheetViews>
    <sheetView showWhiteSpace="0" view="pageBreakPreview" zoomScale="50" zoomScaleNormal="50" zoomScaleSheetLayoutView="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E28" sqref="E28"/>
    </sheetView>
  </sheetViews>
  <sheetFormatPr defaultColWidth="9.109375" defaultRowHeight="12" x14ac:dyDescent="0.25"/>
  <cols>
    <col min="1" max="1" width="10.44140625" style="185" customWidth="1"/>
    <col min="2" max="2" width="56.33203125" style="185" customWidth="1"/>
    <col min="3" max="3" width="25.44140625" style="219" customWidth="1"/>
    <col min="4" max="4" width="18.21875" style="219" customWidth="1"/>
    <col min="5" max="5" width="25.77734375" style="219" customWidth="1"/>
    <col min="6" max="7" width="25.109375" style="219" customWidth="1"/>
    <col min="8" max="8" width="40" style="219" customWidth="1"/>
    <col min="9" max="9" width="26.88671875" style="219" customWidth="1"/>
    <col min="10" max="10" width="30.6640625" style="219" customWidth="1"/>
    <col min="11" max="14" width="31.33203125" style="185" hidden="1" customWidth="1"/>
    <col min="15" max="15" width="33.5546875" style="185" hidden="1" customWidth="1"/>
    <col min="16" max="18" width="31.33203125" style="185" hidden="1" customWidth="1"/>
    <col min="19" max="19" width="24.44140625" style="185" hidden="1" customWidth="1"/>
    <col min="20" max="20" width="21.33203125" style="185" customWidth="1"/>
    <col min="21" max="21" width="51.88671875" style="185" hidden="1" customWidth="1"/>
    <col min="22" max="16384" width="9.109375" style="185"/>
  </cols>
  <sheetData>
    <row r="1" spans="1:42" ht="16.95" customHeight="1" x14ac:dyDescent="0.25">
      <c r="A1" s="713" t="s">
        <v>191</v>
      </c>
      <c r="B1" s="713"/>
      <c r="C1" s="713"/>
      <c r="D1" s="713"/>
      <c r="E1" s="713"/>
      <c r="F1" s="713"/>
      <c r="G1" s="713"/>
      <c r="H1" s="713"/>
      <c r="I1" s="713"/>
      <c r="J1" s="713"/>
    </row>
    <row r="2" spans="1:42" ht="59.4" customHeight="1" x14ac:dyDescent="0.25">
      <c r="A2" s="746"/>
      <c r="B2" s="746"/>
      <c r="C2" s="746"/>
      <c r="D2" s="746"/>
      <c r="E2" s="746"/>
      <c r="F2" s="746"/>
      <c r="G2" s="746"/>
      <c r="H2" s="746"/>
      <c r="I2" s="746"/>
      <c r="J2" s="746"/>
      <c r="K2" s="446" t="s">
        <v>186</v>
      </c>
      <c r="L2" s="446"/>
      <c r="M2" s="446"/>
      <c r="N2" s="446"/>
      <c r="O2" s="446"/>
      <c r="P2" s="446"/>
      <c r="Q2" s="446"/>
      <c r="R2" s="446"/>
      <c r="U2" s="447"/>
    </row>
    <row r="3" spans="1:42" ht="24" customHeight="1" x14ac:dyDescent="0.25">
      <c r="A3" s="747" t="s">
        <v>109</v>
      </c>
      <c r="B3" s="753" t="s">
        <v>170</v>
      </c>
      <c r="C3" s="754" t="s">
        <v>177</v>
      </c>
      <c r="D3" s="749" t="s">
        <v>178</v>
      </c>
      <c r="E3" s="750"/>
      <c r="F3" s="750"/>
      <c r="G3" s="750"/>
      <c r="H3" s="750"/>
      <c r="I3" s="751"/>
      <c r="J3" s="747" t="s">
        <v>173</v>
      </c>
      <c r="K3" s="434" t="s">
        <v>184</v>
      </c>
      <c r="L3" s="439"/>
      <c r="M3" s="439"/>
      <c r="N3" s="439"/>
      <c r="O3" s="439"/>
      <c r="P3" s="439"/>
      <c r="Q3" s="439"/>
      <c r="R3" s="439"/>
      <c r="S3" s="440"/>
      <c r="T3" s="440"/>
      <c r="U3" s="434" t="s">
        <v>185</v>
      </c>
    </row>
    <row r="4" spans="1:42" ht="40.799999999999997" customHeight="1" x14ac:dyDescent="0.25">
      <c r="A4" s="752"/>
      <c r="B4" s="753"/>
      <c r="C4" s="771"/>
      <c r="D4" s="464" t="s">
        <v>111</v>
      </c>
      <c r="E4" s="464" t="s">
        <v>179</v>
      </c>
      <c r="F4" s="464" t="s">
        <v>175</v>
      </c>
      <c r="G4" s="464" t="s">
        <v>174</v>
      </c>
      <c r="H4" s="464" t="s">
        <v>9</v>
      </c>
      <c r="I4" s="464" t="s">
        <v>172</v>
      </c>
      <c r="J4" s="752"/>
      <c r="K4" s="431" t="s">
        <v>181</v>
      </c>
      <c r="L4" s="445" t="s">
        <v>202</v>
      </c>
      <c r="M4" s="445" t="s">
        <v>203</v>
      </c>
      <c r="N4" s="445" t="s">
        <v>199</v>
      </c>
      <c r="O4" s="445" t="s">
        <v>200</v>
      </c>
      <c r="P4" s="445" t="s">
        <v>204</v>
      </c>
      <c r="Q4" s="445" t="s">
        <v>205</v>
      </c>
      <c r="R4" s="445" t="s">
        <v>206</v>
      </c>
      <c r="S4" s="451" t="s">
        <v>207</v>
      </c>
      <c r="T4" s="451" t="s">
        <v>208</v>
      </c>
      <c r="U4" s="431" t="s">
        <v>183</v>
      </c>
    </row>
    <row r="5" spans="1:42" s="200" customFormat="1" ht="57.6" customHeight="1" x14ac:dyDescent="0.25">
      <c r="A5" s="436" t="s">
        <v>52</v>
      </c>
      <c r="B5" s="437" t="s">
        <v>195</v>
      </c>
      <c r="C5" s="423">
        <v>18590623.260000002</v>
      </c>
      <c r="D5" s="422" t="s">
        <v>52</v>
      </c>
      <c r="E5" s="423">
        <v>728783.74</v>
      </c>
      <c r="F5" s="421">
        <f>186569.78*1.2</f>
        <v>223883.736</v>
      </c>
      <c r="G5" s="421">
        <f>420750*1.2</f>
        <v>504900</v>
      </c>
      <c r="H5" s="458" t="s">
        <v>192</v>
      </c>
      <c r="I5" s="435"/>
      <c r="J5" s="438" t="s">
        <v>193</v>
      </c>
      <c r="K5" s="429" t="s">
        <v>187</v>
      </c>
      <c r="L5" s="444" t="s">
        <v>197</v>
      </c>
      <c r="M5" s="444" t="s">
        <v>197</v>
      </c>
      <c r="N5" s="444" t="s">
        <v>197</v>
      </c>
      <c r="O5" s="444" t="s">
        <v>197</v>
      </c>
      <c r="P5" s="444" t="s">
        <v>197</v>
      </c>
      <c r="Q5" s="444" t="s">
        <v>197</v>
      </c>
      <c r="R5" s="444" t="s">
        <v>197</v>
      </c>
      <c r="S5" s="453">
        <v>727783.74</v>
      </c>
      <c r="T5" s="454" t="s">
        <v>197</v>
      </c>
      <c r="U5" s="430" t="s">
        <v>188</v>
      </c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</row>
    <row r="6" spans="1:42" s="200" customFormat="1" ht="72.599999999999994" customHeight="1" x14ac:dyDescent="0.25">
      <c r="A6" s="419"/>
      <c r="B6" s="420"/>
      <c r="C6" s="424"/>
      <c r="D6" s="425" t="s">
        <v>68</v>
      </c>
      <c r="E6" s="426">
        <v>1941984</v>
      </c>
      <c r="F6" s="421">
        <v>0</v>
      </c>
      <c r="G6" s="424">
        <f>E6</f>
        <v>1941984</v>
      </c>
      <c r="H6" s="458" t="s">
        <v>192</v>
      </c>
      <c r="I6" s="435"/>
      <c r="J6" s="438" t="s">
        <v>193</v>
      </c>
      <c r="K6" s="429" t="s">
        <v>176</v>
      </c>
      <c r="L6" s="444" t="s">
        <v>197</v>
      </c>
      <c r="M6" s="444" t="s">
        <v>197</v>
      </c>
      <c r="N6" s="444" t="s">
        <v>197</v>
      </c>
      <c r="O6" s="444" t="s">
        <v>197</v>
      </c>
      <c r="P6" s="444" t="s">
        <v>197</v>
      </c>
      <c r="Q6" s="444" t="s">
        <v>197</v>
      </c>
      <c r="R6" s="444" t="s">
        <v>197</v>
      </c>
      <c r="S6" s="455">
        <f>E6</f>
        <v>1941984</v>
      </c>
      <c r="T6" s="454" t="s">
        <v>197</v>
      </c>
      <c r="U6" s="430" t="s">
        <v>190</v>
      </c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</row>
    <row r="7" spans="1:42" s="200" customFormat="1" ht="71.400000000000006" customHeight="1" x14ac:dyDescent="0.25">
      <c r="A7" s="419"/>
      <c r="B7" s="427"/>
      <c r="C7" s="421"/>
      <c r="D7" s="422" t="s">
        <v>69</v>
      </c>
      <c r="E7" s="423">
        <v>1131739.1200000001</v>
      </c>
      <c r="F7" s="421">
        <v>997219.1</v>
      </c>
      <c r="G7" s="421">
        <f>E7-F7</f>
        <v>134520.02000000014</v>
      </c>
      <c r="H7" s="459" t="s">
        <v>196</v>
      </c>
      <c r="I7" s="441"/>
      <c r="J7" s="428"/>
      <c r="K7" s="429" t="s">
        <v>171</v>
      </c>
      <c r="L7" s="444" t="s">
        <v>197</v>
      </c>
      <c r="M7" s="444" t="s">
        <v>197</v>
      </c>
      <c r="N7" s="444" t="s">
        <v>197</v>
      </c>
      <c r="O7" s="444" t="s">
        <v>197</v>
      </c>
      <c r="P7" s="444" t="s">
        <v>197</v>
      </c>
      <c r="Q7" s="444" t="s">
        <v>197</v>
      </c>
      <c r="R7" s="444" t="s">
        <v>197</v>
      </c>
      <c r="S7" s="454"/>
      <c r="T7" s="456" t="s">
        <v>197</v>
      </c>
      <c r="U7" s="430" t="s">
        <v>182</v>
      </c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</row>
    <row r="8" spans="1:42" s="200" customFormat="1" ht="71.400000000000006" customHeight="1" x14ac:dyDescent="0.25">
      <c r="A8" s="419"/>
      <c r="B8" s="427"/>
      <c r="C8" s="421"/>
      <c r="D8" s="422" t="s">
        <v>70</v>
      </c>
      <c r="E8" s="423">
        <v>2437104.3199999998</v>
      </c>
      <c r="F8" s="421">
        <v>1992504.3240000003</v>
      </c>
      <c r="G8" s="421">
        <f>E8-F8</f>
        <v>444599.99599999958</v>
      </c>
      <c r="H8" s="459" t="s">
        <v>196</v>
      </c>
      <c r="I8" s="441"/>
      <c r="J8" s="462"/>
      <c r="K8" s="429"/>
      <c r="L8" s="444" t="s">
        <v>197</v>
      </c>
      <c r="M8" s="444" t="s">
        <v>197</v>
      </c>
      <c r="N8" s="444" t="s">
        <v>197</v>
      </c>
      <c r="O8" s="444" t="s">
        <v>197</v>
      </c>
      <c r="P8" s="444" t="s">
        <v>197</v>
      </c>
      <c r="Q8" s="444" t="s">
        <v>197</v>
      </c>
      <c r="R8" s="452" t="s">
        <v>197</v>
      </c>
      <c r="S8" s="454"/>
      <c r="T8" s="454" t="s">
        <v>197</v>
      </c>
      <c r="U8" s="448" t="s">
        <v>201</v>
      </c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</row>
    <row r="9" spans="1:42" s="200" customFormat="1" ht="71.400000000000006" customHeight="1" x14ac:dyDescent="0.25">
      <c r="A9" s="419"/>
      <c r="B9" s="427"/>
      <c r="C9" s="421"/>
      <c r="D9" s="422" t="s">
        <v>71</v>
      </c>
      <c r="E9" s="423">
        <f>F9+G9</f>
        <v>2917817</v>
      </c>
      <c r="F9" s="421">
        <v>2747273</v>
      </c>
      <c r="G9" s="421">
        <v>170544</v>
      </c>
      <c r="H9" s="459" t="s">
        <v>196</v>
      </c>
      <c r="I9" s="441"/>
      <c r="J9" s="463"/>
      <c r="K9" s="429"/>
      <c r="L9" s="444" t="s">
        <v>197</v>
      </c>
      <c r="M9" s="444" t="s">
        <v>197</v>
      </c>
      <c r="N9" s="444" t="s">
        <v>197</v>
      </c>
      <c r="O9" s="444" t="s">
        <v>197</v>
      </c>
      <c r="P9" s="444" t="s">
        <v>197</v>
      </c>
      <c r="Q9" s="444" t="s">
        <v>197</v>
      </c>
      <c r="R9" s="444" t="s">
        <v>197</v>
      </c>
      <c r="S9" s="454"/>
      <c r="T9" s="454" t="s">
        <v>197</v>
      </c>
      <c r="U9" s="430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</row>
    <row r="10" spans="1:42" s="200" customFormat="1" ht="71.400000000000006" customHeight="1" x14ac:dyDescent="0.25">
      <c r="A10" s="419"/>
      <c r="B10" s="427"/>
      <c r="C10" s="421"/>
      <c r="D10" s="422" t="s">
        <v>72</v>
      </c>
      <c r="E10" s="423">
        <v>2603926.91</v>
      </c>
      <c r="F10" s="421">
        <f>943299.09*1.2</f>
        <v>1131958.9079999998</v>
      </c>
      <c r="G10" s="421">
        <f>1226640*1.2</f>
        <v>1471968</v>
      </c>
      <c r="H10" s="459" t="s">
        <v>196</v>
      </c>
      <c r="I10" s="441"/>
      <c r="J10" s="428"/>
      <c r="K10" s="429"/>
      <c r="L10" s="444" t="s">
        <v>197</v>
      </c>
      <c r="M10" s="444" t="s">
        <v>197</v>
      </c>
      <c r="N10" s="444" t="s">
        <v>197</v>
      </c>
      <c r="O10" s="444" t="s">
        <v>197</v>
      </c>
      <c r="P10" s="444" t="s">
        <v>197</v>
      </c>
      <c r="Q10" s="444" t="s">
        <v>197</v>
      </c>
      <c r="R10" s="444" t="s">
        <v>197</v>
      </c>
      <c r="S10" s="454"/>
      <c r="T10" s="454" t="s">
        <v>197</v>
      </c>
      <c r="U10" s="430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</row>
    <row r="11" spans="1:42" s="200" customFormat="1" ht="71.400000000000006" customHeight="1" x14ac:dyDescent="0.25">
      <c r="A11" s="419"/>
      <c r="B11" s="427"/>
      <c r="C11" s="421"/>
      <c r="D11" s="422" t="s">
        <v>73</v>
      </c>
      <c r="E11" s="423">
        <v>2571099.5499999998</v>
      </c>
      <c r="F11" s="421">
        <f>1733322.96*1.2</f>
        <v>2079987.5519999999</v>
      </c>
      <c r="G11" s="421">
        <f>E11-F11</f>
        <v>491111.99799999991</v>
      </c>
      <c r="H11" s="459" t="s">
        <v>196</v>
      </c>
      <c r="I11" s="441"/>
      <c r="J11" s="428"/>
      <c r="K11" s="429"/>
      <c r="L11" s="444" t="s">
        <v>197</v>
      </c>
      <c r="M11" s="444" t="s">
        <v>197</v>
      </c>
      <c r="N11" s="444" t="s">
        <v>197</v>
      </c>
      <c r="O11" s="444" t="s">
        <v>197</v>
      </c>
      <c r="P11" s="444" t="s">
        <v>197</v>
      </c>
      <c r="Q11" s="444" t="s">
        <v>197</v>
      </c>
      <c r="R11" s="444" t="s">
        <v>197</v>
      </c>
      <c r="S11" s="454"/>
      <c r="T11" s="454" t="s">
        <v>197</v>
      </c>
      <c r="U11" s="430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</row>
    <row r="12" spans="1:42" s="200" customFormat="1" ht="71.400000000000006" customHeight="1" x14ac:dyDescent="0.25">
      <c r="A12" s="419"/>
      <c r="B12" s="427"/>
      <c r="C12" s="421"/>
      <c r="D12" s="422" t="s">
        <v>76</v>
      </c>
      <c r="E12" s="423">
        <v>3356872.5240000002</v>
      </c>
      <c r="F12" s="421">
        <v>2199544.5239999997</v>
      </c>
      <c r="G12" s="421">
        <f>E12-F12</f>
        <v>1157328.0000000005</v>
      </c>
      <c r="H12" s="459" t="s">
        <v>196</v>
      </c>
      <c r="I12" s="441"/>
      <c r="J12" s="428"/>
      <c r="K12" s="429"/>
      <c r="L12" s="444" t="s">
        <v>197</v>
      </c>
      <c r="M12" s="444" t="s">
        <v>197</v>
      </c>
      <c r="N12" s="444" t="s">
        <v>197</v>
      </c>
      <c r="O12" s="444" t="s">
        <v>197</v>
      </c>
      <c r="P12" s="444" t="s">
        <v>197</v>
      </c>
      <c r="Q12" s="444" t="s">
        <v>197</v>
      </c>
      <c r="R12" s="444" t="s">
        <v>197</v>
      </c>
      <c r="S12" s="454"/>
      <c r="T12" s="454" t="s">
        <v>197</v>
      </c>
      <c r="U12" s="430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</row>
    <row r="13" spans="1:42" s="200" customFormat="1" ht="71.400000000000006" customHeight="1" x14ac:dyDescent="0.25">
      <c r="A13" s="419"/>
      <c r="B13" s="427"/>
      <c r="C13" s="421"/>
      <c r="D13" s="422" t="s">
        <v>77</v>
      </c>
      <c r="E13" s="423">
        <v>291840</v>
      </c>
      <c r="F13" s="421"/>
      <c r="G13" s="421">
        <f>E13</f>
        <v>291840</v>
      </c>
      <c r="H13" s="459" t="s">
        <v>192</v>
      </c>
      <c r="I13" s="441"/>
      <c r="J13" s="428"/>
      <c r="K13" s="429"/>
      <c r="L13" s="444"/>
      <c r="M13" s="444"/>
      <c r="N13" s="444"/>
      <c r="O13" s="444"/>
      <c r="P13" s="444"/>
      <c r="Q13" s="444"/>
      <c r="R13" s="444"/>
      <c r="S13" s="454"/>
      <c r="T13" s="454" t="s">
        <v>197</v>
      </c>
      <c r="U13" s="430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</row>
    <row r="14" spans="1:42" s="200" customFormat="1" ht="61.8" customHeight="1" x14ac:dyDescent="0.25">
      <c r="A14" s="436"/>
      <c r="B14" s="460" t="s">
        <v>194</v>
      </c>
      <c r="C14" s="423">
        <v>705278.46</v>
      </c>
      <c r="D14" s="422" t="s">
        <v>52</v>
      </c>
      <c r="E14" s="423">
        <v>500621.1</v>
      </c>
      <c r="F14" s="421">
        <v>0</v>
      </c>
      <c r="G14" s="421">
        <f>E14</f>
        <v>500621.1</v>
      </c>
      <c r="H14" s="458" t="s">
        <v>192</v>
      </c>
      <c r="I14" s="421"/>
      <c r="J14" s="457" t="s">
        <v>193</v>
      </c>
      <c r="K14" s="429" t="s">
        <v>180</v>
      </c>
      <c r="L14" s="444" t="s">
        <v>197</v>
      </c>
      <c r="M14" s="444" t="s">
        <v>197</v>
      </c>
      <c r="N14" s="444" t="s">
        <v>197</v>
      </c>
      <c r="O14" s="444" t="s">
        <v>197</v>
      </c>
      <c r="P14" s="444" t="s">
        <v>197</v>
      </c>
      <c r="Q14" s="444" t="s">
        <v>197</v>
      </c>
      <c r="R14" s="444" t="s">
        <v>197</v>
      </c>
      <c r="S14" s="455">
        <f>E14</f>
        <v>500621.1</v>
      </c>
      <c r="T14" s="454" t="s">
        <v>197</v>
      </c>
      <c r="U14" s="430" t="s">
        <v>189</v>
      </c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</row>
    <row r="15" spans="1:42" s="200" customFormat="1" ht="61.8" customHeight="1" x14ac:dyDescent="0.25">
      <c r="A15" s="419"/>
      <c r="B15" s="427"/>
      <c r="C15" s="421"/>
      <c r="D15" s="422" t="s">
        <v>68</v>
      </c>
      <c r="E15" s="423">
        <v>166743.25</v>
      </c>
      <c r="F15" s="421">
        <f>4712.4*1.2</f>
        <v>5654.8799999999992</v>
      </c>
      <c r="G15" s="421">
        <f>E15-F15</f>
        <v>161088.37</v>
      </c>
      <c r="H15" s="458" t="s">
        <v>192</v>
      </c>
      <c r="I15" s="421"/>
      <c r="J15" s="457" t="s">
        <v>193</v>
      </c>
      <c r="K15" s="429"/>
      <c r="L15" s="444" t="s">
        <v>197</v>
      </c>
      <c r="M15" s="444" t="s">
        <v>197</v>
      </c>
      <c r="N15" s="444" t="s">
        <v>197</v>
      </c>
      <c r="O15" s="444" t="s">
        <v>197</v>
      </c>
      <c r="P15" s="444" t="s">
        <v>197</v>
      </c>
      <c r="Q15" s="444" t="s">
        <v>197</v>
      </c>
      <c r="R15" s="444" t="s">
        <v>197</v>
      </c>
      <c r="S15" s="454"/>
      <c r="T15" s="454" t="s">
        <v>197</v>
      </c>
      <c r="U15" s="430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</row>
    <row r="16" spans="1:42" s="200" customFormat="1" ht="61.8" customHeight="1" x14ac:dyDescent="0.25">
      <c r="A16" s="419"/>
      <c r="B16" s="427"/>
      <c r="C16" s="421"/>
      <c r="D16" s="422" t="s">
        <v>69</v>
      </c>
      <c r="E16" s="423">
        <v>34908.25</v>
      </c>
      <c r="F16" s="421"/>
      <c r="G16" s="421">
        <f>E16</f>
        <v>34908.25</v>
      </c>
      <c r="H16" s="458" t="s">
        <v>192</v>
      </c>
      <c r="I16" s="421"/>
      <c r="J16" s="457" t="s">
        <v>193</v>
      </c>
      <c r="K16" s="429"/>
      <c r="L16" s="444"/>
      <c r="M16" s="444"/>
      <c r="N16" s="444"/>
      <c r="O16" s="444"/>
      <c r="P16" s="444"/>
      <c r="Q16" s="444"/>
      <c r="R16" s="444"/>
      <c r="S16" s="454"/>
      <c r="T16" s="454" t="s">
        <v>197</v>
      </c>
      <c r="U16" s="430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</row>
    <row r="17" spans="1:42" s="200" customFormat="1" ht="61.8" customHeight="1" x14ac:dyDescent="0.25">
      <c r="A17" s="419"/>
      <c r="B17" s="460" t="s">
        <v>209</v>
      </c>
      <c r="C17" s="423">
        <v>2772152.37</v>
      </c>
      <c r="D17" s="422" t="s">
        <v>52</v>
      </c>
      <c r="E17" s="423">
        <v>1266401.57</v>
      </c>
      <c r="F17" s="421">
        <v>639618.87600000005</v>
      </c>
      <c r="G17" s="421">
        <f>E17-F17</f>
        <v>626782.69400000002</v>
      </c>
      <c r="H17" s="458" t="s">
        <v>192</v>
      </c>
      <c r="I17" s="421"/>
      <c r="J17" s="457" t="s">
        <v>193</v>
      </c>
      <c r="K17" s="429"/>
      <c r="L17" s="444"/>
      <c r="M17" s="444"/>
      <c r="N17" s="444"/>
      <c r="O17" s="444"/>
      <c r="P17" s="444"/>
      <c r="Q17" s="444"/>
      <c r="R17" s="444"/>
      <c r="S17" s="454"/>
      <c r="T17" s="454"/>
      <c r="U17" s="430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</row>
    <row r="18" spans="1:42" s="200" customFormat="1" ht="61.8" customHeight="1" x14ac:dyDescent="0.25">
      <c r="A18" s="419"/>
      <c r="B18" s="460" t="s">
        <v>210</v>
      </c>
      <c r="C18" s="423">
        <v>276736.40999999997</v>
      </c>
      <c r="D18" s="422" t="s">
        <v>52</v>
      </c>
      <c r="E18" s="423">
        <v>244076.33</v>
      </c>
      <c r="F18" s="421">
        <v>110176.06</v>
      </c>
      <c r="G18" s="421">
        <f>E18-F18</f>
        <v>133900.26999999999</v>
      </c>
      <c r="H18" s="466" t="s">
        <v>211</v>
      </c>
      <c r="I18" s="421"/>
      <c r="J18" s="457"/>
      <c r="K18" s="429"/>
      <c r="L18" s="444"/>
      <c r="M18" s="444"/>
      <c r="N18" s="444"/>
      <c r="O18" s="444"/>
      <c r="P18" s="444"/>
      <c r="Q18" s="444"/>
      <c r="R18" s="444"/>
      <c r="S18" s="454"/>
      <c r="T18" s="454"/>
      <c r="U18" s="430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</row>
    <row r="19" spans="1:42" s="201" customFormat="1" ht="22.95" customHeight="1" x14ac:dyDescent="0.25">
      <c r="A19" s="410"/>
      <c r="B19" s="410" t="s">
        <v>47</v>
      </c>
      <c r="C19" s="411">
        <f>SUM(C5:C18)</f>
        <v>22344790.500000004</v>
      </c>
      <c r="D19" s="411"/>
      <c r="E19" s="411">
        <f>SUM(E5:E18)</f>
        <v>20193917.664000001</v>
      </c>
      <c r="F19" s="411">
        <f>SUM(F5:F18)</f>
        <v>12127820.960000001</v>
      </c>
      <c r="G19" s="411">
        <f>SUM(G5:G18)</f>
        <v>8066096.6979999999</v>
      </c>
      <c r="H19" s="411"/>
      <c r="I19" s="411"/>
      <c r="J19" s="411"/>
      <c r="K19" s="449"/>
      <c r="L19" s="449"/>
      <c r="M19" s="449"/>
      <c r="N19" s="449"/>
      <c r="O19" s="449"/>
      <c r="P19" s="449"/>
      <c r="Q19" s="449"/>
      <c r="R19" s="449"/>
      <c r="S19" s="432"/>
      <c r="T19" s="432"/>
      <c r="U19" s="432"/>
    </row>
    <row r="20" spans="1:42" s="200" customFormat="1" ht="25.8" customHeight="1" x14ac:dyDescent="0.25">
      <c r="A20" s="414"/>
      <c r="B20" s="415"/>
      <c r="C20" s="418">
        <f>C19</f>
        <v>22344790.500000004</v>
      </c>
      <c r="D20" s="417"/>
      <c r="E20" s="418">
        <f>E19</f>
        <v>20193917.664000001</v>
      </c>
      <c r="F20" s="418">
        <f>F19</f>
        <v>12127820.960000001</v>
      </c>
      <c r="G20" s="418">
        <f>G19</f>
        <v>8066096.6979999999</v>
      </c>
      <c r="H20" s="416"/>
      <c r="I20" s="416"/>
      <c r="J20" s="416"/>
      <c r="K20" s="375"/>
      <c r="L20" s="375"/>
      <c r="M20" s="375"/>
      <c r="N20" s="375"/>
      <c r="O20" s="375"/>
      <c r="P20" s="375"/>
      <c r="Q20" s="375"/>
      <c r="R20" s="375"/>
      <c r="S20" s="375"/>
      <c r="T20" s="375"/>
      <c r="U20" s="450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</row>
    <row r="21" spans="1:42" x14ac:dyDescent="0.25">
      <c r="C21" s="216"/>
      <c r="D21" s="216"/>
      <c r="E21" s="216"/>
      <c r="F21" s="216"/>
      <c r="G21" s="216"/>
      <c r="H21" s="216"/>
      <c r="I21" s="216"/>
      <c r="J21" s="216"/>
    </row>
    <row r="22" spans="1:42" x14ac:dyDescent="0.25">
      <c r="C22" s="216"/>
      <c r="D22" s="216"/>
      <c r="E22" s="216"/>
      <c r="F22" s="216"/>
      <c r="G22" s="216"/>
      <c r="H22" s="216"/>
      <c r="I22" s="216"/>
      <c r="J22" s="216"/>
    </row>
    <row r="23" spans="1:42" ht="19.2" customHeight="1" x14ac:dyDescent="0.25">
      <c r="B23" s="433"/>
      <c r="C23" s="216"/>
      <c r="D23" s="216"/>
      <c r="E23" s="216"/>
      <c r="F23" s="216"/>
      <c r="G23" s="216"/>
      <c r="H23" s="216"/>
      <c r="I23" s="216"/>
      <c r="J23" s="216"/>
    </row>
    <row r="24" spans="1:42" x14ac:dyDescent="0.25">
      <c r="C24" s="216"/>
      <c r="D24" s="216"/>
      <c r="E24" s="216"/>
      <c r="F24" s="216"/>
      <c r="G24" s="216"/>
      <c r="H24" s="216"/>
      <c r="I24" s="216"/>
      <c r="J24" s="216"/>
    </row>
    <row r="25" spans="1:42" x14ac:dyDescent="0.25">
      <c r="C25" s="216"/>
      <c r="D25" s="216"/>
      <c r="E25" s="216"/>
      <c r="F25" s="216"/>
      <c r="G25" s="216"/>
      <c r="H25" s="216"/>
      <c r="I25" s="216"/>
      <c r="J25" s="216"/>
    </row>
    <row r="26" spans="1:42" x14ac:dyDescent="0.25">
      <c r="C26" s="216"/>
      <c r="D26" s="216"/>
      <c r="E26" s="216"/>
      <c r="F26" s="216"/>
      <c r="G26" s="216"/>
      <c r="H26" s="216"/>
      <c r="I26" s="216"/>
      <c r="J26" s="216"/>
    </row>
    <row r="27" spans="1:42" x14ac:dyDescent="0.25">
      <c r="C27" s="216"/>
      <c r="D27" s="216"/>
      <c r="E27" s="216"/>
      <c r="F27" s="216"/>
      <c r="G27" s="216"/>
      <c r="H27" s="216"/>
      <c r="I27" s="216"/>
      <c r="J27" s="216"/>
    </row>
    <row r="28" spans="1:42" x14ac:dyDescent="0.25">
      <c r="C28" s="216"/>
      <c r="D28" s="216"/>
      <c r="E28" s="216"/>
      <c r="F28" s="216"/>
      <c r="G28" s="216"/>
      <c r="H28" s="216"/>
      <c r="I28" s="216"/>
      <c r="J28" s="216"/>
    </row>
    <row r="29" spans="1:42" x14ac:dyDescent="0.25">
      <c r="C29" s="216"/>
      <c r="D29" s="216"/>
      <c r="E29" s="216"/>
      <c r="F29" s="216"/>
      <c r="G29" s="216"/>
      <c r="H29" s="216"/>
      <c r="I29" s="216"/>
      <c r="J29" s="216"/>
    </row>
    <row r="30" spans="1:42" x14ac:dyDescent="0.25">
      <c r="C30" s="216"/>
      <c r="D30" s="216"/>
      <c r="E30" s="216"/>
      <c r="F30" s="216"/>
      <c r="G30" s="216"/>
      <c r="H30" s="216"/>
      <c r="I30" s="216"/>
      <c r="J30" s="216"/>
    </row>
    <row r="31" spans="1:42" x14ac:dyDescent="0.25">
      <c r="C31" s="216"/>
      <c r="D31" s="216"/>
      <c r="E31" s="216"/>
      <c r="F31" s="216"/>
      <c r="G31" s="216"/>
      <c r="H31" s="216"/>
      <c r="I31" s="216"/>
      <c r="J31" s="216"/>
    </row>
    <row r="32" spans="1:42" x14ac:dyDescent="0.25">
      <c r="C32" s="216"/>
      <c r="D32" s="216"/>
      <c r="E32" s="216"/>
      <c r="F32" s="216"/>
      <c r="G32" s="216"/>
      <c r="H32" s="216"/>
      <c r="I32" s="216"/>
      <c r="J32" s="216"/>
    </row>
    <row r="33" spans="3:10" x14ac:dyDescent="0.25">
      <c r="C33" s="216"/>
      <c r="D33" s="216"/>
      <c r="E33" s="216"/>
      <c r="F33" s="216"/>
      <c r="G33" s="216"/>
      <c r="H33" s="216"/>
      <c r="I33" s="216"/>
      <c r="J33" s="216"/>
    </row>
    <row r="34" spans="3:10" x14ac:dyDescent="0.25">
      <c r="C34" s="216"/>
      <c r="D34" s="216"/>
      <c r="E34" s="216"/>
      <c r="F34" s="216"/>
      <c r="G34" s="216"/>
      <c r="H34" s="216"/>
      <c r="I34" s="216"/>
      <c r="J34" s="216"/>
    </row>
    <row r="35" spans="3:10" x14ac:dyDescent="0.25">
      <c r="C35" s="216"/>
      <c r="D35" s="216"/>
      <c r="E35" s="216"/>
      <c r="F35" s="216"/>
      <c r="G35" s="216"/>
      <c r="H35" s="216"/>
      <c r="I35" s="216"/>
      <c r="J35" s="216"/>
    </row>
    <row r="36" spans="3:10" x14ac:dyDescent="0.25">
      <c r="C36" s="216"/>
      <c r="D36" s="216"/>
      <c r="E36" s="216"/>
      <c r="F36" s="216"/>
      <c r="G36" s="216"/>
      <c r="H36" s="216"/>
      <c r="I36" s="216"/>
      <c r="J36" s="216"/>
    </row>
    <row r="37" spans="3:10" x14ac:dyDescent="0.25">
      <c r="C37" s="216"/>
      <c r="D37" s="216"/>
      <c r="E37" s="216"/>
      <c r="F37" s="216"/>
      <c r="G37" s="216"/>
      <c r="H37" s="216"/>
      <c r="I37" s="216"/>
      <c r="J37" s="216"/>
    </row>
    <row r="38" spans="3:10" x14ac:dyDescent="0.25">
      <c r="C38" s="216"/>
      <c r="D38" s="216"/>
      <c r="E38" s="216"/>
      <c r="F38" s="216"/>
      <c r="G38" s="216"/>
      <c r="H38" s="216"/>
      <c r="I38" s="216"/>
      <c r="J38" s="216"/>
    </row>
    <row r="39" spans="3:10" x14ac:dyDescent="0.25">
      <c r="C39" s="216"/>
      <c r="D39" s="216"/>
      <c r="E39" s="216"/>
      <c r="F39" s="216"/>
      <c r="G39" s="216"/>
      <c r="H39" s="216"/>
      <c r="I39" s="216"/>
      <c r="J39" s="216"/>
    </row>
    <row r="40" spans="3:10" x14ac:dyDescent="0.25">
      <c r="C40" s="216"/>
      <c r="D40" s="216"/>
      <c r="E40" s="216"/>
      <c r="F40" s="216"/>
      <c r="G40" s="216"/>
      <c r="H40" s="216"/>
      <c r="I40" s="216"/>
      <c r="J40" s="216"/>
    </row>
    <row r="41" spans="3:10" x14ac:dyDescent="0.25">
      <c r="C41" s="216"/>
      <c r="D41" s="216"/>
      <c r="E41" s="216"/>
      <c r="F41" s="216"/>
      <c r="G41" s="216"/>
      <c r="H41" s="216"/>
      <c r="I41" s="216"/>
      <c r="J41" s="216"/>
    </row>
    <row r="42" spans="3:10" x14ac:dyDescent="0.25">
      <c r="C42" s="216"/>
      <c r="D42" s="216"/>
      <c r="E42" s="216"/>
      <c r="F42" s="216"/>
      <c r="G42" s="216"/>
      <c r="H42" s="216"/>
      <c r="I42" s="216"/>
      <c r="J42" s="216"/>
    </row>
    <row r="43" spans="3:10" x14ac:dyDescent="0.25">
      <c r="C43" s="216"/>
      <c r="D43" s="216"/>
      <c r="E43" s="216"/>
      <c r="F43" s="216"/>
      <c r="G43" s="216"/>
      <c r="H43" s="216"/>
      <c r="I43" s="216"/>
      <c r="J43" s="216"/>
    </row>
  </sheetData>
  <autoFilter ref="A4:AP19"/>
  <mergeCells count="6">
    <mergeCell ref="A1:J2"/>
    <mergeCell ref="A3:A4"/>
    <mergeCell ref="B3:B4"/>
    <mergeCell ref="C3:C4"/>
    <mergeCell ref="D3:I3"/>
    <mergeCell ref="J3:J4"/>
  </mergeCells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zoomScale="99" zoomScaleNormal="99" zoomScaleSheetLayoutView="80" workbookViewId="0">
      <pane xSplit="2" topLeftCell="S1" activePane="topRight" state="frozen"/>
      <selection activeCell="B1" sqref="B1"/>
      <selection pane="topRight" activeCell="B8" sqref="B8:B22"/>
    </sheetView>
  </sheetViews>
  <sheetFormatPr defaultColWidth="9.109375" defaultRowHeight="12" outlineLevelCol="1" x14ac:dyDescent="0.25"/>
  <cols>
    <col min="1" max="1" width="5.6640625" style="185" customWidth="1"/>
    <col min="2" max="2" width="35.6640625" style="185" customWidth="1"/>
    <col min="3" max="3" width="6.44140625" style="218" customWidth="1" outlineLevel="1"/>
    <col min="4" max="4" width="17.44140625" style="219" customWidth="1" outlineLevel="1"/>
    <col min="5" max="5" width="25.6640625" style="188" hidden="1" customWidth="1"/>
    <col min="6" max="6" width="5.6640625" style="220" customWidth="1" outlineLevel="1"/>
    <col min="7" max="7" width="16.6640625" style="220" customWidth="1" outlineLevel="1"/>
    <col min="8" max="8" width="5.44140625" style="220" customWidth="1" outlineLevel="1"/>
    <col min="9" max="9" width="16.6640625" style="220" customWidth="1" outlineLevel="1"/>
    <col min="10" max="10" width="6.44140625" style="220" customWidth="1" outlineLevel="1"/>
    <col min="11" max="11" width="14.5546875" style="220" customWidth="1" outlineLevel="1"/>
    <col min="12" max="12" width="5.6640625" style="220" customWidth="1" outlineLevel="1"/>
    <col min="13" max="13" width="14" style="220" customWidth="1" outlineLevel="1"/>
    <col min="14" max="14" width="7.109375" style="220" customWidth="1" outlineLevel="1"/>
    <col min="15" max="15" width="13.88671875" style="220" customWidth="1" outlineLevel="1"/>
    <col min="16" max="16" width="6.33203125" style="220" customWidth="1" outlineLevel="1"/>
    <col min="17" max="17" width="14.109375" style="220" customWidth="1" outlineLevel="1"/>
    <col min="18" max="18" width="5.6640625" style="220" customWidth="1" outlineLevel="1"/>
    <col min="19" max="19" width="12.33203125" style="220" customWidth="1" outlineLevel="1"/>
    <col min="20" max="20" width="5.33203125" style="220" customWidth="1" outlineLevel="1"/>
    <col min="21" max="21" width="11.44140625" style="220" customWidth="1" outlineLevel="1"/>
    <col min="22" max="22" width="13.33203125" style="220" customWidth="1" outlineLevel="1"/>
    <col min="23" max="24" width="11.33203125" style="220" customWidth="1" outlineLevel="1"/>
    <col min="25" max="25" width="7.33203125" style="184" customWidth="1"/>
    <col min="26" max="26" width="13.33203125" style="184" customWidth="1"/>
    <col min="27" max="27" width="16.44140625" style="184" customWidth="1"/>
    <col min="28" max="28" width="13.33203125" style="185" customWidth="1"/>
    <col min="29" max="29" width="13.5546875" style="185" customWidth="1"/>
    <col min="30" max="30" width="13.33203125" style="185" customWidth="1"/>
    <col min="31" max="31" width="9.109375" style="185"/>
    <col min="32" max="32" width="13.33203125" style="185" bestFit="1" customWidth="1"/>
    <col min="33" max="16384" width="9.109375" style="185"/>
  </cols>
  <sheetData>
    <row r="2" spans="1:30" ht="15" customHeight="1" x14ac:dyDescent="0.25">
      <c r="A2" s="830" t="s">
        <v>134</v>
      </c>
      <c r="B2" s="830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186"/>
      <c r="AA2" s="186"/>
    </row>
    <row r="3" spans="1:30" ht="15" customHeight="1" x14ac:dyDescent="0.25">
      <c r="A3" s="186"/>
      <c r="B3" s="186"/>
      <c r="C3" s="186"/>
      <c r="D3" s="187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90"/>
      <c r="Z3" s="190"/>
      <c r="AA3" s="190"/>
    </row>
    <row r="4" spans="1:30" ht="39.6" customHeight="1" x14ac:dyDescent="0.25">
      <c r="A4" s="831" t="s">
        <v>103</v>
      </c>
      <c r="B4" s="834" t="s">
        <v>2</v>
      </c>
      <c r="C4" s="836" t="s">
        <v>104</v>
      </c>
      <c r="D4" s="837"/>
      <c r="E4" s="840" t="s">
        <v>105</v>
      </c>
      <c r="F4" s="828" t="s">
        <v>106</v>
      </c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  <c r="R4" s="843"/>
      <c r="S4" s="843"/>
      <c r="T4" s="843"/>
      <c r="U4" s="843"/>
      <c r="V4" s="843"/>
      <c r="W4" s="829"/>
      <c r="X4" s="389"/>
      <c r="Y4" s="836" t="s">
        <v>107</v>
      </c>
      <c r="Z4" s="844"/>
      <c r="AA4" s="837"/>
      <c r="AB4" s="822" t="s">
        <v>108</v>
      </c>
      <c r="AC4" s="823"/>
      <c r="AD4" s="824"/>
    </row>
    <row r="5" spans="1:30" ht="15.45" customHeight="1" x14ac:dyDescent="0.25">
      <c r="A5" s="832"/>
      <c r="B5" s="814"/>
      <c r="C5" s="838"/>
      <c r="D5" s="839"/>
      <c r="E5" s="841"/>
      <c r="F5" s="828" t="s">
        <v>128</v>
      </c>
      <c r="G5" s="829"/>
      <c r="H5" s="828" t="s">
        <v>129</v>
      </c>
      <c r="I5" s="829"/>
      <c r="J5" s="828" t="s">
        <v>130</v>
      </c>
      <c r="K5" s="829"/>
      <c r="L5" s="828" t="s">
        <v>141</v>
      </c>
      <c r="M5" s="829"/>
      <c r="N5" s="828" t="s">
        <v>140</v>
      </c>
      <c r="O5" s="829"/>
      <c r="P5" s="828" t="s">
        <v>144</v>
      </c>
      <c r="Q5" s="829"/>
      <c r="R5" s="828" t="s">
        <v>151</v>
      </c>
      <c r="S5" s="829"/>
      <c r="T5" s="828"/>
      <c r="U5" s="829"/>
      <c r="V5" s="828"/>
      <c r="W5" s="829"/>
      <c r="X5" s="390"/>
      <c r="Y5" s="838"/>
      <c r="Z5" s="845"/>
      <c r="AA5" s="839"/>
      <c r="AB5" s="825"/>
      <c r="AC5" s="826"/>
      <c r="AD5" s="827"/>
    </row>
    <row r="6" spans="1:30" ht="27.75" customHeight="1" x14ac:dyDescent="0.25">
      <c r="A6" s="833"/>
      <c r="B6" s="835"/>
      <c r="C6" s="191" t="s">
        <v>109</v>
      </c>
      <c r="D6" s="192" t="s">
        <v>110</v>
      </c>
      <c r="E6" s="842"/>
      <c r="F6" s="191" t="s">
        <v>111</v>
      </c>
      <c r="G6" s="191" t="s">
        <v>112</v>
      </c>
      <c r="H6" s="191" t="s">
        <v>111</v>
      </c>
      <c r="I6" s="191" t="s">
        <v>112</v>
      </c>
      <c r="J6" s="191" t="s">
        <v>111</v>
      </c>
      <c r="K6" s="191" t="s">
        <v>112</v>
      </c>
      <c r="L6" s="191" t="s">
        <v>111</v>
      </c>
      <c r="M6" s="191" t="s">
        <v>112</v>
      </c>
      <c r="N6" s="191" t="s">
        <v>111</v>
      </c>
      <c r="O6" s="191" t="s">
        <v>112</v>
      </c>
      <c r="P6" s="191" t="s">
        <v>111</v>
      </c>
      <c r="Q6" s="191" t="s">
        <v>112</v>
      </c>
      <c r="R6" s="191" t="s">
        <v>111</v>
      </c>
      <c r="S6" s="191" t="s">
        <v>112</v>
      </c>
      <c r="T6" s="191" t="s">
        <v>111</v>
      </c>
      <c r="U6" s="191" t="s">
        <v>112</v>
      </c>
      <c r="V6" s="191" t="s">
        <v>111</v>
      </c>
      <c r="W6" s="191" t="s">
        <v>112</v>
      </c>
      <c r="X6" s="191"/>
      <c r="Y6" s="191" t="s">
        <v>113</v>
      </c>
      <c r="Z6" s="191" t="s">
        <v>112</v>
      </c>
      <c r="AA6" s="191" t="s">
        <v>114</v>
      </c>
      <c r="AB6" s="193" t="s">
        <v>16</v>
      </c>
      <c r="AC6" s="194" t="s">
        <v>25</v>
      </c>
      <c r="AD6" s="194" t="s">
        <v>15</v>
      </c>
    </row>
    <row r="7" spans="1:30" s="195" customFormat="1" ht="12.6" thickBot="1" x14ac:dyDescent="0.3">
      <c r="A7" s="336">
        <v>1</v>
      </c>
      <c r="B7" s="337">
        <v>2</v>
      </c>
      <c r="C7" s="338">
        <v>3</v>
      </c>
      <c r="D7" s="339">
        <v>4</v>
      </c>
      <c r="E7" s="338">
        <v>5</v>
      </c>
      <c r="F7" s="339">
        <v>8</v>
      </c>
      <c r="G7" s="339">
        <v>9</v>
      </c>
      <c r="H7" s="339"/>
      <c r="I7" s="339"/>
      <c r="J7" s="339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40">
        <v>10</v>
      </c>
      <c r="Z7" s="340">
        <v>11</v>
      </c>
      <c r="AA7" s="338">
        <v>12</v>
      </c>
      <c r="AB7" s="338">
        <v>19</v>
      </c>
      <c r="AC7" s="338">
        <v>20</v>
      </c>
      <c r="AD7" s="338">
        <v>21</v>
      </c>
    </row>
    <row r="8" spans="1:30" s="200" customFormat="1" ht="12" customHeight="1" x14ac:dyDescent="0.25">
      <c r="A8" s="804">
        <v>1</v>
      </c>
      <c r="B8" s="819" t="s">
        <v>93</v>
      </c>
      <c r="C8" s="796" t="s">
        <v>52</v>
      </c>
      <c r="D8" s="798">
        <v>9670800</v>
      </c>
      <c r="E8" s="268" t="s">
        <v>115</v>
      </c>
      <c r="F8" s="269" t="s">
        <v>52</v>
      </c>
      <c r="G8" s="341">
        <f>288379.22</f>
        <v>288379.21999999997</v>
      </c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342">
        <v>1</v>
      </c>
      <c r="Z8" s="343">
        <v>288379.21999999997</v>
      </c>
      <c r="AA8" s="801">
        <f>SUM(AB8:AB22)</f>
        <v>8579031.879999999</v>
      </c>
      <c r="AB8" s="344">
        <v>288379.21999999997</v>
      </c>
      <c r="AC8" s="345">
        <v>279386.06</v>
      </c>
      <c r="AD8" s="272">
        <v>8993.16</v>
      </c>
    </row>
    <row r="9" spans="1:30" s="200" customFormat="1" ht="13.8" x14ac:dyDescent="0.25">
      <c r="A9" s="817"/>
      <c r="B9" s="820"/>
      <c r="C9" s="797"/>
      <c r="D9" s="799"/>
      <c r="E9" s="196" t="s">
        <v>116</v>
      </c>
      <c r="F9" s="197" t="s">
        <v>68</v>
      </c>
      <c r="G9" s="221">
        <v>193609.49</v>
      </c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288">
        <v>2</v>
      </c>
      <c r="Z9" s="250">
        <v>193609.49</v>
      </c>
      <c r="AA9" s="802"/>
      <c r="AB9" s="289">
        <v>193609.49</v>
      </c>
      <c r="AC9" s="199">
        <v>193609.49</v>
      </c>
      <c r="AD9" s="346">
        <v>0</v>
      </c>
    </row>
    <row r="10" spans="1:30" s="200" customFormat="1" ht="13.8" x14ac:dyDescent="0.25">
      <c r="A10" s="817"/>
      <c r="B10" s="820"/>
      <c r="C10" s="797"/>
      <c r="D10" s="799"/>
      <c r="E10" s="196" t="s">
        <v>117</v>
      </c>
      <c r="F10" s="197"/>
      <c r="G10" s="197"/>
      <c r="H10" s="197" t="s">
        <v>69</v>
      </c>
      <c r="I10" s="221">
        <v>266283.61</v>
      </c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288">
        <v>3</v>
      </c>
      <c r="Z10" s="250">
        <v>266283.61</v>
      </c>
      <c r="AA10" s="802"/>
      <c r="AB10" s="289">
        <v>266283.61</v>
      </c>
      <c r="AC10" s="199">
        <v>256961.43399999998</v>
      </c>
      <c r="AD10" s="346">
        <v>9322.1759999999995</v>
      </c>
    </row>
    <row r="11" spans="1:30" s="200" customFormat="1" ht="13.8" x14ac:dyDescent="0.25">
      <c r="A11" s="817"/>
      <c r="B11" s="820"/>
      <c r="C11" s="797"/>
      <c r="D11" s="799"/>
      <c r="E11" s="196" t="s">
        <v>118</v>
      </c>
      <c r="F11" s="197"/>
      <c r="G11" s="197"/>
      <c r="H11" s="197" t="s">
        <v>70</v>
      </c>
      <c r="I11" s="221">
        <v>1054954.1000000001</v>
      </c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288">
        <v>4</v>
      </c>
      <c r="Z11" s="250">
        <v>1054954.1000000001</v>
      </c>
      <c r="AA11" s="802"/>
      <c r="AB11" s="289">
        <f>Z11</f>
        <v>1054954.1000000001</v>
      </c>
      <c r="AC11" s="199">
        <v>1043855.2300000001</v>
      </c>
      <c r="AD11" s="346">
        <v>11098.87</v>
      </c>
    </row>
    <row r="12" spans="1:30" s="200" customFormat="1" ht="13.8" x14ac:dyDescent="0.25">
      <c r="A12" s="817"/>
      <c r="B12" s="820"/>
      <c r="C12" s="797"/>
      <c r="D12" s="799"/>
      <c r="E12" s="196" t="s">
        <v>119</v>
      </c>
      <c r="F12" s="197"/>
      <c r="G12" s="199"/>
      <c r="I12" s="222"/>
      <c r="J12" s="222" t="s">
        <v>71</v>
      </c>
      <c r="K12" s="221">
        <v>70786.210000000006</v>
      </c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288">
        <v>5</v>
      </c>
      <c r="Z12" s="250">
        <v>70786.210000000006</v>
      </c>
      <c r="AA12" s="802"/>
      <c r="AB12" s="289">
        <v>70786.210000000006</v>
      </c>
      <c r="AC12" s="223">
        <v>68044.39</v>
      </c>
      <c r="AD12" s="346">
        <v>2741.8199999999997</v>
      </c>
    </row>
    <row r="13" spans="1:30" s="200" customFormat="1" x14ac:dyDescent="0.25">
      <c r="A13" s="817"/>
      <c r="B13" s="820"/>
      <c r="C13" s="797"/>
      <c r="D13" s="799"/>
      <c r="E13" s="196"/>
      <c r="F13" s="197"/>
      <c r="G13" s="199"/>
      <c r="H13" s="222"/>
      <c r="I13" s="222"/>
      <c r="J13" s="197" t="s">
        <v>72</v>
      </c>
      <c r="K13" s="197">
        <v>862817.57</v>
      </c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249">
        <v>6</v>
      </c>
      <c r="Z13" s="250">
        <v>862817.57</v>
      </c>
      <c r="AA13" s="802"/>
      <c r="AB13" s="290">
        <v>862817.57</v>
      </c>
      <c r="AC13" s="199">
        <v>805192.25</v>
      </c>
      <c r="AD13" s="346">
        <v>57625.32</v>
      </c>
    </row>
    <row r="14" spans="1:30" s="200" customFormat="1" x14ac:dyDescent="0.25">
      <c r="A14" s="817"/>
      <c r="B14" s="820"/>
      <c r="C14" s="797"/>
      <c r="D14" s="799"/>
      <c r="E14" s="196"/>
      <c r="F14" s="197"/>
      <c r="G14" s="199"/>
      <c r="H14" s="222"/>
      <c r="I14" s="222"/>
      <c r="J14" s="197" t="s">
        <v>73</v>
      </c>
      <c r="K14" s="197">
        <v>291462.71000000002</v>
      </c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249">
        <v>7</v>
      </c>
      <c r="Z14" s="250">
        <v>291462.71000000002</v>
      </c>
      <c r="AA14" s="802"/>
      <c r="AB14" s="290">
        <v>291462.71000000002</v>
      </c>
      <c r="AC14" s="199">
        <v>280166.43</v>
      </c>
      <c r="AD14" s="346">
        <v>11296.28</v>
      </c>
    </row>
    <row r="15" spans="1:30" s="200" customFormat="1" x14ac:dyDescent="0.25">
      <c r="A15" s="817"/>
      <c r="B15" s="820"/>
      <c r="C15" s="797"/>
      <c r="D15" s="799"/>
      <c r="E15" s="196"/>
      <c r="F15" s="197"/>
      <c r="G15" s="199"/>
      <c r="H15" s="222"/>
      <c r="I15" s="222"/>
      <c r="J15" s="197" t="s">
        <v>76</v>
      </c>
      <c r="K15" s="197">
        <v>449187.01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249">
        <v>8</v>
      </c>
      <c r="Z15" s="250">
        <f>K15</f>
        <v>449187.01</v>
      </c>
      <c r="AA15" s="802"/>
      <c r="AB15" s="290">
        <f>Z15</f>
        <v>449187.01</v>
      </c>
      <c r="AC15" s="199">
        <v>439722.83</v>
      </c>
      <c r="AD15" s="346">
        <v>9464.18</v>
      </c>
    </row>
    <row r="16" spans="1:30" s="200" customFormat="1" x14ac:dyDescent="0.25">
      <c r="A16" s="817"/>
      <c r="B16" s="820"/>
      <c r="C16" s="797"/>
      <c r="D16" s="799"/>
      <c r="E16" s="196"/>
      <c r="F16" s="197"/>
      <c r="G16" s="199"/>
      <c r="H16" s="222"/>
      <c r="I16" s="222"/>
      <c r="J16" s="197" t="s">
        <v>77</v>
      </c>
      <c r="K16" s="198">
        <v>603287.62</v>
      </c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249">
        <v>9</v>
      </c>
      <c r="Z16" s="250">
        <v>603287.62</v>
      </c>
      <c r="AA16" s="802"/>
      <c r="AB16" s="250">
        <v>603287.62</v>
      </c>
      <c r="AC16" s="199">
        <v>595984.13</v>
      </c>
      <c r="AD16" s="346">
        <v>7303.49</v>
      </c>
    </row>
    <row r="17" spans="1:30" s="200" customFormat="1" x14ac:dyDescent="0.25">
      <c r="A17" s="817"/>
      <c r="B17" s="820"/>
      <c r="C17" s="797"/>
      <c r="D17" s="799"/>
      <c r="E17" s="196" t="s">
        <v>120</v>
      </c>
      <c r="F17" s="222"/>
      <c r="G17" s="222"/>
      <c r="H17" s="222"/>
      <c r="I17" s="222"/>
      <c r="L17" s="197" t="s">
        <v>75</v>
      </c>
      <c r="M17" s="197">
        <v>941673.71</v>
      </c>
      <c r="N17" s="222"/>
      <c r="P17" s="197"/>
      <c r="Q17" s="197"/>
      <c r="R17" s="197"/>
      <c r="S17" s="197"/>
      <c r="T17" s="197"/>
      <c r="U17" s="197"/>
      <c r="V17" s="197"/>
      <c r="W17" s="197"/>
      <c r="X17" s="197"/>
      <c r="Y17" s="249">
        <v>10</v>
      </c>
      <c r="Z17" s="250">
        <f>M17</f>
        <v>941673.71</v>
      </c>
      <c r="AA17" s="802"/>
      <c r="AB17" s="290">
        <f>Z17</f>
        <v>941673.71</v>
      </c>
      <c r="AC17" s="199">
        <f>AB17-AD17</f>
        <v>921997.46600000001</v>
      </c>
      <c r="AD17" s="346">
        <v>19676.243999999999</v>
      </c>
    </row>
    <row r="18" spans="1:30" s="200" customFormat="1" x14ac:dyDescent="0.25">
      <c r="A18" s="817"/>
      <c r="B18" s="820"/>
      <c r="C18" s="797"/>
      <c r="D18" s="799"/>
      <c r="E18" s="196" t="s">
        <v>121</v>
      </c>
      <c r="G18" s="222"/>
      <c r="H18" s="222"/>
      <c r="I18" s="222"/>
      <c r="J18" s="197"/>
      <c r="K18" s="197"/>
      <c r="L18" s="197" t="s">
        <v>78</v>
      </c>
      <c r="M18" s="197">
        <f>Z18</f>
        <v>293363.46999999997</v>
      </c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249">
        <v>11</v>
      </c>
      <c r="Z18" s="250">
        <v>293363.46999999997</v>
      </c>
      <c r="AA18" s="802"/>
      <c r="AB18" s="290">
        <f>Z18</f>
        <v>293363.46999999997</v>
      </c>
      <c r="AC18" s="199">
        <v>290271.42</v>
      </c>
      <c r="AD18" s="346">
        <v>3092.05</v>
      </c>
    </row>
    <row r="19" spans="1:30" s="200" customFormat="1" x14ac:dyDescent="0.25">
      <c r="A19" s="817"/>
      <c r="B19" s="820"/>
      <c r="C19" s="797"/>
      <c r="D19" s="799"/>
      <c r="E19" s="196" t="s">
        <v>122</v>
      </c>
      <c r="F19" s="222"/>
      <c r="G19" s="222"/>
      <c r="H19" s="222"/>
      <c r="I19" s="222"/>
      <c r="J19" s="197"/>
      <c r="K19" s="197"/>
      <c r="L19" s="248" t="s">
        <v>74</v>
      </c>
      <c r="M19" s="248">
        <v>372983.72</v>
      </c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249">
        <v>12</v>
      </c>
      <c r="Z19" s="250">
        <f>M19</f>
        <v>372983.72</v>
      </c>
      <c r="AA19" s="802"/>
      <c r="AB19" s="290">
        <f>Z19</f>
        <v>372983.72</v>
      </c>
      <c r="AC19" s="199">
        <v>368468.62</v>
      </c>
      <c r="AD19" s="346">
        <v>4515.1000000000004</v>
      </c>
    </row>
    <row r="20" spans="1:30" s="200" customFormat="1" x14ac:dyDescent="0.25">
      <c r="A20" s="817"/>
      <c r="B20" s="820"/>
      <c r="C20" s="797"/>
      <c r="D20" s="799"/>
      <c r="E20" s="196" t="s">
        <v>123</v>
      </c>
      <c r="F20" s="222"/>
      <c r="G20" s="297"/>
      <c r="H20" s="222"/>
      <c r="I20" s="222"/>
      <c r="J20" s="197"/>
      <c r="K20" s="197"/>
      <c r="L20" s="197"/>
      <c r="M20" s="197"/>
      <c r="N20" s="248" t="s">
        <v>79</v>
      </c>
      <c r="O20" s="248">
        <v>354144.6</v>
      </c>
      <c r="P20" s="197"/>
      <c r="Q20" s="197"/>
      <c r="R20" s="197"/>
      <c r="S20" s="197"/>
      <c r="T20" s="197"/>
      <c r="U20" s="197"/>
      <c r="V20" s="197"/>
      <c r="W20" s="197"/>
      <c r="X20" s="197"/>
      <c r="Y20" s="248" t="s">
        <v>79</v>
      </c>
      <c r="Z20" s="248">
        <v>354144.6</v>
      </c>
      <c r="AA20" s="802"/>
      <c r="AB20" s="290">
        <v>354144.6</v>
      </c>
      <c r="AC20" s="199">
        <f>Z20-AD20</f>
        <v>349857.55</v>
      </c>
      <c r="AD20" s="346">
        <v>4287.05</v>
      </c>
    </row>
    <row r="21" spans="1:30" s="200" customFormat="1" x14ac:dyDescent="0.25">
      <c r="A21" s="817"/>
      <c r="B21" s="820"/>
      <c r="C21" s="775"/>
      <c r="D21" s="799"/>
      <c r="E21" s="196" t="s">
        <v>124</v>
      </c>
      <c r="F21" s="222"/>
      <c r="G21" s="222"/>
      <c r="H21" s="222"/>
      <c r="I21" s="222"/>
      <c r="J21" s="197"/>
      <c r="K21" s="197"/>
      <c r="L21" s="197"/>
      <c r="M21" s="197"/>
      <c r="N21" s="248" t="s">
        <v>80</v>
      </c>
      <c r="O21" s="248">
        <v>177987.94</v>
      </c>
      <c r="P21" s="222"/>
      <c r="Q21" s="222"/>
      <c r="R21" s="197"/>
      <c r="S21" s="197"/>
      <c r="T21" s="197"/>
      <c r="U21" s="197"/>
      <c r="V21" s="197"/>
      <c r="W21" s="197"/>
      <c r="X21" s="197"/>
      <c r="Y21" s="248" t="s">
        <v>80</v>
      </c>
      <c r="Z21" s="250">
        <f>O21</f>
        <v>177987.94</v>
      </c>
      <c r="AA21" s="802"/>
      <c r="AB21" s="250">
        <v>177987.94</v>
      </c>
      <c r="AC21" s="199">
        <f>AB21-AD21</f>
        <v>160077.57</v>
      </c>
      <c r="AD21" s="346">
        <v>17910.37</v>
      </c>
    </row>
    <row r="22" spans="1:30" s="200" customFormat="1" ht="12.6" thickBot="1" x14ac:dyDescent="0.3">
      <c r="A22" s="818"/>
      <c r="B22" s="821"/>
      <c r="C22" s="791"/>
      <c r="D22" s="800"/>
      <c r="E22" s="275" t="s">
        <v>125</v>
      </c>
      <c r="F22" s="276"/>
      <c r="G22" s="276"/>
      <c r="H22" s="276"/>
      <c r="I22" s="276"/>
      <c r="J22" s="276"/>
      <c r="K22" s="276"/>
      <c r="L22" s="276"/>
      <c r="M22" s="276"/>
      <c r="N22" s="347"/>
      <c r="O22" s="347"/>
      <c r="P22" s="348" t="s">
        <v>143</v>
      </c>
      <c r="Q22" s="276">
        <v>2358110.9</v>
      </c>
      <c r="R22" s="276"/>
      <c r="S22" s="276"/>
      <c r="T22" s="276"/>
      <c r="U22" s="276"/>
      <c r="V22" s="276"/>
      <c r="W22" s="276"/>
      <c r="X22" s="276"/>
      <c r="Y22" s="348" t="s">
        <v>143</v>
      </c>
      <c r="Z22" s="349">
        <f>Q22</f>
        <v>2358110.9</v>
      </c>
      <c r="AA22" s="803"/>
      <c r="AB22" s="350">
        <f>Z22</f>
        <v>2358110.9</v>
      </c>
      <c r="AC22" s="351">
        <v>1910403.5699999998</v>
      </c>
      <c r="AD22" s="279">
        <v>447707.33</v>
      </c>
    </row>
    <row r="23" spans="1:30" s="200" customFormat="1" ht="12.6" customHeight="1" x14ac:dyDescent="0.25">
      <c r="A23" s="361"/>
      <c r="B23" s="299"/>
      <c r="C23" s="362"/>
      <c r="D23" s="363"/>
      <c r="E23" s="364"/>
      <c r="F23" s="262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4" t="s">
        <v>133</v>
      </c>
      <c r="Z23" s="265">
        <f>SUM(Z8:Z22)</f>
        <v>8579031.879999999</v>
      </c>
      <c r="AA23" s="266"/>
      <c r="AB23" s="263">
        <f>SUM(AB8:AB22)</f>
        <v>8579031.879999999</v>
      </c>
      <c r="AC23" s="263">
        <f>SUM(AC8:AC22)</f>
        <v>7963998.4400000013</v>
      </c>
      <c r="AD23" s="267">
        <f>SUM(AD8:AD22)</f>
        <v>615033.43999999994</v>
      </c>
    </row>
    <row r="24" spans="1:30" s="200" customFormat="1" ht="12.6" thickBot="1" x14ac:dyDescent="0.3">
      <c r="A24" s="365"/>
      <c r="B24" s="366"/>
      <c r="C24" s="367"/>
      <c r="D24" s="368"/>
      <c r="E24" s="369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1"/>
      <c r="Z24" s="372"/>
      <c r="AA24" s="373"/>
      <c r="AB24" s="370"/>
      <c r="AC24" s="370"/>
      <c r="AD24" s="374"/>
    </row>
    <row r="25" spans="1:30" s="200" customFormat="1" ht="16.95" customHeight="1" x14ac:dyDescent="0.25">
      <c r="A25" s="811">
        <v>2</v>
      </c>
      <c r="B25" s="812" t="s">
        <v>142</v>
      </c>
      <c r="C25" s="814" t="s">
        <v>135</v>
      </c>
      <c r="D25" s="352">
        <v>281803.98</v>
      </c>
      <c r="E25" s="353"/>
      <c r="F25" s="354"/>
      <c r="G25" s="354"/>
      <c r="H25" s="354"/>
      <c r="I25" s="354"/>
      <c r="J25" s="354"/>
      <c r="K25" s="354"/>
      <c r="L25" s="355"/>
      <c r="M25" s="354"/>
      <c r="N25" s="355"/>
      <c r="O25" s="355"/>
      <c r="P25" s="356" t="s">
        <v>52</v>
      </c>
      <c r="Q25" s="357">
        <v>281803.98</v>
      </c>
      <c r="R25" s="354"/>
      <c r="S25" s="354"/>
      <c r="T25" s="354"/>
      <c r="U25" s="354"/>
      <c r="V25" s="354"/>
      <c r="W25" s="354"/>
      <c r="X25" s="354"/>
      <c r="Y25" s="356" t="s">
        <v>52</v>
      </c>
      <c r="Z25" s="358">
        <v>281803.98</v>
      </c>
      <c r="AA25" s="815">
        <f>SUM(AB25:AB26)</f>
        <v>281803.98</v>
      </c>
      <c r="AB25" s="359">
        <f>AC25+AD25</f>
        <v>281803.98</v>
      </c>
      <c r="AC25" s="359">
        <f>Z25-AD25</f>
        <v>251804.02999999997</v>
      </c>
      <c r="AD25" s="360">
        <v>29999.95</v>
      </c>
    </row>
    <row r="26" spans="1:30" s="200" customFormat="1" ht="15.6" customHeight="1" thickBot="1" x14ac:dyDescent="0.3">
      <c r="A26" s="793"/>
      <c r="B26" s="813"/>
      <c r="C26" s="791"/>
      <c r="D26" s="283"/>
      <c r="E26" s="284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6"/>
      <c r="Z26" s="294"/>
      <c r="AA26" s="816"/>
      <c r="AB26" s="295"/>
      <c r="AC26" s="295"/>
      <c r="AD26" s="296"/>
    </row>
    <row r="27" spans="1:30" s="200" customFormat="1" ht="12" customHeight="1" x14ac:dyDescent="0.25">
      <c r="A27" s="804">
        <v>3</v>
      </c>
      <c r="B27" s="805" t="s">
        <v>96</v>
      </c>
      <c r="C27" s="387"/>
      <c r="D27" s="808">
        <v>131336.26</v>
      </c>
      <c r="E27" s="268"/>
      <c r="F27" s="269"/>
      <c r="G27" s="269"/>
      <c r="H27" s="269" t="s">
        <v>52</v>
      </c>
      <c r="I27" s="269">
        <v>110363.99</v>
      </c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70">
        <v>1</v>
      </c>
      <c r="Z27" s="271">
        <f>I27</f>
        <v>110363.99</v>
      </c>
      <c r="AA27" s="298">
        <f>AB27</f>
        <v>110363.99</v>
      </c>
      <c r="AB27" s="269">
        <f>I27</f>
        <v>110363.99</v>
      </c>
      <c r="AC27" s="269">
        <f>AB27-AD27</f>
        <v>85118.37000000001</v>
      </c>
      <c r="AD27" s="272">
        <v>25245.62</v>
      </c>
    </row>
    <row r="28" spans="1:30" s="200" customFormat="1" ht="12" customHeight="1" x14ac:dyDescent="0.25">
      <c r="A28" s="792"/>
      <c r="B28" s="806"/>
      <c r="C28" s="388"/>
      <c r="D28" s="809"/>
      <c r="E28" s="196"/>
      <c r="F28" s="197"/>
      <c r="G28" s="197"/>
      <c r="H28" s="197"/>
      <c r="I28" s="197"/>
      <c r="AD28" s="273"/>
    </row>
    <row r="29" spans="1:30" s="200" customFormat="1" ht="12.6" thickBot="1" x14ac:dyDescent="0.3">
      <c r="A29" s="793"/>
      <c r="B29" s="807"/>
      <c r="C29" s="274"/>
      <c r="D29" s="810"/>
      <c r="E29" s="275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7"/>
      <c r="Z29" s="278"/>
      <c r="AA29" s="378"/>
      <c r="AB29" s="276"/>
      <c r="AC29" s="276"/>
      <c r="AD29" s="279"/>
    </row>
    <row r="30" spans="1:30" s="200" customFormat="1" ht="16.2" customHeight="1" x14ac:dyDescent="0.25">
      <c r="A30" s="776">
        <f>A8+1</f>
        <v>2</v>
      </c>
      <c r="B30" s="779" t="s">
        <v>137</v>
      </c>
      <c r="C30" s="782" t="s">
        <v>68</v>
      </c>
      <c r="D30" s="785" t="e">
        <f>#REF!</f>
        <v>#REF!</v>
      </c>
      <c r="E30" s="305" t="s">
        <v>126</v>
      </c>
      <c r="F30" s="287"/>
      <c r="G30" s="287"/>
      <c r="H30" s="287" t="s">
        <v>52</v>
      </c>
      <c r="I30" s="287">
        <v>111154.22</v>
      </c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 t="s">
        <v>52</v>
      </c>
      <c r="Z30" s="287">
        <v>111154.22</v>
      </c>
      <c r="AA30" s="774">
        <f>SUM(AB30:AB44)</f>
        <v>2293462.2600000002</v>
      </c>
      <c r="AB30" s="287">
        <v>111154.22</v>
      </c>
      <c r="AC30" s="287">
        <f>AB30-AD30</f>
        <v>44105.48000000001</v>
      </c>
      <c r="AD30" s="306">
        <f>55873.95*1.2</f>
        <v>67048.739999999991</v>
      </c>
    </row>
    <row r="31" spans="1:30" s="200" customFormat="1" ht="12" customHeight="1" x14ac:dyDescent="0.25">
      <c r="A31" s="777"/>
      <c r="B31" s="780"/>
      <c r="C31" s="783"/>
      <c r="D31" s="786"/>
      <c r="E31" s="224" t="s">
        <v>127</v>
      </c>
      <c r="F31" s="225"/>
      <c r="G31" s="225"/>
      <c r="H31" s="225"/>
      <c r="I31" s="225"/>
      <c r="J31" s="225" t="s">
        <v>68</v>
      </c>
      <c r="K31" s="225">
        <v>99020.51</v>
      </c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8" t="s">
        <v>68</v>
      </c>
      <c r="Z31" s="229">
        <f>K31</f>
        <v>99020.51</v>
      </c>
      <c r="AA31" s="775"/>
      <c r="AB31" s="225">
        <f>K31</f>
        <v>99020.51</v>
      </c>
      <c r="AC31" s="225">
        <v>53748.149999999994</v>
      </c>
      <c r="AD31" s="307">
        <v>45272.36</v>
      </c>
    </row>
    <row r="32" spans="1:30" s="200" customFormat="1" ht="12" customHeight="1" x14ac:dyDescent="0.25">
      <c r="A32" s="777"/>
      <c r="B32" s="780"/>
      <c r="C32" s="775"/>
      <c r="D32" s="786"/>
      <c r="E32" s="224"/>
      <c r="F32" s="225"/>
      <c r="G32" s="225"/>
      <c r="H32" s="225"/>
      <c r="I32" s="225"/>
      <c r="J32" s="225" t="s">
        <v>69</v>
      </c>
      <c r="K32" s="227">
        <v>345752.57</v>
      </c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 t="s">
        <v>69</v>
      </c>
      <c r="Z32" s="227">
        <v>345752.57</v>
      </c>
      <c r="AA32" s="775"/>
      <c r="AB32" s="227">
        <v>345752.57</v>
      </c>
      <c r="AC32" s="227">
        <v>231533.51</v>
      </c>
      <c r="AD32" s="307">
        <v>114219.06</v>
      </c>
    </row>
    <row r="33" spans="1:30" s="200" customFormat="1" ht="12" customHeight="1" x14ac:dyDescent="0.25">
      <c r="A33" s="777"/>
      <c r="B33" s="780"/>
      <c r="C33" s="775"/>
      <c r="D33" s="786"/>
      <c r="E33" s="224"/>
      <c r="F33" s="225"/>
      <c r="G33" s="225"/>
      <c r="H33" s="225"/>
      <c r="I33" s="225"/>
      <c r="J33" s="225" t="s">
        <v>70</v>
      </c>
      <c r="K33" s="226">
        <v>103230.59</v>
      </c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 t="e">
        <f>D30-Z45</f>
        <v>#REF!</v>
      </c>
      <c r="W33" s="225"/>
      <c r="X33" s="225"/>
      <c r="Y33" s="225" t="s">
        <v>70</v>
      </c>
      <c r="Z33" s="226">
        <v>103230.59</v>
      </c>
      <c r="AA33" s="775"/>
      <c r="AB33" s="226">
        <v>103230.59</v>
      </c>
      <c r="AC33" s="227">
        <v>30347.26999999999</v>
      </c>
      <c r="AD33" s="307">
        <v>72883.320000000007</v>
      </c>
    </row>
    <row r="34" spans="1:30" s="200" customFormat="1" ht="12" customHeight="1" x14ac:dyDescent="0.25">
      <c r="A34" s="777"/>
      <c r="B34" s="780"/>
      <c r="C34" s="775"/>
      <c r="D34" s="786"/>
      <c r="E34" s="224"/>
      <c r="F34" s="225"/>
      <c r="G34" s="225"/>
      <c r="H34" s="225"/>
      <c r="I34" s="225"/>
      <c r="J34" s="225" t="s">
        <v>71</v>
      </c>
      <c r="K34" s="226">
        <v>58541.36</v>
      </c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 t="s">
        <v>71</v>
      </c>
      <c r="Z34" s="226">
        <v>58541.36</v>
      </c>
      <c r="AA34" s="775"/>
      <c r="AB34" s="226">
        <v>58541.36</v>
      </c>
      <c r="AC34" s="227">
        <v>33049.979999999996</v>
      </c>
      <c r="AD34" s="307">
        <v>25491.38</v>
      </c>
    </row>
    <row r="35" spans="1:30" s="200" customFormat="1" ht="12" customHeight="1" x14ac:dyDescent="0.25">
      <c r="A35" s="777"/>
      <c r="B35" s="780"/>
      <c r="C35" s="775"/>
      <c r="D35" s="786"/>
      <c r="E35" s="224"/>
      <c r="F35" s="225"/>
      <c r="G35" s="225"/>
      <c r="H35" s="225"/>
      <c r="I35" s="225"/>
      <c r="J35" s="225"/>
      <c r="K35" s="225"/>
      <c r="L35" s="225" t="s">
        <v>72</v>
      </c>
      <c r="M35" s="226">
        <v>20510.87</v>
      </c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 t="s">
        <v>72</v>
      </c>
      <c r="Z35" s="226">
        <v>20510.87</v>
      </c>
      <c r="AA35" s="775"/>
      <c r="AB35" s="226">
        <v>20510.87</v>
      </c>
      <c r="AC35" s="227">
        <f>Z35-AD35</f>
        <v>19006.322</v>
      </c>
      <c r="AD35" s="307">
        <v>1504.548</v>
      </c>
    </row>
    <row r="36" spans="1:30" s="200" customFormat="1" ht="12" customHeight="1" x14ac:dyDescent="0.25">
      <c r="A36" s="777"/>
      <c r="B36" s="780"/>
      <c r="C36" s="775"/>
      <c r="D36" s="786"/>
      <c r="E36" s="224"/>
      <c r="F36" s="225"/>
      <c r="G36" s="225"/>
      <c r="H36" s="225"/>
      <c r="I36" s="225"/>
      <c r="J36" s="225"/>
      <c r="K36" s="225"/>
      <c r="L36" s="225" t="s">
        <v>73</v>
      </c>
      <c r="M36" s="225">
        <f>Z36</f>
        <v>112396.12</v>
      </c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 t="s">
        <v>73</v>
      </c>
      <c r="Z36" s="226">
        <v>112396.12</v>
      </c>
      <c r="AA36" s="775"/>
      <c r="AB36" s="227">
        <f t="shared" ref="AB36:AB38" si="0">Z36</f>
        <v>112396.12</v>
      </c>
      <c r="AC36" s="227">
        <v>57471.423999999999</v>
      </c>
      <c r="AD36" s="307">
        <v>54924.696000000004</v>
      </c>
    </row>
    <row r="37" spans="1:30" s="200" customFormat="1" ht="12" customHeight="1" x14ac:dyDescent="0.25">
      <c r="A37" s="777"/>
      <c r="B37" s="780"/>
      <c r="C37" s="775"/>
      <c r="D37" s="786"/>
      <c r="E37" s="224"/>
      <c r="F37" s="225"/>
      <c r="G37" s="225"/>
      <c r="H37" s="225"/>
      <c r="I37" s="225"/>
      <c r="J37" s="225"/>
      <c r="K37" s="225"/>
      <c r="L37" s="225" t="s">
        <v>76</v>
      </c>
      <c r="M37" s="225">
        <v>36533.03</v>
      </c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 t="s">
        <v>76</v>
      </c>
      <c r="Z37" s="226">
        <f>M37</f>
        <v>36533.03</v>
      </c>
      <c r="AA37" s="775"/>
      <c r="AB37" s="227">
        <f t="shared" si="0"/>
        <v>36533.03</v>
      </c>
      <c r="AC37" s="227">
        <v>32587.68</v>
      </c>
      <c r="AD37" s="307">
        <v>3945.35</v>
      </c>
    </row>
    <row r="38" spans="1:30" s="200" customFormat="1" ht="12" customHeight="1" x14ac:dyDescent="0.25">
      <c r="A38" s="777"/>
      <c r="B38" s="780"/>
      <c r="C38" s="775"/>
      <c r="D38" s="786"/>
      <c r="E38" s="224"/>
      <c r="F38" s="225"/>
      <c r="G38" s="225"/>
      <c r="H38" s="225"/>
      <c r="I38" s="225"/>
      <c r="J38" s="225"/>
      <c r="K38" s="225"/>
      <c r="L38" s="225" t="s">
        <v>77</v>
      </c>
      <c r="M38" s="225">
        <v>282807.74</v>
      </c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 t="s">
        <v>77</v>
      </c>
      <c r="Z38" s="226">
        <f>M38</f>
        <v>282807.74</v>
      </c>
      <c r="AA38" s="775"/>
      <c r="AB38" s="227">
        <f t="shared" si="0"/>
        <v>282807.74</v>
      </c>
      <c r="AC38" s="227">
        <f t="shared" ref="AC38:AC44" si="1">AB38-AD38</f>
        <v>157013.31</v>
      </c>
      <c r="AD38" s="307">
        <v>125794.43</v>
      </c>
    </row>
    <row r="39" spans="1:30" s="200" customFormat="1" ht="12" customHeight="1" x14ac:dyDescent="0.25">
      <c r="A39" s="777"/>
      <c r="B39" s="780"/>
      <c r="C39" s="775"/>
      <c r="D39" s="786"/>
      <c r="E39" s="230"/>
      <c r="F39" s="227"/>
      <c r="G39" s="227"/>
      <c r="H39" s="227"/>
      <c r="I39" s="227"/>
      <c r="J39" s="227"/>
      <c r="K39" s="227"/>
      <c r="L39" s="227"/>
      <c r="M39" s="227"/>
      <c r="N39" s="375"/>
      <c r="O39" s="380"/>
      <c r="P39" s="375"/>
      <c r="Q39" s="375"/>
      <c r="R39" s="225" t="s">
        <v>75</v>
      </c>
      <c r="S39" s="379">
        <v>236670.38</v>
      </c>
      <c r="T39" s="227"/>
      <c r="U39" s="227"/>
      <c r="V39" s="227"/>
      <c r="W39" s="227" t="s">
        <v>145</v>
      </c>
      <c r="X39" s="225">
        <f>Z39+Z43+Z44</f>
        <v>596567.15</v>
      </c>
      <c r="Y39" s="383" t="s">
        <v>75</v>
      </c>
      <c r="Z39" s="379">
        <v>236670.38</v>
      </c>
      <c r="AA39" s="775"/>
      <c r="AB39" s="379">
        <v>236670.38</v>
      </c>
      <c r="AC39" s="381">
        <f t="shared" si="1"/>
        <v>135826.63</v>
      </c>
      <c r="AD39" s="382">
        <v>100843.75</v>
      </c>
    </row>
    <row r="40" spans="1:30" s="200" customFormat="1" ht="12" customHeight="1" x14ac:dyDescent="0.25">
      <c r="A40" s="777"/>
      <c r="B40" s="780"/>
      <c r="C40" s="775"/>
      <c r="D40" s="786"/>
      <c r="E40" s="230"/>
      <c r="F40" s="227"/>
      <c r="G40" s="227"/>
      <c r="H40" s="227"/>
      <c r="I40" s="227"/>
      <c r="J40" s="227"/>
      <c r="K40" s="227"/>
      <c r="L40" s="227"/>
      <c r="M40" s="227"/>
      <c r="N40" s="375"/>
      <c r="O40" s="380"/>
      <c r="P40" s="375"/>
      <c r="Q40" s="375"/>
      <c r="R40" s="225" t="s">
        <v>78</v>
      </c>
      <c r="S40" s="379">
        <v>78675.94</v>
      </c>
      <c r="T40" s="227"/>
      <c r="U40" s="227"/>
      <c r="V40" s="227"/>
      <c r="W40" s="227" t="s">
        <v>146</v>
      </c>
      <c r="X40" s="225" t="e">
        <f>X39+'Реєстр ДЦ '!#REF!+'Реєстр ДЦ '!#REF!+'Реєстр ДЦ '!#REF!+'Реєстр ДЦ '!#REF!</f>
        <v>#REF!</v>
      </c>
      <c r="Y40" s="383" t="s">
        <v>78</v>
      </c>
      <c r="Z40" s="391">
        <v>78675.94</v>
      </c>
      <c r="AA40" s="775"/>
      <c r="AB40" s="379">
        <v>78675.94</v>
      </c>
      <c r="AC40" s="381">
        <f t="shared" si="1"/>
        <v>32607.32</v>
      </c>
      <c r="AD40" s="382">
        <v>46068.62</v>
      </c>
    </row>
    <row r="41" spans="1:30" s="200" customFormat="1" ht="12" customHeight="1" x14ac:dyDescent="0.25">
      <c r="A41" s="777"/>
      <c r="B41" s="780"/>
      <c r="C41" s="775"/>
      <c r="D41" s="786"/>
      <c r="E41" s="376"/>
      <c r="F41" s="251"/>
      <c r="G41" s="252"/>
      <c r="H41" s="252"/>
      <c r="I41" s="252"/>
      <c r="J41" s="252"/>
      <c r="K41" s="252"/>
      <c r="L41" s="252"/>
      <c r="M41" s="252"/>
      <c r="N41" s="377"/>
      <c r="O41" s="377"/>
      <c r="P41" s="375"/>
      <c r="Q41" s="375"/>
      <c r="R41" s="225" t="s">
        <v>74</v>
      </c>
      <c r="S41" s="379">
        <v>83218.66</v>
      </c>
      <c r="T41" s="227"/>
      <c r="U41" s="227"/>
      <c r="V41" s="227"/>
      <c r="W41" s="227" t="s">
        <v>147</v>
      </c>
      <c r="X41" s="225"/>
      <c r="Y41" s="383" t="s">
        <v>74</v>
      </c>
      <c r="Z41" s="391">
        <v>75489.289999999994</v>
      </c>
      <c r="AA41" s="775"/>
      <c r="AB41" s="379">
        <f>Z41</f>
        <v>75489.289999999994</v>
      </c>
      <c r="AC41" s="381">
        <f t="shared" si="1"/>
        <v>31514.699999999997</v>
      </c>
      <c r="AD41" s="381">
        <v>43974.59</v>
      </c>
    </row>
    <row r="42" spans="1:30" s="200" customFormat="1" ht="12" customHeight="1" x14ac:dyDescent="0.25">
      <c r="A42" s="777"/>
      <c r="B42" s="780"/>
      <c r="C42" s="775"/>
      <c r="D42" s="786"/>
      <c r="E42" s="376"/>
      <c r="F42" s="251"/>
      <c r="G42" s="252"/>
      <c r="H42" s="252"/>
      <c r="I42" s="252"/>
      <c r="J42" s="252"/>
      <c r="K42" s="252"/>
      <c r="L42" s="252"/>
      <c r="M42" s="252"/>
      <c r="N42" s="377"/>
      <c r="O42" s="377"/>
      <c r="P42" s="375"/>
      <c r="Q42" s="375"/>
      <c r="R42" s="225" t="s">
        <v>79</v>
      </c>
      <c r="S42" s="379">
        <f>Z42</f>
        <v>372782.87</v>
      </c>
      <c r="T42" s="227"/>
      <c r="U42" s="227"/>
      <c r="V42" s="227"/>
      <c r="W42" s="227" t="s">
        <v>148</v>
      </c>
      <c r="X42" s="225"/>
      <c r="Y42" s="383" t="s">
        <v>79</v>
      </c>
      <c r="Z42" s="392">
        <v>372782.87</v>
      </c>
      <c r="AA42" s="775"/>
      <c r="AB42" s="379">
        <f>Z42</f>
        <v>372782.87</v>
      </c>
      <c r="AC42" s="381">
        <f t="shared" si="1"/>
        <v>152785.19</v>
      </c>
      <c r="AD42" s="381">
        <v>219997.68</v>
      </c>
    </row>
    <row r="43" spans="1:30" s="200" customFormat="1" ht="12" customHeight="1" x14ac:dyDescent="0.25">
      <c r="A43" s="777"/>
      <c r="B43" s="780"/>
      <c r="C43" s="775"/>
      <c r="D43" s="786"/>
      <c r="E43" s="376"/>
      <c r="F43" s="251"/>
      <c r="G43" s="252"/>
      <c r="H43" s="252"/>
      <c r="I43" s="252"/>
      <c r="J43" s="252"/>
      <c r="K43" s="252"/>
      <c r="L43" s="252"/>
      <c r="M43" s="252"/>
      <c r="N43" s="377"/>
      <c r="O43" s="377"/>
      <c r="P43" s="375"/>
      <c r="Q43" s="375"/>
      <c r="R43" s="225" t="s">
        <v>80</v>
      </c>
      <c r="S43" s="379">
        <v>328788.28999999998</v>
      </c>
      <c r="T43" s="227"/>
      <c r="U43" s="227"/>
      <c r="V43" s="227"/>
      <c r="W43" s="227" t="s">
        <v>149</v>
      </c>
      <c r="X43" s="225"/>
      <c r="Y43" s="383" t="s">
        <v>80</v>
      </c>
      <c r="Z43" s="379">
        <v>356228.86</v>
      </c>
      <c r="AA43" s="775"/>
      <c r="AB43" s="379">
        <f>Z43</f>
        <v>356228.86</v>
      </c>
      <c r="AC43" s="381">
        <f t="shared" si="1"/>
        <v>201417.03999999998</v>
      </c>
      <c r="AD43" s="381">
        <v>154811.82</v>
      </c>
    </row>
    <row r="44" spans="1:30" s="200" customFormat="1" ht="12" customHeight="1" x14ac:dyDescent="0.25">
      <c r="A44" s="777"/>
      <c r="B44" s="780"/>
      <c r="C44" s="775"/>
      <c r="D44" s="786"/>
      <c r="E44" s="376"/>
      <c r="F44" s="251"/>
      <c r="G44" s="252"/>
      <c r="H44" s="252"/>
      <c r="I44" s="252"/>
      <c r="J44" s="252"/>
      <c r="K44" s="252"/>
      <c r="L44" s="252"/>
      <c r="M44" s="252"/>
      <c r="N44" s="377"/>
      <c r="O44" s="377"/>
      <c r="P44" s="375"/>
      <c r="Q44" s="375"/>
      <c r="R44" s="225" t="s">
        <v>143</v>
      </c>
      <c r="S44" s="379">
        <v>12657.74</v>
      </c>
      <c r="T44" s="227"/>
      <c r="U44" s="227"/>
      <c r="V44" s="227"/>
      <c r="W44" s="227" t="s">
        <v>150</v>
      </c>
      <c r="X44" s="225"/>
      <c r="Y44" s="383" t="s">
        <v>143</v>
      </c>
      <c r="Z44" s="379">
        <v>3667.91</v>
      </c>
      <c r="AA44" s="775"/>
      <c r="AB44" s="379">
        <f>Z44</f>
        <v>3667.91</v>
      </c>
      <c r="AC44" s="381">
        <f t="shared" si="1"/>
        <v>2114.5099999999998</v>
      </c>
      <c r="AD44" s="381">
        <v>1553.4</v>
      </c>
    </row>
    <row r="45" spans="1:30" s="200" customFormat="1" ht="12" customHeight="1" thickBot="1" x14ac:dyDescent="0.3">
      <c r="A45" s="778"/>
      <c r="B45" s="781"/>
      <c r="C45" s="791"/>
      <c r="D45" s="787"/>
      <c r="E45" s="308"/>
      <c r="F45" s="300"/>
      <c r="G45" s="301"/>
      <c r="H45" s="301"/>
      <c r="I45" s="301"/>
      <c r="J45" s="301"/>
      <c r="K45" s="301"/>
      <c r="L45" s="301"/>
      <c r="M45" s="301"/>
      <c r="N45" s="301"/>
      <c r="O45" s="301"/>
      <c r="P45" s="375"/>
      <c r="Q45" s="375"/>
      <c r="R45" s="375"/>
      <c r="S45" s="375"/>
      <c r="T45" s="227"/>
      <c r="U45" s="227"/>
      <c r="V45" s="227"/>
      <c r="W45" s="301"/>
      <c r="X45" s="301"/>
      <c r="Y45" s="286" t="s">
        <v>133</v>
      </c>
      <c r="Z45" s="285">
        <f>SUM(Z30:Z44)</f>
        <v>2293462.2600000002</v>
      </c>
      <c r="AA45" s="334"/>
      <c r="AB45" s="285">
        <f>SUM(AB30:AB44)</f>
        <v>2293462.2600000002</v>
      </c>
      <c r="AC45" s="285">
        <f>SUM(AC30:AC40)</f>
        <v>827297.07599999988</v>
      </c>
      <c r="AD45" s="335">
        <f>AB45-AC45</f>
        <v>1466165.1840000004</v>
      </c>
    </row>
    <row r="46" spans="1:30" s="200" customFormat="1" ht="12" customHeight="1" thickBot="1" x14ac:dyDescent="0.3">
      <c r="A46" s="309"/>
      <c r="B46" s="310"/>
      <c r="C46" s="311"/>
      <c r="D46" s="312"/>
      <c r="E46" s="313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281"/>
      <c r="Z46" s="280"/>
      <c r="AA46" s="282"/>
      <c r="AB46" s="280"/>
      <c r="AC46" s="280"/>
      <c r="AD46" s="280"/>
    </row>
    <row r="47" spans="1:30" s="200" customFormat="1" ht="12" customHeight="1" x14ac:dyDescent="0.25">
      <c r="A47" s="776">
        <v>3</v>
      </c>
      <c r="B47" s="779" t="s">
        <v>131</v>
      </c>
      <c r="C47" s="782" t="s">
        <v>69</v>
      </c>
      <c r="D47" s="785">
        <v>1540968</v>
      </c>
      <c r="E47" s="315"/>
      <c r="F47" s="287"/>
      <c r="G47" s="287"/>
      <c r="H47" s="287"/>
      <c r="I47" s="287"/>
      <c r="J47" s="287"/>
      <c r="K47" s="287"/>
      <c r="L47" s="316"/>
      <c r="M47" s="316"/>
      <c r="N47" s="317" t="s">
        <v>52</v>
      </c>
      <c r="O47" s="317">
        <v>248026.63</v>
      </c>
      <c r="P47" s="317"/>
      <c r="Q47" s="317"/>
      <c r="R47" s="317"/>
      <c r="S47" s="317"/>
      <c r="T47" s="317"/>
      <c r="U47" s="317"/>
      <c r="V47" s="317"/>
      <c r="W47" s="317"/>
      <c r="X47" s="384"/>
      <c r="Y47" s="385" t="s">
        <v>52</v>
      </c>
      <c r="Z47" s="317">
        <v>248026.63</v>
      </c>
      <c r="AA47" s="788">
        <f>SUM(AB47:AB51)</f>
        <v>672881.95</v>
      </c>
      <c r="AB47" s="317">
        <v>248026.63</v>
      </c>
      <c r="AC47" s="318">
        <f>Z47-AD47</f>
        <v>242763.11000000002</v>
      </c>
      <c r="AD47" s="319">
        <v>5263.52</v>
      </c>
    </row>
    <row r="48" spans="1:30" s="200" customFormat="1" ht="12" customHeight="1" x14ac:dyDescent="0.25">
      <c r="A48" s="777"/>
      <c r="B48" s="780"/>
      <c r="C48" s="783"/>
      <c r="D48" s="786"/>
      <c r="E48" s="230"/>
      <c r="F48" s="225"/>
      <c r="G48" s="225"/>
      <c r="H48" s="225"/>
      <c r="I48" s="225"/>
      <c r="J48" s="225"/>
      <c r="K48" s="225"/>
      <c r="L48" s="225"/>
      <c r="M48" s="225"/>
      <c r="N48" s="246" t="s">
        <v>68</v>
      </c>
      <c r="O48" s="246">
        <v>227228.23</v>
      </c>
      <c r="P48" s="246"/>
      <c r="Q48" s="246"/>
      <c r="R48" s="246"/>
      <c r="S48" s="246"/>
      <c r="T48" s="246"/>
      <c r="U48" s="246"/>
      <c r="V48" s="246"/>
      <c r="W48" s="246"/>
      <c r="X48" s="384"/>
      <c r="Y48" s="384" t="s">
        <v>68</v>
      </c>
      <c r="Z48" s="246">
        <f>O48</f>
        <v>227228.23</v>
      </c>
      <c r="AA48" s="789"/>
      <c r="AB48" s="246">
        <f>Z48</f>
        <v>227228.23</v>
      </c>
      <c r="AC48" s="246">
        <f>AB48-AD48</f>
        <v>222406.2</v>
      </c>
      <c r="AD48" s="322">
        <v>4822.03</v>
      </c>
    </row>
    <row r="49" spans="1:30" s="200" customFormat="1" ht="12" customHeight="1" x14ac:dyDescent="0.25">
      <c r="A49" s="777"/>
      <c r="B49" s="780"/>
      <c r="C49" s="783"/>
      <c r="D49" s="786"/>
      <c r="E49" s="230"/>
      <c r="F49" s="225"/>
      <c r="G49" s="225"/>
      <c r="H49" s="225"/>
      <c r="I49" s="225"/>
      <c r="J49" s="225"/>
      <c r="K49" s="225"/>
      <c r="L49" s="225"/>
      <c r="M49" s="225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384"/>
      <c r="Y49" s="384" t="s">
        <v>69</v>
      </c>
      <c r="Z49" s="292">
        <v>197627.09</v>
      </c>
      <c r="AA49" s="789"/>
      <c r="AB49" s="292">
        <f>Z49</f>
        <v>197627.09</v>
      </c>
      <c r="AC49" s="292"/>
      <c r="AD49" s="320"/>
    </row>
    <row r="50" spans="1:30" s="200" customFormat="1" ht="12" customHeight="1" x14ac:dyDescent="0.25">
      <c r="A50" s="777"/>
      <c r="B50" s="780"/>
      <c r="C50" s="783"/>
      <c r="D50" s="786"/>
      <c r="E50" s="230"/>
      <c r="F50" s="225"/>
      <c r="G50" s="225"/>
      <c r="H50" s="225"/>
      <c r="I50" s="225"/>
      <c r="J50" s="225"/>
      <c r="K50" s="225"/>
      <c r="L50" s="225"/>
      <c r="M50" s="225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91"/>
      <c r="Z50" s="292"/>
      <c r="AA50" s="789"/>
      <c r="AB50" s="292"/>
      <c r="AC50" s="292"/>
      <c r="AD50" s="320"/>
    </row>
    <row r="51" spans="1:30" s="200" customFormat="1" ht="12" customHeight="1" thickBot="1" x14ac:dyDescent="0.3">
      <c r="A51" s="777"/>
      <c r="B51" s="780"/>
      <c r="C51" s="783"/>
      <c r="D51" s="786"/>
      <c r="E51" s="230"/>
      <c r="F51" s="237"/>
      <c r="G51" s="237"/>
      <c r="H51" s="237"/>
      <c r="I51" s="237"/>
      <c r="J51" s="237"/>
      <c r="K51" s="237"/>
      <c r="L51" s="237"/>
      <c r="M51" s="23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93"/>
      <c r="Z51" s="292"/>
      <c r="AA51" s="790"/>
      <c r="AB51" s="292"/>
      <c r="AC51" s="292"/>
      <c r="AD51" s="321"/>
    </row>
    <row r="52" spans="1:30" s="200" customFormat="1" ht="12.6" customHeight="1" thickBot="1" x14ac:dyDescent="0.3">
      <c r="A52" s="778"/>
      <c r="B52" s="781"/>
      <c r="C52" s="784"/>
      <c r="D52" s="787"/>
      <c r="E52" s="308"/>
      <c r="F52" s="238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40" t="s">
        <v>133</v>
      </c>
      <c r="Z52" s="244">
        <f>SUM(Z47:Z51)</f>
        <v>672881.95</v>
      </c>
      <c r="AA52" s="245"/>
      <c r="AB52" s="244">
        <f>SUM(AB47:AB51)</f>
        <v>672881.95</v>
      </c>
      <c r="AC52" s="244">
        <f>SUM(AC47:AC51)</f>
        <v>465169.31000000006</v>
      </c>
      <c r="AD52" s="243">
        <f>SUM(AD47:AD51)</f>
        <v>10085.549999999999</v>
      </c>
    </row>
    <row r="53" spans="1:30" s="200" customFormat="1" ht="12" customHeight="1" x14ac:dyDescent="0.25">
      <c r="A53" s="776">
        <v>4</v>
      </c>
      <c r="B53" s="779" t="s">
        <v>136</v>
      </c>
      <c r="C53" s="782" t="s">
        <v>70</v>
      </c>
      <c r="D53" s="785">
        <v>414039.73</v>
      </c>
      <c r="E53" s="315"/>
      <c r="F53" s="287"/>
      <c r="G53" s="287"/>
      <c r="H53" s="287"/>
      <c r="I53" s="287"/>
      <c r="J53" s="287"/>
      <c r="K53" s="287"/>
      <c r="L53" s="317" t="s">
        <v>52</v>
      </c>
      <c r="M53" s="317">
        <v>87813.66</v>
      </c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 t="s">
        <v>52</v>
      </c>
      <c r="Z53" s="317">
        <v>87813.66</v>
      </c>
      <c r="AA53" s="772">
        <f>SUM(AB53:AB57)</f>
        <v>376145.98000000004</v>
      </c>
      <c r="AB53" s="317">
        <f>Z53</f>
        <v>87813.66</v>
      </c>
      <c r="AC53" s="317">
        <v>42008.340000000004</v>
      </c>
      <c r="AD53" s="319">
        <v>45805.32</v>
      </c>
    </row>
    <row r="54" spans="1:30" s="200" customFormat="1" ht="12" customHeight="1" x14ac:dyDescent="0.25">
      <c r="A54" s="792"/>
      <c r="B54" s="794"/>
      <c r="C54" s="775"/>
      <c r="D54" s="775"/>
      <c r="E54" s="230"/>
      <c r="F54" s="225"/>
      <c r="G54" s="225"/>
      <c r="H54" s="225"/>
      <c r="I54" s="225"/>
      <c r="J54" s="225"/>
      <c r="K54" s="225"/>
      <c r="L54" s="246" t="s">
        <v>68</v>
      </c>
      <c r="M54" s="246">
        <f>Z54</f>
        <v>43236.49</v>
      </c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8" t="s">
        <v>68</v>
      </c>
      <c r="Z54" s="246">
        <v>43236.49</v>
      </c>
      <c r="AA54" s="773"/>
      <c r="AB54" s="246">
        <f>Z54</f>
        <v>43236.49</v>
      </c>
      <c r="AC54" s="246">
        <v>20794.07</v>
      </c>
      <c r="AD54" s="322">
        <v>22442.42</v>
      </c>
    </row>
    <row r="55" spans="1:30" s="200" customFormat="1" ht="12" customHeight="1" x14ac:dyDescent="0.25">
      <c r="A55" s="792"/>
      <c r="B55" s="794"/>
      <c r="C55" s="775"/>
      <c r="D55" s="775"/>
      <c r="E55" s="197"/>
      <c r="F55" s="225"/>
      <c r="G55" s="225"/>
      <c r="H55" s="225"/>
      <c r="I55" s="225"/>
      <c r="J55" s="225"/>
      <c r="K55" s="225"/>
      <c r="L55" s="246" t="s">
        <v>69</v>
      </c>
      <c r="M55" s="246">
        <f>Z55</f>
        <v>199976.26</v>
      </c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 t="s">
        <v>69</v>
      </c>
      <c r="Z55" s="246">
        <v>199976.26</v>
      </c>
      <c r="AA55" s="773"/>
      <c r="AB55" s="246">
        <f t="shared" ref="AB55:AB56" si="2">Z55</f>
        <v>199976.26</v>
      </c>
      <c r="AC55" s="246">
        <v>190762.90000000002</v>
      </c>
      <c r="AD55" s="322">
        <v>9213.36</v>
      </c>
    </row>
    <row r="56" spans="1:30" s="200" customFormat="1" ht="12" customHeight="1" x14ac:dyDescent="0.25">
      <c r="A56" s="792"/>
      <c r="B56" s="794"/>
      <c r="C56" s="775"/>
      <c r="D56" s="775"/>
      <c r="E56" s="197"/>
      <c r="F56" s="225"/>
      <c r="G56" s="225"/>
      <c r="H56" s="225"/>
      <c r="I56" s="225"/>
      <c r="J56" s="225"/>
      <c r="K56" s="225"/>
      <c r="L56" s="246" t="s">
        <v>70</v>
      </c>
      <c r="M56" s="246">
        <f>Z56</f>
        <v>45119.57</v>
      </c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 t="s">
        <v>70</v>
      </c>
      <c r="Z56" s="246">
        <v>45119.57</v>
      </c>
      <c r="AA56" s="773"/>
      <c r="AB56" s="246">
        <f t="shared" si="2"/>
        <v>45119.57</v>
      </c>
      <c r="AC56" s="246">
        <f>AB56</f>
        <v>45119.57</v>
      </c>
      <c r="AD56" s="322" t="s">
        <v>138</v>
      </c>
    </row>
    <row r="57" spans="1:30" s="200" customFormat="1" ht="12" customHeight="1" thickBot="1" x14ac:dyDescent="0.3">
      <c r="A57" s="792"/>
      <c r="B57" s="794"/>
      <c r="C57" s="775"/>
      <c r="D57" s="775"/>
      <c r="E57" s="19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47"/>
      <c r="AA57" s="773"/>
      <c r="AB57" s="247"/>
      <c r="AC57" s="247"/>
      <c r="AD57" s="323"/>
    </row>
    <row r="58" spans="1:30" s="200" customFormat="1" ht="13.2" customHeight="1" thickBot="1" x14ac:dyDescent="0.3">
      <c r="A58" s="793"/>
      <c r="B58" s="795"/>
      <c r="C58" s="791"/>
      <c r="D58" s="791"/>
      <c r="E58" s="324"/>
      <c r="F58" s="238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40" t="s">
        <v>133</v>
      </c>
      <c r="Z58" s="241">
        <f>SUM(Z53:Z57)</f>
        <v>376145.98000000004</v>
      </c>
      <c r="AA58" s="242"/>
      <c r="AB58" s="241">
        <f>SUM(AB53:AB57)</f>
        <v>376145.98000000004</v>
      </c>
      <c r="AC58" s="241">
        <f>SUM(AC53:AC57)</f>
        <v>298684.88</v>
      </c>
      <c r="AD58" s="243">
        <f>SUM(AD53:AD57)</f>
        <v>77461.099999999991</v>
      </c>
    </row>
    <row r="59" spans="1:30" s="200" customFormat="1" ht="13.2" customHeight="1" x14ac:dyDescent="0.25">
      <c r="A59" s="776">
        <v>5</v>
      </c>
      <c r="B59" s="779" t="s">
        <v>139</v>
      </c>
      <c r="C59" s="782" t="s">
        <v>71</v>
      </c>
      <c r="D59" s="785">
        <v>234737.15</v>
      </c>
      <c r="E59" s="325"/>
      <c r="F59" s="326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27"/>
      <c r="X59" s="327"/>
      <c r="Y59" s="328"/>
      <c r="Z59" s="329"/>
      <c r="AA59" s="330"/>
      <c r="AB59" s="329"/>
      <c r="AC59" s="329"/>
      <c r="AD59" s="331"/>
    </row>
    <row r="60" spans="1:30" s="200" customFormat="1" ht="13.2" customHeight="1" x14ac:dyDescent="0.25">
      <c r="A60" s="792"/>
      <c r="B60" s="794"/>
      <c r="C60" s="775"/>
      <c r="D60" s="775"/>
      <c r="E60" s="236"/>
      <c r="F60" s="251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3"/>
      <c r="Z60" s="254"/>
      <c r="AA60" s="255"/>
      <c r="AB60" s="254"/>
      <c r="AC60" s="254"/>
      <c r="AD60" s="332"/>
    </row>
    <row r="61" spans="1:30" s="200" customFormat="1" ht="13.2" customHeight="1" x14ac:dyDescent="0.25">
      <c r="A61" s="792"/>
      <c r="B61" s="794"/>
      <c r="C61" s="775"/>
      <c r="D61" s="775"/>
      <c r="E61" s="236"/>
      <c r="F61" s="251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3"/>
      <c r="Z61" s="254"/>
      <c r="AA61" s="255"/>
      <c r="AB61" s="254"/>
      <c r="AC61" s="254"/>
      <c r="AD61" s="332"/>
    </row>
    <row r="62" spans="1:30" s="200" customFormat="1" ht="13.2" customHeight="1" x14ac:dyDescent="0.25">
      <c r="A62" s="792"/>
      <c r="B62" s="794"/>
      <c r="C62" s="775"/>
      <c r="D62" s="775"/>
      <c r="E62" s="236"/>
      <c r="F62" s="251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3"/>
      <c r="Z62" s="254"/>
      <c r="AA62" s="255"/>
      <c r="AB62" s="254"/>
      <c r="AC62" s="254"/>
      <c r="AD62" s="332"/>
    </row>
    <row r="63" spans="1:30" s="200" customFormat="1" ht="13.2" customHeight="1" x14ac:dyDescent="0.25">
      <c r="A63" s="792"/>
      <c r="B63" s="794"/>
      <c r="C63" s="775"/>
      <c r="D63" s="775"/>
      <c r="E63" s="236"/>
      <c r="F63" s="251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3"/>
      <c r="Z63" s="254"/>
      <c r="AA63" s="255"/>
      <c r="AB63" s="254"/>
      <c r="AC63" s="254"/>
      <c r="AD63" s="332"/>
    </row>
    <row r="64" spans="1:30" s="200" customFormat="1" ht="13.2" customHeight="1" thickBot="1" x14ac:dyDescent="0.3">
      <c r="A64" s="793"/>
      <c r="B64" s="795"/>
      <c r="C64" s="791"/>
      <c r="D64" s="791"/>
      <c r="E64" s="324"/>
      <c r="F64" s="333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286"/>
      <c r="Z64" s="283"/>
      <c r="AA64" s="334"/>
      <c r="AB64" s="283"/>
      <c r="AC64" s="283"/>
      <c r="AD64" s="335"/>
    </row>
    <row r="65" spans="1:32" s="201" customFormat="1" ht="17.399999999999999" customHeight="1" thickBot="1" x14ac:dyDescent="0.3">
      <c r="A65" s="256"/>
      <c r="B65" s="257" t="s">
        <v>47</v>
      </c>
      <c r="C65" s="258"/>
      <c r="D65" s="259" t="e">
        <f>SUM(D8:D64)</f>
        <v>#REF!</v>
      </c>
      <c r="E65" s="260"/>
      <c r="F65" s="261"/>
      <c r="G65" s="261">
        <f>SUM(G8:G64)</f>
        <v>481988.70999999996</v>
      </c>
      <c r="H65" s="261"/>
      <c r="I65" s="261">
        <f>SUM(I8:I64)</f>
        <v>1542755.92</v>
      </c>
      <c r="J65" s="261"/>
      <c r="K65" s="261">
        <f>SUM(K8:K64)</f>
        <v>2884086.1499999994</v>
      </c>
      <c r="L65" s="261"/>
      <c r="M65" s="261">
        <f>SUM(M8:M64)</f>
        <v>2436414.64</v>
      </c>
      <c r="N65" s="261"/>
      <c r="O65" s="261">
        <f>SUM(O8:O64)</f>
        <v>1007387.4</v>
      </c>
      <c r="P65" s="261"/>
      <c r="Q65" s="261">
        <f>SUM(Q8:Q64)</f>
        <v>2639914.88</v>
      </c>
      <c r="R65" s="261"/>
      <c r="S65" s="261">
        <f>SUM(S8:S64)</f>
        <v>1112793.8799999999</v>
      </c>
      <c r="T65" s="261"/>
      <c r="U65" s="261">
        <f>SUM(U8:U64)</f>
        <v>0</v>
      </c>
      <c r="V65" s="261"/>
      <c r="W65" s="261">
        <f t="shared" ref="W65" si="3">SUM(W8:W64)</f>
        <v>0</v>
      </c>
      <c r="X65" s="261"/>
      <c r="Y65" s="261"/>
      <c r="Z65" s="261">
        <f>Z23+Z27+Z45+Z52+Z58+Z25</f>
        <v>12313690.039999999</v>
      </c>
      <c r="AA65" s="302">
        <f>SUM(AA8:AA58)</f>
        <v>12313690.039999999</v>
      </c>
      <c r="AB65" s="303">
        <f>AB23+AB27+AB45+AB52+AB58+AB25</f>
        <v>12313690.039999999</v>
      </c>
      <c r="AC65" s="303">
        <f>AC23+AC27+AC45+AC52+AC58+AC25</f>
        <v>9892072.1060000025</v>
      </c>
      <c r="AD65" s="304">
        <f>AD23+AD27+AD45+AD52+AD58+AD25</f>
        <v>2223990.8440000005</v>
      </c>
    </row>
    <row r="66" spans="1:32" s="201" customFormat="1" ht="22.2" customHeight="1" x14ac:dyDescent="0.25">
      <c r="C66" s="231"/>
      <c r="D66" s="232"/>
      <c r="E66" s="233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5"/>
      <c r="Z66" s="234"/>
      <c r="AA66" s="235"/>
      <c r="AB66" s="234"/>
      <c r="AC66" s="234"/>
      <c r="AD66" s="234"/>
      <c r="AF66" s="386" t="e">
        <f>D30-AA30</f>
        <v>#REF!</v>
      </c>
    </row>
    <row r="67" spans="1:32" s="201" customFormat="1" ht="21.75" customHeight="1" x14ac:dyDescent="0.2">
      <c r="A67" s="186"/>
      <c r="B67" s="202"/>
      <c r="C67" s="203"/>
      <c r="D67" s="204"/>
      <c r="E67" s="202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3"/>
      <c r="Z67" s="203"/>
      <c r="AA67" s="203"/>
    </row>
    <row r="68" spans="1:32" s="201" customFormat="1" ht="17.25" customHeight="1" x14ac:dyDescent="0.2">
      <c r="A68" s="186"/>
      <c r="B68" s="206" t="s">
        <v>132</v>
      </c>
      <c r="C68" s="203"/>
      <c r="D68" s="204"/>
      <c r="E68" s="202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3"/>
      <c r="Z68" s="203"/>
      <c r="AB68" s="207"/>
    </row>
    <row r="69" spans="1:32" s="208" customFormat="1" x14ac:dyDescent="0.25">
      <c r="C69" s="209"/>
      <c r="D69" s="210"/>
      <c r="E69" s="188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2"/>
      <c r="Z69" s="212"/>
      <c r="AA69" s="213"/>
    </row>
    <row r="70" spans="1:32" s="208" customFormat="1" x14ac:dyDescent="0.25">
      <c r="C70" s="209"/>
      <c r="D70" s="210"/>
      <c r="E70" s="188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2"/>
      <c r="Z70" s="212"/>
      <c r="AA70" s="212"/>
      <c r="AB70" s="214"/>
    </row>
    <row r="71" spans="1:32" x14ac:dyDescent="0.25">
      <c r="C71" s="215"/>
      <c r="D71" s="216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7"/>
      <c r="Z71" s="217"/>
      <c r="AA71" s="217"/>
    </row>
    <row r="72" spans="1:32" x14ac:dyDescent="0.25">
      <c r="B72" s="185" t="s">
        <v>7</v>
      </c>
      <c r="C72" s="215"/>
      <c r="D72" s="216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2"/>
      <c r="Z72" s="212"/>
      <c r="AA72" s="212"/>
    </row>
    <row r="73" spans="1:32" x14ac:dyDescent="0.25">
      <c r="C73" s="215"/>
      <c r="D73" s="216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7"/>
      <c r="Z73" s="217"/>
      <c r="AA73" s="217"/>
    </row>
    <row r="74" spans="1:32" x14ac:dyDescent="0.25">
      <c r="C74" s="215"/>
      <c r="D74" s="216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195"/>
      <c r="Z74" s="195"/>
      <c r="AA74" s="195"/>
    </row>
    <row r="75" spans="1:32" x14ac:dyDescent="0.25">
      <c r="C75" s="215"/>
      <c r="D75" s="216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195"/>
      <c r="Z75" s="195"/>
      <c r="AA75" s="195"/>
    </row>
    <row r="76" spans="1:32" x14ac:dyDescent="0.25">
      <c r="C76" s="215"/>
      <c r="D76" s="216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195"/>
      <c r="Z76" s="195"/>
      <c r="AA76" s="195"/>
    </row>
    <row r="77" spans="1:32" x14ac:dyDescent="0.25">
      <c r="C77" s="215"/>
      <c r="D77" s="216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195"/>
      <c r="Z77" s="195"/>
      <c r="AA77" s="195"/>
    </row>
    <row r="78" spans="1:32" x14ac:dyDescent="0.25">
      <c r="C78" s="215"/>
      <c r="D78" s="216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195"/>
      <c r="Z78" s="195"/>
      <c r="AA78" s="195"/>
    </row>
    <row r="79" spans="1:32" x14ac:dyDescent="0.25">
      <c r="C79" s="215"/>
      <c r="D79" s="216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195"/>
      <c r="Z79" s="195"/>
      <c r="AA79" s="195"/>
    </row>
    <row r="80" spans="1:32" x14ac:dyDescent="0.25">
      <c r="C80" s="215"/>
      <c r="D80" s="216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195"/>
      <c r="Z80" s="195"/>
      <c r="AA80" s="195"/>
    </row>
    <row r="81" spans="3:27" x14ac:dyDescent="0.25">
      <c r="C81" s="215"/>
      <c r="D81" s="216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195"/>
      <c r="Z81" s="195"/>
      <c r="AA81" s="195"/>
    </row>
    <row r="82" spans="3:27" x14ac:dyDescent="0.25">
      <c r="C82" s="215"/>
      <c r="D82" s="216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195"/>
      <c r="Z82" s="195"/>
      <c r="AA82" s="195"/>
    </row>
    <row r="83" spans="3:27" x14ac:dyDescent="0.25">
      <c r="C83" s="215"/>
      <c r="D83" s="216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195"/>
      <c r="Z83" s="195"/>
      <c r="AA83" s="195"/>
    </row>
    <row r="84" spans="3:27" x14ac:dyDescent="0.25">
      <c r="C84" s="215"/>
      <c r="D84" s="216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195"/>
      <c r="Z84" s="195"/>
      <c r="AA84" s="195"/>
    </row>
    <row r="85" spans="3:27" x14ac:dyDescent="0.25">
      <c r="C85" s="215"/>
      <c r="D85" s="216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195"/>
      <c r="Z85" s="195"/>
      <c r="AA85" s="195"/>
    </row>
    <row r="86" spans="3:27" x14ac:dyDescent="0.25">
      <c r="C86" s="215"/>
      <c r="D86" s="216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195"/>
      <c r="Z86" s="195"/>
      <c r="AA86" s="195"/>
    </row>
    <row r="87" spans="3:27" x14ac:dyDescent="0.25">
      <c r="C87" s="215"/>
      <c r="D87" s="216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195"/>
      <c r="Z87" s="195"/>
      <c r="AA87" s="195"/>
    </row>
    <row r="88" spans="3:27" x14ac:dyDescent="0.25">
      <c r="C88" s="215"/>
      <c r="D88" s="216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195"/>
      <c r="Z88" s="195"/>
      <c r="AA88" s="195"/>
    </row>
    <row r="89" spans="3:27" x14ac:dyDescent="0.25">
      <c r="C89" s="215"/>
      <c r="D89" s="216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195"/>
      <c r="Z89" s="195"/>
      <c r="AA89" s="195"/>
    </row>
    <row r="90" spans="3:27" x14ac:dyDescent="0.25">
      <c r="C90" s="215"/>
      <c r="D90" s="216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195"/>
      <c r="Z90" s="195"/>
      <c r="AA90" s="195"/>
    </row>
    <row r="91" spans="3:27" x14ac:dyDescent="0.25">
      <c r="C91" s="215"/>
      <c r="D91" s="216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195"/>
      <c r="Z91" s="195"/>
      <c r="AA91" s="195"/>
    </row>
    <row r="92" spans="3:27" x14ac:dyDescent="0.25">
      <c r="C92" s="215"/>
      <c r="D92" s="216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195"/>
      <c r="Z92" s="195"/>
      <c r="AA92" s="195"/>
    </row>
    <row r="93" spans="3:27" x14ac:dyDescent="0.25">
      <c r="C93" s="215"/>
      <c r="D93" s="216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195"/>
      <c r="Z93" s="195"/>
      <c r="AA93" s="195"/>
    </row>
    <row r="94" spans="3:27" x14ac:dyDescent="0.25">
      <c r="C94" s="215"/>
      <c r="D94" s="216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195"/>
      <c r="Z94" s="195"/>
      <c r="AA94" s="195"/>
    </row>
    <row r="95" spans="3:27" x14ac:dyDescent="0.25">
      <c r="C95" s="215"/>
      <c r="D95" s="216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195"/>
      <c r="Z95" s="195"/>
      <c r="AA95" s="195"/>
    </row>
    <row r="96" spans="3:27" x14ac:dyDescent="0.25">
      <c r="C96" s="215"/>
      <c r="D96" s="216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195"/>
      <c r="Z96" s="195"/>
      <c r="AA96" s="195"/>
    </row>
    <row r="97" spans="3:27" x14ac:dyDescent="0.25">
      <c r="C97" s="215"/>
      <c r="D97" s="216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195"/>
      <c r="Z97" s="195"/>
      <c r="AA97" s="195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185" customWidth="1"/>
    <col min="2" max="2" width="35.6640625" style="185" customWidth="1"/>
    <col min="3" max="3" width="5.6640625" style="184" customWidth="1"/>
    <col min="4" max="4" width="10.44140625" style="184" customWidth="1"/>
    <col min="5" max="5" width="13.5546875" style="184" customWidth="1"/>
    <col min="6" max="6" width="9.109375" style="185"/>
    <col min="7" max="7" width="13.33203125" style="185" bestFit="1" customWidth="1"/>
    <col min="8" max="16384" width="9.109375" style="185"/>
  </cols>
  <sheetData>
    <row r="1" spans="1:5" ht="16.95" customHeight="1" x14ac:dyDescent="0.25">
      <c r="C1" s="186"/>
      <c r="D1" s="185"/>
      <c r="E1" s="185"/>
    </row>
    <row r="2" spans="1:5" ht="15" customHeight="1" x14ac:dyDescent="0.25">
      <c r="A2" s="846" t="s">
        <v>166</v>
      </c>
      <c r="B2" s="846"/>
      <c r="C2" s="846"/>
      <c r="D2" s="847"/>
      <c r="E2" s="847"/>
    </row>
    <row r="3" spans="1:5" ht="15" customHeight="1" x14ac:dyDescent="0.25">
      <c r="A3" s="186"/>
      <c r="B3" s="186"/>
      <c r="C3" s="186"/>
      <c r="D3" s="826" t="s">
        <v>167</v>
      </c>
      <c r="E3" s="826"/>
    </row>
    <row r="4" spans="1:5" ht="27.75" customHeight="1" x14ac:dyDescent="0.25">
      <c r="A4" s="398" t="s">
        <v>164</v>
      </c>
      <c r="B4" s="399" t="s">
        <v>165</v>
      </c>
      <c r="C4" s="191" t="s">
        <v>113</v>
      </c>
      <c r="D4" s="400" t="s">
        <v>168</v>
      </c>
      <c r="E4" s="397" t="s">
        <v>169</v>
      </c>
    </row>
    <row r="5" spans="1:5" s="200" customFormat="1" ht="12" customHeight="1" x14ac:dyDescent="0.25">
      <c r="A5" s="817">
        <v>1</v>
      </c>
      <c r="B5" s="820" t="s">
        <v>158</v>
      </c>
      <c r="C5" s="199" t="s">
        <v>52</v>
      </c>
      <c r="D5" s="199">
        <v>7494.3</v>
      </c>
      <c r="E5" s="199">
        <f>D5*1.2</f>
        <v>8993.16</v>
      </c>
    </row>
    <row r="6" spans="1:5" s="200" customFormat="1" ht="12" customHeight="1" x14ac:dyDescent="0.25">
      <c r="A6" s="817"/>
      <c r="B6" s="820"/>
      <c r="C6" s="199" t="s">
        <v>68</v>
      </c>
      <c r="D6" s="199">
        <v>23.05</v>
      </c>
      <c r="E6" s="199">
        <f t="shared" ref="E6:E19" si="0">D6*1.2</f>
        <v>27.66</v>
      </c>
    </row>
    <row r="7" spans="1:5" s="200" customFormat="1" ht="12" customHeight="1" x14ac:dyDescent="0.25">
      <c r="A7" s="817"/>
      <c r="B7" s="820"/>
      <c r="C7" s="199" t="s">
        <v>69</v>
      </c>
      <c r="D7" s="199">
        <v>7768.48</v>
      </c>
      <c r="E7" s="199">
        <f t="shared" si="0"/>
        <v>9322.1759999999995</v>
      </c>
    </row>
    <row r="8" spans="1:5" s="200" customFormat="1" ht="12" customHeight="1" x14ac:dyDescent="0.25">
      <c r="A8" s="817"/>
      <c r="B8" s="820"/>
      <c r="C8" s="199" t="s">
        <v>70</v>
      </c>
      <c r="D8" s="199">
        <v>9249.06</v>
      </c>
      <c r="E8" s="199">
        <f t="shared" si="0"/>
        <v>11098.871999999999</v>
      </c>
    </row>
    <row r="9" spans="1:5" s="200" customFormat="1" ht="12" customHeight="1" x14ac:dyDescent="0.25">
      <c r="A9" s="817"/>
      <c r="B9" s="820"/>
      <c r="C9" s="199" t="s">
        <v>71</v>
      </c>
      <c r="D9" s="199">
        <v>2284.84</v>
      </c>
      <c r="E9" s="199">
        <f t="shared" si="0"/>
        <v>2741.808</v>
      </c>
    </row>
    <row r="10" spans="1:5" s="200" customFormat="1" ht="12" customHeight="1" x14ac:dyDescent="0.25">
      <c r="A10" s="817"/>
      <c r="B10" s="820"/>
      <c r="C10" s="199" t="s">
        <v>72</v>
      </c>
      <c r="D10" s="199">
        <v>48021.11</v>
      </c>
      <c r="E10" s="199">
        <f t="shared" si="0"/>
        <v>57625.332000000002</v>
      </c>
    </row>
    <row r="11" spans="1:5" s="200" customFormat="1" ht="12" customHeight="1" x14ac:dyDescent="0.25">
      <c r="A11" s="817"/>
      <c r="B11" s="820"/>
      <c r="C11" s="199" t="s">
        <v>73</v>
      </c>
      <c r="D11" s="199">
        <v>9413.57</v>
      </c>
      <c r="E11" s="199">
        <f t="shared" si="0"/>
        <v>11296.284</v>
      </c>
    </row>
    <row r="12" spans="1:5" s="200" customFormat="1" ht="12" customHeight="1" x14ac:dyDescent="0.25">
      <c r="A12" s="817"/>
      <c r="B12" s="820"/>
      <c r="C12" s="199" t="s">
        <v>76</v>
      </c>
      <c r="D12" s="199">
        <v>7886.82</v>
      </c>
      <c r="E12" s="199">
        <f t="shared" si="0"/>
        <v>9464.1839999999993</v>
      </c>
    </row>
    <row r="13" spans="1:5" s="200" customFormat="1" ht="12" customHeight="1" x14ac:dyDescent="0.25">
      <c r="A13" s="817"/>
      <c r="B13" s="820"/>
      <c r="C13" s="199" t="s">
        <v>77</v>
      </c>
      <c r="D13" s="199">
        <v>6086.26</v>
      </c>
      <c r="E13" s="199">
        <f t="shared" si="0"/>
        <v>7303.5119999999997</v>
      </c>
    </row>
    <row r="14" spans="1:5" s="200" customFormat="1" ht="12" customHeight="1" x14ac:dyDescent="0.25">
      <c r="A14" s="817"/>
      <c r="B14" s="820"/>
      <c r="C14" s="199" t="s">
        <v>75</v>
      </c>
      <c r="D14" s="199">
        <v>16396.86</v>
      </c>
      <c r="E14" s="199">
        <f t="shared" si="0"/>
        <v>19676.232</v>
      </c>
    </row>
    <row r="15" spans="1:5" s="200" customFormat="1" ht="12" customHeight="1" x14ac:dyDescent="0.25">
      <c r="A15" s="817"/>
      <c r="B15" s="820"/>
      <c r="C15" s="199" t="s">
        <v>78</v>
      </c>
      <c r="D15" s="199">
        <v>2576.71</v>
      </c>
      <c r="E15" s="199">
        <f t="shared" si="0"/>
        <v>3092.0520000000001</v>
      </c>
    </row>
    <row r="16" spans="1:5" s="200" customFormat="1" ht="12" customHeight="1" x14ac:dyDescent="0.25">
      <c r="A16" s="817"/>
      <c r="B16" s="820"/>
      <c r="C16" s="199" t="s">
        <v>74</v>
      </c>
      <c r="D16" s="199">
        <v>3762.57</v>
      </c>
      <c r="E16" s="199">
        <f t="shared" si="0"/>
        <v>4515.0839999999998</v>
      </c>
    </row>
    <row r="17" spans="1:5" s="200" customFormat="1" ht="12" customHeight="1" x14ac:dyDescent="0.25">
      <c r="A17" s="817"/>
      <c r="B17" s="820"/>
      <c r="C17" s="199" t="s">
        <v>79</v>
      </c>
      <c r="D17" s="199">
        <v>3572.55</v>
      </c>
      <c r="E17" s="199">
        <f t="shared" si="0"/>
        <v>4287.0600000000004</v>
      </c>
    </row>
    <row r="18" spans="1:5" s="200" customFormat="1" ht="12" customHeight="1" x14ac:dyDescent="0.25">
      <c r="A18" s="817"/>
      <c r="B18" s="820"/>
      <c r="C18" s="199" t="s">
        <v>80</v>
      </c>
      <c r="D18" s="199">
        <v>14925.31</v>
      </c>
      <c r="E18" s="199">
        <f t="shared" si="0"/>
        <v>17910.371999999999</v>
      </c>
    </row>
    <row r="19" spans="1:5" s="200" customFormat="1" ht="12" customHeight="1" thickBot="1" x14ac:dyDescent="0.3">
      <c r="A19" s="817"/>
      <c r="B19" s="820"/>
      <c r="C19" s="393" t="s">
        <v>143</v>
      </c>
      <c r="D19" s="393">
        <v>373089.66</v>
      </c>
      <c r="E19" s="393">
        <f t="shared" si="0"/>
        <v>447707.59199999995</v>
      </c>
    </row>
    <row r="20" spans="1:5" s="200" customFormat="1" ht="12" customHeight="1" thickBot="1" x14ac:dyDescent="0.3">
      <c r="A20" s="407"/>
      <c r="B20" s="402"/>
      <c r="C20" s="408" t="s">
        <v>133</v>
      </c>
      <c r="D20" s="408"/>
      <c r="E20" s="409">
        <f>SUM(E5:E19)</f>
        <v>615061.37999999989</v>
      </c>
    </row>
    <row r="21" spans="1:5" s="200" customFormat="1" ht="36" customHeight="1" thickBot="1" x14ac:dyDescent="0.3">
      <c r="A21" s="404">
        <v>2</v>
      </c>
      <c r="B21" s="405" t="s">
        <v>159</v>
      </c>
      <c r="C21" s="239" t="s">
        <v>52</v>
      </c>
      <c r="D21" s="394">
        <v>24999.960000000003</v>
      </c>
      <c r="E21" s="394">
        <f>D21*1.2</f>
        <v>29999.952000000001</v>
      </c>
    </row>
    <row r="22" spans="1:5" s="200" customFormat="1" ht="40.200000000000003" customHeight="1" thickBot="1" x14ac:dyDescent="0.3">
      <c r="A22" s="401">
        <v>3</v>
      </c>
      <c r="B22" s="402" t="s">
        <v>160</v>
      </c>
      <c r="C22" s="403" t="s">
        <v>52</v>
      </c>
      <c r="D22" s="403">
        <v>21038.02</v>
      </c>
      <c r="E22" s="403">
        <f>D22*1.2</f>
        <v>25245.624</v>
      </c>
    </row>
    <row r="23" spans="1:5" s="200" customFormat="1" ht="16.2" customHeight="1" x14ac:dyDescent="0.25">
      <c r="A23" s="777">
        <f>A5+1</f>
        <v>2</v>
      </c>
      <c r="B23" s="780" t="s">
        <v>162</v>
      </c>
      <c r="C23" s="356" t="s">
        <v>52</v>
      </c>
      <c r="D23" s="394">
        <v>55874.91</v>
      </c>
      <c r="E23" s="394">
        <f t="shared" ref="E23:E50" si="1">D23*1.2</f>
        <v>67049.892000000007</v>
      </c>
    </row>
    <row r="24" spans="1:5" s="200" customFormat="1" ht="12" customHeight="1" x14ac:dyDescent="0.25">
      <c r="A24" s="777"/>
      <c r="B24" s="780"/>
      <c r="C24" s="228" t="s">
        <v>68</v>
      </c>
      <c r="D24" s="394">
        <v>37726.97</v>
      </c>
      <c r="E24" s="227">
        <f t="shared" si="1"/>
        <v>45272.364000000001</v>
      </c>
    </row>
    <row r="25" spans="1:5" s="200" customFormat="1" ht="16.2" customHeight="1" x14ac:dyDescent="0.25">
      <c r="A25" s="777"/>
      <c r="B25" s="780"/>
      <c r="C25" s="225" t="s">
        <v>69</v>
      </c>
      <c r="D25" s="394">
        <v>95182.55</v>
      </c>
      <c r="E25" s="227">
        <f t="shared" si="1"/>
        <v>114219.06</v>
      </c>
    </row>
    <row r="26" spans="1:5" s="200" customFormat="1" ht="13.95" customHeight="1" x14ac:dyDescent="0.25">
      <c r="A26" s="777"/>
      <c r="B26" s="780"/>
      <c r="C26" s="225" t="s">
        <v>70</v>
      </c>
      <c r="D26" s="394">
        <v>60736.1</v>
      </c>
      <c r="E26" s="227">
        <f t="shared" si="1"/>
        <v>72883.319999999992</v>
      </c>
    </row>
    <row r="27" spans="1:5" s="200" customFormat="1" ht="16.95" customHeight="1" x14ac:dyDescent="0.25">
      <c r="A27" s="777"/>
      <c r="B27" s="780"/>
      <c r="C27" s="225" t="s">
        <v>71</v>
      </c>
      <c r="D27" s="394">
        <v>21242.81</v>
      </c>
      <c r="E27" s="227">
        <f t="shared" si="1"/>
        <v>25491.371999999999</v>
      </c>
    </row>
    <row r="28" spans="1:5" s="200" customFormat="1" ht="12" customHeight="1" x14ac:dyDescent="0.25">
      <c r="A28" s="777"/>
      <c r="B28" s="780"/>
      <c r="C28" s="225" t="s">
        <v>72</v>
      </c>
      <c r="D28" s="394">
        <v>1253.78</v>
      </c>
      <c r="E28" s="227">
        <f t="shared" si="1"/>
        <v>1504.5359999999998</v>
      </c>
    </row>
    <row r="29" spans="1:5" s="200" customFormat="1" ht="12" customHeight="1" x14ac:dyDescent="0.25">
      <c r="A29" s="777"/>
      <c r="B29" s="780"/>
      <c r="C29" s="225" t="s">
        <v>73</v>
      </c>
      <c r="D29" s="394">
        <v>45770.58</v>
      </c>
      <c r="E29" s="227">
        <f t="shared" si="1"/>
        <v>54924.696000000004</v>
      </c>
    </row>
    <row r="30" spans="1:5" s="200" customFormat="1" ht="12" customHeight="1" x14ac:dyDescent="0.25">
      <c r="A30" s="777"/>
      <c r="B30" s="780"/>
      <c r="C30" s="225" t="s">
        <v>76</v>
      </c>
      <c r="D30" s="394">
        <v>3287.79</v>
      </c>
      <c r="E30" s="227">
        <f t="shared" si="1"/>
        <v>3945.348</v>
      </c>
    </row>
    <row r="31" spans="1:5" s="200" customFormat="1" ht="12" customHeight="1" x14ac:dyDescent="0.25">
      <c r="A31" s="777"/>
      <c r="B31" s="780"/>
      <c r="C31" s="225" t="s">
        <v>77</v>
      </c>
      <c r="D31" s="394">
        <v>104828.68</v>
      </c>
      <c r="E31" s="227">
        <f t="shared" si="1"/>
        <v>125794.41599999998</v>
      </c>
    </row>
    <row r="32" spans="1:5" s="200" customFormat="1" ht="12" customHeight="1" x14ac:dyDescent="0.25">
      <c r="A32" s="777"/>
      <c r="B32" s="780"/>
      <c r="C32" s="246" t="s">
        <v>75</v>
      </c>
      <c r="D32" s="394">
        <v>38390.54</v>
      </c>
      <c r="E32" s="227">
        <f t="shared" si="1"/>
        <v>46068.648000000001</v>
      </c>
    </row>
    <row r="33" spans="1:5" s="200" customFormat="1" ht="12" customHeight="1" x14ac:dyDescent="0.25">
      <c r="A33" s="777"/>
      <c r="B33" s="780"/>
      <c r="C33" s="246" t="s">
        <v>78</v>
      </c>
      <c r="D33" s="394">
        <v>33164.519999999997</v>
      </c>
      <c r="E33" s="227">
        <f t="shared" si="1"/>
        <v>39797.423999999992</v>
      </c>
    </row>
    <row r="34" spans="1:5" s="200" customFormat="1" ht="12" customHeight="1" x14ac:dyDescent="0.25">
      <c r="A34" s="777"/>
      <c r="B34" s="780"/>
      <c r="C34" s="247" t="s">
        <v>74</v>
      </c>
      <c r="D34" s="394">
        <v>171056.73</v>
      </c>
      <c r="E34" s="227">
        <f t="shared" si="1"/>
        <v>205268.076</v>
      </c>
    </row>
    <row r="35" spans="1:5" s="200" customFormat="1" ht="12" customHeight="1" x14ac:dyDescent="0.25">
      <c r="A35" s="777"/>
      <c r="B35" s="780"/>
      <c r="C35" s="385" t="s">
        <v>79</v>
      </c>
      <c r="D35" s="394">
        <v>59510.96</v>
      </c>
      <c r="E35" s="227">
        <f t="shared" si="1"/>
        <v>71413.152000000002</v>
      </c>
    </row>
    <row r="36" spans="1:5" s="200" customFormat="1" ht="12" customHeight="1" x14ac:dyDescent="0.25">
      <c r="A36" s="777"/>
      <c r="B36" s="780"/>
      <c r="C36" s="247" t="s">
        <v>152</v>
      </c>
      <c r="D36" s="394">
        <v>5935.61</v>
      </c>
      <c r="E36" s="227">
        <f t="shared" si="1"/>
        <v>7122.7319999999991</v>
      </c>
    </row>
    <row r="37" spans="1:5" s="200" customFormat="1" ht="12" customHeight="1" x14ac:dyDescent="0.25">
      <c r="A37" s="777"/>
      <c r="B37" s="780"/>
      <c r="C37" s="385" t="s">
        <v>153</v>
      </c>
      <c r="D37" s="394">
        <v>17328.79</v>
      </c>
      <c r="E37" s="227">
        <f t="shared" si="1"/>
        <v>20794.547999999999</v>
      </c>
    </row>
    <row r="38" spans="1:5" s="200" customFormat="1" ht="12" customHeight="1" x14ac:dyDescent="0.25">
      <c r="A38" s="777"/>
      <c r="B38" s="780"/>
      <c r="C38" s="385" t="s">
        <v>154</v>
      </c>
      <c r="D38" s="394">
        <v>29440.14</v>
      </c>
      <c r="E38" s="227">
        <f t="shared" si="1"/>
        <v>35328.167999999998</v>
      </c>
    </row>
    <row r="39" spans="1:5" s="200" customFormat="1" ht="12" customHeight="1" x14ac:dyDescent="0.25">
      <c r="A39" s="777"/>
      <c r="B39" s="780"/>
      <c r="C39" s="385" t="s">
        <v>155</v>
      </c>
      <c r="D39" s="394">
        <v>84036.47</v>
      </c>
      <c r="E39" s="227">
        <f t="shared" si="1"/>
        <v>100843.764</v>
      </c>
    </row>
    <row r="40" spans="1:5" s="200" customFormat="1" ht="12" customHeight="1" x14ac:dyDescent="0.25">
      <c r="A40" s="777"/>
      <c r="B40" s="780"/>
      <c r="C40" s="385" t="s">
        <v>156</v>
      </c>
      <c r="D40" s="394">
        <v>129009.85</v>
      </c>
      <c r="E40" s="227">
        <f t="shared" si="1"/>
        <v>154811.82</v>
      </c>
    </row>
    <row r="41" spans="1:5" s="200" customFormat="1" ht="12" customHeight="1" thickBot="1" x14ac:dyDescent="0.3">
      <c r="A41" s="777"/>
      <c r="B41" s="780"/>
      <c r="C41" s="385" t="s">
        <v>157</v>
      </c>
      <c r="D41" s="385">
        <v>766.9</v>
      </c>
      <c r="E41" s="227">
        <f t="shared" si="1"/>
        <v>920.28</v>
      </c>
    </row>
    <row r="42" spans="1:5" s="200" customFormat="1" ht="12" customHeight="1" thickBot="1" x14ac:dyDescent="0.3">
      <c r="A42" s="777"/>
      <c r="B42" s="780"/>
      <c r="C42" s="408" t="s">
        <v>133</v>
      </c>
      <c r="D42" s="408"/>
      <c r="E42" s="409">
        <f>SUM(E23:E41)</f>
        <v>1193453.6159999999</v>
      </c>
    </row>
    <row r="43" spans="1:5" s="200" customFormat="1" ht="12" customHeight="1" x14ac:dyDescent="0.25">
      <c r="A43" s="776">
        <v>3</v>
      </c>
      <c r="B43" s="779" t="s">
        <v>161</v>
      </c>
      <c r="C43" s="318" t="s">
        <v>52</v>
      </c>
      <c r="D43" s="317">
        <v>4386.25</v>
      </c>
      <c r="E43" s="227">
        <f t="shared" si="1"/>
        <v>5263.5</v>
      </c>
    </row>
    <row r="44" spans="1:5" s="200" customFormat="1" ht="12" customHeight="1" x14ac:dyDescent="0.25">
      <c r="A44" s="777"/>
      <c r="B44" s="780"/>
      <c r="C44" s="384" t="s">
        <v>68</v>
      </c>
      <c r="D44" s="384">
        <v>4018.36</v>
      </c>
      <c r="E44" s="227">
        <f t="shared" si="1"/>
        <v>4822.0320000000002</v>
      </c>
    </row>
    <row r="45" spans="1:5" s="200" customFormat="1" ht="12" customHeight="1" x14ac:dyDescent="0.25">
      <c r="A45" s="777"/>
      <c r="B45" s="780"/>
      <c r="C45" s="384" t="s">
        <v>69</v>
      </c>
      <c r="D45" s="384">
        <v>3494.95</v>
      </c>
      <c r="E45" s="227">
        <f t="shared" si="1"/>
        <v>4193.9399999999996</v>
      </c>
    </row>
    <row r="46" spans="1:5" s="200" customFormat="1" ht="12" customHeight="1" thickBot="1" x14ac:dyDescent="0.3">
      <c r="A46" s="777"/>
      <c r="B46" s="780"/>
      <c r="C46" s="384" t="s">
        <v>70</v>
      </c>
      <c r="D46" s="384">
        <v>3400.86</v>
      </c>
      <c r="E46" s="227">
        <f t="shared" si="1"/>
        <v>4081.0320000000002</v>
      </c>
    </row>
    <row r="47" spans="1:5" s="200" customFormat="1" ht="12.6" customHeight="1" thickBot="1" x14ac:dyDescent="0.3">
      <c r="A47" s="778"/>
      <c r="B47" s="781"/>
      <c r="C47" s="408" t="s">
        <v>133</v>
      </c>
      <c r="D47" s="408"/>
      <c r="E47" s="409">
        <f>SUM(E43:E46)</f>
        <v>18360.503999999997</v>
      </c>
    </row>
    <row r="48" spans="1:5" s="200" customFormat="1" ht="12" customHeight="1" x14ac:dyDescent="0.25">
      <c r="A48" s="776">
        <v>4</v>
      </c>
      <c r="B48" s="779" t="s">
        <v>163</v>
      </c>
      <c r="C48" s="287" t="s">
        <v>52</v>
      </c>
      <c r="D48" s="287">
        <v>38171.620000000003</v>
      </c>
      <c r="E48" s="227">
        <f t="shared" si="1"/>
        <v>45805.944000000003</v>
      </c>
    </row>
    <row r="49" spans="1:7" s="200" customFormat="1" ht="12" customHeight="1" x14ac:dyDescent="0.25">
      <c r="A49" s="792"/>
      <c r="B49" s="794"/>
      <c r="C49" s="228" t="s">
        <v>68</v>
      </c>
      <c r="D49" s="227">
        <v>18702.27</v>
      </c>
      <c r="E49" s="227">
        <f t="shared" si="1"/>
        <v>22442.723999999998</v>
      </c>
    </row>
    <row r="50" spans="1:7" s="200" customFormat="1" ht="12" customHeight="1" thickBot="1" x14ac:dyDescent="0.3">
      <c r="A50" s="792"/>
      <c r="B50" s="794"/>
      <c r="C50" s="225" t="s">
        <v>69</v>
      </c>
      <c r="D50" s="225">
        <v>7677.79</v>
      </c>
      <c r="E50" s="227">
        <f t="shared" si="1"/>
        <v>9213.348</v>
      </c>
    </row>
    <row r="51" spans="1:7" s="200" customFormat="1" ht="12" customHeight="1" thickBot="1" x14ac:dyDescent="0.3">
      <c r="A51" s="792"/>
      <c r="B51" s="794"/>
      <c r="C51" s="408" t="s">
        <v>133</v>
      </c>
      <c r="D51" s="408"/>
      <c r="E51" s="409">
        <f>SUM(E48:E50)</f>
        <v>77462.016000000003</v>
      </c>
    </row>
    <row r="52" spans="1:7" s="201" customFormat="1" ht="17.399999999999999" customHeight="1" thickBot="1" x14ac:dyDescent="0.3">
      <c r="A52" s="395"/>
      <c r="B52" s="396" t="s">
        <v>47</v>
      </c>
      <c r="C52" s="261"/>
      <c r="D52" s="261"/>
      <c r="E52" s="406">
        <f>E51+E47+E42+E22+E21+E20</f>
        <v>1959583.0919999999</v>
      </c>
    </row>
    <row r="53" spans="1:7" s="201" customFormat="1" ht="22.2" customHeight="1" x14ac:dyDescent="0.25">
      <c r="C53" s="235"/>
      <c r="D53" s="235"/>
      <c r="E53" s="235"/>
      <c r="G53" s="386"/>
    </row>
    <row r="54" spans="1:7" s="201" customFormat="1" ht="21.75" customHeight="1" x14ac:dyDescent="0.25">
      <c r="A54" s="186"/>
      <c r="B54" s="202"/>
      <c r="C54" s="203"/>
      <c r="D54" s="203"/>
      <c r="E54" s="203"/>
    </row>
    <row r="55" spans="1:7" s="201" customFormat="1" ht="17.25" customHeight="1" x14ac:dyDescent="0.25">
      <c r="A55" s="186"/>
      <c r="B55" s="206" t="s">
        <v>132</v>
      </c>
      <c r="C55" s="203"/>
      <c r="D55" s="203"/>
      <c r="E55" s="203"/>
    </row>
    <row r="56" spans="1:7" s="208" customFormat="1" x14ac:dyDescent="0.25">
      <c r="C56" s="212"/>
      <c r="D56" s="212"/>
      <c r="E56" s="212"/>
    </row>
    <row r="57" spans="1:7" s="208" customFormat="1" x14ac:dyDescent="0.25">
      <c r="C57" s="212"/>
      <c r="D57" s="212"/>
      <c r="E57" s="212"/>
    </row>
    <row r="58" spans="1:7" x14ac:dyDescent="0.25">
      <c r="C58" s="217"/>
      <c r="D58" s="217"/>
      <c r="E58" s="217"/>
    </row>
    <row r="59" spans="1:7" x14ac:dyDescent="0.25">
      <c r="B59" s="185" t="s">
        <v>7</v>
      </c>
      <c r="C59" s="212"/>
      <c r="D59" s="212"/>
      <c r="E59" s="212"/>
    </row>
    <row r="60" spans="1:7" x14ac:dyDescent="0.25">
      <c r="C60" s="217"/>
      <c r="D60" s="217"/>
      <c r="E60" s="217"/>
    </row>
    <row r="61" spans="1:7" x14ac:dyDescent="0.25">
      <c r="C61" s="195"/>
      <c r="D61" s="195"/>
      <c r="E61" s="195"/>
    </row>
    <row r="62" spans="1:7" x14ac:dyDescent="0.25">
      <c r="C62" s="195"/>
      <c r="D62" s="195"/>
      <c r="E62" s="195"/>
    </row>
    <row r="63" spans="1:7" x14ac:dyDescent="0.25">
      <c r="C63" s="195"/>
      <c r="D63" s="195"/>
      <c r="E63" s="195"/>
    </row>
    <row r="64" spans="1:7" x14ac:dyDescent="0.25">
      <c r="C64" s="195"/>
      <c r="D64" s="195"/>
      <c r="E64" s="195"/>
    </row>
    <row r="65" spans="3:5" x14ac:dyDescent="0.25">
      <c r="C65" s="195"/>
      <c r="D65" s="195"/>
      <c r="E65" s="195"/>
    </row>
    <row r="66" spans="3:5" x14ac:dyDescent="0.25">
      <c r="C66" s="195"/>
      <c r="D66" s="195"/>
      <c r="E66" s="195"/>
    </row>
    <row r="67" spans="3:5" x14ac:dyDescent="0.25">
      <c r="C67" s="195"/>
      <c r="D67" s="195"/>
      <c r="E67" s="195"/>
    </row>
    <row r="68" spans="3:5" x14ac:dyDescent="0.25">
      <c r="C68" s="195"/>
      <c r="D68" s="195"/>
      <c r="E68" s="195"/>
    </row>
    <row r="69" spans="3:5" x14ac:dyDescent="0.25">
      <c r="C69" s="195"/>
      <c r="D69" s="195"/>
      <c r="E69" s="195"/>
    </row>
    <row r="70" spans="3:5" x14ac:dyDescent="0.25">
      <c r="C70" s="195"/>
      <c r="D70" s="195"/>
      <c r="E70" s="195"/>
    </row>
    <row r="71" spans="3:5" x14ac:dyDescent="0.25">
      <c r="C71" s="195"/>
      <c r="D71" s="195"/>
      <c r="E71" s="195"/>
    </row>
    <row r="72" spans="3:5" x14ac:dyDescent="0.25">
      <c r="C72" s="195"/>
      <c r="D72" s="195"/>
      <c r="E72" s="195"/>
    </row>
    <row r="73" spans="3:5" x14ac:dyDescent="0.25">
      <c r="C73" s="195"/>
      <c r="D73" s="195"/>
      <c r="E73" s="195"/>
    </row>
    <row r="74" spans="3:5" x14ac:dyDescent="0.25">
      <c r="C74" s="195"/>
      <c r="D74" s="195"/>
      <c r="E74" s="195"/>
    </row>
    <row r="75" spans="3:5" x14ac:dyDescent="0.25">
      <c r="C75" s="195"/>
      <c r="D75" s="195"/>
      <c r="E75" s="195"/>
    </row>
    <row r="76" spans="3:5" x14ac:dyDescent="0.25">
      <c r="C76" s="195"/>
      <c r="D76" s="195"/>
      <c r="E76" s="195"/>
    </row>
    <row r="77" spans="3:5" x14ac:dyDescent="0.25">
      <c r="C77" s="195"/>
      <c r="D77" s="195"/>
      <c r="E77" s="195"/>
    </row>
    <row r="78" spans="3:5" x14ac:dyDescent="0.25">
      <c r="C78" s="195"/>
      <c r="D78" s="195"/>
      <c r="E78" s="195"/>
    </row>
    <row r="79" spans="3:5" x14ac:dyDescent="0.25">
      <c r="C79" s="195"/>
      <c r="D79" s="195"/>
      <c r="E79" s="195"/>
    </row>
    <row r="80" spans="3:5" x14ac:dyDescent="0.25">
      <c r="C80" s="195"/>
      <c r="D80" s="195"/>
      <c r="E80" s="195"/>
    </row>
    <row r="81" spans="3:5" x14ac:dyDescent="0.25">
      <c r="C81" s="195"/>
      <c r="D81" s="195"/>
      <c r="E81" s="195"/>
    </row>
    <row r="82" spans="3:5" x14ac:dyDescent="0.25">
      <c r="C82" s="195"/>
      <c r="D82" s="195"/>
      <c r="E82" s="195"/>
    </row>
    <row r="83" spans="3:5" x14ac:dyDescent="0.25">
      <c r="C83" s="195"/>
      <c r="D83" s="195"/>
      <c r="E83" s="195"/>
    </row>
    <row r="84" spans="3:5" x14ac:dyDescent="0.25">
      <c r="C84" s="195"/>
      <c r="D84" s="195"/>
      <c r="E84" s="195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48" t="s">
        <v>6</v>
      </c>
      <c r="B1" s="848"/>
      <c r="C1" s="848"/>
      <c r="D1" s="848"/>
      <c r="E1" s="848"/>
      <c r="F1" s="848"/>
    </row>
    <row r="2" spans="1:8" s="91" customFormat="1" ht="12.75" customHeight="1" x14ac:dyDescent="0.25">
      <c r="A2" s="849"/>
      <c r="B2" s="849"/>
      <c r="C2" s="849"/>
      <c r="D2" s="849"/>
      <c r="E2" s="84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53</v>
      </c>
      <c r="C4" s="112" t="s">
        <v>54</v>
      </c>
      <c r="D4" s="106" t="s">
        <v>52</v>
      </c>
      <c r="E4" s="129">
        <v>107970.18</v>
      </c>
      <c r="F4" s="128" t="s">
        <v>51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56</v>
      </c>
      <c r="C5" s="112" t="s">
        <v>54</v>
      </c>
      <c r="D5" s="106" t="s">
        <v>68</v>
      </c>
      <c r="E5" s="129">
        <v>38378.589999999997</v>
      </c>
      <c r="F5" s="128" t="s">
        <v>51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58</v>
      </c>
      <c r="C6" s="112" t="s">
        <v>54</v>
      </c>
      <c r="D6" s="106" t="s">
        <v>69</v>
      </c>
      <c r="E6" s="129">
        <v>82852.78</v>
      </c>
      <c r="F6" s="128" t="s">
        <v>51</v>
      </c>
      <c r="H6" s="131"/>
    </row>
    <row r="7" spans="1:8" s="92" customFormat="1" ht="15" customHeight="1" x14ac:dyDescent="0.25">
      <c r="A7" s="126">
        <f t="shared" si="0"/>
        <v>4</v>
      </c>
      <c r="B7" s="127" t="s">
        <v>59</v>
      </c>
      <c r="C7" s="112" t="s">
        <v>54</v>
      </c>
      <c r="D7" s="106" t="s">
        <v>70</v>
      </c>
      <c r="E7" s="129">
        <v>979787.02</v>
      </c>
      <c r="F7" s="128" t="s">
        <v>51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61</v>
      </c>
      <c r="C8" s="112" t="s">
        <v>54</v>
      </c>
      <c r="D8" s="106" t="s">
        <v>71</v>
      </c>
      <c r="E8" s="129">
        <v>565478.29</v>
      </c>
      <c r="F8" s="128" t="s">
        <v>51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63</v>
      </c>
      <c r="C9" s="112" t="s">
        <v>54</v>
      </c>
      <c r="D9" s="106" t="s">
        <v>72</v>
      </c>
      <c r="E9" s="129">
        <v>573308.27</v>
      </c>
      <c r="F9" s="128" t="s">
        <v>51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65</v>
      </c>
      <c r="C10" s="112" t="s">
        <v>54</v>
      </c>
      <c r="D10" s="106" t="s">
        <v>73</v>
      </c>
      <c r="E10" s="129">
        <v>88842.36</v>
      </c>
      <c r="F10" s="128" t="s">
        <v>51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62</v>
      </c>
      <c r="C11" s="112" t="s">
        <v>54</v>
      </c>
      <c r="D11" s="106" t="s">
        <v>74</v>
      </c>
      <c r="E11" s="129">
        <v>589296.65</v>
      </c>
      <c r="F11" s="128" t="s">
        <v>51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66</v>
      </c>
      <c r="C12" s="112" t="s">
        <v>54</v>
      </c>
      <c r="D12" s="106" t="s">
        <v>75</v>
      </c>
      <c r="E12" s="129">
        <v>100485.89</v>
      </c>
      <c r="F12" s="128" t="s">
        <v>51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55</v>
      </c>
      <c r="C13" s="112" t="s">
        <v>54</v>
      </c>
      <c r="D13" s="106" t="s">
        <v>76</v>
      </c>
      <c r="E13" s="129">
        <v>107970.18</v>
      </c>
      <c r="F13" s="128" t="s">
        <v>51</v>
      </c>
      <c r="H13" s="131"/>
    </row>
    <row r="14" spans="1:8" s="92" customFormat="1" ht="15" customHeight="1" x14ac:dyDescent="0.25">
      <c r="A14" s="126">
        <f>A13+1</f>
        <v>11</v>
      </c>
      <c r="B14" s="127" t="s">
        <v>57</v>
      </c>
      <c r="C14" s="112" t="s">
        <v>54</v>
      </c>
      <c r="D14" s="106" t="s">
        <v>77</v>
      </c>
      <c r="E14" s="129">
        <v>55788.36</v>
      </c>
      <c r="F14" s="128" t="s">
        <v>51</v>
      </c>
      <c r="H14" s="131"/>
    </row>
    <row r="15" spans="1:8" s="92" customFormat="1" ht="15" customHeight="1" x14ac:dyDescent="0.25">
      <c r="A15" s="126">
        <f>A14+1</f>
        <v>12</v>
      </c>
      <c r="B15" s="127" t="s">
        <v>60</v>
      </c>
      <c r="C15" s="112" t="s">
        <v>54</v>
      </c>
      <c r="D15" s="106" t="s">
        <v>78</v>
      </c>
      <c r="E15" s="129">
        <v>1129114.07</v>
      </c>
      <c r="F15" s="128" t="s">
        <v>51</v>
      </c>
      <c r="H15" s="131"/>
    </row>
    <row r="16" spans="1:8" s="92" customFormat="1" ht="15" customHeight="1" x14ac:dyDescent="0.25">
      <c r="A16" s="126">
        <f>A15+1</f>
        <v>13</v>
      </c>
      <c r="B16" s="127" t="s">
        <v>64</v>
      </c>
      <c r="C16" s="112" t="s">
        <v>54</v>
      </c>
      <c r="D16" s="106" t="s">
        <v>79</v>
      </c>
      <c r="E16" s="129">
        <v>542099.16</v>
      </c>
      <c r="F16" s="128" t="s">
        <v>51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67</v>
      </c>
      <c r="C17" s="112" t="s">
        <v>54</v>
      </c>
      <c r="D17" s="106" t="s">
        <v>80</v>
      </c>
      <c r="E17" s="129">
        <v>91400.04</v>
      </c>
      <c r="F17" s="128" t="s">
        <v>51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ДЦ </vt:lpstr>
      <vt:lpstr>РеєстрАВР</vt:lpstr>
      <vt:lpstr>РеєстрАВР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ДЦ '!Область_печати</vt:lpstr>
      <vt:lpstr>РеєстрАВР!Область_печати</vt:lpstr>
      <vt:lpstr>'РеєстрАВР (2)'!Область_печати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2025-01-06T07:36:53Z</cp:lastPrinted>
  <dcterms:created xsi:type="dcterms:W3CDTF">2016-07-15T13:11:41Z</dcterms:created>
  <dcterms:modified xsi:type="dcterms:W3CDTF">2025-01-20T15:28:13Z</dcterms:modified>
</cp:coreProperties>
</file>
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firstSheet="1" activeTab="1"/>
  </bookViews>
  <sheets>
    <sheet name="04.09.2023" sheetId="8" state="hidden" r:id="rId1"/>
    <sheet name="январь 2024" sheetId="9" r:id="rId2"/>
    <sheet name="прогноз" sheetId="10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5" i="9" l="1"/>
  <c r="F35" i="10" l="1"/>
  <c r="E35" i="10"/>
</calcChain>
</file>

<file path=xl/sharedStrings.xml><?xml version="1.0" encoding="utf-8"?>
<sst xmlns="http://schemas.openxmlformats.org/spreadsheetml/2006/main" count="651" uniqueCount="82">
  <si>
    <t>№</t>
  </si>
  <si>
    <t>Погодження Технагляда</t>
  </si>
  <si>
    <t>Погодження Кошторисника</t>
  </si>
  <si>
    <t>Погодження Постачання</t>
  </si>
  <si>
    <t>+</t>
  </si>
  <si>
    <t>Примітка</t>
  </si>
  <si>
    <t>№АВР</t>
  </si>
  <si>
    <t>Сума ,грн</t>
  </si>
  <si>
    <t xml:space="preserve">Найменування </t>
  </si>
  <si>
    <t>Оплата</t>
  </si>
  <si>
    <t>Статус</t>
  </si>
  <si>
    <t>Оплата, грн</t>
  </si>
  <si>
    <t>АВР №1</t>
  </si>
  <si>
    <t>АВР №2</t>
  </si>
  <si>
    <t>Улаштування кабіни формування проби транспортної  галерея</t>
  </si>
  <si>
    <t>АВР №1 по рахунку</t>
  </si>
  <si>
    <t>КМ Галерея відходів ЛЮКИ</t>
  </si>
  <si>
    <t>АР Шрот</t>
  </si>
  <si>
    <t>АР станция водоподготовки</t>
  </si>
  <si>
    <t>АВР №6</t>
  </si>
  <si>
    <t>Підлоги ТЄС</t>
  </si>
  <si>
    <t>АР Станция очистки</t>
  </si>
  <si>
    <t>АВР №3</t>
  </si>
  <si>
    <t xml:space="preserve">АР транспортная галерея </t>
  </si>
  <si>
    <t xml:space="preserve">АР Шрот </t>
  </si>
  <si>
    <t>оплаты нет</t>
  </si>
  <si>
    <t>подписано</t>
  </si>
  <si>
    <t>АВР №7</t>
  </si>
  <si>
    <t>Підлоги ЦПП</t>
  </si>
  <si>
    <t>оплачено</t>
  </si>
  <si>
    <t>АР станция очистки</t>
  </si>
  <si>
    <t>АВР №4</t>
  </si>
  <si>
    <t>Жорновий</t>
  </si>
  <si>
    <t>КМ Шрот</t>
  </si>
  <si>
    <t>АВР №5</t>
  </si>
  <si>
    <t>АВР №8</t>
  </si>
  <si>
    <t>АВР №9</t>
  </si>
  <si>
    <t>Підлоги ТЭС</t>
  </si>
  <si>
    <t xml:space="preserve">АВР №7 </t>
  </si>
  <si>
    <t>Почасовка ОМ-1</t>
  </si>
  <si>
    <t>Благоустройство ЦПП</t>
  </si>
  <si>
    <t>Почасовка сходи градирні</t>
  </si>
  <si>
    <t>АР станція очистки</t>
  </si>
  <si>
    <t>оригиналі отправлені</t>
  </si>
  <si>
    <t>Полы ТЭС</t>
  </si>
  <si>
    <t>АР Шрот профлист</t>
  </si>
  <si>
    <t>АР Станція наливу профлист</t>
  </si>
  <si>
    <t>Почасовка ДУ №1 №07/11</t>
  </si>
  <si>
    <t>АВР №10</t>
  </si>
  <si>
    <t>Благоустройство ЦПП доп.споруди</t>
  </si>
  <si>
    <t>Люки 28 шт</t>
  </si>
  <si>
    <t>КМ приміщення електрощитової</t>
  </si>
  <si>
    <t>АР станция наливу</t>
  </si>
  <si>
    <t>КМ узел пропарки Навес (профлист)</t>
  </si>
  <si>
    <t>АР станція наливу</t>
  </si>
  <si>
    <t>АР Будівля резервуарів</t>
  </si>
  <si>
    <t>Станция очистки вимощення</t>
  </si>
  <si>
    <t>Работа, с НДС</t>
  </si>
  <si>
    <t>материал, с НДС</t>
  </si>
  <si>
    <t>АР Станция наливу</t>
  </si>
  <si>
    <t>ЗП+М29</t>
  </si>
  <si>
    <t>АР Станція наливу</t>
  </si>
  <si>
    <t>М29</t>
  </si>
  <si>
    <t>ЗП+</t>
  </si>
  <si>
    <t>М29+</t>
  </si>
  <si>
    <t>АР Станція наливу (по рахунку)</t>
  </si>
  <si>
    <t xml:space="preserve">подписано. </t>
  </si>
  <si>
    <t>АВР №11</t>
  </si>
  <si>
    <t>АР Шрот (спецпланки)</t>
  </si>
  <si>
    <t>АВР №12</t>
  </si>
  <si>
    <t>АР Станція наливу (спецпланки)</t>
  </si>
  <si>
    <t>АВР №13</t>
  </si>
  <si>
    <t xml:space="preserve">АКТ передачи материалов АР Шрот </t>
  </si>
  <si>
    <t>Герметизація отворів станція наливу</t>
  </si>
  <si>
    <t>Герметизація отворів АР Шрот</t>
  </si>
  <si>
    <t>АР Будівля резервуарів (финал)</t>
  </si>
  <si>
    <t>Покращення умов експлуатації та вимог з ОП</t>
  </si>
  <si>
    <t xml:space="preserve">подписан. </t>
  </si>
  <si>
    <t>оплаті нет</t>
  </si>
  <si>
    <t>АВР №1 Секционные ворота пропарка</t>
  </si>
  <si>
    <t>АВР №1 (по рахунку) Дефлектора</t>
  </si>
  <si>
    <t>Оригинал отправлен на подпись Заказчику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</si>
</sst>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0\ _₽_-;\-* #,##0.000\ _₽_-;_-* &quot;-&quot;??\ _₽_-;_-@_-"/>
    <numFmt numFmtId="165" formatCode="_-* #,##0.000\ _₽_-;\-* #,##0.000\ _₽_-;_-* &quot;-&quot;???\ _₽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48">
    <xf numFmtId="0" fontId="0" fillId="0" borderId="0" xfId="0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43" fontId="0" fillId="0" borderId="0" xfId="0" applyNumberFormat="1"/>
    <xf numFmtId="0" fontId="0" fillId="2" borderId="1" xfId="0" applyFill="1" applyBorder="1"/>
    <xf numFmtId="43" fontId="15" fillId="3" borderId="1" xfId="1" applyFont="1" applyFill="1" applyBorder="1" applyAlignment="1">
      <alignment horizontal="center"/>
    </xf>
    <xf numFmtId="0" fontId="15" fillId="3" borderId="1" xfId="0" applyFont="1" applyFill="1" applyBorder="1"/>
    <xf numFmtId="0" fontId="15" fillId="3" borderId="1" xfId="0" applyFont="1" applyFill="1" applyBorder="1" applyAlignment="1">
      <alignment wrapText="1"/>
    </xf>
    <xf numFmtId="0" fontId="15" fillId="3" borderId="1" xfId="0" applyFont="1" applyFill="1" applyBorder="1" applyAlignment="1">
      <alignment horizontal="center" vertical="center"/>
    </xf>
    <xf numFmtId="4" fontId="15" fillId="3" borderId="1" xfId="0" applyNumberFormat="1" applyFont="1" applyFill="1" applyBorder="1" applyAlignment="1">
      <alignment horizontal="center" vertical="center"/>
    </xf>
    <xf numFmtId="4" fontId="15" fillId="3" borderId="1" xfId="0" applyNumberFormat="1" applyFont="1" applyFill="1" applyBorder="1"/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/>
    </xf>
    <xf numFmtId="0" fontId="0" fillId="2" borderId="0" xfId="0" applyFill="1"/>
    <xf numFmtId="0" fontId="15" fillId="0" borderId="0" xfId="0" applyFont="1" applyAlignment="1">
      <alignment vertical="center"/>
    </xf>
    <xf numFmtId="0" fontId="15" fillId="0" borderId="0" xfId="0" applyFont="1"/>
    <xf numFmtId="0" fontId="15" fillId="2" borderId="0" xfId="0" applyFont="1" applyFill="1"/>
    <xf numFmtId="0" fontId="15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center" wrapText="1"/>
    </xf>
    <xf numFmtId="43" fontId="15" fillId="3" borderId="1" xfId="1" applyFont="1" applyFill="1" applyBorder="1"/>
    <xf numFmtId="0" fontId="15" fillId="3" borderId="1" xfId="0" applyFont="1" applyFill="1" applyBorder="1" applyAlignment="1">
      <alignment vertical="center" wrapText="1"/>
    </xf>
    <xf numFmtId="43" fontId="15" fillId="3" borderId="1" xfId="0" applyNumberFormat="1" applyFont="1" applyFill="1" applyBorder="1" applyAlignment="1">
      <alignment horizontal="center" vertical="center"/>
    </xf>
    <xf numFmtId="43" fontId="15" fillId="3" borderId="1" xfId="0" applyNumberFormat="1" applyFont="1" applyFill="1" applyBorder="1" applyAlignment="1">
      <alignment horizontal="center"/>
    </xf>
    <xf numFmtId="0" fontId="15" fillId="2" borderId="1" xfId="0" applyFont="1" applyFill="1" applyBorder="1"/>
    <xf numFmtId="0" fontId="16" fillId="4" borderId="1" xfId="0" applyFont="1" applyFill="1" applyBorder="1" applyAlignment="1">
      <alignment horizontal="center" vertical="center"/>
    </xf>
    <xf numFmtId="43" fontId="16" fillId="4" borderId="1" xfId="0" applyNumberFormat="1" applyFont="1" applyFill="1" applyBorder="1" applyAlignment="1">
      <alignment vertical="center"/>
    </xf>
    <xf numFmtId="0" fontId="16" fillId="4" borderId="1" xfId="0" applyFont="1" applyFill="1" applyBorder="1" applyAlignment="1">
      <alignment horizontal="center"/>
    </xf>
    <xf numFmtId="0" fontId="16" fillId="4" borderId="1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43" fontId="16" fillId="4" borderId="1" xfId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43" fontId="11" fillId="4" borderId="1" xfId="0" applyNumberFormat="1" applyFont="1" applyFill="1" applyBorder="1" applyAlignment="1">
      <alignment vertical="center"/>
    </xf>
    <xf numFmtId="0" fontId="11" fillId="4" borderId="1" xfId="0" applyFont="1" applyFill="1" applyBorder="1"/>
    <xf numFmtId="0" fontId="10" fillId="4" borderId="1" xfId="0" applyFont="1" applyFill="1" applyBorder="1" applyAlignment="1">
      <alignment horizontal="center" vertical="center" wrapText="1"/>
    </xf>
    <xf numFmtId="43" fontId="11" fillId="4" borderId="1" xfId="1" applyFont="1" applyFill="1" applyBorder="1" applyAlignment="1">
      <alignment horizontal="center" wrapText="1"/>
    </xf>
    <xf numFmtId="43" fontId="16" fillId="4" borderId="1" xfId="1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wrapText="1"/>
    </xf>
    <xf numFmtId="43" fontId="16" fillId="4" borderId="1" xfId="1" applyFont="1" applyFill="1" applyBorder="1"/>
    <xf numFmtId="43" fontId="16" fillId="4" borderId="1" xfId="0" applyNumberFormat="1" applyFont="1" applyFill="1" applyBorder="1"/>
    <xf numFmtId="43" fontId="17" fillId="4" borderId="1" xfId="1" applyFont="1" applyFill="1" applyBorder="1" applyAlignment="1">
      <alignment horizontal="center" wrapText="1"/>
    </xf>
    <xf numFmtId="43" fontId="16" fillId="4" borderId="1" xfId="0" applyNumberFormat="1" applyFont="1" applyFill="1" applyBorder="1" applyAlignment="1">
      <alignment horizontal="center"/>
    </xf>
    <xf numFmtId="43" fontId="16" fillId="4" borderId="1" xfId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2" fillId="0" borderId="1" xfId="0" applyFont="1" applyBorder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43" fontId="0" fillId="0" borderId="1" xfId="0" applyNumberFormat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43" fontId="15" fillId="5" borderId="1" xfId="0" applyNumberFormat="1" applyFont="1" applyFill="1" applyBorder="1" applyAlignment="1">
      <alignment horizontal="center"/>
    </xf>
    <xf numFmtId="0" fontId="15" fillId="5" borderId="1" xfId="0" applyFont="1" applyFill="1" applyBorder="1"/>
    <xf numFmtId="43" fontId="15" fillId="5" borderId="1" xfId="1" applyFont="1" applyFill="1" applyBorder="1"/>
    <xf numFmtId="43" fontId="15" fillId="5" borderId="1" xfId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 vertical="center"/>
    </xf>
    <xf numFmtId="43" fontId="15" fillId="5" borderId="1" xfId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/>
    </xf>
    <xf numFmtId="0" fontId="21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0" fillId="5" borderId="1" xfId="0" applyFont="1" applyFill="1" applyBorder="1" applyAlignment="1">
      <alignment horizontal="left"/>
    </xf>
    <xf numFmtId="0" fontId="20" fillId="5" borderId="1" xfId="0" applyFont="1" applyFill="1" applyBorder="1" applyAlignment="1">
      <alignment horizontal="center"/>
    </xf>
    <xf numFmtId="43" fontId="9" fillId="5" borderId="1" xfId="1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43" fontId="0" fillId="5" borderId="1" xfId="1" applyFont="1" applyFill="1" applyBorder="1"/>
    <xf numFmtId="0" fontId="20" fillId="5" borderId="1" xfId="0" applyFont="1" applyFill="1" applyBorder="1" applyAlignment="1">
      <alignment horizontal="left" wrapText="1"/>
    </xf>
    <xf numFmtId="0" fontId="20" fillId="5" borderId="1" xfId="0" applyFont="1" applyFill="1" applyBorder="1" applyAlignment="1">
      <alignment horizontal="center" vertical="center"/>
    </xf>
    <xf numFmtId="43" fontId="9" fillId="5" borderId="1" xfId="1" applyFont="1" applyFill="1" applyBorder="1" applyAlignment="1">
      <alignment vertical="center"/>
    </xf>
    <xf numFmtId="43" fontId="8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43" fontId="0" fillId="5" borderId="1" xfId="1" applyFont="1" applyFill="1" applyBorder="1" applyAlignment="1">
      <alignment vertical="center"/>
    </xf>
    <xf numFmtId="43" fontId="0" fillId="5" borderId="1" xfId="0" applyNumberFormat="1" applyFill="1" applyBorder="1" applyAlignment="1">
      <alignment horizontal="center" vertical="center"/>
    </xf>
    <xf numFmtId="43" fontId="0" fillId="5" borderId="1" xfId="0" applyNumberForma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43" fontId="0" fillId="5" borderId="1" xfId="0" applyNumberForma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43" fontId="15" fillId="2" borderId="1" xfId="1" applyFont="1" applyFill="1" applyBorder="1" applyAlignment="1">
      <alignment horizontal="center" vertical="center"/>
    </xf>
    <xf numFmtId="4" fontId="1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3" fontId="7" fillId="2" borderId="1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/>
    </xf>
    <xf numFmtId="43" fontId="15" fillId="2" borderId="1" xfId="1" applyFont="1" applyFill="1" applyBorder="1" applyAlignment="1">
      <alignment vertical="center"/>
    </xf>
    <xf numFmtId="43" fontId="0" fillId="2" borderId="1" xfId="1" applyFont="1" applyFill="1" applyBorder="1" applyAlignment="1">
      <alignment vertical="center"/>
    </xf>
    <xf numFmtId="43" fontId="0" fillId="2" borderId="1" xfId="1" applyFont="1" applyFill="1" applyBorder="1"/>
    <xf numFmtId="0" fontId="15" fillId="6" borderId="1" xfId="0" applyFont="1" applyFill="1" applyBorder="1" applyAlignment="1">
      <alignment horizontal="center"/>
    </xf>
    <xf numFmtId="43" fontId="15" fillId="6" borderId="1" xfId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43" fontId="15" fillId="6" borderId="1" xfId="1" applyFont="1" applyFill="1" applyBorder="1" applyAlignment="1">
      <alignment vertical="center"/>
    </xf>
    <xf numFmtId="0" fontId="15" fillId="6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/>
    <xf numFmtId="43" fontId="15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43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43" fontId="0" fillId="6" borderId="1" xfId="1" applyFont="1" applyFill="1" applyBorder="1" applyAlignment="1">
      <alignment vertical="center"/>
    </xf>
    <xf numFmtId="0" fontId="0" fillId="6" borderId="1" xfId="0" applyFill="1" applyBorder="1" applyAlignment="1">
      <alignment horizontal="center" wrapText="1"/>
    </xf>
    <xf numFmtId="4" fontId="15" fillId="6" borderId="1" xfId="0" applyNumberFormat="1" applyFont="1" applyFill="1" applyBorder="1" applyAlignment="1">
      <alignment horizontal="center" vertical="center"/>
    </xf>
    <xf numFmtId="43" fontId="15" fillId="6" borderId="1" xfId="1" applyFont="1" applyFill="1" applyBorder="1" applyAlignment="1">
      <alignment horizontal="center"/>
    </xf>
    <xf numFmtId="43" fontId="15" fillId="6" borderId="1" xfId="0" applyNumberFormat="1" applyFont="1" applyFill="1" applyBorder="1"/>
    <xf numFmtId="43" fontId="15" fillId="6" borderId="1" xfId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 wrapText="1"/>
    </xf>
    <xf numFmtId="43" fontId="5" fillId="6" borderId="1" xfId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43" fontId="4" fillId="6" borderId="1" xfId="0" applyNumberFormat="1" applyFont="1" applyFill="1" applyBorder="1"/>
    <xf numFmtId="0" fontId="4" fillId="6" borderId="1" xfId="0" applyFont="1" applyFill="1" applyBorder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6" borderId="1" xfId="0" applyFont="1" applyFill="1" applyBorder="1" applyAlignment="1">
      <alignment horizontal="center" vertical="center"/>
    </xf>
    <xf numFmtId="43" fontId="4" fillId="6" borderId="1" xfId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43" fontId="12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43" fontId="0" fillId="6" borderId="1" xfId="1" applyFont="1" applyFill="1" applyBorder="1"/>
    <xf numFmtId="43" fontId="13" fillId="6" borderId="1" xfId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4" fontId="0" fillId="6" borderId="1" xfId="0" applyNumberForma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43" fontId="0" fillId="0" borderId="0" xfId="1" applyFont="1"/>
    <xf numFmtId="165" fontId="0" fillId="0" borderId="0" xfId="0" applyNumberFormat="1"/>
    <xf numFmtId="164" fontId="0" fillId="6" borderId="1" xfId="0" applyNumberFormat="1" applyFill="1" applyBorder="1" applyAlignment="1">
      <alignment vertical="center"/>
    </xf>
    <xf numFmtId="43" fontId="15" fillId="6" borderId="1" xfId="1" applyFont="1" applyFill="1" applyBorder="1" applyAlignment="1">
      <alignment horizontal="center" wrapText="1"/>
    </xf>
    <xf numFmtId="43" fontId="15" fillId="6" borderId="1" xfId="1" applyFont="1" applyFill="1" applyBorder="1"/>
    <xf numFmtId="43" fontId="4" fillId="6" borderId="1" xfId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13" fillId="6" borderId="1" xfId="0" applyNumberFormat="1" applyFont="1" applyFill="1" applyBorder="1" applyAlignment="1">
      <alignment horizontal="center" vertical="center"/>
    </xf>
    <xf numFmtId="4" fontId="0" fillId="6" borderId="1" xfId="0" applyNumberFormat="1" applyFill="1" applyBorder="1"/>
    <xf numFmtId="43" fontId="0" fillId="0" borderId="1" xfId="1" applyFont="1" applyBorder="1" applyAlignment="1">
      <alignment horizontal="center" vertical="center"/>
    </xf>
    <xf numFmtId="165" fontId="12" fillId="0" borderId="1" xfId="0" applyNumberFormat="1" applyFont="1" applyBorder="1"/>
    <xf numFmtId="43" fontId="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/>
    <xf numFmtId="0" fontId="0" fillId="0" borderId="1" xfId="0" applyBorder="1" applyAlignment="1">
      <alignment horizontal="center" vertical="center" wrapText="1"/>
    </xf>
    <xf numFmtId="165" fontId="1" fillId="6" borderId="1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topLeftCell="B1" zoomScale="90" zoomScaleNormal="90" workbookViewId="0">
      <selection activeCell="E34" sqref="E34"/>
    </sheetView>
  </sheetViews>
  <sheetFormatPr defaultRowHeight="14.4" x14ac:dyDescent="0.3"/>
  <cols>
    <col min="1" max="1" width="12.6640625" hidden="1" customWidth="1"/>
    <col min="2" max="2" width="26.6640625" customWidth="1"/>
    <col min="3" max="3" width="21.33203125" customWidth="1"/>
    <col min="4" max="4" width="17.109375" customWidth="1"/>
    <col min="5" max="5" width="14.77734375" customWidth="1"/>
    <col min="6" max="6" width="14.88671875" customWidth="1"/>
    <col min="7" max="7" width="18.33203125" customWidth="1"/>
    <col min="8" max="8" width="18.33203125" style="3" customWidth="1"/>
    <col min="9" max="9" width="18.44140625" customWidth="1"/>
    <col min="10" max="10" width="38.5546875" customWidth="1"/>
    <col min="11" max="11" width="34.109375" customWidth="1"/>
    <col min="12" max="12" width="27.21875" customWidth="1"/>
    <col min="13" max="13" width="14.5546875" customWidth="1"/>
  </cols>
  <sheetData>
    <row r="1" spans="1:12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1</v>
      </c>
      <c r="F1" s="2" t="s">
        <v>2</v>
      </c>
      <c r="G1" s="2" t="s">
        <v>3</v>
      </c>
      <c r="H1" s="2" t="s">
        <v>9</v>
      </c>
      <c r="I1" s="1" t="s">
        <v>5</v>
      </c>
      <c r="J1" s="5" t="s">
        <v>10</v>
      </c>
      <c r="K1" s="6" t="s">
        <v>11</v>
      </c>
    </row>
    <row r="2" spans="1:12" s="19" customFormat="1" ht="43.2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  <c r="G2" s="12" t="s">
        <v>4</v>
      </c>
      <c r="H2" s="14"/>
      <c r="I2" s="12" t="s">
        <v>29</v>
      </c>
      <c r="J2" s="15" t="s">
        <v>26</v>
      </c>
      <c r="K2" s="9">
        <v>22675.25</v>
      </c>
      <c r="L2" s="18"/>
    </row>
    <row r="3" spans="1:12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  <c r="G3" s="12" t="s">
        <v>4</v>
      </c>
      <c r="H3" s="14"/>
      <c r="I3" s="16" t="s">
        <v>29</v>
      </c>
      <c r="J3" s="15" t="s">
        <v>26</v>
      </c>
      <c r="K3" s="9">
        <v>28045.71</v>
      </c>
      <c r="L3" s="20"/>
    </row>
    <row r="4" spans="1:12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  <c r="G4" s="22" t="s">
        <v>4</v>
      </c>
      <c r="H4" s="23"/>
      <c r="I4" s="16" t="s">
        <v>25</v>
      </c>
      <c r="J4" s="15" t="s">
        <v>26</v>
      </c>
      <c r="K4" s="9"/>
    </row>
    <row r="5" spans="1:12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  <c r="G5" s="12" t="s">
        <v>4</v>
      </c>
      <c r="H5" s="10"/>
      <c r="I5" s="16" t="s">
        <v>25</v>
      </c>
      <c r="J5" s="15" t="s">
        <v>26</v>
      </c>
      <c r="K5" s="9"/>
    </row>
    <row r="6" spans="1:12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  <c r="G6" s="12" t="s">
        <v>4</v>
      </c>
      <c r="H6" s="10"/>
      <c r="I6" s="16" t="s">
        <v>25</v>
      </c>
      <c r="J6" s="15" t="s">
        <v>26</v>
      </c>
      <c r="K6" s="9"/>
    </row>
    <row r="7" spans="1:12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  <c r="G7" s="26" t="s">
        <v>4</v>
      </c>
      <c r="H7" s="10"/>
      <c r="I7" s="16" t="s">
        <v>29</v>
      </c>
      <c r="J7" s="15" t="s">
        <v>26</v>
      </c>
      <c r="K7" s="9">
        <v>51348.36</v>
      </c>
      <c r="L7" s="20"/>
    </row>
    <row r="8" spans="1:12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  <c r="G8" s="9" t="s">
        <v>4</v>
      </c>
      <c r="H8" s="10"/>
      <c r="I8" s="16" t="s">
        <v>25</v>
      </c>
      <c r="J8" s="15" t="s">
        <v>26</v>
      </c>
      <c r="K8" s="9"/>
    </row>
    <row r="9" spans="1:12" x14ac:dyDescent="0.3">
      <c r="A9" s="8"/>
      <c r="B9" s="28" t="s">
        <v>28</v>
      </c>
      <c r="C9" s="28" t="s">
        <v>12</v>
      </c>
      <c r="D9" s="29">
        <v>226864.5</v>
      </c>
      <c r="E9" s="30" t="s">
        <v>4</v>
      </c>
      <c r="F9" s="30" t="s">
        <v>4</v>
      </c>
      <c r="G9" s="30" t="s">
        <v>4</v>
      </c>
      <c r="H9" s="31"/>
      <c r="I9" s="46" t="s">
        <v>29</v>
      </c>
      <c r="J9" s="32" t="s">
        <v>26</v>
      </c>
      <c r="K9" s="33">
        <v>112521.23</v>
      </c>
      <c r="L9" s="17"/>
    </row>
    <row r="10" spans="1:12" s="19" customFormat="1" x14ac:dyDescent="0.3">
      <c r="A10" s="27" t="s">
        <v>32</v>
      </c>
      <c r="B10" s="34" t="s">
        <v>21</v>
      </c>
      <c r="C10" s="34" t="s">
        <v>22</v>
      </c>
      <c r="D10" s="35">
        <v>165020.85999999999</v>
      </c>
      <c r="E10" s="34" t="s">
        <v>4</v>
      </c>
      <c r="F10" s="34" t="s">
        <v>4</v>
      </c>
      <c r="G10" s="34" t="s">
        <v>4</v>
      </c>
      <c r="H10" s="36"/>
      <c r="I10" s="34" t="s">
        <v>25</v>
      </c>
      <c r="J10" s="37" t="s">
        <v>26</v>
      </c>
      <c r="K10" s="38"/>
    </row>
    <row r="11" spans="1:12" x14ac:dyDescent="0.3">
      <c r="B11" s="28" t="s">
        <v>30</v>
      </c>
      <c r="C11" s="28" t="s">
        <v>34</v>
      </c>
      <c r="D11" s="39">
        <v>125343.19</v>
      </c>
      <c r="E11" s="30" t="s">
        <v>4</v>
      </c>
      <c r="F11" s="28" t="s">
        <v>4</v>
      </c>
      <c r="G11" s="28" t="s">
        <v>4</v>
      </c>
      <c r="H11" s="31"/>
      <c r="I11" s="47" t="s">
        <v>29</v>
      </c>
      <c r="J11" s="40" t="s">
        <v>26</v>
      </c>
      <c r="K11" s="33">
        <v>83300.95</v>
      </c>
    </row>
    <row r="12" spans="1:12" x14ac:dyDescent="0.3">
      <c r="A12" s="8" t="s">
        <v>32</v>
      </c>
      <c r="B12" s="28" t="s">
        <v>30</v>
      </c>
      <c r="C12" s="28" t="s">
        <v>31</v>
      </c>
      <c r="D12" s="29">
        <v>247322.69</v>
      </c>
      <c r="E12" s="28" t="s">
        <v>4</v>
      </c>
      <c r="F12" s="28" t="s">
        <v>4</v>
      </c>
      <c r="G12" s="28" t="s">
        <v>4</v>
      </c>
      <c r="H12" s="31"/>
      <c r="I12" s="28" t="s">
        <v>25</v>
      </c>
      <c r="J12" s="32" t="s">
        <v>26</v>
      </c>
      <c r="K12" s="43"/>
    </row>
    <row r="13" spans="1:12" x14ac:dyDescent="0.3">
      <c r="B13" s="31" t="s">
        <v>30</v>
      </c>
      <c r="C13" s="30" t="s">
        <v>19</v>
      </c>
      <c r="D13" s="41">
        <v>277370.65000000002</v>
      </c>
      <c r="E13" s="31"/>
      <c r="F13" s="42"/>
      <c r="G13" s="31"/>
      <c r="H13" s="31"/>
      <c r="I13" s="47" t="s">
        <v>29</v>
      </c>
      <c r="J13" s="30" t="s">
        <v>26</v>
      </c>
      <c r="K13" s="33">
        <v>249633.59</v>
      </c>
    </row>
    <row r="14" spans="1:12" x14ac:dyDescent="0.3">
      <c r="A14" s="4"/>
      <c r="B14" s="28" t="s">
        <v>20</v>
      </c>
      <c r="C14" s="28" t="s">
        <v>13</v>
      </c>
      <c r="D14" s="39">
        <v>1073868.29</v>
      </c>
      <c r="E14" s="30" t="s">
        <v>4</v>
      </c>
      <c r="F14" s="30" t="s">
        <v>4</v>
      </c>
      <c r="G14" s="44" t="s">
        <v>4</v>
      </c>
      <c r="H14" s="31"/>
      <c r="I14" s="47" t="s">
        <v>29</v>
      </c>
      <c r="J14" s="30" t="s">
        <v>26</v>
      </c>
      <c r="K14" s="33">
        <v>652017.78</v>
      </c>
      <c r="L14" s="17"/>
    </row>
    <row r="15" spans="1:12" x14ac:dyDescent="0.3">
      <c r="B15" s="28" t="s">
        <v>33</v>
      </c>
      <c r="C15" s="28" t="s">
        <v>12</v>
      </c>
      <c r="D15" s="39">
        <v>446263.61</v>
      </c>
      <c r="E15" s="30" t="s">
        <v>4</v>
      </c>
      <c r="F15" s="28" t="s">
        <v>4</v>
      </c>
      <c r="G15" s="28" t="s">
        <v>4</v>
      </c>
      <c r="H15" s="31"/>
      <c r="I15" s="30" t="s">
        <v>25</v>
      </c>
      <c r="J15" s="30" t="s">
        <v>26</v>
      </c>
      <c r="K15" s="41"/>
    </row>
    <row r="16" spans="1:12" x14ac:dyDescent="0.3">
      <c r="A16" s="8" t="s">
        <v>32</v>
      </c>
      <c r="B16" s="28" t="s">
        <v>18</v>
      </c>
      <c r="C16" s="28" t="s">
        <v>27</v>
      </c>
      <c r="D16" s="29">
        <v>264921.38</v>
      </c>
      <c r="E16" s="28" t="s">
        <v>4</v>
      </c>
      <c r="F16" s="28" t="s">
        <v>4</v>
      </c>
      <c r="G16" s="28" t="s">
        <v>4</v>
      </c>
      <c r="H16" s="31"/>
      <c r="I16" s="30" t="s">
        <v>25</v>
      </c>
      <c r="J16" s="30" t="s">
        <v>26</v>
      </c>
      <c r="K16" s="45"/>
      <c r="L16" s="17"/>
    </row>
    <row r="17" spans="2:12" x14ac:dyDescent="0.3">
      <c r="B17" s="28" t="s">
        <v>18</v>
      </c>
      <c r="C17" s="28" t="s">
        <v>35</v>
      </c>
      <c r="D17" s="39">
        <v>202190.02</v>
      </c>
      <c r="E17" s="30" t="s">
        <v>4</v>
      </c>
      <c r="F17" s="28" t="s">
        <v>4</v>
      </c>
      <c r="G17" s="28" t="s">
        <v>4</v>
      </c>
      <c r="H17" s="31"/>
      <c r="I17" s="47" t="s">
        <v>29</v>
      </c>
      <c r="J17" s="30" t="s">
        <v>26</v>
      </c>
      <c r="K17" s="33">
        <v>150000</v>
      </c>
      <c r="L17" s="17"/>
    </row>
    <row r="18" spans="2:12" x14ac:dyDescent="0.3">
      <c r="B18" s="28" t="s">
        <v>18</v>
      </c>
      <c r="C18" s="30" t="s">
        <v>36</v>
      </c>
      <c r="D18" s="41">
        <v>128655.943336</v>
      </c>
      <c r="E18" s="30" t="s">
        <v>4</v>
      </c>
      <c r="F18" s="28" t="s">
        <v>4</v>
      </c>
      <c r="G18" s="28" t="s">
        <v>4</v>
      </c>
      <c r="H18" s="31"/>
      <c r="I18" s="47" t="s">
        <v>29</v>
      </c>
      <c r="J18" s="30" t="s">
        <v>26</v>
      </c>
      <c r="K18" s="33">
        <v>115788.19</v>
      </c>
      <c r="L18" s="17"/>
    </row>
    <row r="19" spans="2:12" x14ac:dyDescent="0.3">
      <c r="B19" s="30" t="s">
        <v>37</v>
      </c>
      <c r="C19" s="30" t="s">
        <v>22</v>
      </c>
      <c r="D19" s="41">
        <v>740046.95</v>
      </c>
      <c r="E19" s="30" t="s">
        <v>4</v>
      </c>
      <c r="F19" s="30" t="s">
        <v>4</v>
      </c>
      <c r="G19" s="30" t="s">
        <v>4</v>
      </c>
      <c r="H19" s="31"/>
      <c r="I19" s="47" t="s">
        <v>29</v>
      </c>
      <c r="J19" s="40" t="s">
        <v>26</v>
      </c>
      <c r="K19" s="33">
        <v>666042.41</v>
      </c>
    </row>
    <row r="20" spans="2:12" x14ac:dyDescent="0.3">
      <c r="B20" s="30" t="s">
        <v>30</v>
      </c>
      <c r="C20" s="30" t="s">
        <v>38</v>
      </c>
      <c r="D20" s="41">
        <v>45018.41</v>
      </c>
      <c r="E20" s="30" t="s">
        <v>4</v>
      </c>
      <c r="F20" s="30" t="s">
        <v>4</v>
      </c>
      <c r="G20" s="30" t="s">
        <v>4</v>
      </c>
      <c r="H20" s="31"/>
      <c r="I20" s="30" t="s">
        <v>25</v>
      </c>
      <c r="J20" s="40" t="s">
        <v>26</v>
      </c>
      <c r="K20" s="33"/>
    </row>
    <row r="21" spans="2:12" x14ac:dyDescent="0.3">
      <c r="B21" s="30" t="s">
        <v>39</v>
      </c>
      <c r="C21" s="30" t="s">
        <v>12</v>
      </c>
      <c r="D21" s="41">
        <v>413957.38</v>
      </c>
      <c r="E21" s="30" t="s">
        <v>4</v>
      </c>
      <c r="F21" s="30" t="s">
        <v>4</v>
      </c>
      <c r="G21" s="30" t="s">
        <v>4</v>
      </c>
      <c r="H21" s="31"/>
      <c r="I21" s="47" t="s">
        <v>29</v>
      </c>
      <c r="J21" s="40" t="s">
        <v>26</v>
      </c>
      <c r="K21" s="33">
        <v>301571.94</v>
      </c>
    </row>
    <row r="22" spans="2:12" x14ac:dyDescent="0.3">
      <c r="B22" s="30" t="s">
        <v>40</v>
      </c>
      <c r="C22" s="30" t="s">
        <v>12</v>
      </c>
      <c r="D22" s="41">
        <v>2613140.98</v>
      </c>
      <c r="E22" s="30" t="s">
        <v>4</v>
      </c>
      <c r="F22" s="30" t="s">
        <v>4</v>
      </c>
      <c r="G22" s="30" t="s">
        <v>4</v>
      </c>
      <c r="H22" s="31"/>
      <c r="I22" s="47" t="s">
        <v>29</v>
      </c>
      <c r="J22" s="40" t="s">
        <v>26</v>
      </c>
      <c r="K22" s="33">
        <v>291395.09000000003</v>
      </c>
      <c r="L22" s="7"/>
    </row>
    <row r="23" spans="2:12" x14ac:dyDescent="0.3">
      <c r="B23" s="30" t="s">
        <v>41</v>
      </c>
      <c r="C23" s="30" t="s">
        <v>12</v>
      </c>
      <c r="D23" s="41">
        <v>115639.74</v>
      </c>
      <c r="E23" s="30" t="s">
        <v>4</v>
      </c>
      <c r="F23" s="30" t="s">
        <v>4</v>
      </c>
      <c r="G23" s="30" t="s">
        <v>4</v>
      </c>
      <c r="H23" s="31"/>
      <c r="I23" s="47" t="s">
        <v>29</v>
      </c>
      <c r="J23" s="40" t="s">
        <v>26</v>
      </c>
      <c r="K23" s="33">
        <v>17059.95</v>
      </c>
    </row>
    <row r="24" spans="2:12" x14ac:dyDescent="0.3">
      <c r="B24" s="49" t="s">
        <v>42</v>
      </c>
      <c r="C24" s="49" t="s">
        <v>35</v>
      </c>
      <c r="D24" s="50">
        <v>345321.58</v>
      </c>
      <c r="E24" s="49" t="s">
        <v>4</v>
      </c>
      <c r="F24" s="51" t="s">
        <v>4</v>
      </c>
      <c r="G24" s="49" t="s">
        <v>4</v>
      </c>
      <c r="H24" s="48"/>
      <c r="I24" s="4"/>
      <c r="J24" s="49" t="s">
        <v>43</v>
      </c>
      <c r="K24" s="50">
        <v>73748.17</v>
      </c>
    </row>
    <row r="25" spans="2:12" x14ac:dyDescent="0.3">
      <c r="F25" s="7"/>
    </row>
    <row r="26" spans="2:12" x14ac:dyDescent="0.3">
      <c r="F26" s="7"/>
      <c r="K26" s="7"/>
    </row>
    <row r="29" spans="2:12" x14ac:dyDescent="0.3">
      <c r="K29" s="7"/>
    </row>
  </sheetData>
  <pageMargins left="0.7" right="0.7" top="0.75" bottom="0.75" header="0.3" footer="0.3"/>
  <pageSetup paperSize="9" scale="52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2"/>
  <sheetViews>
    <sheetView tabSelected="1" topLeftCell="B1" zoomScale="80" zoomScaleNormal="80" workbookViewId="0">
      <selection activeCell="H60" sqref="H60"/>
    </sheetView>
  </sheetViews>
  <sheetFormatPr defaultRowHeight="14.4" x14ac:dyDescent="0.3"/>
  <cols>
    <col min="1" max="1" width="12.6640625" hidden="1" customWidth="1"/>
    <col min="2" max="2" width="32" customWidth="1"/>
    <col min="3" max="3" width="21.33203125" customWidth="1"/>
    <col min="4" max="4" width="17.109375" customWidth="1"/>
    <col min="5" max="5" width="14.77734375" customWidth="1"/>
    <col min="6" max="6" width="16.109375" customWidth="1"/>
    <col min="7" max="7" width="18.33203125" customWidth="1"/>
    <col min="8" max="8" width="18.33203125" style="3" customWidth="1"/>
    <col min="9" max="9" width="10.44140625" customWidth="1"/>
    <col min="10" max="10" width="42.109375" customWidth="1"/>
    <col min="11" max="11" width="20.33203125" customWidth="1"/>
    <col min="12" max="12" width="19.33203125" customWidth="1"/>
    <col min="13" max="13" width="14.5546875" hidden="1" customWidth="1"/>
    <col min="14" max="14" width="14.33203125" customWidth="1"/>
  </cols>
  <sheetData>
    <row r="1" spans="1:12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1</v>
      </c>
      <c r="F1" s="2" t="s">
        <v>2</v>
      </c>
      <c r="G1" s="2" t="s">
        <v>3</v>
      </c>
      <c r="H1" s="2" t="s">
        <v>9</v>
      </c>
      <c r="I1" s="1" t="s">
        <v>5</v>
      </c>
      <c r="J1" s="5" t="s">
        <v>10</v>
      </c>
      <c r="K1" s="6" t="s">
        <v>11</v>
      </c>
    </row>
    <row r="2" spans="1:12" s="19" customFormat="1" ht="28.8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  <c r="G2" s="12" t="s">
        <v>4</v>
      </c>
      <c r="H2" s="14"/>
      <c r="I2" s="12" t="s">
        <v>29</v>
      </c>
      <c r="J2" s="15" t="s">
        <v>26</v>
      </c>
      <c r="K2" s="9">
        <v>22675.25</v>
      </c>
      <c r="L2" s="18"/>
    </row>
    <row r="3" spans="1:12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  <c r="G3" s="12" t="s">
        <v>4</v>
      </c>
      <c r="H3" s="14"/>
      <c r="I3" s="16" t="s">
        <v>29</v>
      </c>
      <c r="J3" s="15" t="s">
        <v>26</v>
      </c>
      <c r="K3" s="9">
        <v>28045.71</v>
      </c>
      <c r="L3" s="20"/>
    </row>
    <row r="4" spans="1:12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  <c r="G4" s="22" t="s">
        <v>4</v>
      </c>
      <c r="H4" s="23"/>
      <c r="I4" s="16" t="s">
        <v>25</v>
      </c>
      <c r="J4" s="15" t="s">
        <v>26</v>
      </c>
      <c r="K4" s="9"/>
    </row>
    <row r="5" spans="1:12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  <c r="G5" s="12" t="s">
        <v>4</v>
      </c>
      <c r="H5" s="10"/>
      <c r="I5" s="16" t="s">
        <v>25</v>
      </c>
      <c r="J5" s="15" t="s">
        <v>26</v>
      </c>
      <c r="K5" s="9"/>
    </row>
    <row r="6" spans="1:12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  <c r="G6" s="12" t="s">
        <v>4</v>
      </c>
      <c r="H6" s="10"/>
      <c r="I6" s="16" t="s">
        <v>25</v>
      </c>
      <c r="J6" s="15" t="s">
        <v>26</v>
      </c>
      <c r="K6" s="9"/>
    </row>
    <row r="7" spans="1:12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  <c r="G7" s="26" t="s">
        <v>4</v>
      </c>
      <c r="H7" s="10"/>
      <c r="I7" s="16" t="s">
        <v>29</v>
      </c>
      <c r="J7" s="15" t="s">
        <v>26</v>
      </c>
      <c r="K7" s="9">
        <v>51348.36</v>
      </c>
      <c r="L7" s="20"/>
    </row>
    <row r="8" spans="1:12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  <c r="G8" s="9" t="s">
        <v>4</v>
      </c>
      <c r="H8" s="10"/>
      <c r="I8" s="16" t="s">
        <v>25</v>
      </c>
      <c r="J8" s="15" t="s">
        <v>26</v>
      </c>
      <c r="K8" s="9"/>
    </row>
    <row r="9" spans="1:12" hidden="1" x14ac:dyDescent="0.3">
      <c r="B9" s="52" t="s">
        <v>42</v>
      </c>
      <c r="C9" s="52" t="s">
        <v>35</v>
      </c>
      <c r="D9" s="56">
        <v>345321.58</v>
      </c>
      <c r="E9" s="52" t="s">
        <v>4</v>
      </c>
      <c r="F9" s="53" t="s">
        <v>4</v>
      </c>
      <c r="G9" s="52" t="s">
        <v>4</v>
      </c>
      <c r="H9" s="58" t="s">
        <v>29</v>
      </c>
      <c r="I9" s="54"/>
      <c r="J9" s="52" t="s">
        <v>26</v>
      </c>
      <c r="K9" s="59">
        <v>73748.17</v>
      </c>
    </row>
    <row r="10" spans="1:12" hidden="1" x14ac:dyDescent="0.3">
      <c r="B10" s="52" t="s">
        <v>40</v>
      </c>
      <c r="C10" s="52" t="s">
        <v>13</v>
      </c>
      <c r="D10" s="56">
        <v>693583.4</v>
      </c>
      <c r="E10" s="52" t="s">
        <v>4</v>
      </c>
      <c r="F10" s="53" t="s">
        <v>4</v>
      </c>
      <c r="G10" s="52" t="s">
        <v>4</v>
      </c>
      <c r="H10" s="58" t="s">
        <v>29</v>
      </c>
      <c r="I10" s="54"/>
      <c r="J10" s="52" t="s">
        <v>26</v>
      </c>
      <c r="K10" s="59">
        <v>624225.06000000006</v>
      </c>
    </row>
    <row r="11" spans="1:12" hidden="1" x14ac:dyDescent="0.3">
      <c r="B11" s="52" t="s">
        <v>33</v>
      </c>
      <c r="C11" s="52" t="s">
        <v>13</v>
      </c>
      <c r="D11" s="56">
        <v>237993.73</v>
      </c>
      <c r="E11" s="52" t="s">
        <v>4</v>
      </c>
      <c r="F11" s="53" t="s">
        <v>4</v>
      </c>
      <c r="G11" s="52" t="s">
        <v>4</v>
      </c>
      <c r="H11" s="58" t="s">
        <v>29</v>
      </c>
      <c r="I11" s="54"/>
      <c r="J11" s="52" t="s">
        <v>26</v>
      </c>
      <c r="K11" s="59">
        <v>104214.79</v>
      </c>
    </row>
    <row r="12" spans="1:12" hidden="1" x14ac:dyDescent="0.3">
      <c r="B12" s="58" t="s">
        <v>44</v>
      </c>
      <c r="C12" s="58" t="s">
        <v>31</v>
      </c>
      <c r="D12" s="59">
        <v>63794.94</v>
      </c>
      <c r="E12" s="52" t="s">
        <v>4</v>
      </c>
      <c r="F12" s="52" t="s">
        <v>4</v>
      </c>
      <c r="G12" s="52" t="s">
        <v>4</v>
      </c>
      <c r="H12" s="58" t="s">
        <v>29</v>
      </c>
      <c r="I12" s="54"/>
      <c r="J12" s="52" t="s">
        <v>26</v>
      </c>
      <c r="K12" s="59">
        <v>57415.45</v>
      </c>
    </row>
    <row r="13" spans="1:12" hidden="1" x14ac:dyDescent="0.3">
      <c r="B13" s="52" t="s">
        <v>45</v>
      </c>
      <c r="C13" s="52" t="s">
        <v>12</v>
      </c>
      <c r="D13" s="56">
        <v>833409.54</v>
      </c>
      <c r="E13" s="52" t="s">
        <v>4</v>
      </c>
      <c r="F13" s="52" t="s">
        <v>4</v>
      </c>
      <c r="G13" s="52" t="s">
        <v>4</v>
      </c>
      <c r="H13" s="58" t="s">
        <v>25</v>
      </c>
      <c r="I13" s="54"/>
      <c r="J13" s="52" t="s">
        <v>26</v>
      </c>
      <c r="K13" s="59"/>
    </row>
    <row r="14" spans="1:12" hidden="1" x14ac:dyDescent="0.3">
      <c r="B14" s="54" t="s">
        <v>46</v>
      </c>
      <c r="C14" s="52" t="s">
        <v>12</v>
      </c>
      <c r="D14" s="56">
        <v>469517.42</v>
      </c>
      <c r="E14" s="52" t="s">
        <v>4</v>
      </c>
      <c r="F14" s="52" t="s">
        <v>4</v>
      </c>
      <c r="G14" s="52" t="s">
        <v>4</v>
      </c>
      <c r="H14" s="58" t="s">
        <v>25</v>
      </c>
      <c r="I14" s="54"/>
      <c r="J14" s="52" t="s">
        <v>26</v>
      </c>
      <c r="K14" s="59"/>
    </row>
    <row r="15" spans="1:12" hidden="1" x14ac:dyDescent="0.3">
      <c r="B15" s="60" t="s">
        <v>33</v>
      </c>
      <c r="C15" s="57" t="s">
        <v>22</v>
      </c>
      <c r="D15" s="55">
        <v>51632.31</v>
      </c>
      <c r="E15" s="57" t="s">
        <v>4</v>
      </c>
      <c r="F15" s="57" t="s">
        <v>4</v>
      </c>
      <c r="G15" s="57" t="s">
        <v>4</v>
      </c>
      <c r="H15" s="58" t="s">
        <v>29</v>
      </c>
      <c r="I15" s="52"/>
      <c r="J15" s="52" t="s">
        <v>26</v>
      </c>
      <c r="K15" s="59">
        <v>46469.08</v>
      </c>
    </row>
    <row r="16" spans="1:12" hidden="1" x14ac:dyDescent="0.3">
      <c r="B16" s="61" t="s">
        <v>18</v>
      </c>
      <c r="C16" s="62" t="s">
        <v>48</v>
      </c>
      <c r="D16" s="59">
        <v>126334.2</v>
      </c>
      <c r="E16" s="62" t="s">
        <v>4</v>
      </c>
      <c r="F16" s="62" t="s">
        <v>4</v>
      </c>
      <c r="G16" s="62" t="s">
        <v>4</v>
      </c>
      <c r="H16" s="58" t="s">
        <v>29</v>
      </c>
      <c r="I16" s="52"/>
      <c r="J16" s="52" t="s">
        <v>26</v>
      </c>
      <c r="K16" s="59">
        <v>113700.78</v>
      </c>
    </row>
    <row r="17" spans="2:12" hidden="1" x14ac:dyDescent="0.3">
      <c r="B17" s="60" t="s">
        <v>45</v>
      </c>
      <c r="C17" s="57" t="s">
        <v>13</v>
      </c>
      <c r="D17" s="55">
        <v>391917.90780000004</v>
      </c>
      <c r="E17" s="57" t="s">
        <v>4</v>
      </c>
      <c r="F17" s="57" t="s">
        <v>4</v>
      </c>
      <c r="G17" s="57" t="s">
        <v>4</v>
      </c>
      <c r="H17" s="58" t="s">
        <v>25</v>
      </c>
      <c r="I17" s="54"/>
      <c r="J17" s="52" t="s">
        <v>26</v>
      </c>
      <c r="K17" s="59"/>
    </row>
    <row r="18" spans="2:12" hidden="1" x14ac:dyDescent="0.3">
      <c r="B18" s="60" t="s">
        <v>46</v>
      </c>
      <c r="C18" s="57" t="s">
        <v>13</v>
      </c>
      <c r="D18" s="55">
        <v>586349.1</v>
      </c>
      <c r="E18" s="57" t="s">
        <v>4</v>
      </c>
      <c r="F18" s="57" t="s">
        <v>4</v>
      </c>
      <c r="G18" s="57" t="s">
        <v>4</v>
      </c>
      <c r="H18" s="58" t="s">
        <v>25</v>
      </c>
      <c r="I18" s="54"/>
      <c r="J18" s="52" t="s">
        <v>26</v>
      </c>
      <c r="K18" s="59"/>
    </row>
    <row r="19" spans="2:12" ht="27.6" hidden="1" customHeight="1" x14ac:dyDescent="0.3">
      <c r="B19" s="70" t="s">
        <v>49</v>
      </c>
      <c r="C19" s="71" t="s">
        <v>12</v>
      </c>
      <c r="D19" s="72">
        <v>1322725.51</v>
      </c>
      <c r="E19" s="71" t="s">
        <v>4</v>
      </c>
      <c r="F19" s="71" t="s">
        <v>4</v>
      </c>
      <c r="G19" s="71" t="s">
        <v>4</v>
      </c>
      <c r="H19" s="58" t="s">
        <v>29</v>
      </c>
      <c r="I19" s="54"/>
      <c r="J19" s="52" t="s">
        <v>26</v>
      </c>
      <c r="K19" s="73">
        <v>518612.19</v>
      </c>
      <c r="L19" s="63"/>
    </row>
    <row r="20" spans="2:12" hidden="1" x14ac:dyDescent="0.3">
      <c r="B20" s="64" t="s">
        <v>46</v>
      </c>
      <c r="C20" s="65" t="s">
        <v>22</v>
      </c>
      <c r="D20" s="66">
        <v>236200.08</v>
      </c>
      <c r="E20" s="67" t="s">
        <v>4</v>
      </c>
      <c r="F20" s="67" t="s">
        <v>4</v>
      </c>
      <c r="G20" s="67" t="s">
        <v>4</v>
      </c>
      <c r="H20" s="58" t="s">
        <v>25</v>
      </c>
      <c r="I20" s="54"/>
      <c r="J20" s="52" t="s">
        <v>26</v>
      </c>
      <c r="K20" s="73"/>
    </row>
    <row r="21" spans="2:12" hidden="1" x14ac:dyDescent="0.3">
      <c r="B21" s="68" t="s">
        <v>45</v>
      </c>
      <c r="C21" s="67" t="s">
        <v>22</v>
      </c>
      <c r="D21" s="69">
        <v>730363.61724000005</v>
      </c>
      <c r="E21" s="67" t="s">
        <v>4</v>
      </c>
      <c r="F21" s="67" t="s">
        <v>4</v>
      </c>
      <c r="G21" s="67" t="s">
        <v>4</v>
      </c>
      <c r="H21" s="58" t="s">
        <v>25</v>
      </c>
      <c r="I21" s="54"/>
      <c r="J21" s="52" t="s">
        <v>26</v>
      </c>
      <c r="K21" s="73"/>
    </row>
    <row r="22" spans="2:12" hidden="1" x14ac:dyDescent="0.3">
      <c r="B22" s="64" t="s">
        <v>47</v>
      </c>
      <c r="C22" s="65" t="s">
        <v>13</v>
      </c>
      <c r="D22" s="66">
        <v>228573.73</v>
      </c>
      <c r="E22" s="65" t="s">
        <v>4</v>
      </c>
      <c r="F22" s="65" t="s">
        <v>4</v>
      </c>
      <c r="G22" s="65" t="s">
        <v>4</v>
      </c>
      <c r="H22" s="58" t="s">
        <v>29</v>
      </c>
      <c r="I22" s="54"/>
      <c r="J22" s="52" t="s">
        <v>26</v>
      </c>
      <c r="K22" s="73">
        <v>156835.277</v>
      </c>
    </row>
    <row r="23" spans="2:12" hidden="1" x14ac:dyDescent="0.3">
      <c r="B23" s="74" t="s">
        <v>49</v>
      </c>
      <c r="C23" s="75" t="s">
        <v>13</v>
      </c>
      <c r="D23" s="76">
        <v>47541.23</v>
      </c>
      <c r="E23" s="75" t="s">
        <v>4</v>
      </c>
      <c r="F23" s="77" t="s">
        <v>4</v>
      </c>
      <c r="G23" s="75" t="s">
        <v>4</v>
      </c>
      <c r="H23" s="58" t="s">
        <v>29</v>
      </c>
      <c r="I23" s="54"/>
      <c r="J23" s="52" t="s">
        <v>26</v>
      </c>
      <c r="K23" s="73">
        <v>42787.11</v>
      </c>
    </row>
    <row r="24" spans="2:12" hidden="1" x14ac:dyDescent="0.3">
      <c r="B24" s="68" t="s">
        <v>40</v>
      </c>
      <c r="C24" s="67" t="s">
        <v>22</v>
      </c>
      <c r="D24" s="69">
        <v>80944.5</v>
      </c>
      <c r="E24" s="75" t="s">
        <v>4</v>
      </c>
      <c r="F24" s="77" t="s">
        <v>4</v>
      </c>
      <c r="G24" s="75" t="s">
        <v>4</v>
      </c>
      <c r="H24" s="58" t="s">
        <v>29</v>
      </c>
      <c r="I24" s="54"/>
      <c r="J24" s="52" t="s">
        <v>26</v>
      </c>
      <c r="K24" s="73">
        <v>72850.05</v>
      </c>
    </row>
    <row r="25" spans="2:12" hidden="1" x14ac:dyDescent="0.3">
      <c r="B25" s="68" t="s">
        <v>45</v>
      </c>
      <c r="C25" s="67" t="s">
        <v>31</v>
      </c>
      <c r="D25" s="69">
        <v>829463.93</v>
      </c>
      <c r="E25" s="67" t="s">
        <v>4</v>
      </c>
      <c r="F25" s="67" t="s">
        <v>4</v>
      </c>
      <c r="G25" s="78" t="s">
        <v>4</v>
      </c>
      <c r="H25" s="58" t="s">
        <v>25</v>
      </c>
      <c r="I25" s="54"/>
      <c r="J25" s="52" t="s">
        <v>26</v>
      </c>
      <c r="K25" s="73"/>
    </row>
    <row r="26" spans="2:12" hidden="1" x14ac:dyDescent="0.3">
      <c r="B26" s="68" t="s">
        <v>46</v>
      </c>
      <c r="C26" s="67" t="s">
        <v>31</v>
      </c>
      <c r="D26" s="67">
        <v>347357.4</v>
      </c>
      <c r="E26" s="67" t="s">
        <v>4</v>
      </c>
      <c r="F26" s="67" t="s">
        <v>4</v>
      </c>
      <c r="G26" s="78" t="s">
        <v>4</v>
      </c>
      <c r="H26" s="58" t="s">
        <v>25</v>
      </c>
      <c r="I26" s="54"/>
      <c r="J26" s="52" t="s">
        <v>26</v>
      </c>
      <c r="K26" s="73"/>
    </row>
    <row r="27" spans="2:12" hidden="1" x14ac:dyDescent="0.3">
      <c r="B27" s="68" t="s">
        <v>46</v>
      </c>
      <c r="C27" s="67" t="s">
        <v>34</v>
      </c>
      <c r="D27" s="79">
        <v>211209.84</v>
      </c>
      <c r="E27" s="68"/>
      <c r="F27" s="80"/>
      <c r="G27" s="67" t="s">
        <v>4</v>
      </c>
      <c r="H27" s="58" t="s">
        <v>25</v>
      </c>
      <c r="I27" s="54"/>
      <c r="J27" s="52" t="s">
        <v>26</v>
      </c>
      <c r="K27" s="79"/>
    </row>
    <row r="28" spans="2:12" ht="22.8" hidden="1" customHeight="1" x14ac:dyDescent="0.3">
      <c r="B28" s="93" t="s">
        <v>50</v>
      </c>
      <c r="C28" s="93" t="s">
        <v>12</v>
      </c>
      <c r="D28" s="94">
        <v>316521.03000000003</v>
      </c>
      <c r="E28" s="93"/>
      <c r="F28" s="93"/>
      <c r="G28" s="93"/>
      <c r="H28" s="93" t="s">
        <v>29</v>
      </c>
      <c r="I28" s="93"/>
      <c r="J28" s="95" t="s">
        <v>26</v>
      </c>
      <c r="K28" s="96">
        <v>284868.98</v>
      </c>
    </row>
    <row r="29" spans="2:12" ht="25.8" hidden="1" customHeight="1" x14ac:dyDescent="0.3">
      <c r="B29" s="97" t="s">
        <v>47</v>
      </c>
      <c r="C29" s="95" t="s">
        <v>22</v>
      </c>
      <c r="D29" s="94">
        <v>182545.13</v>
      </c>
      <c r="E29" s="97"/>
      <c r="F29" s="97"/>
      <c r="G29" s="97"/>
      <c r="H29" s="93" t="s">
        <v>29</v>
      </c>
      <c r="I29" s="97"/>
      <c r="J29" s="95" t="s">
        <v>26</v>
      </c>
      <c r="K29" s="96">
        <v>162581.10999999999</v>
      </c>
      <c r="L29" s="81"/>
    </row>
    <row r="30" spans="2:12" hidden="1" x14ac:dyDescent="0.3">
      <c r="B30" s="98" t="s">
        <v>51</v>
      </c>
      <c r="C30" s="95" t="s">
        <v>12</v>
      </c>
      <c r="D30" s="94">
        <v>358211.46</v>
      </c>
      <c r="E30" s="99"/>
      <c r="F30" s="99"/>
      <c r="G30" s="99"/>
      <c r="H30" s="93" t="s">
        <v>29</v>
      </c>
      <c r="I30" s="99"/>
      <c r="J30" s="98" t="s">
        <v>26</v>
      </c>
      <c r="K30" s="96">
        <v>109063.93</v>
      </c>
      <c r="L30" s="81"/>
    </row>
    <row r="31" spans="2:12" ht="27.6" hidden="1" customHeight="1" x14ac:dyDescent="0.3">
      <c r="B31" s="95" t="s">
        <v>52</v>
      </c>
      <c r="C31" s="94" t="s">
        <v>19</v>
      </c>
      <c r="D31" s="94">
        <v>228648.66</v>
      </c>
      <c r="E31" s="100"/>
      <c r="F31" s="96"/>
      <c r="G31" s="97"/>
      <c r="H31" s="95" t="s">
        <v>25</v>
      </c>
      <c r="I31" s="97"/>
      <c r="J31" s="98" t="s">
        <v>26</v>
      </c>
      <c r="K31" s="96"/>
      <c r="L31" s="81"/>
    </row>
    <row r="32" spans="2:12" ht="24" hidden="1" customHeight="1" x14ac:dyDescent="0.3">
      <c r="B32" s="101" t="s">
        <v>17</v>
      </c>
      <c r="C32" s="101" t="s">
        <v>34</v>
      </c>
      <c r="D32" s="94">
        <v>734152.8</v>
      </c>
      <c r="E32" s="102"/>
      <c r="F32" s="103"/>
      <c r="G32" s="103"/>
      <c r="H32" s="93" t="s">
        <v>25</v>
      </c>
      <c r="I32" s="104"/>
      <c r="J32" s="98" t="s">
        <v>26</v>
      </c>
      <c r="K32" s="105"/>
      <c r="L32" s="81"/>
    </row>
    <row r="33" spans="2:14" ht="28.8" hidden="1" x14ac:dyDescent="0.3">
      <c r="B33" s="106" t="s">
        <v>53</v>
      </c>
      <c r="C33" s="103" t="s">
        <v>12</v>
      </c>
      <c r="D33" s="94">
        <v>446107.94</v>
      </c>
      <c r="E33" s="103"/>
      <c r="F33" s="103"/>
      <c r="G33" s="103"/>
      <c r="H33" s="95" t="s">
        <v>29</v>
      </c>
      <c r="I33" s="104"/>
      <c r="J33" s="98" t="s">
        <v>26</v>
      </c>
      <c r="K33" s="105">
        <v>92176.21</v>
      </c>
      <c r="L33" s="81"/>
    </row>
    <row r="34" spans="2:14" ht="28.8" hidden="1" customHeight="1" x14ac:dyDescent="0.3">
      <c r="B34" s="95" t="s">
        <v>55</v>
      </c>
      <c r="C34" s="95" t="s">
        <v>12</v>
      </c>
      <c r="D34" s="94">
        <v>589543.36</v>
      </c>
      <c r="E34" s="95"/>
      <c r="F34" s="95"/>
      <c r="G34" s="95"/>
      <c r="H34" s="95" t="s">
        <v>25</v>
      </c>
      <c r="I34" s="97"/>
      <c r="J34" s="95" t="s">
        <v>26</v>
      </c>
      <c r="K34" s="99"/>
      <c r="L34" s="82"/>
    </row>
    <row r="35" spans="2:14" ht="19.2" hidden="1" customHeight="1" x14ac:dyDescent="0.3">
      <c r="B35" s="95" t="s">
        <v>54</v>
      </c>
      <c r="C35" s="95" t="s">
        <v>27</v>
      </c>
      <c r="D35" s="107">
        <v>93947.9</v>
      </c>
      <c r="E35" s="95"/>
      <c r="F35" s="95"/>
      <c r="G35" s="95"/>
      <c r="H35" s="95" t="s">
        <v>25</v>
      </c>
      <c r="I35" s="97"/>
      <c r="J35" s="98" t="s">
        <v>26</v>
      </c>
      <c r="K35" s="99"/>
      <c r="L35" s="83"/>
    </row>
    <row r="36" spans="2:14" s="81" customFormat="1" ht="33" hidden="1" customHeight="1" x14ac:dyDescent="0.3">
      <c r="B36" s="95" t="s">
        <v>55</v>
      </c>
      <c r="C36" s="95" t="s">
        <v>13</v>
      </c>
      <c r="D36" s="94">
        <v>222487.52</v>
      </c>
      <c r="E36" s="97"/>
      <c r="F36" s="97"/>
      <c r="G36" s="97"/>
      <c r="H36" s="95" t="s">
        <v>25</v>
      </c>
      <c r="I36" s="97"/>
      <c r="J36" s="98" t="s">
        <v>26</v>
      </c>
      <c r="K36" s="97"/>
      <c r="L36" s="82"/>
    </row>
    <row r="37" spans="2:14" ht="36.6" hidden="1" customHeight="1" x14ac:dyDescent="0.3">
      <c r="B37" s="95" t="s">
        <v>56</v>
      </c>
      <c r="C37" s="95" t="s">
        <v>12</v>
      </c>
      <c r="D37" s="94">
        <v>283726.07</v>
      </c>
      <c r="E37" s="99"/>
      <c r="F37" s="99"/>
      <c r="G37" s="99"/>
      <c r="H37" s="95" t="s">
        <v>29</v>
      </c>
      <c r="I37" s="99"/>
      <c r="J37" s="98" t="s">
        <v>26</v>
      </c>
      <c r="K37" s="110"/>
      <c r="L37" s="82" t="s">
        <v>64</v>
      </c>
      <c r="M37" s="82" t="s">
        <v>62</v>
      </c>
      <c r="N37" s="82"/>
    </row>
    <row r="38" spans="2:14" ht="33.6" hidden="1" customHeight="1" x14ac:dyDescent="0.3">
      <c r="B38" s="95" t="s">
        <v>33</v>
      </c>
      <c r="C38" s="95" t="s">
        <v>31</v>
      </c>
      <c r="D38" s="108">
        <v>7282.46</v>
      </c>
      <c r="E38" s="99"/>
      <c r="F38" s="99"/>
      <c r="G38" s="99"/>
      <c r="H38" s="95" t="s">
        <v>29</v>
      </c>
      <c r="I38" s="99"/>
      <c r="J38" s="98" t="s">
        <v>26</v>
      </c>
      <c r="K38" s="135"/>
      <c r="L38" s="82" t="s">
        <v>64</v>
      </c>
      <c r="M38" s="82" t="s">
        <v>62</v>
      </c>
      <c r="N38" s="82" t="s">
        <v>63</v>
      </c>
    </row>
    <row r="39" spans="2:14" ht="28.8" hidden="1" customHeight="1" x14ac:dyDescent="0.3">
      <c r="B39" s="93" t="s">
        <v>55</v>
      </c>
      <c r="C39" s="93" t="s">
        <v>22</v>
      </c>
      <c r="D39" s="109">
        <v>4747.87</v>
      </c>
      <c r="E39" s="99"/>
      <c r="F39" s="99"/>
      <c r="G39" s="109"/>
      <c r="H39" s="93" t="s">
        <v>25</v>
      </c>
      <c r="I39" s="99"/>
      <c r="J39" s="98" t="s">
        <v>26</v>
      </c>
      <c r="K39" s="136"/>
      <c r="L39" s="82" t="s">
        <v>64</v>
      </c>
      <c r="M39" s="82" t="s">
        <v>62</v>
      </c>
      <c r="N39" s="82"/>
    </row>
    <row r="40" spans="2:14" s="120" customFormat="1" ht="33.6" hidden="1" customHeight="1" x14ac:dyDescent="0.3">
      <c r="B40" s="116" t="s">
        <v>59</v>
      </c>
      <c r="C40" s="116" t="s">
        <v>35</v>
      </c>
      <c r="D40" s="117">
        <v>23188.15</v>
      </c>
      <c r="E40" s="118"/>
      <c r="F40" s="118"/>
      <c r="G40" s="117"/>
      <c r="H40" s="116" t="s">
        <v>25</v>
      </c>
      <c r="I40" s="118"/>
      <c r="J40" s="98" t="s">
        <v>26</v>
      </c>
      <c r="K40" s="137"/>
      <c r="L40" s="119" t="s">
        <v>64</v>
      </c>
      <c r="M40" s="119" t="s">
        <v>60</v>
      </c>
      <c r="N40" s="119" t="s">
        <v>63</v>
      </c>
    </row>
    <row r="41" spans="2:14" s="120" customFormat="1" ht="33.6" hidden="1" customHeight="1" x14ac:dyDescent="0.3">
      <c r="B41" s="121" t="s">
        <v>17</v>
      </c>
      <c r="C41" s="121" t="s">
        <v>19</v>
      </c>
      <c r="D41" s="122">
        <v>836019.12</v>
      </c>
      <c r="E41" s="123"/>
      <c r="F41" s="121"/>
      <c r="G41" s="123"/>
      <c r="H41" s="121" t="s">
        <v>25</v>
      </c>
      <c r="I41" s="118"/>
      <c r="J41" s="98" t="s">
        <v>26</v>
      </c>
      <c r="K41" s="137"/>
      <c r="L41" s="119" t="s">
        <v>64</v>
      </c>
      <c r="M41" s="119" t="s">
        <v>60</v>
      </c>
      <c r="N41" s="119" t="s">
        <v>63</v>
      </c>
    </row>
    <row r="42" spans="2:14" ht="33" hidden="1" customHeight="1" x14ac:dyDescent="0.3">
      <c r="B42" s="103" t="s">
        <v>61</v>
      </c>
      <c r="C42" s="103" t="s">
        <v>36</v>
      </c>
      <c r="D42" s="103">
        <v>168578.23</v>
      </c>
      <c r="E42" s="104"/>
      <c r="F42" s="104"/>
      <c r="G42" s="104"/>
      <c r="H42" s="112" t="s">
        <v>25</v>
      </c>
      <c r="I42" s="104"/>
      <c r="J42" s="111" t="s">
        <v>26</v>
      </c>
      <c r="K42" s="126"/>
      <c r="L42" s="82" t="s">
        <v>64</v>
      </c>
      <c r="N42" s="82" t="s">
        <v>63</v>
      </c>
    </row>
    <row r="43" spans="2:14" ht="30" hidden="1" customHeight="1" x14ac:dyDescent="0.3">
      <c r="B43" s="103" t="s">
        <v>17</v>
      </c>
      <c r="C43" s="103" t="s">
        <v>27</v>
      </c>
      <c r="D43" s="113">
        <v>525827.56000000006</v>
      </c>
      <c r="E43" s="103"/>
      <c r="F43" s="103"/>
      <c r="G43" s="104"/>
      <c r="H43" s="112" t="s">
        <v>25</v>
      </c>
      <c r="I43" s="104"/>
      <c r="J43" s="111" t="s">
        <v>26</v>
      </c>
      <c r="K43" s="126"/>
      <c r="L43" s="82" t="s">
        <v>64</v>
      </c>
      <c r="N43" s="82" t="s">
        <v>63</v>
      </c>
    </row>
    <row r="44" spans="2:14" ht="35.4" hidden="1" customHeight="1" x14ac:dyDescent="0.3">
      <c r="B44" s="113" t="s">
        <v>65</v>
      </c>
      <c r="C44" s="113" t="s">
        <v>12</v>
      </c>
      <c r="D44" s="113">
        <v>9433.75</v>
      </c>
      <c r="E44" s="113"/>
      <c r="F44" s="113"/>
      <c r="G44" s="113"/>
      <c r="H44" s="115" t="s">
        <v>29</v>
      </c>
      <c r="I44" s="113"/>
      <c r="J44" s="114" t="s">
        <v>66</v>
      </c>
      <c r="K44" s="113"/>
    </row>
    <row r="45" spans="2:14" ht="34.799999999999997" hidden="1" customHeight="1" x14ac:dyDescent="0.3">
      <c r="B45" s="113" t="s">
        <v>61</v>
      </c>
      <c r="C45" s="113" t="s">
        <v>48</v>
      </c>
      <c r="D45" s="113">
        <v>1764199.92</v>
      </c>
      <c r="E45" s="113"/>
      <c r="F45" s="113"/>
      <c r="G45" s="113"/>
      <c r="H45" s="124" t="s">
        <v>25</v>
      </c>
      <c r="I45" s="113"/>
      <c r="J45" s="114" t="s">
        <v>26</v>
      </c>
      <c r="K45" s="113"/>
      <c r="L45" s="83" t="s">
        <v>64</v>
      </c>
    </row>
    <row r="46" spans="2:14" ht="31.2" hidden="1" customHeight="1" x14ac:dyDescent="0.3">
      <c r="B46" s="113" t="s">
        <v>17</v>
      </c>
      <c r="C46" s="113" t="s">
        <v>35</v>
      </c>
      <c r="D46" s="113">
        <v>3528223.07</v>
      </c>
      <c r="E46" s="113"/>
      <c r="F46" s="113"/>
      <c r="G46" s="113"/>
      <c r="H46" s="127" t="s">
        <v>29</v>
      </c>
      <c r="I46" s="113"/>
      <c r="J46" s="114" t="s">
        <v>26</v>
      </c>
      <c r="K46" s="113">
        <v>496585.03</v>
      </c>
      <c r="L46" s="83" t="s">
        <v>64</v>
      </c>
    </row>
    <row r="47" spans="2:14" ht="31.8" hidden="1" customHeight="1" x14ac:dyDescent="0.3">
      <c r="B47" s="103" t="s">
        <v>61</v>
      </c>
      <c r="C47" s="103" t="s">
        <v>67</v>
      </c>
      <c r="D47" s="105">
        <v>989883.64</v>
      </c>
      <c r="E47" s="125"/>
      <c r="F47" s="125"/>
      <c r="G47" s="125"/>
      <c r="H47" s="121" t="s">
        <v>25</v>
      </c>
      <c r="I47" s="125"/>
      <c r="J47" s="114" t="s">
        <v>26</v>
      </c>
      <c r="K47" s="126"/>
      <c r="L47" s="83" t="s">
        <v>64</v>
      </c>
    </row>
    <row r="48" spans="2:14" ht="35.4" hidden="1" customHeight="1" x14ac:dyDescent="0.3">
      <c r="B48" s="103" t="s">
        <v>68</v>
      </c>
      <c r="C48" s="103" t="s">
        <v>36</v>
      </c>
      <c r="D48" s="130">
        <v>51669.32</v>
      </c>
      <c r="E48" s="104"/>
      <c r="F48" s="104"/>
      <c r="G48" s="104"/>
      <c r="H48" s="131" t="s">
        <v>29</v>
      </c>
      <c r="I48" s="104"/>
      <c r="J48" s="114" t="s">
        <v>26</v>
      </c>
      <c r="K48" s="126">
        <v>46502.39</v>
      </c>
      <c r="L48" s="83" t="s">
        <v>64</v>
      </c>
      <c r="N48" s="82" t="s">
        <v>63</v>
      </c>
    </row>
    <row r="49" spans="2:15" ht="33" hidden="1" customHeight="1" x14ac:dyDescent="0.3">
      <c r="B49" s="103" t="s">
        <v>70</v>
      </c>
      <c r="C49" s="103" t="s">
        <v>69</v>
      </c>
      <c r="D49" s="102">
        <v>39820.01</v>
      </c>
      <c r="E49" s="103"/>
      <c r="F49" s="103"/>
      <c r="G49" s="103"/>
      <c r="H49" s="128" t="s">
        <v>25</v>
      </c>
      <c r="I49" s="103"/>
      <c r="J49" s="129" t="s">
        <v>26</v>
      </c>
      <c r="K49" s="113"/>
      <c r="L49" s="83" t="s">
        <v>64</v>
      </c>
      <c r="N49" s="82" t="s">
        <v>63</v>
      </c>
    </row>
    <row r="50" spans="2:15" ht="31.8" hidden="1" customHeight="1" x14ac:dyDescent="0.3">
      <c r="B50" s="103" t="s">
        <v>24</v>
      </c>
      <c r="C50" s="103" t="s">
        <v>48</v>
      </c>
      <c r="D50" s="113">
        <v>120290.46</v>
      </c>
      <c r="E50" s="103"/>
      <c r="F50" s="103"/>
      <c r="G50" s="103"/>
      <c r="H50" s="131" t="s">
        <v>29</v>
      </c>
      <c r="I50" s="103"/>
      <c r="J50" s="129" t="s">
        <v>26</v>
      </c>
      <c r="K50" s="113">
        <v>108029.05</v>
      </c>
      <c r="L50" s="83" t="s">
        <v>64</v>
      </c>
      <c r="N50" s="82" t="s">
        <v>63</v>
      </c>
    </row>
    <row r="51" spans="2:15" ht="35.4" hidden="1" customHeight="1" x14ac:dyDescent="0.3">
      <c r="B51" s="103" t="s">
        <v>61</v>
      </c>
      <c r="C51" s="103" t="s">
        <v>71</v>
      </c>
      <c r="D51" s="113">
        <v>785891.78</v>
      </c>
      <c r="E51" s="104"/>
      <c r="F51" s="104"/>
      <c r="G51" s="104"/>
      <c r="H51" s="131" t="s">
        <v>29</v>
      </c>
      <c r="I51" s="104"/>
      <c r="J51" s="103" t="s">
        <v>26</v>
      </c>
      <c r="K51" s="113">
        <v>169134.85</v>
      </c>
      <c r="L51" s="82" t="s">
        <v>64</v>
      </c>
      <c r="N51" s="82" t="s">
        <v>63</v>
      </c>
    </row>
    <row r="52" spans="2:15" ht="39" hidden="1" customHeight="1" x14ac:dyDescent="0.3">
      <c r="B52" s="129" t="s">
        <v>72</v>
      </c>
      <c r="C52" s="103" t="s">
        <v>67</v>
      </c>
      <c r="D52" s="134">
        <v>148496.69</v>
      </c>
      <c r="E52" s="125"/>
      <c r="F52" s="125"/>
      <c r="G52" s="125"/>
      <c r="H52" s="131" t="s">
        <v>29</v>
      </c>
      <c r="I52" s="125"/>
      <c r="J52" s="103" t="s">
        <v>26</v>
      </c>
      <c r="K52" s="105">
        <v>133647.01999999999</v>
      </c>
      <c r="L52" s="82" t="s">
        <v>64</v>
      </c>
    </row>
    <row r="53" spans="2:15" ht="39.6" hidden="1" customHeight="1" x14ac:dyDescent="0.3">
      <c r="B53" s="103" t="s">
        <v>55</v>
      </c>
      <c r="C53" s="103" t="s">
        <v>31</v>
      </c>
      <c r="D53" s="102">
        <v>680320.91</v>
      </c>
      <c r="E53" s="125"/>
      <c r="F53" s="125"/>
      <c r="G53" s="125"/>
      <c r="H53" s="128" t="s">
        <v>25</v>
      </c>
      <c r="I53" s="125"/>
      <c r="J53" s="103" t="s">
        <v>26</v>
      </c>
      <c r="K53" s="105"/>
      <c r="L53" s="139" t="s">
        <v>64</v>
      </c>
      <c r="N53" s="82" t="s">
        <v>63</v>
      </c>
    </row>
    <row r="54" spans="2:15" ht="37.799999999999997" hidden="1" customHeight="1" x14ac:dyDescent="0.3">
      <c r="B54" s="129" t="s">
        <v>73</v>
      </c>
      <c r="C54" s="103" t="s">
        <v>12</v>
      </c>
      <c r="D54" s="113">
        <v>39729.648000000001</v>
      </c>
      <c r="E54" s="104"/>
      <c r="F54" s="104"/>
      <c r="G54" s="104"/>
      <c r="H54" s="131" t="s">
        <v>29</v>
      </c>
      <c r="I54" s="104"/>
      <c r="J54" s="103" t="s">
        <v>26</v>
      </c>
      <c r="K54" s="113">
        <v>39729.65</v>
      </c>
      <c r="L54" s="139" t="s">
        <v>64</v>
      </c>
      <c r="N54" s="82" t="s">
        <v>63</v>
      </c>
    </row>
    <row r="55" spans="2:15" ht="39.6" hidden="1" customHeight="1" x14ac:dyDescent="0.3">
      <c r="B55" s="103" t="s">
        <v>74</v>
      </c>
      <c r="C55" s="103" t="s">
        <v>12</v>
      </c>
      <c r="D55" s="102">
        <v>48027.42</v>
      </c>
      <c r="E55" s="125"/>
      <c r="F55" s="125"/>
      <c r="G55" s="125"/>
      <c r="H55" s="131" t="s">
        <v>29</v>
      </c>
      <c r="I55" s="125"/>
      <c r="J55" s="138" t="s">
        <v>26</v>
      </c>
      <c r="K55" s="105">
        <f>D55</f>
        <v>48027.42</v>
      </c>
      <c r="L55" s="139" t="s">
        <v>64</v>
      </c>
      <c r="N55" s="82" t="s">
        <v>63</v>
      </c>
    </row>
    <row r="56" spans="2:15" ht="26.4" customHeight="1" x14ac:dyDescent="0.3">
      <c r="B56" s="101" t="s">
        <v>75</v>
      </c>
      <c r="C56" s="101" t="s">
        <v>34</v>
      </c>
      <c r="D56" s="126">
        <v>494051.83</v>
      </c>
      <c r="E56" s="104"/>
      <c r="F56" s="104"/>
      <c r="G56" s="104"/>
      <c r="H56" s="140" t="s">
        <v>29</v>
      </c>
      <c r="I56" s="104"/>
      <c r="J56" s="103" t="s">
        <v>77</v>
      </c>
      <c r="K56" s="141">
        <v>411738.4</v>
      </c>
      <c r="L56" s="82" t="s">
        <v>64</v>
      </c>
      <c r="N56" s="83" t="s">
        <v>63</v>
      </c>
    </row>
    <row r="57" spans="2:15" ht="36" customHeight="1" x14ac:dyDescent="0.3">
      <c r="B57" s="106" t="s">
        <v>76</v>
      </c>
      <c r="C57" s="103" t="s">
        <v>12</v>
      </c>
      <c r="D57" s="113">
        <v>206494.68</v>
      </c>
      <c r="E57" s="104"/>
      <c r="F57" s="104"/>
      <c r="G57" s="104"/>
      <c r="H57" s="144" t="s">
        <v>78</v>
      </c>
      <c r="I57" s="104"/>
      <c r="J57" s="103" t="s">
        <v>77</v>
      </c>
      <c r="K57" s="104"/>
      <c r="L57" s="82" t="s">
        <v>64</v>
      </c>
    </row>
    <row r="58" spans="2:15" ht="32.4" customHeight="1" x14ac:dyDescent="0.3">
      <c r="B58" s="106" t="s">
        <v>79</v>
      </c>
      <c r="C58" s="103" t="s">
        <v>12</v>
      </c>
      <c r="D58" s="113">
        <v>179740.16</v>
      </c>
      <c r="E58" s="104"/>
      <c r="F58" s="126"/>
      <c r="G58" s="104"/>
      <c r="H58" s="145"/>
      <c r="I58" s="104"/>
      <c r="J58" s="103" t="s">
        <v>77</v>
      </c>
      <c r="K58" s="104"/>
      <c r="L58" s="82" t="s">
        <v>64</v>
      </c>
      <c r="O58" s="132"/>
    </row>
    <row r="59" spans="2:15" ht="23.4" customHeight="1" x14ac:dyDescent="0.3">
      <c r="B59" s="104" t="s">
        <v>80</v>
      </c>
      <c r="C59" s="101" t="s">
        <v>12</v>
      </c>
      <c r="D59" s="126">
        <v>21172.91</v>
      </c>
      <c r="E59" s="104"/>
      <c r="F59" s="104"/>
      <c r="G59" s="104"/>
      <c r="H59" s="147" t="s">
        <v>29</v>
      </c>
      <c r="I59" s="104"/>
      <c r="J59" s="103" t="s">
        <v>77</v>
      </c>
      <c r="K59" s="105">
        <v>21172.91</v>
      </c>
    </row>
    <row r="60" spans="2:15" ht="41.4" customHeight="1" x14ac:dyDescent="0.3">
      <c r="B60" s="146" t="s">
        <v>76</v>
      </c>
      <c r="C60" s="5" t="s">
        <v>12</v>
      </c>
      <c r="D60" s="142">
        <v>520301.81</v>
      </c>
      <c r="E60" s="4"/>
      <c r="F60" s="50"/>
      <c r="G60" s="4"/>
      <c r="H60" s="143"/>
      <c r="I60" s="4"/>
      <c r="J60" s="146" t="s">
        <v>81</v>
      </c>
      <c r="K60" s="4"/>
    </row>
    <row r="61" spans="2:15" x14ac:dyDescent="0.3">
      <c r="F61" s="133"/>
    </row>
    <row r="62" spans="2:15" x14ac:dyDescent="0.3">
      <c r="F62" s="133"/>
    </row>
  </sheetData>
  <pageMargins left="0.7" right="0.7" top="0.75" bottom="0.75" header="0.3" footer="0.3"/>
  <pageSetup paperSize="9" scale="53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topLeftCell="B1" zoomScale="80" zoomScaleNormal="80" workbookViewId="0">
      <selection activeCell="E49" sqref="E48:E49"/>
    </sheetView>
  </sheetViews>
  <sheetFormatPr defaultRowHeight="14.4" x14ac:dyDescent="0.3"/>
  <cols>
    <col min="1" max="1" width="12.6640625" hidden="1" customWidth="1"/>
    <col min="2" max="2" width="26.6640625" customWidth="1"/>
    <col min="3" max="3" width="21.33203125" customWidth="1"/>
    <col min="4" max="4" width="17.109375" customWidth="1"/>
    <col min="5" max="5" width="21.5546875" customWidth="1"/>
    <col min="6" max="6" width="27.5546875" customWidth="1"/>
    <col min="7" max="7" width="14.5546875" customWidth="1"/>
  </cols>
  <sheetData>
    <row r="1" spans="1:6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57</v>
      </c>
      <c r="F1" s="2" t="s">
        <v>58</v>
      </c>
    </row>
    <row r="2" spans="1:6" s="19" customFormat="1" ht="43.2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</row>
    <row r="3" spans="1:6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</row>
    <row r="4" spans="1:6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</row>
    <row r="5" spans="1:6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</row>
    <row r="6" spans="1:6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</row>
    <row r="7" spans="1:6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</row>
    <row r="8" spans="1:6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</row>
    <row r="9" spans="1:6" hidden="1" x14ac:dyDescent="0.3">
      <c r="B9" s="52" t="s">
        <v>42</v>
      </c>
      <c r="C9" s="52" t="s">
        <v>35</v>
      </c>
      <c r="D9" s="56">
        <v>345321.58</v>
      </c>
      <c r="E9" s="52" t="s">
        <v>4</v>
      </c>
      <c r="F9" s="53" t="s">
        <v>4</v>
      </c>
    </row>
    <row r="10" spans="1:6" hidden="1" x14ac:dyDescent="0.3">
      <c r="B10" s="52" t="s">
        <v>40</v>
      </c>
      <c r="C10" s="52" t="s">
        <v>13</v>
      </c>
      <c r="D10" s="56">
        <v>693583.4</v>
      </c>
      <c r="E10" s="52" t="s">
        <v>4</v>
      </c>
      <c r="F10" s="53" t="s">
        <v>4</v>
      </c>
    </row>
    <row r="11" spans="1:6" hidden="1" x14ac:dyDescent="0.3">
      <c r="B11" s="52" t="s">
        <v>33</v>
      </c>
      <c r="C11" s="52" t="s">
        <v>13</v>
      </c>
      <c r="D11" s="56">
        <v>237993.73</v>
      </c>
      <c r="E11" s="52" t="s">
        <v>4</v>
      </c>
      <c r="F11" s="53" t="s">
        <v>4</v>
      </c>
    </row>
    <row r="12" spans="1:6" hidden="1" x14ac:dyDescent="0.3">
      <c r="B12" s="58" t="s">
        <v>44</v>
      </c>
      <c r="C12" s="58" t="s">
        <v>31</v>
      </c>
      <c r="D12" s="59">
        <v>63794.94</v>
      </c>
      <c r="E12" s="52" t="s">
        <v>4</v>
      </c>
      <c r="F12" s="52" t="s">
        <v>4</v>
      </c>
    </row>
    <row r="13" spans="1:6" hidden="1" x14ac:dyDescent="0.3">
      <c r="B13" s="52" t="s">
        <v>45</v>
      </c>
      <c r="C13" s="52" t="s">
        <v>12</v>
      </c>
      <c r="D13" s="56">
        <v>833409.54</v>
      </c>
      <c r="E13" s="52" t="s">
        <v>4</v>
      </c>
      <c r="F13" s="52" t="s">
        <v>4</v>
      </c>
    </row>
    <row r="14" spans="1:6" hidden="1" x14ac:dyDescent="0.3">
      <c r="B14" s="54" t="s">
        <v>46</v>
      </c>
      <c r="C14" s="52" t="s">
        <v>12</v>
      </c>
      <c r="D14" s="56">
        <v>469517.42</v>
      </c>
      <c r="E14" s="52" t="s">
        <v>4</v>
      </c>
      <c r="F14" s="52" t="s">
        <v>4</v>
      </c>
    </row>
    <row r="15" spans="1:6" hidden="1" x14ac:dyDescent="0.3">
      <c r="B15" s="60" t="s">
        <v>33</v>
      </c>
      <c r="C15" s="57" t="s">
        <v>22</v>
      </c>
      <c r="D15" s="55">
        <v>51632.31</v>
      </c>
      <c r="E15" s="57" t="s">
        <v>4</v>
      </c>
      <c r="F15" s="57" t="s">
        <v>4</v>
      </c>
    </row>
    <row r="16" spans="1:6" hidden="1" x14ac:dyDescent="0.3">
      <c r="B16" s="61" t="s">
        <v>18</v>
      </c>
      <c r="C16" s="62" t="s">
        <v>48</v>
      </c>
      <c r="D16" s="59">
        <v>126334.2</v>
      </c>
      <c r="E16" s="62" t="s">
        <v>4</v>
      </c>
      <c r="F16" s="62" t="s">
        <v>4</v>
      </c>
    </row>
    <row r="17" spans="2:6" hidden="1" x14ac:dyDescent="0.3">
      <c r="B17" s="60" t="s">
        <v>45</v>
      </c>
      <c r="C17" s="57" t="s">
        <v>13</v>
      </c>
      <c r="D17" s="55">
        <v>391917.90780000004</v>
      </c>
      <c r="E17" s="57" t="s">
        <v>4</v>
      </c>
      <c r="F17" s="57" t="s">
        <v>4</v>
      </c>
    </row>
    <row r="18" spans="2:6" hidden="1" x14ac:dyDescent="0.3">
      <c r="B18" s="60" t="s">
        <v>46</v>
      </c>
      <c r="C18" s="57" t="s">
        <v>13</v>
      </c>
      <c r="D18" s="55">
        <v>586349.1</v>
      </c>
      <c r="E18" s="57" t="s">
        <v>4</v>
      </c>
      <c r="F18" s="57" t="s">
        <v>4</v>
      </c>
    </row>
    <row r="19" spans="2:6" ht="27.6" hidden="1" customHeight="1" x14ac:dyDescent="0.3">
      <c r="B19" s="70" t="s">
        <v>49</v>
      </c>
      <c r="C19" s="71" t="s">
        <v>12</v>
      </c>
      <c r="D19" s="72">
        <v>1322725.51</v>
      </c>
      <c r="E19" s="71" t="s">
        <v>4</v>
      </c>
      <c r="F19" s="71" t="s">
        <v>4</v>
      </c>
    </row>
    <row r="20" spans="2:6" hidden="1" x14ac:dyDescent="0.3">
      <c r="B20" s="64" t="s">
        <v>46</v>
      </c>
      <c r="C20" s="65" t="s">
        <v>22</v>
      </c>
      <c r="D20" s="66">
        <v>236200.08</v>
      </c>
      <c r="E20" s="67" t="s">
        <v>4</v>
      </c>
      <c r="F20" s="67" t="s">
        <v>4</v>
      </c>
    </row>
    <row r="21" spans="2:6" hidden="1" x14ac:dyDescent="0.3">
      <c r="B21" s="68" t="s">
        <v>45</v>
      </c>
      <c r="C21" s="67" t="s">
        <v>22</v>
      </c>
      <c r="D21" s="69">
        <v>730363.61724000005</v>
      </c>
      <c r="E21" s="67" t="s">
        <v>4</v>
      </c>
      <c r="F21" s="67" t="s">
        <v>4</v>
      </c>
    </row>
    <row r="22" spans="2:6" hidden="1" x14ac:dyDescent="0.3">
      <c r="B22" s="64" t="s">
        <v>47</v>
      </c>
      <c r="C22" s="65" t="s">
        <v>13</v>
      </c>
      <c r="D22" s="66">
        <v>228573.73</v>
      </c>
      <c r="E22" s="65" t="s">
        <v>4</v>
      </c>
      <c r="F22" s="65" t="s">
        <v>4</v>
      </c>
    </row>
    <row r="23" spans="2:6" ht="28.8" hidden="1" x14ac:dyDescent="0.3">
      <c r="B23" s="74" t="s">
        <v>49</v>
      </c>
      <c r="C23" s="75" t="s">
        <v>13</v>
      </c>
      <c r="D23" s="76">
        <v>47541.23</v>
      </c>
      <c r="E23" s="75" t="s">
        <v>4</v>
      </c>
      <c r="F23" s="77" t="s">
        <v>4</v>
      </c>
    </row>
    <row r="24" spans="2:6" hidden="1" x14ac:dyDescent="0.3">
      <c r="B24" s="68" t="s">
        <v>40</v>
      </c>
      <c r="C24" s="67" t="s">
        <v>22</v>
      </c>
      <c r="D24" s="69">
        <v>80944.5</v>
      </c>
      <c r="E24" s="75" t="s">
        <v>4</v>
      </c>
      <c r="F24" s="77" t="s">
        <v>4</v>
      </c>
    </row>
    <row r="25" spans="2:6" hidden="1" x14ac:dyDescent="0.3">
      <c r="B25" s="68" t="s">
        <v>45</v>
      </c>
      <c r="C25" s="67" t="s">
        <v>31</v>
      </c>
      <c r="D25" s="69">
        <v>829463.93</v>
      </c>
      <c r="E25" s="67" t="s">
        <v>4</v>
      </c>
      <c r="F25" s="67" t="s">
        <v>4</v>
      </c>
    </row>
    <row r="26" spans="2:6" hidden="1" x14ac:dyDescent="0.3">
      <c r="B26" s="68" t="s">
        <v>46</v>
      </c>
      <c r="C26" s="67" t="s">
        <v>31</v>
      </c>
      <c r="D26" s="67">
        <v>347357.4</v>
      </c>
      <c r="E26" s="67" t="s">
        <v>4</v>
      </c>
      <c r="F26" s="67" t="s">
        <v>4</v>
      </c>
    </row>
    <row r="27" spans="2:6" hidden="1" x14ac:dyDescent="0.3">
      <c r="B27" s="68" t="s">
        <v>46</v>
      </c>
      <c r="C27" s="67" t="s">
        <v>34</v>
      </c>
      <c r="D27" s="79">
        <v>211209.84</v>
      </c>
      <c r="E27" s="68"/>
      <c r="F27" s="80"/>
    </row>
    <row r="28" spans="2:6" ht="28.8" customHeight="1" x14ac:dyDescent="0.3">
      <c r="B28" s="84" t="s">
        <v>55</v>
      </c>
      <c r="C28" s="84" t="s">
        <v>12</v>
      </c>
      <c r="D28" s="85">
        <v>589543.36</v>
      </c>
      <c r="E28" s="85">
        <v>214415.90279999998</v>
      </c>
      <c r="F28" s="85">
        <v>375127.45253999991</v>
      </c>
    </row>
    <row r="29" spans="2:6" ht="19.2" customHeight="1" x14ac:dyDescent="0.3">
      <c r="B29" s="84" t="s">
        <v>54</v>
      </c>
      <c r="C29" s="84" t="s">
        <v>27</v>
      </c>
      <c r="D29" s="86">
        <v>93947.9</v>
      </c>
      <c r="E29" s="85">
        <v>35175.648000000001</v>
      </c>
      <c r="F29" s="85">
        <v>58772.256000000001</v>
      </c>
    </row>
    <row r="30" spans="2:6" s="81" customFormat="1" ht="33" customHeight="1" x14ac:dyDescent="0.3">
      <c r="B30" s="84" t="s">
        <v>55</v>
      </c>
      <c r="C30" s="84" t="s">
        <v>13</v>
      </c>
      <c r="D30" s="85">
        <v>222487.52</v>
      </c>
      <c r="E30" s="90">
        <v>51337.656000000003</v>
      </c>
      <c r="F30" s="90">
        <v>171149.86703999995</v>
      </c>
    </row>
    <row r="31" spans="2:6" ht="25.8" customHeight="1" x14ac:dyDescent="0.3">
      <c r="B31" s="87" t="s">
        <v>17</v>
      </c>
      <c r="C31" s="87" t="s">
        <v>19</v>
      </c>
      <c r="D31" s="88">
        <v>836019.12</v>
      </c>
      <c r="E31" s="91">
        <v>342047.30637000001</v>
      </c>
      <c r="F31" s="89">
        <v>493971.80926200002</v>
      </c>
    </row>
    <row r="32" spans="2:6" ht="34.200000000000003" customHeight="1" x14ac:dyDescent="0.3">
      <c r="B32" s="87" t="s">
        <v>17</v>
      </c>
      <c r="C32" s="87" t="s">
        <v>27</v>
      </c>
      <c r="D32" s="89">
        <v>492735.72</v>
      </c>
      <c r="E32" s="92">
        <v>100528.03199999999</v>
      </c>
      <c r="F32" s="92">
        <v>392207.68271999998</v>
      </c>
    </row>
    <row r="33" spans="2:6" ht="27.6" customHeight="1" x14ac:dyDescent="0.3">
      <c r="B33" s="87" t="s">
        <v>56</v>
      </c>
      <c r="C33" s="87" t="s">
        <v>12</v>
      </c>
      <c r="D33" s="89">
        <v>283726.07</v>
      </c>
      <c r="E33" s="92">
        <v>164723.51520000002</v>
      </c>
      <c r="F33" s="92">
        <v>119002.54953600001</v>
      </c>
    </row>
    <row r="35" spans="2:6" x14ac:dyDescent="0.3">
      <c r="E35" s="7">
        <f>SUM(E28:E34)</f>
        <v>908228.06036999996</v>
      </c>
      <c r="F35" s="7">
        <f>SUM(F28:F34)</f>
        <v>1610231.6170979999</v>
      </c>
    </row>
    <row r="36" spans="2:6" x14ac:dyDescent="0.3">
      <c r="D36" s="7"/>
    </row>
    <row r="37" spans="2:6" x14ac:dyDescent="0.3">
      <c r="D37" s="7"/>
    </row>
  </sheetData>
  <pageMargins left="0.7" right="0.7" top="0.75" bottom="0.75" header="0.3" footer="0.3"/>
  <pageSetup paperSize="9" scale="63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04.09.2023</vt:lpstr>
      <vt:lpstr>январь 2024</vt:lpstr>
      <vt:lpstr>прогноз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2025-01-17T09:10:35Z</dcterms:modified>
</cp:coreProperties>
</file>
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Акты заказчика" sheetId="1" r:id="rId1"/>
    <sheet name="Лист2" sheetId="2" r:id="rId2"/>
    <sheet name="Лист3" sheetId="3" r:id="rId3"/>
  </sheets>
  <definedNames>
    <definedName name="_xlnm._FilterDatabase" localSheetId="0" hidden="1">'Акты заказчика'!$A$1:$I$40</definedName>
  </definedNames>
  <calcPr calcId="145621"/>
</workbook>
</file>

<file path=xl/calcChain.xml><?xml version="1.0" encoding="utf-8"?>
<calcChain xmlns="http://schemas.openxmlformats.org/spreadsheetml/2006/main">
  <c r="D69" i="1" l="1"/>
  <c r="D45" i="1"/>
  <c r="D44" i="1"/>
  <c r="D43" i="1"/>
  <c r="D42" i="1"/>
  <c r="D46" i="1" s="1"/>
  <c r="D39" i="1"/>
  <c r="D40" i="1" l="1"/>
</calcChain>
</file>

<file path=xl/sharedStrings.xml><?xml version="1.0" encoding="utf-8"?>
<sst xmlns="http://schemas.openxmlformats.org/spreadsheetml/2006/main" count="454" uniqueCount="161">
  <si>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</si>
  <si>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</si>
  <si>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</si>
  <si>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</si>
  <si>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</si>
  <si>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</si>
  <si>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</si>
  <si>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</si>
  <si>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</si>
  <si>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грн</t>
  </si>
  <si>
    <t>ТОВ "ІНДАСТРІАЛБУД"</t>
  </si>
  <si>
    <t>Хлань Елена</t>
  </si>
  <si>
    <t>02.08.2024 00:00:00</t>
  </si>
  <si>
    <t>ІБ00-000261</t>
  </si>
  <si>
    <t xml:space="preserve">Старокостянтинівський олійноекстраційний завод ТОВ </t>
  </si>
  <si>
    <t>Виробничий (Старокостянтинів)</t>
  </si>
  <si>
    <t>ДОГОВІР ПІДРЯДУ № 3.3.3 – КМР - СтОЕЗ від 20.09.2023</t>
  </si>
  <si>
    <t>05.08.2024 00:00:00</t>
  </si>
  <si>
    <t>ІБ00-000263</t>
  </si>
  <si>
    <t>НІЖИНСЬКИЙ ЖИРКОМБІНАТ ПрАТ</t>
  </si>
  <si>
    <t>Виробничий (Ніжин-3)</t>
  </si>
  <si>
    <t>Аулова Маргарита</t>
  </si>
  <si>
    <t>Акт № 61</t>
  </si>
  <si>
    <t>05.08.2024 09:48:28</t>
  </si>
  <si>
    <t>ІБ00-000264</t>
  </si>
  <si>
    <t>АСТАРТА АГРО ПРОТЕЇН ТОВ</t>
  </si>
  <si>
    <t>Виробничий (Глобино)</t>
  </si>
  <si>
    <t>Акт 3</t>
  </si>
  <si>
    <t>05.08.2024 20:00:55</t>
  </si>
  <si>
    <t>ІБ00-000308</t>
  </si>
  <si>
    <t>Акт № 44</t>
  </si>
  <si>
    <t>05.08.2024 20:00:56</t>
  </si>
  <si>
    <t>ІБ00-000309</t>
  </si>
  <si>
    <t>Акт № 45</t>
  </si>
  <si>
    <t>06.08.2024 13:27:43</t>
  </si>
  <si>
    <t>ІБ00-000271</t>
  </si>
  <si>
    <t>Акт 4</t>
  </si>
  <si>
    <t>09.08.2024 00:00:00</t>
  </si>
  <si>
    <t>ІБ00-000265</t>
  </si>
  <si>
    <t xml:space="preserve"> Акт 10 ДОГОВІР ПІДРЯДУ № 13/12/2023-3.4.5-АР-СтОЕЗ від 13</t>
  </si>
  <si>
    <t>12.08.2024 00:00:00</t>
  </si>
  <si>
    <t>ІБ00-000266</t>
  </si>
  <si>
    <t>Акт № 8 ДОГОВІР ПІДРЯДУ № 18/12/23-3.3.3-АР-СтОЕЗ від 18.1</t>
  </si>
  <si>
    <t>ІБ00-000298</t>
  </si>
  <si>
    <t xml:space="preserve"> Акт 11 ДОГОВІР ПІДРЯДУ № 13/12/2023-3.4.5-АР-СтОЕЗ від 13</t>
  </si>
  <si>
    <t>ІБ00-000299</t>
  </si>
  <si>
    <t>Акт № 60</t>
  </si>
  <si>
    <t>ІБ00-000300</t>
  </si>
  <si>
    <t>Акт № 58</t>
  </si>
  <si>
    <t>ІБ00-000301</t>
  </si>
  <si>
    <t>Акт № 57</t>
  </si>
  <si>
    <t>ІБ00-000302</t>
  </si>
  <si>
    <t>Акт № 56</t>
  </si>
  <si>
    <t>ІБ00-000303</t>
  </si>
  <si>
    <t>Акт № 55</t>
  </si>
  <si>
    <t>12.08.2024 11:52:00</t>
  </si>
  <si>
    <t>ІБ00-000304</t>
  </si>
  <si>
    <t>Акт № 62</t>
  </si>
  <si>
    <t>15.08.2024 16:50:04</t>
  </si>
  <si>
    <t>ІБ00-000310</t>
  </si>
  <si>
    <t>Акт 1</t>
  </si>
  <si>
    <t>16.08.2024 08:52:38</t>
  </si>
  <si>
    <t>ІБ00-000311</t>
  </si>
  <si>
    <t>Акт 5</t>
  </si>
  <si>
    <t>20.08.2024 00:00:00</t>
  </si>
  <si>
    <t>ІБ00-000305</t>
  </si>
  <si>
    <t xml:space="preserve"> Акт 12 ДОГОВІР ПІДРЯДУ № 13/12/2023-3.4.5-АР-СтОЕЗ від 13</t>
  </si>
  <si>
    <t>21.08.2024 15:06:05</t>
  </si>
  <si>
    <t>ІБ00-000314</t>
  </si>
  <si>
    <t>Акт 6</t>
  </si>
  <si>
    <t>22.08.2024 00:00:00</t>
  </si>
  <si>
    <t>ІБ00-000306</t>
  </si>
  <si>
    <t>Акт № 9 ДОГОВІР ПІДРЯДУ № 18/12/23-3.3.3-АР-СтОЕЗ від 18.1</t>
  </si>
  <si>
    <t>26.08.2024 00:00:00</t>
  </si>
  <si>
    <t>ІБ00-000315</t>
  </si>
  <si>
    <t>Акт 2</t>
  </si>
  <si>
    <t>26.08.2024 12:24:58</t>
  </si>
  <si>
    <t>ІБ00-000325</t>
  </si>
  <si>
    <t xml:space="preserve">Акт № 63 </t>
  </si>
  <si>
    <t>30.08.2024 00:00:00</t>
  </si>
  <si>
    <t>ІБ00-000316</t>
  </si>
  <si>
    <t>ЗАПОРІЗЬКИЙ ОЛІЙНОЕКСТРАКЦІЙНИЙ ЗАВОД  ПРАТ</t>
  </si>
  <si>
    <t>Виробничий (Запоріж_Турбіна 3)</t>
  </si>
  <si>
    <t>акт 5/1</t>
  </si>
  <si>
    <t>ІБ00-000317</t>
  </si>
  <si>
    <t>акт 5/2</t>
  </si>
  <si>
    <t>ІБ00-000318</t>
  </si>
  <si>
    <t>акт 5/4</t>
  </si>
  <si>
    <t>ІБ00-000319</t>
  </si>
  <si>
    <t>акт 5/5</t>
  </si>
  <si>
    <t>ІБ00-000330</t>
  </si>
  <si>
    <t>акт 6/1</t>
  </si>
  <si>
    <t>ІБ00-000331</t>
  </si>
  <si>
    <t>акт 6/2</t>
  </si>
  <si>
    <t>ІБ00-000332</t>
  </si>
  <si>
    <t>акт 6/3</t>
  </si>
  <si>
    <t>ІБ00-000333</t>
  </si>
  <si>
    <t>акт 6/4</t>
  </si>
  <si>
    <t>ІБ00-000334</t>
  </si>
  <si>
    <t>акт 6/5</t>
  </si>
  <si>
    <t>ІБ00-000335</t>
  </si>
  <si>
    <t>акт 6/6</t>
  </si>
  <si>
    <t>ІБ00-000336</t>
  </si>
  <si>
    <t>акт 6/7</t>
  </si>
  <si>
    <t>ІБ00-000337</t>
  </si>
  <si>
    <t>акт 6/8</t>
  </si>
  <si>
    <t>ІБ00-000338</t>
  </si>
  <si>
    <t>акт 6/9</t>
  </si>
  <si>
    <t>30.08.2024 18:47:14</t>
  </si>
  <si>
    <t>ІБ00-000347</t>
  </si>
  <si>
    <t>акт 5/3</t>
  </si>
  <si>
    <t>30.08.2024 18:47:15</t>
  </si>
  <si>
    <t>ІБ00-000348</t>
  </si>
  <si>
    <t>акт 6/10</t>
  </si>
  <si>
    <t>Глобино</t>
  </si>
  <si>
    <t>Турбина-3</t>
  </si>
  <si>
    <t>Нежин-3</t>
  </si>
  <si>
    <t>Староконстантинов</t>
  </si>
  <si>
    <t>02.09.2024 00:00:00</t>
  </si>
  <si>
    <t>ІБ00-000312</t>
  </si>
  <si>
    <t>Акт № 66 (робота спецтехніки)</t>
  </si>
  <si>
    <t>ІБ00-000313</t>
  </si>
  <si>
    <t xml:space="preserve">Акт № 59 </t>
  </si>
  <si>
    <t>ІБ00-000321</t>
  </si>
  <si>
    <t xml:space="preserve">Акт № 67 </t>
  </si>
  <si>
    <t>ІБ00-000322</t>
  </si>
  <si>
    <t xml:space="preserve">Акт № 72 </t>
  </si>
  <si>
    <t>ІБ00-000323</t>
  </si>
  <si>
    <t xml:space="preserve">Акт № 65 </t>
  </si>
  <si>
    <t>ІБ00-000324</t>
  </si>
  <si>
    <t xml:space="preserve">Акт № 68 </t>
  </si>
  <si>
    <t>ІБ00-000327</t>
  </si>
  <si>
    <t xml:space="preserve">Акт № 73 </t>
  </si>
  <si>
    <t>ІБ00-000328</t>
  </si>
  <si>
    <t xml:space="preserve">Акт № 64 </t>
  </si>
  <si>
    <t>ІБ00-000329</t>
  </si>
  <si>
    <t xml:space="preserve">Акт № 69 </t>
  </si>
  <si>
    <t>03.09.2024 12:41:20</t>
  </si>
  <si>
    <t>ІБ00-000346</t>
  </si>
  <si>
    <t xml:space="preserve">Акт № 70 </t>
  </si>
  <si>
    <t>13.09.2024 11:44:53</t>
  </si>
  <si>
    <t>ІБ00-000350</t>
  </si>
  <si>
    <t>Акт № 82</t>
  </si>
  <si>
    <t>13.09.2024 11:45:12</t>
  </si>
  <si>
    <t>ІБ00-000351</t>
  </si>
  <si>
    <t>Акт № 80</t>
  </si>
  <si>
    <t>13.09.2024 11:45:36</t>
  </si>
  <si>
    <t>ІБ00-000352</t>
  </si>
  <si>
    <t>Акт № 79</t>
  </si>
  <si>
    <t>13.09.2024 11:45:56</t>
  </si>
  <si>
    <t>ІБ00-000353</t>
  </si>
  <si>
    <t>Акт № 78</t>
  </si>
  <si>
    <t>13.09.2024 11:46:44</t>
  </si>
  <si>
    <t>ІБ00-000354</t>
  </si>
  <si>
    <t>Акт № 76 (робота спецтехніки)</t>
  </si>
  <si>
    <t>13.09.2024 11:47:03</t>
  </si>
  <si>
    <t>ІБ00-000355</t>
  </si>
  <si>
    <t>Акт № 74</t>
  </si>
  <si>
    <t>13.09.2024 11:47:27</t>
  </si>
  <si>
    <t>ІБ00-000356</t>
  </si>
  <si>
    <t>Акт №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</si>
</sst>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</font>
    <font>
      <sz val="8"/>
      <color indexed="63"/>
      <name val="Arial"/>
      <family val="2"/>
    </font>
    <font>
      <sz val="10"/>
      <color indexed="6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4" fontId="1" fillId="0" borderId="0" xfId="0" applyNumberFormat="1" applyFont="1"/>
    <xf numFmtId="4" fontId="4" fillId="2" borderId="1" xfId="2" applyNumberFormat="1" applyFont="1" applyFill="1" applyBorder="1" applyAlignment="1">
      <alignment horizontal="right" vertical="top"/>
    </xf>
    <xf numFmtId="0" fontId="5" fillId="2" borderId="1" xfId="2" applyNumberFormat="1" applyFont="1" applyFill="1" applyBorder="1" applyAlignment="1">
      <alignment horizontal="left" vertical="top"/>
    </xf>
    <xf numFmtId="0" fontId="4" fillId="2" borderId="1" xfId="2" applyNumberFormat="1" applyFont="1" applyFill="1" applyBorder="1" applyAlignment="1">
      <alignment horizontal="left" vertical="top"/>
    </xf>
  </cellXfs>
  <cellStyles count="3">
    <cellStyle name="Обычный" xfId="0" builtinId="0"/>
    <cellStyle name="Обычный_Акты заказчика" xfId="2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tabSelected="1" workbookViewId="0">
      <selection activeCell="D48" sqref="D48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39.6640625" bestFit="1" customWidth="1"/>
    <col min="4" max="4" width="12.33203125" bestFit="1" customWidth="1"/>
    <col min="5" max="5" width="7.6640625" bestFit="1" customWidth="1"/>
    <col min="6" max="6" width="22.77734375" bestFit="1" customWidth="1"/>
    <col min="7" max="7" width="16.6640625" bestFit="1" customWidth="1"/>
    <col min="8" max="8" width="14.5546875" bestFit="1" customWidth="1"/>
    <col min="9" max="9" width="45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12</v>
      </c>
      <c r="B2" s="2" t="s">
        <v>13</v>
      </c>
      <c r="C2" s="2" t="s">
        <v>14</v>
      </c>
      <c r="D2" s="3">
        <v>9433.75</v>
      </c>
      <c r="E2" s="2" t="s">
        <v>9</v>
      </c>
      <c r="F2" s="2" t="s">
        <v>15</v>
      </c>
      <c r="G2" s="2" t="s">
        <v>10</v>
      </c>
      <c r="H2" s="2" t="s">
        <v>11</v>
      </c>
      <c r="I2" s="2" t="s">
        <v>16</v>
      </c>
    </row>
    <row r="3" spans="1:9" x14ac:dyDescent="0.3">
      <c r="A3" s="2" t="s">
        <v>17</v>
      </c>
      <c r="B3" s="2" t="s">
        <v>18</v>
      </c>
      <c r="C3" s="2" t="s">
        <v>19</v>
      </c>
      <c r="D3" s="3">
        <v>129839.32</v>
      </c>
      <c r="E3" s="2" t="s">
        <v>9</v>
      </c>
      <c r="F3" s="2" t="s">
        <v>20</v>
      </c>
      <c r="G3" s="2" t="s">
        <v>10</v>
      </c>
      <c r="H3" s="2" t="s">
        <v>21</v>
      </c>
      <c r="I3" s="2" t="s">
        <v>22</v>
      </c>
    </row>
    <row r="4" spans="1:9" x14ac:dyDescent="0.3">
      <c r="A4" s="2" t="s">
        <v>23</v>
      </c>
      <c r="B4" s="2" t="s">
        <v>24</v>
      </c>
      <c r="C4" s="2" t="s">
        <v>25</v>
      </c>
      <c r="D4" s="3">
        <v>1131739.1200000001</v>
      </c>
      <c r="E4" s="2" t="s">
        <v>9</v>
      </c>
      <c r="F4" s="2" t="s">
        <v>26</v>
      </c>
      <c r="G4" s="2" t="s">
        <v>10</v>
      </c>
      <c r="H4" s="2" t="s">
        <v>11</v>
      </c>
      <c r="I4" s="2" t="s">
        <v>27</v>
      </c>
    </row>
    <row r="5" spans="1:9" x14ac:dyDescent="0.3">
      <c r="A5" s="2" t="s">
        <v>28</v>
      </c>
      <c r="B5" s="2" t="s">
        <v>29</v>
      </c>
      <c r="C5" s="2" t="s">
        <v>19</v>
      </c>
      <c r="D5" s="3">
        <v>33750</v>
      </c>
      <c r="E5" s="2" t="s">
        <v>9</v>
      </c>
      <c r="F5" s="2" t="s">
        <v>20</v>
      </c>
      <c r="G5" s="2" t="s">
        <v>10</v>
      </c>
      <c r="H5" s="2" t="s">
        <v>11</v>
      </c>
      <c r="I5" s="2" t="s">
        <v>30</v>
      </c>
    </row>
    <row r="6" spans="1:9" x14ac:dyDescent="0.3">
      <c r="A6" s="2" t="s">
        <v>31</v>
      </c>
      <c r="B6" s="2" t="s">
        <v>32</v>
      </c>
      <c r="C6" s="2" t="s">
        <v>19</v>
      </c>
      <c r="D6" s="3">
        <v>30375</v>
      </c>
      <c r="E6" s="2" t="s">
        <v>9</v>
      </c>
      <c r="F6" s="2" t="s">
        <v>20</v>
      </c>
      <c r="G6" s="2" t="s">
        <v>10</v>
      </c>
      <c r="H6" s="2" t="s">
        <v>11</v>
      </c>
      <c r="I6" s="2" t="s">
        <v>33</v>
      </c>
    </row>
    <row r="7" spans="1:9" x14ac:dyDescent="0.3">
      <c r="A7" s="2" t="s">
        <v>34</v>
      </c>
      <c r="B7" s="2" t="s">
        <v>35</v>
      </c>
      <c r="C7" s="2" t="s">
        <v>25</v>
      </c>
      <c r="D7" s="3">
        <v>2437104.3199999998</v>
      </c>
      <c r="E7" s="2" t="s">
        <v>9</v>
      </c>
      <c r="F7" s="2" t="s">
        <v>26</v>
      </c>
      <c r="G7" s="2" t="s">
        <v>10</v>
      </c>
      <c r="H7" s="2" t="s">
        <v>11</v>
      </c>
      <c r="I7" s="2" t="s">
        <v>36</v>
      </c>
    </row>
    <row r="8" spans="1:9" x14ac:dyDescent="0.3">
      <c r="A8" s="2" t="s">
        <v>37</v>
      </c>
      <c r="B8" s="2" t="s">
        <v>38</v>
      </c>
      <c r="C8" s="2" t="s">
        <v>14</v>
      </c>
      <c r="D8" s="3">
        <v>1764199.92</v>
      </c>
      <c r="E8" s="2" t="s">
        <v>9</v>
      </c>
      <c r="F8" s="2" t="s">
        <v>15</v>
      </c>
      <c r="G8" s="2" t="s">
        <v>10</v>
      </c>
      <c r="H8" s="2" t="s">
        <v>11</v>
      </c>
      <c r="I8" s="2" t="s">
        <v>39</v>
      </c>
    </row>
    <row r="9" spans="1:9" x14ac:dyDescent="0.3">
      <c r="A9" s="2" t="s">
        <v>40</v>
      </c>
      <c r="B9" s="2" t="s">
        <v>41</v>
      </c>
      <c r="C9" s="2" t="s">
        <v>14</v>
      </c>
      <c r="D9" s="3">
        <v>3528223.07</v>
      </c>
      <c r="E9" s="2" t="s">
        <v>9</v>
      </c>
      <c r="F9" s="2" t="s">
        <v>15</v>
      </c>
      <c r="G9" s="2" t="s">
        <v>10</v>
      </c>
      <c r="H9" s="2" t="s">
        <v>11</v>
      </c>
      <c r="I9" s="2" t="s">
        <v>42</v>
      </c>
    </row>
    <row r="10" spans="1:9" x14ac:dyDescent="0.3">
      <c r="A10" s="2" t="s">
        <v>40</v>
      </c>
      <c r="B10" s="2" t="s">
        <v>43</v>
      </c>
      <c r="C10" s="2" t="s">
        <v>14</v>
      </c>
      <c r="D10" s="3">
        <v>989883.64</v>
      </c>
      <c r="E10" s="2" t="s">
        <v>9</v>
      </c>
      <c r="F10" s="2" t="s">
        <v>15</v>
      </c>
      <c r="G10" s="2" t="s">
        <v>10</v>
      </c>
      <c r="H10" s="2" t="s">
        <v>11</v>
      </c>
      <c r="I10" s="2" t="s">
        <v>44</v>
      </c>
    </row>
    <row r="11" spans="1:9" x14ac:dyDescent="0.3">
      <c r="A11" s="2" t="s">
        <v>40</v>
      </c>
      <c r="B11" s="2" t="s">
        <v>45</v>
      </c>
      <c r="C11" s="2" t="s">
        <v>19</v>
      </c>
      <c r="D11" s="3">
        <v>21000</v>
      </c>
      <c r="E11" s="2" t="s">
        <v>9</v>
      </c>
      <c r="F11" s="2" t="s">
        <v>20</v>
      </c>
      <c r="G11" s="2" t="s">
        <v>10</v>
      </c>
      <c r="H11" s="2" t="s">
        <v>11</v>
      </c>
      <c r="I11" s="2" t="s">
        <v>46</v>
      </c>
    </row>
    <row r="12" spans="1:9" x14ac:dyDescent="0.3">
      <c r="A12" s="2" t="s">
        <v>40</v>
      </c>
      <c r="B12" s="2" t="s">
        <v>47</v>
      </c>
      <c r="C12" s="2" t="s">
        <v>19</v>
      </c>
      <c r="D12" s="3">
        <v>36750</v>
      </c>
      <c r="E12" s="2" t="s">
        <v>9</v>
      </c>
      <c r="F12" s="2" t="s">
        <v>20</v>
      </c>
      <c r="G12" s="2" t="s">
        <v>10</v>
      </c>
      <c r="H12" s="2" t="s">
        <v>11</v>
      </c>
      <c r="I12" s="2" t="s">
        <v>48</v>
      </c>
    </row>
    <row r="13" spans="1:9" x14ac:dyDescent="0.3">
      <c r="A13" s="2" t="s">
        <v>40</v>
      </c>
      <c r="B13" s="2" t="s">
        <v>49</v>
      </c>
      <c r="C13" s="2" t="s">
        <v>19</v>
      </c>
      <c r="D13" s="3">
        <v>21000</v>
      </c>
      <c r="E13" s="2" t="s">
        <v>9</v>
      </c>
      <c r="F13" s="2" t="s">
        <v>20</v>
      </c>
      <c r="G13" s="2" t="s">
        <v>10</v>
      </c>
      <c r="H13" s="2" t="s">
        <v>11</v>
      </c>
      <c r="I13" s="2" t="s">
        <v>50</v>
      </c>
    </row>
    <row r="14" spans="1:9" x14ac:dyDescent="0.3">
      <c r="A14" s="2" t="s">
        <v>40</v>
      </c>
      <c r="B14" s="2" t="s">
        <v>51</v>
      </c>
      <c r="C14" s="2" t="s">
        <v>19</v>
      </c>
      <c r="D14" s="3">
        <v>169875</v>
      </c>
      <c r="E14" s="2" t="s">
        <v>9</v>
      </c>
      <c r="F14" s="2" t="s">
        <v>20</v>
      </c>
      <c r="G14" s="2" t="s">
        <v>10</v>
      </c>
      <c r="H14" s="2" t="s">
        <v>11</v>
      </c>
      <c r="I14" s="2" t="s">
        <v>52</v>
      </c>
    </row>
    <row r="15" spans="1:9" x14ac:dyDescent="0.3">
      <c r="A15" s="2" t="s">
        <v>40</v>
      </c>
      <c r="B15" s="2" t="s">
        <v>53</v>
      </c>
      <c r="C15" s="2" t="s">
        <v>19</v>
      </c>
      <c r="D15" s="3">
        <v>76125</v>
      </c>
      <c r="E15" s="2" t="s">
        <v>9</v>
      </c>
      <c r="F15" s="2" t="s">
        <v>20</v>
      </c>
      <c r="G15" s="2" t="s">
        <v>10</v>
      </c>
      <c r="H15" s="2" t="s">
        <v>11</v>
      </c>
      <c r="I15" s="2" t="s">
        <v>54</v>
      </c>
    </row>
    <row r="16" spans="1:9" x14ac:dyDescent="0.3">
      <c r="A16" s="2" t="s">
        <v>55</v>
      </c>
      <c r="B16" s="2" t="s">
        <v>56</v>
      </c>
      <c r="C16" s="2" t="s">
        <v>19</v>
      </c>
      <c r="D16" s="3">
        <v>593014.26</v>
      </c>
      <c r="E16" s="2" t="s">
        <v>9</v>
      </c>
      <c r="F16" s="2" t="s">
        <v>20</v>
      </c>
      <c r="G16" s="2" t="s">
        <v>10</v>
      </c>
      <c r="H16" s="2" t="s">
        <v>21</v>
      </c>
      <c r="I16" s="2" t="s">
        <v>57</v>
      </c>
    </row>
    <row r="17" spans="1:9" x14ac:dyDescent="0.3">
      <c r="A17" s="2" t="s">
        <v>58</v>
      </c>
      <c r="B17" s="2" t="s">
        <v>59</v>
      </c>
      <c r="C17" s="2" t="s">
        <v>25</v>
      </c>
      <c r="D17" s="3">
        <v>500621.1</v>
      </c>
      <c r="E17" s="2" t="s">
        <v>9</v>
      </c>
      <c r="F17" s="2" t="s">
        <v>26</v>
      </c>
      <c r="G17" s="2" t="s">
        <v>10</v>
      </c>
      <c r="H17" s="2" t="s">
        <v>11</v>
      </c>
      <c r="I17" s="2" t="s">
        <v>60</v>
      </c>
    </row>
    <row r="18" spans="1:9" x14ac:dyDescent="0.3">
      <c r="A18" s="2" t="s">
        <v>61</v>
      </c>
      <c r="B18" s="2" t="s">
        <v>62</v>
      </c>
      <c r="C18" s="2" t="s">
        <v>25</v>
      </c>
      <c r="D18" s="3">
        <v>2917816.85</v>
      </c>
      <c r="E18" s="2" t="s">
        <v>9</v>
      </c>
      <c r="F18" s="2" t="s">
        <v>26</v>
      </c>
      <c r="G18" s="2" t="s">
        <v>10</v>
      </c>
      <c r="H18" s="2" t="s">
        <v>11</v>
      </c>
      <c r="I18" s="2" t="s">
        <v>63</v>
      </c>
    </row>
    <row r="19" spans="1:9" x14ac:dyDescent="0.3">
      <c r="A19" s="2" t="s">
        <v>64</v>
      </c>
      <c r="B19" s="2" t="s">
        <v>65</v>
      </c>
      <c r="C19" s="2" t="s">
        <v>14</v>
      </c>
      <c r="D19" s="3">
        <v>39820.01</v>
      </c>
      <c r="E19" s="2" t="s">
        <v>9</v>
      </c>
      <c r="F19" s="2" t="s">
        <v>15</v>
      </c>
      <c r="G19" s="2" t="s">
        <v>10</v>
      </c>
      <c r="H19" s="2" t="s">
        <v>21</v>
      </c>
      <c r="I19" s="2" t="s">
        <v>66</v>
      </c>
    </row>
    <row r="20" spans="1:9" x14ac:dyDescent="0.3">
      <c r="A20" s="2" t="s">
        <v>67</v>
      </c>
      <c r="B20" s="2" t="s">
        <v>68</v>
      </c>
      <c r="C20" s="2" t="s">
        <v>25</v>
      </c>
      <c r="D20" s="3">
        <v>2603926.91</v>
      </c>
      <c r="E20" s="2" t="s">
        <v>9</v>
      </c>
      <c r="F20" s="2" t="s">
        <v>26</v>
      </c>
      <c r="G20" s="2" t="s">
        <v>10</v>
      </c>
      <c r="H20" s="2" t="s">
        <v>11</v>
      </c>
      <c r="I20" s="2" t="s">
        <v>69</v>
      </c>
    </row>
    <row r="21" spans="1:9" x14ac:dyDescent="0.3">
      <c r="A21" s="2" t="s">
        <v>70</v>
      </c>
      <c r="B21" s="2" t="s">
        <v>71</v>
      </c>
      <c r="C21" s="2" t="s">
        <v>14</v>
      </c>
      <c r="D21" s="3">
        <v>51669.32</v>
      </c>
      <c r="E21" s="2" t="s">
        <v>9</v>
      </c>
      <c r="F21" s="2" t="s">
        <v>15</v>
      </c>
      <c r="G21" s="2" t="s">
        <v>10</v>
      </c>
      <c r="H21" s="2" t="s">
        <v>21</v>
      </c>
      <c r="I21" s="2" t="s">
        <v>72</v>
      </c>
    </row>
    <row r="22" spans="1:9" x14ac:dyDescent="0.3">
      <c r="A22" s="2" t="s">
        <v>73</v>
      </c>
      <c r="B22" s="2" t="s">
        <v>74</v>
      </c>
      <c r="C22" s="2" t="s">
        <v>25</v>
      </c>
      <c r="D22" s="3">
        <v>166743.25</v>
      </c>
      <c r="E22" s="2" t="s">
        <v>9</v>
      </c>
      <c r="F22" s="2" t="s">
        <v>26</v>
      </c>
      <c r="G22" s="2" t="s">
        <v>10</v>
      </c>
      <c r="H22" s="2" t="s">
        <v>11</v>
      </c>
      <c r="I22" s="2" t="s">
        <v>75</v>
      </c>
    </row>
    <row r="23" spans="1:9" x14ac:dyDescent="0.3">
      <c r="A23" s="2" t="s">
        <v>76</v>
      </c>
      <c r="B23" s="2" t="s">
        <v>77</v>
      </c>
      <c r="C23" s="2" t="s">
        <v>19</v>
      </c>
      <c r="D23" s="3">
        <v>3145348.21</v>
      </c>
      <c r="E23" s="2" t="s">
        <v>9</v>
      </c>
      <c r="F23" s="2" t="s">
        <v>20</v>
      </c>
      <c r="G23" s="2" t="s">
        <v>10</v>
      </c>
      <c r="H23" s="2" t="s">
        <v>11</v>
      </c>
      <c r="I23" s="2" t="s">
        <v>78</v>
      </c>
    </row>
    <row r="24" spans="1:9" x14ac:dyDescent="0.3">
      <c r="A24" s="2" t="s">
        <v>79</v>
      </c>
      <c r="B24" s="2" t="s">
        <v>80</v>
      </c>
      <c r="C24" s="2" t="s">
        <v>81</v>
      </c>
      <c r="D24" s="3">
        <v>529231.07999999996</v>
      </c>
      <c r="E24" s="2" t="s">
        <v>9</v>
      </c>
      <c r="F24" s="2" t="s">
        <v>82</v>
      </c>
      <c r="G24" s="2" t="s">
        <v>10</v>
      </c>
      <c r="H24" s="2" t="s">
        <v>21</v>
      </c>
      <c r="I24" s="2" t="s">
        <v>83</v>
      </c>
    </row>
    <row r="25" spans="1:9" x14ac:dyDescent="0.3">
      <c r="A25" s="2" t="s">
        <v>79</v>
      </c>
      <c r="B25" s="2" t="s">
        <v>84</v>
      </c>
      <c r="C25" s="2" t="s">
        <v>81</v>
      </c>
      <c r="D25" s="3">
        <v>342716.66</v>
      </c>
      <c r="E25" s="2" t="s">
        <v>9</v>
      </c>
      <c r="F25" s="2" t="s">
        <v>82</v>
      </c>
      <c r="G25" s="2" t="s">
        <v>10</v>
      </c>
      <c r="H25" s="2" t="s">
        <v>21</v>
      </c>
      <c r="I25" s="2" t="s">
        <v>85</v>
      </c>
    </row>
    <row r="26" spans="1:9" x14ac:dyDescent="0.3">
      <c r="A26" s="2" t="s">
        <v>79</v>
      </c>
      <c r="B26" s="2" t="s">
        <v>86</v>
      </c>
      <c r="C26" s="2" t="s">
        <v>81</v>
      </c>
      <c r="D26" s="3">
        <v>258127.72</v>
      </c>
      <c r="E26" s="2" t="s">
        <v>9</v>
      </c>
      <c r="F26" s="2" t="s">
        <v>82</v>
      </c>
      <c r="G26" s="2" t="s">
        <v>10</v>
      </c>
      <c r="H26" s="2" t="s">
        <v>21</v>
      </c>
      <c r="I26" s="2" t="s">
        <v>87</v>
      </c>
    </row>
    <row r="27" spans="1:9" x14ac:dyDescent="0.3">
      <c r="A27" s="2" t="s">
        <v>79</v>
      </c>
      <c r="B27" s="2" t="s">
        <v>88</v>
      </c>
      <c r="C27" s="2" t="s">
        <v>81</v>
      </c>
      <c r="D27" s="3">
        <v>14157.94</v>
      </c>
      <c r="E27" s="2" t="s">
        <v>9</v>
      </c>
      <c r="F27" s="2" t="s">
        <v>82</v>
      </c>
      <c r="G27" s="2" t="s">
        <v>10</v>
      </c>
      <c r="H27" s="2" t="s">
        <v>21</v>
      </c>
      <c r="I27" s="2" t="s">
        <v>89</v>
      </c>
    </row>
    <row r="28" spans="1:9" x14ac:dyDescent="0.3">
      <c r="A28" s="2" t="s">
        <v>79</v>
      </c>
      <c r="B28" s="2" t="s">
        <v>90</v>
      </c>
      <c r="C28" s="2" t="s">
        <v>81</v>
      </c>
      <c r="D28" s="3">
        <v>153264.70000000001</v>
      </c>
      <c r="E28" s="2" t="s">
        <v>9</v>
      </c>
      <c r="F28" s="2" t="s">
        <v>82</v>
      </c>
      <c r="G28" s="2" t="s">
        <v>10</v>
      </c>
      <c r="H28" s="2" t="s">
        <v>11</v>
      </c>
      <c r="I28" s="2" t="s">
        <v>91</v>
      </c>
    </row>
    <row r="29" spans="1:9" x14ac:dyDescent="0.3">
      <c r="A29" s="2" t="s">
        <v>79</v>
      </c>
      <c r="B29" s="2" t="s">
        <v>92</v>
      </c>
      <c r="C29" s="2" t="s">
        <v>81</v>
      </c>
      <c r="D29" s="3">
        <v>29198.560000000001</v>
      </c>
      <c r="E29" s="2" t="s">
        <v>9</v>
      </c>
      <c r="F29" s="2" t="s">
        <v>82</v>
      </c>
      <c r="G29" s="2" t="s">
        <v>10</v>
      </c>
      <c r="H29" s="2" t="s">
        <v>11</v>
      </c>
      <c r="I29" s="2" t="s">
        <v>93</v>
      </c>
    </row>
    <row r="30" spans="1:9" x14ac:dyDescent="0.3">
      <c r="A30" s="2" t="s">
        <v>79</v>
      </c>
      <c r="B30" s="2" t="s">
        <v>94</v>
      </c>
      <c r="C30" s="2" t="s">
        <v>81</v>
      </c>
      <c r="D30" s="3">
        <v>39278.89</v>
      </c>
      <c r="E30" s="2" t="s">
        <v>9</v>
      </c>
      <c r="F30" s="2" t="s">
        <v>82</v>
      </c>
      <c r="G30" s="2" t="s">
        <v>10</v>
      </c>
      <c r="H30" s="2" t="s">
        <v>11</v>
      </c>
      <c r="I30" s="2" t="s">
        <v>95</v>
      </c>
    </row>
    <row r="31" spans="1:9" x14ac:dyDescent="0.3">
      <c r="A31" s="2" t="s">
        <v>79</v>
      </c>
      <c r="B31" s="2" t="s">
        <v>96</v>
      </c>
      <c r="C31" s="2" t="s">
        <v>81</v>
      </c>
      <c r="D31" s="3">
        <v>687170.38</v>
      </c>
      <c r="E31" s="2" t="s">
        <v>9</v>
      </c>
      <c r="F31" s="2" t="s">
        <v>82</v>
      </c>
      <c r="G31" s="2" t="s">
        <v>10</v>
      </c>
      <c r="H31" s="2" t="s">
        <v>11</v>
      </c>
      <c r="I31" s="2" t="s">
        <v>97</v>
      </c>
    </row>
    <row r="32" spans="1:9" x14ac:dyDescent="0.3">
      <c r="A32" s="2" t="s">
        <v>79</v>
      </c>
      <c r="B32" s="2" t="s">
        <v>98</v>
      </c>
      <c r="C32" s="2" t="s">
        <v>81</v>
      </c>
      <c r="D32" s="3">
        <v>56371.76</v>
      </c>
      <c r="E32" s="2" t="s">
        <v>9</v>
      </c>
      <c r="F32" s="2" t="s">
        <v>82</v>
      </c>
      <c r="G32" s="2" t="s">
        <v>10</v>
      </c>
      <c r="H32" s="2" t="s">
        <v>11</v>
      </c>
      <c r="I32" s="2" t="s">
        <v>99</v>
      </c>
    </row>
    <row r="33" spans="1:9" x14ac:dyDescent="0.3">
      <c r="A33" s="2" t="s">
        <v>79</v>
      </c>
      <c r="B33" s="2" t="s">
        <v>100</v>
      </c>
      <c r="C33" s="2" t="s">
        <v>81</v>
      </c>
      <c r="D33" s="3">
        <v>169283.78</v>
      </c>
      <c r="E33" s="2" t="s">
        <v>9</v>
      </c>
      <c r="F33" s="2" t="s">
        <v>82</v>
      </c>
      <c r="G33" s="2" t="s">
        <v>10</v>
      </c>
      <c r="H33" s="2" t="s">
        <v>11</v>
      </c>
      <c r="I33" s="2" t="s">
        <v>101</v>
      </c>
    </row>
    <row r="34" spans="1:9" x14ac:dyDescent="0.3">
      <c r="A34" s="2" t="s">
        <v>79</v>
      </c>
      <c r="B34" s="2" t="s">
        <v>102</v>
      </c>
      <c r="C34" s="2" t="s">
        <v>81</v>
      </c>
      <c r="D34" s="3">
        <v>291576.06</v>
      </c>
      <c r="E34" s="2" t="s">
        <v>9</v>
      </c>
      <c r="F34" s="2" t="s">
        <v>82</v>
      </c>
      <c r="G34" s="2" t="s">
        <v>10</v>
      </c>
      <c r="H34" s="2" t="s">
        <v>11</v>
      </c>
      <c r="I34" s="2" t="s">
        <v>103</v>
      </c>
    </row>
    <row r="35" spans="1:9" x14ac:dyDescent="0.3">
      <c r="A35" s="2" t="s">
        <v>79</v>
      </c>
      <c r="B35" s="2" t="s">
        <v>104</v>
      </c>
      <c r="C35" s="2" t="s">
        <v>81</v>
      </c>
      <c r="D35" s="3">
        <v>745662.28</v>
      </c>
      <c r="E35" s="2" t="s">
        <v>9</v>
      </c>
      <c r="F35" s="2" t="s">
        <v>82</v>
      </c>
      <c r="G35" s="2" t="s">
        <v>10</v>
      </c>
      <c r="H35" s="2" t="s">
        <v>11</v>
      </c>
      <c r="I35" s="2" t="s">
        <v>105</v>
      </c>
    </row>
    <row r="36" spans="1:9" x14ac:dyDescent="0.3">
      <c r="A36" s="2" t="s">
        <v>79</v>
      </c>
      <c r="B36" s="2" t="s">
        <v>106</v>
      </c>
      <c r="C36" s="2" t="s">
        <v>81</v>
      </c>
      <c r="D36" s="3">
        <v>676903.01</v>
      </c>
      <c r="E36" s="2" t="s">
        <v>9</v>
      </c>
      <c r="F36" s="2" t="s">
        <v>82</v>
      </c>
      <c r="G36" s="2" t="s">
        <v>10</v>
      </c>
      <c r="H36" s="2" t="s">
        <v>11</v>
      </c>
      <c r="I36" s="2" t="s">
        <v>107</v>
      </c>
    </row>
    <row r="37" spans="1:9" x14ac:dyDescent="0.3">
      <c r="A37" s="2" t="s">
        <v>108</v>
      </c>
      <c r="B37" s="2" t="s">
        <v>109</v>
      </c>
      <c r="C37" s="2" t="s">
        <v>81</v>
      </c>
      <c r="D37" s="3">
        <v>1241598.96</v>
      </c>
      <c r="E37" s="2" t="s">
        <v>9</v>
      </c>
      <c r="F37" s="2" t="s">
        <v>82</v>
      </c>
      <c r="G37" s="2" t="s">
        <v>10</v>
      </c>
      <c r="H37" s="2" t="s">
        <v>11</v>
      </c>
      <c r="I37" s="2" t="s">
        <v>110</v>
      </c>
    </row>
    <row r="38" spans="1:9" x14ac:dyDescent="0.3">
      <c r="A38" s="2" t="s">
        <v>111</v>
      </c>
      <c r="B38" s="2" t="s">
        <v>112</v>
      </c>
      <c r="C38" s="2" t="s">
        <v>81</v>
      </c>
      <c r="D38" s="3">
        <v>765372.02</v>
      </c>
      <c r="E38" s="2" t="s">
        <v>9</v>
      </c>
      <c r="F38" s="2" t="s">
        <v>82</v>
      </c>
      <c r="G38" s="2" t="s">
        <v>10</v>
      </c>
      <c r="H38" s="2" t="s">
        <v>11</v>
      </c>
      <c r="I38" s="2" t="s">
        <v>113</v>
      </c>
    </row>
    <row r="39" spans="1:9" x14ac:dyDescent="0.3">
      <c r="D39" s="5">
        <f>SUM(D2:D38)</f>
        <v>26398171.850000001</v>
      </c>
    </row>
    <row r="40" spans="1:9" x14ac:dyDescent="0.3">
      <c r="D40" s="4">
        <f>D39-D46</f>
        <v>0</v>
      </c>
    </row>
    <row r="42" spans="1:9" x14ac:dyDescent="0.3">
      <c r="C42" t="s">
        <v>114</v>
      </c>
      <c r="D42" s="4">
        <f>D4+D7+D17+D18+D20+D22</f>
        <v>9757951.5500000007</v>
      </c>
    </row>
    <row r="43" spans="1:9" x14ac:dyDescent="0.3">
      <c r="C43" t="s">
        <v>115</v>
      </c>
      <c r="D43" s="4">
        <f>D24+D25+D26+D27+D28+D29+D30+D31+D32+D33+D34+D35+D36+D37+D38</f>
        <v>5999913.7999999989</v>
      </c>
    </row>
    <row r="44" spans="1:9" x14ac:dyDescent="0.3">
      <c r="C44" t="s">
        <v>116</v>
      </c>
      <c r="D44" s="4">
        <f>D3+D5+D6+D12+D11+D13+D14+D15+D16+D23</f>
        <v>4257076.79</v>
      </c>
    </row>
    <row r="45" spans="1:9" x14ac:dyDescent="0.3">
      <c r="C45" t="s">
        <v>117</v>
      </c>
      <c r="D45" s="4">
        <f>D2+D8+D9+D10+D19+D21</f>
        <v>6383229.71</v>
      </c>
    </row>
    <row r="46" spans="1:9" x14ac:dyDescent="0.3">
      <c r="D46" s="5">
        <f>SUM(D42:D45)</f>
        <v>26398171.850000001</v>
      </c>
    </row>
    <row r="51" spans="1:9" x14ac:dyDescent="0.3">
      <c r="A51" s="7" t="s">
        <v>0</v>
      </c>
      <c r="B51" s="7" t="s">
        <v>1</v>
      </c>
      <c r="C51" s="7" t="s">
        <v>2</v>
      </c>
      <c r="D51" s="7" t="s">
        <v>3</v>
      </c>
      <c r="E51" s="7" t="s">
        <v>4</v>
      </c>
      <c r="F51" s="7" t="s">
        <v>5</v>
      </c>
      <c r="G51" s="7" t="s">
        <v>6</v>
      </c>
      <c r="H51" s="7" t="s">
        <v>7</v>
      </c>
      <c r="I51" s="7" t="s">
        <v>8</v>
      </c>
    </row>
    <row r="52" spans="1:9" x14ac:dyDescent="0.3">
      <c r="A52" s="8" t="s">
        <v>118</v>
      </c>
      <c r="B52" s="8" t="s">
        <v>119</v>
      </c>
      <c r="C52" s="8" t="s">
        <v>19</v>
      </c>
      <c r="D52" s="6">
        <v>646774</v>
      </c>
      <c r="E52" s="8" t="s">
        <v>9</v>
      </c>
      <c r="F52" s="8" t="s">
        <v>20</v>
      </c>
      <c r="G52" s="8" t="s">
        <v>10</v>
      </c>
      <c r="H52" s="8" t="s">
        <v>11</v>
      </c>
      <c r="I52" s="8" t="s">
        <v>120</v>
      </c>
    </row>
    <row r="53" spans="1:9" x14ac:dyDescent="0.3">
      <c r="A53" s="8" t="s">
        <v>118</v>
      </c>
      <c r="B53" s="8" t="s">
        <v>121</v>
      </c>
      <c r="C53" s="8" t="s">
        <v>19</v>
      </c>
      <c r="D53" s="6">
        <v>8258.1</v>
      </c>
      <c r="E53" s="8" t="s">
        <v>9</v>
      </c>
      <c r="F53" s="8" t="s">
        <v>20</v>
      </c>
      <c r="G53" s="8" t="s">
        <v>10</v>
      </c>
      <c r="H53" s="8" t="s">
        <v>11</v>
      </c>
      <c r="I53" s="8" t="s">
        <v>122</v>
      </c>
    </row>
    <row r="54" spans="1:9" x14ac:dyDescent="0.3">
      <c r="A54" s="8" t="s">
        <v>118</v>
      </c>
      <c r="B54" s="8" t="s">
        <v>123</v>
      </c>
      <c r="C54" s="8" t="s">
        <v>19</v>
      </c>
      <c r="D54" s="6">
        <v>83715.759999999995</v>
      </c>
      <c r="E54" s="8" t="s">
        <v>9</v>
      </c>
      <c r="F54" s="8" t="s">
        <v>20</v>
      </c>
      <c r="G54" s="8" t="s">
        <v>10</v>
      </c>
      <c r="H54" s="8" t="s">
        <v>11</v>
      </c>
      <c r="I54" s="8" t="s">
        <v>124</v>
      </c>
    </row>
    <row r="55" spans="1:9" x14ac:dyDescent="0.3">
      <c r="A55" s="8" t="s">
        <v>118</v>
      </c>
      <c r="B55" s="8" t="s">
        <v>125</v>
      </c>
      <c r="C55" s="8" t="s">
        <v>19</v>
      </c>
      <c r="D55" s="6">
        <v>254850</v>
      </c>
      <c r="E55" s="8" t="s">
        <v>9</v>
      </c>
      <c r="F55" s="8" t="s">
        <v>20</v>
      </c>
      <c r="G55" s="8" t="s">
        <v>10</v>
      </c>
      <c r="H55" s="8" t="s">
        <v>11</v>
      </c>
      <c r="I55" s="8" t="s">
        <v>126</v>
      </c>
    </row>
    <row r="56" spans="1:9" x14ac:dyDescent="0.3">
      <c r="A56" s="8" t="s">
        <v>118</v>
      </c>
      <c r="B56" s="8" t="s">
        <v>127</v>
      </c>
      <c r="C56" s="8" t="s">
        <v>19</v>
      </c>
      <c r="D56" s="6">
        <v>356841.48</v>
      </c>
      <c r="E56" s="8" t="s">
        <v>9</v>
      </c>
      <c r="F56" s="8" t="s">
        <v>20</v>
      </c>
      <c r="G56" s="8" t="s">
        <v>10</v>
      </c>
      <c r="H56" s="8" t="s">
        <v>11</v>
      </c>
      <c r="I56" s="8" t="s">
        <v>128</v>
      </c>
    </row>
    <row r="57" spans="1:9" x14ac:dyDescent="0.3">
      <c r="A57" s="8" t="s">
        <v>118</v>
      </c>
      <c r="B57" s="8" t="s">
        <v>129</v>
      </c>
      <c r="C57" s="8" t="s">
        <v>19</v>
      </c>
      <c r="D57" s="6">
        <v>118268.03</v>
      </c>
      <c r="E57" s="8" t="s">
        <v>9</v>
      </c>
      <c r="F57" s="8" t="s">
        <v>20</v>
      </c>
      <c r="G57" s="8" t="s">
        <v>10</v>
      </c>
      <c r="H57" s="8" t="s">
        <v>11</v>
      </c>
      <c r="I57" s="8" t="s">
        <v>130</v>
      </c>
    </row>
    <row r="58" spans="1:9" x14ac:dyDescent="0.3">
      <c r="A58" s="8" t="s">
        <v>118</v>
      </c>
      <c r="B58" s="8" t="s">
        <v>131</v>
      </c>
      <c r="C58" s="8" t="s">
        <v>19</v>
      </c>
      <c r="D58" s="6">
        <v>221742.84</v>
      </c>
      <c r="E58" s="8" t="s">
        <v>9</v>
      </c>
      <c r="F58" s="8" t="s">
        <v>20</v>
      </c>
      <c r="G58" s="8" t="s">
        <v>10</v>
      </c>
      <c r="H58" s="8" t="s">
        <v>11</v>
      </c>
      <c r="I58" s="8" t="s">
        <v>132</v>
      </c>
    </row>
    <row r="59" spans="1:9" x14ac:dyDescent="0.3">
      <c r="A59" s="8" t="s">
        <v>118</v>
      </c>
      <c r="B59" s="8" t="s">
        <v>133</v>
      </c>
      <c r="C59" s="8" t="s">
        <v>19</v>
      </c>
      <c r="D59" s="6">
        <v>397492.84</v>
      </c>
      <c r="E59" s="8" t="s">
        <v>9</v>
      </c>
      <c r="F59" s="8" t="s">
        <v>20</v>
      </c>
      <c r="G59" s="8" t="s">
        <v>10</v>
      </c>
      <c r="H59" s="8" t="s">
        <v>11</v>
      </c>
      <c r="I59" s="8" t="s">
        <v>134</v>
      </c>
    </row>
    <row r="60" spans="1:9" x14ac:dyDescent="0.3">
      <c r="A60" s="8" t="s">
        <v>118</v>
      </c>
      <c r="B60" s="8" t="s">
        <v>135</v>
      </c>
      <c r="C60" s="8" t="s">
        <v>19</v>
      </c>
      <c r="D60" s="6">
        <v>117879.35</v>
      </c>
      <c r="E60" s="8" t="s">
        <v>9</v>
      </c>
      <c r="F60" s="8" t="s">
        <v>20</v>
      </c>
      <c r="G60" s="8" t="s">
        <v>10</v>
      </c>
      <c r="H60" s="8" t="s">
        <v>11</v>
      </c>
      <c r="I60" s="8" t="s">
        <v>136</v>
      </c>
    </row>
    <row r="61" spans="1:9" x14ac:dyDescent="0.3">
      <c r="A61" s="8" t="s">
        <v>137</v>
      </c>
      <c r="B61" s="8" t="s">
        <v>138</v>
      </c>
      <c r="C61" s="8" t="s">
        <v>19</v>
      </c>
      <c r="D61" s="6">
        <v>203939.56</v>
      </c>
      <c r="E61" s="8" t="s">
        <v>9</v>
      </c>
      <c r="F61" s="8" t="s">
        <v>20</v>
      </c>
      <c r="G61" s="8" t="s">
        <v>10</v>
      </c>
      <c r="H61" s="8" t="s">
        <v>11</v>
      </c>
      <c r="I61" s="8" t="s">
        <v>139</v>
      </c>
    </row>
    <row r="62" spans="1:9" x14ac:dyDescent="0.3">
      <c r="A62" s="8" t="s">
        <v>140</v>
      </c>
      <c r="B62" s="8" t="s">
        <v>141</v>
      </c>
      <c r="C62" s="8" t="s">
        <v>19</v>
      </c>
      <c r="D62" s="6">
        <v>24192.53</v>
      </c>
      <c r="E62" s="8" t="s">
        <v>9</v>
      </c>
      <c r="F62" s="8" t="s">
        <v>20</v>
      </c>
      <c r="G62" s="8" t="s">
        <v>10</v>
      </c>
      <c r="H62" s="8" t="s">
        <v>11</v>
      </c>
      <c r="I62" s="8" t="s">
        <v>142</v>
      </c>
    </row>
    <row r="63" spans="1:9" x14ac:dyDescent="0.3">
      <c r="A63" s="8" t="s">
        <v>143</v>
      </c>
      <c r="B63" s="8" t="s">
        <v>144</v>
      </c>
      <c r="C63" s="8" t="s">
        <v>19</v>
      </c>
      <c r="D63" s="6">
        <v>98295.33</v>
      </c>
      <c r="E63" s="8" t="s">
        <v>9</v>
      </c>
      <c r="F63" s="8" t="s">
        <v>20</v>
      </c>
      <c r="G63" s="8" t="s">
        <v>10</v>
      </c>
      <c r="H63" s="8" t="s">
        <v>11</v>
      </c>
      <c r="I63" s="8" t="s">
        <v>145</v>
      </c>
    </row>
    <row r="64" spans="1:9" x14ac:dyDescent="0.3">
      <c r="A64" s="8" t="s">
        <v>146</v>
      </c>
      <c r="B64" s="8" t="s">
        <v>147</v>
      </c>
      <c r="C64" s="8" t="s">
        <v>19</v>
      </c>
      <c r="D64" s="6">
        <v>1819844.1</v>
      </c>
      <c r="E64" s="8" t="s">
        <v>9</v>
      </c>
      <c r="F64" s="8" t="s">
        <v>20</v>
      </c>
      <c r="G64" s="8" t="s">
        <v>10</v>
      </c>
      <c r="H64" s="8" t="s">
        <v>11</v>
      </c>
      <c r="I64" s="8" t="s">
        <v>148</v>
      </c>
    </row>
    <row r="65" spans="1:9" x14ac:dyDescent="0.3">
      <c r="A65" s="8" t="s">
        <v>149</v>
      </c>
      <c r="B65" s="8" t="s">
        <v>150</v>
      </c>
      <c r="C65" s="8" t="s">
        <v>19</v>
      </c>
      <c r="D65" s="6">
        <v>29576.12</v>
      </c>
      <c r="E65" s="8" t="s">
        <v>9</v>
      </c>
      <c r="F65" s="8" t="s">
        <v>20</v>
      </c>
      <c r="G65" s="8" t="s">
        <v>10</v>
      </c>
      <c r="H65" s="8" t="s">
        <v>11</v>
      </c>
      <c r="I65" s="8" t="s">
        <v>151</v>
      </c>
    </row>
    <row r="66" spans="1:9" x14ac:dyDescent="0.3">
      <c r="A66" s="8" t="s">
        <v>152</v>
      </c>
      <c r="B66" s="8" t="s">
        <v>153</v>
      </c>
      <c r="C66" s="8" t="s">
        <v>19</v>
      </c>
      <c r="D66" s="6">
        <v>15700</v>
      </c>
      <c r="E66" s="8" t="s">
        <v>9</v>
      </c>
      <c r="F66" s="8" t="s">
        <v>20</v>
      </c>
      <c r="G66" s="8" t="s">
        <v>10</v>
      </c>
      <c r="H66" s="8" t="s">
        <v>11</v>
      </c>
      <c r="I66" s="8" t="s">
        <v>154</v>
      </c>
    </row>
    <row r="67" spans="1:9" x14ac:dyDescent="0.3">
      <c r="A67" s="8" t="s">
        <v>155</v>
      </c>
      <c r="B67" s="8" t="s">
        <v>156</v>
      </c>
      <c r="C67" s="8" t="s">
        <v>19</v>
      </c>
      <c r="D67" s="6">
        <v>2250</v>
      </c>
      <c r="E67" s="8" t="s">
        <v>9</v>
      </c>
      <c r="F67" s="8" t="s">
        <v>20</v>
      </c>
      <c r="G67" s="8" t="s">
        <v>10</v>
      </c>
      <c r="H67" s="8" t="s">
        <v>11</v>
      </c>
      <c r="I67" s="8" t="s">
        <v>157</v>
      </c>
    </row>
    <row r="68" spans="1:9" x14ac:dyDescent="0.3">
      <c r="A68" s="8" t="s">
        <v>158</v>
      </c>
      <c r="B68" s="8" t="s">
        <v>159</v>
      </c>
      <c r="C68" s="8" t="s">
        <v>19</v>
      </c>
      <c r="D68" s="6">
        <v>3843652.43</v>
      </c>
      <c r="E68" s="8" t="s">
        <v>9</v>
      </c>
      <c r="F68" s="8" t="s">
        <v>20</v>
      </c>
      <c r="G68" s="8" t="s">
        <v>10</v>
      </c>
      <c r="H68" s="8" t="s">
        <v>11</v>
      </c>
      <c r="I68" s="8" t="s">
        <v>160</v>
      </c>
    </row>
    <row r="69" spans="1:9" x14ac:dyDescent="0.3">
      <c r="D69" s="5">
        <f>SUM(D52:D68)</f>
        <v>8243272.4700000007</v>
      </c>
    </row>
  </sheetData>
  <autoFilter ref="A1:I40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Акты заказчика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2024-09-19T12:38:46Z</dcterms:modified>
</cp:coreProperties>
</file>
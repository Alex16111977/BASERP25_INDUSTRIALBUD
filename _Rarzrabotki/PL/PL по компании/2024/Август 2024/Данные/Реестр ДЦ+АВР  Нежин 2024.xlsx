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-120" windowWidth="23256" windowHeight="12624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РеєстрАВР!$A$5:$AL$115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'!$A$2:$I$73</definedName>
    <definedName name="_xlnm.Print_Area" localSheetId="4">РеєстрАВР!$A$1:$K$115</definedName>
  </definedNames>
  <calcPr calcId="145621"/>
</workbook>
</file>

<file path=xl/calcChain.xml><?xml version="1.0" encoding="utf-8"?>
<calcChain xmlns="http://schemas.openxmlformats.org/spreadsheetml/2006/main">
  <c r="E15" i="27" l="1"/>
  <c r="E98" i="27"/>
  <c r="E114" i="27"/>
  <c r="E97" i="27"/>
  <c r="E113" i="27"/>
  <c r="E100" i="27"/>
  <c r="E112" i="27"/>
  <c r="E95" i="27"/>
  <c r="E91" i="27"/>
  <c r="E99" i="27"/>
  <c r="E90" i="27"/>
  <c r="E111" i="27"/>
  <c r="E84" i="27"/>
  <c r="E74" i="27"/>
  <c r="E67" i="27"/>
  <c r="E34" i="27"/>
  <c r="E23" i="27"/>
  <c r="E110" i="27"/>
  <c r="E109" i="27"/>
  <c r="E55" i="27"/>
  <c r="E108" i="27"/>
  <c r="E107" i="27"/>
  <c r="E39" i="27"/>
  <c r="E106" i="27"/>
  <c r="E31" i="27"/>
  <c r="E105" i="27"/>
  <c r="E96" i="27"/>
  <c r="E94" i="27"/>
  <c r="E80" i="27"/>
  <c r="E104" i="27"/>
  <c r="E85" i="27"/>
  <c r="E56" i="27"/>
  <c r="E49" i="27"/>
  <c r="E42" i="27"/>
  <c r="E77" i="27"/>
  <c r="E28" i="27"/>
  <c r="E54" i="27"/>
  <c r="E86" i="27"/>
  <c r="E69" i="27"/>
  <c r="E27" i="27"/>
  <c r="E93" i="27"/>
  <c r="E78" i="27"/>
  <c r="E48" i="27"/>
  <c r="E40" i="27"/>
  <c r="E32" i="27"/>
  <c r="E83" i="27"/>
  <c r="E73" i="27"/>
  <c r="E47" i="27"/>
  <c r="E43" i="27"/>
  <c r="E33" i="27"/>
  <c r="E14" i="27"/>
  <c r="E13" i="27"/>
  <c r="E12" i="27"/>
  <c r="E88" i="27"/>
  <c r="E76" i="27"/>
  <c r="E70" i="27"/>
  <c r="E60" i="27"/>
  <c r="E103" i="27"/>
  <c r="E102" i="27"/>
  <c r="E26" i="27"/>
  <c r="E11" i="27"/>
  <c r="E10" i="27"/>
  <c r="E101" i="27"/>
  <c r="E82" i="27"/>
  <c r="E68" i="27"/>
  <c r="E66" i="27"/>
  <c r="E65" i="27"/>
  <c r="E64" i="27"/>
  <c r="E63" i="27"/>
  <c r="E53" i="27"/>
  <c r="E52" i="27"/>
  <c r="E51" i="27"/>
  <c r="E46" i="27"/>
  <c r="E29" i="27"/>
  <c r="E16" i="27"/>
  <c r="E59" i="27"/>
  <c r="E41" i="27"/>
  <c r="E38" i="27"/>
  <c r="E20" i="27"/>
  <c r="E30" i="27"/>
  <c r="E92" i="27"/>
  <c r="E19" i="27"/>
  <c r="E89" i="27"/>
  <c r="E81" i="27"/>
  <c r="E72" i="27"/>
  <c r="E57" i="27"/>
  <c r="E22" i="27"/>
  <c r="E45" i="27"/>
  <c r="E44" i="27"/>
  <c r="E36" i="27"/>
  <c r="E21" i="27"/>
  <c r="E71" i="27"/>
  <c r="E62" i="27"/>
  <c r="E58" i="27"/>
  <c r="E50" i="27"/>
  <c r="E35" i="27"/>
  <c r="E87" i="27"/>
  <c r="E79" i="27"/>
  <c r="E61" i="27"/>
  <c r="E37" i="27"/>
  <c r="E25" i="27"/>
  <c r="F73" i="22" l="1"/>
  <c r="E73" i="22"/>
  <c r="D73" i="22"/>
  <c r="C73" i="22"/>
  <c r="H115" i="27"/>
  <c r="G115" i="27"/>
  <c r="F115" i="27"/>
  <c r="C67" i="27" l="1"/>
  <c r="C115" i="27" s="1"/>
  <c r="E17" i="27" l="1"/>
  <c r="E9" i="27"/>
  <c r="E8" i="27"/>
  <c r="E7" i="27"/>
  <c r="E75" i="27"/>
  <c r="E24" i="27"/>
  <c r="E6" i="27"/>
  <c r="C12" i="22" l="1"/>
  <c r="C20" i="22" l="1"/>
  <c r="C21" i="22"/>
  <c r="C22" i="22"/>
  <c r="C19" i="22" l="1"/>
  <c r="C16" i="22" l="1"/>
  <c r="C15" i="22"/>
  <c r="C18" i="22" l="1"/>
  <c r="C14" i="22" l="1"/>
  <c r="C13" i="22" l="1"/>
  <c r="C11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<sst xmlns="http://schemas.openxmlformats.org/spreadsheetml/2006/main" count="1209" uniqueCount="418">
  <si>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</si>
  <si>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</si>
  <si>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</si>
  <si>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</si>
  <si>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</si>
  <si>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</si>
  <si>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</si>
  <si>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</si>
  <si>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</si>
  <si>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</si>
  <si>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</si>
  <si>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</si>
  <si>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</si>
  <si>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</si>
  <si>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</si>
  <si>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</si>
  <si>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</si>
  <si>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</si>
  <si>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</si>
  <si>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</si>
  <si>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</si>
  <si>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</si>
  <si>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</si>
  <si>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</si>
  <si>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</si>
  <si>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</si>
  <si>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</si>
  <si>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</si>
  <si>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</si>
  <si>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</si>
  <si>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</si>
  <si>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</si>
  <si>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</si>
  <si>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</si>
  <si>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</si>
  <si>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</si>
  <si>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</si>
  <si>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</si>
  <si>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</si>
  <si>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</si>
  <si>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</si>
  <si>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</si>
  <si>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</si>
  <si>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</si>
  <si>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</si>
  <si>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</si>
  <si>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</si>
  <si>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</si>
  <si>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</si>
  <si>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</si>
  <si>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</si>
  <si>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</si>
  <si>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</si>
  <si>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</si>
  <si>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</si>
  <si>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</si>
  <si>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</si>
  <si>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</si>
  <si>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</si>
  <si>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</si>
  <si>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</si>
  <si>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</si>
  <si>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</si>
  <si>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</si>
  <si>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</si>
  <si>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</si>
  <si>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</si>
  <si>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</si>
  <si>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</si>
  <si>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</si>
  <si>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</si>
  <si>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</si>
  <si>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</si>
  <si>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</si>
  <si>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</si>
  <si>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</si>
  <si>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</si>
  <si>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</si>
  <si>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</si>
  <si>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</si>
  <si>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</si>
  <si>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</si>
  <si>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</si>
  <si>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</si>
  <si>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</si>
  <si>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</si>
  <si>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</si>
  <si>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</si>
  <si>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</si>
  <si>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</si>
  <si>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</si>
  <si>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</si>
  <si>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</si>
  <si>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</si>
  <si>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</si>
  <si>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</si>
  <si>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</si>
  <si>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</si>
  <si>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</si>
  <si>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</si>
  <si>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</si>
  <si>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</si>
  <si>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</si>
  <si>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</si>
  <si>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</si>
  <si>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</si>
  <si>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</si>
  <si>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</si>
  <si>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</si>
  <si>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</si>
  <si>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</si>
  <si>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</si>
  <si>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</si>
  <si>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</si>
  <si>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</si>
  <si>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</si>
  <si>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</si>
  <si>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</si>
  <si>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</si>
  <si>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</si>
  <si>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</si>
  <si>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</si>
  <si>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</si>
  <si>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</si>
  <si>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</si>
  <si>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</si>
  <si>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</si>
  <si>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</si>
  <si>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</si>
  <si>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</si>
  <si>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</si>
  <si>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</si>
  <si>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</si>
  <si>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</si>
  <si>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</si>
  <si>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</si>
  <si>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</si>
  <si>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</si>
  <si>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</si>
  <si>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</si>
  <si>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</si>
  <si>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</si>
  <si>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</si>
  <si>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</si>
  <si>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</si>
  <si>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</si>
  <si>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</si>
  <si>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</si>
  <si>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</si>
  <si>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</si>
  <si>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</si>
  <si>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</si>
  <si>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</si>
  <si>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</si>
  <si>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</si>
  <si>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</si>
  <si>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</si>
  <si>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</si>
  <si>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</si>
  <si>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</si>
  <si>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</si>
  <si>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</si>
  <si>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</si>
  <si>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</si>
  <si>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</si>
  <si>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</si>
  <si>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</si>
  <si>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</si>
  <si>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</si>
  <si>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</si>
  <si>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</si>
  <si>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</si>
  <si>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</si>
  <si>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</si>
  <si>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</si>
  <si>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</si>
  <si>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</si>
  <si>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</si>
  <si>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</si>
  <si>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</si>
  <si>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</si>
  <si>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</si>
  <si>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</si>
  <si>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</si>
  <si>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</si>
  <si>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</si>
  <si>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Демонтаж маслобаку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</si>
  <si>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</si>
  <si>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</si>
  <si>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</si>
  <si>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</si>
  <si>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</si>
  <si>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</si>
  <si>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</si>
  <si>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</si>
  <si>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</si>
  <si>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</si>
  <si>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</si>
  <si>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</si>
  <si>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</si>
  <si>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</si>
  <si>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</si>
  <si>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</si>
  <si>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</si>
  <si>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</si>
  <si>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</si>
  <si>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</si>
  <si>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</si>
  <si>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</si>
  <si>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</si>
  <si>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</si>
  <si>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</si>
  <si>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</si>
  <si>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</si>
  <si>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</si>
  <si>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</si>
  <si>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</si>
  <si>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</si>
  <si>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</si>
  <si>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</si>
  <si>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</si>
  <si>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</si>
  <si>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</si>
  <si>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</si>
  <si>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</si>
  <si>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</si>
  <si>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</si>
  <si>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</si>
  <si>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</si>
  <si>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</si>
  <si>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</si>
  <si>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</si>
  <si>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</si>
  <si>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</si>
  <si>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</si>
  <si>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</si>
  <si>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</si>
  <si>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</si>
  <si>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</si>
  <si>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</si>
  <si>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</si>
  <si>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</si>
  <si>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</si>
  <si>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</si>
  <si>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</si>
  <si>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</si>
  <si>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</si>
  <si>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</si>
  <si>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</si>
  <si>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</si>
  <si>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</si>
  <si>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</si>
  <si>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</si>
  <si>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</si>
  <si>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</si>
  <si>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</si>
  <si>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</si>
  <si>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</si>
  <si>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</si>
  <si>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</si>
  <si>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</si>
  <si>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</si>
  <si>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</si>
  <si>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</si>
  <si>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</si>
  <si>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</si>
  <si>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</si>
  <si>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</si>
  <si>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</si>
  <si>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</si>
  <si>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</si>
  <si>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</si>
  <si>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</si>
  <si>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</si>
  <si>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</si>
  <si>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</si>
  <si>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</si>
  <si>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</si>
  <si>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</si>
  <si>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</si>
  <si>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</si>
  <si>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10 05 2024</t>
  </si>
  <si>
    <t>Демонтаж фундаменту бака олії №10</t>
  </si>
  <si>
    <t xml:space="preserve">№12.1 </t>
  </si>
  <si>
    <t>20 05 2024</t>
  </si>
  <si>
    <t>№35</t>
  </si>
  <si>
    <t>№15.3</t>
  </si>
  <si>
    <t>Демонтаж тимчасові дороги 15.2</t>
  </si>
  <si>
    <t>24 05 2024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</si>
  <si>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</si>
  <si>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</si>
  <si>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</si>
  <si>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</si>
  <si>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</si>
  <si>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</si>
  <si>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</si>
  <si>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</si>
  <si>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</si>
  <si>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</si>
  <si>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</si>
  <si>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>Вимощення Градирні</t>
  </si>
  <si>
    <t>№37</t>
  </si>
  <si>
    <t>№38</t>
  </si>
  <si>
    <t>№39</t>
  </si>
  <si>
    <t>№40</t>
  </si>
  <si>
    <t>№41</t>
  </si>
  <si>
    <t>Перевезення щебеня на 1 км</t>
  </si>
  <si>
    <t>№42</t>
  </si>
  <si>
    <t>21 06 2024</t>
  </si>
  <si>
    <t>№43</t>
  </si>
  <si>
    <t>24 06 2024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</si>
  <si>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</si>
  <si>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</si>
  <si>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</si>
  <si>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</si>
  <si>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</si>
  <si>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</si>
  <si>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</si>
  <si>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</si>
  <si>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</si>
  <si>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</si>
  <si>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так</t>
  </si>
  <si>
    <t xml:space="preserve">5 1 6  - </t>
  </si>
  <si>
    <t>5 1 7  -</t>
  </si>
  <si>
    <t>5 1 5  -</t>
  </si>
  <si>
    <t>не буде?,наші витрати, відпр в бум</t>
  </si>
  <si>
    <t>27 06 2024</t>
  </si>
  <si>
    <t>№44</t>
  </si>
  <si>
    <t>№45</t>
  </si>
  <si>
    <t>Аренда техніки від 14.05.2024</t>
  </si>
  <si>
    <t>Аренда техніки від 14.05.2025</t>
  </si>
  <si>
    <t>№46</t>
  </si>
  <si>
    <t>№47</t>
  </si>
  <si>
    <t>№48</t>
  </si>
  <si>
    <t>№49</t>
  </si>
  <si>
    <t>310-2023-10-КМ- Виносна площадка</t>
  </si>
  <si>
    <t>15 07 2024</t>
  </si>
  <si>
    <t>№50</t>
  </si>
  <si>
    <t>№51</t>
  </si>
  <si>
    <t>№52</t>
  </si>
  <si>
    <t>№53</t>
  </si>
  <si>
    <t>№54</t>
  </si>
  <si>
    <t>№55</t>
  </si>
  <si>
    <t>№56</t>
  </si>
  <si>
    <t>№57</t>
  </si>
  <si>
    <t>№58</t>
  </si>
  <si>
    <t>№59</t>
  </si>
  <si>
    <t>№60</t>
  </si>
  <si>
    <t>№61</t>
  </si>
  <si>
    <t>26 07 2024</t>
  </si>
  <si>
    <t>ні</t>
  </si>
  <si>
    <t>Не буде, Віканов попросив відразу вкл до АВР, закрит</t>
  </si>
  <si>
    <t>Демонтаж бетона для влаштування фундамента ФМ-1 опори транспортної галереї</t>
  </si>
  <si>
    <t>2 08 2024</t>
  </si>
  <si>
    <t>№62</t>
  </si>
  <si>
    <t>Вимощення на залізничних коліях</t>
  </si>
  <si>
    <t>№63</t>
  </si>
  <si>
    <t>Надання послуг спецтехніки</t>
  </si>
  <si>
    <t>№66</t>
  </si>
  <si>
    <t>03 08 2024</t>
  </si>
  <si>
    <t>09 08 2024</t>
  </si>
  <si>
    <t>Норія</t>
  </si>
  <si>
    <t>12 08 2024</t>
  </si>
  <si>
    <t>№67</t>
  </si>
  <si>
    <t>№69</t>
  </si>
  <si>
    <t>№68</t>
  </si>
  <si>
    <t>№70</t>
  </si>
  <si>
    <t>№71</t>
  </si>
  <si>
    <t>№72</t>
  </si>
  <si>
    <t>№64</t>
  </si>
  <si>
    <t>№65</t>
  </si>
  <si>
    <t>Демонтаж бордюрів (благоустрій)</t>
  </si>
  <si>
    <t>№73</t>
  </si>
  <si>
    <t>Виготовлення олієуловлювача</t>
  </si>
  <si>
    <t>20 08 2024</t>
  </si>
  <si>
    <t>Покриття норійного приямку, дод. роботи</t>
  </si>
  <si>
    <t>Щитова цеху експандування (операторська)</t>
  </si>
  <si>
    <t>26 08 2024</t>
  </si>
  <si>
    <t>КБ Трансформаторної підстанції</t>
  </si>
  <si>
    <t>Фундаменти під КТП, земляні роб.</t>
  </si>
  <si>
    <t>№74</t>
  </si>
  <si>
    <t>№75</t>
  </si>
  <si>
    <t>№76</t>
  </si>
  <si>
    <t>№77</t>
  </si>
  <si>
    <t>№78</t>
  </si>
  <si>
    <t xml:space="preserve">так </t>
  </si>
  <si>
    <t>№79</t>
  </si>
  <si>
    <t>№80</t>
  </si>
  <si>
    <t>№81</t>
  </si>
  <si>
    <t xml:space="preserve">Монтаж олієуловлювача </t>
  </si>
  <si>
    <t>03 09 2024</t>
  </si>
  <si>
    <t>Ремонт дорожнього покриття</t>
  </si>
  <si>
    <t>№82</t>
  </si>
  <si>
    <t>№83</t>
  </si>
  <si>
    <t>у Діми</t>
  </si>
  <si>
    <t>№84</t>
  </si>
  <si>
    <t>№85</t>
  </si>
  <si>
    <t>Додаткові роботи ділянка експандування</t>
  </si>
  <si>
    <t>13 09 2024</t>
  </si>
  <si>
    <t>13 08 2024</t>
  </si>
  <si>
    <t>№86</t>
  </si>
  <si>
    <t>16 09 2024</t>
  </si>
  <si>
    <t>Пандус автовигрузки</t>
  </si>
  <si>
    <t>№87</t>
  </si>
  <si>
    <t>17 09 2024</t>
  </si>
  <si>
    <t>Демонтаж олієпроводу</t>
  </si>
  <si>
    <t xml:space="preserve">Фарбування ділянки експандування </t>
  </si>
  <si>
    <t>Олієпровід</t>
  </si>
  <si>
    <t>№89</t>
  </si>
  <si>
    <t>№88</t>
  </si>
  <si>
    <t>Монтаж тельфера</t>
  </si>
  <si>
    <t>19 09 2024</t>
  </si>
  <si>
    <t>20 09 2024</t>
  </si>
  <si>
    <t>№90</t>
  </si>
  <si>
    <t>№91</t>
  </si>
  <si>
    <t>СОРТИРОВКА по актам</t>
  </si>
  <si>
    <t xml:space="preserve"> 63-24-АБ</t>
  </si>
  <si>
    <t>№92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</si>
</sst>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4"/>
      <color rgb="FFFF3399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859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43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43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43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43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43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43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43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43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43" fontId="9" fillId="0" borderId="0" xfId="10" applyFont="1" applyFill="1" applyBorder="1" applyAlignment="1">
      <alignment horizontal="center" vertical="center"/>
    </xf>
    <xf numFmtId="43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43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5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43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43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5" fontId="37" fillId="10" borderId="2" xfId="20" applyNumberFormat="1" applyFont="1" applyFill="1" applyBorder="1" applyAlignment="1">
      <alignment horizontal="left" vertical="center"/>
    </xf>
    <xf numFmtId="165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5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43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5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43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43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43" fontId="37" fillId="0" borderId="0" xfId="20" applyNumberFormat="1" applyFont="1" applyAlignment="1">
      <alignment horizontal="center" vertical="center"/>
    </xf>
    <xf numFmtId="43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5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5" fontId="37" fillId="0" borderId="2" xfId="20" applyNumberFormat="1" applyFont="1" applyBorder="1" applyAlignment="1">
      <alignment horizontal="left" vertical="center"/>
    </xf>
    <xf numFmtId="165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5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5" fontId="37" fillId="0" borderId="1" xfId="20" applyNumberFormat="1" applyFont="1" applyBorder="1" applyAlignment="1">
      <alignment horizontal="left" vertical="center"/>
    </xf>
    <xf numFmtId="43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43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5" fontId="38" fillId="0" borderId="0" xfId="21" applyNumberFormat="1" applyFont="1" applyFill="1" applyBorder="1" applyAlignment="1">
      <alignment vertical="center"/>
    </xf>
    <xf numFmtId="165" fontId="37" fillId="10" borderId="1" xfId="20" applyNumberFormat="1" applyFont="1" applyFill="1" applyBorder="1" applyAlignment="1">
      <alignment horizontal="left" vertical="center"/>
    </xf>
    <xf numFmtId="165" fontId="37" fillId="0" borderId="12" xfId="20" applyNumberFormat="1" applyFont="1" applyBorder="1" applyAlignment="1">
      <alignment horizontal="center" vertical="center"/>
    </xf>
    <xf numFmtId="165" fontId="37" fillId="0" borderId="56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5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5" fontId="38" fillId="0" borderId="47" xfId="20" applyNumberFormat="1" applyFont="1" applyBorder="1" applyAlignment="1">
      <alignment horizontal="center" vertical="center"/>
    </xf>
    <xf numFmtId="165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65" fontId="43" fillId="0" borderId="12" xfId="20" applyNumberFormat="1" applyFont="1" applyBorder="1" applyAlignment="1">
      <alignment horizontal="center" vertical="center"/>
    </xf>
    <xf numFmtId="165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5" fontId="37" fillId="0" borderId="0" xfId="20" applyNumberFormat="1" applyFont="1" applyAlignment="1">
      <alignment horizontal="center" vertical="center"/>
    </xf>
    <xf numFmtId="165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43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43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5" fontId="38" fillId="10" borderId="64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5" fontId="38" fillId="10" borderId="29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5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left" vertical="center"/>
    </xf>
    <xf numFmtId="165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5" fontId="37" fillId="10" borderId="39" xfId="20" applyNumberFormat="1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left" vertical="center"/>
    </xf>
    <xf numFmtId="165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5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5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5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5" fontId="44" fillId="0" borderId="41" xfId="20" applyNumberFormat="1" applyFont="1" applyBorder="1" applyAlignment="1">
      <alignment horizontal="center" vertical="center"/>
    </xf>
    <xf numFmtId="165" fontId="44" fillId="0" borderId="32" xfId="20" applyNumberFormat="1" applyFont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5" fontId="37" fillId="0" borderId="58" xfId="20" applyNumberFormat="1" applyFont="1" applyBorder="1" applyAlignment="1">
      <alignment horizontal="center" vertical="center"/>
    </xf>
    <xf numFmtId="165" fontId="37" fillId="0" borderId="41" xfId="20" applyNumberFormat="1" applyFont="1" applyBorder="1" applyAlignment="1">
      <alignment horizontal="center" vertical="center"/>
    </xf>
    <xf numFmtId="165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5" fontId="37" fillId="0" borderId="34" xfId="20" applyNumberFormat="1" applyFont="1" applyBorder="1" applyAlignment="1">
      <alignment horizontal="left" vertical="center"/>
    </xf>
    <xf numFmtId="165" fontId="37" fillId="0" borderId="35" xfId="20" applyNumberFormat="1" applyFont="1" applyBorder="1" applyAlignment="1">
      <alignment horizontal="center" vertical="center"/>
    </xf>
    <xf numFmtId="165" fontId="37" fillId="0" borderId="37" xfId="20" applyNumberFormat="1" applyFont="1" applyBorder="1" applyAlignment="1">
      <alignment horizontal="center" vertical="center"/>
    </xf>
    <xf numFmtId="165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5" fontId="39" fillId="4" borderId="15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left" vertical="center"/>
    </xf>
    <xf numFmtId="165" fontId="37" fillId="4" borderId="15" xfId="20" applyNumberFormat="1" applyFont="1" applyFill="1" applyBorder="1" applyAlignment="1">
      <alignment horizontal="center" vertical="center"/>
    </xf>
    <xf numFmtId="165" fontId="37" fillId="0" borderId="26" xfId="20" applyNumberFormat="1" applyFont="1" applyBorder="1" applyAlignment="1">
      <alignment horizontal="left" vertical="center"/>
    </xf>
    <xf numFmtId="165" fontId="42" fillId="0" borderId="26" xfId="20" applyNumberFormat="1" applyFont="1" applyBorder="1" applyAlignment="1">
      <alignment horizontal="center" vertical="center"/>
    </xf>
    <xf numFmtId="165" fontId="43" fillId="0" borderId="26" xfId="20" applyNumberFormat="1" applyFont="1" applyBorder="1" applyAlignment="1">
      <alignment horizontal="center" vertical="center"/>
    </xf>
    <xf numFmtId="165" fontId="43" fillId="0" borderId="34" xfId="20" applyNumberFormat="1" applyFont="1" applyBorder="1" applyAlignment="1">
      <alignment horizontal="center" vertical="center"/>
    </xf>
    <xf numFmtId="165" fontId="43" fillId="0" borderId="35" xfId="20" applyNumberFormat="1" applyFont="1" applyBorder="1" applyAlignment="1">
      <alignment horizontal="center" vertical="center"/>
    </xf>
    <xf numFmtId="165" fontId="44" fillId="0" borderId="37" xfId="20" applyNumberFormat="1" applyFont="1" applyBorder="1" applyAlignment="1">
      <alignment horizontal="center" vertical="center"/>
    </xf>
    <xf numFmtId="165" fontId="44" fillId="0" borderId="43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37" fillId="10" borderId="38" xfId="20" applyNumberFormat="1" applyFont="1" applyFill="1" applyBorder="1" applyAlignment="1">
      <alignment horizontal="left" vertical="center"/>
    </xf>
    <xf numFmtId="165" fontId="37" fillId="10" borderId="26" xfId="20" applyNumberFormat="1" applyFont="1" applyFill="1" applyBorder="1" applyAlignment="1">
      <alignment horizontal="left" vertical="center"/>
    </xf>
    <xf numFmtId="165" fontId="37" fillId="0" borderId="66" xfId="20" applyNumberFormat="1" applyFont="1" applyBorder="1" applyAlignment="1">
      <alignment horizontal="center" vertical="center"/>
    </xf>
    <xf numFmtId="165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5" fontId="38" fillId="0" borderId="29" xfId="20" applyNumberFormat="1" applyFont="1" applyBorder="1" applyAlignment="1">
      <alignment horizontal="center" vertical="center"/>
    </xf>
    <xf numFmtId="165" fontId="38" fillId="0" borderId="62" xfId="20" applyNumberFormat="1" applyFont="1" applyBorder="1" applyAlignment="1">
      <alignment horizontal="center" vertical="center"/>
    </xf>
    <xf numFmtId="165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5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5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5" fontId="37" fillId="10" borderId="34" xfId="20" applyNumberFormat="1" applyFont="1" applyFill="1" applyBorder="1" applyAlignment="1">
      <alignment horizontal="center" vertical="center"/>
    </xf>
    <xf numFmtId="165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5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5" fontId="43" fillId="10" borderId="22" xfId="20" applyNumberFormat="1" applyFont="1" applyFill="1" applyBorder="1" applyAlignment="1">
      <alignment horizontal="center" vertical="center"/>
    </xf>
    <xf numFmtId="165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5" fontId="38" fillId="0" borderId="19" xfId="20" applyNumberFormat="1" applyFont="1" applyBorder="1" applyAlignment="1">
      <alignment horizontal="left" vertical="center"/>
    </xf>
    <xf numFmtId="165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5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5" fontId="44" fillId="0" borderId="14" xfId="20" applyNumberFormat="1" applyFont="1" applyBorder="1" applyAlignment="1">
      <alignment horizontal="center" vertical="center"/>
    </xf>
    <xf numFmtId="165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center" vertical="center"/>
    </xf>
    <xf numFmtId="165" fontId="38" fillId="4" borderId="4" xfId="20" applyNumberFormat="1" applyFont="1" applyFill="1" applyBorder="1" applyAlignment="1">
      <alignment horizontal="left" vertical="center"/>
    </xf>
    <xf numFmtId="165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5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5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3" fillId="0" borderId="14" xfId="20" applyNumberFormat="1" applyFont="1" applyBorder="1" applyAlignment="1">
      <alignment horizontal="center" vertical="center"/>
    </xf>
    <xf numFmtId="165" fontId="43" fillId="0" borderId="2" xfId="20" applyNumberFormat="1" applyFont="1" applyBorder="1" applyAlignment="1">
      <alignment horizontal="center" vertical="center"/>
    </xf>
    <xf numFmtId="164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5" fontId="37" fillId="10" borderId="6" xfId="20" applyNumberFormat="1" applyFont="1" applyFill="1" applyBorder="1" applyAlignment="1">
      <alignment horizontal="center" vertical="center"/>
    </xf>
    <xf numFmtId="165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43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5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5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42" fillId="0" borderId="0" xfId="20" applyFont="1" applyBorder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42" fillId="2" borderId="0" xfId="20" applyFont="1" applyFill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164" fontId="37" fillId="2" borderId="0" xfId="20" applyNumberFormat="1" applyFont="1" applyFill="1" applyBorder="1" applyAlignment="1">
      <alignment horizontal="center" vertical="center"/>
    </xf>
    <xf numFmtId="165" fontId="40" fillId="2" borderId="0" xfId="20" applyNumberFormat="1" applyFont="1" applyFill="1" applyBorder="1" applyAlignment="1">
      <alignment horizontal="center" vertical="center"/>
    </xf>
    <xf numFmtId="165" fontId="39" fillId="2" borderId="0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1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center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6" xfId="20" applyNumberFormat="1" applyFont="1" applyFill="1" applyBorder="1" applyAlignment="1">
      <alignment vertical="center"/>
    </xf>
    <xf numFmtId="165" fontId="49" fillId="10" borderId="20" xfId="20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 wrapText="1"/>
    </xf>
    <xf numFmtId="165" fontId="49" fillId="10" borderId="2" xfId="20" applyNumberFormat="1" applyFont="1" applyFill="1" applyBorder="1" applyAlignment="1">
      <alignment vertical="center" wrapText="1"/>
    </xf>
    <xf numFmtId="165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 wrapText="1"/>
    </xf>
    <xf numFmtId="165" fontId="48" fillId="10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5" fontId="49" fillId="12" borderId="2" xfId="20" applyNumberFormat="1" applyFont="1" applyFill="1" applyBorder="1" applyAlignment="1">
      <alignment horizontal="center" vertical="center"/>
    </xf>
    <xf numFmtId="175" fontId="49" fillId="12" borderId="2" xfId="20" applyNumberFormat="1" applyFont="1" applyFill="1" applyBorder="1" applyAlignment="1">
      <alignment horizontal="center" vertical="center"/>
    </xf>
    <xf numFmtId="165" fontId="48" fillId="12" borderId="2" xfId="20" applyNumberFormat="1" applyFont="1" applyFill="1" applyBorder="1" applyAlignment="1">
      <alignment horizontal="center" vertical="center"/>
    </xf>
    <xf numFmtId="165" fontId="49" fillId="12" borderId="2" xfId="20" applyNumberFormat="1" applyFont="1" applyFill="1" applyBorder="1" applyAlignment="1">
      <alignment vertical="center"/>
    </xf>
    <xf numFmtId="165" fontId="48" fillId="12" borderId="2" xfId="20" applyNumberFormat="1" applyFont="1" applyFill="1" applyBorder="1" applyAlignment="1">
      <alignment vertical="center"/>
    </xf>
    <xf numFmtId="165" fontId="49" fillId="12" borderId="2" xfId="20" applyNumberFormat="1" applyFont="1" applyFill="1" applyBorder="1" applyAlignment="1">
      <alignment horizontal="center" vertical="center" wrapText="1"/>
    </xf>
    <xf numFmtId="165" fontId="48" fillId="12" borderId="6" xfId="20" applyNumberFormat="1" applyFont="1" applyFill="1" applyBorder="1" applyAlignment="1">
      <alignment horizontal="center" vertical="center"/>
    </xf>
    <xf numFmtId="165" fontId="49" fillId="12" borderId="6" xfId="20" applyNumberFormat="1" applyFont="1" applyFill="1" applyBorder="1" applyAlignment="1">
      <alignment horizontal="center" vertical="center"/>
    </xf>
    <xf numFmtId="0" fontId="49" fillId="12" borderId="6" xfId="20" applyNumberFormat="1" applyFont="1" applyFill="1" applyBorder="1" applyAlignment="1">
      <alignment horizontal="center" vertical="center" wrapText="1"/>
    </xf>
    <xf numFmtId="0" fontId="49" fillId="12" borderId="6" xfId="20" applyFont="1" applyFill="1" applyBorder="1" applyAlignment="1">
      <alignment horizontal="center" vertical="center"/>
    </xf>
    <xf numFmtId="0" fontId="49" fillId="12" borderId="6" xfId="20" applyFont="1" applyFill="1" applyBorder="1" applyAlignment="1">
      <alignment horizontal="left" vertical="center" wrapText="1"/>
    </xf>
    <xf numFmtId="0" fontId="49" fillId="12" borderId="2" xfId="20" applyNumberFormat="1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2" borderId="2" xfId="20" applyNumberFormat="1" applyFont="1" applyFill="1" applyBorder="1" applyAlignment="1">
      <alignment horizontal="center" vertical="center" wrapText="1"/>
    </xf>
    <xf numFmtId="1" fontId="49" fillId="12" borderId="2" xfId="20" applyNumberFormat="1" applyFont="1" applyFill="1" applyBorder="1" applyAlignment="1">
      <alignment horizontal="center" vertical="center"/>
    </xf>
    <xf numFmtId="1" fontId="49" fillId="12" borderId="2" xfId="20" applyNumberFormat="1" applyFont="1" applyFill="1" applyBorder="1" applyAlignment="1">
      <alignment horizontal="center" vertical="center" wrapText="1"/>
    </xf>
    <xf numFmtId="165" fontId="48" fillId="12" borderId="2" xfId="20" applyNumberFormat="1" applyFont="1" applyFill="1" applyBorder="1" applyAlignment="1">
      <alignment horizontal="center" vertical="center" wrapText="1"/>
    </xf>
    <xf numFmtId="165" fontId="48" fillId="12" borderId="2" xfId="20" applyNumberFormat="1" applyFont="1" applyFill="1" applyBorder="1" applyAlignment="1">
      <alignment vertical="center" wrapText="1"/>
    </xf>
    <xf numFmtId="165" fontId="49" fillId="12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51" fillId="10" borderId="2" xfId="20" applyNumberFormat="1" applyFont="1" applyFill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horizontal="left" vertical="center" wrapText="1"/>
    </xf>
    <xf numFmtId="165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vertical="center"/>
    </xf>
    <xf numFmtId="0" fontId="49" fillId="10" borderId="2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5" fontId="49" fillId="12" borderId="19" xfId="20" applyNumberFormat="1" applyFont="1" applyFill="1" applyBorder="1" applyAlignment="1">
      <alignment horizontal="center" vertical="center"/>
    </xf>
    <xf numFmtId="176" fontId="49" fillId="12" borderId="2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 wrapText="1"/>
    </xf>
    <xf numFmtId="176" fontId="49" fillId="10" borderId="2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 wrapText="1"/>
    </xf>
    <xf numFmtId="175" fontId="49" fillId="12" borderId="19" xfId="20" applyNumberFormat="1" applyFont="1" applyFill="1" applyBorder="1" applyAlignment="1">
      <alignment horizontal="center" vertical="center"/>
    </xf>
    <xf numFmtId="165" fontId="48" fillId="12" borderId="19" xfId="20" applyNumberFormat="1" applyFont="1" applyFill="1" applyBorder="1" applyAlignment="1">
      <alignment horizontal="center" vertical="center"/>
    </xf>
    <xf numFmtId="165" fontId="49" fillId="12" borderId="19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2" borderId="19" xfId="20" applyFont="1" applyFill="1" applyBorder="1" applyAlignment="1">
      <alignment horizontal="center" vertical="center"/>
    </xf>
    <xf numFmtId="0" fontId="49" fillId="12" borderId="19" xfId="20" applyFont="1" applyFill="1" applyBorder="1" applyAlignment="1">
      <alignment horizontal="left" vertical="center" wrapText="1"/>
    </xf>
    <xf numFmtId="165" fontId="49" fillId="12" borderId="19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center" vertical="center"/>
    </xf>
    <xf numFmtId="1" fontId="49" fillId="12" borderId="19" xfId="20" applyNumberFormat="1" applyFont="1" applyFill="1" applyBorder="1" applyAlignment="1">
      <alignment horizontal="center" vertical="center"/>
    </xf>
    <xf numFmtId="176" fontId="49" fillId="12" borderId="19" xfId="20" applyNumberFormat="1" applyFont="1" applyFill="1" applyBorder="1" applyAlignment="1">
      <alignment horizontal="center" vertical="center"/>
    </xf>
    <xf numFmtId="165" fontId="49" fillId="12" borderId="20" xfId="20" applyNumberFormat="1" applyFont="1" applyFill="1" applyBorder="1" applyAlignment="1">
      <alignment horizontal="center" vertical="center"/>
    </xf>
    <xf numFmtId="43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0" fontId="49" fillId="10" borderId="2" xfId="20" applyNumberFormat="1" applyFont="1" applyFill="1" applyBorder="1" applyAlignment="1">
      <alignment vertical="center" wrapText="1"/>
    </xf>
    <xf numFmtId="0" fontId="52" fillId="10" borderId="2" xfId="20" applyNumberFormat="1" applyFont="1" applyFill="1" applyBorder="1" applyAlignment="1">
      <alignment horizontal="center" vertical="center" wrapText="1"/>
    </xf>
    <xf numFmtId="165" fontId="53" fillId="10" borderId="2" xfId="20" applyNumberFormat="1" applyFont="1" applyFill="1" applyBorder="1" applyAlignment="1">
      <alignment horizontal="center" vertical="center"/>
    </xf>
    <xf numFmtId="0" fontId="54" fillId="0" borderId="0" xfId="20" applyFont="1" applyBorder="1" applyAlignment="1">
      <alignment horizontal="center" vertical="center"/>
    </xf>
    <xf numFmtId="165" fontId="52" fillId="10" borderId="2" xfId="20" applyNumberFormat="1" applyFont="1" applyFill="1" applyBorder="1" applyAlignment="1">
      <alignment vertical="center"/>
    </xf>
    <xf numFmtId="165" fontId="52" fillId="10" borderId="2" xfId="20" applyNumberFormat="1" applyFont="1" applyFill="1" applyBorder="1" applyAlignment="1">
      <alignment horizontal="center" vertical="center" wrapText="1"/>
    </xf>
    <xf numFmtId="1" fontId="55" fillId="10" borderId="2" xfId="20" applyNumberFormat="1" applyFont="1" applyFill="1" applyBorder="1" applyAlignment="1">
      <alignment horizontal="center" vertical="center"/>
    </xf>
    <xf numFmtId="175" fontId="49" fillId="10" borderId="2" xfId="20" applyNumberFormat="1" applyFont="1" applyFill="1" applyBorder="1" applyAlignment="1">
      <alignment vertical="center" wrapText="1"/>
    </xf>
    <xf numFmtId="165" fontId="49" fillId="10" borderId="2" xfId="20" applyNumberFormat="1" applyFont="1" applyFill="1" applyBorder="1" applyAlignment="1">
      <alignment horizontal="left" vertical="center"/>
    </xf>
    <xf numFmtId="0" fontId="49" fillId="10" borderId="6" xfId="20" applyFont="1" applyFill="1" applyBorder="1" applyAlignment="1">
      <alignment horizontal="left" vertical="center" wrapText="1"/>
    </xf>
    <xf numFmtId="165" fontId="49" fillId="10" borderId="6" xfId="20" applyNumberFormat="1" applyFont="1" applyFill="1" applyBorder="1" applyAlignment="1">
      <alignment horizontal="center" vertical="center"/>
    </xf>
    <xf numFmtId="0" fontId="49" fillId="10" borderId="6" xfId="20" applyFont="1" applyFill="1" applyBorder="1" applyAlignment="1">
      <alignment vertical="center" wrapText="1"/>
    </xf>
    <xf numFmtId="0" fontId="49" fillId="10" borderId="20" xfId="20" applyFont="1" applyFill="1" applyBorder="1" applyAlignment="1">
      <alignment vertical="center" wrapText="1"/>
    </xf>
    <xf numFmtId="0" fontId="49" fillId="10" borderId="19" xfId="20" applyFont="1" applyFill="1" applyBorder="1" applyAlignment="1">
      <alignment vertical="center" wrapText="1"/>
    </xf>
    <xf numFmtId="165" fontId="49" fillId="10" borderId="19" xfId="20" applyNumberFormat="1" applyFont="1" applyFill="1" applyBorder="1" applyAlignment="1">
      <alignment vertical="center"/>
    </xf>
    <xf numFmtId="0" fontId="52" fillId="10" borderId="6" xfId="20" applyFont="1" applyFill="1" applyBorder="1" applyAlignment="1">
      <alignment vertical="center" wrapText="1"/>
    </xf>
    <xf numFmtId="0" fontId="52" fillId="10" borderId="20" xfId="20" applyFont="1" applyFill="1" applyBorder="1" applyAlignment="1">
      <alignment vertical="center" wrapText="1"/>
    </xf>
    <xf numFmtId="165" fontId="52" fillId="10" borderId="20" xfId="20" applyNumberFormat="1" applyFont="1" applyFill="1" applyBorder="1" applyAlignment="1">
      <alignment vertical="center"/>
    </xf>
    <xf numFmtId="164" fontId="37" fillId="0" borderId="0" xfId="20" applyNumberFormat="1" applyFont="1" applyBorder="1" applyAlignment="1">
      <alignment horizontal="center" vertical="center"/>
    </xf>
    <xf numFmtId="0" fontId="49" fillId="10" borderId="6" xfId="20" applyFont="1" applyFill="1" applyBorder="1" applyAlignment="1">
      <alignment vertical="center"/>
    </xf>
    <xf numFmtId="0" fontId="49" fillId="10" borderId="20" xfId="20" applyFont="1" applyFill="1" applyBorder="1" applyAlignment="1">
      <alignment vertical="center"/>
    </xf>
    <xf numFmtId="0" fontId="49" fillId="10" borderId="19" xfId="20" applyFont="1" applyFill="1" applyBorder="1" applyAlignment="1">
      <alignment vertical="center"/>
    </xf>
    <xf numFmtId="0" fontId="52" fillId="10" borderId="20" xfId="20" applyFont="1" applyFill="1" applyBorder="1" applyAlignment="1">
      <alignment vertical="center"/>
    </xf>
    <xf numFmtId="0" fontId="52" fillId="10" borderId="19" xfId="20" applyFont="1" applyFill="1" applyBorder="1" applyAlignment="1">
      <alignment vertical="center"/>
    </xf>
    <xf numFmtId="165" fontId="52" fillId="10" borderId="2" xfId="20" applyNumberFormat="1" applyFont="1" applyFill="1" applyBorder="1" applyAlignment="1">
      <alignment horizontal="center" vertical="center"/>
    </xf>
    <xf numFmtId="176" fontId="52" fillId="10" borderId="2" xfId="20" applyNumberFormat="1" applyFont="1" applyFill="1" applyBorder="1" applyAlignment="1">
      <alignment horizontal="center" vertical="center"/>
    </xf>
    <xf numFmtId="167" fontId="48" fillId="0" borderId="2" xfId="21" applyNumberFormat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43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43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43" fontId="25" fillId="4" borderId="27" xfId="10" applyFont="1" applyFill="1" applyBorder="1" applyAlignment="1">
      <alignment horizontal="center" vertical="center" wrapText="1"/>
    </xf>
    <xf numFmtId="43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43" fontId="48" fillId="4" borderId="24" xfId="21" applyFont="1" applyFill="1" applyBorder="1" applyAlignment="1">
      <alignment horizontal="center" vertical="center" wrapText="1"/>
    </xf>
    <xf numFmtId="43" fontId="48" fillId="4" borderId="36" xfId="21" applyFont="1" applyFill="1" applyBorder="1" applyAlignment="1">
      <alignment horizontal="center" vertical="center" wrapText="1"/>
    </xf>
    <xf numFmtId="43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43" fontId="48" fillId="4" borderId="26" xfId="21" applyFont="1" applyFill="1" applyBorder="1" applyAlignment="1">
      <alignment horizontal="center" vertical="center" wrapText="1"/>
    </xf>
    <xf numFmtId="43" fontId="48" fillId="4" borderId="28" xfId="21" applyFont="1" applyFill="1" applyBorder="1" applyAlignment="1">
      <alignment horizontal="center" vertical="center" wrapText="1"/>
    </xf>
    <xf numFmtId="43" fontId="48" fillId="4" borderId="6" xfId="21" applyFont="1" applyFill="1" applyBorder="1" applyAlignment="1">
      <alignment horizontal="center" vertical="center" wrapText="1"/>
    </xf>
    <xf numFmtId="43" fontId="48" fillId="4" borderId="4" xfId="21" applyFont="1" applyFill="1" applyBorder="1" applyAlignment="1">
      <alignment horizontal="center" vertical="center" wrapText="1"/>
    </xf>
    <xf numFmtId="43" fontId="48" fillId="4" borderId="29" xfId="21" applyFont="1" applyFill="1" applyBorder="1" applyAlignment="1">
      <alignment horizontal="center" vertical="center" wrapText="1"/>
    </xf>
    <xf numFmtId="43" fontId="48" fillId="4" borderId="62" xfId="21" applyFont="1" applyFill="1" applyBorder="1" applyAlignment="1">
      <alignment horizontal="center" vertical="center" wrapText="1"/>
    </xf>
    <xf numFmtId="43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43" fontId="48" fillId="4" borderId="40" xfId="21" applyFont="1" applyFill="1" applyBorder="1" applyAlignment="1">
      <alignment horizontal="center" vertical="center" wrapText="1"/>
    </xf>
    <xf numFmtId="43" fontId="48" fillId="4" borderId="66" xfId="21" applyFont="1" applyFill="1" applyBorder="1" applyAlignment="1">
      <alignment horizontal="center" vertical="center" wrapText="1"/>
    </xf>
    <xf numFmtId="43" fontId="48" fillId="4" borderId="67" xfId="21" applyFont="1" applyFill="1" applyBorder="1" applyAlignment="1">
      <alignment horizontal="center" vertical="center" wrapText="1"/>
    </xf>
    <xf numFmtId="43" fontId="48" fillId="4" borderId="14" xfId="21" applyFont="1" applyFill="1" applyBorder="1" applyAlignment="1">
      <alignment horizontal="center" vertical="center" wrapText="1"/>
    </xf>
    <xf numFmtId="43" fontId="48" fillId="4" borderId="16" xfId="21" applyFont="1" applyFill="1" applyBorder="1" applyAlignment="1">
      <alignment horizontal="center" vertical="center" wrapText="1"/>
    </xf>
    <xf numFmtId="43" fontId="48" fillId="4" borderId="10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43" fontId="38" fillId="2" borderId="12" xfId="21" applyFont="1" applyFill="1" applyBorder="1" applyAlignment="1">
      <alignment horizontal="center" vertical="center" wrapText="1"/>
    </xf>
    <xf numFmtId="43" fontId="38" fillId="2" borderId="11" xfId="21" applyFont="1" applyFill="1" applyBorder="1" applyAlignment="1">
      <alignment horizontal="center" vertical="center" wrapText="1"/>
    </xf>
    <xf numFmtId="43" fontId="38" fillId="2" borderId="14" xfId="21" applyFont="1" applyFill="1" applyBorder="1" applyAlignment="1">
      <alignment horizontal="center" vertical="center" wrapText="1"/>
    </xf>
    <xf numFmtId="43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43" fontId="38" fillId="2" borderId="1" xfId="21" applyFont="1" applyFill="1" applyBorder="1" applyAlignment="1">
      <alignment horizontal="center" vertical="center" wrapText="1"/>
    </xf>
    <xf numFmtId="43" fontId="38" fillId="2" borderId="63" xfId="21" applyFont="1" applyFill="1" applyBorder="1" applyAlignment="1">
      <alignment horizontal="center" vertical="center" wrapText="1"/>
    </xf>
    <xf numFmtId="43" fontId="38" fillId="2" borderId="3" xfId="21" applyFont="1" applyFill="1" applyBorder="1" applyAlignment="1">
      <alignment horizontal="center" vertical="center" wrapText="1"/>
    </xf>
    <xf numFmtId="43" fontId="38" fillId="2" borderId="17" xfId="21" applyFont="1" applyFill="1" applyBorder="1" applyAlignment="1">
      <alignment horizontal="center" vertical="center" wrapText="1"/>
    </xf>
    <xf numFmtId="43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39" fillId="10" borderId="25" xfId="20" applyNumberFormat="1" applyFont="1" applyFill="1" applyBorder="1" applyAlignment="1">
      <alignment horizontal="center" vertical="center"/>
    </xf>
    <xf numFmtId="165" fontId="39" fillId="10" borderId="20" xfId="20" applyNumberFormat="1" applyFont="1" applyFill="1" applyBorder="1" applyAlignment="1">
      <alignment horizontal="center" vertical="center"/>
    </xf>
    <xf numFmtId="165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5" fontId="39" fillId="10" borderId="25" xfId="20" applyNumberFormat="1" applyFont="1" applyFill="1" applyBorder="1" applyAlignment="1">
      <alignment horizontal="left" vertical="center"/>
    </xf>
    <xf numFmtId="165" fontId="39" fillId="10" borderId="20" xfId="20" applyNumberFormat="1" applyFont="1" applyFill="1" applyBorder="1" applyAlignment="1">
      <alignment horizontal="left" vertical="center"/>
    </xf>
    <xf numFmtId="165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5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5" fontId="39" fillId="0" borderId="20" xfId="20" applyNumberFormat="1" applyFont="1" applyBorder="1" applyAlignment="1">
      <alignment horizontal="center" vertical="center"/>
    </xf>
    <xf numFmtId="165" fontId="39" fillId="0" borderId="4" xfId="20" applyNumberFormat="1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  <xf numFmtId="0" fontId="49" fillId="10" borderId="19" xfId="20" applyFont="1" applyFill="1" applyBorder="1" applyAlignment="1">
      <alignment horizontal="center" vertical="center"/>
    </xf>
    <xf numFmtId="0" fontId="49" fillId="12" borderId="20" xfId="20" applyFont="1" applyFill="1" applyBorder="1" applyAlignment="1">
      <alignment horizontal="center" vertical="center"/>
    </xf>
    <xf numFmtId="0" fontId="52" fillId="10" borderId="2" xfId="20" applyFont="1" applyFill="1" applyBorder="1" applyAlignment="1">
      <alignment vertical="center"/>
    </xf>
    <xf numFmtId="0" fontId="49" fillId="10" borderId="20" xfId="20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0" fontId="49" fillId="12" borderId="20" xfId="20" applyFont="1" applyFill="1" applyBorder="1" applyAlignment="1">
      <alignment horizontal="left" vertical="center" wrapText="1"/>
    </xf>
    <xf numFmtId="0" fontId="49" fillId="10" borderId="20" xfId="20" applyFont="1" applyFill="1" applyBorder="1" applyAlignment="1">
      <alignment horizontal="left" vertical="center" wrapText="1"/>
    </xf>
    <xf numFmtId="165" fontId="49" fillId="10" borderId="19" xfId="20" applyNumberFormat="1" applyFont="1" applyFill="1" applyBorder="1" applyAlignment="1">
      <alignment horizontal="center" vertical="center"/>
    </xf>
    <xf numFmtId="165" fontId="49" fillId="10" borderId="20" xfId="20" applyNumberFormat="1" applyFont="1" applyFill="1" applyBorder="1" applyAlignment="1">
      <alignment horizontal="center" vertical="center"/>
    </xf>
    <xf numFmtId="165" fontId="49" fillId="12" borderId="20" xfId="20" applyNumberFormat="1" applyFont="1" applyFill="1" applyBorder="1" applyAlignment="1">
      <alignment vertical="center"/>
    </xf>
    <xf numFmtId="165" fontId="48" fillId="10" borderId="6" xfId="20" applyNumberFormat="1" applyFont="1" applyFill="1" applyBorder="1" applyAlignment="1">
      <alignment horizontal="center" vertical="center"/>
    </xf>
    <xf numFmtId="165" fontId="49" fillId="10" borderId="0" xfId="20" applyNumberFormat="1" applyFont="1" applyFill="1" applyBorder="1" applyAlignment="1">
      <alignment vertical="center"/>
    </xf>
    <xf numFmtId="165" fontId="49" fillId="10" borderId="6" xfId="20" applyNumberFormat="1" applyFont="1" applyFill="1" applyBorder="1" applyAlignment="1">
      <alignment horizontal="center" vertical="center" wrapText="1"/>
    </xf>
    <xf numFmtId="165" fontId="49" fillId="12" borderId="6" xfId="20" applyNumberFormat="1" applyFont="1" applyFill="1" applyBorder="1" applyAlignment="1">
      <alignment horizontal="center" vertical="center" wrapText="1"/>
    </xf>
    <xf numFmtId="0" fontId="42" fillId="0" borderId="2" xfId="20" applyFont="1" applyBorder="1" applyAlignment="1">
      <alignment horizontal="center" vertical="center"/>
    </xf>
    <xf numFmtId="0" fontId="39" fillId="0" borderId="0" xfId="20" applyFont="1" applyBorder="1" applyAlignment="1">
      <alignment horizontal="center" vertical="center" wrapText="1"/>
    </xf>
    <xf numFmtId="164" fontId="37" fillId="0" borderId="2" xfId="20" applyNumberFormat="1" applyFont="1" applyBorder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85" t="s">
        <v>37</v>
      </c>
      <c r="B5" s="685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85" t="s">
        <v>24</v>
      </c>
      <c r="B6" s="685"/>
      <c r="C6" s="82"/>
      <c r="D6" s="686"/>
      <c r="E6" s="686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85" t="s">
        <v>38</v>
      </c>
      <c r="B7" s="685"/>
      <c r="C7" s="685"/>
      <c r="D7" s="685"/>
      <c r="E7" s="685"/>
      <c r="F7" s="685"/>
      <c r="G7" s="685"/>
      <c r="H7" s="685"/>
      <c r="I7" s="685"/>
      <c r="J7" s="82"/>
      <c r="L7" s="61"/>
      <c r="V7" s="62"/>
      <c r="W7" s="63"/>
    </row>
    <row r="8" spans="1:23" s="60" customFormat="1" ht="12.75" customHeight="1" x14ac:dyDescent="0.25">
      <c r="A8" s="685" t="s">
        <v>39</v>
      </c>
      <c r="B8" s="685"/>
      <c r="C8" s="685"/>
      <c r="D8" s="685"/>
      <c r="E8" s="685"/>
      <c r="F8" s="685"/>
      <c r="G8" s="685"/>
      <c r="H8" s="685"/>
      <c r="I8" s="685"/>
      <c r="J8" s="82"/>
      <c r="L8" s="61"/>
      <c r="V8" s="62"/>
      <c r="W8" s="63"/>
    </row>
    <row r="9" spans="1:23" s="60" customFormat="1" ht="12.75" customHeight="1" x14ac:dyDescent="0.25">
      <c r="A9" s="684" t="s">
        <v>40</v>
      </c>
      <c r="B9" s="684"/>
      <c r="C9" s="684"/>
      <c r="D9" s="684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78" t="s">
        <v>0</v>
      </c>
      <c r="B11" s="678"/>
      <c r="C11" s="678"/>
      <c r="D11" s="678"/>
      <c r="E11" s="678"/>
      <c r="F11" s="678"/>
      <c r="G11" s="678"/>
      <c r="H11" s="678"/>
      <c r="I11" s="678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79" t="s">
        <v>1</v>
      </c>
      <c r="B13" s="680" t="s">
        <v>2</v>
      </c>
      <c r="C13" s="679" t="s">
        <v>13</v>
      </c>
      <c r="D13" s="681" t="s">
        <v>3</v>
      </c>
      <c r="E13" s="682" t="s">
        <v>14</v>
      </c>
      <c r="F13" s="683" t="s">
        <v>27</v>
      </c>
      <c r="G13" s="683"/>
      <c r="H13" s="681" t="s">
        <v>17</v>
      </c>
      <c r="I13" s="681"/>
      <c r="J13" s="688" t="s">
        <v>30</v>
      </c>
      <c r="K13" s="689"/>
      <c r="L13" s="690"/>
      <c r="M13" s="680" t="s">
        <v>26</v>
      </c>
      <c r="N13" s="680"/>
      <c r="O13" s="680"/>
      <c r="P13" s="680"/>
      <c r="Q13" s="680" t="s">
        <v>29</v>
      </c>
      <c r="R13" s="680"/>
      <c r="S13" s="680"/>
      <c r="T13" s="680"/>
      <c r="U13" s="680"/>
      <c r="V13" s="694" t="s">
        <v>34</v>
      </c>
      <c r="W13" s="695"/>
    </row>
    <row r="14" spans="1:23" s="3" customFormat="1" ht="20.25" customHeight="1" x14ac:dyDescent="0.25">
      <c r="A14" s="679"/>
      <c r="B14" s="680"/>
      <c r="C14" s="679"/>
      <c r="D14" s="681"/>
      <c r="E14" s="682"/>
      <c r="F14" s="681" t="s">
        <v>41</v>
      </c>
      <c r="G14" s="681"/>
      <c r="H14" s="681"/>
      <c r="I14" s="681"/>
      <c r="J14" s="691"/>
      <c r="K14" s="692"/>
      <c r="L14" s="693"/>
      <c r="M14" s="680"/>
      <c r="N14" s="680"/>
      <c r="O14" s="680"/>
      <c r="P14" s="680"/>
      <c r="Q14" s="680"/>
      <c r="R14" s="680"/>
      <c r="S14" s="680"/>
      <c r="T14" s="680"/>
      <c r="U14" s="680"/>
      <c r="V14" s="696"/>
      <c r="W14" s="697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96"/>
      <c r="W15" s="697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87" t="s">
        <v>32</v>
      </c>
      <c r="U16" s="687"/>
      <c r="V16" s="698"/>
      <c r="W16" s="699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09" t="s">
        <v>93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</row>
    <row r="2" spans="1:13" ht="16.2" thickBot="1" x14ac:dyDescent="0.3">
      <c r="M2" s="216"/>
    </row>
    <row r="3" spans="1:13" ht="31.5" customHeight="1" x14ac:dyDescent="0.25">
      <c r="A3" s="719" t="s">
        <v>84</v>
      </c>
      <c r="B3" s="721" t="s">
        <v>82</v>
      </c>
      <c r="C3" s="721" t="s">
        <v>86</v>
      </c>
      <c r="D3" s="721" t="s">
        <v>85</v>
      </c>
      <c r="E3" s="710" t="s">
        <v>83</v>
      </c>
      <c r="F3" s="714" t="s">
        <v>90</v>
      </c>
      <c r="G3" s="715"/>
      <c r="H3" s="716"/>
      <c r="I3" s="712" t="s">
        <v>9</v>
      </c>
      <c r="J3" s="717" t="s">
        <v>91</v>
      </c>
      <c r="K3" s="717"/>
      <c r="L3" s="718"/>
      <c r="M3" s="712" t="s">
        <v>50</v>
      </c>
    </row>
    <row r="4" spans="1:13" x14ac:dyDescent="0.25">
      <c r="A4" s="720"/>
      <c r="B4" s="722"/>
      <c r="C4" s="722"/>
      <c r="D4" s="722"/>
      <c r="E4" s="711"/>
      <c r="F4" s="145" t="s">
        <v>87</v>
      </c>
      <c r="G4" s="135" t="s">
        <v>88</v>
      </c>
      <c r="H4" s="135" t="s">
        <v>89</v>
      </c>
      <c r="I4" s="713"/>
      <c r="J4" s="143" t="s">
        <v>87</v>
      </c>
      <c r="K4" s="135" t="s">
        <v>88</v>
      </c>
      <c r="L4" s="135" t="s">
        <v>89</v>
      </c>
      <c r="M4" s="713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03">
        <v>4</v>
      </c>
      <c r="B6" s="700" t="s">
        <v>97</v>
      </c>
      <c r="C6" s="706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04"/>
      <c r="B7" s="701"/>
      <c r="C7" s="707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04"/>
      <c r="B8" s="701"/>
      <c r="C8" s="707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05"/>
      <c r="B9" s="702"/>
      <c r="C9" s="708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38" t="s">
        <v>84</v>
      </c>
      <c r="B2" s="738" t="s">
        <v>99</v>
      </c>
      <c r="C2" s="738" t="s">
        <v>86</v>
      </c>
      <c r="D2" s="738" t="s">
        <v>51</v>
      </c>
      <c r="E2" s="732" t="s">
        <v>100</v>
      </c>
      <c r="F2" s="733"/>
      <c r="G2" s="734"/>
      <c r="H2" s="735" t="s">
        <v>101</v>
      </c>
      <c r="I2" s="736"/>
      <c r="J2" s="736"/>
      <c r="K2" s="736"/>
      <c r="L2" s="736"/>
      <c r="M2" s="737"/>
      <c r="N2" s="732" t="s">
        <v>102</v>
      </c>
      <c r="O2" s="733"/>
      <c r="P2" s="734"/>
    </row>
    <row r="3" spans="1:16" ht="16.2" thickBot="1" x14ac:dyDescent="0.3">
      <c r="A3" s="739"/>
      <c r="B3" s="739"/>
      <c r="C3" s="739"/>
      <c r="D3" s="739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23">
        <v>4</v>
      </c>
      <c r="B4" s="726" t="s">
        <v>109</v>
      </c>
      <c r="C4" s="726" t="s">
        <v>94</v>
      </c>
      <c r="D4" s="726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24"/>
      <c r="B5" s="727"/>
      <c r="C5" s="727"/>
      <c r="D5" s="727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24"/>
      <c r="B6" s="727"/>
      <c r="C6" s="727"/>
      <c r="D6" s="727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24"/>
      <c r="B7" s="727"/>
      <c r="C7" s="727"/>
      <c r="D7" s="727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24"/>
      <c r="B8" s="727"/>
      <c r="C8" s="727"/>
      <c r="D8" s="728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24"/>
      <c r="B9" s="727"/>
      <c r="C9" s="727"/>
      <c r="D9" s="729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24"/>
      <c r="B10" s="727"/>
      <c r="C10" s="727"/>
      <c r="D10" s="730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24"/>
      <c r="B11" s="727"/>
      <c r="C11" s="727"/>
      <c r="D11" s="731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24"/>
      <c r="B12" s="727"/>
      <c r="C12" s="727"/>
      <c r="D12" s="726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24"/>
      <c r="B13" s="727"/>
      <c r="C13" s="727"/>
      <c r="D13" s="727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24"/>
      <c r="B14" s="727"/>
      <c r="C14" s="727"/>
      <c r="D14" s="728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24"/>
      <c r="B15" s="727"/>
      <c r="C15" s="727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25"/>
      <c r="B16" s="728"/>
      <c r="C16" s="728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79"/>
  <sheetViews>
    <sheetView showWhiteSpace="0" zoomScale="81" zoomScaleNormal="81" zoomScaleSheetLayoutView="76" workbookViewId="0">
      <pane ySplit="5" topLeftCell="A59" activePane="bottomLeft" state="frozen"/>
      <selection pane="bottomLeft" activeCell="D66" sqref="D66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740" t="s">
        <v>268</v>
      </c>
      <c r="B1" s="740"/>
      <c r="C1" s="740"/>
      <c r="D1" s="740"/>
      <c r="E1" s="740"/>
      <c r="F1" s="740"/>
      <c r="G1" s="740"/>
      <c r="H1" s="740"/>
      <c r="I1" s="740"/>
    </row>
    <row r="2" spans="1:36" ht="59.4" customHeight="1" thickBot="1" x14ac:dyDescent="0.3">
      <c r="A2" s="740"/>
      <c r="B2" s="740"/>
      <c r="C2" s="740"/>
      <c r="D2" s="740"/>
      <c r="E2" s="740"/>
      <c r="F2" s="740"/>
      <c r="G2" s="740"/>
      <c r="H2" s="740"/>
      <c r="I2" s="740"/>
    </row>
    <row r="3" spans="1:36" ht="17.399999999999999" customHeight="1" x14ac:dyDescent="0.25">
      <c r="A3" s="741" t="s">
        <v>124</v>
      </c>
      <c r="B3" s="754" t="s">
        <v>185</v>
      </c>
      <c r="C3" s="744" t="s">
        <v>192</v>
      </c>
      <c r="D3" s="744" t="s">
        <v>193</v>
      </c>
      <c r="E3" s="744" t="s">
        <v>204</v>
      </c>
      <c r="F3" s="744" t="s">
        <v>187</v>
      </c>
      <c r="G3" s="747" t="s">
        <v>9</v>
      </c>
      <c r="H3" s="748"/>
      <c r="I3" s="751" t="s">
        <v>191</v>
      </c>
    </row>
    <row r="4" spans="1:36" ht="21" customHeight="1" x14ac:dyDescent="0.25">
      <c r="A4" s="742"/>
      <c r="B4" s="755"/>
      <c r="C4" s="745"/>
      <c r="D4" s="745"/>
      <c r="E4" s="745"/>
      <c r="F4" s="745"/>
      <c r="G4" s="749"/>
      <c r="H4" s="749" t="s">
        <v>190</v>
      </c>
      <c r="I4" s="752"/>
    </row>
    <row r="5" spans="1:36" ht="30" customHeight="1" thickBot="1" x14ac:dyDescent="0.3">
      <c r="A5" s="743"/>
      <c r="B5" s="756"/>
      <c r="C5" s="746"/>
      <c r="D5" s="746"/>
      <c r="E5" s="746"/>
      <c r="F5" s="746"/>
      <c r="G5" s="750"/>
      <c r="H5" s="750"/>
      <c r="I5" s="753"/>
    </row>
    <row r="6" spans="1:36" s="323" customFormat="1" ht="49.2" customHeight="1" x14ac:dyDescent="0.25">
      <c r="A6" s="631" t="s">
        <v>53</v>
      </c>
      <c r="B6" s="632" t="s">
        <v>199</v>
      </c>
      <c r="C6" s="633">
        <v>69779.8</v>
      </c>
      <c r="D6" s="638">
        <v>0</v>
      </c>
      <c r="E6" s="639">
        <v>69779.8</v>
      </c>
      <c r="F6" s="640">
        <v>53555.703999999998</v>
      </c>
      <c r="G6" s="633" t="s">
        <v>249</v>
      </c>
      <c r="H6" s="633" t="s">
        <v>201</v>
      </c>
      <c r="I6" s="633"/>
      <c r="J6" s="533" t="s">
        <v>311</v>
      </c>
      <c r="K6" s="650" t="s">
        <v>317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97" t="s">
        <v>69</v>
      </c>
      <c r="B7" s="598" t="s">
        <v>200</v>
      </c>
      <c r="C7" s="599">
        <v>2044</v>
      </c>
      <c r="D7" s="600">
        <v>0</v>
      </c>
      <c r="E7" s="605">
        <v>2044</v>
      </c>
      <c r="F7" s="606">
        <v>1470.91625</v>
      </c>
      <c r="G7" s="599" t="s">
        <v>249</v>
      </c>
      <c r="H7" s="606" t="s">
        <v>251</v>
      </c>
      <c r="I7" s="607"/>
      <c r="J7" s="307" t="s">
        <v>189</v>
      </c>
      <c r="K7" s="650" t="s">
        <v>318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29" t="s">
        <v>293</v>
      </c>
      <c r="B8" s="559" t="s">
        <v>292</v>
      </c>
      <c r="C8" s="547">
        <v>5179518.46</v>
      </c>
      <c r="D8" s="626">
        <v>2703844.6878399146</v>
      </c>
      <c r="E8" s="546">
        <v>7883363.147839915</v>
      </c>
      <c r="F8" s="547">
        <v>4754646.7705159308</v>
      </c>
      <c r="G8" s="550" t="s">
        <v>203</v>
      </c>
      <c r="H8" s="626" t="s">
        <v>296</v>
      </c>
      <c r="I8" s="554"/>
      <c r="J8" s="533" t="s">
        <v>203</v>
      </c>
      <c r="K8" s="650" t="s">
        <v>319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29" t="s">
        <v>294</v>
      </c>
      <c r="B9" s="559" t="s">
        <v>291</v>
      </c>
      <c r="C9" s="547">
        <v>5158551.46</v>
      </c>
      <c r="D9" s="626">
        <v>1893049.3518639102</v>
      </c>
      <c r="E9" s="546">
        <v>7051600.8118639104</v>
      </c>
      <c r="F9" s="547">
        <v>3860347.5408726884</v>
      </c>
      <c r="G9" s="550" t="s">
        <v>203</v>
      </c>
      <c r="H9" s="626" t="s">
        <v>296</v>
      </c>
      <c r="I9" s="555"/>
      <c r="J9" s="307" t="s">
        <v>188</v>
      </c>
      <c r="K9" s="650" t="s">
        <v>315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29" t="s">
        <v>295</v>
      </c>
      <c r="B10" s="559" t="s">
        <v>290</v>
      </c>
      <c r="C10" s="547">
        <v>5110301.6399999997</v>
      </c>
      <c r="D10" s="626">
        <v>2656005.817839914</v>
      </c>
      <c r="E10" s="546">
        <v>7766307.4578399099</v>
      </c>
      <c r="F10" s="547">
        <v>4730790.0551202716</v>
      </c>
      <c r="G10" s="550" t="s">
        <v>203</v>
      </c>
      <c r="H10" s="626" t="s">
        <v>296</v>
      </c>
      <c r="I10" s="555"/>
      <c r="J10" s="534" t="s">
        <v>249</v>
      </c>
      <c r="K10" s="650" t="s">
        <v>320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194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249</v>
      </c>
      <c r="H11" s="556" t="s">
        <v>212</v>
      </c>
      <c r="I11" s="556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08" t="s">
        <v>264</v>
      </c>
      <c r="B12" s="609" t="s">
        <v>265</v>
      </c>
      <c r="C12" s="599">
        <f>E12-D12</f>
        <v>37400</v>
      </c>
      <c r="D12" s="599">
        <v>9854.52</v>
      </c>
      <c r="E12" s="601">
        <v>47254.520000000004</v>
      </c>
      <c r="F12" s="599">
        <v>29668.175600000002</v>
      </c>
      <c r="G12" s="599" t="s">
        <v>249</v>
      </c>
      <c r="H12" s="604" t="s">
        <v>269</v>
      </c>
      <c r="I12" s="604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195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249</v>
      </c>
      <c r="H13" s="556" t="s">
        <v>212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208</v>
      </c>
      <c r="B14" s="544" t="s">
        <v>211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249</v>
      </c>
      <c r="H14" s="556" t="s">
        <v>212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95" customHeight="1" x14ac:dyDescent="0.25">
      <c r="A15" s="543" t="s">
        <v>209</v>
      </c>
      <c r="B15" s="544" t="s">
        <v>206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249</v>
      </c>
      <c r="H15" s="556" t="s">
        <v>212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210</v>
      </c>
      <c r="B16" s="544" t="s">
        <v>207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249</v>
      </c>
      <c r="H16" s="556" t="s">
        <v>212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597" t="s">
        <v>74</v>
      </c>
      <c r="B17" s="598" t="s">
        <v>186</v>
      </c>
      <c r="C17" s="602">
        <v>70000</v>
      </c>
      <c r="D17" s="602">
        <v>0</v>
      </c>
      <c r="E17" s="603">
        <v>70000</v>
      </c>
      <c r="F17" s="599">
        <v>45779.08</v>
      </c>
      <c r="G17" s="599" t="s">
        <v>249</v>
      </c>
      <c r="H17" s="604" t="s">
        <v>212</v>
      </c>
      <c r="I17" s="604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196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249</v>
      </c>
      <c r="H18" s="556" t="s">
        <v>212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197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249</v>
      </c>
      <c r="H19" s="556" t="s">
        <v>219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215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249</v>
      </c>
      <c r="H20" s="556" t="s">
        <v>220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597" t="s">
        <v>79</v>
      </c>
      <c r="B21" s="598" t="s">
        <v>213</v>
      </c>
      <c r="C21" s="599">
        <f t="shared" si="1"/>
        <v>76937.850000000006</v>
      </c>
      <c r="D21" s="602">
        <v>0</v>
      </c>
      <c r="E21" s="601">
        <v>76937.850000000006</v>
      </c>
      <c r="F21" s="602">
        <v>17455.175500000001</v>
      </c>
      <c r="G21" s="599" t="s">
        <v>249</v>
      </c>
      <c r="H21" s="606" t="s">
        <v>251</v>
      </c>
      <c r="I21" s="602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597" t="s">
        <v>75</v>
      </c>
      <c r="B22" s="598" t="s">
        <v>214</v>
      </c>
      <c r="C22" s="599">
        <f t="shared" si="1"/>
        <v>300000</v>
      </c>
      <c r="D22" s="602">
        <v>0</v>
      </c>
      <c r="E22" s="601">
        <v>300000</v>
      </c>
      <c r="F22" s="602">
        <v>164500</v>
      </c>
      <c r="G22" s="599" t="s">
        <v>249</v>
      </c>
      <c r="H22" s="606" t="s">
        <v>251</v>
      </c>
      <c r="I22" s="602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217</v>
      </c>
      <c r="C23" s="545">
        <v>658888.21000000008</v>
      </c>
      <c r="D23" s="547">
        <v>0</v>
      </c>
      <c r="E23" s="546">
        <v>658888.21000000008</v>
      </c>
      <c r="F23" s="547">
        <v>300153.67330000002</v>
      </c>
      <c r="G23" s="626" t="s">
        <v>249</v>
      </c>
      <c r="H23" s="556" t="s">
        <v>349</v>
      </c>
      <c r="I23" s="651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597" t="s">
        <v>81</v>
      </c>
      <c r="B24" s="598" t="s">
        <v>227</v>
      </c>
      <c r="C24" s="599">
        <v>92115.83</v>
      </c>
      <c r="D24" s="602">
        <v>0</v>
      </c>
      <c r="E24" s="601">
        <v>92115.83</v>
      </c>
      <c r="F24" s="602">
        <v>44816.32</v>
      </c>
      <c r="G24" s="599" t="s">
        <v>249</v>
      </c>
      <c r="H24" s="604" t="s">
        <v>242</v>
      </c>
      <c r="I24" s="602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597" t="s">
        <v>243</v>
      </c>
      <c r="B25" s="598" t="s">
        <v>247</v>
      </c>
      <c r="C25" s="599">
        <v>69692.789999999994</v>
      </c>
      <c r="D25" s="602">
        <v>0</v>
      </c>
      <c r="E25" s="601">
        <v>69692.789999999994</v>
      </c>
      <c r="F25" s="602">
        <v>44109.519699999997</v>
      </c>
      <c r="G25" s="599" t="s">
        <v>249</v>
      </c>
      <c r="H25" s="604" t="s">
        <v>242</v>
      </c>
      <c r="I25" s="610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597" t="s">
        <v>244</v>
      </c>
      <c r="B26" s="598" t="s">
        <v>248</v>
      </c>
      <c r="C26" s="599">
        <v>130832</v>
      </c>
      <c r="D26" s="602">
        <v>0</v>
      </c>
      <c r="E26" s="601">
        <v>130832</v>
      </c>
      <c r="F26" s="602">
        <v>48252.100000000006</v>
      </c>
      <c r="G26" s="599" t="s">
        <v>249</v>
      </c>
      <c r="H26" s="604" t="s">
        <v>242</v>
      </c>
      <c r="I26" s="610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27" t="s">
        <v>286</v>
      </c>
      <c r="B27" s="628" t="s">
        <v>287</v>
      </c>
      <c r="C27" s="626">
        <v>61643.270000000004</v>
      </c>
      <c r="D27" s="547">
        <v>0</v>
      </c>
      <c r="E27" s="546">
        <v>61643.270000000004</v>
      </c>
      <c r="F27" s="547">
        <v>22365.6181</v>
      </c>
      <c r="G27" s="626" t="s">
        <v>249</v>
      </c>
      <c r="H27" s="556" t="s">
        <v>298</v>
      </c>
      <c r="I27" s="625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950000000000003" customHeight="1" x14ac:dyDescent="0.25">
      <c r="A28" s="551" t="s">
        <v>169</v>
      </c>
      <c r="B28" s="552" t="s">
        <v>233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249</v>
      </c>
      <c r="H28" s="583" t="s">
        <v>263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950000000000003" customHeight="1" x14ac:dyDescent="0.25">
      <c r="A29" s="566" t="s">
        <v>170</v>
      </c>
      <c r="B29" s="567" t="s">
        <v>198</v>
      </c>
      <c r="C29" s="564">
        <v>1109034.9700000002</v>
      </c>
      <c r="D29" s="547"/>
      <c r="E29" s="546">
        <v>1109034.9700000002</v>
      </c>
      <c r="F29" s="547">
        <v>656317.54006999708</v>
      </c>
      <c r="G29" s="592" t="s">
        <v>249</v>
      </c>
      <c r="H29" s="556" t="s">
        <v>269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597" t="s">
        <v>171</v>
      </c>
      <c r="B30" s="598" t="s">
        <v>226</v>
      </c>
      <c r="C30" s="599">
        <v>220420.19</v>
      </c>
      <c r="D30" s="602">
        <v>0</v>
      </c>
      <c r="E30" s="601">
        <v>220420.19</v>
      </c>
      <c r="F30" s="602">
        <v>172065.92569999999</v>
      </c>
      <c r="G30" s="599" t="s">
        <v>249</v>
      </c>
      <c r="H30" s="604" t="s">
        <v>242</v>
      </c>
      <c r="I30" s="602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597" t="s">
        <v>172</v>
      </c>
      <c r="B31" s="598" t="s">
        <v>228</v>
      </c>
      <c r="C31" s="599">
        <v>19075.719999999998</v>
      </c>
      <c r="D31" s="602">
        <v>0</v>
      </c>
      <c r="E31" s="601">
        <v>19075.719999999998</v>
      </c>
      <c r="F31" s="602">
        <v>10869.5216</v>
      </c>
      <c r="G31" s="599" t="s">
        <v>249</v>
      </c>
      <c r="H31" s="604" t="s">
        <v>269</v>
      </c>
      <c r="I31" s="602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597" t="s">
        <v>221</v>
      </c>
      <c r="B32" s="598" t="s">
        <v>231</v>
      </c>
      <c r="C32" s="599">
        <v>8730</v>
      </c>
      <c r="D32" s="602">
        <v>0</v>
      </c>
      <c r="E32" s="601">
        <v>8730</v>
      </c>
      <c r="F32" s="602">
        <v>4643.8600000000006</v>
      </c>
      <c r="G32" s="599" t="s">
        <v>249</v>
      </c>
      <c r="H32" s="604" t="s">
        <v>242</v>
      </c>
      <c r="I32" s="602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222</v>
      </c>
      <c r="B33" s="571" t="s">
        <v>241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249</v>
      </c>
      <c r="H33" s="583" t="s">
        <v>263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223</v>
      </c>
      <c r="B34" s="576" t="s">
        <v>246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249</v>
      </c>
      <c r="H34" s="583" t="s">
        <v>263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245</v>
      </c>
      <c r="B35" s="573" t="s">
        <v>232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249</v>
      </c>
      <c r="H35" s="583" t="s">
        <v>263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597" t="s">
        <v>252</v>
      </c>
      <c r="B36" s="609" t="s">
        <v>254</v>
      </c>
      <c r="C36" s="599">
        <v>16887.37</v>
      </c>
      <c r="D36" s="602">
        <v>0</v>
      </c>
      <c r="E36" s="601">
        <v>16887.37</v>
      </c>
      <c r="F36" s="602">
        <v>9606.6483500000013</v>
      </c>
      <c r="G36" s="599" t="s">
        <v>249</v>
      </c>
      <c r="H36" s="604" t="s">
        <v>274</v>
      </c>
      <c r="I36" s="602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253</v>
      </c>
      <c r="B37" s="580" t="s">
        <v>255</v>
      </c>
      <c r="C37" s="581">
        <v>35345</v>
      </c>
      <c r="D37" s="547">
        <v>0</v>
      </c>
      <c r="E37" s="546">
        <v>35345</v>
      </c>
      <c r="F37" s="547">
        <v>18769.95</v>
      </c>
      <c r="G37" s="593" t="s">
        <v>249</v>
      </c>
      <c r="H37" s="556" t="s">
        <v>274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258</v>
      </c>
      <c r="B38" s="580" t="s">
        <v>256</v>
      </c>
      <c r="C38" s="581">
        <v>35365.25</v>
      </c>
      <c r="D38" s="547">
        <v>0</v>
      </c>
      <c r="E38" s="546">
        <v>35365.25</v>
      </c>
      <c r="F38" s="547">
        <v>18744.2775</v>
      </c>
      <c r="G38" s="593" t="s">
        <v>249</v>
      </c>
      <c r="H38" s="556" t="s">
        <v>274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597" t="s">
        <v>259</v>
      </c>
      <c r="B39" s="609" t="s">
        <v>257</v>
      </c>
      <c r="C39" s="599">
        <v>35433.65</v>
      </c>
      <c r="D39" s="602">
        <v>0</v>
      </c>
      <c r="E39" s="601">
        <v>35433.65</v>
      </c>
      <c r="F39" s="602">
        <v>18743.161499999998</v>
      </c>
      <c r="G39" s="599" t="s">
        <v>249</v>
      </c>
      <c r="H39" s="604" t="s">
        <v>274</v>
      </c>
      <c r="I39" s="602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272</v>
      </c>
      <c r="B40" s="580" t="s">
        <v>261</v>
      </c>
      <c r="C40" s="581">
        <v>30402.5</v>
      </c>
      <c r="D40" s="547">
        <v>0</v>
      </c>
      <c r="E40" s="546">
        <v>30402.5</v>
      </c>
      <c r="F40" s="547">
        <v>15491.275</v>
      </c>
      <c r="G40" s="593" t="s">
        <v>249</v>
      </c>
      <c r="H40" s="556" t="s">
        <v>274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224</v>
      </c>
      <c r="B41" s="565" t="s">
        <v>234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593" t="s">
        <v>249</v>
      </c>
      <c r="H41" s="556" t="s">
        <v>274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225</v>
      </c>
      <c r="B42" s="563" t="s">
        <v>229</v>
      </c>
      <c r="C42" s="562">
        <v>799305.07999999984</v>
      </c>
      <c r="D42" s="547">
        <v>0</v>
      </c>
      <c r="E42" s="546">
        <v>799305.07999999984</v>
      </c>
      <c r="F42" s="547">
        <v>460219.92040000006</v>
      </c>
      <c r="G42" s="626" t="s">
        <v>249</v>
      </c>
      <c r="H42" s="556" t="s">
        <v>326</v>
      </c>
      <c r="I42" s="651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950000000000003" customHeight="1" x14ac:dyDescent="0.25">
      <c r="A43" s="585" t="s">
        <v>235</v>
      </c>
      <c r="B43" s="586" t="s">
        <v>273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14" t="s">
        <v>249</v>
      </c>
      <c r="H43" s="556" t="s">
        <v>281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262</v>
      </c>
      <c r="B44" s="589" t="s">
        <v>280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249</v>
      </c>
      <c r="H44" s="556" t="s">
        <v>284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645" t="s">
        <v>230</v>
      </c>
      <c r="B45" s="641" t="s">
        <v>216</v>
      </c>
      <c r="C45" s="626">
        <v>510000</v>
      </c>
      <c r="D45" s="558"/>
      <c r="E45" s="546">
        <v>510000</v>
      </c>
      <c r="F45" s="558">
        <v>269907.19</v>
      </c>
      <c r="G45" s="550" t="s">
        <v>249</v>
      </c>
      <c r="H45" s="556" t="s">
        <v>353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597" t="s">
        <v>236</v>
      </c>
      <c r="B46" s="598" t="s">
        <v>271</v>
      </c>
      <c r="C46" s="599">
        <v>44103.59</v>
      </c>
      <c r="D46" s="602">
        <v>0</v>
      </c>
      <c r="E46" s="601">
        <v>44103.59</v>
      </c>
      <c r="F46" s="602">
        <v>25357.502700000005</v>
      </c>
      <c r="G46" s="599" t="s">
        <v>202</v>
      </c>
      <c r="H46" s="599" t="s">
        <v>288</v>
      </c>
      <c r="I46" s="602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595" t="s">
        <v>237</v>
      </c>
      <c r="B47" s="596" t="s">
        <v>276</v>
      </c>
      <c r="C47" s="594">
        <v>25935.460399999996</v>
      </c>
      <c r="D47" s="547">
        <v>0</v>
      </c>
      <c r="E47" s="546">
        <v>25935.460399999996</v>
      </c>
      <c r="F47" s="547">
        <v>10860.509212000001</v>
      </c>
      <c r="G47" s="614" t="s">
        <v>249</v>
      </c>
      <c r="H47" s="556" t="s">
        <v>281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22" t="s">
        <v>238</v>
      </c>
      <c r="B48" s="623" t="s">
        <v>282</v>
      </c>
      <c r="C48" s="621">
        <v>337206.36</v>
      </c>
      <c r="D48" s="547">
        <v>0</v>
      </c>
      <c r="E48" s="546">
        <v>337206.36</v>
      </c>
      <c r="F48" s="547">
        <v>186007.31080000001</v>
      </c>
      <c r="G48" s="550" t="s">
        <v>249</v>
      </c>
      <c r="H48" s="556" t="s">
        <v>284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12" t="s">
        <v>239</v>
      </c>
      <c r="B49" s="613" t="s">
        <v>279</v>
      </c>
      <c r="C49" s="611">
        <v>5040</v>
      </c>
      <c r="D49" s="547">
        <v>0</v>
      </c>
      <c r="E49" s="546">
        <v>5040</v>
      </c>
      <c r="F49" s="547">
        <v>1252.905</v>
      </c>
      <c r="G49" s="550" t="s">
        <v>203</v>
      </c>
      <c r="H49" s="556" t="s">
        <v>278</v>
      </c>
      <c r="I49" s="651" t="s">
        <v>325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595" t="s">
        <v>240</v>
      </c>
      <c r="B50" s="596" t="s">
        <v>275</v>
      </c>
      <c r="C50" s="594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249</v>
      </c>
      <c r="H50" s="556" t="s">
        <v>284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27" t="s">
        <v>285</v>
      </c>
      <c r="B51" s="628" t="s">
        <v>297</v>
      </c>
      <c r="C51" s="626">
        <v>108026.29200000002</v>
      </c>
      <c r="D51" s="547">
        <v>0</v>
      </c>
      <c r="E51" s="546">
        <v>108026.29200000002</v>
      </c>
      <c r="F51" s="547">
        <v>38936.968760000003</v>
      </c>
      <c r="G51" s="550" t="s">
        <v>249</v>
      </c>
      <c r="H51" s="556" t="s">
        <v>336</v>
      </c>
      <c r="I51" s="651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30" t="s">
        <v>289</v>
      </c>
      <c r="B52" s="544" t="s">
        <v>300</v>
      </c>
      <c r="C52" s="562">
        <v>6116.26</v>
      </c>
      <c r="D52" s="547">
        <v>0</v>
      </c>
      <c r="E52" s="546">
        <v>6116.26</v>
      </c>
      <c r="F52" s="547">
        <v>4441.6160500000005</v>
      </c>
      <c r="G52" s="550" t="s">
        <v>249</v>
      </c>
      <c r="H52" s="556" t="s">
        <v>308</v>
      </c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55.8" customHeight="1" x14ac:dyDescent="0.25">
      <c r="A53" s="645" t="s">
        <v>301</v>
      </c>
      <c r="B53" s="544" t="s">
        <v>306</v>
      </c>
      <c r="C53" s="562">
        <v>15568.8</v>
      </c>
      <c r="D53" s="547">
        <v>0</v>
      </c>
      <c r="E53" s="546">
        <v>15568.8</v>
      </c>
      <c r="F53" s="547">
        <v>12830.784</v>
      </c>
      <c r="G53" s="550" t="s">
        <v>203</v>
      </c>
      <c r="H53" s="556" t="s">
        <v>310</v>
      </c>
      <c r="I53" s="651" t="s">
        <v>351</v>
      </c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51.6" customHeight="1" x14ac:dyDescent="0.25">
      <c r="A54" s="645" t="s">
        <v>302</v>
      </c>
      <c r="B54" s="544" t="s">
        <v>335</v>
      </c>
      <c r="C54" s="547">
        <v>142452.13</v>
      </c>
      <c r="D54" s="547">
        <v>0</v>
      </c>
      <c r="E54" s="546">
        <v>142452.13</v>
      </c>
      <c r="F54" s="547">
        <v>76606.931400000001</v>
      </c>
      <c r="G54" s="550" t="s">
        <v>249</v>
      </c>
      <c r="H54" s="556" t="s">
        <v>349</v>
      </c>
      <c r="I54" s="651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42.6" customHeight="1" x14ac:dyDescent="0.25">
      <c r="A55" s="645" t="s">
        <v>303</v>
      </c>
      <c r="B55" s="641" t="s">
        <v>352</v>
      </c>
      <c r="C55" s="626">
        <v>8258.1</v>
      </c>
      <c r="D55" s="626"/>
      <c r="E55" s="546">
        <v>8258.1</v>
      </c>
      <c r="F55" s="626">
        <v>4982.9030000000002</v>
      </c>
      <c r="G55" s="550" t="s">
        <v>249</v>
      </c>
      <c r="H55" s="556" t="s">
        <v>359</v>
      </c>
      <c r="I55" s="653"/>
      <c r="J55" s="654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645" t="s">
        <v>304</v>
      </c>
      <c r="B56" s="641" t="s">
        <v>357</v>
      </c>
      <c r="C56" s="626">
        <v>646774</v>
      </c>
      <c r="D56" s="626"/>
      <c r="E56" s="546">
        <v>646774</v>
      </c>
      <c r="F56" s="626">
        <v>280415.69999999995</v>
      </c>
      <c r="G56" s="550" t="s">
        <v>249</v>
      </c>
      <c r="H56" s="626" t="s">
        <v>374</v>
      </c>
      <c r="I56" s="547"/>
      <c r="J56" s="654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3" customFormat="1" ht="42.6" customHeight="1" x14ac:dyDescent="0.25">
      <c r="A57" s="645" t="s">
        <v>305</v>
      </c>
      <c r="B57" s="641" t="s">
        <v>355</v>
      </c>
      <c r="C57" s="626">
        <v>222614</v>
      </c>
      <c r="D57" s="626"/>
      <c r="E57" s="546">
        <v>222614</v>
      </c>
      <c r="F57" s="626">
        <v>187311.43</v>
      </c>
      <c r="G57" s="550" t="s">
        <v>249</v>
      </c>
      <c r="H57" s="556" t="s">
        <v>390</v>
      </c>
      <c r="I57" s="651"/>
      <c r="J57" s="654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</row>
    <row r="58" spans="1:36" s="323" customFormat="1" ht="42.6" customHeight="1" x14ac:dyDescent="0.25">
      <c r="A58" s="645" t="s">
        <v>307</v>
      </c>
      <c r="B58" s="641" t="s">
        <v>379</v>
      </c>
      <c r="C58" s="626">
        <v>24192.53</v>
      </c>
      <c r="D58" s="626"/>
      <c r="E58" s="546">
        <v>24192.53</v>
      </c>
      <c r="F58" s="626">
        <v>12279.7009</v>
      </c>
      <c r="G58" s="550" t="s">
        <v>249</v>
      </c>
      <c r="H58" s="556" t="s">
        <v>390</v>
      </c>
      <c r="I58" s="651"/>
      <c r="J58" s="654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6" s="323" customFormat="1" ht="42.6" customHeight="1" x14ac:dyDescent="0.25">
      <c r="A59" s="645" t="s">
        <v>309</v>
      </c>
      <c r="B59" s="641" t="s">
        <v>371</v>
      </c>
      <c r="C59" s="626">
        <v>5670</v>
      </c>
      <c r="D59" s="626"/>
      <c r="E59" s="546">
        <v>5670</v>
      </c>
      <c r="F59" s="626">
        <v>6269.8600000000006</v>
      </c>
      <c r="G59" s="550" t="s">
        <v>249</v>
      </c>
      <c r="H59" s="556" t="s">
        <v>412</v>
      </c>
      <c r="I59" s="651"/>
      <c r="J59" s="654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</row>
    <row r="60" spans="1:36" s="323" customFormat="1" ht="42.6" customHeight="1" x14ac:dyDescent="0.25">
      <c r="A60" s="645" t="s">
        <v>327</v>
      </c>
      <c r="B60" s="641" t="s">
        <v>373</v>
      </c>
      <c r="C60" s="626">
        <v>120000</v>
      </c>
      <c r="D60" s="626"/>
      <c r="E60" s="546">
        <v>120000</v>
      </c>
      <c r="F60" s="626">
        <v>39610.900399999999</v>
      </c>
      <c r="G60" s="550" t="s">
        <v>249</v>
      </c>
      <c r="H60" s="556" t="s">
        <v>390</v>
      </c>
      <c r="I60" s="651"/>
      <c r="J60" s="654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</row>
    <row r="61" spans="1:36" s="323" customFormat="1" ht="42.6" customHeight="1" x14ac:dyDescent="0.25">
      <c r="A61" s="645" t="s">
        <v>328</v>
      </c>
      <c r="B61" s="641" t="s">
        <v>375</v>
      </c>
      <c r="C61" s="626">
        <v>20736.719333333334</v>
      </c>
      <c r="D61" s="626"/>
      <c r="E61" s="546">
        <v>20736.719333333334</v>
      </c>
      <c r="F61" s="626">
        <v>10369.014746666666</v>
      </c>
      <c r="G61" s="550" t="s">
        <v>249</v>
      </c>
      <c r="H61" s="556" t="s">
        <v>390</v>
      </c>
      <c r="I61" s="651"/>
      <c r="J61" s="654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</row>
    <row r="62" spans="1:36" s="323" customFormat="1" ht="42.6" customHeight="1" x14ac:dyDescent="0.25">
      <c r="A62" s="645" t="s">
        <v>331</v>
      </c>
      <c r="B62" s="641" t="s">
        <v>376</v>
      </c>
      <c r="C62" s="626">
        <v>108679.85</v>
      </c>
      <c r="D62" s="626"/>
      <c r="E62" s="546">
        <v>108679.85</v>
      </c>
      <c r="F62" s="626">
        <v>65571.6005</v>
      </c>
      <c r="G62" s="550" t="s">
        <v>249</v>
      </c>
      <c r="H62" s="556" t="s">
        <v>377</v>
      </c>
      <c r="I62" s="651"/>
      <c r="J62" s="654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</row>
    <row r="63" spans="1:36" s="323" customFormat="1" ht="42.6" customHeight="1" x14ac:dyDescent="0.25">
      <c r="A63" s="645" t="s">
        <v>332</v>
      </c>
      <c r="B63" s="641" t="s">
        <v>378</v>
      </c>
      <c r="C63" s="626">
        <v>315020.03088571428</v>
      </c>
      <c r="D63" s="626" t="s">
        <v>416</v>
      </c>
      <c r="E63" s="546">
        <v>315020.03088571428</v>
      </c>
      <c r="F63" s="626">
        <v>184108.58021085718</v>
      </c>
      <c r="G63" s="550" t="s">
        <v>249</v>
      </c>
      <c r="H63" s="556" t="s">
        <v>398</v>
      </c>
      <c r="I63" s="651"/>
      <c r="J63" s="654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</row>
    <row r="64" spans="1:36" s="323" customFormat="1" ht="42.6" customHeight="1" x14ac:dyDescent="0.25">
      <c r="A64" s="645" t="s">
        <v>333</v>
      </c>
      <c r="B64" s="641" t="s">
        <v>389</v>
      </c>
      <c r="C64" s="626">
        <v>64000</v>
      </c>
      <c r="D64" s="626"/>
      <c r="E64" s="546">
        <v>64000</v>
      </c>
      <c r="F64" s="626">
        <v>21552.737000000001</v>
      </c>
      <c r="G64" s="550" t="s">
        <v>249</v>
      </c>
      <c r="H64" s="556" t="s">
        <v>398</v>
      </c>
      <c r="I64" s="651"/>
      <c r="J64" s="654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</row>
    <row r="65" spans="1:36" s="323" customFormat="1" ht="42.6" customHeight="1" x14ac:dyDescent="0.25">
      <c r="A65" s="645" t="s">
        <v>334</v>
      </c>
      <c r="B65" s="641" t="s">
        <v>391</v>
      </c>
      <c r="C65" s="626">
        <v>63217.29</v>
      </c>
      <c r="D65" s="626"/>
      <c r="E65" s="546">
        <v>63217.29</v>
      </c>
      <c r="F65" s="626">
        <v>39522.9274</v>
      </c>
      <c r="G65" s="550" t="s">
        <v>249</v>
      </c>
      <c r="H65" s="556" t="s">
        <v>412</v>
      </c>
      <c r="I65" s="651"/>
      <c r="J65" s="654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</row>
    <row r="66" spans="1:36" s="323" customFormat="1" ht="42.6" customHeight="1" x14ac:dyDescent="0.25">
      <c r="A66" s="645" t="s">
        <v>337</v>
      </c>
      <c r="B66" s="641" t="s">
        <v>397</v>
      </c>
      <c r="C66" s="626">
        <v>17140.37</v>
      </c>
      <c r="D66" s="626"/>
      <c r="E66" s="546">
        <v>17140.37</v>
      </c>
      <c r="F66" s="626">
        <v>7224.1810999999998</v>
      </c>
      <c r="G66" s="550" t="s">
        <v>249</v>
      </c>
      <c r="H66" s="556" t="s">
        <v>412</v>
      </c>
      <c r="I66" s="651"/>
      <c r="J66" s="654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</row>
    <row r="67" spans="1:36" s="323" customFormat="1" ht="42.6" customHeight="1" x14ac:dyDescent="0.25">
      <c r="A67" s="645" t="s">
        <v>338</v>
      </c>
      <c r="B67" s="641" t="s">
        <v>402</v>
      </c>
      <c r="C67" s="626">
        <v>72225.63</v>
      </c>
      <c r="D67" s="626"/>
      <c r="E67" s="546">
        <v>72225.63</v>
      </c>
      <c r="F67" s="626">
        <v>34152.668900000004</v>
      </c>
      <c r="G67" s="550" t="s">
        <v>249</v>
      </c>
      <c r="H67" s="556" t="s">
        <v>412</v>
      </c>
      <c r="I67" s="651"/>
      <c r="J67" s="654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</row>
    <row r="68" spans="1:36" s="323" customFormat="1" ht="42.6" customHeight="1" x14ac:dyDescent="0.25">
      <c r="A68" s="645" t="s">
        <v>339</v>
      </c>
      <c r="B68" s="641" t="s">
        <v>405</v>
      </c>
      <c r="C68" s="626">
        <v>23023.89</v>
      </c>
      <c r="D68" s="626"/>
      <c r="E68" s="546">
        <v>23023.89</v>
      </c>
      <c r="F68" s="626">
        <v>7049.2217000000001</v>
      </c>
      <c r="G68" s="550" t="s">
        <v>249</v>
      </c>
      <c r="H68" s="556" t="s">
        <v>412</v>
      </c>
      <c r="I68" s="651"/>
      <c r="J68" s="654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</row>
    <row r="69" spans="1:36" s="323" customFormat="1" ht="42.6" customHeight="1" x14ac:dyDescent="0.25">
      <c r="A69" s="645" t="s">
        <v>340</v>
      </c>
      <c r="B69" s="641" t="s">
        <v>406</v>
      </c>
      <c r="C69" s="626">
        <v>227922.04</v>
      </c>
      <c r="D69" s="626">
        <v>41217.47</v>
      </c>
      <c r="E69" s="546">
        <v>269139.51</v>
      </c>
      <c r="F69" s="626">
        <v>159925.39529999997</v>
      </c>
      <c r="G69" s="624" t="s">
        <v>203</v>
      </c>
      <c r="H69" s="556" t="s">
        <v>404</v>
      </c>
      <c r="I69" s="651"/>
      <c r="J69" s="654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</row>
    <row r="70" spans="1:36" s="323" customFormat="1" ht="42.6" customHeight="1" x14ac:dyDescent="0.25">
      <c r="A70" s="645" t="s">
        <v>341</v>
      </c>
      <c r="B70" s="641" t="s">
        <v>407</v>
      </c>
      <c r="C70" s="626">
        <v>107483.784</v>
      </c>
      <c r="D70" s="626"/>
      <c r="E70" s="546">
        <v>107483.784</v>
      </c>
      <c r="F70" s="626">
        <v>42715.839520000001</v>
      </c>
      <c r="G70" s="550" t="s">
        <v>249</v>
      </c>
      <c r="H70" s="556" t="s">
        <v>412</v>
      </c>
      <c r="I70" s="651"/>
      <c r="J70" s="654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</row>
    <row r="71" spans="1:36" s="323" customFormat="1" ht="42.6" customHeight="1" x14ac:dyDescent="0.25">
      <c r="A71" s="645" t="s">
        <v>342</v>
      </c>
      <c r="B71" s="641" t="s">
        <v>410</v>
      </c>
      <c r="C71" s="626">
        <v>27150</v>
      </c>
      <c r="D71" s="626"/>
      <c r="E71" s="546">
        <v>27150</v>
      </c>
      <c r="F71" s="626">
        <v>17195.89</v>
      </c>
      <c r="G71" s="624" t="s">
        <v>188</v>
      </c>
      <c r="H71" s="556" t="s">
        <v>411</v>
      </c>
      <c r="I71" s="651"/>
      <c r="J71" s="654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</row>
    <row r="72" spans="1:36" s="323" customFormat="1" ht="42.6" customHeight="1" x14ac:dyDescent="0.25">
      <c r="A72" s="645"/>
      <c r="B72" s="641"/>
      <c r="C72" s="626"/>
      <c r="D72" s="626"/>
      <c r="E72" s="546"/>
      <c r="F72" s="626"/>
      <c r="G72" s="624"/>
      <c r="H72" s="556"/>
      <c r="I72" s="651"/>
      <c r="J72" s="654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</row>
    <row r="73" spans="1:36" s="324" customFormat="1" ht="22.95" customHeight="1" x14ac:dyDescent="0.25">
      <c r="A73" s="560"/>
      <c r="B73" s="560" t="s">
        <v>47</v>
      </c>
      <c r="C73" s="561">
        <f>SUM(C6:C72)</f>
        <v>39381667.447997101</v>
      </c>
      <c r="D73" s="561">
        <f>SUM(D6:D72)</f>
        <v>7504533.7611656738</v>
      </c>
      <c r="E73" s="561">
        <f>SUM(E6:E72)</f>
        <v>46886201.209162779</v>
      </c>
      <c r="F73" s="561">
        <f>SUM(F6:F72)</f>
        <v>26396422.129569504</v>
      </c>
      <c r="G73" s="561"/>
      <c r="H73" s="561"/>
      <c r="I73" s="561"/>
    </row>
    <row r="74" spans="1:36" x14ac:dyDescent="0.25">
      <c r="C74" s="339"/>
      <c r="D74" s="339"/>
      <c r="E74" s="339"/>
      <c r="F74" s="339"/>
      <c r="G74" s="339"/>
      <c r="H74" s="339"/>
      <c r="I74" s="339"/>
    </row>
    <row r="75" spans="1:36" x14ac:dyDescent="0.25">
      <c r="C75" s="339"/>
      <c r="D75" s="339"/>
      <c r="E75" s="339"/>
      <c r="F75" s="339"/>
      <c r="G75" s="339"/>
      <c r="H75" s="339"/>
      <c r="I75" s="339"/>
    </row>
    <row r="76" spans="1:36" x14ac:dyDescent="0.25">
      <c r="C76" s="339"/>
      <c r="D76" s="339"/>
      <c r="E76" s="339"/>
      <c r="F76" s="339"/>
      <c r="G76" s="339"/>
      <c r="H76" s="339"/>
      <c r="I76" s="339"/>
    </row>
    <row r="77" spans="1:36" x14ac:dyDescent="0.25">
      <c r="C77" s="339"/>
      <c r="D77" s="339"/>
      <c r="E77" s="339"/>
      <c r="F77" s="339"/>
      <c r="G77" s="339"/>
      <c r="H77" s="339"/>
      <c r="I77" s="339"/>
    </row>
    <row r="78" spans="1:36" x14ac:dyDescent="0.25">
      <c r="C78" s="339"/>
      <c r="D78" s="339"/>
      <c r="E78" s="339"/>
      <c r="F78" s="339"/>
      <c r="G78" s="339"/>
      <c r="H78" s="339"/>
      <c r="I78" s="339"/>
    </row>
    <row r="79" spans="1:36" x14ac:dyDescent="0.25">
      <c r="C79" s="339"/>
      <c r="D79" s="339"/>
      <c r="E79" s="339"/>
      <c r="F79" s="339"/>
      <c r="G79" s="339"/>
      <c r="H79" s="339"/>
      <c r="I79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L120"/>
  <sheetViews>
    <sheetView tabSelected="1" showWhiteSpace="0" zoomScale="73" zoomScaleNormal="73" zoomScaleSheetLayoutView="36" workbookViewId="0">
      <pane xSplit="2" ySplit="5" topLeftCell="C89" activePane="bottomRight" state="frozen"/>
      <selection pane="topRight" activeCell="C1" sqref="C1"/>
      <selection pane="bottomLeft" activeCell="A6" sqref="A6"/>
      <selection pane="bottomRight" activeCell="E83" sqref="E83:E99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33203125" style="342" customWidth="1"/>
    <col min="5" max="5" width="19.88671875" style="342" customWidth="1" outlineLevel="1"/>
    <col min="6" max="6" width="21.6640625" style="342" customWidth="1"/>
    <col min="7" max="8" width="19.88671875" style="342" customWidth="1"/>
    <col min="9" max="9" width="24.109375" style="342" customWidth="1"/>
    <col min="10" max="10" width="18.5546875" style="342" customWidth="1"/>
    <col min="11" max="11" width="39.109375" style="342" customWidth="1"/>
    <col min="12" max="12" width="21.5546875" style="308" customWidth="1"/>
    <col min="13" max="13" width="36.77734375" style="308" customWidth="1"/>
    <col min="14" max="14" width="16.44140625" style="308" customWidth="1"/>
    <col min="15" max="16384" width="9.109375" style="308"/>
  </cols>
  <sheetData>
    <row r="1" spans="1:38" ht="16.95" customHeight="1" x14ac:dyDescent="0.25">
      <c r="A1" s="740" t="s">
        <v>205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</row>
    <row r="2" spans="1:38" ht="59.4" customHeight="1" thickBot="1" x14ac:dyDescent="0.3">
      <c r="A2" s="757"/>
      <c r="B2" s="757"/>
      <c r="C2" s="757"/>
      <c r="D2" s="757"/>
      <c r="E2" s="757"/>
      <c r="F2" s="757"/>
      <c r="G2" s="757"/>
      <c r="H2" s="757"/>
      <c r="I2" s="757"/>
      <c r="J2" s="757"/>
      <c r="K2" s="757"/>
    </row>
    <row r="3" spans="1:38" ht="17.399999999999999" customHeight="1" x14ac:dyDescent="0.25">
      <c r="A3" s="741" t="s">
        <v>124</v>
      </c>
      <c r="B3" s="754" t="s">
        <v>185</v>
      </c>
      <c r="C3" s="744" t="s">
        <v>204</v>
      </c>
      <c r="D3" s="758" t="s">
        <v>218</v>
      </c>
      <c r="E3" s="759"/>
      <c r="F3" s="759"/>
      <c r="G3" s="759"/>
      <c r="H3" s="759"/>
      <c r="I3" s="759"/>
      <c r="J3" s="760"/>
      <c r="K3" s="751" t="s">
        <v>191</v>
      </c>
    </row>
    <row r="4" spans="1:38" ht="12.6" customHeight="1" x14ac:dyDescent="0.25">
      <c r="A4" s="742"/>
      <c r="B4" s="755"/>
      <c r="C4" s="745"/>
      <c r="D4" s="761"/>
      <c r="E4" s="762"/>
      <c r="F4" s="762"/>
      <c r="G4" s="762"/>
      <c r="H4" s="762"/>
      <c r="I4" s="762"/>
      <c r="J4" s="763"/>
      <c r="K4" s="752"/>
    </row>
    <row r="5" spans="1:38" ht="40.950000000000003" customHeight="1" thickBot="1" x14ac:dyDescent="0.3">
      <c r="A5" s="743"/>
      <c r="B5" s="756"/>
      <c r="C5" s="746"/>
      <c r="D5" s="649" t="s">
        <v>126</v>
      </c>
      <c r="E5" s="649" t="s">
        <v>415</v>
      </c>
      <c r="F5" s="649" t="s">
        <v>267</v>
      </c>
      <c r="G5" s="649" t="s">
        <v>193</v>
      </c>
      <c r="H5" s="649" t="s">
        <v>192</v>
      </c>
      <c r="I5" s="649" t="s">
        <v>9</v>
      </c>
      <c r="J5" s="649" t="s">
        <v>190</v>
      </c>
      <c r="K5" s="753"/>
    </row>
    <row r="6" spans="1:38" s="323" customFormat="1" ht="49.2" hidden="1" customHeight="1" x14ac:dyDescent="0.25">
      <c r="A6" s="642" t="s">
        <v>53</v>
      </c>
      <c r="B6" s="643" t="s">
        <v>199</v>
      </c>
      <c r="C6" s="644">
        <v>69779.8</v>
      </c>
      <c r="D6" s="646" t="s">
        <v>53</v>
      </c>
      <c r="E6" s="647">
        <f>IFERROR(VALUE(MID(D6,2,LEN(D6)-1)),"")</f>
        <v>1</v>
      </c>
      <c r="F6" s="639">
        <v>74844.200000000012</v>
      </c>
      <c r="G6" s="644">
        <v>0</v>
      </c>
      <c r="H6" s="644">
        <v>74844.200000000012</v>
      </c>
      <c r="I6" s="644" t="s">
        <v>249</v>
      </c>
      <c r="J6" s="648" t="s">
        <v>251</v>
      </c>
      <c r="K6" s="648" t="s">
        <v>153</v>
      </c>
      <c r="L6" s="533" t="s">
        <v>312</v>
      </c>
      <c r="M6" s="650" t="s">
        <v>313</v>
      </c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</row>
    <row r="7" spans="1:38" s="323" customFormat="1" ht="52.95" hidden="1" customHeight="1" x14ac:dyDescent="0.25">
      <c r="A7" s="645" t="s">
        <v>209</v>
      </c>
      <c r="B7" s="641" t="s">
        <v>206</v>
      </c>
      <c r="C7" s="661">
        <v>401488.07</v>
      </c>
      <c r="D7" s="548" t="s">
        <v>69</v>
      </c>
      <c r="E7" s="636">
        <f>IFERROR(VALUE(MID(D7,2,LEN(D7)-1)),"")</f>
        <v>2</v>
      </c>
      <c r="F7" s="852">
        <v>585276.81999999995</v>
      </c>
      <c r="G7" s="626">
        <v>236280.52</v>
      </c>
      <c r="H7" s="661">
        <v>348996.3</v>
      </c>
      <c r="I7" s="626" t="s">
        <v>202</v>
      </c>
      <c r="J7" s="854" t="s">
        <v>242</v>
      </c>
      <c r="K7" s="626" t="s">
        <v>321</v>
      </c>
      <c r="L7" s="538"/>
      <c r="M7" s="538"/>
      <c r="N7" s="537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</row>
    <row r="8" spans="1:38" s="323" customFormat="1" ht="39.75" hidden="1" customHeight="1" x14ac:dyDescent="0.25">
      <c r="A8" s="579" t="s">
        <v>210</v>
      </c>
      <c r="B8" s="660" t="s">
        <v>207</v>
      </c>
      <c r="C8" s="661">
        <v>401488.07</v>
      </c>
      <c r="D8" s="548" t="s">
        <v>70</v>
      </c>
      <c r="E8" s="636">
        <f>IFERROR(VALUE(MID(D8,2,LEN(D8)-1)),"")</f>
        <v>3</v>
      </c>
      <c r="F8" s="558">
        <v>585218.81999999995</v>
      </c>
      <c r="G8" s="626">
        <v>236280.52</v>
      </c>
      <c r="H8" s="547">
        <v>348938.3</v>
      </c>
      <c r="I8" s="626" t="s">
        <v>202</v>
      </c>
      <c r="J8" s="854" t="s">
        <v>242</v>
      </c>
      <c r="K8" s="626" t="s">
        <v>321</v>
      </c>
      <c r="L8" s="536"/>
      <c r="M8" s="856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</row>
    <row r="9" spans="1:38" s="323" customFormat="1" ht="39.75" hidden="1" customHeight="1" x14ac:dyDescent="0.25">
      <c r="A9" s="608" t="s">
        <v>74</v>
      </c>
      <c r="B9" s="847" t="s">
        <v>186</v>
      </c>
      <c r="C9" s="851">
        <v>70000</v>
      </c>
      <c r="D9" s="616" t="s">
        <v>71</v>
      </c>
      <c r="E9" s="634">
        <f>IFERROR(VALUE(MID(D9,2,LEN(D9)-1)),"")</f>
        <v>4</v>
      </c>
      <c r="F9" s="619">
        <v>70000</v>
      </c>
      <c r="G9" s="620">
        <v>0</v>
      </c>
      <c r="H9" s="620">
        <v>70000</v>
      </c>
      <c r="I9" s="599" t="s">
        <v>249</v>
      </c>
      <c r="J9" s="606" t="s">
        <v>251</v>
      </c>
      <c r="K9" s="599" t="s">
        <v>153</v>
      </c>
      <c r="L9" s="318"/>
      <c r="M9" s="85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</row>
    <row r="10" spans="1:38" s="323" customFormat="1" ht="39.75" hidden="1" customHeight="1" x14ac:dyDescent="0.25">
      <c r="A10" s="608" t="s">
        <v>81</v>
      </c>
      <c r="B10" s="847" t="s">
        <v>227</v>
      </c>
      <c r="C10" s="648">
        <v>92115.83</v>
      </c>
      <c r="D10" s="599" t="s">
        <v>72</v>
      </c>
      <c r="E10" s="634">
        <f>IFERROR(VALUE(MID(D10,2,LEN(D10)-1)),"")</f>
        <v>5</v>
      </c>
      <c r="F10" s="619">
        <v>92115.83</v>
      </c>
      <c r="G10" s="620">
        <v>0</v>
      </c>
      <c r="H10" s="620">
        <v>92115.83</v>
      </c>
      <c r="I10" s="599" t="s">
        <v>249</v>
      </c>
      <c r="J10" s="606" t="s">
        <v>263</v>
      </c>
      <c r="K10" s="599" t="s">
        <v>153</v>
      </c>
      <c r="L10" s="318"/>
      <c r="M10" s="85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</row>
    <row r="11" spans="1:38" s="323" customFormat="1" ht="39.75" hidden="1" customHeight="1" x14ac:dyDescent="0.25">
      <c r="A11" s="608" t="s">
        <v>243</v>
      </c>
      <c r="B11" s="643" t="s">
        <v>247</v>
      </c>
      <c r="C11" s="644">
        <v>69692.789999999994</v>
      </c>
      <c r="D11" s="599" t="s">
        <v>73</v>
      </c>
      <c r="E11" s="634">
        <f>IFERROR(VALUE(MID(D11,2,LEN(D11)-1)),"")</f>
        <v>6</v>
      </c>
      <c r="F11" s="601">
        <v>69692.789999999994</v>
      </c>
      <c r="G11" s="599">
        <v>0</v>
      </c>
      <c r="H11" s="599">
        <v>69692.789999999994</v>
      </c>
      <c r="I11" s="599" t="s">
        <v>249</v>
      </c>
      <c r="J11" s="606" t="s">
        <v>263</v>
      </c>
      <c r="K11" s="599" t="s">
        <v>153</v>
      </c>
      <c r="L11" s="318"/>
      <c r="M11" s="85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</row>
    <row r="12" spans="1:38" s="323" customFormat="1" ht="38.25" hidden="1" customHeight="1" x14ac:dyDescent="0.25">
      <c r="A12" s="608" t="s">
        <v>171</v>
      </c>
      <c r="B12" s="609" t="s">
        <v>226</v>
      </c>
      <c r="C12" s="606">
        <v>220420.19</v>
      </c>
      <c r="D12" s="599" t="s">
        <v>74</v>
      </c>
      <c r="E12" s="634">
        <f>IFERROR(VALUE(MID(D12,2,LEN(D12)-1)),"")</f>
        <v>7</v>
      </c>
      <c r="F12" s="603">
        <v>220420.19</v>
      </c>
      <c r="G12" s="602">
        <v>0</v>
      </c>
      <c r="H12" s="602">
        <v>220420.19</v>
      </c>
      <c r="I12" s="599" t="s">
        <v>249</v>
      </c>
      <c r="J12" s="599" t="s">
        <v>263</v>
      </c>
      <c r="K12" s="599" t="s">
        <v>153</v>
      </c>
      <c r="L12" s="318"/>
      <c r="M12" s="85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</row>
    <row r="13" spans="1:38" s="323" customFormat="1" ht="38.25" hidden="1" customHeight="1" x14ac:dyDescent="0.25">
      <c r="A13" s="608" t="s">
        <v>172</v>
      </c>
      <c r="B13" s="847" t="s">
        <v>228</v>
      </c>
      <c r="C13" s="648">
        <v>19075.719999999998</v>
      </c>
      <c r="D13" s="599" t="s">
        <v>77</v>
      </c>
      <c r="E13" s="634">
        <f>IFERROR(VALUE(MID(D13,2,LEN(D13)-1)),"")</f>
        <v>8</v>
      </c>
      <c r="F13" s="601">
        <v>19075.719999999998</v>
      </c>
      <c r="G13" s="602">
        <v>0</v>
      </c>
      <c r="H13" s="599">
        <v>19075.719999999998</v>
      </c>
      <c r="I13" s="599" t="s">
        <v>249</v>
      </c>
      <c r="J13" s="606" t="s">
        <v>263</v>
      </c>
      <c r="K13" s="599" t="s">
        <v>153</v>
      </c>
      <c r="L13" s="318"/>
      <c r="M13" s="534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</row>
    <row r="14" spans="1:38" s="323" customFormat="1" ht="38.25" hidden="1" customHeight="1" x14ac:dyDescent="0.25">
      <c r="A14" s="608" t="s">
        <v>221</v>
      </c>
      <c r="B14" s="847" t="s">
        <v>231</v>
      </c>
      <c r="C14" s="648">
        <v>8730</v>
      </c>
      <c r="D14" s="599" t="s">
        <v>250</v>
      </c>
      <c r="E14" s="634">
        <f>IFERROR(VALUE(MID(D14,2,LEN(D14)-1)),"")</f>
        <v>9</v>
      </c>
      <c r="F14" s="601">
        <v>8730</v>
      </c>
      <c r="G14" s="602">
        <v>0</v>
      </c>
      <c r="H14" s="599">
        <v>8730</v>
      </c>
      <c r="I14" s="599" t="s">
        <v>249</v>
      </c>
      <c r="J14" s="606" t="s">
        <v>263</v>
      </c>
      <c r="K14" s="599" t="s">
        <v>153</v>
      </c>
      <c r="L14" s="318"/>
      <c r="M14" s="534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</row>
    <row r="15" spans="1:38" s="323" customFormat="1" ht="38.25" hidden="1" customHeight="1" x14ac:dyDescent="0.25">
      <c r="A15" s="579" t="s">
        <v>208</v>
      </c>
      <c r="B15" s="848" t="s">
        <v>211</v>
      </c>
      <c r="C15" s="850">
        <v>994922</v>
      </c>
      <c r="D15" s="626" t="s">
        <v>76</v>
      </c>
      <c r="E15" s="636">
        <f>IFERROR(VALUE(MID(D15,2,LEN(D15)-1)),"")</f>
        <v>10</v>
      </c>
      <c r="F15" s="546">
        <v>1609186.51</v>
      </c>
      <c r="G15" s="626">
        <v>680569.72</v>
      </c>
      <c r="H15" s="626">
        <v>928616.79</v>
      </c>
      <c r="I15" s="626" t="s">
        <v>202</v>
      </c>
      <c r="J15" s="661" t="s">
        <v>269</v>
      </c>
      <c r="K15" s="626" t="s">
        <v>321</v>
      </c>
      <c r="L15" s="541"/>
      <c r="M15" s="542"/>
      <c r="N15" s="537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</row>
    <row r="16" spans="1:38" s="323" customFormat="1" ht="38.25" hidden="1" customHeight="1" x14ac:dyDescent="0.25">
      <c r="A16" s="670" t="s">
        <v>75</v>
      </c>
      <c r="B16" s="664" t="s">
        <v>214</v>
      </c>
      <c r="C16" s="665">
        <v>300000</v>
      </c>
      <c r="D16" s="626" t="s">
        <v>79</v>
      </c>
      <c r="E16" s="636">
        <f>IFERROR(VALUE(MID(D16,2,LEN(D16)-1)),"")</f>
        <v>11</v>
      </c>
      <c r="F16" s="558">
        <v>231000</v>
      </c>
      <c r="G16" s="547">
        <v>0</v>
      </c>
      <c r="H16" s="547">
        <v>231000</v>
      </c>
      <c r="I16" s="626" t="s">
        <v>202</v>
      </c>
      <c r="J16" s="626" t="s">
        <v>269</v>
      </c>
      <c r="K16" s="626" t="s">
        <v>153</v>
      </c>
      <c r="L16" s="318"/>
      <c r="M16" s="669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</row>
    <row r="17" spans="1:38" s="323" customFormat="1" ht="36" hidden="1" customHeight="1" x14ac:dyDescent="0.25">
      <c r="A17" s="670" t="s">
        <v>77</v>
      </c>
      <c r="B17" s="662" t="s">
        <v>196</v>
      </c>
      <c r="C17" s="554">
        <v>2183910</v>
      </c>
      <c r="D17" s="550" t="s">
        <v>75</v>
      </c>
      <c r="E17" s="635">
        <f>IFERROR(VALUE(MID(D17,2,LEN(D17)-1)),"")</f>
        <v>12</v>
      </c>
      <c r="F17" s="591">
        <v>1027136</v>
      </c>
      <c r="G17" s="550"/>
      <c r="H17" s="557">
        <v>1027136</v>
      </c>
      <c r="I17" s="626" t="s">
        <v>249</v>
      </c>
      <c r="J17" s="854" t="s">
        <v>281</v>
      </c>
      <c r="K17" s="626" t="s">
        <v>153</v>
      </c>
      <c r="L17" s="536"/>
      <c r="M17" s="49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</row>
    <row r="18" spans="1:38" s="323" customFormat="1" ht="33" hidden="1" customHeight="1" x14ac:dyDescent="0.25">
      <c r="A18" s="670" t="s">
        <v>77</v>
      </c>
      <c r="B18" s="663"/>
      <c r="C18" s="555"/>
      <c r="D18" s="550" t="s">
        <v>283</v>
      </c>
      <c r="E18" s="637">
        <v>12.1</v>
      </c>
      <c r="F18" s="591">
        <v>33000</v>
      </c>
      <c r="G18" s="550"/>
      <c r="H18" s="557">
        <v>33000</v>
      </c>
      <c r="I18" s="550" t="s">
        <v>249</v>
      </c>
      <c r="J18" s="556" t="s">
        <v>284</v>
      </c>
      <c r="K18" s="626" t="s">
        <v>153</v>
      </c>
      <c r="L18" s="536"/>
      <c r="M18" s="53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</row>
    <row r="19" spans="1:38" s="323" customFormat="1" ht="32.4" hidden="1" customHeight="1" x14ac:dyDescent="0.25">
      <c r="A19" s="670" t="s">
        <v>78</v>
      </c>
      <c r="B19" s="663" t="s">
        <v>197</v>
      </c>
      <c r="C19" s="555">
        <v>644106.1</v>
      </c>
      <c r="D19" s="550" t="s">
        <v>80</v>
      </c>
      <c r="E19" s="635">
        <f>IFERROR(VALUE(MID(D19,2,LEN(D19)-1)),"")</f>
        <v>13</v>
      </c>
      <c r="F19" s="546">
        <v>309258.40000000002</v>
      </c>
      <c r="G19" s="626"/>
      <c r="H19" s="557">
        <v>309258.40000000002</v>
      </c>
      <c r="I19" s="626" t="s">
        <v>249</v>
      </c>
      <c r="J19" s="556" t="s">
        <v>281</v>
      </c>
      <c r="K19" s="626" t="s">
        <v>153</v>
      </c>
      <c r="L19" s="536"/>
      <c r="M19" s="536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</row>
    <row r="20" spans="1:38" s="323" customFormat="1" ht="32.4" hidden="1" customHeight="1" x14ac:dyDescent="0.25">
      <c r="A20" s="670" t="s">
        <v>79</v>
      </c>
      <c r="B20" s="664" t="s">
        <v>213</v>
      </c>
      <c r="C20" s="665">
        <v>76937.850000000006</v>
      </c>
      <c r="D20" s="626" t="s">
        <v>167</v>
      </c>
      <c r="E20" s="636">
        <f>IFERROR(VALUE(MID(D20,2,LEN(D20)-1)),"")</f>
        <v>14</v>
      </c>
      <c r="F20" s="558">
        <v>27868</v>
      </c>
      <c r="G20" s="547">
        <v>0</v>
      </c>
      <c r="H20" s="547">
        <v>27868</v>
      </c>
      <c r="I20" s="626" t="s">
        <v>202</v>
      </c>
      <c r="J20" s="661" t="s">
        <v>269</v>
      </c>
      <c r="K20" s="547" t="s">
        <v>323</v>
      </c>
      <c r="L20" s="318"/>
      <c r="M20" s="669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</row>
    <row r="21" spans="1:38" s="323" customFormat="1" ht="56.4" hidden="1" customHeight="1" x14ac:dyDescent="0.25">
      <c r="A21" s="670" t="s">
        <v>295</v>
      </c>
      <c r="B21" s="662" t="s">
        <v>290</v>
      </c>
      <c r="C21" s="554">
        <v>7766307.4578399099</v>
      </c>
      <c r="D21" s="548" t="s">
        <v>158</v>
      </c>
      <c r="E21" s="636">
        <f>IFERROR(VALUE(MID(D21,2,LEN(D21)-1)),"")</f>
        <v>15</v>
      </c>
      <c r="F21" s="546">
        <v>554353</v>
      </c>
      <c r="G21" s="626">
        <v>0</v>
      </c>
      <c r="H21" s="626">
        <v>554353</v>
      </c>
      <c r="I21" s="626" t="s">
        <v>202</v>
      </c>
      <c r="J21" s="661" t="s">
        <v>269</v>
      </c>
      <c r="K21" s="556" t="s">
        <v>153</v>
      </c>
      <c r="L21" s="534" t="s">
        <v>249</v>
      </c>
      <c r="M21" s="857" t="s">
        <v>316</v>
      </c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</row>
    <row r="22" spans="1:38" s="323" customFormat="1" ht="56.4" hidden="1" customHeight="1" x14ac:dyDescent="0.25">
      <c r="A22" s="670" t="s">
        <v>71</v>
      </c>
      <c r="B22" s="664" t="s">
        <v>194</v>
      </c>
      <c r="C22" s="665">
        <v>403929.07</v>
      </c>
      <c r="D22" s="549" t="s">
        <v>169</v>
      </c>
      <c r="E22" s="636">
        <f>IFERROR(VALUE(MID(D22,2,LEN(D22)-1)),"")</f>
        <v>16</v>
      </c>
      <c r="F22" s="590">
        <v>446461.48</v>
      </c>
      <c r="G22" s="556">
        <v>95684.599359999993</v>
      </c>
      <c r="H22" s="556">
        <v>350776.88</v>
      </c>
      <c r="I22" s="626" t="s">
        <v>202</v>
      </c>
      <c r="J22" s="661" t="s">
        <v>269</v>
      </c>
      <c r="K22" s="556" t="s">
        <v>321</v>
      </c>
      <c r="L22" s="318"/>
      <c r="M22" s="535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</row>
    <row r="23" spans="1:38" s="323" customFormat="1" ht="56.4" customHeight="1" x14ac:dyDescent="0.25">
      <c r="A23" s="579"/>
      <c r="B23" s="660" t="s">
        <v>329</v>
      </c>
      <c r="C23" s="626"/>
      <c r="D23" s="626" t="s">
        <v>169</v>
      </c>
      <c r="E23" s="636">
        <f>IFERROR(VALUE(MID(D23,2,LEN(D23)-1)),"")</f>
        <v>16</v>
      </c>
      <c r="F23" s="558">
        <v>30200</v>
      </c>
      <c r="G23" s="547"/>
      <c r="H23" s="547"/>
      <c r="I23" s="547"/>
      <c r="J23" s="554"/>
      <c r="K23" s="547"/>
      <c r="L23" s="318"/>
      <c r="M23" s="534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</row>
    <row r="24" spans="1:38" s="323" customFormat="1" ht="41.4" hidden="1" customHeight="1" x14ac:dyDescent="0.25">
      <c r="A24" s="597" t="s">
        <v>264</v>
      </c>
      <c r="B24" s="598" t="s">
        <v>265</v>
      </c>
      <c r="C24" s="599">
        <v>47254.520000000004</v>
      </c>
      <c r="D24" s="617" t="s">
        <v>170</v>
      </c>
      <c r="E24" s="634">
        <f>IFERROR(VALUE(MID(D24,2,LEN(D24)-1)),"")</f>
        <v>17</v>
      </c>
      <c r="F24" s="618">
        <v>47254.520000000004</v>
      </c>
      <c r="G24" s="604">
        <v>9854.52</v>
      </c>
      <c r="H24" s="604">
        <v>37400</v>
      </c>
      <c r="I24" s="599" t="s">
        <v>202</v>
      </c>
      <c r="J24" s="599" t="s">
        <v>269</v>
      </c>
      <c r="K24" s="615" t="s">
        <v>321</v>
      </c>
      <c r="L24" s="318"/>
      <c r="M24" s="535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</row>
    <row r="25" spans="1:38" s="323" customFormat="1" ht="55.2" hidden="1" customHeight="1" x14ac:dyDescent="0.25">
      <c r="A25" s="597" t="s">
        <v>69</v>
      </c>
      <c r="B25" s="598" t="s">
        <v>200</v>
      </c>
      <c r="C25" s="599">
        <v>2044</v>
      </c>
      <c r="D25" s="617" t="s">
        <v>171</v>
      </c>
      <c r="E25" s="634">
        <f>IFERROR(VALUE(MID(D25,2,LEN(D25)-1)),"")</f>
        <v>18</v>
      </c>
      <c r="F25" s="601">
        <v>2044</v>
      </c>
      <c r="G25" s="599">
        <v>0</v>
      </c>
      <c r="H25" s="599">
        <v>2044</v>
      </c>
      <c r="I25" s="599" t="s">
        <v>202</v>
      </c>
      <c r="J25" s="606" t="s">
        <v>269</v>
      </c>
      <c r="K25" s="615" t="s">
        <v>153</v>
      </c>
      <c r="L25" s="307"/>
      <c r="M25" s="537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</row>
    <row r="26" spans="1:38" s="323" customFormat="1" ht="46.95" hidden="1" customHeight="1" x14ac:dyDescent="0.25">
      <c r="A26" s="597" t="s">
        <v>244</v>
      </c>
      <c r="B26" s="598" t="s">
        <v>248</v>
      </c>
      <c r="C26" s="599">
        <v>130832</v>
      </c>
      <c r="D26" s="599" t="s">
        <v>172</v>
      </c>
      <c r="E26" s="634">
        <f>IFERROR(VALUE(MID(D26,2,LEN(D26)-1)),"")</f>
        <v>19</v>
      </c>
      <c r="F26" s="603">
        <v>151220.25</v>
      </c>
      <c r="G26" s="602">
        <v>0</v>
      </c>
      <c r="H26" s="602">
        <v>151220.25</v>
      </c>
      <c r="I26" s="599" t="s">
        <v>249</v>
      </c>
      <c r="J26" s="604" t="s">
        <v>281</v>
      </c>
      <c r="K26" s="599" t="s">
        <v>153</v>
      </c>
      <c r="L26" s="318"/>
      <c r="M26" s="534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</row>
    <row r="27" spans="1:38" s="323" customFormat="1" ht="48.6" hidden="1" customHeight="1" x14ac:dyDescent="0.25">
      <c r="A27" s="597" t="s">
        <v>252</v>
      </c>
      <c r="B27" s="598" t="s">
        <v>254</v>
      </c>
      <c r="C27" s="599">
        <v>16887.37</v>
      </c>
      <c r="D27" s="599" t="s">
        <v>221</v>
      </c>
      <c r="E27" s="634">
        <f>IFERROR(VALUE(MID(D27,2,LEN(D27)-1)),"")</f>
        <v>20</v>
      </c>
      <c r="F27" s="603">
        <v>46960.607999999993</v>
      </c>
      <c r="G27" s="602">
        <v>30073.237999999998</v>
      </c>
      <c r="H27" s="602">
        <v>16887.37</v>
      </c>
      <c r="I27" s="599" t="s">
        <v>249</v>
      </c>
      <c r="J27" s="604" t="s">
        <v>281</v>
      </c>
      <c r="K27" s="599" t="s">
        <v>321</v>
      </c>
      <c r="L27" s="318"/>
      <c r="M27" s="534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</row>
    <row r="28" spans="1:38" s="323" customFormat="1" ht="41.4" hidden="1" customHeight="1" x14ac:dyDescent="0.25">
      <c r="A28" s="597" t="s">
        <v>259</v>
      </c>
      <c r="B28" s="598" t="s">
        <v>257</v>
      </c>
      <c r="C28" s="599">
        <v>35433.65</v>
      </c>
      <c r="D28" s="599" t="s">
        <v>222</v>
      </c>
      <c r="E28" s="634">
        <f>IFERROR(VALUE(MID(D28,2,LEN(D28)-1)),"")</f>
        <v>21</v>
      </c>
      <c r="F28" s="603">
        <v>148179.73000000001</v>
      </c>
      <c r="G28" s="602">
        <v>115912.73</v>
      </c>
      <c r="H28" s="602">
        <v>32267</v>
      </c>
      <c r="I28" s="599" t="s">
        <v>249</v>
      </c>
      <c r="J28" s="855" t="s">
        <v>298</v>
      </c>
      <c r="K28" s="606" t="s">
        <v>321</v>
      </c>
      <c r="L28" s="318"/>
      <c r="M28" s="534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</row>
    <row r="29" spans="1:38" s="323" customFormat="1" ht="32.4" hidden="1" customHeight="1" x14ac:dyDescent="0.25">
      <c r="A29" s="670" t="s">
        <v>75</v>
      </c>
      <c r="B29" s="662"/>
      <c r="C29" s="554"/>
      <c r="D29" s="626" t="s">
        <v>223</v>
      </c>
      <c r="E29" s="636">
        <f>IFERROR(VALUE(MID(D29,2,LEN(D29)-1)),"")</f>
        <v>22</v>
      </c>
      <c r="F29" s="558">
        <v>111000</v>
      </c>
      <c r="G29" s="547">
        <v>0</v>
      </c>
      <c r="H29" s="547">
        <v>111000</v>
      </c>
      <c r="I29" s="626" t="s">
        <v>249</v>
      </c>
      <c r="J29" s="556" t="s">
        <v>281</v>
      </c>
      <c r="K29" s="626" t="s">
        <v>153</v>
      </c>
      <c r="L29" s="318"/>
      <c r="M29" s="534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</row>
    <row r="30" spans="1:38" s="323" customFormat="1" ht="32.4" hidden="1" customHeight="1" x14ac:dyDescent="0.25">
      <c r="A30" s="845" t="s">
        <v>76</v>
      </c>
      <c r="B30" s="848" t="s">
        <v>215</v>
      </c>
      <c r="C30" s="850">
        <v>526703.78</v>
      </c>
      <c r="D30" s="626" t="s">
        <v>245</v>
      </c>
      <c r="E30" s="636">
        <f>IFERROR(VALUE(MID(D30,2,LEN(D30)-1)),"")</f>
        <v>23</v>
      </c>
      <c r="F30" s="558">
        <v>593059.22000000009</v>
      </c>
      <c r="G30" s="547">
        <v>150765.30000000002</v>
      </c>
      <c r="H30" s="547">
        <v>442293.92000000004</v>
      </c>
      <c r="I30" s="626" t="s">
        <v>249</v>
      </c>
      <c r="J30" s="556" t="s">
        <v>281</v>
      </c>
      <c r="K30" s="626" t="s">
        <v>153</v>
      </c>
      <c r="L30" s="318"/>
      <c r="M30" s="534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</row>
    <row r="31" spans="1:38" s="323" customFormat="1" ht="32.4" hidden="1" customHeight="1" x14ac:dyDescent="0.25">
      <c r="A31" s="843" t="s">
        <v>236</v>
      </c>
      <c r="B31" s="847" t="s">
        <v>271</v>
      </c>
      <c r="C31" s="648">
        <v>44103.59</v>
      </c>
      <c r="D31" s="599" t="s">
        <v>277</v>
      </c>
      <c r="E31" s="634">
        <f>IFERROR(VALUE(MID(D31,2,LEN(D31)-1)),"")</f>
        <v>24</v>
      </c>
      <c r="F31" s="603">
        <v>40991.121999999996</v>
      </c>
      <c r="G31" s="602">
        <v>187.78200000000001</v>
      </c>
      <c r="H31" s="602">
        <v>40803.339999999997</v>
      </c>
      <c r="I31" s="599" t="s">
        <v>249</v>
      </c>
      <c r="J31" s="604" t="s">
        <v>281</v>
      </c>
      <c r="K31" s="599" t="s">
        <v>321</v>
      </c>
      <c r="L31" s="318"/>
      <c r="M31" s="534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</row>
    <row r="32" spans="1:38" s="323" customFormat="1" ht="32.4" hidden="1" customHeight="1" x14ac:dyDescent="0.25">
      <c r="A32" s="671" t="s">
        <v>223</v>
      </c>
      <c r="B32" s="663" t="s">
        <v>246</v>
      </c>
      <c r="C32" s="555">
        <v>505000</v>
      </c>
      <c r="D32" s="626" t="s">
        <v>224</v>
      </c>
      <c r="E32" s="636">
        <f>IFERROR(VALUE(MID(D32,2,LEN(D32)-1)),"")</f>
        <v>25</v>
      </c>
      <c r="F32" s="558">
        <v>290457</v>
      </c>
      <c r="G32" s="547">
        <v>0</v>
      </c>
      <c r="H32" s="547">
        <v>290457</v>
      </c>
      <c r="I32" s="550" t="s">
        <v>249</v>
      </c>
      <c r="J32" s="556" t="s">
        <v>284</v>
      </c>
      <c r="K32" s="626" t="s">
        <v>153</v>
      </c>
      <c r="L32" s="318"/>
      <c r="M32" s="534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</row>
    <row r="33" spans="1:38" s="323" customFormat="1" ht="38.4" hidden="1" customHeight="1" x14ac:dyDescent="0.25">
      <c r="A33" s="672" t="s">
        <v>222</v>
      </c>
      <c r="B33" s="664" t="s">
        <v>241</v>
      </c>
      <c r="C33" s="665">
        <v>1821725.04</v>
      </c>
      <c r="D33" s="626" t="s">
        <v>225</v>
      </c>
      <c r="E33" s="636">
        <f>IFERROR(VALUE(MID(D33,2,LEN(D33)-1)),"")</f>
        <v>26</v>
      </c>
      <c r="F33" s="558">
        <v>954520.6</v>
      </c>
      <c r="G33" s="547">
        <v>0</v>
      </c>
      <c r="H33" s="547">
        <v>954520.6</v>
      </c>
      <c r="I33" s="550" t="s">
        <v>249</v>
      </c>
      <c r="J33" s="854" t="s">
        <v>284</v>
      </c>
      <c r="K33" s="626" t="s">
        <v>153</v>
      </c>
      <c r="L33" s="318"/>
      <c r="M33" s="534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</row>
    <row r="34" spans="1:38" s="323" customFormat="1" ht="55.2" customHeight="1" x14ac:dyDescent="0.25">
      <c r="A34" s="579"/>
      <c r="B34" s="660" t="s">
        <v>330</v>
      </c>
      <c r="C34" s="661"/>
      <c r="D34" s="626" t="s">
        <v>225</v>
      </c>
      <c r="E34" s="636">
        <f>IFERROR(VALUE(MID(D34,2,LEN(D34)-1)),"")</f>
        <v>26</v>
      </c>
      <c r="F34" s="546">
        <v>68000</v>
      </c>
      <c r="G34" s="547"/>
      <c r="H34" s="550"/>
      <c r="I34" s="556"/>
      <c r="J34" s="547"/>
      <c r="K34" s="547"/>
      <c r="L34" s="534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</row>
    <row r="35" spans="1:38" s="323" customFormat="1" ht="48" hidden="1" customHeight="1" x14ac:dyDescent="0.25">
      <c r="A35" s="672" t="s">
        <v>294</v>
      </c>
      <c r="B35" s="664" t="s">
        <v>291</v>
      </c>
      <c r="C35" s="665">
        <v>7051600.8118639104</v>
      </c>
      <c r="D35" s="548" t="s">
        <v>235</v>
      </c>
      <c r="E35" s="636">
        <f>IFERROR(VALUE(MID(D35,2,LEN(D35)-1)),"")</f>
        <v>27</v>
      </c>
      <c r="F35" s="546">
        <v>330648.57999999996</v>
      </c>
      <c r="G35" s="626">
        <v>0</v>
      </c>
      <c r="H35" s="626">
        <v>330648.57999999996</v>
      </c>
      <c r="I35" s="626" t="s">
        <v>202</v>
      </c>
      <c r="J35" s="626" t="s">
        <v>288</v>
      </c>
      <c r="K35" s="556" t="s">
        <v>153</v>
      </c>
      <c r="L35" s="307" t="s">
        <v>188</v>
      </c>
      <c r="M35" s="857" t="s">
        <v>315</v>
      </c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</row>
    <row r="36" spans="1:38" s="323" customFormat="1" ht="41.4" hidden="1" customHeight="1" x14ac:dyDescent="0.25">
      <c r="A36" s="629" t="s">
        <v>295</v>
      </c>
      <c r="B36" s="559"/>
      <c r="C36" s="547"/>
      <c r="D36" s="548" t="s">
        <v>262</v>
      </c>
      <c r="E36" s="636">
        <f>IFERROR(VALUE(MID(D36,2,LEN(D36)-1)),"")</f>
        <v>28</v>
      </c>
      <c r="F36" s="546">
        <v>5437399.7429927047</v>
      </c>
      <c r="G36" s="626">
        <v>2649255.2429927043</v>
      </c>
      <c r="H36" s="626">
        <v>2788144.5</v>
      </c>
      <c r="I36" s="626" t="s">
        <v>202</v>
      </c>
      <c r="J36" s="626" t="s">
        <v>288</v>
      </c>
      <c r="K36" s="556" t="s">
        <v>321</v>
      </c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</row>
    <row r="37" spans="1:38" s="323" customFormat="1" ht="28.95" hidden="1" customHeight="1" x14ac:dyDescent="0.25">
      <c r="A37" s="670" t="s">
        <v>293</v>
      </c>
      <c r="B37" s="662" t="s">
        <v>292</v>
      </c>
      <c r="C37" s="554">
        <v>7883363.147839915</v>
      </c>
      <c r="D37" s="548" t="s">
        <v>230</v>
      </c>
      <c r="E37" s="636">
        <f>IFERROR(VALUE(MID(D37,2,LEN(D37)-1)),"")</f>
        <v>29</v>
      </c>
      <c r="F37" s="546">
        <v>359694.36</v>
      </c>
      <c r="G37" s="626" t="s">
        <v>153</v>
      </c>
      <c r="H37" s="626">
        <v>359694.36</v>
      </c>
      <c r="I37" s="626" t="s">
        <v>202</v>
      </c>
      <c r="J37" s="661" t="s">
        <v>308</v>
      </c>
      <c r="K37" s="556" t="s">
        <v>153</v>
      </c>
      <c r="L37" s="533" t="s">
        <v>203</v>
      </c>
      <c r="M37" s="857" t="s">
        <v>314</v>
      </c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</row>
    <row r="38" spans="1:38" s="323" customFormat="1" ht="36" hidden="1" customHeight="1" x14ac:dyDescent="0.25">
      <c r="A38" s="671" t="s">
        <v>79</v>
      </c>
      <c r="B38" s="663"/>
      <c r="C38" s="555"/>
      <c r="D38" s="626" t="s">
        <v>236</v>
      </c>
      <c r="E38" s="636">
        <f>IFERROR(VALUE(MID(D38,2,LEN(D38)-1)),"")</f>
        <v>30</v>
      </c>
      <c r="F38" s="558">
        <v>27224</v>
      </c>
      <c r="G38" s="547">
        <v>0</v>
      </c>
      <c r="H38" s="547">
        <v>27224</v>
      </c>
      <c r="I38" s="626" t="s">
        <v>202</v>
      </c>
      <c r="J38" s="626" t="s">
        <v>288</v>
      </c>
      <c r="K38" s="554" t="s">
        <v>322</v>
      </c>
      <c r="L38" s="318"/>
      <c r="M38" s="534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</row>
    <row r="39" spans="1:38" s="323" customFormat="1" ht="36" hidden="1" customHeight="1" x14ac:dyDescent="0.25">
      <c r="A39" s="845" t="s">
        <v>238</v>
      </c>
      <c r="B39" s="848" t="s">
        <v>282</v>
      </c>
      <c r="C39" s="850">
        <v>337206.36</v>
      </c>
      <c r="D39" s="626" t="s">
        <v>237</v>
      </c>
      <c r="E39" s="636">
        <f>IFERROR(VALUE(MID(D39,2,LEN(D39)-1)),"")</f>
        <v>31</v>
      </c>
      <c r="F39" s="546">
        <v>337206.36</v>
      </c>
      <c r="G39" s="547">
        <v>0</v>
      </c>
      <c r="H39" s="547">
        <v>337206.36</v>
      </c>
      <c r="I39" s="550" t="s">
        <v>249</v>
      </c>
      <c r="J39" s="626" t="s">
        <v>298</v>
      </c>
      <c r="K39" s="661" t="s">
        <v>153</v>
      </c>
      <c r="L39" s="534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</row>
    <row r="40" spans="1:38" s="323" customFormat="1" ht="36" hidden="1" customHeight="1" x14ac:dyDescent="0.25">
      <c r="A40" s="672" t="s">
        <v>223</v>
      </c>
      <c r="B40" s="664"/>
      <c r="C40" s="665"/>
      <c r="D40" s="626" t="s">
        <v>238</v>
      </c>
      <c r="E40" s="636">
        <f>IFERROR(VALUE(MID(D40,2,LEN(D40)-1)),"")</f>
        <v>32</v>
      </c>
      <c r="F40" s="558">
        <v>145228.5</v>
      </c>
      <c r="G40" s="547">
        <v>0</v>
      </c>
      <c r="H40" s="547">
        <v>145228.5</v>
      </c>
      <c r="I40" s="550" t="s">
        <v>249</v>
      </c>
      <c r="J40" s="626" t="s">
        <v>298</v>
      </c>
      <c r="K40" s="661" t="s">
        <v>153</v>
      </c>
      <c r="L40" s="318"/>
      <c r="M40" s="534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</row>
    <row r="41" spans="1:38" s="323" customFormat="1" ht="35.4" hidden="1" customHeight="1" x14ac:dyDescent="0.25">
      <c r="A41" s="670" t="s">
        <v>79</v>
      </c>
      <c r="B41" s="662"/>
      <c r="C41" s="554"/>
      <c r="D41" s="626" t="s">
        <v>239</v>
      </c>
      <c r="E41" s="636">
        <f>IFERROR(VALUE(MID(D41,2,LEN(D41)-1)),"")</f>
        <v>33</v>
      </c>
      <c r="F41" s="558">
        <v>28858</v>
      </c>
      <c r="G41" s="547">
        <v>0</v>
      </c>
      <c r="H41" s="547">
        <v>28858</v>
      </c>
      <c r="I41" s="550" t="s">
        <v>249</v>
      </c>
      <c r="J41" s="661" t="s">
        <v>298</v>
      </c>
      <c r="K41" s="554" t="s">
        <v>324</v>
      </c>
      <c r="L41" s="318"/>
      <c r="M41" s="534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</row>
    <row r="42" spans="1:38" s="323" customFormat="1" ht="35.4" hidden="1" customHeight="1" x14ac:dyDescent="0.25">
      <c r="A42" s="671" t="s">
        <v>224</v>
      </c>
      <c r="B42" s="663" t="s">
        <v>234</v>
      </c>
      <c r="C42" s="555">
        <v>246953.74</v>
      </c>
      <c r="D42" s="626" t="s">
        <v>240</v>
      </c>
      <c r="E42" s="636">
        <f>IFERROR(VALUE(MID(D42,2,LEN(D42)-1)),"")</f>
        <v>34</v>
      </c>
      <c r="F42" s="558">
        <v>325313.90174200002</v>
      </c>
      <c r="G42" s="547">
        <v>168734.02174199998</v>
      </c>
      <c r="H42" s="547">
        <v>156579.88</v>
      </c>
      <c r="I42" s="550" t="s">
        <v>249</v>
      </c>
      <c r="J42" s="626" t="s">
        <v>298</v>
      </c>
      <c r="K42" s="661" t="s">
        <v>321</v>
      </c>
      <c r="L42" s="318"/>
      <c r="M42" s="534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</row>
    <row r="43" spans="1:38" s="323" customFormat="1" ht="35.4" hidden="1" customHeight="1" x14ac:dyDescent="0.25">
      <c r="A43" s="671" t="s">
        <v>222</v>
      </c>
      <c r="B43" s="663"/>
      <c r="C43" s="555"/>
      <c r="D43" s="626" t="s">
        <v>285</v>
      </c>
      <c r="E43" s="636">
        <f>IFERROR(VALUE(MID(D43,2,LEN(D43)-1)),"")</f>
        <v>35</v>
      </c>
      <c r="F43" s="558">
        <v>320050</v>
      </c>
      <c r="G43" s="547">
        <v>0</v>
      </c>
      <c r="H43" s="547">
        <v>320050</v>
      </c>
      <c r="I43" s="550" t="s">
        <v>249</v>
      </c>
      <c r="J43" s="661" t="s">
        <v>299</v>
      </c>
      <c r="K43" s="661" t="s">
        <v>153</v>
      </c>
      <c r="L43" s="318"/>
      <c r="M43" s="534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</row>
    <row r="44" spans="1:38" s="323" customFormat="1" ht="43.8" hidden="1" customHeight="1" x14ac:dyDescent="0.25">
      <c r="A44" s="671" t="s">
        <v>295</v>
      </c>
      <c r="B44" s="663"/>
      <c r="C44" s="555"/>
      <c r="D44" s="548" t="s">
        <v>289</v>
      </c>
      <c r="E44" s="636">
        <f>IFERROR(VALUE(MID(D44,2,LEN(D44)-1)),"")</f>
        <v>36</v>
      </c>
      <c r="F44" s="546">
        <v>887716.17086603516</v>
      </c>
      <c r="G44" s="626">
        <v>122464.17086603522</v>
      </c>
      <c r="H44" s="626">
        <v>765252</v>
      </c>
      <c r="I44" s="550" t="s">
        <v>249</v>
      </c>
      <c r="J44" s="661" t="s">
        <v>298</v>
      </c>
      <c r="K44" s="854" t="s">
        <v>321</v>
      </c>
      <c r="L44" s="318"/>
      <c r="M44" s="535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</row>
    <row r="45" spans="1:38" s="323" customFormat="1" ht="49.2" hidden="1" customHeight="1" x14ac:dyDescent="0.25">
      <c r="A45" s="671" t="s">
        <v>295</v>
      </c>
      <c r="B45" s="663"/>
      <c r="C45" s="555"/>
      <c r="D45" s="548" t="s">
        <v>301</v>
      </c>
      <c r="E45" s="636">
        <f>IFERROR(VALUE(MID(D45,2,LEN(D45)-1)),"")</f>
        <v>37</v>
      </c>
      <c r="F45" s="546">
        <v>426150.51662977174</v>
      </c>
      <c r="G45" s="626">
        <v>7992.5166297717396</v>
      </c>
      <c r="H45" s="626">
        <v>418158</v>
      </c>
      <c r="I45" s="626" t="s">
        <v>202</v>
      </c>
      <c r="J45" s="626" t="s">
        <v>308</v>
      </c>
      <c r="K45" s="854" t="s">
        <v>321</v>
      </c>
      <c r="L45" s="318"/>
      <c r="M45" s="535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</row>
    <row r="46" spans="1:38" s="323" customFormat="1" ht="34.799999999999997" hidden="1" customHeight="1" x14ac:dyDescent="0.25">
      <c r="A46" s="671" t="s">
        <v>75</v>
      </c>
      <c r="B46" s="663"/>
      <c r="C46" s="555"/>
      <c r="D46" s="626" t="s">
        <v>302</v>
      </c>
      <c r="E46" s="636">
        <f>IFERROR(VALUE(MID(D46,2,LEN(D46)-1)),"")</f>
        <v>38</v>
      </c>
      <c r="F46" s="558">
        <v>106875</v>
      </c>
      <c r="G46" s="547">
        <v>0</v>
      </c>
      <c r="H46" s="547">
        <v>106875</v>
      </c>
      <c r="I46" s="626" t="s">
        <v>202</v>
      </c>
      <c r="J46" s="626" t="s">
        <v>308</v>
      </c>
      <c r="K46" s="661" t="s">
        <v>153</v>
      </c>
      <c r="L46" s="318"/>
      <c r="M46" s="534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</row>
    <row r="47" spans="1:38" s="323" customFormat="1" ht="40.200000000000003" hidden="1" customHeight="1" x14ac:dyDescent="0.25">
      <c r="A47" s="671" t="s">
        <v>222</v>
      </c>
      <c r="B47" s="663"/>
      <c r="C47" s="555"/>
      <c r="D47" s="626" t="s">
        <v>303</v>
      </c>
      <c r="E47" s="636">
        <f>IFERROR(VALUE(MID(D47,2,LEN(D47)-1)),"")</f>
        <v>39</v>
      </c>
      <c r="F47" s="558">
        <v>255300</v>
      </c>
      <c r="G47" s="547">
        <v>0</v>
      </c>
      <c r="H47" s="547">
        <v>255300</v>
      </c>
      <c r="I47" s="626" t="s">
        <v>202</v>
      </c>
      <c r="J47" s="661" t="s">
        <v>308</v>
      </c>
      <c r="K47" s="626"/>
      <c r="L47" s="318"/>
      <c r="M47" s="534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</row>
    <row r="48" spans="1:38" s="323" customFormat="1" ht="40.200000000000003" hidden="1" customHeight="1" x14ac:dyDescent="0.25">
      <c r="A48" s="671" t="s">
        <v>223</v>
      </c>
      <c r="B48" s="663"/>
      <c r="C48" s="555"/>
      <c r="D48" s="626" t="s">
        <v>304</v>
      </c>
      <c r="E48" s="636">
        <f>IFERROR(VALUE(MID(D48,2,LEN(D48)-1)),"")</f>
        <v>40</v>
      </c>
      <c r="F48" s="558">
        <v>69314.5</v>
      </c>
      <c r="G48" s="547">
        <v>0</v>
      </c>
      <c r="H48" s="547">
        <v>69314.5</v>
      </c>
      <c r="I48" s="626" t="s">
        <v>202</v>
      </c>
      <c r="J48" s="661" t="s">
        <v>308</v>
      </c>
      <c r="K48" s="626" t="s">
        <v>153</v>
      </c>
      <c r="L48" s="318"/>
      <c r="M48" s="534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</row>
    <row r="49" spans="1:38" s="323" customFormat="1" ht="40.200000000000003" hidden="1" customHeight="1" x14ac:dyDescent="0.25">
      <c r="A49" s="671" t="s">
        <v>224</v>
      </c>
      <c r="B49" s="663"/>
      <c r="C49" s="555"/>
      <c r="D49" s="626" t="s">
        <v>305</v>
      </c>
      <c r="E49" s="636">
        <f>IFERROR(VALUE(MID(D49,2,LEN(D49)-1)),"")</f>
        <v>41</v>
      </c>
      <c r="F49" s="558">
        <v>121976.767742368</v>
      </c>
      <c r="G49" s="547">
        <v>59072.827742367997</v>
      </c>
      <c r="H49" s="547">
        <v>62903.94</v>
      </c>
      <c r="I49" s="626" t="s">
        <v>202</v>
      </c>
      <c r="J49" s="661" t="s">
        <v>308</v>
      </c>
      <c r="K49" s="626" t="s">
        <v>321</v>
      </c>
      <c r="L49" s="318"/>
      <c r="M49" s="534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</row>
    <row r="50" spans="1:38" s="323" customFormat="1" ht="40.200000000000003" hidden="1" customHeight="1" x14ac:dyDescent="0.25">
      <c r="A50" s="671" t="s">
        <v>294</v>
      </c>
      <c r="B50" s="663"/>
      <c r="C50" s="555"/>
      <c r="D50" s="548" t="s">
        <v>307</v>
      </c>
      <c r="E50" s="636">
        <f>IFERROR(VALUE(MID(D50,2,LEN(D50)-1)),"")</f>
        <v>42</v>
      </c>
      <c r="F50" s="546">
        <v>908895.93</v>
      </c>
      <c r="G50" s="626">
        <v>307721.33</v>
      </c>
      <c r="H50" s="626">
        <v>601174.6</v>
      </c>
      <c r="I50" s="626" t="s">
        <v>202</v>
      </c>
      <c r="J50" s="661" t="s">
        <v>308</v>
      </c>
      <c r="K50" s="556" t="s">
        <v>321</v>
      </c>
      <c r="L50" s="307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</row>
    <row r="51" spans="1:38" s="323" customFormat="1" ht="40.200000000000003" hidden="1" customHeight="1" x14ac:dyDescent="0.25">
      <c r="A51" s="671" t="s">
        <v>75</v>
      </c>
      <c r="B51" s="663"/>
      <c r="C51" s="555"/>
      <c r="D51" s="626" t="s">
        <v>309</v>
      </c>
      <c r="E51" s="636">
        <f>IFERROR(VALUE(MID(D51,2,LEN(D51)-1)),"")</f>
        <v>43</v>
      </c>
      <c r="F51" s="558">
        <v>70875</v>
      </c>
      <c r="G51" s="547">
        <v>0</v>
      </c>
      <c r="H51" s="547">
        <v>70875</v>
      </c>
      <c r="I51" s="626" t="s">
        <v>202</v>
      </c>
      <c r="J51" s="661" t="s">
        <v>336</v>
      </c>
      <c r="K51" s="626" t="s">
        <v>153</v>
      </c>
      <c r="L51" s="318"/>
      <c r="M51" s="534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</row>
    <row r="52" spans="1:38" s="323" customFormat="1" ht="40.200000000000003" hidden="1" customHeight="1" x14ac:dyDescent="0.25">
      <c r="A52" s="672" t="s">
        <v>75</v>
      </c>
      <c r="B52" s="664"/>
      <c r="C52" s="665"/>
      <c r="D52" s="626" t="s">
        <v>327</v>
      </c>
      <c r="E52" s="636">
        <f>IFERROR(VALUE(MID(D52,2,LEN(D52)-1)),"")</f>
        <v>44</v>
      </c>
      <c r="F52" s="558">
        <v>33750</v>
      </c>
      <c r="G52" s="547">
        <v>0</v>
      </c>
      <c r="H52" s="547">
        <v>33750</v>
      </c>
      <c r="I52" s="550" t="s">
        <v>249</v>
      </c>
      <c r="J52" s="854" t="s">
        <v>349</v>
      </c>
      <c r="K52" s="626" t="s">
        <v>153</v>
      </c>
      <c r="L52" s="318"/>
      <c r="M52" s="534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</row>
    <row r="53" spans="1:38" s="323" customFormat="1" ht="32.4" hidden="1" customHeight="1" x14ac:dyDescent="0.25">
      <c r="A53" s="629" t="s">
        <v>75</v>
      </c>
      <c r="B53" s="559"/>
      <c r="C53" s="547"/>
      <c r="D53" s="626" t="s">
        <v>328</v>
      </c>
      <c r="E53" s="636">
        <f>IFERROR(VALUE(MID(D53,2,LEN(D53)-1)),"")</f>
        <v>45</v>
      </c>
      <c r="F53" s="558">
        <v>30375</v>
      </c>
      <c r="G53" s="547">
        <v>0</v>
      </c>
      <c r="H53" s="547">
        <v>30375</v>
      </c>
      <c r="I53" s="550" t="s">
        <v>249</v>
      </c>
      <c r="J53" s="854" t="s">
        <v>349</v>
      </c>
      <c r="K53" s="626" t="s">
        <v>153</v>
      </c>
      <c r="L53" s="318"/>
      <c r="M53" s="534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</row>
    <row r="54" spans="1:38" s="323" customFormat="1" ht="32.4" hidden="1" customHeight="1" x14ac:dyDescent="0.25">
      <c r="A54" s="597" t="s">
        <v>258</v>
      </c>
      <c r="B54" s="598" t="s">
        <v>256</v>
      </c>
      <c r="C54" s="599">
        <v>35365.25</v>
      </c>
      <c r="D54" s="599" t="s">
        <v>331</v>
      </c>
      <c r="E54" s="636">
        <f>IFERROR(VALUE(MID(D54,2,LEN(D54)-1)),"")</f>
        <v>46</v>
      </c>
      <c r="F54" s="603">
        <v>148135.124392</v>
      </c>
      <c r="G54" s="602">
        <v>115874.374392</v>
      </c>
      <c r="H54" s="602">
        <v>32260.75</v>
      </c>
      <c r="I54" s="599" t="s">
        <v>249</v>
      </c>
      <c r="J54" s="604" t="s">
        <v>349</v>
      </c>
      <c r="K54" s="615" t="s">
        <v>321</v>
      </c>
      <c r="L54" s="318"/>
      <c r="M54" s="534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</row>
    <row r="55" spans="1:38" s="323" customFormat="1" ht="40.200000000000003" hidden="1" customHeight="1" x14ac:dyDescent="0.25">
      <c r="A55" s="645" t="s">
        <v>285</v>
      </c>
      <c r="B55" s="641" t="s">
        <v>297</v>
      </c>
      <c r="C55" s="626">
        <v>108026.29200000002</v>
      </c>
      <c r="D55" s="626" t="s">
        <v>332</v>
      </c>
      <c r="E55" s="636">
        <f>IFERROR(VALUE(MID(D55,2,LEN(D55)-1)),"")</f>
        <v>47</v>
      </c>
      <c r="F55" s="546">
        <v>120418.52706000002</v>
      </c>
      <c r="G55" s="547">
        <v>12392.235060000001</v>
      </c>
      <c r="H55" s="547">
        <v>108026.29200000002</v>
      </c>
      <c r="I55" s="550" t="s">
        <v>249</v>
      </c>
      <c r="J55" s="626" t="s">
        <v>336</v>
      </c>
      <c r="K55" s="550"/>
      <c r="L55" s="534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</row>
    <row r="56" spans="1:38" s="323" customFormat="1" ht="53.4" hidden="1" customHeight="1" x14ac:dyDescent="0.25">
      <c r="A56" s="629" t="s">
        <v>224</v>
      </c>
      <c r="B56" s="559"/>
      <c r="C56" s="547"/>
      <c r="D56" s="626" t="s">
        <v>333</v>
      </c>
      <c r="E56" s="636">
        <f>IFERROR(VALUE(MID(D56,2,LEN(D56)-1)),"")</f>
        <v>48</v>
      </c>
      <c r="F56" s="558">
        <v>27190.45</v>
      </c>
      <c r="G56" s="547">
        <v>7129.87</v>
      </c>
      <c r="H56" s="547">
        <v>20060.580000000002</v>
      </c>
      <c r="I56" s="550" t="s">
        <v>249</v>
      </c>
      <c r="J56" s="556" t="s">
        <v>349</v>
      </c>
      <c r="K56" s="556" t="s">
        <v>321</v>
      </c>
      <c r="L56" s="318"/>
      <c r="M56" s="534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</row>
    <row r="57" spans="1:38" s="323" customFormat="1" ht="37.950000000000003" hidden="1" customHeight="1" x14ac:dyDescent="0.25">
      <c r="A57" s="629" t="s">
        <v>71</v>
      </c>
      <c r="B57" s="559"/>
      <c r="C57" s="547"/>
      <c r="D57" s="549" t="s">
        <v>334</v>
      </c>
      <c r="E57" s="636">
        <f>IFERROR(VALUE(MID(D57,2,LEN(D57)-1)),"")</f>
        <v>49</v>
      </c>
      <c r="F57" s="590">
        <v>73376.032399999996</v>
      </c>
      <c r="G57" s="556">
        <v>45590.462399999997</v>
      </c>
      <c r="H57" s="556">
        <v>27785.57</v>
      </c>
      <c r="I57" s="626" t="s">
        <v>202</v>
      </c>
      <c r="J57" s="626" t="s">
        <v>349</v>
      </c>
      <c r="K57" s="550" t="s">
        <v>321</v>
      </c>
      <c r="L57" s="318"/>
      <c r="M57" s="535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</row>
    <row r="58" spans="1:38" s="323" customFormat="1" ht="40.950000000000003" hidden="1" customHeight="1" x14ac:dyDescent="0.25">
      <c r="A58" s="629" t="s">
        <v>294</v>
      </c>
      <c r="B58" s="559"/>
      <c r="C58" s="547"/>
      <c r="D58" s="548" t="s">
        <v>337</v>
      </c>
      <c r="E58" s="636">
        <f>IFERROR(VALUE(MID(D58,2,LEN(D58)-1)),"")</f>
        <v>50</v>
      </c>
      <c r="F58" s="546">
        <v>15568.8</v>
      </c>
      <c r="G58" s="626"/>
      <c r="H58" s="626">
        <v>15568.8</v>
      </c>
      <c r="I58" s="626" t="s">
        <v>202</v>
      </c>
      <c r="J58" s="626" t="s">
        <v>349</v>
      </c>
      <c r="K58" s="556" t="s">
        <v>153</v>
      </c>
      <c r="L58" s="307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</row>
    <row r="59" spans="1:38" s="323" customFormat="1" ht="37.950000000000003" hidden="1" customHeight="1" x14ac:dyDescent="0.25">
      <c r="A59" s="670" t="s">
        <v>79</v>
      </c>
      <c r="B59" s="662"/>
      <c r="C59" s="554"/>
      <c r="D59" s="626" t="s">
        <v>338</v>
      </c>
      <c r="E59" s="636">
        <f>IFERROR(VALUE(MID(D59,2,LEN(D59)-1)),"")</f>
        <v>51</v>
      </c>
      <c r="F59" s="558">
        <v>5193.3999999999996</v>
      </c>
      <c r="G59" s="547">
        <v>0</v>
      </c>
      <c r="H59" s="547">
        <v>5193.3999999999996</v>
      </c>
      <c r="I59" s="550" t="s">
        <v>249</v>
      </c>
      <c r="J59" s="556" t="s">
        <v>349</v>
      </c>
      <c r="K59" s="626" t="s">
        <v>153</v>
      </c>
      <c r="L59" s="318"/>
      <c r="M59" s="534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</row>
    <row r="60" spans="1:38" s="323" customFormat="1" ht="37.950000000000003" hidden="1" customHeight="1" x14ac:dyDescent="0.25">
      <c r="A60" s="673" t="s">
        <v>170</v>
      </c>
      <c r="B60" s="667" t="s">
        <v>198</v>
      </c>
      <c r="C60" s="668">
        <v>1109034.9700000002</v>
      </c>
      <c r="D60" s="675" t="s">
        <v>339</v>
      </c>
      <c r="E60" s="676">
        <f>IFERROR(VALUE(MID(D60,2,LEN(D60)-1)),"")</f>
        <v>52</v>
      </c>
      <c r="F60" s="558">
        <v>244644.62437129952</v>
      </c>
      <c r="G60" s="655">
        <v>129446.72437129953</v>
      </c>
      <c r="H60" s="655">
        <v>115197.90000000001</v>
      </c>
      <c r="I60" s="652" t="s">
        <v>249</v>
      </c>
      <c r="J60" s="656" t="s">
        <v>349</v>
      </c>
      <c r="K60" s="656" t="s">
        <v>385</v>
      </c>
      <c r="L60" s="318"/>
      <c r="M60" s="534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</row>
    <row r="61" spans="1:38" s="323" customFormat="1" ht="37.950000000000003" hidden="1" customHeight="1" x14ac:dyDescent="0.25">
      <c r="A61" s="671" t="s">
        <v>293</v>
      </c>
      <c r="B61" s="663"/>
      <c r="C61" s="555"/>
      <c r="D61" s="548" t="s">
        <v>340</v>
      </c>
      <c r="E61" s="636">
        <f>IFERROR(VALUE(MID(D61,2,LEN(D61)-1)),"")</f>
        <v>53</v>
      </c>
      <c r="F61" s="546">
        <v>1041800.0712068096</v>
      </c>
      <c r="G61" s="626">
        <v>358436.37120680953</v>
      </c>
      <c r="H61" s="626">
        <v>683363.70000000007</v>
      </c>
      <c r="I61" s="626" t="s">
        <v>202</v>
      </c>
      <c r="J61" s="626" t="s">
        <v>349</v>
      </c>
      <c r="K61" s="550" t="s">
        <v>321</v>
      </c>
      <c r="L61" s="533"/>
      <c r="M61" s="857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</row>
    <row r="62" spans="1:38" s="323" customFormat="1" ht="37.950000000000003" hidden="1" customHeight="1" x14ac:dyDescent="0.25">
      <c r="A62" s="672" t="s">
        <v>294</v>
      </c>
      <c r="B62" s="664"/>
      <c r="C62" s="665"/>
      <c r="D62" s="548" t="s">
        <v>341</v>
      </c>
      <c r="E62" s="636">
        <f>IFERROR(VALUE(MID(D62,2,LEN(D62)-1)),"")</f>
        <v>54</v>
      </c>
      <c r="F62" s="546">
        <v>2738195.2531138035</v>
      </c>
      <c r="G62" s="626">
        <v>1165791.7731138035</v>
      </c>
      <c r="H62" s="626">
        <v>1572403.4799999997</v>
      </c>
      <c r="I62" s="626" t="s">
        <v>202</v>
      </c>
      <c r="J62" s="661" t="s">
        <v>349</v>
      </c>
      <c r="K62" s="550" t="s">
        <v>321</v>
      </c>
      <c r="L62" s="307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</row>
    <row r="63" spans="1:38" s="323" customFormat="1" ht="32.4" hidden="1" customHeight="1" x14ac:dyDescent="0.25">
      <c r="A63" s="629" t="s">
        <v>75</v>
      </c>
      <c r="B63" s="559"/>
      <c r="C63" s="547"/>
      <c r="D63" s="626" t="s">
        <v>342</v>
      </c>
      <c r="E63" s="636">
        <f>IFERROR(VALUE(MID(D63,2,LEN(D63)-1)),"")</f>
        <v>55</v>
      </c>
      <c r="F63" s="558">
        <v>76125</v>
      </c>
      <c r="G63" s="547">
        <v>0</v>
      </c>
      <c r="H63" s="547">
        <v>76125</v>
      </c>
      <c r="I63" s="550" t="s">
        <v>249</v>
      </c>
      <c r="J63" s="626" t="s">
        <v>360</v>
      </c>
      <c r="K63" s="651" t="s">
        <v>361</v>
      </c>
      <c r="L63" s="318"/>
      <c r="M63" s="534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</row>
    <row r="64" spans="1:38" s="323" customFormat="1" ht="34.200000000000003" hidden="1" customHeight="1" x14ac:dyDescent="0.25">
      <c r="A64" s="629" t="s">
        <v>75</v>
      </c>
      <c r="B64" s="559"/>
      <c r="C64" s="547"/>
      <c r="D64" s="626" t="s">
        <v>343</v>
      </c>
      <c r="E64" s="636">
        <f>IFERROR(VALUE(MID(D64,2,LEN(D64)-1)),"")</f>
        <v>56</v>
      </c>
      <c r="F64" s="558">
        <v>169875</v>
      </c>
      <c r="G64" s="547">
        <v>0</v>
      </c>
      <c r="H64" s="547">
        <v>169875</v>
      </c>
      <c r="I64" s="550" t="s">
        <v>249</v>
      </c>
      <c r="J64" s="626" t="s">
        <v>360</v>
      </c>
      <c r="K64" s="651" t="s">
        <v>361</v>
      </c>
      <c r="L64" s="318"/>
      <c r="M64" s="534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</row>
    <row r="65" spans="1:38" s="323" customFormat="1" ht="37.200000000000003" hidden="1" customHeight="1" x14ac:dyDescent="0.25">
      <c r="A65" s="629" t="s">
        <v>75</v>
      </c>
      <c r="B65" s="559"/>
      <c r="C65" s="547"/>
      <c r="D65" s="626" t="s">
        <v>344</v>
      </c>
      <c r="E65" s="636">
        <f>IFERROR(VALUE(MID(D65,2,LEN(D65)-1)),"")</f>
        <v>57</v>
      </c>
      <c r="F65" s="558">
        <v>21000</v>
      </c>
      <c r="G65" s="547">
        <v>0</v>
      </c>
      <c r="H65" s="547">
        <v>21000</v>
      </c>
      <c r="I65" s="550" t="s">
        <v>249</v>
      </c>
      <c r="J65" s="626" t="s">
        <v>360</v>
      </c>
      <c r="K65" s="651" t="s">
        <v>361</v>
      </c>
      <c r="L65" s="318"/>
      <c r="M65" s="534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</row>
    <row r="66" spans="1:38" s="323" customFormat="1" ht="39.6" hidden="1" customHeight="1" x14ac:dyDescent="0.25">
      <c r="A66" s="670" t="s">
        <v>75</v>
      </c>
      <c r="B66" s="662"/>
      <c r="C66" s="554"/>
      <c r="D66" s="626" t="s">
        <v>345</v>
      </c>
      <c r="E66" s="636">
        <f>IFERROR(VALUE(MID(D66,2,LEN(D66)-1)),"")</f>
        <v>58</v>
      </c>
      <c r="F66" s="558">
        <v>36750</v>
      </c>
      <c r="G66" s="547">
        <v>0</v>
      </c>
      <c r="H66" s="547">
        <v>36750</v>
      </c>
      <c r="I66" s="550" t="s">
        <v>249</v>
      </c>
      <c r="J66" s="626" t="s">
        <v>360</v>
      </c>
      <c r="K66" s="651" t="s">
        <v>361</v>
      </c>
      <c r="L66" s="318"/>
      <c r="M66" s="534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</row>
    <row r="67" spans="1:38" s="323" customFormat="1" ht="39.6" hidden="1" customHeight="1" x14ac:dyDescent="0.25">
      <c r="A67" s="845" t="s">
        <v>303</v>
      </c>
      <c r="B67" s="848" t="s">
        <v>352</v>
      </c>
      <c r="C67" s="850">
        <f>'Реєстр ДЦ '!E55</f>
        <v>8258.1</v>
      </c>
      <c r="D67" s="626" t="s">
        <v>346</v>
      </c>
      <c r="E67" s="636">
        <f>IFERROR(VALUE(MID(D67,2,LEN(D67)-1)),"")</f>
        <v>59</v>
      </c>
      <c r="F67" s="546">
        <v>8258.1</v>
      </c>
      <c r="G67" s="547"/>
      <c r="H67" s="626">
        <v>8258.1</v>
      </c>
      <c r="I67" s="550" t="s">
        <v>249</v>
      </c>
      <c r="J67" s="626" t="s">
        <v>374</v>
      </c>
      <c r="K67" s="547"/>
      <c r="L67" s="534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</row>
    <row r="68" spans="1:38" s="323" customFormat="1" ht="39.6" hidden="1" customHeight="1" x14ac:dyDescent="0.25">
      <c r="A68" s="671" t="s">
        <v>75</v>
      </c>
      <c r="B68" s="663"/>
      <c r="C68" s="555"/>
      <c r="D68" s="626" t="s">
        <v>347</v>
      </c>
      <c r="E68" s="636">
        <f>IFERROR(VALUE(MID(D68,2,LEN(D68)-1)),"")</f>
        <v>60</v>
      </c>
      <c r="F68" s="558">
        <v>21000</v>
      </c>
      <c r="G68" s="547">
        <v>0</v>
      </c>
      <c r="H68" s="547">
        <v>21000</v>
      </c>
      <c r="I68" s="550" t="s">
        <v>249</v>
      </c>
      <c r="J68" s="661" t="s">
        <v>360</v>
      </c>
      <c r="K68" s="651" t="s">
        <v>361</v>
      </c>
      <c r="L68" s="318"/>
      <c r="M68" s="534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</row>
    <row r="69" spans="1:38" s="323" customFormat="1" ht="39.6" hidden="1" customHeight="1" x14ac:dyDescent="0.25">
      <c r="A69" s="845" t="s">
        <v>253</v>
      </c>
      <c r="B69" s="848" t="s">
        <v>255</v>
      </c>
      <c r="C69" s="850">
        <v>35345</v>
      </c>
      <c r="D69" s="626" t="s">
        <v>348</v>
      </c>
      <c r="E69" s="636">
        <f>IFERROR(VALUE(MID(D69,2,LEN(D69)-1)),"")</f>
        <v>61</v>
      </c>
      <c r="F69" s="558">
        <v>129839.32</v>
      </c>
      <c r="G69" s="547">
        <v>102300.57</v>
      </c>
      <c r="H69" s="547">
        <v>27538.75</v>
      </c>
      <c r="I69" s="550" t="s">
        <v>249</v>
      </c>
      <c r="J69" s="626" t="s">
        <v>353</v>
      </c>
      <c r="K69" s="626" t="s">
        <v>321</v>
      </c>
      <c r="L69" s="318"/>
      <c r="M69" s="534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</row>
    <row r="70" spans="1:38" s="323" customFormat="1" ht="39.6" hidden="1" customHeight="1" x14ac:dyDescent="0.25">
      <c r="A70" s="674" t="s">
        <v>170</v>
      </c>
      <c r="B70" s="667"/>
      <c r="C70" s="668"/>
      <c r="D70" s="675" t="s">
        <v>354</v>
      </c>
      <c r="E70" s="636">
        <f>IFERROR(VALUE(MID(D70,2,LEN(D70)-1)),"")</f>
        <v>62</v>
      </c>
      <c r="F70" s="558">
        <v>593014.25678718765</v>
      </c>
      <c r="G70" s="547">
        <v>228541.95678718766</v>
      </c>
      <c r="H70" s="547">
        <v>364472.3</v>
      </c>
      <c r="I70" s="652" t="s">
        <v>249</v>
      </c>
      <c r="J70" s="854" t="s">
        <v>362</v>
      </c>
      <c r="K70" s="656" t="s">
        <v>321</v>
      </c>
      <c r="L70" s="318"/>
      <c r="M70" s="534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</row>
    <row r="71" spans="1:38" s="323" customFormat="1" ht="33" hidden="1" customHeight="1" x14ac:dyDescent="0.25">
      <c r="A71" s="670" t="s">
        <v>294</v>
      </c>
      <c r="B71" s="662"/>
      <c r="C71" s="554"/>
      <c r="D71" s="548" t="s">
        <v>356</v>
      </c>
      <c r="E71" s="636">
        <f>IFERROR(VALUE(MID(D71,2,LEN(D71)-1)),"")</f>
        <v>63</v>
      </c>
      <c r="F71" s="546">
        <v>3145348.21</v>
      </c>
      <c r="G71" s="626">
        <v>1234705.2081420319</v>
      </c>
      <c r="H71" s="626">
        <v>1910643</v>
      </c>
      <c r="I71" s="626" t="s">
        <v>202</v>
      </c>
      <c r="J71" s="556" t="s">
        <v>377</v>
      </c>
      <c r="K71" s="658"/>
      <c r="L71" s="307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</row>
    <row r="72" spans="1:38" s="323" customFormat="1" ht="33" hidden="1" customHeight="1" x14ac:dyDescent="0.25">
      <c r="A72" s="671" t="s">
        <v>77</v>
      </c>
      <c r="B72" s="663"/>
      <c r="C72" s="555"/>
      <c r="D72" s="550" t="s">
        <v>369</v>
      </c>
      <c r="E72" s="635">
        <f>IFERROR(VALUE(MID(D72,2,LEN(D72)-1)),"")</f>
        <v>64</v>
      </c>
      <c r="F72" s="591">
        <v>397492.83880000003</v>
      </c>
      <c r="G72" s="626">
        <v>21942.838799999998</v>
      </c>
      <c r="H72" s="557">
        <v>375550</v>
      </c>
      <c r="I72" s="550" t="s">
        <v>249</v>
      </c>
      <c r="J72" s="556" t="s">
        <v>377</v>
      </c>
      <c r="K72" s="626"/>
      <c r="L72" s="536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</row>
    <row r="73" spans="1:38" s="323" customFormat="1" ht="34.5" hidden="1" customHeight="1" x14ac:dyDescent="0.25">
      <c r="A73" s="672" t="s">
        <v>222</v>
      </c>
      <c r="B73" s="664"/>
      <c r="C73" s="665"/>
      <c r="D73" s="626" t="s">
        <v>370</v>
      </c>
      <c r="E73" s="636">
        <f>IFERROR(VALUE(MID(D73,2,LEN(D73)-1)),"")</f>
        <v>65</v>
      </c>
      <c r="F73" s="558">
        <v>356841.48</v>
      </c>
      <c r="G73" s="547">
        <v>234741.48</v>
      </c>
      <c r="H73" s="547">
        <v>122100</v>
      </c>
      <c r="I73" s="626" t="s">
        <v>202</v>
      </c>
      <c r="J73" s="854" t="s">
        <v>377</v>
      </c>
      <c r="K73" s="626"/>
      <c r="L73" s="318"/>
      <c r="M73" s="534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</row>
    <row r="74" spans="1:38" s="323" customFormat="1" ht="36.6" hidden="1" customHeight="1" x14ac:dyDescent="0.25">
      <c r="A74" s="670" t="s">
        <v>304</v>
      </c>
      <c r="B74" s="662" t="s">
        <v>357</v>
      </c>
      <c r="C74" s="554"/>
      <c r="D74" s="626" t="s">
        <v>358</v>
      </c>
      <c r="E74" s="636">
        <f>IFERROR(VALUE(MID(D74,2,LEN(D74)-1)),"")</f>
        <v>66</v>
      </c>
      <c r="F74" s="546">
        <v>646774</v>
      </c>
      <c r="G74" s="547"/>
      <c r="H74" s="626">
        <v>646774</v>
      </c>
      <c r="I74" s="550" t="s">
        <v>249</v>
      </c>
      <c r="J74" s="626" t="s">
        <v>374</v>
      </c>
      <c r="K74" s="547"/>
      <c r="L74" s="534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</row>
    <row r="75" spans="1:38" s="323" customFormat="1" ht="36.6" hidden="1" customHeight="1" x14ac:dyDescent="0.25">
      <c r="A75" s="842" t="s">
        <v>72</v>
      </c>
      <c r="B75" s="846" t="s">
        <v>195</v>
      </c>
      <c r="C75" s="665">
        <v>37950.600000000006</v>
      </c>
      <c r="D75" s="626" t="s">
        <v>363</v>
      </c>
      <c r="E75" s="636">
        <f>IFERROR(VALUE(MID(D75,2,LEN(D75)-1)),"")</f>
        <v>67</v>
      </c>
      <c r="F75" s="546">
        <v>83715.760000000009</v>
      </c>
      <c r="G75" s="626">
        <v>30619.86</v>
      </c>
      <c r="H75" s="556">
        <v>53095.9</v>
      </c>
      <c r="I75" s="626" t="s">
        <v>202</v>
      </c>
      <c r="J75" s="556" t="s">
        <v>377</v>
      </c>
      <c r="K75" s="626"/>
      <c r="L75" s="539"/>
      <c r="M75" s="540"/>
      <c r="N75" s="537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318"/>
      <c r="AB75" s="318"/>
      <c r="AC75" s="318"/>
      <c r="AD75" s="318"/>
      <c r="AE75" s="318"/>
      <c r="AF75" s="318"/>
      <c r="AG75" s="318"/>
      <c r="AH75" s="318"/>
      <c r="AI75" s="318"/>
      <c r="AJ75" s="318"/>
      <c r="AK75" s="318"/>
      <c r="AL75" s="318"/>
    </row>
    <row r="76" spans="1:38" s="323" customFormat="1" ht="43.2" hidden="1" customHeight="1" x14ac:dyDescent="0.25">
      <c r="A76" s="844" t="s">
        <v>170</v>
      </c>
      <c r="B76" s="666"/>
      <c r="C76" s="655"/>
      <c r="D76" s="675" t="s">
        <v>365</v>
      </c>
      <c r="E76" s="636">
        <f>IFERROR(VALUE(MID(D76,2,LEN(D76)-1)),"")</f>
        <v>68</v>
      </c>
      <c r="F76" s="558">
        <v>118268.03085</v>
      </c>
      <c r="G76" s="547">
        <v>38288.330849999998</v>
      </c>
      <c r="H76" s="547">
        <v>79979.7</v>
      </c>
      <c r="I76" s="652" t="s">
        <v>249</v>
      </c>
      <c r="J76" s="556" t="s">
        <v>377</v>
      </c>
      <c r="K76" s="656"/>
      <c r="L76" s="318"/>
      <c r="M76" s="534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</row>
    <row r="77" spans="1:38" s="323" customFormat="1" ht="32.4" hidden="1" customHeight="1" x14ac:dyDescent="0.25">
      <c r="A77" s="645" t="s">
        <v>260</v>
      </c>
      <c r="B77" s="660" t="s">
        <v>261</v>
      </c>
      <c r="C77" s="626">
        <v>30402.5</v>
      </c>
      <c r="D77" s="626" t="s">
        <v>364</v>
      </c>
      <c r="E77" s="636">
        <f>IFERROR(VALUE(MID(D77,2,LEN(D77)-1)),"")</f>
        <v>69</v>
      </c>
      <c r="F77" s="558">
        <v>117879.35040000001</v>
      </c>
      <c r="G77" s="547">
        <v>91549.85040000001</v>
      </c>
      <c r="H77" s="547">
        <v>26329.5</v>
      </c>
      <c r="I77" s="550" t="s">
        <v>249</v>
      </c>
      <c r="J77" s="854" t="s">
        <v>377</v>
      </c>
      <c r="K77" s="626"/>
      <c r="L77" s="318"/>
      <c r="M77" s="534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</row>
    <row r="78" spans="1:38" s="323" customFormat="1" ht="32.4" hidden="1" customHeight="1" x14ac:dyDescent="0.25">
      <c r="A78" s="629" t="s">
        <v>245</v>
      </c>
      <c r="B78" s="662" t="s">
        <v>232</v>
      </c>
      <c r="C78" s="547">
        <v>959112.20788461529</v>
      </c>
      <c r="D78" s="626" t="s">
        <v>366</v>
      </c>
      <c r="E78" s="636">
        <f>IFERROR(VALUE(MID(D78,2,LEN(D78)-1)),"")</f>
        <v>70</v>
      </c>
      <c r="F78" s="558">
        <v>203939.56</v>
      </c>
      <c r="G78" s="547">
        <v>32946.06</v>
      </c>
      <c r="H78" s="547">
        <v>170993.5</v>
      </c>
      <c r="I78" s="550" t="s">
        <v>249</v>
      </c>
      <c r="J78" s="854" t="s">
        <v>390</v>
      </c>
      <c r="K78" s="626" t="s">
        <v>350</v>
      </c>
      <c r="L78" s="318"/>
      <c r="M78" s="534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</row>
    <row r="79" spans="1:38" s="323" customFormat="1" ht="32.4" hidden="1" customHeight="1" x14ac:dyDescent="0.25">
      <c r="A79" s="629" t="s">
        <v>293</v>
      </c>
      <c r="B79" s="662"/>
      <c r="C79" s="547"/>
      <c r="D79" s="548" t="s">
        <v>367</v>
      </c>
      <c r="E79" s="636">
        <f>IFERROR(VALUE(MID(D79,2,LEN(D79)-1)),"")</f>
        <v>71</v>
      </c>
      <c r="F79" s="546">
        <v>3843652.4262551991</v>
      </c>
      <c r="G79" s="626">
        <v>1651331.9262551989</v>
      </c>
      <c r="H79" s="626">
        <v>2192320.5</v>
      </c>
      <c r="I79" s="626" t="s">
        <v>202</v>
      </c>
      <c r="J79" s="626" t="s">
        <v>398</v>
      </c>
      <c r="K79" s="547"/>
      <c r="L79" s="533"/>
      <c r="M79" s="857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</row>
    <row r="80" spans="1:38" s="323" customFormat="1" ht="32.4" hidden="1" customHeight="1" x14ac:dyDescent="0.25">
      <c r="A80" s="629" t="s">
        <v>262</v>
      </c>
      <c r="B80" s="662" t="s">
        <v>270</v>
      </c>
      <c r="C80" s="547">
        <v>1900000</v>
      </c>
      <c r="D80" s="626" t="s">
        <v>368</v>
      </c>
      <c r="E80" s="636">
        <f>IFERROR(VALUE(MID(D80,2,LEN(D80)-1)),"")</f>
        <v>72</v>
      </c>
      <c r="F80" s="558">
        <v>254850</v>
      </c>
      <c r="G80" s="547"/>
      <c r="H80" s="547">
        <v>254850</v>
      </c>
      <c r="I80" s="550" t="s">
        <v>249</v>
      </c>
      <c r="J80" s="556" t="s">
        <v>377</v>
      </c>
      <c r="K80" s="626" t="s">
        <v>153</v>
      </c>
      <c r="L80" s="318"/>
      <c r="M80" s="534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</row>
    <row r="81" spans="1:38" s="323" customFormat="1" ht="39.6" hidden="1" customHeight="1" x14ac:dyDescent="0.25">
      <c r="A81" s="629" t="s">
        <v>77</v>
      </c>
      <c r="B81" s="662"/>
      <c r="C81" s="547"/>
      <c r="D81" s="550" t="s">
        <v>372</v>
      </c>
      <c r="E81" s="635">
        <f>IFERROR(VALUE(MID(D81,2,LEN(D81)-1)),"")</f>
        <v>73</v>
      </c>
      <c r="F81" s="591">
        <v>199800</v>
      </c>
      <c r="G81" s="626"/>
      <c r="H81" s="557">
        <v>199800</v>
      </c>
      <c r="I81" s="550" t="s">
        <v>249</v>
      </c>
      <c r="J81" s="556" t="s">
        <v>377</v>
      </c>
      <c r="K81" s="626"/>
      <c r="L81" s="536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318"/>
      <c r="AB81" s="318"/>
      <c r="AC81" s="318"/>
      <c r="AD81" s="318"/>
      <c r="AE81" s="318"/>
      <c r="AF81" s="318"/>
      <c r="AG81" s="318"/>
      <c r="AH81" s="318"/>
      <c r="AI81" s="318"/>
      <c r="AJ81" s="318"/>
      <c r="AK81" s="318"/>
      <c r="AL81" s="318"/>
    </row>
    <row r="82" spans="1:38" s="323" customFormat="1" ht="39.6" hidden="1" customHeight="1" x14ac:dyDescent="0.25">
      <c r="A82" s="670" t="s">
        <v>75</v>
      </c>
      <c r="B82" s="662"/>
      <c r="C82" s="554"/>
      <c r="D82" s="626" t="s">
        <v>380</v>
      </c>
      <c r="E82" s="636">
        <f>IFERROR(VALUE(MID(D82,2,LEN(D82)-1)),"")</f>
        <v>74</v>
      </c>
      <c r="F82" s="558">
        <v>2250</v>
      </c>
      <c r="G82" s="547">
        <v>0</v>
      </c>
      <c r="H82" s="547">
        <v>2250</v>
      </c>
      <c r="I82" s="550" t="s">
        <v>249</v>
      </c>
      <c r="J82" s="626" t="s">
        <v>399</v>
      </c>
      <c r="K82" s="651"/>
      <c r="L82" s="318"/>
      <c r="M82" s="534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</row>
    <row r="83" spans="1:38" s="323" customFormat="1" ht="39.6" customHeight="1" x14ac:dyDescent="0.25">
      <c r="A83" s="671" t="s">
        <v>222</v>
      </c>
      <c r="B83" s="663"/>
      <c r="C83" s="555"/>
      <c r="D83" s="548" t="s">
        <v>381</v>
      </c>
      <c r="E83" s="636">
        <f>IFERROR(VALUE(MID(D83,2,LEN(D83)-1)),"")</f>
        <v>75</v>
      </c>
      <c r="F83" s="558">
        <v>77459.5</v>
      </c>
      <c r="G83" s="547"/>
      <c r="H83" s="547">
        <v>77459.5</v>
      </c>
      <c r="I83" s="624" t="s">
        <v>188</v>
      </c>
      <c r="J83" s="661" t="s">
        <v>412</v>
      </c>
      <c r="K83" s="547"/>
      <c r="L83" s="318"/>
      <c r="M83" s="534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318"/>
      <c r="AB83" s="318"/>
      <c r="AC83" s="318"/>
      <c r="AD83" s="318"/>
      <c r="AE83" s="318"/>
      <c r="AF83" s="318"/>
      <c r="AG83" s="318"/>
      <c r="AH83" s="318"/>
      <c r="AI83" s="318"/>
      <c r="AJ83" s="318"/>
      <c r="AK83" s="318"/>
      <c r="AL83" s="318"/>
    </row>
    <row r="84" spans="1:38" s="323" customFormat="1" ht="39.6" customHeight="1" x14ac:dyDescent="0.25">
      <c r="A84" s="672" t="s">
        <v>304</v>
      </c>
      <c r="B84" s="664"/>
      <c r="C84" s="665"/>
      <c r="D84" s="626" t="s">
        <v>382</v>
      </c>
      <c r="E84" s="636">
        <f>IFERROR(VALUE(MID(D84,2,LEN(D84)-1)),"")</f>
        <v>76</v>
      </c>
      <c r="F84" s="546">
        <v>15700</v>
      </c>
      <c r="G84" s="547"/>
      <c r="H84" s="626">
        <v>15700</v>
      </c>
      <c r="I84" s="345"/>
      <c r="J84" s="626" t="s">
        <v>398</v>
      </c>
      <c r="K84" s="547"/>
      <c r="L84" s="534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</row>
    <row r="85" spans="1:38" s="323" customFormat="1" ht="32.4" customHeight="1" x14ac:dyDescent="0.25">
      <c r="A85" s="645" t="s">
        <v>225</v>
      </c>
      <c r="B85" s="641" t="s">
        <v>229</v>
      </c>
      <c r="C85" s="626"/>
      <c r="D85" s="626" t="s">
        <v>383</v>
      </c>
      <c r="E85" s="636">
        <f>IFERROR(VALUE(MID(D85,2,LEN(D85)-1)),"")</f>
        <v>77</v>
      </c>
      <c r="F85" s="558">
        <v>71715.899999999994</v>
      </c>
      <c r="G85" s="547"/>
      <c r="H85" s="547">
        <v>71715.899999999994</v>
      </c>
      <c r="I85" s="624" t="s">
        <v>188</v>
      </c>
      <c r="J85" s="661" t="s">
        <v>398</v>
      </c>
      <c r="K85" s="547"/>
      <c r="L85" s="318"/>
      <c r="M85" s="534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</row>
    <row r="86" spans="1:38" s="323" customFormat="1" ht="32.4" hidden="1" customHeight="1" x14ac:dyDescent="0.25">
      <c r="A86" s="645" t="s">
        <v>253</v>
      </c>
      <c r="B86" s="641"/>
      <c r="C86" s="626"/>
      <c r="D86" s="626" t="s">
        <v>384</v>
      </c>
      <c r="E86" s="636">
        <f>IFERROR(VALUE(MID(D86,2,LEN(D86)-1)),"")</f>
        <v>78</v>
      </c>
      <c r="F86" s="558">
        <v>29576.124592</v>
      </c>
      <c r="G86" s="547">
        <v>23015.874592</v>
      </c>
      <c r="H86" s="547">
        <v>6560.25</v>
      </c>
      <c r="I86" s="550" t="s">
        <v>249</v>
      </c>
      <c r="J86" s="626" t="s">
        <v>398</v>
      </c>
      <c r="K86" s="626"/>
      <c r="L86" s="318"/>
      <c r="M86" s="534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</row>
    <row r="87" spans="1:38" s="323" customFormat="1" ht="32.4" hidden="1" customHeight="1" x14ac:dyDescent="0.25">
      <c r="A87" s="670" t="s">
        <v>293</v>
      </c>
      <c r="B87" s="662"/>
      <c r="C87" s="554"/>
      <c r="D87" s="548" t="s">
        <v>386</v>
      </c>
      <c r="E87" s="636">
        <f>IFERROR(VALUE(MID(D87,2,LEN(D87)-1)),"")</f>
        <v>79</v>
      </c>
      <c r="F87" s="546">
        <v>1819844.095613553</v>
      </c>
      <c r="G87" s="626">
        <v>728716.19561355305</v>
      </c>
      <c r="H87" s="626">
        <v>1091127.8999999999</v>
      </c>
      <c r="I87" s="626" t="s">
        <v>202</v>
      </c>
      <c r="J87" s="626" t="s">
        <v>398</v>
      </c>
      <c r="K87" s="547"/>
      <c r="L87" s="533"/>
      <c r="M87" s="857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</row>
    <row r="88" spans="1:38" s="323" customFormat="1" ht="32.4" hidden="1" customHeight="1" x14ac:dyDescent="0.25">
      <c r="A88" s="673" t="s">
        <v>170</v>
      </c>
      <c r="B88" s="667"/>
      <c r="C88" s="668"/>
      <c r="D88" s="675" t="s">
        <v>387</v>
      </c>
      <c r="E88" s="636">
        <f>IFERROR(VALUE(MID(D88,2,LEN(D88)-1)),"")</f>
        <v>80</v>
      </c>
      <c r="F88" s="558">
        <v>98295.327522600724</v>
      </c>
      <c r="G88" s="547">
        <v>25544.387522600726</v>
      </c>
      <c r="H88" s="547">
        <v>72750.94</v>
      </c>
      <c r="I88" s="652" t="s">
        <v>249</v>
      </c>
      <c r="J88" s="661" t="s">
        <v>398</v>
      </c>
      <c r="K88" s="659"/>
      <c r="L88" s="318"/>
      <c r="M88" s="534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  <c r="AA88" s="318"/>
      <c r="AB88" s="318"/>
      <c r="AC88" s="318"/>
      <c r="AD88" s="318"/>
      <c r="AE88" s="318"/>
      <c r="AF88" s="318"/>
      <c r="AG88" s="318"/>
      <c r="AH88" s="318"/>
      <c r="AI88" s="318"/>
      <c r="AJ88" s="318"/>
      <c r="AK88" s="318"/>
      <c r="AL88" s="318"/>
    </row>
    <row r="89" spans="1:38" s="323" customFormat="1" ht="36.6" customHeight="1" x14ac:dyDescent="0.25">
      <c r="A89" s="672" t="s">
        <v>77</v>
      </c>
      <c r="B89" s="664"/>
      <c r="C89" s="665"/>
      <c r="D89" s="550" t="s">
        <v>388</v>
      </c>
      <c r="E89" s="635">
        <f>IFERROR(VALUE(MID(D89,2,LEN(D89)-1)),"")</f>
        <v>81</v>
      </c>
      <c r="F89" s="591">
        <v>384944.73</v>
      </c>
      <c r="G89" s="626">
        <v>16452.23</v>
      </c>
      <c r="H89" s="557">
        <v>368492.5</v>
      </c>
      <c r="I89" s="624" t="s">
        <v>188</v>
      </c>
      <c r="J89" s="661" t="s">
        <v>398</v>
      </c>
      <c r="K89" s="547"/>
      <c r="L89" s="536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318"/>
      <c r="AB89" s="318"/>
      <c r="AC89" s="318"/>
      <c r="AD89" s="318"/>
      <c r="AE89" s="318"/>
      <c r="AF89" s="318"/>
      <c r="AG89" s="318"/>
      <c r="AH89" s="318"/>
      <c r="AI89" s="318"/>
      <c r="AJ89" s="318"/>
      <c r="AK89" s="318"/>
      <c r="AL89" s="318"/>
    </row>
    <row r="90" spans="1:38" s="323" customFormat="1" ht="32.4" hidden="1" customHeight="1" x14ac:dyDescent="0.25">
      <c r="A90" s="645" t="s">
        <v>307</v>
      </c>
      <c r="B90" s="641" t="s">
        <v>379</v>
      </c>
      <c r="C90" s="626"/>
      <c r="D90" s="626" t="s">
        <v>392</v>
      </c>
      <c r="E90" s="636">
        <f>IFERROR(VALUE(MID(D90,2,LEN(D90)-1)),"")</f>
        <v>82</v>
      </c>
      <c r="F90" s="546">
        <v>24192.53</v>
      </c>
      <c r="G90" s="547"/>
      <c r="H90" s="626">
        <v>24192.53</v>
      </c>
      <c r="I90" s="550" t="s">
        <v>249</v>
      </c>
      <c r="J90" s="626" t="s">
        <v>398</v>
      </c>
      <c r="K90" s="547"/>
      <c r="L90" s="534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</row>
    <row r="91" spans="1:38" s="323" customFormat="1" ht="37.200000000000003" hidden="1" customHeight="1" x14ac:dyDescent="0.25">
      <c r="A91" s="645" t="s">
        <v>327</v>
      </c>
      <c r="B91" s="641" t="s">
        <v>373</v>
      </c>
      <c r="C91" s="626">
        <v>120000</v>
      </c>
      <c r="D91" s="548" t="s">
        <v>393</v>
      </c>
      <c r="E91" s="636">
        <f>IFERROR(VALUE(MID(D91,2,LEN(D91)-1)),"")</f>
        <v>83</v>
      </c>
      <c r="F91" s="546">
        <v>111272.5</v>
      </c>
      <c r="G91" s="547"/>
      <c r="H91" s="626">
        <v>111272.5</v>
      </c>
      <c r="I91" s="550" t="s">
        <v>249</v>
      </c>
      <c r="J91" s="626" t="s">
        <v>412</v>
      </c>
      <c r="K91" s="547"/>
      <c r="L91" s="534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</row>
    <row r="92" spans="1:38" s="323" customFormat="1" ht="32.4" hidden="1" customHeight="1" x14ac:dyDescent="0.25">
      <c r="A92" s="629" t="s">
        <v>78</v>
      </c>
      <c r="B92" s="559"/>
      <c r="C92" s="547"/>
      <c r="D92" s="548" t="s">
        <v>395</v>
      </c>
      <c r="E92" s="635">
        <f>IFERROR(VALUE(MID(D92,2,LEN(D92)-1)),"")</f>
        <v>84</v>
      </c>
      <c r="F92" s="546">
        <v>185810.15</v>
      </c>
      <c r="G92" s="626">
        <v>11910.15</v>
      </c>
      <c r="H92" s="557">
        <v>173900</v>
      </c>
      <c r="I92" s="626" t="s">
        <v>249</v>
      </c>
      <c r="J92" s="556" t="s">
        <v>412</v>
      </c>
      <c r="K92" s="626"/>
      <c r="L92" s="536"/>
      <c r="M92" s="535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</row>
    <row r="93" spans="1:38" s="323" customFormat="1" ht="43.95" customHeight="1" x14ac:dyDescent="0.25">
      <c r="A93" s="629" t="s">
        <v>245</v>
      </c>
      <c r="B93" s="559"/>
      <c r="C93" s="547"/>
      <c r="D93" s="657" t="s">
        <v>396</v>
      </c>
      <c r="E93" s="636">
        <f>IFERROR(VALUE(MID(D93,2,LEN(D93)-1)),"")</f>
        <v>85</v>
      </c>
      <c r="F93" s="558">
        <v>356078.06</v>
      </c>
      <c r="G93" s="547">
        <v>143315.36000000002</v>
      </c>
      <c r="H93" s="547">
        <v>212762.7</v>
      </c>
      <c r="I93" s="624" t="s">
        <v>203</v>
      </c>
      <c r="J93" s="556" t="s">
        <v>401</v>
      </c>
      <c r="K93" s="626"/>
      <c r="L93" s="318"/>
      <c r="M93" s="534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</row>
    <row r="94" spans="1:38" s="323" customFormat="1" ht="43.95" customHeight="1" x14ac:dyDescent="0.25">
      <c r="A94" s="629" t="s">
        <v>262</v>
      </c>
      <c r="B94" s="559"/>
      <c r="C94" s="547"/>
      <c r="D94" s="626" t="s">
        <v>400</v>
      </c>
      <c r="E94" s="636">
        <f>IFERROR(VALUE(MID(D94,2,LEN(D94)-1)),"")</f>
        <v>86</v>
      </c>
      <c r="F94" s="558">
        <v>51720</v>
      </c>
      <c r="G94" s="547"/>
      <c r="H94" s="547">
        <v>51720</v>
      </c>
      <c r="I94" s="624" t="s">
        <v>188</v>
      </c>
      <c r="J94" s="626" t="s">
        <v>398</v>
      </c>
      <c r="K94" s="626" t="s">
        <v>153</v>
      </c>
      <c r="L94" s="318"/>
      <c r="M94" s="534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</row>
    <row r="95" spans="1:38" s="323" customFormat="1" ht="43.95" customHeight="1" x14ac:dyDescent="0.25">
      <c r="A95" s="645" t="s">
        <v>328</v>
      </c>
      <c r="B95" s="641" t="s">
        <v>375</v>
      </c>
      <c r="C95" s="626">
        <v>20736.719333333334</v>
      </c>
      <c r="D95" s="657" t="s">
        <v>403</v>
      </c>
      <c r="E95" s="636">
        <f>IFERROR(VALUE(MID(D95,2,LEN(D95)-1)),"")</f>
        <v>87</v>
      </c>
      <c r="F95" s="546">
        <v>19339.953333333331</v>
      </c>
      <c r="G95" s="547"/>
      <c r="H95" s="626">
        <v>19339.953333333331</v>
      </c>
      <c r="I95" s="624"/>
      <c r="J95" s="626" t="s">
        <v>404</v>
      </c>
      <c r="K95" s="547" t="s">
        <v>394</v>
      </c>
      <c r="L95" s="534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</row>
    <row r="96" spans="1:38" s="323" customFormat="1" ht="43.95" hidden="1" customHeight="1" x14ac:dyDescent="0.25">
      <c r="A96" s="629" t="s">
        <v>262</v>
      </c>
      <c r="B96" s="559"/>
      <c r="C96" s="547"/>
      <c r="D96" s="626" t="s">
        <v>409</v>
      </c>
      <c r="E96" s="636">
        <f>IFERROR(VALUE(MID(D96,2,LEN(D96)-1)),"")</f>
        <v>88</v>
      </c>
      <c r="F96" s="558">
        <v>264860</v>
      </c>
      <c r="G96" s="547"/>
      <c r="H96" s="547">
        <v>264860</v>
      </c>
      <c r="I96" s="550" t="s">
        <v>249</v>
      </c>
      <c r="J96" s="626" t="s">
        <v>412</v>
      </c>
      <c r="K96" s="626" t="s">
        <v>153</v>
      </c>
      <c r="L96" s="318"/>
      <c r="M96" s="534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</row>
    <row r="97" spans="1:38" s="323" customFormat="1" ht="43.95" customHeight="1" x14ac:dyDescent="0.25">
      <c r="A97" s="645" t="s">
        <v>334</v>
      </c>
      <c r="B97" s="641" t="s">
        <v>391</v>
      </c>
      <c r="C97" s="626">
        <v>63217.29</v>
      </c>
      <c r="D97" s="548" t="s">
        <v>408</v>
      </c>
      <c r="E97" s="636">
        <f>IFERROR(VALUE(MID(D97,2,LEN(D97)-1)),"")</f>
        <v>89</v>
      </c>
      <c r="F97" s="546">
        <v>63217.29</v>
      </c>
      <c r="G97" s="547"/>
      <c r="H97" s="626">
        <v>63217.29</v>
      </c>
      <c r="I97" s="624" t="s">
        <v>188</v>
      </c>
      <c r="J97" s="626" t="s">
        <v>412</v>
      </c>
      <c r="K97" s="547"/>
      <c r="L97" s="534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</row>
    <row r="98" spans="1:38" s="323" customFormat="1" ht="43.95" customHeight="1" x14ac:dyDescent="0.25">
      <c r="A98" s="645" t="s">
        <v>338</v>
      </c>
      <c r="B98" s="641" t="s">
        <v>402</v>
      </c>
      <c r="C98" s="626"/>
      <c r="D98" s="548" t="s">
        <v>413</v>
      </c>
      <c r="E98" s="636">
        <f>IFERROR(VALUE(MID(D98,2,LEN(D98)-1)),"")</f>
        <v>90</v>
      </c>
      <c r="F98" s="546">
        <v>72225.63</v>
      </c>
      <c r="G98" s="547"/>
      <c r="H98" s="546">
        <v>72225.63</v>
      </c>
      <c r="I98" s="624" t="s">
        <v>188</v>
      </c>
      <c r="J98" s="626" t="s">
        <v>412</v>
      </c>
      <c r="K98" s="547"/>
      <c r="L98" s="534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</row>
    <row r="99" spans="1:38" s="323" customFormat="1" ht="32.4" customHeight="1" x14ac:dyDescent="0.25">
      <c r="A99" s="645" t="s">
        <v>309</v>
      </c>
      <c r="B99" s="641" t="s">
        <v>371</v>
      </c>
      <c r="C99" s="626"/>
      <c r="D99" s="548" t="s">
        <v>414</v>
      </c>
      <c r="E99" s="636">
        <f>IFERROR(VALUE(MID(D99,2,LEN(D99)-1)),"")</f>
        <v>91</v>
      </c>
      <c r="F99" s="546">
        <v>5670</v>
      </c>
      <c r="G99" s="547"/>
      <c r="H99" s="626">
        <v>5670</v>
      </c>
      <c r="I99" s="624" t="s">
        <v>188</v>
      </c>
      <c r="J99" s="626" t="s">
        <v>412</v>
      </c>
      <c r="K99" s="547"/>
      <c r="L99" s="534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</row>
    <row r="100" spans="1:38" s="323" customFormat="1" ht="37.950000000000003" customHeight="1" x14ac:dyDescent="0.25">
      <c r="A100" s="645" t="s">
        <v>332</v>
      </c>
      <c r="B100" s="641" t="s">
        <v>378</v>
      </c>
      <c r="C100" s="626">
        <v>315020.03088571428</v>
      </c>
      <c r="D100" s="548" t="s">
        <v>417</v>
      </c>
      <c r="E100" s="636">
        <f>IFERROR(VALUE(MID(D100,2,LEN(D100)-1)),"")</f>
        <v>92</v>
      </c>
      <c r="F100" s="546"/>
      <c r="G100" s="547"/>
      <c r="H100" s="626"/>
      <c r="I100" s="624" t="s">
        <v>203</v>
      </c>
      <c r="J100" s="626" t="s">
        <v>412</v>
      </c>
      <c r="K100" s="547"/>
      <c r="L100" s="534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  <c r="AA100" s="318"/>
      <c r="AB100" s="318"/>
      <c r="AC100" s="318"/>
      <c r="AD100" s="318"/>
      <c r="AE100" s="318"/>
      <c r="AF100" s="318"/>
      <c r="AG100" s="318"/>
      <c r="AH100" s="318"/>
      <c r="AI100" s="318"/>
      <c r="AJ100" s="318"/>
      <c r="AK100" s="318"/>
    </row>
    <row r="101" spans="1:38" s="323" customFormat="1" ht="37.950000000000003" customHeight="1" x14ac:dyDescent="0.25">
      <c r="A101" s="645" t="s">
        <v>80</v>
      </c>
      <c r="B101" s="641" t="s">
        <v>217</v>
      </c>
      <c r="C101" s="626">
        <v>658888.21000000008</v>
      </c>
      <c r="D101" s="626"/>
      <c r="E101" s="636" t="str">
        <f>IFERROR(VALUE(MID(D101,2,LEN(D101)-1)),"")</f>
        <v/>
      </c>
      <c r="F101" s="558"/>
      <c r="G101" s="547"/>
      <c r="H101" s="547"/>
      <c r="I101" s="624"/>
      <c r="J101" s="626"/>
      <c r="K101" s="651"/>
      <c r="L101" s="318"/>
      <c r="M101" s="534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</row>
    <row r="102" spans="1:38" s="323" customFormat="1" ht="31.8" customHeight="1" x14ac:dyDescent="0.25">
      <c r="A102" s="579" t="s">
        <v>286</v>
      </c>
      <c r="B102" s="660" t="s">
        <v>287</v>
      </c>
      <c r="C102" s="661"/>
      <c r="D102" s="626"/>
      <c r="E102" s="636" t="str">
        <f>IFERROR(VALUE(MID(D102,2,LEN(D102)-1)),"")</f>
        <v/>
      </c>
      <c r="F102" s="546"/>
      <c r="G102" s="547"/>
      <c r="H102" s="550"/>
      <c r="I102" s="556"/>
      <c r="J102" s="625"/>
      <c r="K102" s="550"/>
      <c r="L102" s="318"/>
      <c r="M102" s="534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</row>
    <row r="103" spans="1:38" s="323" customFormat="1" ht="35.4" customHeight="1" x14ac:dyDescent="0.25">
      <c r="A103" s="842" t="s">
        <v>169</v>
      </c>
      <c r="B103" s="846" t="s">
        <v>233</v>
      </c>
      <c r="C103" s="849">
        <v>5868795.1899999995</v>
      </c>
      <c r="D103" s="626"/>
      <c r="E103" s="636" t="str">
        <f>IFERROR(VALUE(MID(D103,2,LEN(D103)-1)),"")</f>
        <v/>
      </c>
      <c r="F103" s="558"/>
      <c r="G103" s="547"/>
      <c r="H103" s="547"/>
      <c r="I103" s="853"/>
      <c r="J103" s="554"/>
      <c r="K103" s="547"/>
      <c r="L103" s="318"/>
      <c r="M103" s="534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</row>
    <row r="104" spans="1:38" s="323" customFormat="1" ht="37.950000000000003" customHeight="1" x14ac:dyDescent="0.25">
      <c r="A104" s="645" t="s">
        <v>235</v>
      </c>
      <c r="B104" s="641" t="s">
        <v>266</v>
      </c>
      <c r="C104" s="626">
        <v>48963.26</v>
      </c>
      <c r="D104" s="626"/>
      <c r="E104" s="636" t="str">
        <f>IFERROR(VALUE(MID(D104,2,LEN(D104)-1)),"")</f>
        <v/>
      </c>
      <c r="F104" s="558"/>
      <c r="G104" s="547"/>
      <c r="H104" s="547"/>
      <c r="I104" s="547"/>
      <c r="J104" s="547"/>
      <c r="K104" s="547"/>
      <c r="L104" s="318"/>
      <c r="M104" s="534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</row>
    <row r="105" spans="1:38" s="323" customFormat="1" ht="37.950000000000003" customHeight="1" x14ac:dyDescent="0.25">
      <c r="A105" s="645" t="s">
        <v>230</v>
      </c>
      <c r="B105" s="641" t="s">
        <v>216</v>
      </c>
      <c r="C105" s="626"/>
      <c r="D105" s="626"/>
      <c r="E105" s="636" t="str">
        <f>IFERROR(VALUE(MID(D105,2,LEN(D105)-1)),"")</f>
        <v/>
      </c>
      <c r="F105" s="558"/>
      <c r="G105" s="547"/>
      <c r="H105" s="547"/>
      <c r="I105" s="547"/>
      <c r="J105" s="554"/>
      <c r="K105" s="547"/>
      <c r="L105" s="318"/>
      <c r="M105" s="534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</row>
    <row r="106" spans="1:38" s="323" customFormat="1" ht="37.950000000000003" customHeight="1" x14ac:dyDescent="0.25">
      <c r="A106" s="645" t="s">
        <v>237</v>
      </c>
      <c r="B106" s="641" t="s">
        <v>276</v>
      </c>
      <c r="C106" s="626"/>
      <c r="D106" s="626"/>
      <c r="E106" s="636" t="str">
        <f>IFERROR(VALUE(MID(D106,2,LEN(D106)-1)),"")</f>
        <v/>
      </c>
      <c r="F106" s="558"/>
      <c r="G106" s="547"/>
      <c r="H106" s="547"/>
      <c r="I106" s="547"/>
      <c r="J106" s="554"/>
      <c r="K106" s="547"/>
      <c r="L106" s="318"/>
      <c r="M106" s="534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</row>
    <row r="107" spans="1:38" s="323" customFormat="1" ht="37.950000000000003" customHeight="1" x14ac:dyDescent="0.25">
      <c r="A107" s="645" t="s">
        <v>239</v>
      </c>
      <c r="B107" s="641" t="s">
        <v>279</v>
      </c>
      <c r="C107" s="626">
        <v>5040</v>
      </c>
      <c r="D107" s="626"/>
      <c r="E107" s="636" t="str">
        <f>IFERROR(VALUE(MID(D107,2,LEN(D107)-1)),"")</f>
        <v/>
      </c>
      <c r="F107" s="546"/>
      <c r="G107" s="547"/>
      <c r="H107" s="547"/>
      <c r="I107" s="550"/>
      <c r="J107" s="661"/>
      <c r="K107" s="626"/>
      <c r="L107" s="534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</row>
    <row r="108" spans="1:38" s="323" customFormat="1" ht="37.950000000000003" customHeight="1" x14ac:dyDescent="0.25">
      <c r="A108" s="645" t="s">
        <v>240</v>
      </c>
      <c r="B108" s="641" t="s">
        <v>275</v>
      </c>
      <c r="C108" s="626">
        <v>40920.067115384612</v>
      </c>
      <c r="D108" s="626"/>
      <c r="E108" s="636" t="str">
        <f>IFERROR(VALUE(MID(D108,2,LEN(D108)-1)),"")</f>
        <v/>
      </c>
      <c r="F108" s="546"/>
      <c r="G108" s="547"/>
      <c r="H108" s="547"/>
      <c r="I108" s="550"/>
      <c r="J108" s="661"/>
      <c r="K108" s="626"/>
      <c r="L108" s="534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</row>
    <row r="109" spans="1:38" s="323" customFormat="1" ht="37.950000000000003" customHeight="1" x14ac:dyDescent="0.25">
      <c r="A109" s="645" t="s">
        <v>289</v>
      </c>
      <c r="B109" s="641" t="s">
        <v>300</v>
      </c>
      <c r="C109" s="626">
        <v>6116.26</v>
      </c>
      <c r="D109" s="626"/>
      <c r="E109" s="636" t="str">
        <f>IFERROR(VALUE(MID(D109,2,LEN(D109)-1)),"")</f>
        <v/>
      </c>
      <c r="F109" s="546"/>
      <c r="G109" s="547"/>
      <c r="H109" s="547"/>
      <c r="I109" s="550"/>
      <c r="J109" s="661"/>
      <c r="K109" s="626"/>
      <c r="L109" s="534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</row>
    <row r="110" spans="1:38" s="323" customFormat="1" ht="37.950000000000003" customHeight="1" x14ac:dyDescent="0.25">
      <c r="A110" s="645" t="s">
        <v>302</v>
      </c>
      <c r="B110" s="641" t="s">
        <v>335</v>
      </c>
      <c r="C110" s="626">
        <v>142452.13</v>
      </c>
      <c r="D110" s="626"/>
      <c r="E110" s="636" t="str">
        <f>IFERROR(VALUE(MID(D110,2,LEN(D110)-1)),"")</f>
        <v/>
      </c>
      <c r="F110" s="546"/>
      <c r="G110" s="547"/>
      <c r="H110" s="547"/>
      <c r="I110" s="550"/>
      <c r="J110" s="661"/>
      <c r="K110" s="626"/>
      <c r="L110" s="534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</row>
    <row r="111" spans="1:38" s="323" customFormat="1" ht="37.950000000000003" customHeight="1" x14ac:dyDescent="0.25">
      <c r="A111" s="645" t="s">
        <v>305</v>
      </c>
      <c r="B111" s="641" t="s">
        <v>355</v>
      </c>
      <c r="C111" s="626"/>
      <c r="D111" s="626"/>
      <c r="E111" s="636" t="str">
        <f>IFERROR(VALUE(MID(D111,2,LEN(D111)-1)),"")</f>
        <v/>
      </c>
      <c r="F111" s="546"/>
      <c r="G111" s="547"/>
      <c r="H111" s="546"/>
      <c r="I111" s="652"/>
      <c r="J111" s="661"/>
      <c r="K111" s="547"/>
      <c r="L111" s="534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</row>
    <row r="112" spans="1:38" s="323" customFormat="1" ht="37.950000000000003" customHeight="1" x14ac:dyDescent="0.25">
      <c r="A112" s="645" t="s">
        <v>331</v>
      </c>
      <c r="B112" s="641" t="s">
        <v>376</v>
      </c>
      <c r="C112" s="626">
        <v>108679.85</v>
      </c>
      <c r="D112" s="626"/>
      <c r="E112" s="636" t="str">
        <f>IFERROR(VALUE(MID(D112,2,LEN(D112)-1)),"")</f>
        <v/>
      </c>
      <c r="F112" s="546"/>
      <c r="G112" s="547"/>
      <c r="H112" s="626"/>
      <c r="I112" s="624"/>
      <c r="J112" s="661"/>
      <c r="K112" s="547"/>
      <c r="L112" s="534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</row>
    <row r="113" spans="1:37" s="323" customFormat="1" ht="37.950000000000003" customHeight="1" x14ac:dyDescent="0.25">
      <c r="A113" s="645" t="s">
        <v>333</v>
      </c>
      <c r="B113" s="641" t="s">
        <v>389</v>
      </c>
      <c r="C113" s="626">
        <v>64000</v>
      </c>
      <c r="D113" s="626"/>
      <c r="E113" s="636" t="str">
        <f>IFERROR(VALUE(MID(D113,2,LEN(D113)-1)),"")</f>
        <v/>
      </c>
      <c r="F113" s="546"/>
      <c r="G113" s="547"/>
      <c r="H113" s="626"/>
      <c r="I113" s="624"/>
      <c r="J113" s="626"/>
      <c r="K113" s="547"/>
      <c r="L113" s="534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</row>
    <row r="114" spans="1:37" s="323" customFormat="1" ht="37.950000000000003" customHeight="1" x14ac:dyDescent="0.25">
      <c r="A114" s="645" t="s">
        <v>337</v>
      </c>
      <c r="B114" s="641" t="s">
        <v>397</v>
      </c>
      <c r="C114" s="626">
        <v>17140.37</v>
      </c>
      <c r="D114" s="626"/>
      <c r="E114" s="636" t="str">
        <f>IFERROR(VALUE(MID(D114,2,LEN(D114)-1)),"")</f>
        <v/>
      </c>
      <c r="F114" s="546"/>
      <c r="G114" s="547"/>
      <c r="H114" s="546"/>
      <c r="I114" s="652"/>
      <c r="J114" s="661"/>
      <c r="K114" s="547"/>
      <c r="L114" s="534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</row>
    <row r="115" spans="1:37" s="324" customFormat="1" ht="22.95" customHeight="1" x14ac:dyDescent="0.25">
      <c r="A115" s="560"/>
      <c r="B115" s="560" t="s">
        <v>47</v>
      </c>
      <c r="C115" s="561">
        <f>SUM(C6:C112)</f>
        <v>43994334.884762779</v>
      </c>
      <c r="D115" s="677"/>
      <c r="E115" s="677"/>
      <c r="F115" s="561">
        <f>SUM(F6:F114)</f>
        <v>37163494.54667066</v>
      </c>
      <c r="G115" s="561">
        <f>SUM(G6:G114)</f>
        <v>11321433.128839364</v>
      </c>
      <c r="H115" s="561">
        <f>SUM(H6:H114)</f>
        <v>25743861.415333327</v>
      </c>
      <c r="I115" s="561"/>
      <c r="J115" s="561"/>
      <c r="K115" s="561"/>
    </row>
    <row r="116" spans="1:37" x14ac:dyDescent="0.25">
      <c r="C116" s="339"/>
      <c r="D116" s="339"/>
      <c r="E116" s="339"/>
      <c r="F116" s="339"/>
      <c r="G116" s="339"/>
      <c r="H116" s="339"/>
      <c r="I116" s="339"/>
      <c r="J116" s="339"/>
      <c r="K116" s="339"/>
    </row>
    <row r="117" spans="1:37" x14ac:dyDescent="0.25">
      <c r="C117" s="339"/>
      <c r="D117" s="339"/>
      <c r="E117" s="339"/>
      <c r="F117" s="339"/>
      <c r="G117" s="339"/>
      <c r="H117" s="339"/>
      <c r="I117" s="339"/>
      <c r="J117" s="339"/>
      <c r="K117" s="339"/>
    </row>
    <row r="118" spans="1:37" x14ac:dyDescent="0.25">
      <c r="C118" s="339"/>
      <c r="D118" s="339"/>
      <c r="E118" s="339"/>
      <c r="F118" s="339"/>
      <c r="G118" s="339"/>
      <c r="H118" s="339"/>
      <c r="I118" s="339"/>
      <c r="J118" s="339"/>
      <c r="K118" s="339"/>
    </row>
    <row r="119" spans="1:37" x14ac:dyDescent="0.25">
      <c r="C119" s="339"/>
      <c r="D119" s="339"/>
      <c r="E119" s="339"/>
      <c r="F119" s="339"/>
      <c r="G119" s="339"/>
      <c r="H119" s="339"/>
      <c r="I119" s="339"/>
      <c r="J119" s="339"/>
      <c r="K119" s="339"/>
    </row>
    <row r="120" spans="1:37" x14ac:dyDescent="0.25">
      <c r="C120" s="339"/>
      <c r="D120" s="339"/>
      <c r="E120" s="339"/>
      <c r="F120" s="339"/>
      <c r="G120" s="339"/>
      <c r="H120" s="339"/>
      <c r="I120" s="339"/>
      <c r="J120" s="339"/>
      <c r="K120" s="339"/>
    </row>
  </sheetData>
  <autoFilter ref="A5:AL115">
    <filterColumn colId="8">
      <filters blank="1">
        <filter val="Погоджено Замовником"/>
        <filter val="Подано на Замовника"/>
      </filters>
    </filterColumn>
    <sortState ref="A8:AL115">
      <sortCondition ref="E5:E115"/>
    </sortState>
  </autoFilter>
  <mergeCells count="6">
    <mergeCell ref="A1:K2"/>
    <mergeCell ref="K3:K5"/>
    <mergeCell ref="D3:J4"/>
    <mergeCell ref="A3:A5"/>
    <mergeCell ref="B3:B5"/>
    <mergeCell ref="C3:C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1" fitToHeight="0" orientation="landscape" verticalDpi="300" r:id="rId1"/>
  <rowBreaks count="2" manualBreakCount="2">
    <brk id="27" max="10" man="1"/>
    <brk id="64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64" t="s">
        <v>149</v>
      </c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  <c r="N2" s="764"/>
      <c r="O2" s="764"/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65" t="s">
        <v>118</v>
      </c>
      <c r="B4" s="768" t="s">
        <v>2</v>
      </c>
      <c r="C4" s="771" t="s">
        <v>119</v>
      </c>
      <c r="D4" s="772"/>
      <c r="E4" s="775" t="s">
        <v>120</v>
      </c>
      <c r="F4" s="778" t="s">
        <v>121</v>
      </c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80"/>
      <c r="X4" s="512"/>
      <c r="Y4" s="771" t="s">
        <v>122</v>
      </c>
      <c r="Z4" s="781"/>
      <c r="AA4" s="772"/>
      <c r="AB4" s="783" t="s">
        <v>123</v>
      </c>
      <c r="AC4" s="784"/>
      <c r="AD4" s="785"/>
    </row>
    <row r="5" spans="1:30" ht="15.45" customHeight="1" x14ac:dyDescent="0.25">
      <c r="A5" s="766"/>
      <c r="B5" s="769"/>
      <c r="C5" s="773"/>
      <c r="D5" s="774"/>
      <c r="E5" s="776"/>
      <c r="F5" s="778" t="s">
        <v>143</v>
      </c>
      <c r="G5" s="780"/>
      <c r="H5" s="778" t="s">
        <v>144</v>
      </c>
      <c r="I5" s="780"/>
      <c r="J5" s="778" t="s">
        <v>145</v>
      </c>
      <c r="K5" s="780"/>
      <c r="L5" s="778" t="s">
        <v>156</v>
      </c>
      <c r="M5" s="780"/>
      <c r="N5" s="778" t="s">
        <v>155</v>
      </c>
      <c r="O5" s="780"/>
      <c r="P5" s="778" t="s">
        <v>159</v>
      </c>
      <c r="Q5" s="780"/>
      <c r="R5" s="778" t="s">
        <v>166</v>
      </c>
      <c r="S5" s="780"/>
      <c r="T5" s="778"/>
      <c r="U5" s="780"/>
      <c r="V5" s="778"/>
      <c r="W5" s="780"/>
      <c r="X5" s="513"/>
      <c r="Y5" s="773"/>
      <c r="Z5" s="782"/>
      <c r="AA5" s="774"/>
      <c r="AB5" s="786"/>
      <c r="AC5" s="787"/>
      <c r="AD5" s="788"/>
    </row>
    <row r="6" spans="1:30" ht="27.75" customHeight="1" x14ac:dyDescent="0.25">
      <c r="A6" s="767"/>
      <c r="B6" s="770"/>
      <c r="C6" s="314" t="s">
        <v>124</v>
      </c>
      <c r="D6" s="315" t="s">
        <v>125</v>
      </c>
      <c r="E6" s="777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99">
        <v>1</v>
      </c>
      <c r="B8" s="815" t="s">
        <v>95</v>
      </c>
      <c r="C8" s="789" t="s">
        <v>53</v>
      </c>
      <c r="D8" s="793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96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13"/>
      <c r="B9" s="816"/>
      <c r="C9" s="790"/>
      <c r="D9" s="794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97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13"/>
      <c r="B10" s="816"/>
      <c r="C10" s="790"/>
      <c r="D10" s="794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97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13"/>
      <c r="B11" s="816"/>
      <c r="C11" s="790"/>
      <c r="D11" s="794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97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13"/>
      <c r="B12" s="816"/>
      <c r="C12" s="790"/>
      <c r="D12" s="794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97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13"/>
      <c r="B13" s="816"/>
      <c r="C13" s="790"/>
      <c r="D13" s="794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97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13"/>
      <c r="B14" s="816"/>
      <c r="C14" s="790"/>
      <c r="D14" s="794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97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13"/>
      <c r="B15" s="816"/>
      <c r="C15" s="790"/>
      <c r="D15" s="794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97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13"/>
      <c r="B16" s="816"/>
      <c r="C16" s="790"/>
      <c r="D16" s="794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97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13"/>
      <c r="B17" s="816"/>
      <c r="C17" s="790"/>
      <c r="D17" s="794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97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13"/>
      <c r="B18" s="816"/>
      <c r="C18" s="790"/>
      <c r="D18" s="794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97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13"/>
      <c r="B19" s="816"/>
      <c r="C19" s="790"/>
      <c r="D19" s="794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97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13"/>
      <c r="B20" s="816"/>
      <c r="C20" s="790"/>
      <c r="D20" s="794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97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13"/>
      <c r="B21" s="816"/>
      <c r="C21" s="791"/>
      <c r="D21" s="794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97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14"/>
      <c r="B22" s="817"/>
      <c r="C22" s="792"/>
      <c r="D22" s="795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98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08">
        <v>2</v>
      </c>
      <c r="B25" s="809" t="s">
        <v>157</v>
      </c>
      <c r="C25" s="769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11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01"/>
      <c r="B26" s="810"/>
      <c r="C26" s="792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12"/>
      <c r="AB26" s="418"/>
      <c r="AC26" s="418"/>
      <c r="AD26" s="419"/>
    </row>
    <row r="27" spans="1:30" s="323" customFormat="1" ht="12" customHeight="1" x14ac:dyDescent="0.25">
      <c r="A27" s="799">
        <v>3</v>
      </c>
      <c r="B27" s="802" t="s">
        <v>98</v>
      </c>
      <c r="C27" s="510"/>
      <c r="D27" s="805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00"/>
      <c r="B28" s="803"/>
      <c r="C28" s="511"/>
      <c r="D28" s="806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01"/>
      <c r="B29" s="804"/>
      <c r="C29" s="397"/>
      <c r="D29" s="807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18">
        <f>A8+1</f>
        <v>2</v>
      </c>
      <c r="B30" s="819" t="s">
        <v>152</v>
      </c>
      <c r="C30" s="822" t="s">
        <v>69</v>
      </c>
      <c r="D30" s="823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26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27"/>
      <c r="B31" s="829"/>
      <c r="C31" s="831"/>
      <c r="D31" s="833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91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27"/>
      <c r="B32" s="829"/>
      <c r="C32" s="791"/>
      <c r="D32" s="833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91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27"/>
      <c r="B33" s="829"/>
      <c r="C33" s="791"/>
      <c r="D33" s="833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91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27"/>
      <c r="B34" s="829"/>
      <c r="C34" s="791"/>
      <c r="D34" s="833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91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27"/>
      <c r="B35" s="829"/>
      <c r="C35" s="791"/>
      <c r="D35" s="833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91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27"/>
      <c r="B36" s="829"/>
      <c r="C36" s="791"/>
      <c r="D36" s="833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91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27"/>
      <c r="B37" s="829"/>
      <c r="C37" s="791"/>
      <c r="D37" s="833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91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27"/>
      <c r="B38" s="829"/>
      <c r="C38" s="791"/>
      <c r="D38" s="833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91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27"/>
      <c r="B39" s="829"/>
      <c r="C39" s="791"/>
      <c r="D39" s="833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91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27"/>
      <c r="B40" s="829"/>
      <c r="C40" s="791"/>
      <c r="D40" s="833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91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27"/>
      <c r="B41" s="829"/>
      <c r="C41" s="791"/>
      <c r="D41" s="833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91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27"/>
      <c r="B42" s="829"/>
      <c r="C42" s="791"/>
      <c r="D42" s="833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91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27"/>
      <c r="B43" s="829"/>
      <c r="C43" s="791"/>
      <c r="D43" s="833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91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27"/>
      <c r="B44" s="829"/>
      <c r="C44" s="791"/>
      <c r="D44" s="833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91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28"/>
      <c r="B45" s="830"/>
      <c r="C45" s="792"/>
      <c r="D45" s="834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18">
        <v>3</v>
      </c>
      <c r="B47" s="819" t="s">
        <v>146</v>
      </c>
      <c r="C47" s="822" t="s">
        <v>70</v>
      </c>
      <c r="D47" s="823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35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27"/>
      <c r="B48" s="829"/>
      <c r="C48" s="831"/>
      <c r="D48" s="833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36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27"/>
      <c r="B49" s="829"/>
      <c r="C49" s="831"/>
      <c r="D49" s="833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36"/>
      <c r="AB49" s="415">
        <f>Z49</f>
        <v>197627.09</v>
      </c>
      <c r="AC49" s="415"/>
      <c r="AD49" s="443"/>
    </row>
    <row r="50" spans="1:30" s="323" customFormat="1" ht="12" customHeight="1" x14ac:dyDescent="0.25">
      <c r="A50" s="827"/>
      <c r="B50" s="829"/>
      <c r="C50" s="831"/>
      <c r="D50" s="833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36"/>
      <c r="AB50" s="415"/>
      <c r="AC50" s="415"/>
      <c r="AD50" s="443"/>
    </row>
    <row r="51" spans="1:30" s="323" customFormat="1" ht="12" customHeight="1" thickBot="1" x14ac:dyDescent="0.3">
      <c r="A51" s="827"/>
      <c r="B51" s="829"/>
      <c r="C51" s="831"/>
      <c r="D51" s="833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37"/>
      <c r="AB51" s="415"/>
      <c r="AC51" s="415"/>
      <c r="AD51" s="444"/>
    </row>
    <row r="52" spans="1:30" s="323" customFormat="1" ht="12.6" customHeight="1" thickBot="1" x14ac:dyDescent="0.3">
      <c r="A52" s="828"/>
      <c r="B52" s="830"/>
      <c r="C52" s="832"/>
      <c r="D52" s="834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18">
        <v>4</v>
      </c>
      <c r="B53" s="819" t="s">
        <v>151</v>
      </c>
      <c r="C53" s="822" t="s">
        <v>71</v>
      </c>
      <c r="D53" s="823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24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00"/>
      <c r="B54" s="820"/>
      <c r="C54" s="791"/>
      <c r="D54" s="791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25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00"/>
      <c r="B55" s="820"/>
      <c r="C55" s="791"/>
      <c r="D55" s="791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25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00"/>
      <c r="B56" s="820"/>
      <c r="C56" s="791"/>
      <c r="D56" s="791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25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00"/>
      <c r="B57" s="820"/>
      <c r="C57" s="791"/>
      <c r="D57" s="791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25"/>
      <c r="AB57" s="370"/>
      <c r="AC57" s="370"/>
      <c r="AD57" s="446"/>
    </row>
    <row r="58" spans="1:30" s="323" customFormat="1" ht="13.2" customHeight="1" thickBot="1" x14ac:dyDescent="0.3">
      <c r="A58" s="801"/>
      <c r="B58" s="821"/>
      <c r="C58" s="792"/>
      <c r="D58" s="792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18">
        <v>5</v>
      </c>
      <c r="B59" s="819" t="s">
        <v>154</v>
      </c>
      <c r="C59" s="822" t="s">
        <v>72</v>
      </c>
      <c r="D59" s="823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00"/>
      <c r="B60" s="820"/>
      <c r="C60" s="791"/>
      <c r="D60" s="791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00"/>
      <c r="B61" s="820"/>
      <c r="C61" s="791"/>
      <c r="D61" s="791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00"/>
      <c r="B62" s="820"/>
      <c r="C62" s="791"/>
      <c r="D62" s="791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00"/>
      <c r="B63" s="820"/>
      <c r="C63" s="791"/>
      <c r="D63" s="791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01"/>
      <c r="B64" s="821"/>
      <c r="C64" s="792"/>
      <c r="D64" s="792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38" t="s">
        <v>181</v>
      </c>
      <c r="B2" s="838"/>
      <c r="C2" s="838"/>
      <c r="D2" s="839"/>
      <c r="E2" s="839"/>
    </row>
    <row r="3" spans="1:5" ht="15" customHeight="1" x14ac:dyDescent="0.25">
      <c r="A3" s="309"/>
      <c r="B3" s="309"/>
      <c r="C3" s="309"/>
      <c r="D3" s="787" t="s">
        <v>182</v>
      </c>
      <c r="E3" s="787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13">
        <v>1</v>
      </c>
      <c r="B5" s="816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13"/>
      <c r="B6" s="816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13"/>
      <c r="B7" s="816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13"/>
      <c r="B8" s="816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13"/>
      <c r="B9" s="816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13"/>
      <c r="B10" s="816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13"/>
      <c r="B11" s="816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13"/>
      <c r="B12" s="816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13"/>
      <c r="B13" s="816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13"/>
      <c r="B14" s="816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13"/>
      <c r="B15" s="816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13"/>
      <c r="B16" s="816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13"/>
      <c r="B17" s="816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13"/>
      <c r="B18" s="816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13"/>
      <c r="B19" s="816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27">
        <f>A5+1</f>
        <v>2</v>
      </c>
      <c r="B23" s="829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27"/>
      <c r="B24" s="829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27"/>
      <c r="B25" s="829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27"/>
      <c r="B26" s="829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27"/>
      <c r="B27" s="829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27"/>
      <c r="B28" s="829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27"/>
      <c r="B29" s="829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27"/>
      <c r="B30" s="829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27"/>
      <c r="B31" s="829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27"/>
      <c r="B32" s="829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27"/>
      <c r="B33" s="829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27"/>
      <c r="B34" s="829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27"/>
      <c r="B35" s="829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27"/>
      <c r="B36" s="829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27"/>
      <c r="B37" s="829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27"/>
      <c r="B38" s="829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27"/>
      <c r="B39" s="829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27"/>
      <c r="B40" s="829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27"/>
      <c r="B41" s="829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27"/>
      <c r="B42" s="829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18">
        <v>3</v>
      </c>
      <c r="B43" s="81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27"/>
      <c r="B44" s="829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27"/>
      <c r="B45" s="829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27"/>
      <c r="B46" s="829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28"/>
      <c r="B47" s="830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18">
        <v>4</v>
      </c>
      <c r="B48" s="81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00"/>
      <c r="B49" s="820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00"/>
      <c r="B50" s="820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00"/>
      <c r="B51" s="820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40" t="s">
        <v>6</v>
      </c>
      <c r="B1" s="840"/>
      <c r="C1" s="840"/>
      <c r="D1" s="840"/>
      <c r="E1" s="840"/>
      <c r="F1" s="840"/>
    </row>
    <row r="2" spans="1:8" s="91" customFormat="1" ht="12.75" customHeight="1" x14ac:dyDescent="0.25">
      <c r="A2" s="841"/>
      <c r="B2" s="841"/>
      <c r="C2" s="841"/>
      <c r="D2" s="841"/>
      <c r="E2" s="841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2024-09-16T07:32:19Z</cp:lastPrinted>
  <dcterms:created xsi:type="dcterms:W3CDTF">2016-07-15T13:11:41Z</dcterms:created>
  <dcterms:modified xsi:type="dcterms:W3CDTF">2024-09-24T05:50:27Z</dcterms:modified>
</cp:coreProperties>
</file>
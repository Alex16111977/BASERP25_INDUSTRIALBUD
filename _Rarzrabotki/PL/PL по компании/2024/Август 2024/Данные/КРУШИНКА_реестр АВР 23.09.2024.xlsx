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8" yWindow="-108" windowWidth="23256" windowHeight="12456" firstSheet="3" activeTab="3"/>
  </bookViews>
  <sheets>
    <sheet name="ноябрь" sheetId="10" state="hidden" r:id="rId1"/>
    <sheet name="Реєстр ДЦ" sheetId="18" state="hidden" r:id="rId2"/>
    <sheet name="Реєстр АВР" sheetId="19" state="hidden" r:id="rId3"/>
    <sheet name=" АВР не закриті  " sheetId="29" r:id="rId4"/>
    <sheet name="Аналіз АВР " sheetId="28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3" hidden="1">' АВР не закриті  '!$A$4:$AC$33</definedName>
    <definedName name="_xlnm._FilterDatabase" localSheetId="5" hidden="1">'10 акт переносится'!$A$7:$AD$31</definedName>
    <definedName name="_xlnm._FilterDatabase" localSheetId="4" hidden="1">'Аналіз АВР '!$A$4:$AJ$94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Print_Area" localSheetId="3">' АВР не закриті  '!$A$1:$I$34</definedName>
    <definedName name="_xlnm.Print_Area" localSheetId="5">'10 акт переносится'!$A$2:$Y$72</definedName>
    <definedName name="_xlnm.Print_Area" localSheetId="4">'Аналіз АВР '!$A$1:$P$95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</definedNames>
  <calcPr calcId="145621"/>
</workbook>
</file>

<file path=xl/calcChain.xml><?xml version="1.0" encoding="utf-8"?>
<calcChain xmlns="http://schemas.openxmlformats.org/spreadsheetml/2006/main">
  <c r="D33" i="29" l="1"/>
  <c r="F12" i="29"/>
  <c r="F27" i="29"/>
  <c r="F21" i="29"/>
  <c r="F32" i="29" l="1"/>
  <c r="F31" i="29"/>
  <c r="F30" i="29"/>
  <c r="F29" i="29"/>
  <c r="F28" i="29"/>
  <c r="F26" i="29"/>
  <c r="F25" i="29"/>
  <c r="F24" i="29"/>
  <c r="F23" i="29"/>
  <c r="F22" i="29"/>
  <c r="F20" i="29"/>
  <c r="F19" i="29"/>
  <c r="F18" i="29"/>
  <c r="F17" i="29"/>
  <c r="F16" i="29"/>
  <c r="F15" i="29"/>
  <c r="F14" i="29"/>
  <c r="F13" i="29"/>
  <c r="F11" i="29"/>
  <c r="F10" i="29"/>
  <c r="F9" i="29"/>
  <c r="F8" i="29"/>
  <c r="F7" i="29"/>
  <c r="F6" i="29"/>
  <c r="F5" i="29"/>
  <c r="E94" i="28" l="1"/>
  <c r="G19" i="28" l="1"/>
  <c r="G18" i="28"/>
  <c r="G17" i="28"/>
  <c r="G73" i="28"/>
  <c r="G72" i="28"/>
  <c r="G51" i="28" l="1"/>
  <c r="G52" i="28"/>
  <c r="E100" i="28" l="1"/>
  <c r="G50" i="28"/>
  <c r="G16" i="28"/>
  <c r="G89" i="28"/>
  <c r="G62" i="28"/>
  <c r="G76" i="28"/>
  <c r="G71" i="28"/>
  <c r="G15" i="28"/>
  <c r="G49" i="28" l="1"/>
  <c r="G61" i="28"/>
  <c r="G75" i="28"/>
  <c r="G48" i="28"/>
  <c r="G44" i="28"/>
  <c r="G93" i="28" l="1"/>
  <c r="G92" i="28"/>
  <c r="G91" i="28"/>
  <c r="G90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4" i="28"/>
  <c r="G70" i="28"/>
  <c r="G69" i="28"/>
  <c r="G68" i="28"/>
  <c r="G67" i="28"/>
  <c r="G65" i="28"/>
  <c r="G64" i="28"/>
  <c r="G63" i="28"/>
  <c r="G60" i="28"/>
  <c r="G59" i="28"/>
  <c r="G58" i="28"/>
  <c r="G57" i="28"/>
  <c r="G56" i="28"/>
  <c r="G55" i="28"/>
  <c r="G54" i="28"/>
  <c r="G47" i="28"/>
  <c r="G46" i="28"/>
  <c r="G45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4" i="28"/>
  <c r="G13" i="28"/>
  <c r="G12" i="28"/>
  <c r="G11" i="28"/>
  <c r="G10" i="28"/>
  <c r="G9" i="28"/>
  <c r="G8" i="28"/>
  <c r="G7" i="28"/>
  <c r="G6" i="28"/>
  <c r="G5" i="28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<sst xmlns="http://schemas.openxmlformats.org/spreadsheetml/2006/main" count="888" uniqueCount="275">
  <si>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</si>
  <si>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</si>
  <si>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</si>
  <si>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</si>
  <si>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</si>
  <si>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</si>
  <si>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</si>
  <si>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</si>
  <si>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</si>
  <si>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</si>
  <si>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</si>
  <si>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</si>
  <si>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</si>
  <si>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</si>
  <si>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</si>
  <si>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</si>
  <si>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</si>
  <si>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</si>
  <si>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</si>
  <si>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</si>
  <si>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</si>
  <si>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</si>
  <si>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</si>
  <si>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</si>
  <si>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</si>
  <si>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</si>
  <si>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</si>
  <si>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</si>
  <si>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</si>
  <si>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</si>
  <si>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</si>
  <si>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</si>
  <si>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</si>
  <si>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</si>
  <si>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</si>
  <si>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</si>
  <si>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</si>
  <si>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</si>
  <si>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</si>
  <si>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</si>
  <si>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</si>
  <si>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</si>
  <si>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</si>
  <si>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</si>
  <si>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</si>
  <si>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</si>
  <si>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</si>
  <si>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</si>
  <si>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</si>
  <si>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</si>
  <si>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</si>
  <si>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</si>
  <si>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</si>
  <si>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</si>
  <si>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</si>
  <si>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</si>
  <si>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</si>
  <si>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</si>
  <si>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</si>
  <si>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</si>
  <si>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</si>
  <si>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</si>
  <si>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</si>
  <si>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</si>
  <si>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</si>
  <si>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</si>
  <si>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</si>
  <si>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</si>
  <si>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</si>
  <si>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</si>
  <si>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</si>
  <si>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</si>
  <si>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</si>
  <si>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</si>
  <si>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</si>
  <si>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</si>
  <si>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</si>
  <si>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</si>
  <si>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</si>
  <si>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</si>
  <si>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</si>
  <si>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</si>
  <si>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</si>
  <si>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</si>
  <si>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</si>
  <si>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</si>
  <si>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</si>
  <si>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</si>
  <si>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</si>
  <si>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</si>
  <si>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</si>
  <si>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</si>
  <si>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</si>
  <si>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</si>
  <si>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</si>
  <si>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</si>
  <si>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</si>
  <si>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</si>
  <si>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</si>
  <si>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</si>
  <si>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</si>
  <si>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</si>
  <si>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</si>
  <si>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</si>
  <si>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</si>
  <si>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</si>
  <si>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</si>
  <si>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</si>
  <si>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</si>
  <si>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</si>
  <si>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</si>
  <si>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</si>
  <si>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</si>
  <si>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</si>
  <si>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</si>
  <si>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</si>
  <si>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</si>
  <si>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</si>
  <si>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</si>
  <si>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</si>
  <si>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</si>
  <si>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</si>
  <si>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</si>
  <si>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</si>
  <si>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</si>
  <si>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</si>
  <si>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</si>
  <si>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</si>
  <si>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</si>
  <si>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</si>
  <si>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</si>
  <si>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</si>
  <si>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</si>
  <si>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</si>
  <si>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</si>
  <si>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</si>
  <si>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</si>
  <si>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</si>
  <si>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</si>
  <si>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</si>
  <si>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</si>
  <si>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</si>
  <si>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</si>
  <si>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</si>
  <si>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</si>
  <si>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</si>
  <si>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</si>
  <si>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</si>
  <si>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</si>
  <si>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</si>
  <si>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</si>
  <si>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</si>
  <si>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</si>
  <si>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</si>
  <si>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</si>
  <si>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</si>
  <si>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</si>
  <si>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</si>
  <si>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</si>
  <si>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</si>
  <si>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</si>
  <si>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</si>
  <si>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</si>
  <si>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</si>
  <si>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</si>
  <si>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</si>
  <si>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</si>
  <si>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</si>
  <si>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</si>
  <si>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</si>
  <si>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</si>
  <si>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</si>
  <si>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</si>
  <si>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</si>
  <si>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</si>
  <si>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</si>
  <si>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</si>
  <si>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</si>
  <si>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</si>
  <si>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</si>
  <si>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</si>
  <si>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</si>
  <si>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</si>
  <si>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</si>
  <si>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</si>
  <si>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</si>
  <si>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 xml:space="preserve">Дата </t>
  </si>
  <si>
    <t>Коментарі</t>
  </si>
  <si>
    <t>Роботи з ПДВ, грн</t>
  </si>
  <si>
    <t>Матеріали з ПДВ, грн</t>
  </si>
  <si>
    <t>Всього по ДЦ  з ПДВ, грн</t>
  </si>
  <si>
    <t>АКТИ</t>
  </si>
  <si>
    <t>Всього, грн з ПДВ</t>
  </si>
  <si>
    <t>Земляні роботи</t>
  </si>
  <si>
    <t>оригінал</t>
  </si>
  <si>
    <t>Конструкції залізобетонні</t>
  </si>
  <si>
    <t>Водозниження</t>
  </si>
  <si>
    <t>Каналізація ( в плиті)</t>
  </si>
  <si>
    <t>Хім. Анкера (дефектний акт.№5)</t>
  </si>
  <si>
    <t>Електрообігрів бетону</t>
  </si>
  <si>
    <t>Зворотня засипка піском</t>
  </si>
  <si>
    <t>Водозниження (ВУХО)</t>
  </si>
  <si>
    <t>Армування підбетонки; Двері; Бентонітовий шнур</t>
  </si>
  <si>
    <t>Дорога до відвалу +Водовідведення Зумпф,дорога для крана</t>
  </si>
  <si>
    <t>Заїзд в котлован</t>
  </si>
  <si>
    <t>Водозниження (травень)</t>
  </si>
  <si>
    <t>Гідроізоляція котловану</t>
  </si>
  <si>
    <t>№F-20231127-1</t>
  </si>
  <si>
    <t>Гідроізоляція автоклаву</t>
  </si>
  <si>
    <t>Гідрошпонка</t>
  </si>
  <si>
    <r>
      <t xml:space="preserve"> Реєстр актів виконаних робіт по об'єкту: </t>
    </r>
    <r>
      <rPr>
        <b/>
        <i/>
        <u/>
        <sz val="16"/>
        <rFont val="Times New Roman"/>
        <family val="1"/>
        <charset val="204"/>
      </rPr>
      <t>"Нове будівництво виробничого комплексу центру передових технологій за адресою: вул. Авіаційна,
с.Крушинка, Фастівського району, Київської області"</t>
    </r>
  </si>
  <si>
    <t>Подано на замовника</t>
  </si>
  <si>
    <t>оригінал в офісі</t>
  </si>
  <si>
    <t>Директор</t>
  </si>
  <si>
    <t>Технагляд</t>
  </si>
  <si>
    <t>Нач. Дільниці</t>
  </si>
  <si>
    <t>Статус підпису АВР</t>
  </si>
  <si>
    <t>Статус підпису Реєстрв</t>
  </si>
  <si>
    <t>Гордієнко</t>
  </si>
  <si>
    <t>Григор'єв</t>
  </si>
  <si>
    <t>Духніченко</t>
  </si>
  <si>
    <t>Яслінський</t>
  </si>
  <si>
    <t>Яслінський  Духніченко   Варуша</t>
  </si>
  <si>
    <t>Яслінський  Драшко         Варуша</t>
  </si>
  <si>
    <t xml:space="preserve">Драшко         </t>
  </si>
  <si>
    <t>Яслінський  Духніченко   Варуша         Дрошко</t>
  </si>
  <si>
    <t xml:space="preserve">Яслінський  </t>
  </si>
  <si>
    <t xml:space="preserve">    Дрошко</t>
  </si>
  <si>
    <t xml:space="preserve">Духніченко  Яслінський   </t>
  </si>
  <si>
    <t>Яслінський  Духніченко    Дрошко</t>
  </si>
  <si>
    <t>Шумейко</t>
  </si>
  <si>
    <t>Духніченко    Дрошко</t>
  </si>
  <si>
    <t>Яслінський  Дрошко</t>
  </si>
  <si>
    <t>Духніченко  Дрошко</t>
  </si>
  <si>
    <t xml:space="preserve">Духніченко  </t>
  </si>
  <si>
    <t>Маринчак</t>
  </si>
  <si>
    <t xml:space="preserve">оригінал </t>
  </si>
  <si>
    <t>Духніченко    Алиев</t>
  </si>
  <si>
    <t>Подано на ТН</t>
  </si>
  <si>
    <t>Не погодженно нач. Дільниці замовние</t>
  </si>
  <si>
    <t>відпраленно офіційним листом</t>
  </si>
  <si>
    <t>готуються схеми</t>
  </si>
  <si>
    <t>готуються документація</t>
  </si>
  <si>
    <t>азпр</t>
  </si>
  <si>
    <t>Надати підтвердження об'ємів  ТН</t>
  </si>
  <si>
    <t>Не погодженно нач. Дільниці замовника</t>
  </si>
  <si>
    <t>АЗПР підписанні ТН.  Підтвердити об'єми робіт</t>
  </si>
  <si>
    <t>2 екземпляра ИД у Тараса</t>
  </si>
  <si>
    <t>Передано на підпись Духніченко 14.08.204</t>
  </si>
  <si>
    <t>Объемы проверены ТН . Написати гарантійний лист на усунення зауважень по шліфуванню</t>
  </si>
  <si>
    <t>Передать Заказчику по реестру.</t>
  </si>
  <si>
    <t>"Замечания духниченко", гарантийное письмо о компенсации затрат на бурение</t>
  </si>
  <si>
    <t>Подписать ТК у заказчика, отдать Духниченко на проверку. Передать 1 екземпляр АВР</t>
  </si>
  <si>
    <t xml:space="preserve"> Передано ТН. Виконати впробування кубіків на 28 сутки</t>
  </si>
  <si>
    <t>Розробти ТК. Погодити ТК. Усунути зауважень по якості робіт</t>
  </si>
  <si>
    <t xml:space="preserve">Составить и согласовать ТК. Набрать АВР. Согласовать объемы работ </t>
  </si>
  <si>
    <t>Оригінал з 26.07.26 в офісі замовника. Передати КБ-3</t>
  </si>
  <si>
    <t>Духниченко</t>
  </si>
  <si>
    <t>2 екземпляра ИД у Тараса. Передано ТН 02.08. Паспота на анкера. Протоколы кубиков 19.08. Исправить  АЗПР на армирование. Внести изменения на чертежах у Макагона по замене арматуры.</t>
  </si>
  <si>
    <t>2 екземпляра ИД у Тараса. Передано ТН 09.07. Переделать реестр. Доложить акт промежуточной приемки. П 11 в АВР фанера  117м2. З Добавить АЗПР по  закладным трубам.</t>
  </si>
  <si>
    <t>Григорьев</t>
  </si>
  <si>
    <t>2 екземпляра ИД у Тараса. У ТН с 02.08. Подтвердить п.8 в АВР объемный вкс песка.подтвердить. Делает Тарас.</t>
  </si>
  <si>
    <t>Делает Тарас</t>
  </si>
  <si>
    <t xml:space="preserve">2 екземпляра ИД у Тараса. Замена 7 выпусков. </t>
  </si>
  <si>
    <t>Передать Заказчику по реестру. Сделать вторые копии. Корректировать реестр.</t>
  </si>
  <si>
    <t>Передать Заказчику по реестру. Проверить реестр.</t>
  </si>
  <si>
    <t>Офіційний лист</t>
  </si>
  <si>
    <t>ДУ№2</t>
  </si>
  <si>
    <t>Оригінали пообіцяли віддати 24.09.24</t>
  </si>
  <si>
    <t>Перевіряється замовником</t>
  </si>
  <si>
    <t>Оригінали з підписаними відомостями об'ємів передамо 24.09.24 так як попередні екземпляри були втрачені Замовником</t>
  </si>
  <si>
    <t>Оригінали повторно відправимо 24.09.24 з відомостями об'ємів</t>
  </si>
  <si>
    <t>Оригінал обіцяють віддати 24.09.24</t>
  </si>
  <si>
    <t>Оригінали пообіцяли віддати 24.09.23</t>
  </si>
  <si>
    <t>Отримали зауваження,виправили і відправили на перевірку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</si>
</sst>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_-* #,##0_₴_-;\-* #,##0_₴_-;_-* &quot;-&quot;??_₴_-;_-@_-"/>
    <numFmt numFmtId="177" formatCode="_-* #,##0.0000_₴_-;\-* #,##0.0000_₴_-;_-* &quot;-&quot;??_₴_-;_-@_-"/>
  </numFmts>
  <fonts count="5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u/>
      <sz val="16"/>
      <name val="Times New Roman"/>
      <family val="1"/>
      <charset val="204"/>
    </font>
    <font>
      <sz val="12"/>
      <color rgb="FF002060"/>
      <name val="Times New Roman"/>
      <family val="1"/>
      <charset val="204"/>
    </font>
    <font>
      <sz val="14"/>
      <name val="Times New Roman"/>
      <family val="1"/>
      <charset val="204"/>
    </font>
    <font>
      <sz val="12"/>
      <color rgb="FF00B05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821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43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43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43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43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43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43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43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43" fontId="9" fillId="0" borderId="0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43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43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43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43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43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43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43" fontId="37" fillId="0" borderId="0" xfId="20" applyNumberFormat="1" applyFont="1" applyAlignment="1">
      <alignment horizontal="center" vertical="center"/>
    </xf>
    <xf numFmtId="43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43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43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43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43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43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43" fontId="39" fillId="2" borderId="2" xfId="21" applyFont="1" applyFill="1" applyBorder="1" applyAlignment="1">
      <alignment horizontal="center" vertical="center" wrapText="1"/>
    </xf>
    <xf numFmtId="1" fontId="39" fillId="2" borderId="2" xfId="20" applyNumberFormat="1" applyFont="1" applyFill="1" applyBorder="1" applyAlignment="1">
      <alignment horizontal="center" vertical="center"/>
    </xf>
    <xf numFmtId="43" fontId="50" fillId="2" borderId="2" xfId="21" applyFont="1" applyFill="1" applyBorder="1" applyAlignment="1">
      <alignment horizontal="center" vertical="center" wrapText="1"/>
    </xf>
    <xf numFmtId="14" fontId="39" fillId="2" borderId="2" xfId="21" applyNumberFormat="1" applyFont="1" applyFill="1" applyBorder="1" applyAlignment="1">
      <alignment horizontal="center" vertical="center" wrapText="1"/>
    </xf>
    <xf numFmtId="4" fontId="39" fillId="2" borderId="2" xfId="20" applyNumberFormat="1" applyFont="1" applyFill="1" applyBorder="1" applyAlignment="1">
      <alignment horizontal="center" vertical="center"/>
    </xf>
    <xf numFmtId="4" fontId="50" fillId="2" borderId="2" xfId="20" applyNumberFormat="1" applyFont="1" applyFill="1" applyBorder="1" applyAlignment="1">
      <alignment horizontal="center" vertical="center"/>
    </xf>
    <xf numFmtId="4" fontId="50" fillId="2" borderId="2" xfId="21" applyNumberFormat="1" applyFont="1" applyFill="1" applyBorder="1" applyAlignment="1">
      <alignment horizontal="center" vertical="center" wrapText="1"/>
    </xf>
    <xf numFmtId="167" fontId="37" fillId="0" borderId="0" xfId="21" applyNumberFormat="1" applyFont="1" applyFill="1" applyAlignment="1">
      <alignment horizontal="center" vertical="center"/>
    </xf>
    <xf numFmtId="167" fontId="37" fillId="2" borderId="0" xfId="21" applyNumberFormat="1" applyFont="1" applyFill="1" applyAlignment="1">
      <alignment horizontal="center" vertical="center"/>
    </xf>
    <xf numFmtId="167" fontId="37" fillId="0" borderId="0" xfId="21" applyNumberFormat="1" applyFont="1" applyFill="1" applyBorder="1" applyAlignment="1">
      <alignment horizontal="center" vertical="center"/>
    </xf>
    <xf numFmtId="1" fontId="39" fillId="6" borderId="2" xfId="20" applyNumberFormat="1" applyFont="1" applyFill="1" applyBorder="1" applyAlignment="1">
      <alignment horizontal="center" vertical="center"/>
    </xf>
    <xf numFmtId="4" fontId="39" fillId="6" borderId="2" xfId="20" applyNumberFormat="1" applyFont="1" applyFill="1" applyBorder="1" applyAlignment="1">
      <alignment horizontal="center" vertical="center"/>
    </xf>
    <xf numFmtId="43" fontId="39" fillId="6" borderId="2" xfId="21" applyFont="1" applyFill="1" applyBorder="1" applyAlignment="1">
      <alignment horizontal="center" vertical="center" wrapText="1"/>
    </xf>
    <xf numFmtId="0" fontId="39" fillId="6" borderId="2" xfId="20" applyFont="1" applyFill="1" applyBorder="1" applyAlignment="1">
      <alignment horizontal="center" vertical="center"/>
    </xf>
    <xf numFmtId="0" fontId="37" fillId="2" borderId="0" xfId="20" applyFont="1" applyFill="1"/>
    <xf numFmtId="4" fontId="39" fillId="2" borderId="2" xfId="21" applyNumberFormat="1" applyFont="1" applyFill="1" applyBorder="1" applyAlignment="1">
      <alignment horizontal="center" vertical="center" wrapText="1"/>
    </xf>
    <xf numFmtId="165" fontId="39" fillId="2" borderId="2" xfId="20" applyNumberFormat="1" applyFont="1" applyFill="1" applyBorder="1" applyAlignment="1">
      <alignment horizontal="center" vertical="center"/>
    </xf>
    <xf numFmtId="1" fontId="39" fillId="2" borderId="2" xfId="20" applyNumberFormat="1" applyFont="1" applyFill="1" applyBorder="1" applyAlignment="1">
      <alignment horizontal="center" vertical="center" wrapText="1"/>
    </xf>
    <xf numFmtId="4" fontId="39" fillId="11" borderId="2" xfId="20" applyNumberFormat="1" applyFont="1" applyFill="1" applyBorder="1" applyAlignment="1">
      <alignment horizontal="center" vertical="center"/>
    </xf>
    <xf numFmtId="4" fontId="39" fillId="11" borderId="2" xfId="21" applyNumberFormat="1" applyFont="1" applyFill="1" applyBorder="1" applyAlignment="1">
      <alignment horizontal="center" vertical="center" wrapText="1"/>
    </xf>
    <xf numFmtId="43" fontId="39" fillId="11" borderId="2" xfId="21" applyFont="1" applyFill="1" applyBorder="1" applyAlignment="1">
      <alignment horizontal="center" vertical="center" wrapText="1"/>
    </xf>
    <xf numFmtId="14" fontId="39" fillId="11" borderId="2" xfId="21" applyNumberFormat="1" applyFont="1" applyFill="1" applyBorder="1" applyAlignment="1">
      <alignment horizontal="center" vertical="center" wrapText="1"/>
    </xf>
    <xf numFmtId="0" fontId="37" fillId="0" borderId="0" xfId="20" applyFont="1" applyAlignment="1">
      <alignment horizontal="center" wrapText="1"/>
    </xf>
    <xf numFmtId="175" fontId="39" fillId="2" borderId="2" xfId="21" applyNumberFormat="1" applyFont="1" applyFill="1" applyBorder="1" applyAlignment="1">
      <alignment horizontal="center" vertical="center" wrapText="1"/>
    </xf>
    <xf numFmtId="14" fontId="39" fillId="11" borderId="2" xfId="21" applyNumberFormat="1" applyFont="1" applyFill="1" applyBorder="1" applyAlignment="1">
      <alignment horizontal="center" vertical="center"/>
    </xf>
    <xf numFmtId="0" fontId="39" fillId="0" borderId="0" xfId="20" applyFont="1"/>
    <xf numFmtId="0" fontId="39" fillId="0" borderId="2" xfId="20" applyFont="1" applyBorder="1"/>
    <xf numFmtId="43" fontId="48" fillId="4" borderId="2" xfId="21" applyFont="1" applyFill="1" applyBorder="1" applyAlignment="1">
      <alignment horizontal="center" vertical="center" wrapText="1"/>
    </xf>
    <xf numFmtId="4" fontId="39" fillId="6" borderId="2" xfId="21" applyNumberFormat="1" applyFont="1" applyFill="1" applyBorder="1" applyAlignment="1">
      <alignment horizontal="center" vertical="center" wrapText="1"/>
    </xf>
    <xf numFmtId="0" fontId="50" fillId="0" borderId="2" xfId="20" applyFont="1" applyBorder="1" applyAlignment="1">
      <alignment wrapText="1"/>
    </xf>
    <xf numFmtId="1" fontId="39" fillId="11" borderId="2" xfId="20" applyNumberFormat="1" applyFont="1" applyFill="1" applyBorder="1" applyAlignment="1">
      <alignment horizontal="center" vertical="center"/>
    </xf>
    <xf numFmtId="1" fontId="50" fillId="2" borderId="2" xfId="20" applyNumberFormat="1" applyFont="1" applyFill="1" applyBorder="1" applyAlignment="1">
      <alignment horizontal="center" vertical="center"/>
    </xf>
    <xf numFmtId="0" fontId="37" fillId="0" borderId="2" xfId="20" applyFont="1" applyBorder="1"/>
    <xf numFmtId="0" fontId="39" fillId="2" borderId="2" xfId="20" applyFont="1" applyFill="1" applyBorder="1"/>
    <xf numFmtId="177" fontId="39" fillId="6" borderId="2" xfId="21" applyNumberFormat="1" applyFont="1" applyFill="1" applyBorder="1" applyAlignment="1">
      <alignment horizontal="center" vertical="center" wrapText="1"/>
    </xf>
    <xf numFmtId="43" fontId="39" fillId="6" borderId="2" xfId="21" applyFont="1" applyFill="1" applyBorder="1" applyAlignment="1">
      <alignment vertical="center" wrapText="1"/>
    </xf>
    <xf numFmtId="14" fontId="39" fillId="6" borderId="2" xfId="21" applyNumberFormat="1" applyFont="1" applyFill="1" applyBorder="1" applyAlignment="1">
      <alignment horizontal="center" vertical="center" wrapText="1"/>
    </xf>
    <xf numFmtId="176" fontId="39" fillId="2" borderId="2" xfId="21" applyNumberFormat="1" applyFont="1" applyFill="1" applyBorder="1" applyAlignment="1">
      <alignment horizontal="center" vertical="center" wrapText="1"/>
    </xf>
    <xf numFmtId="176" fontId="39" fillId="6" borderId="2" xfId="21" applyNumberFormat="1" applyFont="1" applyFill="1" applyBorder="1" applyAlignment="1">
      <alignment horizontal="center" vertical="center" wrapText="1"/>
    </xf>
    <xf numFmtId="175" fontId="39" fillId="6" borderId="2" xfId="21" applyNumberFormat="1" applyFont="1" applyFill="1" applyBorder="1" applyAlignment="1">
      <alignment horizontal="center" vertical="center" wrapText="1"/>
    </xf>
    <xf numFmtId="0" fontId="39" fillId="2" borderId="2" xfId="20" applyFont="1" applyFill="1" applyBorder="1" applyAlignment="1">
      <alignment horizontal="center" vertical="center"/>
    </xf>
    <xf numFmtId="0" fontId="39" fillId="2" borderId="2" xfId="20" applyFont="1" applyFill="1" applyBorder="1" applyAlignment="1">
      <alignment horizontal="center" vertical="center" wrapText="1"/>
    </xf>
    <xf numFmtId="165" fontId="39" fillId="6" borderId="2" xfId="20" applyNumberFormat="1" applyFont="1" applyFill="1" applyBorder="1" applyAlignment="1">
      <alignment horizontal="center" vertical="center"/>
    </xf>
    <xf numFmtId="14" fontId="39" fillId="11" borderId="2" xfId="20" applyNumberFormat="1" applyFont="1" applyFill="1" applyBorder="1" applyAlignment="1">
      <alignment horizontal="center" vertical="center"/>
    </xf>
    <xf numFmtId="0" fontId="40" fillId="5" borderId="2" xfId="20" applyFont="1" applyFill="1" applyBorder="1" applyAlignment="1">
      <alignment vertical="center"/>
    </xf>
    <xf numFmtId="167" fontId="40" fillId="5" borderId="2" xfId="21" applyNumberFormat="1" applyFont="1" applyFill="1" applyBorder="1" applyAlignment="1">
      <alignment horizontal="center" vertical="center"/>
    </xf>
    <xf numFmtId="167" fontId="40" fillId="5" borderId="2" xfId="21" applyNumberFormat="1" applyFont="1" applyFill="1" applyBorder="1" applyAlignment="1">
      <alignment vertical="center"/>
    </xf>
    <xf numFmtId="0" fontId="39" fillId="6" borderId="2" xfId="20" applyFont="1" applyFill="1" applyBorder="1" applyAlignment="1">
      <alignment horizontal="center" vertical="center" wrapText="1"/>
    </xf>
    <xf numFmtId="0" fontId="40" fillId="5" borderId="2" xfId="20" applyFont="1" applyFill="1" applyBorder="1" applyAlignment="1">
      <alignment horizontal="center" vertical="center" wrapText="1"/>
    </xf>
    <xf numFmtId="43" fontId="39" fillId="2" borderId="2" xfId="21" applyFont="1" applyFill="1" applyBorder="1" applyAlignment="1">
      <alignment horizontal="left" vertical="center" wrapText="1"/>
    </xf>
    <xf numFmtId="43" fontId="39" fillId="6" borderId="2" xfId="21" applyFont="1" applyFill="1" applyBorder="1" applyAlignment="1">
      <alignment horizontal="left" vertical="center" wrapText="1"/>
    </xf>
    <xf numFmtId="43" fontId="50" fillId="2" borderId="2" xfId="21" applyFont="1" applyFill="1" applyBorder="1" applyAlignment="1">
      <alignment horizontal="left" vertical="center" wrapText="1"/>
    </xf>
    <xf numFmtId="165" fontId="39" fillId="2" borderId="2" xfId="20" applyNumberFormat="1" applyFont="1" applyFill="1" applyBorder="1" applyAlignment="1">
      <alignment horizontal="left" vertical="center"/>
    </xf>
    <xf numFmtId="0" fontId="39" fillId="2" borderId="2" xfId="20" applyFont="1" applyFill="1" applyBorder="1" applyAlignment="1">
      <alignment horizontal="left" vertical="center" wrapText="1"/>
    </xf>
    <xf numFmtId="0" fontId="39" fillId="2" borderId="2" xfId="20" applyFont="1" applyFill="1" applyBorder="1" applyAlignment="1">
      <alignment horizontal="left" vertical="top" wrapText="1"/>
    </xf>
    <xf numFmtId="0" fontId="39" fillId="6" borderId="2" xfId="20" applyFont="1" applyFill="1" applyBorder="1" applyAlignment="1">
      <alignment horizontal="left" vertical="top" wrapText="1"/>
    </xf>
    <xf numFmtId="0" fontId="50" fillId="2" borderId="2" xfId="20" applyFont="1" applyFill="1" applyBorder="1" applyAlignment="1">
      <alignment horizontal="left"/>
    </xf>
    <xf numFmtId="0" fontId="50" fillId="0" borderId="2" xfId="20" applyFont="1" applyBorder="1" applyAlignment="1">
      <alignment horizontal="left" vertical="center" wrapText="1"/>
    </xf>
    <xf numFmtId="43" fontId="39" fillId="11" borderId="2" xfId="21" applyFont="1" applyFill="1" applyBorder="1" applyAlignment="1">
      <alignment horizontal="left" vertical="center" wrapText="1"/>
    </xf>
    <xf numFmtId="0" fontId="50" fillId="11" borderId="2" xfId="20" applyFont="1" applyFill="1" applyBorder="1" applyAlignment="1">
      <alignment vertical="center"/>
    </xf>
    <xf numFmtId="0" fontId="50" fillId="11" borderId="2" xfId="20" applyFont="1" applyFill="1" applyBorder="1" applyAlignment="1">
      <alignment wrapText="1"/>
    </xf>
    <xf numFmtId="1" fontId="39" fillId="5" borderId="2" xfId="20" applyNumberFormat="1" applyFont="1" applyFill="1" applyBorder="1" applyAlignment="1">
      <alignment horizontal="center" vertical="center"/>
    </xf>
    <xf numFmtId="4" fontId="39" fillId="5" borderId="2" xfId="20" applyNumberFormat="1" applyFont="1" applyFill="1" applyBorder="1" applyAlignment="1">
      <alignment horizontal="center" vertical="center"/>
    </xf>
    <xf numFmtId="43" fontId="39" fillId="5" borderId="2" xfId="21" applyFont="1" applyFill="1" applyBorder="1" applyAlignment="1">
      <alignment horizontal="center" vertical="center" wrapText="1"/>
    </xf>
    <xf numFmtId="14" fontId="39" fillId="5" borderId="2" xfId="21" applyNumberFormat="1" applyFont="1" applyFill="1" applyBorder="1" applyAlignment="1">
      <alignment horizontal="center" vertical="center" wrapText="1"/>
    </xf>
    <xf numFmtId="43" fontId="39" fillId="5" borderId="2" xfId="21" applyFont="1" applyFill="1" applyBorder="1" applyAlignment="1">
      <alignment horizontal="left" vertical="center" wrapText="1"/>
    </xf>
    <xf numFmtId="0" fontId="50" fillId="5" borderId="2" xfId="20" applyFont="1" applyFill="1" applyBorder="1" applyAlignment="1">
      <alignment vertical="center" wrapText="1"/>
    </xf>
    <xf numFmtId="0" fontId="39" fillId="11" borderId="2" xfId="20" applyFont="1" applyFill="1" applyBorder="1" applyAlignment="1">
      <alignment horizontal="left" vertical="center"/>
    </xf>
    <xf numFmtId="0" fontId="39" fillId="11" borderId="2" xfId="20" applyFont="1" applyFill="1" applyBorder="1"/>
    <xf numFmtId="0" fontId="39" fillId="5" borderId="2" xfId="20" applyFont="1" applyFill="1" applyBorder="1" applyAlignment="1">
      <alignment horizontal="left" wrapText="1"/>
    </xf>
    <xf numFmtId="0" fontId="50" fillId="5" borderId="2" xfId="20" applyFont="1" applyFill="1" applyBorder="1" applyAlignment="1">
      <alignment horizontal="left" vertical="center" wrapText="1"/>
    </xf>
    <xf numFmtId="14" fontId="39" fillId="5" borderId="2" xfId="20" applyNumberFormat="1" applyFont="1" applyFill="1" applyBorder="1" applyAlignment="1">
      <alignment horizontal="center" vertical="center"/>
    </xf>
    <xf numFmtId="165" fontId="39" fillId="5" borderId="2" xfId="20" applyNumberFormat="1" applyFont="1" applyFill="1" applyBorder="1" applyAlignment="1">
      <alignment horizontal="center" vertical="center"/>
    </xf>
    <xf numFmtId="0" fontId="50" fillId="5" borderId="2" xfId="20" applyFont="1" applyFill="1" applyBorder="1" applyAlignment="1">
      <alignment horizontal="left" vertical="center"/>
    </xf>
    <xf numFmtId="0" fontId="50" fillId="0" borderId="2" xfId="20" applyFont="1" applyBorder="1" applyAlignment="1">
      <alignment horizontal="left" vertical="center"/>
    </xf>
    <xf numFmtId="0" fontId="50" fillId="0" borderId="2" xfId="20" applyFont="1" applyBorder="1" applyAlignment="1">
      <alignment horizontal="left" wrapText="1"/>
    </xf>
    <xf numFmtId="1" fontId="50" fillId="5" borderId="2" xfId="20" applyNumberFormat="1" applyFont="1" applyFill="1" applyBorder="1" applyAlignment="1">
      <alignment horizontal="center" vertical="center"/>
    </xf>
    <xf numFmtId="4" fontId="50" fillId="5" borderId="2" xfId="20" applyNumberFormat="1" applyFont="1" applyFill="1" applyBorder="1" applyAlignment="1">
      <alignment horizontal="center" vertical="center"/>
    </xf>
    <xf numFmtId="43" fontId="50" fillId="5" borderId="2" xfId="21" applyFont="1" applyFill="1" applyBorder="1" applyAlignment="1">
      <alignment horizontal="center" vertical="center" wrapText="1"/>
    </xf>
    <xf numFmtId="14" fontId="50" fillId="5" borderId="2" xfId="21" applyNumberFormat="1" applyFont="1" applyFill="1" applyBorder="1" applyAlignment="1">
      <alignment horizontal="center" vertical="center" wrapText="1"/>
    </xf>
    <xf numFmtId="43" fontId="50" fillId="5" borderId="2" xfId="21" applyFont="1" applyFill="1" applyBorder="1" applyAlignment="1">
      <alignment horizontal="left" vertical="center" wrapText="1"/>
    </xf>
    <xf numFmtId="0" fontId="49" fillId="0" borderId="0" xfId="20" applyFont="1" applyAlignment="1">
      <alignment horizontal="center" vertical="center" wrapText="1"/>
    </xf>
    <xf numFmtId="0" fontId="50" fillId="11" borderId="2" xfId="20" applyFont="1" applyFill="1" applyBorder="1" applyAlignment="1">
      <alignment vertical="center" wrapText="1"/>
    </xf>
    <xf numFmtId="176" fontId="39" fillId="12" borderId="2" xfId="21" applyNumberFormat="1" applyFont="1" applyFill="1" applyBorder="1" applyAlignment="1">
      <alignment horizontal="center" vertical="center" wrapText="1"/>
    </xf>
    <xf numFmtId="0" fontId="39" fillId="12" borderId="2" xfId="20" applyFont="1" applyFill="1" applyBorder="1" applyAlignment="1">
      <alignment horizontal="center" vertical="center" wrapText="1"/>
    </xf>
    <xf numFmtId="175" fontId="39" fillId="12" borderId="2" xfId="21" applyNumberFormat="1" applyFont="1" applyFill="1" applyBorder="1" applyAlignment="1">
      <alignment horizontal="center" vertical="center" wrapText="1"/>
    </xf>
    <xf numFmtId="1" fontId="39" fillId="12" borderId="2" xfId="20" applyNumberFormat="1" applyFont="1" applyFill="1" applyBorder="1" applyAlignment="1">
      <alignment horizontal="center" vertical="center"/>
    </xf>
    <xf numFmtId="4" fontId="39" fillId="12" borderId="2" xfId="20" applyNumberFormat="1" applyFont="1" applyFill="1" applyBorder="1" applyAlignment="1">
      <alignment horizontal="center" vertical="center"/>
    </xf>
    <xf numFmtId="43" fontId="39" fillId="12" borderId="2" xfId="21" applyFont="1" applyFill="1" applyBorder="1" applyAlignment="1">
      <alignment horizontal="center" vertical="center" wrapText="1"/>
    </xf>
    <xf numFmtId="43" fontId="50" fillId="12" borderId="2" xfId="21" applyFont="1" applyFill="1" applyBorder="1" applyAlignment="1">
      <alignment horizontal="left" vertical="center" wrapText="1"/>
    </xf>
    <xf numFmtId="0" fontId="39" fillId="12" borderId="2" xfId="20" applyFont="1" applyFill="1" applyBorder="1"/>
    <xf numFmtId="0" fontId="39" fillId="2" borderId="2" xfId="20" applyFont="1" applyFill="1" applyBorder="1" applyAlignment="1">
      <alignment vertical="center" wrapText="1"/>
    </xf>
    <xf numFmtId="176" fontId="39" fillId="2" borderId="2" xfId="21" applyNumberFormat="1" applyFont="1" applyFill="1" applyBorder="1" applyAlignment="1">
      <alignment vertical="center" wrapText="1"/>
    </xf>
    <xf numFmtId="0" fontId="49" fillId="0" borderId="0" xfId="20" applyFont="1" applyAlignment="1">
      <alignment vertical="center" wrapText="1"/>
    </xf>
    <xf numFmtId="43" fontId="48" fillId="4" borderId="2" xfId="21" applyFont="1" applyFill="1" applyBorder="1" applyAlignment="1">
      <alignment vertical="center" wrapText="1"/>
    </xf>
    <xf numFmtId="0" fontId="48" fillId="4" borderId="2" xfId="20" applyFont="1" applyFill="1" applyBorder="1" applyAlignment="1">
      <alignment vertical="center" wrapText="1"/>
    </xf>
    <xf numFmtId="43" fontId="48" fillId="4" borderId="3" xfId="21" applyFont="1" applyFill="1" applyBorder="1" applyAlignment="1">
      <alignment horizontal="center" vertical="center" wrapText="1"/>
    </xf>
    <xf numFmtId="0" fontId="49" fillId="0" borderId="16" xfId="20" applyFont="1" applyBorder="1" applyAlignment="1">
      <alignment horizontal="center" vertical="center" wrapText="1"/>
    </xf>
    <xf numFmtId="0" fontId="49" fillId="0" borderId="16" xfId="20" applyFont="1" applyBorder="1" applyAlignment="1">
      <alignment vertical="center" wrapText="1"/>
    </xf>
    <xf numFmtId="43" fontId="48" fillId="4" borderId="6" xfId="21" applyFont="1" applyFill="1" applyBorder="1" applyAlignment="1">
      <alignment vertical="center" wrapText="1"/>
    </xf>
    <xf numFmtId="43" fontId="48" fillId="4" borderId="19" xfId="21" applyFont="1" applyFill="1" applyBorder="1" applyAlignment="1">
      <alignment vertical="center" wrapText="1"/>
    </xf>
    <xf numFmtId="1" fontId="39" fillId="2" borderId="3" xfId="20" applyNumberFormat="1" applyFont="1" applyFill="1" applyBorder="1" applyAlignment="1">
      <alignment horizontal="center" vertical="center"/>
    </xf>
    <xf numFmtId="167" fontId="40" fillId="5" borderId="3" xfId="21" applyNumberFormat="1" applyFont="1" applyFill="1" applyBorder="1" applyAlignment="1">
      <alignment horizontal="center" vertical="center"/>
    </xf>
    <xf numFmtId="0" fontId="49" fillId="0" borderId="2" xfId="20" applyFont="1" applyBorder="1" applyAlignment="1">
      <alignment vertical="center" wrapText="1"/>
    </xf>
    <xf numFmtId="0" fontId="37" fillId="0" borderId="2" xfId="20" applyFont="1" applyBorder="1" applyAlignment="1">
      <alignment horizontal="center" wrapText="1"/>
    </xf>
    <xf numFmtId="0" fontId="39" fillId="2" borderId="2" xfId="20" applyFont="1" applyFill="1" applyBorder="1" applyAlignment="1">
      <alignment horizontal="left" vertical="center"/>
    </xf>
    <xf numFmtId="14" fontId="39" fillId="2" borderId="2" xfId="21" applyNumberFormat="1" applyFont="1" applyFill="1" applyBorder="1" applyAlignment="1">
      <alignment horizontal="center" vertical="center"/>
    </xf>
    <xf numFmtId="14" fontId="39" fillId="2" borderId="2" xfId="20" applyNumberFormat="1" applyFont="1" applyFill="1" applyBorder="1" applyAlignment="1">
      <alignment horizontal="center" vertical="center"/>
    </xf>
    <xf numFmtId="4" fontId="46" fillId="2" borderId="2" xfId="20" applyNumberFormat="1" applyFont="1" applyFill="1" applyBorder="1" applyAlignment="1">
      <alignment horizontal="center" vertical="center"/>
    </xf>
    <xf numFmtId="4" fontId="52" fillId="2" borderId="2" xfId="20" applyNumberFormat="1" applyFont="1" applyFill="1" applyBorder="1" applyAlignment="1">
      <alignment horizontal="center" vertical="center"/>
    </xf>
    <xf numFmtId="1" fontId="46" fillId="2" borderId="2" xfId="20" applyNumberFormat="1" applyFont="1" applyFill="1" applyBorder="1" applyAlignment="1">
      <alignment horizontal="center" vertical="center"/>
    </xf>
    <xf numFmtId="4" fontId="46" fillId="2" borderId="2" xfId="21" applyNumberFormat="1" applyFont="1" applyFill="1" applyBorder="1" applyAlignment="1">
      <alignment horizontal="center" vertical="center" wrapText="1"/>
    </xf>
    <xf numFmtId="4" fontId="39" fillId="2" borderId="3" xfId="20" applyNumberFormat="1" applyFont="1" applyFill="1" applyBorder="1" applyAlignment="1">
      <alignment horizontal="center" vertical="center"/>
    </xf>
    <xf numFmtId="0" fontId="53" fillId="0" borderId="0" xfId="20" applyFont="1"/>
    <xf numFmtId="43" fontId="54" fillId="2" borderId="2" xfId="21" applyFont="1" applyFill="1" applyBorder="1" applyAlignment="1">
      <alignment horizontal="center" vertical="center" wrapText="1"/>
    </xf>
    <xf numFmtId="14" fontId="46" fillId="2" borderId="2" xfId="21" applyNumberFormat="1" applyFont="1" applyFill="1" applyBorder="1" applyAlignment="1">
      <alignment horizontal="center" vertical="center" wrapText="1"/>
    </xf>
    <xf numFmtId="43" fontId="46" fillId="2" borderId="2" xfId="21" applyFont="1" applyFill="1" applyBorder="1" applyAlignment="1">
      <alignment horizontal="left" vertical="center" wrapText="1"/>
    </xf>
    <xf numFmtId="4" fontId="54" fillId="2" borderId="2" xfId="20" applyNumberFormat="1" applyFont="1" applyFill="1" applyBorder="1" applyAlignment="1">
      <alignment horizontal="center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43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43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43" fontId="25" fillId="4" borderId="27" xfId="10" applyFont="1" applyFill="1" applyBorder="1" applyAlignment="1">
      <alignment horizontal="center" vertical="center" wrapText="1"/>
    </xf>
    <xf numFmtId="43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43" fontId="48" fillId="4" borderId="1" xfId="21" applyFont="1" applyFill="1" applyBorder="1" applyAlignment="1">
      <alignment horizontal="center" vertical="center" wrapText="1"/>
    </xf>
    <xf numFmtId="43" fontId="48" fillId="4" borderId="63" xfId="21" applyFont="1" applyFill="1" applyBorder="1" applyAlignment="1">
      <alignment horizontal="center" vertical="center" wrapText="1"/>
    </xf>
    <xf numFmtId="43" fontId="48" fillId="4" borderId="3" xfId="21" applyFont="1" applyFill="1" applyBorder="1" applyAlignment="1">
      <alignment horizontal="center" vertical="center" wrapText="1"/>
    </xf>
    <xf numFmtId="176" fontId="39" fillId="2" borderId="6" xfId="21" applyNumberFormat="1" applyFont="1" applyFill="1" applyBorder="1" applyAlignment="1">
      <alignment horizontal="center" vertical="center" wrapText="1"/>
    </xf>
    <xf numFmtId="176" fontId="39" fillId="2" borderId="19" xfId="21" applyNumberFormat="1" applyFont="1" applyFill="1" applyBorder="1" applyAlignment="1">
      <alignment horizontal="center" vertical="center" wrapText="1"/>
    </xf>
    <xf numFmtId="0" fontId="39" fillId="2" borderId="6" xfId="20" applyFont="1" applyFill="1" applyBorder="1" applyAlignment="1">
      <alignment horizontal="center" vertical="center" wrapText="1"/>
    </xf>
    <xf numFmtId="0" fontId="39" fillId="2" borderId="20" xfId="20" applyFont="1" applyFill="1" applyBorder="1" applyAlignment="1">
      <alignment horizontal="center" vertical="center" wrapText="1"/>
    </xf>
    <xf numFmtId="0" fontId="39" fillId="2" borderId="19" xfId="20" applyFont="1" applyFill="1" applyBorder="1" applyAlignment="1">
      <alignment horizontal="center" vertical="center" wrapText="1"/>
    </xf>
    <xf numFmtId="176" fontId="39" fillId="2" borderId="20" xfId="21" applyNumberFormat="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/>
    </xf>
    <xf numFmtId="0" fontId="39" fillId="2" borderId="2" xfId="20" applyFont="1" applyFill="1" applyBorder="1" applyAlignment="1">
      <alignment horizontal="center"/>
    </xf>
    <xf numFmtId="175" fontId="39" fillId="2" borderId="2" xfId="20" applyNumberFormat="1" applyFont="1" applyFill="1" applyBorder="1" applyAlignment="1">
      <alignment horizontal="center" vertical="center"/>
    </xf>
    <xf numFmtId="0" fontId="39" fillId="2" borderId="2" xfId="20" applyFont="1" applyFill="1" applyBorder="1" applyAlignment="1">
      <alignment horizontal="center" vertical="center"/>
    </xf>
    <xf numFmtId="0" fontId="39" fillId="2" borderId="2" xfId="20" applyFont="1" applyFill="1" applyBorder="1" applyAlignment="1">
      <alignment horizontal="center" vertical="center" wrapText="1"/>
    </xf>
    <xf numFmtId="176" fontId="39" fillId="6" borderId="2" xfId="21" applyNumberFormat="1" applyFont="1" applyFill="1" applyBorder="1" applyAlignment="1">
      <alignment horizontal="center" vertical="center" wrapText="1"/>
    </xf>
    <xf numFmtId="0" fontId="39" fillId="6" borderId="2" xfId="20" applyFont="1" applyFill="1" applyBorder="1" applyAlignment="1">
      <alignment horizontal="center" vertical="center" wrapText="1"/>
    </xf>
    <xf numFmtId="175" fontId="39" fillId="6" borderId="2" xfId="21" applyNumberFormat="1" applyFont="1" applyFill="1" applyBorder="1" applyAlignment="1">
      <alignment horizontal="center" vertical="center" wrapText="1"/>
    </xf>
    <xf numFmtId="176" fontId="39" fillId="2" borderId="2" xfId="21" applyNumberFormat="1" applyFont="1" applyFill="1" applyBorder="1" applyAlignment="1">
      <alignment horizontal="center" vertical="center" wrapText="1"/>
    </xf>
    <xf numFmtId="175" fontId="39" fillId="2" borderId="2" xfId="21" applyNumberFormat="1" applyFont="1" applyFill="1" applyBorder="1" applyAlignment="1">
      <alignment horizontal="center" vertical="center" wrapText="1"/>
    </xf>
    <xf numFmtId="0" fontId="39" fillId="6" borderId="2" xfId="20" applyFont="1" applyFill="1" applyBorder="1" applyAlignment="1">
      <alignment horizontal="center" vertical="center"/>
    </xf>
    <xf numFmtId="175" fontId="39" fillId="6" borderId="2" xfId="20" applyNumberFormat="1" applyFont="1" applyFill="1" applyBorder="1" applyAlignment="1">
      <alignment horizontal="center" vertical="center"/>
    </xf>
    <xf numFmtId="175" fontId="39" fillId="2" borderId="6" xfId="21" applyNumberFormat="1" applyFont="1" applyFill="1" applyBorder="1" applyAlignment="1">
      <alignment horizontal="center" vertical="center" wrapText="1"/>
    </xf>
    <xf numFmtId="175" fontId="39" fillId="2" borderId="20" xfId="21" applyNumberFormat="1" applyFont="1" applyFill="1" applyBorder="1" applyAlignment="1">
      <alignment horizontal="center" vertical="center" wrapText="1"/>
    </xf>
    <xf numFmtId="175" fontId="39" fillId="2" borderId="19" xfId="21" applyNumberFormat="1" applyFont="1" applyFill="1" applyBorder="1" applyAlignment="1">
      <alignment horizontal="center" vertical="center" wrapText="1"/>
    </xf>
    <xf numFmtId="0" fontId="49" fillId="0" borderId="0" xfId="20" applyFont="1" applyAlignment="1">
      <alignment horizontal="center" vertical="center" wrapText="1"/>
    </xf>
    <xf numFmtId="43" fontId="48" fillId="4" borderId="2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 wrapText="1"/>
    </xf>
    <xf numFmtId="167" fontId="48" fillId="4" borderId="2" xfId="21" applyNumberFormat="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43" fontId="38" fillId="2" borderId="1" xfId="21" applyFont="1" applyFill="1" applyBorder="1" applyAlignment="1">
      <alignment horizontal="center" vertical="center" wrapText="1"/>
    </xf>
    <xf numFmtId="43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43" fontId="38" fillId="2" borderId="12" xfId="21" applyFont="1" applyFill="1" applyBorder="1" applyAlignment="1">
      <alignment horizontal="center" vertical="center" wrapText="1"/>
    </xf>
    <xf numFmtId="43" fontId="38" fillId="2" borderId="11" xfId="21" applyFont="1" applyFill="1" applyBorder="1" applyAlignment="1">
      <alignment horizontal="center" vertical="center" wrapText="1"/>
    </xf>
    <xf numFmtId="43" fontId="38" fillId="2" borderId="14" xfId="21" applyFont="1" applyFill="1" applyBorder="1" applyAlignment="1">
      <alignment horizontal="center" vertical="center" wrapText="1"/>
    </xf>
    <xf numFmtId="43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43" fontId="38" fillId="2" borderId="63" xfId="21" applyFont="1" applyFill="1" applyBorder="1" applyAlignment="1">
      <alignment horizontal="center" vertical="center" wrapText="1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  <xf numFmtId="4" fontId="46" fillId="5" borderId="2" xfId="20" applyNumberFormat="1" applyFont="1" applyFill="1" applyBorder="1" applyAlignment="1">
      <alignment horizontal="center" vertical="center"/>
    </xf>
    <xf numFmtId="4" fontId="39" fillId="5" borderId="3" xfId="20" applyNumberFormat="1" applyFont="1" applyFill="1" applyBorder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66" t="s">
        <v>37</v>
      </c>
      <c r="B5" s="666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66" t="s">
        <v>24</v>
      </c>
      <c r="B6" s="666"/>
      <c r="C6" s="82"/>
      <c r="D6" s="667"/>
      <c r="E6" s="667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66" t="s">
        <v>38</v>
      </c>
      <c r="B7" s="666"/>
      <c r="C7" s="666"/>
      <c r="D7" s="666"/>
      <c r="E7" s="666"/>
      <c r="F7" s="666"/>
      <c r="G7" s="666"/>
      <c r="H7" s="666"/>
      <c r="I7" s="666"/>
      <c r="J7" s="82"/>
      <c r="L7" s="61"/>
      <c r="V7" s="62"/>
      <c r="W7" s="63"/>
    </row>
    <row r="8" spans="1:23" s="60" customFormat="1" ht="12.75" customHeight="1" x14ac:dyDescent="0.25">
      <c r="A8" s="666" t="s">
        <v>39</v>
      </c>
      <c r="B8" s="666"/>
      <c r="C8" s="666"/>
      <c r="D8" s="666"/>
      <c r="E8" s="666"/>
      <c r="F8" s="666"/>
      <c r="G8" s="666"/>
      <c r="H8" s="666"/>
      <c r="I8" s="666"/>
      <c r="J8" s="82"/>
      <c r="L8" s="61"/>
      <c r="V8" s="62"/>
      <c r="W8" s="63"/>
    </row>
    <row r="9" spans="1:23" s="60" customFormat="1" ht="12.75" customHeight="1" x14ac:dyDescent="0.25">
      <c r="A9" s="665" t="s">
        <v>40</v>
      </c>
      <c r="B9" s="665"/>
      <c r="C9" s="665"/>
      <c r="D9" s="665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68" t="s">
        <v>0</v>
      </c>
      <c r="B11" s="668"/>
      <c r="C11" s="668"/>
      <c r="D11" s="668"/>
      <c r="E11" s="668"/>
      <c r="F11" s="668"/>
      <c r="G11" s="668"/>
      <c r="H11" s="668"/>
      <c r="I11" s="668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69" t="s">
        <v>1</v>
      </c>
      <c r="B13" s="652" t="s">
        <v>2</v>
      </c>
      <c r="C13" s="669" t="s">
        <v>13</v>
      </c>
      <c r="D13" s="670" t="s">
        <v>3</v>
      </c>
      <c r="E13" s="671" t="s">
        <v>14</v>
      </c>
      <c r="F13" s="672" t="s">
        <v>27</v>
      </c>
      <c r="G13" s="672"/>
      <c r="H13" s="670" t="s">
        <v>17</v>
      </c>
      <c r="I13" s="670"/>
      <c r="J13" s="653" t="s">
        <v>30</v>
      </c>
      <c r="K13" s="654"/>
      <c r="L13" s="655"/>
      <c r="M13" s="652" t="s">
        <v>26</v>
      </c>
      <c r="N13" s="652"/>
      <c r="O13" s="652"/>
      <c r="P13" s="652"/>
      <c r="Q13" s="652" t="s">
        <v>29</v>
      </c>
      <c r="R13" s="652"/>
      <c r="S13" s="652"/>
      <c r="T13" s="652"/>
      <c r="U13" s="652"/>
      <c r="V13" s="659" t="s">
        <v>34</v>
      </c>
      <c r="W13" s="660"/>
    </row>
    <row r="14" spans="1:23" s="3" customFormat="1" ht="20.25" customHeight="1" x14ac:dyDescent="0.25">
      <c r="A14" s="669"/>
      <c r="B14" s="652"/>
      <c r="C14" s="669"/>
      <c r="D14" s="670"/>
      <c r="E14" s="671"/>
      <c r="F14" s="670" t="s">
        <v>41</v>
      </c>
      <c r="G14" s="670"/>
      <c r="H14" s="670"/>
      <c r="I14" s="670"/>
      <c r="J14" s="656"/>
      <c r="K14" s="657"/>
      <c r="L14" s="658"/>
      <c r="M14" s="652"/>
      <c r="N14" s="652"/>
      <c r="O14" s="652"/>
      <c r="P14" s="652"/>
      <c r="Q14" s="652"/>
      <c r="R14" s="652"/>
      <c r="S14" s="652"/>
      <c r="T14" s="652"/>
      <c r="U14" s="652"/>
      <c r="V14" s="661"/>
      <c r="W14" s="662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61"/>
      <c r="W15" s="662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51" t="s">
        <v>32</v>
      </c>
      <c r="U16" s="651"/>
      <c r="V16" s="663"/>
      <c r="W16" s="664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82" t="s">
        <v>93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</row>
    <row r="2" spans="1:13" ht="16.2" thickBot="1" x14ac:dyDescent="0.3">
      <c r="M2" s="216"/>
    </row>
    <row r="3" spans="1:13" ht="31.5" customHeight="1" x14ac:dyDescent="0.25">
      <c r="A3" s="692" t="s">
        <v>84</v>
      </c>
      <c r="B3" s="694" t="s">
        <v>82</v>
      </c>
      <c r="C3" s="694" t="s">
        <v>86</v>
      </c>
      <c r="D3" s="694" t="s">
        <v>85</v>
      </c>
      <c r="E3" s="683" t="s">
        <v>83</v>
      </c>
      <c r="F3" s="687" t="s">
        <v>90</v>
      </c>
      <c r="G3" s="688"/>
      <c r="H3" s="689"/>
      <c r="I3" s="685" t="s">
        <v>9</v>
      </c>
      <c r="J3" s="690" t="s">
        <v>91</v>
      </c>
      <c r="K3" s="690"/>
      <c r="L3" s="691"/>
      <c r="M3" s="685" t="s">
        <v>50</v>
      </c>
    </row>
    <row r="4" spans="1:13" x14ac:dyDescent="0.25">
      <c r="A4" s="693"/>
      <c r="B4" s="695"/>
      <c r="C4" s="695"/>
      <c r="D4" s="695"/>
      <c r="E4" s="684"/>
      <c r="F4" s="145" t="s">
        <v>87</v>
      </c>
      <c r="G4" s="135" t="s">
        <v>88</v>
      </c>
      <c r="H4" s="135" t="s">
        <v>89</v>
      </c>
      <c r="I4" s="686"/>
      <c r="J4" s="143" t="s">
        <v>87</v>
      </c>
      <c r="K4" s="135" t="s">
        <v>88</v>
      </c>
      <c r="L4" s="135" t="s">
        <v>89</v>
      </c>
      <c r="M4" s="686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76">
        <v>4</v>
      </c>
      <c r="B6" s="673" t="s">
        <v>97</v>
      </c>
      <c r="C6" s="679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77"/>
      <c r="B7" s="674"/>
      <c r="C7" s="680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77"/>
      <c r="B8" s="674"/>
      <c r="C8" s="680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78"/>
      <c r="B9" s="675"/>
      <c r="C9" s="681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02" t="s">
        <v>84</v>
      </c>
      <c r="B2" s="702" t="s">
        <v>99</v>
      </c>
      <c r="C2" s="702" t="s">
        <v>86</v>
      </c>
      <c r="D2" s="702" t="s">
        <v>51</v>
      </c>
      <c r="E2" s="696" t="s">
        <v>100</v>
      </c>
      <c r="F2" s="697"/>
      <c r="G2" s="698"/>
      <c r="H2" s="699" t="s">
        <v>101</v>
      </c>
      <c r="I2" s="700"/>
      <c r="J2" s="700"/>
      <c r="K2" s="700"/>
      <c r="L2" s="700"/>
      <c r="M2" s="701"/>
      <c r="N2" s="696" t="s">
        <v>102</v>
      </c>
      <c r="O2" s="697"/>
      <c r="P2" s="698"/>
    </row>
    <row r="3" spans="1:16" ht="16.2" thickBot="1" x14ac:dyDescent="0.3">
      <c r="A3" s="703"/>
      <c r="B3" s="703"/>
      <c r="C3" s="703"/>
      <c r="D3" s="703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04">
        <v>4</v>
      </c>
      <c r="B4" s="707" t="s">
        <v>109</v>
      </c>
      <c r="C4" s="707" t="s">
        <v>94</v>
      </c>
      <c r="D4" s="707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05"/>
      <c r="B5" s="708"/>
      <c r="C5" s="708"/>
      <c r="D5" s="708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05"/>
      <c r="B6" s="708"/>
      <c r="C6" s="708"/>
      <c r="D6" s="708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05"/>
      <c r="B7" s="708"/>
      <c r="C7" s="708"/>
      <c r="D7" s="708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05"/>
      <c r="B8" s="708"/>
      <c r="C8" s="708"/>
      <c r="D8" s="709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05"/>
      <c r="B9" s="708"/>
      <c r="C9" s="708"/>
      <c r="D9" s="710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05"/>
      <c r="B10" s="708"/>
      <c r="C10" s="708"/>
      <c r="D10" s="711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05"/>
      <c r="B11" s="708"/>
      <c r="C11" s="708"/>
      <c r="D11" s="712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05"/>
      <c r="B12" s="708"/>
      <c r="C12" s="708"/>
      <c r="D12" s="707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05"/>
      <c r="B13" s="708"/>
      <c r="C13" s="708"/>
      <c r="D13" s="708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05"/>
      <c r="B14" s="708"/>
      <c r="C14" s="708"/>
      <c r="D14" s="709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05"/>
      <c r="B15" s="708"/>
      <c r="C15" s="708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06"/>
      <c r="B16" s="709"/>
      <c r="C16" s="709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abSelected="1" showWhiteSpace="0" zoomScale="70" zoomScaleNormal="70" zoomScaleSheetLayoutView="55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E8" activeCellId="10" sqref="E31:E32 E26:E28 E24 E21 E19 E17 E12 E11 E10 E9 E8"/>
    </sheetView>
  </sheetViews>
  <sheetFormatPr defaultColWidth="9.109375" defaultRowHeight="12" x14ac:dyDescent="0.25"/>
  <cols>
    <col min="1" max="1" width="19.5546875" style="565" customWidth="1"/>
    <col min="2" max="2" width="39" style="637" customWidth="1"/>
    <col min="3" max="3" width="7.21875" style="541" customWidth="1"/>
    <col min="4" max="4" width="21.109375" style="541" customWidth="1"/>
    <col min="5" max="5" width="20.44140625" style="541" customWidth="1"/>
    <col min="6" max="6" width="19.44140625" style="541" customWidth="1"/>
    <col min="7" max="7" width="22.33203125" style="541" customWidth="1"/>
    <col min="8" max="8" width="15.88671875" style="541" customWidth="1"/>
    <col min="9" max="9" width="64.5546875" style="342" bestFit="1" customWidth="1"/>
    <col min="10" max="10" width="21.6640625" style="308" customWidth="1"/>
    <col min="11" max="16384" width="9.109375" style="308"/>
  </cols>
  <sheetData>
    <row r="1" spans="1:9" ht="16.95" customHeight="1" x14ac:dyDescent="0.25">
      <c r="A1" s="636" t="s">
        <v>210</v>
      </c>
      <c r="B1" s="636"/>
      <c r="C1" s="614"/>
      <c r="D1" s="626"/>
      <c r="E1" s="626"/>
      <c r="F1" s="626"/>
      <c r="G1" s="626"/>
      <c r="H1" s="626"/>
      <c r="I1" s="626"/>
    </row>
    <row r="2" spans="1:9" ht="16.2" customHeight="1" x14ac:dyDescent="0.25">
      <c r="A2" s="636"/>
      <c r="B2" s="636"/>
      <c r="C2" s="630"/>
      <c r="D2" s="631"/>
      <c r="E2" s="631"/>
      <c r="F2" s="631"/>
      <c r="G2" s="631"/>
      <c r="H2" s="631"/>
      <c r="I2" s="631"/>
    </row>
    <row r="3" spans="1:9" ht="33.6" customHeight="1" x14ac:dyDescent="0.25">
      <c r="A3" s="627" t="s">
        <v>124</v>
      </c>
      <c r="B3" s="628" t="s">
        <v>185</v>
      </c>
      <c r="C3" s="713" t="s">
        <v>191</v>
      </c>
      <c r="D3" s="714"/>
      <c r="E3" s="714"/>
      <c r="F3" s="714"/>
      <c r="G3" s="714"/>
      <c r="H3" s="715"/>
      <c r="I3" s="632" t="s">
        <v>187</v>
      </c>
    </row>
    <row r="4" spans="1:9" ht="73.8" customHeight="1" x14ac:dyDescent="0.25">
      <c r="A4" s="627"/>
      <c r="B4" s="628"/>
      <c r="C4" s="629" t="s">
        <v>126</v>
      </c>
      <c r="D4" s="560" t="s">
        <v>192</v>
      </c>
      <c r="E4" s="560" t="s">
        <v>189</v>
      </c>
      <c r="F4" s="560" t="s">
        <v>188</v>
      </c>
      <c r="G4" s="560" t="s">
        <v>9</v>
      </c>
      <c r="H4" s="560" t="s">
        <v>186</v>
      </c>
      <c r="I4" s="633"/>
    </row>
    <row r="5" spans="1:9" ht="28.2" customHeight="1" x14ac:dyDescent="0.25">
      <c r="A5" s="716" t="s">
        <v>80</v>
      </c>
      <c r="B5" s="718" t="s">
        <v>193</v>
      </c>
      <c r="C5" s="634">
        <v>12</v>
      </c>
      <c r="D5" s="595">
        <v>684914.94</v>
      </c>
      <c r="E5" s="548"/>
      <c r="F5" s="537">
        <f t="shared" ref="F5:F31" si="0">D5-E5</f>
        <v>684914.94</v>
      </c>
      <c r="G5" s="533" t="s">
        <v>211</v>
      </c>
      <c r="H5" s="536">
        <v>45530</v>
      </c>
      <c r="I5" s="638" t="s">
        <v>266</v>
      </c>
    </row>
    <row r="6" spans="1:9" ht="28.8" customHeight="1" x14ac:dyDescent="0.25">
      <c r="A6" s="721"/>
      <c r="B6" s="719"/>
      <c r="C6" s="634">
        <v>11</v>
      </c>
      <c r="D6" s="595">
        <v>822049.38</v>
      </c>
      <c r="E6" s="548"/>
      <c r="F6" s="537">
        <f t="shared" si="0"/>
        <v>822049.38</v>
      </c>
      <c r="G6" s="647" t="s">
        <v>106</v>
      </c>
      <c r="H6" s="536">
        <v>45553</v>
      </c>
      <c r="I6" s="638" t="s">
        <v>268</v>
      </c>
    </row>
    <row r="7" spans="1:9" ht="15.6" x14ac:dyDescent="0.25">
      <c r="A7" s="721"/>
      <c r="B7" s="719"/>
      <c r="C7" s="634">
        <v>8</v>
      </c>
      <c r="D7" s="595">
        <v>147281.76</v>
      </c>
      <c r="E7" s="548"/>
      <c r="F7" s="537">
        <f t="shared" ref="F7:F12" si="1">D7-E7</f>
        <v>147281.76</v>
      </c>
      <c r="G7" s="533" t="s">
        <v>211</v>
      </c>
      <c r="H7" s="536">
        <v>45530</v>
      </c>
      <c r="I7" s="638" t="s">
        <v>266</v>
      </c>
    </row>
    <row r="8" spans="1:9" ht="51.6" customHeight="1" x14ac:dyDescent="0.25">
      <c r="A8" s="721"/>
      <c r="B8" s="719"/>
      <c r="C8" s="634">
        <v>16</v>
      </c>
      <c r="D8" s="537">
        <v>218313.38</v>
      </c>
      <c r="E8" s="548">
        <v>110221.33</v>
      </c>
      <c r="F8" s="537">
        <f t="shared" si="1"/>
        <v>108092.05</v>
      </c>
      <c r="G8" s="533" t="s">
        <v>211</v>
      </c>
      <c r="H8" s="536">
        <v>45530</v>
      </c>
      <c r="I8" s="638" t="s">
        <v>266</v>
      </c>
    </row>
    <row r="9" spans="1:9" ht="15.6" customHeight="1" x14ac:dyDescent="0.25">
      <c r="A9" s="721"/>
      <c r="B9" s="719"/>
      <c r="C9" s="634">
        <v>19</v>
      </c>
      <c r="D9" s="645">
        <v>263678.28000000003</v>
      </c>
      <c r="E9" s="645">
        <v>188535.17</v>
      </c>
      <c r="F9" s="645">
        <f t="shared" si="1"/>
        <v>75143.110000000015</v>
      </c>
      <c r="G9" s="634" t="s">
        <v>211</v>
      </c>
      <c r="H9" s="536">
        <v>45530</v>
      </c>
      <c r="I9" s="638" t="s">
        <v>266</v>
      </c>
    </row>
    <row r="10" spans="1:9" ht="15.6" customHeight="1" x14ac:dyDescent="0.25">
      <c r="A10" s="721"/>
      <c r="B10" s="719"/>
      <c r="C10" s="634">
        <v>20</v>
      </c>
      <c r="D10" s="641">
        <v>194944.14</v>
      </c>
      <c r="E10" s="644"/>
      <c r="F10" s="641">
        <f t="shared" si="1"/>
        <v>194944.14</v>
      </c>
      <c r="G10" s="537" t="s">
        <v>211</v>
      </c>
      <c r="H10" s="536">
        <v>45537</v>
      </c>
      <c r="I10" s="582" t="s">
        <v>266</v>
      </c>
    </row>
    <row r="11" spans="1:9" ht="15.6" customHeight="1" x14ac:dyDescent="0.25">
      <c r="A11" s="721"/>
      <c r="B11" s="719"/>
      <c r="C11" s="634">
        <v>21</v>
      </c>
      <c r="D11" s="641">
        <v>611074.42000000004</v>
      </c>
      <c r="E11" s="643"/>
      <c r="F11" s="641">
        <f t="shared" si="1"/>
        <v>611074.42000000004</v>
      </c>
      <c r="G11" s="537" t="s">
        <v>211</v>
      </c>
      <c r="H11" s="536">
        <v>45537</v>
      </c>
      <c r="I11" s="582" t="s">
        <v>266</v>
      </c>
    </row>
    <row r="12" spans="1:9" ht="15.6" customHeight="1" x14ac:dyDescent="0.25">
      <c r="A12" s="717"/>
      <c r="B12" s="720"/>
      <c r="C12" s="634">
        <v>22</v>
      </c>
      <c r="D12" s="641">
        <v>683907.34</v>
      </c>
      <c r="E12" s="643"/>
      <c r="F12" s="641">
        <f t="shared" si="1"/>
        <v>683907.34</v>
      </c>
      <c r="G12" s="537" t="s">
        <v>211</v>
      </c>
      <c r="H12" s="536">
        <v>45537</v>
      </c>
      <c r="I12" s="582" t="s">
        <v>266</v>
      </c>
    </row>
    <row r="13" spans="1:9" ht="46.8" x14ac:dyDescent="0.25">
      <c r="A13" s="716" t="s">
        <v>80</v>
      </c>
      <c r="B13" s="718" t="s">
        <v>195</v>
      </c>
      <c r="C13" s="634">
        <v>4</v>
      </c>
      <c r="D13" s="819">
        <v>5519057.6900000004</v>
      </c>
      <c r="E13" s="641">
        <v>3911446.37</v>
      </c>
      <c r="F13" s="641">
        <f t="shared" si="0"/>
        <v>1607611.3200000003</v>
      </c>
      <c r="G13" s="647" t="s">
        <v>106</v>
      </c>
      <c r="H13" s="648">
        <v>45455</v>
      </c>
      <c r="I13" s="649" t="s">
        <v>270</v>
      </c>
    </row>
    <row r="14" spans="1:9" ht="31.2" x14ac:dyDescent="0.25">
      <c r="A14" s="721"/>
      <c r="B14" s="719"/>
      <c r="C14" s="634">
        <v>7</v>
      </c>
      <c r="D14" s="595">
        <v>120551.08</v>
      </c>
      <c r="E14" s="537">
        <v>65370.23</v>
      </c>
      <c r="F14" s="537">
        <f t="shared" si="0"/>
        <v>55180.85</v>
      </c>
      <c r="G14" s="647" t="s">
        <v>106</v>
      </c>
      <c r="H14" s="639">
        <v>45553</v>
      </c>
      <c r="I14" s="638" t="s">
        <v>268</v>
      </c>
    </row>
    <row r="15" spans="1:9" ht="40.799999999999997" customHeight="1" x14ac:dyDescent="0.25">
      <c r="A15" s="721"/>
      <c r="B15" s="719"/>
      <c r="C15" s="634">
        <v>9</v>
      </c>
      <c r="D15" s="595">
        <v>2187971.4700000002</v>
      </c>
      <c r="E15" s="537">
        <v>1269810.6000000001</v>
      </c>
      <c r="F15" s="537">
        <f t="shared" si="0"/>
        <v>918160.87000000011</v>
      </c>
      <c r="G15" s="533" t="s">
        <v>211</v>
      </c>
      <c r="H15" s="536">
        <v>45530</v>
      </c>
      <c r="I15" s="582" t="s">
        <v>271</v>
      </c>
    </row>
    <row r="16" spans="1:9" ht="15.6" x14ac:dyDescent="0.25">
      <c r="A16" s="721"/>
      <c r="B16" s="719"/>
      <c r="C16" s="634">
        <v>10</v>
      </c>
      <c r="D16" s="595">
        <v>990783.37</v>
      </c>
      <c r="E16" s="537">
        <v>545179.06000000006</v>
      </c>
      <c r="F16" s="537">
        <f t="shared" si="0"/>
        <v>445604.30999999994</v>
      </c>
      <c r="G16" s="533" t="s">
        <v>211</v>
      </c>
      <c r="H16" s="536">
        <v>45530</v>
      </c>
      <c r="I16" s="582" t="s">
        <v>271</v>
      </c>
    </row>
    <row r="17" spans="1:10" ht="31.2" x14ac:dyDescent="0.25">
      <c r="A17" s="721"/>
      <c r="B17" s="719"/>
      <c r="C17" s="634">
        <v>13</v>
      </c>
      <c r="D17" s="537">
        <v>41463.550000000003</v>
      </c>
      <c r="E17" s="537">
        <v>22482.959999999999</v>
      </c>
      <c r="F17" s="537">
        <f t="shared" si="0"/>
        <v>18980.590000000004</v>
      </c>
      <c r="G17" s="647" t="s">
        <v>106</v>
      </c>
      <c r="H17" s="536">
        <v>45553</v>
      </c>
      <c r="I17" s="586" t="s">
        <v>268</v>
      </c>
    </row>
    <row r="18" spans="1:10" ht="18" x14ac:dyDescent="0.35">
      <c r="A18" s="721"/>
      <c r="B18" s="719"/>
      <c r="C18" s="634">
        <v>14</v>
      </c>
      <c r="D18" s="595">
        <v>141243.74</v>
      </c>
      <c r="E18" s="537">
        <v>78038.627999999997</v>
      </c>
      <c r="F18" s="537">
        <f t="shared" si="0"/>
        <v>63205.111999999994</v>
      </c>
      <c r="G18" s="533" t="s">
        <v>211</v>
      </c>
      <c r="H18" s="536">
        <v>45530</v>
      </c>
      <c r="I18" s="586" t="s">
        <v>274</v>
      </c>
      <c r="J18" s="646"/>
    </row>
    <row r="19" spans="1:10" ht="15.6" x14ac:dyDescent="0.25">
      <c r="A19" s="721"/>
      <c r="B19" s="719"/>
      <c r="C19" s="634">
        <v>15</v>
      </c>
      <c r="D19" s="537">
        <v>101715.43</v>
      </c>
      <c r="E19" s="537">
        <v>68348.149999999994</v>
      </c>
      <c r="F19" s="537">
        <f t="shared" si="0"/>
        <v>33367.279999999999</v>
      </c>
      <c r="G19" s="533" t="s">
        <v>211</v>
      </c>
      <c r="H19" s="536">
        <v>45530</v>
      </c>
      <c r="I19" s="586" t="s">
        <v>266</v>
      </c>
    </row>
    <row r="20" spans="1:10" ht="15.6" x14ac:dyDescent="0.25">
      <c r="A20" s="721"/>
      <c r="B20" s="719"/>
      <c r="C20" s="634">
        <v>17</v>
      </c>
      <c r="D20" s="595">
        <v>77659.3</v>
      </c>
      <c r="E20" s="537">
        <v>42094.5</v>
      </c>
      <c r="F20" s="537">
        <f>D20-E20</f>
        <v>35564.800000000003</v>
      </c>
      <c r="G20" s="533" t="s">
        <v>211</v>
      </c>
      <c r="H20" s="536">
        <v>45530</v>
      </c>
      <c r="I20" s="638" t="s">
        <v>266</v>
      </c>
    </row>
    <row r="21" spans="1:10" ht="37.200000000000003" customHeight="1" x14ac:dyDescent="0.25">
      <c r="A21" s="717"/>
      <c r="B21" s="720"/>
      <c r="C21" s="634">
        <v>18</v>
      </c>
      <c r="D21" s="537">
        <v>62344.46</v>
      </c>
      <c r="E21" s="537">
        <v>33801.83</v>
      </c>
      <c r="F21" s="537">
        <f>D21-E21</f>
        <v>28542.629999999997</v>
      </c>
      <c r="G21" s="647" t="s">
        <v>106</v>
      </c>
      <c r="H21" s="536">
        <v>45530</v>
      </c>
      <c r="I21" s="638" t="s">
        <v>272</v>
      </c>
    </row>
    <row r="22" spans="1:10" ht="35.4" customHeight="1" x14ac:dyDescent="0.25">
      <c r="A22" s="716" t="s">
        <v>81</v>
      </c>
      <c r="B22" s="718" t="s">
        <v>196</v>
      </c>
      <c r="C22" s="634">
        <v>9</v>
      </c>
      <c r="D22" s="595">
        <v>144257.29</v>
      </c>
      <c r="E22" s="537"/>
      <c r="F22" s="537">
        <f t="shared" si="0"/>
        <v>144257.29</v>
      </c>
      <c r="G22" s="650" t="s">
        <v>106</v>
      </c>
      <c r="H22" s="536">
        <v>45491</v>
      </c>
      <c r="I22" s="582" t="s">
        <v>271</v>
      </c>
    </row>
    <row r="23" spans="1:10" ht="15.6" customHeight="1" x14ac:dyDescent="0.25">
      <c r="A23" s="717"/>
      <c r="B23" s="720"/>
      <c r="C23" s="634">
        <v>10</v>
      </c>
      <c r="D23" s="820">
        <v>230241.44</v>
      </c>
      <c r="E23" s="645">
        <v>10981.94</v>
      </c>
      <c r="F23" s="645">
        <f t="shared" si="0"/>
        <v>219259.5</v>
      </c>
      <c r="G23" s="634" t="s">
        <v>211</v>
      </c>
      <c r="H23" s="536">
        <v>45537</v>
      </c>
      <c r="I23" s="582" t="s">
        <v>266</v>
      </c>
    </row>
    <row r="24" spans="1:10" s="547" customFormat="1" ht="15.6" x14ac:dyDescent="0.25">
      <c r="A24" s="570" t="s">
        <v>70</v>
      </c>
      <c r="B24" s="574" t="s">
        <v>197</v>
      </c>
      <c r="C24" s="634">
        <v>1</v>
      </c>
      <c r="D24" s="537">
        <v>98309.75</v>
      </c>
      <c r="E24" s="537">
        <v>56127.67</v>
      </c>
      <c r="F24" s="537">
        <f t="shared" si="0"/>
        <v>42182.080000000002</v>
      </c>
      <c r="G24" s="533" t="s">
        <v>211</v>
      </c>
      <c r="H24" s="536">
        <v>45530</v>
      </c>
      <c r="I24" s="582" t="s">
        <v>266</v>
      </c>
    </row>
    <row r="25" spans="1:10" s="547" customFormat="1" ht="31.2" x14ac:dyDescent="0.25">
      <c r="A25" s="716" t="s">
        <v>74</v>
      </c>
      <c r="B25" s="718" t="s">
        <v>200</v>
      </c>
      <c r="C25" s="634">
        <v>2</v>
      </c>
      <c r="D25" s="595">
        <v>224442.72</v>
      </c>
      <c r="E25" s="537">
        <v>163309.9</v>
      </c>
      <c r="F25" s="537">
        <f t="shared" si="0"/>
        <v>61132.820000000007</v>
      </c>
      <c r="G25" s="647" t="s">
        <v>106</v>
      </c>
      <c r="H25" s="536">
        <v>45499</v>
      </c>
      <c r="I25" s="586" t="s">
        <v>273</v>
      </c>
    </row>
    <row r="26" spans="1:10" s="547" customFormat="1" ht="31.2" x14ac:dyDescent="0.25">
      <c r="A26" s="721"/>
      <c r="B26" s="719"/>
      <c r="C26" s="634">
        <v>3</v>
      </c>
      <c r="D26" s="537">
        <v>303821.78000000003</v>
      </c>
      <c r="E26" s="537">
        <v>221068.2</v>
      </c>
      <c r="F26" s="537">
        <f t="shared" si="0"/>
        <v>82753.580000000016</v>
      </c>
      <c r="G26" s="647" t="s">
        <v>106</v>
      </c>
      <c r="H26" s="536">
        <v>45530</v>
      </c>
      <c r="I26" s="586" t="s">
        <v>268</v>
      </c>
    </row>
    <row r="27" spans="1:10" s="547" customFormat="1" ht="15.6" customHeight="1" x14ac:dyDescent="0.25">
      <c r="A27" s="721"/>
      <c r="B27" s="719"/>
      <c r="C27" s="634">
        <v>4</v>
      </c>
      <c r="D27" s="641">
        <v>598022.76</v>
      </c>
      <c r="E27" s="537">
        <v>435135.54</v>
      </c>
      <c r="F27" s="642">
        <f>D27-E27</f>
        <v>162887.22000000003</v>
      </c>
      <c r="G27" s="537" t="s">
        <v>211</v>
      </c>
      <c r="H27" s="536">
        <v>45537</v>
      </c>
      <c r="I27" s="586" t="s">
        <v>269</v>
      </c>
    </row>
    <row r="28" spans="1:10" s="547" customFormat="1" ht="36" customHeight="1" x14ac:dyDescent="0.25">
      <c r="A28" s="717"/>
      <c r="B28" s="720"/>
      <c r="C28" s="634">
        <v>5</v>
      </c>
      <c r="D28" s="642">
        <v>454214.18</v>
      </c>
      <c r="E28" s="537">
        <v>330496.95600000001</v>
      </c>
      <c r="F28" s="642">
        <f>D28-E28</f>
        <v>123717.22399999999</v>
      </c>
      <c r="G28" s="537" t="s">
        <v>211</v>
      </c>
      <c r="H28" s="536">
        <v>45537</v>
      </c>
      <c r="I28" s="586" t="s">
        <v>269</v>
      </c>
    </row>
    <row r="29" spans="1:10" s="547" customFormat="1" ht="15.6" x14ac:dyDescent="0.25">
      <c r="A29" s="716" t="s">
        <v>77</v>
      </c>
      <c r="B29" s="718" t="s">
        <v>201</v>
      </c>
      <c r="C29" s="634">
        <v>3</v>
      </c>
      <c r="D29" s="595">
        <v>112681.46</v>
      </c>
      <c r="E29" s="537"/>
      <c r="F29" s="537">
        <f>D29-E29</f>
        <v>112681.46</v>
      </c>
      <c r="G29" s="533" t="s">
        <v>211</v>
      </c>
      <c r="H29" s="536">
        <v>45537</v>
      </c>
      <c r="I29" s="638" t="s">
        <v>266</v>
      </c>
    </row>
    <row r="30" spans="1:10" s="547" customFormat="1" ht="15.6" x14ac:dyDescent="0.25">
      <c r="A30" s="717"/>
      <c r="B30" s="720"/>
      <c r="C30" s="634">
        <v>4</v>
      </c>
      <c r="D30" s="595">
        <v>17776.28</v>
      </c>
      <c r="E30" s="537"/>
      <c r="F30" s="537">
        <f t="shared" si="0"/>
        <v>17776.28</v>
      </c>
      <c r="G30" s="533" t="s">
        <v>211</v>
      </c>
      <c r="H30" s="536">
        <v>45537</v>
      </c>
      <c r="I30" s="638" t="s">
        <v>266</v>
      </c>
    </row>
    <row r="31" spans="1:10" s="307" customFormat="1" ht="15.6" x14ac:dyDescent="0.25">
      <c r="A31" s="625" t="s">
        <v>207</v>
      </c>
      <c r="B31" s="624" t="s">
        <v>206</v>
      </c>
      <c r="C31" s="634">
        <v>5</v>
      </c>
      <c r="D31" s="537">
        <v>433423.81</v>
      </c>
      <c r="E31" s="537">
        <v>281949.09999999998</v>
      </c>
      <c r="F31" s="537">
        <f t="shared" si="0"/>
        <v>151474.71000000002</v>
      </c>
      <c r="G31" s="533" t="s">
        <v>211</v>
      </c>
      <c r="H31" s="640">
        <v>45530</v>
      </c>
      <c r="I31" s="638" t="s">
        <v>269</v>
      </c>
    </row>
    <row r="32" spans="1:10" s="307" customFormat="1" ht="36.6" customHeight="1" x14ac:dyDescent="0.25">
      <c r="A32" s="573" t="s">
        <v>267</v>
      </c>
      <c r="B32" s="624"/>
      <c r="C32" s="634">
        <v>2</v>
      </c>
      <c r="D32" s="537">
        <v>17098.009999999998</v>
      </c>
      <c r="E32" s="537">
        <v>11916.01</v>
      </c>
      <c r="F32" s="537">
        <f t="shared" ref="F32" si="2">D32-E32</f>
        <v>5181.9999999999982</v>
      </c>
      <c r="G32" s="647" t="s">
        <v>106</v>
      </c>
      <c r="H32" s="640">
        <v>45553</v>
      </c>
      <c r="I32" s="638" t="s">
        <v>268</v>
      </c>
    </row>
    <row r="33" spans="1:9" s="324" customFormat="1" ht="22.95" customHeight="1" x14ac:dyDescent="0.25">
      <c r="A33" s="577"/>
      <c r="B33" s="581" t="s">
        <v>47</v>
      </c>
      <c r="C33" s="635"/>
      <c r="D33" s="578">
        <f>SUM(D5:D32)</f>
        <v>15503243.210000001</v>
      </c>
      <c r="E33" s="578"/>
      <c r="F33" s="578"/>
      <c r="G33" s="578"/>
      <c r="H33" s="578"/>
      <c r="I33" s="579"/>
    </row>
    <row r="34" spans="1:9" ht="15.6" customHeight="1" x14ac:dyDescent="0.25">
      <c r="C34" s="540"/>
      <c r="D34" s="540"/>
      <c r="E34" s="540"/>
      <c r="F34" s="540"/>
      <c r="G34" s="540"/>
      <c r="H34" s="540"/>
      <c r="I34" s="339"/>
    </row>
  </sheetData>
  <autoFilter ref="A4:AC33"/>
  <mergeCells count="11">
    <mergeCell ref="C3:H3"/>
    <mergeCell ref="A29:A30"/>
    <mergeCell ref="B5:B12"/>
    <mergeCell ref="A5:A12"/>
    <mergeCell ref="B13:B21"/>
    <mergeCell ref="A13:A21"/>
    <mergeCell ref="B22:B23"/>
    <mergeCell ref="A22:A23"/>
    <mergeCell ref="B25:B28"/>
    <mergeCell ref="A25:A28"/>
    <mergeCell ref="B29:B30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3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6"/>
  <sheetViews>
    <sheetView showWhiteSpace="0" view="pageBreakPreview" zoomScale="55" zoomScaleNormal="70" zoomScaleSheetLayoutView="55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D47" sqref="D47:P48"/>
    </sheetView>
  </sheetViews>
  <sheetFormatPr defaultColWidth="9.109375" defaultRowHeight="15.6" x14ac:dyDescent="0.3"/>
  <cols>
    <col min="1" max="1" width="9" style="308" customWidth="1"/>
    <col min="2" max="2" width="33.77734375" style="555" customWidth="1"/>
    <col min="3" max="3" width="17.6640625" style="541" customWidth="1"/>
    <col min="4" max="4" width="7.21875" style="541" customWidth="1"/>
    <col min="5" max="5" width="21.109375" style="541" customWidth="1"/>
    <col min="6" max="6" width="20.44140625" style="541" customWidth="1"/>
    <col min="7" max="7" width="19.44140625" style="541" customWidth="1"/>
    <col min="8" max="8" width="22.33203125" style="541" customWidth="1"/>
    <col min="9" max="9" width="15.88671875" style="541" customWidth="1"/>
    <col min="10" max="10" width="15.33203125" style="541" customWidth="1"/>
    <col min="11" max="11" width="16.44140625" style="541" customWidth="1"/>
    <col min="12" max="12" width="18.21875" style="541" customWidth="1"/>
    <col min="13" max="13" width="18.5546875" style="541" customWidth="1"/>
    <col min="14" max="14" width="17.88671875" style="541" customWidth="1"/>
    <col min="15" max="15" width="64.5546875" style="342" bestFit="1" customWidth="1"/>
    <col min="16" max="16" width="56" style="558" customWidth="1"/>
    <col min="17" max="16384" width="9.109375" style="308"/>
  </cols>
  <sheetData>
    <row r="1" spans="1:16" ht="16.95" customHeight="1" x14ac:dyDescent="0.3">
      <c r="A1" s="737" t="s">
        <v>210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</row>
    <row r="2" spans="1:16" ht="32.4" customHeight="1" x14ac:dyDescent="0.3">
      <c r="A2" s="737"/>
      <c r="B2" s="737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7"/>
      <c r="N2" s="737"/>
      <c r="O2" s="737"/>
    </row>
    <row r="3" spans="1:16" ht="24" customHeight="1" x14ac:dyDescent="0.3">
      <c r="A3" s="738" t="s">
        <v>124</v>
      </c>
      <c r="B3" s="739" t="s">
        <v>185</v>
      </c>
      <c r="C3" s="740" t="s">
        <v>190</v>
      </c>
      <c r="D3" s="738" t="s">
        <v>191</v>
      </c>
      <c r="E3" s="738"/>
      <c r="F3" s="738"/>
      <c r="G3" s="738"/>
      <c r="H3" s="738"/>
      <c r="I3" s="738"/>
      <c r="J3" s="738" t="s">
        <v>216</v>
      </c>
      <c r="K3" s="738"/>
      <c r="L3" s="738"/>
      <c r="M3" s="738" t="s">
        <v>217</v>
      </c>
      <c r="N3" s="738"/>
      <c r="O3" s="738" t="s">
        <v>187</v>
      </c>
      <c r="P3" s="559"/>
    </row>
    <row r="4" spans="1:16" ht="73.8" customHeight="1" x14ac:dyDescent="0.3">
      <c r="A4" s="738"/>
      <c r="B4" s="739"/>
      <c r="C4" s="740"/>
      <c r="D4" s="560" t="s">
        <v>126</v>
      </c>
      <c r="E4" s="560" t="s">
        <v>192</v>
      </c>
      <c r="F4" s="560" t="s">
        <v>189</v>
      </c>
      <c r="G4" s="560" t="s">
        <v>188</v>
      </c>
      <c r="H4" s="560" t="s">
        <v>9</v>
      </c>
      <c r="I4" s="560" t="s">
        <v>186</v>
      </c>
      <c r="J4" s="560" t="s">
        <v>213</v>
      </c>
      <c r="K4" s="560" t="s">
        <v>214</v>
      </c>
      <c r="L4" s="560" t="s">
        <v>215</v>
      </c>
      <c r="M4" s="560" t="s">
        <v>214</v>
      </c>
      <c r="N4" s="560" t="s">
        <v>215</v>
      </c>
      <c r="O4" s="738"/>
      <c r="P4" s="559"/>
    </row>
    <row r="5" spans="1:16" hidden="1" x14ac:dyDescent="0.3">
      <c r="A5" s="727" t="s">
        <v>53</v>
      </c>
      <c r="B5" s="728" t="s">
        <v>193</v>
      </c>
      <c r="C5" s="729">
        <v>20014627.07</v>
      </c>
      <c r="D5" s="543">
        <v>1</v>
      </c>
      <c r="E5" s="544">
        <v>1104052.82</v>
      </c>
      <c r="F5" s="561"/>
      <c r="G5" s="544">
        <f>E5-F5</f>
        <v>1104052.82</v>
      </c>
      <c r="H5" s="545" t="s">
        <v>194</v>
      </c>
      <c r="I5" s="545"/>
      <c r="J5" s="545" t="s">
        <v>218</v>
      </c>
      <c r="K5" s="545" t="s">
        <v>219</v>
      </c>
      <c r="L5" s="545" t="s">
        <v>220</v>
      </c>
      <c r="M5" s="545"/>
      <c r="N5" s="545" t="s">
        <v>221</v>
      </c>
      <c r="O5" s="545"/>
      <c r="P5" s="559"/>
    </row>
    <row r="6" spans="1:16" hidden="1" x14ac:dyDescent="0.3">
      <c r="A6" s="727"/>
      <c r="B6" s="728"/>
      <c r="C6" s="729"/>
      <c r="D6" s="543">
        <v>3</v>
      </c>
      <c r="E6" s="544">
        <v>2033549.68</v>
      </c>
      <c r="F6" s="561"/>
      <c r="G6" s="544">
        <f t="shared" ref="G6:G92" si="0">E6-F6</f>
        <v>2033549.68</v>
      </c>
      <c r="H6" s="545" t="s">
        <v>194</v>
      </c>
      <c r="I6" s="545"/>
      <c r="J6" s="545" t="s">
        <v>218</v>
      </c>
      <c r="K6" s="545" t="s">
        <v>219</v>
      </c>
      <c r="L6" s="545"/>
      <c r="M6" s="545" t="s">
        <v>219</v>
      </c>
      <c r="N6" s="545" t="s">
        <v>220</v>
      </c>
      <c r="O6" s="545"/>
      <c r="P6" s="559"/>
    </row>
    <row r="7" spans="1:16" ht="46.8" hidden="1" x14ac:dyDescent="0.3">
      <c r="A7" s="727"/>
      <c r="B7" s="728"/>
      <c r="C7" s="729"/>
      <c r="D7" s="543">
        <v>6</v>
      </c>
      <c r="E7" s="544">
        <v>1313878.48</v>
      </c>
      <c r="F7" s="561"/>
      <c r="G7" s="544">
        <f t="shared" si="0"/>
        <v>1313878.48</v>
      </c>
      <c r="H7" s="545" t="s">
        <v>194</v>
      </c>
      <c r="I7" s="545"/>
      <c r="J7" s="545" t="s">
        <v>218</v>
      </c>
      <c r="K7" s="545" t="s">
        <v>219</v>
      </c>
      <c r="L7" s="545" t="s">
        <v>223</v>
      </c>
      <c r="M7" s="545" t="s">
        <v>219</v>
      </c>
      <c r="N7" s="545"/>
      <c r="O7" s="545"/>
      <c r="P7" s="559"/>
    </row>
    <row r="8" spans="1:16" hidden="1" x14ac:dyDescent="0.3">
      <c r="A8" s="727"/>
      <c r="B8" s="728"/>
      <c r="C8" s="729"/>
      <c r="D8" s="543">
        <v>8</v>
      </c>
      <c r="E8" s="544">
        <v>199967</v>
      </c>
      <c r="F8" s="561"/>
      <c r="G8" s="544">
        <f t="shared" si="0"/>
        <v>199967</v>
      </c>
      <c r="H8" s="545" t="s">
        <v>194</v>
      </c>
      <c r="I8" s="545"/>
      <c r="J8" s="545" t="s">
        <v>218</v>
      </c>
      <c r="K8" s="545"/>
      <c r="L8" s="545" t="s">
        <v>224</v>
      </c>
      <c r="M8" s="545"/>
      <c r="N8" s="545"/>
      <c r="O8" s="545"/>
      <c r="P8" s="559"/>
    </row>
    <row r="9" spans="1:16" hidden="1" x14ac:dyDescent="0.3">
      <c r="A9" s="727"/>
      <c r="B9" s="728"/>
      <c r="C9" s="729"/>
      <c r="D9" s="543">
        <v>11</v>
      </c>
      <c r="E9" s="544">
        <v>1611409.02</v>
      </c>
      <c r="F9" s="561"/>
      <c r="G9" s="544">
        <f t="shared" si="0"/>
        <v>1611409.02</v>
      </c>
      <c r="H9" s="545" t="s">
        <v>194</v>
      </c>
      <c r="I9" s="545"/>
      <c r="J9" s="545" t="s">
        <v>218</v>
      </c>
      <c r="K9" s="545" t="s">
        <v>219</v>
      </c>
      <c r="L9" s="545" t="s">
        <v>220</v>
      </c>
      <c r="M9" s="545" t="s">
        <v>219</v>
      </c>
      <c r="N9" s="545"/>
      <c r="O9" s="545"/>
      <c r="P9" s="559"/>
    </row>
    <row r="10" spans="1:16" hidden="1" x14ac:dyDescent="0.3">
      <c r="A10" s="727"/>
      <c r="B10" s="728"/>
      <c r="C10" s="729"/>
      <c r="D10" s="543">
        <v>25</v>
      </c>
      <c r="E10" s="544">
        <v>813895.61</v>
      </c>
      <c r="F10" s="544"/>
      <c r="G10" s="544">
        <f t="shared" si="0"/>
        <v>813895.61</v>
      </c>
      <c r="H10" s="545" t="s">
        <v>194</v>
      </c>
      <c r="I10" s="545"/>
      <c r="J10" s="545" t="s">
        <v>218</v>
      </c>
      <c r="K10" s="545" t="s">
        <v>219</v>
      </c>
      <c r="L10" s="545" t="s">
        <v>220</v>
      </c>
      <c r="M10" s="545" t="s">
        <v>219</v>
      </c>
      <c r="N10" s="545" t="s">
        <v>220</v>
      </c>
      <c r="O10" s="545"/>
      <c r="P10" s="559"/>
    </row>
    <row r="11" spans="1:16" ht="16.2" hidden="1" customHeight="1" thickBot="1" x14ac:dyDescent="0.35">
      <c r="A11" s="730" t="s">
        <v>80</v>
      </c>
      <c r="B11" s="726" t="s">
        <v>193</v>
      </c>
      <c r="C11" s="734">
        <v>20014627.07</v>
      </c>
      <c r="D11" s="534">
        <v>1</v>
      </c>
      <c r="E11" s="537">
        <v>347360.34</v>
      </c>
      <c r="F11" s="548"/>
      <c r="G11" s="537">
        <f t="shared" si="0"/>
        <v>347360.34</v>
      </c>
      <c r="H11" s="533" t="s">
        <v>194</v>
      </c>
      <c r="I11" s="533"/>
      <c r="J11" s="533" t="s">
        <v>218</v>
      </c>
      <c r="K11" s="533" t="s">
        <v>219</v>
      </c>
      <c r="L11" s="533" t="s">
        <v>220</v>
      </c>
      <c r="M11" s="533"/>
      <c r="N11" s="533"/>
      <c r="O11" s="533"/>
      <c r="P11" s="559"/>
    </row>
    <row r="12" spans="1:16" ht="28.2" customHeight="1" x14ac:dyDescent="0.3">
      <c r="A12" s="730"/>
      <c r="B12" s="726"/>
      <c r="C12" s="735"/>
      <c r="D12" s="563">
        <v>12</v>
      </c>
      <c r="E12" s="551">
        <v>685051.25</v>
      </c>
      <c r="F12" s="552"/>
      <c r="G12" s="551">
        <f t="shared" si="0"/>
        <v>685051.25</v>
      </c>
      <c r="H12" s="553" t="s">
        <v>238</v>
      </c>
      <c r="I12" s="554">
        <v>45489</v>
      </c>
      <c r="J12" s="554"/>
      <c r="K12" s="553" t="s">
        <v>260</v>
      </c>
      <c r="L12" s="554"/>
      <c r="M12" s="553" t="s">
        <v>219</v>
      </c>
      <c r="N12" s="554"/>
      <c r="O12" s="600" t="s">
        <v>250</v>
      </c>
      <c r="P12" s="593"/>
    </row>
    <row r="13" spans="1:16" ht="28.8" customHeight="1" x14ac:dyDescent="0.3">
      <c r="A13" s="730"/>
      <c r="B13" s="726"/>
      <c r="C13" s="735"/>
      <c r="D13" s="563">
        <v>11</v>
      </c>
      <c r="E13" s="551">
        <v>823544.62</v>
      </c>
      <c r="F13" s="552"/>
      <c r="G13" s="551">
        <f t="shared" si="0"/>
        <v>823544.62</v>
      </c>
      <c r="H13" s="553" t="s">
        <v>238</v>
      </c>
      <c r="I13" s="554">
        <v>45489</v>
      </c>
      <c r="J13" s="554"/>
      <c r="K13" s="553" t="s">
        <v>260</v>
      </c>
      <c r="L13" s="554"/>
      <c r="M13" s="553" t="s">
        <v>219</v>
      </c>
      <c r="N13" s="554"/>
      <c r="O13" s="600" t="s">
        <v>250</v>
      </c>
      <c r="P13" s="593"/>
    </row>
    <row r="14" spans="1:16" ht="15.6" hidden="1" customHeight="1" x14ac:dyDescent="0.3">
      <c r="A14" s="730"/>
      <c r="B14" s="726"/>
      <c r="C14" s="735"/>
      <c r="D14" s="534">
        <v>6</v>
      </c>
      <c r="E14" s="537">
        <v>417492.3</v>
      </c>
      <c r="F14" s="548">
        <v>286103.05200000003</v>
      </c>
      <c r="G14" s="537">
        <f t="shared" si="0"/>
        <v>131389.24799999996</v>
      </c>
      <c r="H14" s="533" t="s">
        <v>194</v>
      </c>
      <c r="I14" s="536">
        <v>45477</v>
      </c>
      <c r="J14" s="533" t="s">
        <v>218</v>
      </c>
      <c r="K14" s="533" t="s">
        <v>260</v>
      </c>
      <c r="L14" s="536"/>
      <c r="M14" s="536"/>
      <c r="N14" s="536"/>
      <c r="O14" s="600" t="s">
        <v>250</v>
      </c>
      <c r="P14" s="559"/>
    </row>
    <row r="15" spans="1:16" ht="31.2" x14ac:dyDescent="0.25">
      <c r="A15" s="730"/>
      <c r="B15" s="726"/>
      <c r="C15" s="735"/>
      <c r="D15" s="563">
        <v>8</v>
      </c>
      <c r="E15" s="551">
        <v>147281.76</v>
      </c>
      <c r="F15" s="552"/>
      <c r="G15" s="551">
        <f>E15-F15</f>
        <v>147281.76</v>
      </c>
      <c r="H15" s="553" t="s">
        <v>245</v>
      </c>
      <c r="I15" s="554">
        <v>45479</v>
      </c>
      <c r="J15" s="554"/>
      <c r="K15" s="553" t="s">
        <v>219</v>
      </c>
      <c r="L15" s="554"/>
      <c r="M15" s="553" t="s">
        <v>219</v>
      </c>
      <c r="N15" s="554"/>
      <c r="O15" s="600" t="s">
        <v>250</v>
      </c>
      <c r="P15" s="592"/>
    </row>
    <row r="16" spans="1:16" ht="51.6" customHeight="1" x14ac:dyDescent="0.25">
      <c r="A16" s="730"/>
      <c r="B16" s="726"/>
      <c r="C16" s="735"/>
      <c r="D16" s="563">
        <v>16</v>
      </c>
      <c r="E16" s="551">
        <v>221409.8</v>
      </c>
      <c r="F16" s="552">
        <v>110221.33</v>
      </c>
      <c r="G16" s="551">
        <f>E16-F16</f>
        <v>111188.46999999999</v>
      </c>
      <c r="H16" s="553" t="s">
        <v>238</v>
      </c>
      <c r="I16" s="554">
        <v>45506</v>
      </c>
      <c r="J16" s="554"/>
      <c r="K16" s="554"/>
      <c r="L16" s="554"/>
      <c r="M16" s="553" t="s">
        <v>219</v>
      </c>
      <c r="N16" s="554"/>
      <c r="O16" s="591" t="s">
        <v>246</v>
      </c>
      <c r="P16" s="615" t="s">
        <v>261</v>
      </c>
    </row>
    <row r="17" spans="1:16" x14ac:dyDescent="0.25">
      <c r="A17" s="730"/>
      <c r="B17" s="726"/>
      <c r="C17" s="735"/>
      <c r="D17" s="534">
        <v>19</v>
      </c>
      <c r="E17" s="538">
        <v>382928.24</v>
      </c>
      <c r="F17" s="539">
        <v>278627.69</v>
      </c>
      <c r="G17" s="538">
        <f>E17-F17</f>
        <v>104300.54999999999</v>
      </c>
      <c r="H17" s="535"/>
      <c r="I17" s="536"/>
      <c r="J17" s="536"/>
      <c r="K17" s="536"/>
      <c r="L17" s="536"/>
      <c r="M17" s="536"/>
      <c r="N17" s="536"/>
      <c r="O17" s="582" t="s">
        <v>242</v>
      </c>
      <c r="P17" s="722"/>
    </row>
    <row r="18" spans="1:16" x14ac:dyDescent="0.25">
      <c r="A18" s="730"/>
      <c r="B18" s="726"/>
      <c r="C18" s="735"/>
      <c r="D18" s="534">
        <v>20</v>
      </c>
      <c r="E18" s="538">
        <v>325151.09999999998</v>
      </c>
      <c r="F18" s="539"/>
      <c r="G18" s="538">
        <f>E18-F18</f>
        <v>325151.09999999998</v>
      </c>
      <c r="H18" s="535"/>
      <c r="I18" s="536"/>
      <c r="J18" s="536"/>
      <c r="K18" s="536"/>
      <c r="L18" s="536"/>
      <c r="M18" s="536"/>
      <c r="N18" s="536"/>
      <c r="O18" s="582" t="s">
        <v>242</v>
      </c>
      <c r="P18" s="722"/>
    </row>
    <row r="19" spans="1:16" x14ac:dyDescent="0.25">
      <c r="A19" s="730"/>
      <c r="B19" s="726"/>
      <c r="C19" s="736"/>
      <c r="D19" s="534">
        <v>21</v>
      </c>
      <c r="E19" s="538">
        <v>296877</v>
      </c>
      <c r="F19" s="564"/>
      <c r="G19" s="538">
        <f>E19-F19</f>
        <v>296877</v>
      </c>
      <c r="H19" s="535"/>
      <c r="I19" s="565"/>
      <c r="J19" s="565"/>
      <c r="K19" s="565"/>
      <c r="L19" s="565"/>
      <c r="M19" s="565"/>
      <c r="N19" s="565"/>
      <c r="O19" s="582" t="s">
        <v>242</v>
      </c>
      <c r="P19" s="722"/>
    </row>
    <row r="20" spans="1:16" hidden="1" x14ac:dyDescent="0.3">
      <c r="A20" s="727" t="s">
        <v>53</v>
      </c>
      <c r="B20" s="728" t="s">
        <v>195</v>
      </c>
      <c r="C20" s="729">
        <v>162902614.16</v>
      </c>
      <c r="D20" s="543">
        <v>2</v>
      </c>
      <c r="E20" s="544">
        <v>1727848.62</v>
      </c>
      <c r="F20" s="544">
        <v>1136749.97</v>
      </c>
      <c r="G20" s="544">
        <f t="shared" si="0"/>
        <v>591098.65000000014</v>
      </c>
      <c r="H20" s="545" t="s">
        <v>194</v>
      </c>
      <c r="I20" s="545"/>
      <c r="J20" s="545" t="s">
        <v>218</v>
      </c>
      <c r="K20" s="545" t="s">
        <v>219</v>
      </c>
      <c r="L20" s="545" t="s">
        <v>221</v>
      </c>
      <c r="M20" s="545" t="s">
        <v>219</v>
      </c>
      <c r="N20" s="545" t="s">
        <v>220</v>
      </c>
      <c r="O20" s="583"/>
      <c r="P20" s="559"/>
    </row>
    <row r="21" spans="1:16" ht="46.8" hidden="1" x14ac:dyDescent="0.3">
      <c r="A21" s="727"/>
      <c r="B21" s="728"/>
      <c r="C21" s="729"/>
      <c r="D21" s="543">
        <v>4</v>
      </c>
      <c r="E21" s="544">
        <v>1624658.88</v>
      </c>
      <c r="F21" s="544">
        <v>1070029.25</v>
      </c>
      <c r="G21" s="544">
        <f t="shared" si="0"/>
        <v>554629.62999999989</v>
      </c>
      <c r="H21" s="545" t="s">
        <v>194</v>
      </c>
      <c r="I21" s="545"/>
      <c r="J21" s="545" t="s">
        <v>218</v>
      </c>
      <c r="K21" s="545" t="s">
        <v>219</v>
      </c>
      <c r="L21" s="545" t="s">
        <v>222</v>
      </c>
      <c r="M21" s="545" t="s">
        <v>219</v>
      </c>
      <c r="N21" s="545"/>
      <c r="O21" s="583"/>
      <c r="P21" s="559"/>
    </row>
    <row r="22" spans="1:16" ht="46.8" hidden="1" x14ac:dyDescent="0.3">
      <c r="A22" s="727"/>
      <c r="B22" s="728"/>
      <c r="C22" s="729"/>
      <c r="D22" s="543">
        <v>5</v>
      </c>
      <c r="E22" s="544">
        <v>3749612.99</v>
      </c>
      <c r="F22" s="544">
        <v>2385655.9700000002</v>
      </c>
      <c r="G22" s="544">
        <f t="shared" si="0"/>
        <v>1363957.02</v>
      </c>
      <c r="H22" s="545" t="s">
        <v>194</v>
      </c>
      <c r="I22" s="545"/>
      <c r="J22" s="545" t="s">
        <v>218</v>
      </c>
      <c r="K22" s="545" t="s">
        <v>219</v>
      </c>
      <c r="L22" s="545" t="s">
        <v>222</v>
      </c>
      <c r="M22" s="545" t="s">
        <v>219</v>
      </c>
      <c r="N22" s="545" t="s">
        <v>221</v>
      </c>
      <c r="O22" s="583"/>
      <c r="P22" s="559"/>
    </row>
    <row r="23" spans="1:16" ht="46.8" hidden="1" x14ac:dyDescent="0.3">
      <c r="A23" s="727"/>
      <c r="B23" s="728"/>
      <c r="C23" s="729"/>
      <c r="D23" s="543">
        <v>7</v>
      </c>
      <c r="E23" s="544">
        <v>2005376.27</v>
      </c>
      <c r="F23" s="544">
        <v>1250791.49</v>
      </c>
      <c r="G23" s="544">
        <f t="shared" si="0"/>
        <v>754584.78</v>
      </c>
      <c r="H23" s="545" t="s">
        <v>194</v>
      </c>
      <c r="I23" s="545"/>
      <c r="J23" s="545" t="s">
        <v>218</v>
      </c>
      <c r="K23" s="545" t="s">
        <v>219</v>
      </c>
      <c r="L23" s="545" t="s">
        <v>223</v>
      </c>
      <c r="M23" s="545" t="s">
        <v>219</v>
      </c>
      <c r="N23" s="545"/>
      <c r="O23" s="583"/>
      <c r="P23" s="559"/>
    </row>
    <row r="24" spans="1:16" ht="62.4" hidden="1" x14ac:dyDescent="0.3">
      <c r="A24" s="727"/>
      <c r="B24" s="728"/>
      <c r="C24" s="729"/>
      <c r="D24" s="543">
        <v>9</v>
      </c>
      <c r="E24" s="544">
        <v>69765.179999999993</v>
      </c>
      <c r="F24" s="544">
        <v>23460.58</v>
      </c>
      <c r="G24" s="544">
        <f t="shared" si="0"/>
        <v>46304.599999999991</v>
      </c>
      <c r="H24" s="545" t="s">
        <v>194</v>
      </c>
      <c r="I24" s="545"/>
      <c r="J24" s="545" t="s">
        <v>218</v>
      </c>
      <c r="K24" s="545" t="s">
        <v>219</v>
      </c>
      <c r="L24" s="545" t="s">
        <v>225</v>
      </c>
      <c r="M24" s="545" t="s">
        <v>219</v>
      </c>
      <c r="N24" s="545" t="s">
        <v>221</v>
      </c>
      <c r="O24" s="583"/>
      <c r="P24" s="559"/>
    </row>
    <row r="25" spans="1:16" hidden="1" x14ac:dyDescent="0.3">
      <c r="A25" s="727"/>
      <c r="B25" s="728"/>
      <c r="C25" s="729"/>
      <c r="D25" s="543">
        <v>10</v>
      </c>
      <c r="E25" s="544">
        <v>2279032.85</v>
      </c>
      <c r="F25" s="544">
        <v>1496361.84</v>
      </c>
      <c r="G25" s="544">
        <f t="shared" si="0"/>
        <v>782671.01</v>
      </c>
      <c r="H25" s="545" t="s">
        <v>194</v>
      </c>
      <c r="I25" s="545"/>
      <c r="J25" s="545" t="s">
        <v>218</v>
      </c>
      <c r="K25" s="545" t="s">
        <v>219</v>
      </c>
      <c r="L25" s="545" t="s">
        <v>226</v>
      </c>
      <c r="M25" s="545"/>
      <c r="N25" s="545"/>
      <c r="O25" s="583"/>
      <c r="P25" s="559"/>
    </row>
    <row r="26" spans="1:16" hidden="1" x14ac:dyDescent="0.3">
      <c r="A26" s="727"/>
      <c r="B26" s="728"/>
      <c r="C26" s="729"/>
      <c r="D26" s="543">
        <v>12</v>
      </c>
      <c r="E26" s="544">
        <v>1660579.03</v>
      </c>
      <c r="F26" s="544">
        <v>1247326.5</v>
      </c>
      <c r="G26" s="544">
        <f t="shared" si="0"/>
        <v>413252.53</v>
      </c>
      <c r="H26" s="545" t="s">
        <v>194</v>
      </c>
      <c r="I26" s="545"/>
      <c r="J26" s="545" t="s">
        <v>218</v>
      </c>
      <c r="K26" s="545" t="s">
        <v>219</v>
      </c>
      <c r="L26" s="545" t="s">
        <v>226</v>
      </c>
      <c r="M26" s="545" t="s">
        <v>219</v>
      </c>
      <c r="N26" s="545" t="s">
        <v>221</v>
      </c>
      <c r="O26" s="583"/>
      <c r="P26" s="559"/>
    </row>
    <row r="27" spans="1:16" hidden="1" x14ac:dyDescent="0.3">
      <c r="A27" s="727"/>
      <c r="B27" s="728"/>
      <c r="C27" s="729"/>
      <c r="D27" s="543">
        <v>13</v>
      </c>
      <c r="E27" s="544">
        <v>2493224.0499999998</v>
      </c>
      <c r="F27" s="544">
        <v>1822416.35</v>
      </c>
      <c r="G27" s="544">
        <f t="shared" si="0"/>
        <v>670807.69999999972</v>
      </c>
      <c r="H27" s="545" t="s">
        <v>194</v>
      </c>
      <c r="I27" s="545"/>
      <c r="J27" s="545" t="s">
        <v>218</v>
      </c>
      <c r="K27" s="545" t="s">
        <v>219</v>
      </c>
      <c r="L27" s="545" t="s">
        <v>226</v>
      </c>
      <c r="M27" s="545" t="s">
        <v>219</v>
      </c>
      <c r="N27" s="545" t="s">
        <v>221</v>
      </c>
      <c r="O27" s="583"/>
      <c r="P27" s="559"/>
    </row>
    <row r="28" spans="1:16" hidden="1" x14ac:dyDescent="0.3">
      <c r="A28" s="727"/>
      <c r="B28" s="728"/>
      <c r="C28" s="729"/>
      <c r="D28" s="543">
        <v>14</v>
      </c>
      <c r="E28" s="544">
        <v>3270399.41</v>
      </c>
      <c r="F28" s="544">
        <v>1938746.54</v>
      </c>
      <c r="G28" s="544">
        <f t="shared" si="0"/>
        <v>1331652.8700000001</v>
      </c>
      <c r="H28" s="545" t="s">
        <v>194</v>
      </c>
      <c r="I28" s="545"/>
      <c r="J28" s="545" t="s">
        <v>218</v>
      </c>
      <c r="K28" s="545" t="s">
        <v>219</v>
      </c>
      <c r="L28" s="545" t="s">
        <v>220</v>
      </c>
      <c r="M28" s="545" t="s">
        <v>219</v>
      </c>
      <c r="N28" s="545" t="s">
        <v>220</v>
      </c>
      <c r="O28" s="583"/>
      <c r="P28" s="559"/>
    </row>
    <row r="29" spans="1:16" hidden="1" x14ac:dyDescent="0.3">
      <c r="A29" s="727"/>
      <c r="B29" s="728"/>
      <c r="C29" s="729"/>
      <c r="D29" s="543">
        <v>15</v>
      </c>
      <c r="E29" s="544">
        <v>118627.25</v>
      </c>
      <c r="F29" s="544">
        <v>64327.07</v>
      </c>
      <c r="G29" s="544">
        <f t="shared" si="0"/>
        <v>54300.18</v>
      </c>
      <c r="H29" s="545" t="s">
        <v>194</v>
      </c>
      <c r="I29" s="545"/>
      <c r="J29" s="545" t="s">
        <v>218</v>
      </c>
      <c r="K29" s="545" t="s">
        <v>219</v>
      </c>
      <c r="L29" s="545" t="s">
        <v>220</v>
      </c>
      <c r="M29" s="545" t="s">
        <v>219</v>
      </c>
      <c r="N29" s="545"/>
      <c r="O29" s="583"/>
      <c r="P29" s="559"/>
    </row>
    <row r="30" spans="1:16" ht="36.6" hidden="1" customHeight="1" x14ac:dyDescent="0.3">
      <c r="A30" s="727"/>
      <c r="B30" s="728"/>
      <c r="C30" s="729"/>
      <c r="D30" s="546">
        <v>16</v>
      </c>
      <c r="E30" s="544">
        <v>140758.31</v>
      </c>
      <c r="F30" s="544">
        <v>65382.58</v>
      </c>
      <c r="G30" s="544">
        <f t="shared" si="0"/>
        <v>75375.73</v>
      </c>
      <c r="H30" s="545" t="s">
        <v>194</v>
      </c>
      <c r="I30" s="545"/>
      <c r="J30" s="545" t="s">
        <v>218</v>
      </c>
      <c r="K30" s="545" t="s">
        <v>219</v>
      </c>
      <c r="L30" s="545" t="s">
        <v>228</v>
      </c>
      <c r="M30" s="545"/>
      <c r="N30" s="545"/>
      <c r="O30" s="583"/>
      <c r="P30" s="559"/>
    </row>
    <row r="31" spans="1:16" ht="46.8" hidden="1" x14ac:dyDescent="0.3">
      <c r="A31" s="727"/>
      <c r="B31" s="728"/>
      <c r="C31" s="729"/>
      <c r="D31" s="546">
        <v>17</v>
      </c>
      <c r="E31" s="544">
        <v>1287044.8600000001</v>
      </c>
      <c r="F31" s="544">
        <v>657865.79</v>
      </c>
      <c r="G31" s="544">
        <f t="shared" si="0"/>
        <v>629179.07000000007</v>
      </c>
      <c r="H31" s="545" t="s">
        <v>194</v>
      </c>
      <c r="I31" s="545"/>
      <c r="J31" s="545" t="s">
        <v>230</v>
      </c>
      <c r="K31" s="545" t="s">
        <v>219</v>
      </c>
      <c r="L31" s="545" t="s">
        <v>229</v>
      </c>
      <c r="M31" s="545"/>
      <c r="N31" s="545"/>
      <c r="O31" s="583"/>
      <c r="P31" s="559"/>
    </row>
    <row r="32" spans="1:16" hidden="1" x14ac:dyDescent="0.3">
      <c r="A32" s="727"/>
      <c r="B32" s="728"/>
      <c r="C32" s="729"/>
      <c r="D32" s="546">
        <v>18</v>
      </c>
      <c r="E32" s="544">
        <v>609343.34</v>
      </c>
      <c r="F32" s="544">
        <v>411655.5</v>
      </c>
      <c r="G32" s="544">
        <f t="shared" si="0"/>
        <v>197687.83999999997</v>
      </c>
      <c r="H32" s="545" t="s">
        <v>194</v>
      </c>
      <c r="I32" s="545"/>
      <c r="J32" s="545" t="s">
        <v>218</v>
      </c>
      <c r="K32" s="545" t="s">
        <v>219</v>
      </c>
      <c r="L32" s="545" t="s">
        <v>220</v>
      </c>
      <c r="M32" s="545" t="s">
        <v>219</v>
      </c>
      <c r="N32" s="545"/>
      <c r="O32" s="583"/>
      <c r="P32" s="559"/>
    </row>
    <row r="33" spans="1:16" hidden="1" x14ac:dyDescent="0.3">
      <c r="A33" s="727"/>
      <c r="B33" s="728"/>
      <c r="C33" s="729"/>
      <c r="D33" s="546">
        <v>19</v>
      </c>
      <c r="E33" s="544">
        <v>753745</v>
      </c>
      <c r="F33" s="544">
        <v>494320.5</v>
      </c>
      <c r="G33" s="544">
        <f t="shared" si="0"/>
        <v>259424.5</v>
      </c>
      <c r="H33" s="545" t="s">
        <v>194</v>
      </c>
      <c r="I33" s="545"/>
      <c r="J33" s="545" t="s">
        <v>218</v>
      </c>
      <c r="K33" s="545" t="s">
        <v>219</v>
      </c>
      <c r="L33" s="545" t="s">
        <v>220</v>
      </c>
      <c r="M33" s="545" t="s">
        <v>219</v>
      </c>
      <c r="N33" s="545"/>
      <c r="O33" s="583"/>
      <c r="P33" s="559"/>
    </row>
    <row r="34" spans="1:16" ht="31.2" hidden="1" x14ac:dyDescent="0.3">
      <c r="A34" s="727"/>
      <c r="B34" s="728"/>
      <c r="C34" s="729"/>
      <c r="D34" s="543">
        <v>20</v>
      </c>
      <c r="E34" s="544">
        <v>16538270.630000001</v>
      </c>
      <c r="F34" s="544">
        <v>11186556.91</v>
      </c>
      <c r="G34" s="544">
        <f t="shared" si="0"/>
        <v>5351713.7200000007</v>
      </c>
      <c r="H34" s="545" t="s">
        <v>194</v>
      </c>
      <c r="I34" s="545"/>
      <c r="J34" s="545" t="s">
        <v>230</v>
      </c>
      <c r="K34" s="545" t="s">
        <v>219</v>
      </c>
      <c r="L34" s="545" t="s">
        <v>232</v>
      </c>
      <c r="M34" s="545" t="s">
        <v>219</v>
      </c>
      <c r="N34" s="545"/>
      <c r="O34" s="583"/>
      <c r="P34" s="559"/>
    </row>
    <row r="35" spans="1:16" hidden="1" x14ac:dyDescent="0.3">
      <c r="A35" s="727"/>
      <c r="B35" s="728"/>
      <c r="C35" s="729"/>
      <c r="D35" s="543">
        <v>21</v>
      </c>
      <c r="E35" s="544">
        <v>4337508.26</v>
      </c>
      <c r="F35" s="544">
        <v>2359069.46</v>
      </c>
      <c r="G35" s="544">
        <f t="shared" si="0"/>
        <v>1978438.7999999998</v>
      </c>
      <c r="H35" s="545" t="s">
        <v>194</v>
      </c>
      <c r="I35" s="545"/>
      <c r="J35" s="545" t="s">
        <v>218</v>
      </c>
      <c r="K35" s="545" t="s">
        <v>219</v>
      </c>
      <c r="L35" s="545" t="s">
        <v>234</v>
      </c>
      <c r="M35" s="545" t="s">
        <v>219</v>
      </c>
      <c r="N35" s="545"/>
      <c r="O35" s="583"/>
      <c r="P35" s="559"/>
    </row>
    <row r="36" spans="1:16" ht="31.2" hidden="1" x14ac:dyDescent="0.3">
      <c r="A36" s="727"/>
      <c r="B36" s="728"/>
      <c r="C36" s="729"/>
      <c r="D36" s="543">
        <v>22</v>
      </c>
      <c r="E36" s="544">
        <v>385970.59</v>
      </c>
      <c r="F36" s="544">
        <v>246206.07999999999</v>
      </c>
      <c r="G36" s="544">
        <f t="shared" si="0"/>
        <v>139764.51000000004</v>
      </c>
      <c r="H36" s="545" t="s">
        <v>194</v>
      </c>
      <c r="I36" s="545"/>
      <c r="J36" s="545" t="s">
        <v>218</v>
      </c>
      <c r="K36" s="545" t="s">
        <v>219</v>
      </c>
      <c r="L36" s="545" t="s">
        <v>233</v>
      </c>
      <c r="M36" s="545" t="s">
        <v>219</v>
      </c>
      <c r="N36" s="545"/>
      <c r="O36" s="583"/>
      <c r="P36" s="559"/>
    </row>
    <row r="37" spans="1:16" hidden="1" x14ac:dyDescent="0.3">
      <c r="A37" s="727"/>
      <c r="B37" s="728"/>
      <c r="C37" s="729"/>
      <c r="D37" s="543">
        <v>23</v>
      </c>
      <c r="E37" s="544">
        <v>161785.29999999999</v>
      </c>
      <c r="F37" s="544">
        <v>114506.5</v>
      </c>
      <c r="G37" s="544">
        <f t="shared" si="0"/>
        <v>47278.799999999988</v>
      </c>
      <c r="H37" s="545" t="s">
        <v>194</v>
      </c>
      <c r="I37" s="545"/>
      <c r="J37" s="545" t="s">
        <v>218</v>
      </c>
      <c r="K37" s="545" t="s">
        <v>219</v>
      </c>
      <c r="L37" s="545" t="s">
        <v>234</v>
      </c>
      <c r="M37" s="545" t="s">
        <v>219</v>
      </c>
      <c r="N37" s="545" t="s">
        <v>234</v>
      </c>
      <c r="O37" s="583"/>
      <c r="P37" s="559"/>
    </row>
    <row r="38" spans="1:16" hidden="1" x14ac:dyDescent="0.3">
      <c r="A38" s="727"/>
      <c r="B38" s="728"/>
      <c r="C38" s="729"/>
      <c r="D38" s="543">
        <v>24</v>
      </c>
      <c r="E38" s="544">
        <v>934814.87</v>
      </c>
      <c r="F38" s="544">
        <v>659633.56999999995</v>
      </c>
      <c r="G38" s="544">
        <f t="shared" si="0"/>
        <v>275181.30000000005</v>
      </c>
      <c r="H38" s="545" t="s">
        <v>194</v>
      </c>
      <c r="I38" s="545"/>
      <c r="J38" s="545" t="s">
        <v>218</v>
      </c>
      <c r="K38" s="545" t="s">
        <v>219</v>
      </c>
      <c r="L38" s="545" t="s">
        <v>234</v>
      </c>
      <c r="M38" s="545" t="s">
        <v>219</v>
      </c>
      <c r="N38" s="545" t="s">
        <v>234</v>
      </c>
      <c r="O38" s="583"/>
      <c r="P38" s="559"/>
    </row>
    <row r="39" spans="1:16" hidden="1" x14ac:dyDescent="0.3">
      <c r="A39" s="727"/>
      <c r="B39" s="728"/>
      <c r="C39" s="729"/>
      <c r="D39" s="543">
        <v>26</v>
      </c>
      <c r="E39" s="544">
        <v>3821318.12</v>
      </c>
      <c r="F39" s="544">
        <v>1994064.85</v>
      </c>
      <c r="G39" s="544">
        <f t="shared" si="0"/>
        <v>1827253.27</v>
      </c>
      <c r="H39" s="545" t="s">
        <v>194</v>
      </c>
      <c r="I39" s="545"/>
      <c r="J39" s="545" t="s">
        <v>218</v>
      </c>
      <c r="K39" s="545" t="s">
        <v>219</v>
      </c>
      <c r="L39" s="545"/>
      <c r="M39" s="545" t="s">
        <v>219</v>
      </c>
      <c r="N39" s="545" t="s">
        <v>235</v>
      </c>
      <c r="O39" s="583"/>
      <c r="P39" s="559"/>
    </row>
    <row r="40" spans="1:16" hidden="1" x14ac:dyDescent="0.3">
      <c r="A40" s="727"/>
      <c r="B40" s="728"/>
      <c r="C40" s="729"/>
      <c r="D40" s="543">
        <v>27</v>
      </c>
      <c r="E40" s="544">
        <v>99444.07</v>
      </c>
      <c r="F40" s="544">
        <v>53924.74</v>
      </c>
      <c r="G40" s="544">
        <f t="shared" si="0"/>
        <v>45519.330000000009</v>
      </c>
      <c r="H40" s="545" t="s">
        <v>194</v>
      </c>
      <c r="I40" s="545"/>
      <c r="J40" s="545" t="s">
        <v>218</v>
      </c>
      <c r="K40" s="545" t="s">
        <v>219</v>
      </c>
      <c r="L40" s="545" t="s">
        <v>234</v>
      </c>
      <c r="M40" s="545"/>
      <c r="N40" s="545" t="s">
        <v>235</v>
      </c>
      <c r="O40" s="583"/>
      <c r="P40" s="559"/>
    </row>
    <row r="41" spans="1:16" hidden="1" x14ac:dyDescent="0.3">
      <c r="A41" s="727"/>
      <c r="B41" s="728"/>
      <c r="C41" s="729"/>
      <c r="D41" s="543">
        <v>28</v>
      </c>
      <c r="E41" s="544">
        <v>3571179.26</v>
      </c>
      <c r="F41" s="544">
        <v>1894071.28</v>
      </c>
      <c r="G41" s="544">
        <f t="shared" si="0"/>
        <v>1677107.9799999997</v>
      </c>
      <c r="H41" s="545" t="s">
        <v>194</v>
      </c>
      <c r="I41" s="545"/>
      <c r="J41" s="545" t="s">
        <v>218</v>
      </c>
      <c r="K41" s="545" t="s">
        <v>219</v>
      </c>
      <c r="L41" s="545"/>
      <c r="M41" s="545" t="s">
        <v>219</v>
      </c>
      <c r="N41" s="545"/>
      <c r="O41" s="583"/>
      <c r="P41" s="559"/>
    </row>
    <row r="42" spans="1:16" hidden="1" x14ac:dyDescent="0.3">
      <c r="A42" s="730" t="s">
        <v>80</v>
      </c>
      <c r="B42" s="726" t="s">
        <v>195</v>
      </c>
      <c r="C42" s="731"/>
      <c r="D42" s="534">
        <v>2</v>
      </c>
      <c r="E42" s="537">
        <v>269317.93</v>
      </c>
      <c r="F42" s="537">
        <v>142532.85999999999</v>
      </c>
      <c r="G42" s="537">
        <f t="shared" si="0"/>
        <v>126785.07</v>
      </c>
      <c r="H42" s="533" t="s">
        <v>194</v>
      </c>
      <c r="I42" s="533"/>
      <c r="J42" s="533" t="s">
        <v>218</v>
      </c>
      <c r="K42" s="533" t="s">
        <v>219</v>
      </c>
      <c r="L42" s="533" t="s">
        <v>234</v>
      </c>
      <c r="M42" s="533"/>
      <c r="N42" s="533"/>
      <c r="O42" s="582"/>
      <c r="P42" s="559"/>
    </row>
    <row r="43" spans="1:16" hidden="1" x14ac:dyDescent="0.3">
      <c r="A43" s="730"/>
      <c r="B43" s="726"/>
      <c r="C43" s="731"/>
      <c r="D43" s="534">
        <v>3</v>
      </c>
      <c r="E43" s="537">
        <v>169670.14</v>
      </c>
      <c r="F43" s="537">
        <v>77050.8</v>
      </c>
      <c r="G43" s="537">
        <f t="shared" si="0"/>
        <v>92619.340000000011</v>
      </c>
      <c r="H43" s="533" t="s">
        <v>194</v>
      </c>
      <c r="I43" s="533"/>
      <c r="J43" s="533" t="s">
        <v>218</v>
      </c>
      <c r="K43" s="533" t="s">
        <v>219</v>
      </c>
      <c r="L43" s="533"/>
      <c r="M43" s="533"/>
      <c r="N43" s="533"/>
      <c r="O43" s="582"/>
      <c r="P43" s="559"/>
    </row>
    <row r="44" spans="1:16" x14ac:dyDescent="0.3">
      <c r="A44" s="730"/>
      <c r="B44" s="726"/>
      <c r="C44" s="731"/>
      <c r="D44" s="563">
        <v>4</v>
      </c>
      <c r="E44" s="551">
        <v>5519057.6900000004</v>
      </c>
      <c r="F44" s="551">
        <v>3911446.37</v>
      </c>
      <c r="G44" s="551">
        <f t="shared" si="0"/>
        <v>1607611.3200000003</v>
      </c>
      <c r="H44" s="553" t="s">
        <v>211</v>
      </c>
      <c r="I44" s="554">
        <v>45455</v>
      </c>
      <c r="J44" s="554"/>
      <c r="K44" s="553" t="s">
        <v>219</v>
      </c>
      <c r="L44" s="553"/>
      <c r="M44" s="554" t="s">
        <v>219</v>
      </c>
      <c r="N44" s="554"/>
      <c r="O44" s="584" t="s">
        <v>248</v>
      </c>
      <c r="P44" s="562" t="s">
        <v>262</v>
      </c>
    </row>
    <row r="45" spans="1:16" s="547" customFormat="1" hidden="1" x14ac:dyDescent="0.3">
      <c r="A45" s="730"/>
      <c r="B45" s="726"/>
      <c r="C45" s="731"/>
      <c r="D45" s="534">
        <v>5</v>
      </c>
      <c r="E45" s="537">
        <v>1546476.01</v>
      </c>
      <c r="F45" s="537">
        <v>956213.03</v>
      </c>
      <c r="G45" s="537">
        <f>E45-F45</f>
        <v>590262.98</v>
      </c>
      <c r="H45" s="533" t="s">
        <v>194</v>
      </c>
      <c r="I45" s="536"/>
      <c r="J45" s="536" t="s">
        <v>230</v>
      </c>
      <c r="K45" s="533" t="s">
        <v>219</v>
      </c>
      <c r="L45" s="533" t="s">
        <v>234</v>
      </c>
      <c r="M45" s="536"/>
      <c r="N45" s="536"/>
      <c r="O45" s="582" t="s">
        <v>212</v>
      </c>
      <c r="P45" s="566"/>
    </row>
    <row r="46" spans="1:16" x14ac:dyDescent="0.3">
      <c r="A46" s="730"/>
      <c r="B46" s="726"/>
      <c r="C46" s="731"/>
      <c r="D46" s="563">
        <v>7</v>
      </c>
      <c r="E46" s="551">
        <v>120551.08</v>
      </c>
      <c r="F46" s="551">
        <v>65370.23</v>
      </c>
      <c r="G46" s="551">
        <f t="shared" si="0"/>
        <v>55180.85</v>
      </c>
      <c r="H46" s="553" t="s">
        <v>211</v>
      </c>
      <c r="I46" s="557">
        <v>45478</v>
      </c>
      <c r="J46" s="554"/>
      <c r="K46" s="554" t="s">
        <v>219</v>
      </c>
      <c r="L46" s="554" t="s">
        <v>243</v>
      </c>
      <c r="M46" s="554" t="s">
        <v>219</v>
      </c>
      <c r="N46" s="554"/>
      <c r="O46" s="600" t="s">
        <v>250</v>
      </c>
      <c r="P46" s="601"/>
    </row>
    <row r="47" spans="1:16" ht="64.8" customHeight="1" x14ac:dyDescent="0.25">
      <c r="A47" s="730"/>
      <c r="B47" s="726"/>
      <c r="C47" s="731"/>
      <c r="D47" s="594">
        <v>9</v>
      </c>
      <c r="E47" s="595">
        <v>2187971.4700000002</v>
      </c>
      <c r="F47" s="595">
        <v>1269810.6000000001</v>
      </c>
      <c r="G47" s="595">
        <f t="shared" si="0"/>
        <v>918160.87000000011</v>
      </c>
      <c r="H47" s="596" t="s">
        <v>211</v>
      </c>
      <c r="I47" s="597">
        <v>45482</v>
      </c>
      <c r="J47" s="597"/>
      <c r="K47" s="597"/>
      <c r="L47" s="597"/>
      <c r="M47" s="597" t="s">
        <v>219</v>
      </c>
      <c r="N47" s="597"/>
      <c r="O47" s="598" t="s">
        <v>249</v>
      </c>
      <c r="P47" s="599" t="s">
        <v>259</v>
      </c>
    </row>
    <row r="48" spans="1:16" ht="31.2" x14ac:dyDescent="0.3">
      <c r="A48" s="730"/>
      <c r="B48" s="726"/>
      <c r="C48" s="731"/>
      <c r="D48" s="594">
        <v>10</v>
      </c>
      <c r="E48" s="595">
        <v>990783.37</v>
      </c>
      <c r="F48" s="595">
        <v>545179.06000000006</v>
      </c>
      <c r="G48" s="595">
        <f t="shared" ref="G48:G51" si="1">E48-F48</f>
        <v>445604.30999999994</v>
      </c>
      <c r="H48" s="596" t="s">
        <v>239</v>
      </c>
      <c r="I48" s="597">
        <v>45484</v>
      </c>
      <c r="J48" s="597"/>
      <c r="K48" s="597"/>
      <c r="L48" s="597"/>
      <c r="M48" s="597" t="s">
        <v>219</v>
      </c>
      <c r="N48" s="597"/>
      <c r="O48" s="602" t="s">
        <v>251</v>
      </c>
      <c r="P48" s="603" t="s">
        <v>263</v>
      </c>
    </row>
    <row r="49" spans="1:16" x14ac:dyDescent="0.3">
      <c r="A49" s="730"/>
      <c r="B49" s="726"/>
      <c r="C49" s="731"/>
      <c r="D49" s="563">
        <v>13</v>
      </c>
      <c r="E49" s="551">
        <v>77659.3</v>
      </c>
      <c r="F49" s="551">
        <v>42094.5</v>
      </c>
      <c r="G49" s="551">
        <f t="shared" si="1"/>
        <v>35564.800000000003</v>
      </c>
      <c r="H49" s="553" t="s">
        <v>211</v>
      </c>
      <c r="I49" s="554">
        <v>45504</v>
      </c>
      <c r="J49" s="554"/>
      <c r="K49" s="553" t="s">
        <v>219</v>
      </c>
      <c r="L49" s="554" t="s">
        <v>243</v>
      </c>
      <c r="M49" s="554" t="s">
        <v>219</v>
      </c>
      <c r="N49" s="554"/>
      <c r="O49" s="600" t="s">
        <v>250</v>
      </c>
      <c r="P49" s="601"/>
    </row>
    <row r="50" spans="1:16" ht="31.2" x14ac:dyDescent="0.3">
      <c r="A50" s="730"/>
      <c r="B50" s="726"/>
      <c r="C50" s="731"/>
      <c r="D50" s="563">
        <v>14</v>
      </c>
      <c r="E50" s="551">
        <v>146546.79999999999</v>
      </c>
      <c r="F50" s="551">
        <v>78712.52</v>
      </c>
      <c r="G50" s="551">
        <f t="shared" si="1"/>
        <v>67834.279999999984</v>
      </c>
      <c r="H50" s="553" t="s">
        <v>239</v>
      </c>
      <c r="I50" s="554">
        <v>45490</v>
      </c>
      <c r="J50" s="554"/>
      <c r="K50" s="554" t="s">
        <v>219</v>
      </c>
      <c r="L50" s="554"/>
      <c r="M50" s="554" t="s">
        <v>219</v>
      </c>
      <c r="N50" s="554"/>
      <c r="O50" s="608" t="s">
        <v>252</v>
      </c>
      <c r="P50" s="559"/>
    </row>
    <row r="51" spans="1:16" ht="62.4" x14ac:dyDescent="0.25">
      <c r="A51" s="730"/>
      <c r="B51" s="726"/>
      <c r="C51" s="731"/>
      <c r="D51" s="563">
        <v>15</v>
      </c>
      <c r="E51" s="551">
        <v>67589.570000000007</v>
      </c>
      <c r="F51" s="551">
        <v>34222.284</v>
      </c>
      <c r="G51" s="551">
        <f t="shared" si="1"/>
        <v>33367.286000000007</v>
      </c>
      <c r="H51" s="553" t="s">
        <v>211</v>
      </c>
      <c r="I51" s="554">
        <v>45506</v>
      </c>
      <c r="J51" s="554"/>
      <c r="K51" s="554"/>
      <c r="L51" s="554"/>
      <c r="M51" s="554" t="s">
        <v>219</v>
      </c>
      <c r="N51" s="554"/>
      <c r="O51" s="591" t="s">
        <v>253</v>
      </c>
      <c r="P51" s="615" t="s">
        <v>258</v>
      </c>
    </row>
    <row r="52" spans="1:16" x14ac:dyDescent="0.3">
      <c r="A52" s="730"/>
      <c r="B52" s="726"/>
      <c r="C52" s="731"/>
      <c r="D52" s="563">
        <v>17</v>
      </c>
      <c r="E52" s="551">
        <v>49283.53</v>
      </c>
      <c r="F52" s="551">
        <v>26724.65</v>
      </c>
      <c r="G52" s="551">
        <f>E52-F52</f>
        <v>22558.879999999997</v>
      </c>
      <c r="H52" s="553" t="s">
        <v>211</v>
      </c>
      <c r="I52" s="554">
        <v>45504</v>
      </c>
      <c r="J52" s="554"/>
      <c r="K52" s="554" t="s">
        <v>219</v>
      </c>
      <c r="L52" s="554" t="s">
        <v>243</v>
      </c>
      <c r="M52" s="554" t="s">
        <v>219</v>
      </c>
      <c r="N52" s="554"/>
      <c r="O52" s="600" t="s">
        <v>250</v>
      </c>
      <c r="P52" s="601"/>
    </row>
    <row r="53" spans="1:16" x14ac:dyDescent="0.3">
      <c r="A53" s="730"/>
      <c r="B53" s="726"/>
      <c r="C53" s="731"/>
      <c r="D53" s="563">
        <v>18</v>
      </c>
      <c r="E53" s="551">
        <v>62344.46</v>
      </c>
      <c r="F53" s="551"/>
      <c r="G53" s="551"/>
      <c r="H53" s="553"/>
      <c r="I53" s="554">
        <v>45507</v>
      </c>
      <c r="J53" s="554"/>
      <c r="K53" s="553" t="s">
        <v>219</v>
      </c>
      <c r="L53" s="554" t="s">
        <v>243</v>
      </c>
      <c r="M53" s="554" t="s">
        <v>219</v>
      </c>
      <c r="N53" s="554"/>
      <c r="O53" s="600" t="s">
        <v>250</v>
      </c>
      <c r="P53" s="601"/>
    </row>
    <row r="54" spans="1:16" ht="62.4" hidden="1" x14ac:dyDescent="0.3">
      <c r="A54" s="727" t="s">
        <v>69</v>
      </c>
      <c r="B54" s="728" t="s">
        <v>196</v>
      </c>
      <c r="C54" s="729">
        <v>1479619.45</v>
      </c>
      <c r="D54" s="543">
        <v>1</v>
      </c>
      <c r="E54" s="544">
        <v>522833.08</v>
      </c>
      <c r="F54" s="544">
        <v>5679.92</v>
      </c>
      <c r="G54" s="544">
        <f t="shared" si="0"/>
        <v>517153.16000000003</v>
      </c>
      <c r="H54" s="545" t="s">
        <v>194</v>
      </c>
      <c r="I54" s="567"/>
      <c r="J54" s="545" t="s">
        <v>218</v>
      </c>
      <c r="K54" s="545" t="s">
        <v>219</v>
      </c>
      <c r="L54" s="545" t="s">
        <v>225</v>
      </c>
      <c r="M54" s="567"/>
      <c r="N54" s="567"/>
      <c r="O54" s="583"/>
      <c r="P54" s="559"/>
    </row>
    <row r="55" spans="1:16" ht="62.4" hidden="1" x14ac:dyDescent="0.3">
      <c r="A55" s="727"/>
      <c r="B55" s="728"/>
      <c r="C55" s="729"/>
      <c r="D55" s="543">
        <v>2</v>
      </c>
      <c r="E55" s="544">
        <v>295471.78000000003</v>
      </c>
      <c r="F55" s="544">
        <v>2825.02</v>
      </c>
      <c r="G55" s="544">
        <f t="shared" si="0"/>
        <v>292646.76</v>
      </c>
      <c r="H55" s="545" t="s">
        <v>194</v>
      </c>
      <c r="I55" s="567"/>
      <c r="J55" s="545" t="s">
        <v>218</v>
      </c>
      <c r="K55" s="545" t="s">
        <v>219</v>
      </c>
      <c r="L55" s="545" t="s">
        <v>225</v>
      </c>
      <c r="M55" s="567"/>
      <c r="N55" s="567"/>
      <c r="O55" s="583"/>
      <c r="P55" s="559"/>
    </row>
    <row r="56" spans="1:16" ht="62.4" hidden="1" x14ac:dyDescent="0.3">
      <c r="A56" s="727"/>
      <c r="B56" s="728"/>
      <c r="C56" s="729"/>
      <c r="D56" s="543">
        <v>3</v>
      </c>
      <c r="E56" s="544">
        <v>246436.9</v>
      </c>
      <c r="F56" s="544"/>
      <c r="G56" s="544">
        <f t="shared" si="0"/>
        <v>246436.9</v>
      </c>
      <c r="H56" s="545" t="s">
        <v>194</v>
      </c>
      <c r="I56" s="567"/>
      <c r="J56" s="545" t="s">
        <v>218</v>
      </c>
      <c r="K56" s="545" t="s">
        <v>219</v>
      </c>
      <c r="L56" s="545" t="s">
        <v>225</v>
      </c>
      <c r="M56" s="567"/>
      <c r="N56" s="567"/>
      <c r="O56" s="583"/>
      <c r="P56" s="559"/>
    </row>
    <row r="57" spans="1:16" hidden="1" x14ac:dyDescent="0.3">
      <c r="A57" s="727"/>
      <c r="B57" s="728"/>
      <c r="C57" s="729"/>
      <c r="D57" s="543">
        <v>4</v>
      </c>
      <c r="E57" s="544">
        <v>497995.15</v>
      </c>
      <c r="F57" s="544">
        <v>62358.89</v>
      </c>
      <c r="G57" s="544">
        <f t="shared" si="0"/>
        <v>435636.26</v>
      </c>
      <c r="H57" s="545" t="s">
        <v>194</v>
      </c>
      <c r="I57" s="567"/>
      <c r="J57" s="545" t="s">
        <v>218</v>
      </c>
      <c r="K57" s="545" t="s">
        <v>219</v>
      </c>
      <c r="L57" s="545" t="s">
        <v>227</v>
      </c>
      <c r="M57" s="567"/>
      <c r="N57" s="567"/>
      <c r="O57" s="583"/>
      <c r="P57" s="559"/>
    </row>
    <row r="58" spans="1:16" hidden="1" x14ac:dyDescent="0.3">
      <c r="A58" s="727"/>
      <c r="B58" s="728"/>
      <c r="C58" s="729"/>
      <c r="D58" s="543">
        <v>5</v>
      </c>
      <c r="E58" s="544">
        <v>487575.25</v>
      </c>
      <c r="F58" s="544">
        <v>27245.59</v>
      </c>
      <c r="G58" s="544">
        <f t="shared" si="0"/>
        <v>460329.66</v>
      </c>
      <c r="H58" s="545" t="s">
        <v>194</v>
      </c>
      <c r="I58" s="567"/>
      <c r="J58" s="545" t="s">
        <v>218</v>
      </c>
      <c r="K58" s="545" t="s">
        <v>219</v>
      </c>
      <c r="L58" s="545" t="s">
        <v>226</v>
      </c>
      <c r="M58" s="567"/>
      <c r="N58" s="567"/>
      <c r="O58" s="583"/>
      <c r="P58" s="559"/>
    </row>
    <row r="59" spans="1:16" ht="31.2" hidden="1" x14ac:dyDescent="0.3">
      <c r="A59" s="727"/>
      <c r="B59" s="728"/>
      <c r="C59" s="729"/>
      <c r="D59" s="543">
        <v>6</v>
      </c>
      <c r="E59" s="544">
        <v>1996.56</v>
      </c>
      <c r="F59" s="544"/>
      <c r="G59" s="544">
        <f t="shared" si="0"/>
        <v>1996.56</v>
      </c>
      <c r="H59" s="545" t="s">
        <v>194</v>
      </c>
      <c r="I59" s="567"/>
      <c r="J59" s="545" t="s">
        <v>230</v>
      </c>
      <c r="K59" s="545" t="s">
        <v>219</v>
      </c>
      <c r="L59" s="545" t="s">
        <v>231</v>
      </c>
      <c r="M59" s="567"/>
      <c r="N59" s="567"/>
      <c r="O59" s="583"/>
      <c r="P59" s="559"/>
    </row>
    <row r="60" spans="1:16" hidden="1" x14ac:dyDescent="0.3">
      <c r="A60" s="727"/>
      <c r="B60" s="728"/>
      <c r="C60" s="729"/>
      <c r="D60" s="543">
        <v>7</v>
      </c>
      <c r="E60" s="544">
        <v>188323.6</v>
      </c>
      <c r="F60" s="544">
        <v>8596.7000000000007</v>
      </c>
      <c r="G60" s="544">
        <f t="shared" si="0"/>
        <v>179726.9</v>
      </c>
      <c r="H60" s="545" t="s">
        <v>194</v>
      </c>
      <c r="I60" s="568"/>
      <c r="J60" s="545" t="s">
        <v>218</v>
      </c>
      <c r="K60" s="545" t="s">
        <v>219</v>
      </c>
      <c r="L60" s="545" t="s">
        <v>234</v>
      </c>
      <c r="M60" s="545"/>
      <c r="N60" s="545"/>
      <c r="O60" s="583"/>
      <c r="P60" s="559"/>
    </row>
    <row r="61" spans="1:16" hidden="1" x14ac:dyDescent="0.3">
      <c r="A61" s="727"/>
      <c r="B61" s="728"/>
      <c r="C61" s="729"/>
      <c r="D61" s="543">
        <v>8</v>
      </c>
      <c r="E61" s="544">
        <v>56042.29</v>
      </c>
      <c r="F61" s="544"/>
      <c r="G61" s="544">
        <f t="shared" ref="G61:G62" si="2">E61-F61</f>
        <v>56042.29</v>
      </c>
      <c r="H61" s="545" t="s">
        <v>194</v>
      </c>
      <c r="I61" s="569">
        <v>45482</v>
      </c>
      <c r="J61" s="569" t="s">
        <v>230</v>
      </c>
      <c r="K61" s="545" t="s">
        <v>219</v>
      </c>
      <c r="L61" s="545" t="s">
        <v>234</v>
      </c>
      <c r="M61" s="569"/>
      <c r="N61" s="569"/>
      <c r="O61" s="583"/>
      <c r="P61" s="559"/>
    </row>
    <row r="62" spans="1:16" x14ac:dyDescent="0.3">
      <c r="A62" s="727"/>
      <c r="B62" s="728"/>
      <c r="C62" s="729"/>
      <c r="D62" s="563">
        <v>9</v>
      </c>
      <c r="E62" s="551">
        <v>144257.29</v>
      </c>
      <c r="F62" s="551"/>
      <c r="G62" s="551">
        <f t="shared" si="2"/>
        <v>144257.29</v>
      </c>
      <c r="H62" s="551" t="s">
        <v>211</v>
      </c>
      <c r="I62" s="554">
        <v>45491</v>
      </c>
      <c r="J62" s="554"/>
      <c r="K62" s="553" t="s">
        <v>219</v>
      </c>
      <c r="L62" s="553"/>
      <c r="M62" s="553" t="s">
        <v>219</v>
      </c>
      <c r="N62" s="554"/>
      <c r="O62" s="591" t="s">
        <v>240</v>
      </c>
      <c r="P62" s="601"/>
    </row>
    <row r="63" spans="1:16" x14ac:dyDescent="0.3">
      <c r="A63" s="727"/>
      <c r="B63" s="728"/>
      <c r="C63" s="729"/>
      <c r="D63" s="543">
        <v>10</v>
      </c>
      <c r="E63" s="544">
        <v>230241.44</v>
      </c>
      <c r="F63" s="544">
        <v>10981.94</v>
      </c>
      <c r="G63" s="544">
        <f t="shared" si="0"/>
        <v>219259.5</v>
      </c>
      <c r="H63" s="544" t="s">
        <v>211</v>
      </c>
      <c r="I63" s="569">
        <v>45491</v>
      </c>
      <c r="J63" s="569"/>
      <c r="K63" s="545"/>
      <c r="L63" s="545"/>
      <c r="M63" s="569"/>
      <c r="N63" s="569"/>
      <c r="O63" s="591" t="s">
        <v>240</v>
      </c>
      <c r="P63" s="601"/>
    </row>
    <row r="64" spans="1:16" s="547" customFormat="1" x14ac:dyDescent="0.25">
      <c r="A64" s="570" t="s">
        <v>70</v>
      </c>
      <c r="B64" s="574" t="s">
        <v>197</v>
      </c>
      <c r="C64" s="556">
        <v>98309.75</v>
      </c>
      <c r="D64" s="609">
        <v>1</v>
      </c>
      <c r="E64" s="610">
        <v>98309.75</v>
      </c>
      <c r="F64" s="610">
        <v>56127.67</v>
      </c>
      <c r="G64" s="610">
        <f t="shared" si="0"/>
        <v>42182.080000000002</v>
      </c>
      <c r="H64" s="611" t="s">
        <v>211</v>
      </c>
      <c r="I64" s="612">
        <v>45436</v>
      </c>
      <c r="J64" s="612"/>
      <c r="K64" s="612"/>
      <c r="L64" s="612"/>
      <c r="M64" s="612" t="s">
        <v>219</v>
      </c>
      <c r="N64" s="612"/>
      <c r="O64" s="613" t="s">
        <v>254</v>
      </c>
      <c r="P64" s="599" t="s">
        <v>247</v>
      </c>
    </row>
    <row r="65" spans="1:16" s="547" customFormat="1" hidden="1" x14ac:dyDescent="0.3">
      <c r="A65" s="571" t="s">
        <v>71</v>
      </c>
      <c r="B65" s="580" t="s">
        <v>198</v>
      </c>
      <c r="C65" s="572">
        <v>117953.48</v>
      </c>
      <c r="D65" s="543">
        <v>1</v>
      </c>
      <c r="E65" s="561">
        <v>117953.48</v>
      </c>
      <c r="F65" s="544">
        <v>47269.38</v>
      </c>
      <c r="G65" s="544">
        <f>E65-F65</f>
        <v>70684.100000000006</v>
      </c>
      <c r="H65" s="545" t="s">
        <v>194</v>
      </c>
      <c r="I65" s="545"/>
      <c r="J65" s="545" t="s">
        <v>218</v>
      </c>
      <c r="K65" s="545" t="s">
        <v>219</v>
      </c>
      <c r="L65" s="545" t="s">
        <v>226</v>
      </c>
      <c r="M65" s="545"/>
      <c r="N65" s="545"/>
      <c r="O65" s="583"/>
      <c r="P65" s="566"/>
    </row>
    <row r="66" spans="1:16" s="547" customFormat="1" ht="31.2" x14ac:dyDescent="0.3">
      <c r="A66" s="616" t="s">
        <v>72</v>
      </c>
      <c r="B66" s="617" t="s">
        <v>199</v>
      </c>
      <c r="C66" s="618">
        <v>314090.69</v>
      </c>
      <c r="D66" s="619"/>
      <c r="E66" s="620"/>
      <c r="F66" s="620"/>
      <c r="G66" s="620">
        <v>18137.18</v>
      </c>
      <c r="H66" s="621"/>
      <c r="I66" s="621"/>
      <c r="J66" s="621"/>
      <c r="K66" s="621"/>
      <c r="L66" s="621"/>
      <c r="M66" s="621"/>
      <c r="N66" s="621"/>
      <c r="O66" s="622" t="s">
        <v>255</v>
      </c>
      <c r="P66" s="623"/>
    </row>
    <row r="67" spans="1:16" s="547" customFormat="1" ht="31.2" hidden="1" x14ac:dyDescent="0.3">
      <c r="A67" s="727" t="s">
        <v>73</v>
      </c>
      <c r="B67" s="728" t="s">
        <v>196</v>
      </c>
      <c r="C67" s="729">
        <v>925268.22</v>
      </c>
      <c r="D67" s="543">
        <v>1</v>
      </c>
      <c r="E67" s="544">
        <v>462990.42</v>
      </c>
      <c r="F67" s="544">
        <v>26515.61</v>
      </c>
      <c r="G67" s="544">
        <f t="shared" si="0"/>
        <v>436474.81</v>
      </c>
      <c r="H67" s="545" t="s">
        <v>194</v>
      </c>
      <c r="I67" s="545"/>
      <c r="J67" s="545" t="s">
        <v>230</v>
      </c>
      <c r="K67" s="545" t="s">
        <v>219</v>
      </c>
      <c r="L67" s="545" t="s">
        <v>231</v>
      </c>
      <c r="M67" s="545"/>
      <c r="N67" s="545"/>
      <c r="O67" s="583"/>
      <c r="P67" s="566"/>
    </row>
    <row r="68" spans="1:16" s="547" customFormat="1" hidden="1" x14ac:dyDescent="0.3">
      <c r="A68" s="727"/>
      <c r="B68" s="728"/>
      <c r="C68" s="729"/>
      <c r="D68" s="543">
        <v>2</v>
      </c>
      <c r="E68" s="544">
        <v>413678.99</v>
      </c>
      <c r="F68" s="544">
        <v>24709.37</v>
      </c>
      <c r="G68" s="544">
        <f t="shared" si="0"/>
        <v>388969.62</v>
      </c>
      <c r="H68" s="545" t="s">
        <v>194</v>
      </c>
      <c r="I68" s="545"/>
      <c r="J68" s="545" t="s">
        <v>218</v>
      </c>
      <c r="K68" s="545" t="s">
        <v>219</v>
      </c>
      <c r="L68" s="545" t="s">
        <v>220</v>
      </c>
      <c r="M68" s="545"/>
      <c r="N68" s="545"/>
      <c r="O68" s="583"/>
      <c r="P68" s="566"/>
    </row>
    <row r="69" spans="1:16" s="547" customFormat="1" hidden="1" x14ac:dyDescent="0.3">
      <c r="A69" s="730" t="s">
        <v>74</v>
      </c>
      <c r="B69" s="726" t="s">
        <v>200</v>
      </c>
      <c r="C69" s="731">
        <v>1907190.76</v>
      </c>
      <c r="D69" s="534">
        <v>1</v>
      </c>
      <c r="E69" s="537">
        <v>605497.75</v>
      </c>
      <c r="F69" s="537">
        <v>440574.54</v>
      </c>
      <c r="G69" s="537">
        <f t="shared" si="0"/>
        <v>164923.21000000002</v>
      </c>
      <c r="H69" s="533" t="s">
        <v>194</v>
      </c>
      <c r="I69" s="533"/>
      <c r="J69" s="533" t="s">
        <v>218</v>
      </c>
      <c r="K69" s="533" t="s">
        <v>219</v>
      </c>
      <c r="L69" s="533" t="s">
        <v>220</v>
      </c>
      <c r="M69" s="533"/>
      <c r="N69" s="533"/>
      <c r="O69" s="582"/>
      <c r="P69" s="566"/>
    </row>
    <row r="70" spans="1:16" s="547" customFormat="1" x14ac:dyDescent="0.3">
      <c r="A70" s="730"/>
      <c r="B70" s="726"/>
      <c r="C70" s="731"/>
      <c r="D70" s="563">
        <v>2</v>
      </c>
      <c r="E70" s="551">
        <v>224442.72</v>
      </c>
      <c r="F70" s="551">
        <v>163309.9</v>
      </c>
      <c r="G70" s="551">
        <f t="shared" si="0"/>
        <v>61132.820000000007</v>
      </c>
      <c r="H70" s="553" t="s">
        <v>211</v>
      </c>
      <c r="I70" s="554">
        <v>45499</v>
      </c>
      <c r="J70" s="554"/>
      <c r="K70" s="553" t="s">
        <v>219</v>
      </c>
      <c r="L70" s="554" t="s">
        <v>257</v>
      </c>
      <c r="M70" s="553" t="s">
        <v>219</v>
      </c>
      <c r="N70" s="554"/>
      <c r="O70" s="591" t="s">
        <v>256</v>
      </c>
      <c r="P70" s="601"/>
    </row>
    <row r="71" spans="1:16" s="547" customFormat="1" ht="31.2" x14ac:dyDescent="0.3">
      <c r="A71" s="730"/>
      <c r="B71" s="726"/>
      <c r="C71" s="731"/>
      <c r="D71" s="563">
        <v>3</v>
      </c>
      <c r="E71" s="551">
        <v>303821.78000000003</v>
      </c>
      <c r="F71" s="551">
        <v>221068.2</v>
      </c>
      <c r="G71" s="551">
        <f t="shared" ref="G71" si="3">E71-F71</f>
        <v>82753.580000000016</v>
      </c>
      <c r="H71" s="553" t="s">
        <v>211</v>
      </c>
      <c r="I71" s="554">
        <v>45505</v>
      </c>
      <c r="J71" s="554"/>
      <c r="K71" s="553" t="s">
        <v>219</v>
      </c>
      <c r="L71" s="554" t="s">
        <v>243</v>
      </c>
      <c r="M71" s="553" t="s">
        <v>219</v>
      </c>
      <c r="N71" s="554"/>
      <c r="O71" s="590" t="s">
        <v>264</v>
      </c>
      <c r="P71" s="589"/>
    </row>
    <row r="72" spans="1:16" s="547" customFormat="1" x14ac:dyDescent="0.25">
      <c r="A72" s="730"/>
      <c r="B72" s="726"/>
      <c r="C72" s="731"/>
      <c r="D72" s="534">
        <v>4</v>
      </c>
      <c r="E72" s="538">
        <v>466985.66</v>
      </c>
      <c r="F72" s="538">
        <v>339789.88</v>
      </c>
      <c r="G72" s="538">
        <f>E72-F72</f>
        <v>127195.77999999997</v>
      </c>
      <c r="H72" s="535"/>
      <c r="I72" s="536"/>
      <c r="J72" s="536"/>
      <c r="K72" s="536"/>
      <c r="L72" s="536"/>
      <c r="M72" s="536"/>
      <c r="N72" s="536"/>
      <c r="O72" s="582" t="s">
        <v>241</v>
      </c>
      <c r="P72" s="723"/>
    </row>
    <row r="73" spans="1:16" s="547" customFormat="1" ht="36" customHeight="1" x14ac:dyDescent="0.25">
      <c r="A73" s="730"/>
      <c r="B73" s="726"/>
      <c r="C73" s="731"/>
      <c r="D73" s="534">
        <v>5</v>
      </c>
      <c r="E73" s="538">
        <v>373588.53</v>
      </c>
      <c r="F73" s="538">
        <v>271831.90000000002</v>
      </c>
      <c r="G73" s="538">
        <f>E73-F73</f>
        <v>101756.63</v>
      </c>
      <c r="H73" s="535"/>
      <c r="I73" s="536"/>
      <c r="J73" s="536"/>
      <c r="K73" s="536"/>
      <c r="L73" s="536"/>
      <c r="M73" s="536"/>
      <c r="N73" s="536"/>
      <c r="O73" s="582" t="s">
        <v>241</v>
      </c>
      <c r="P73" s="723"/>
    </row>
    <row r="74" spans="1:16" s="547" customFormat="1" ht="14.4" hidden="1" customHeight="1" x14ac:dyDescent="0.3">
      <c r="A74" s="727" t="s">
        <v>77</v>
      </c>
      <c r="B74" s="728" t="s">
        <v>201</v>
      </c>
      <c r="C74" s="729">
        <v>554589.34</v>
      </c>
      <c r="D74" s="543">
        <v>1</v>
      </c>
      <c r="E74" s="544">
        <v>233757.78</v>
      </c>
      <c r="F74" s="544">
        <v>8682.01</v>
      </c>
      <c r="G74" s="544">
        <f t="shared" si="0"/>
        <v>225075.77</v>
      </c>
      <c r="H74" s="545" t="s">
        <v>194</v>
      </c>
      <c r="I74" s="545"/>
      <c r="J74" s="545" t="s">
        <v>218</v>
      </c>
      <c r="K74" s="545" t="s">
        <v>219</v>
      </c>
      <c r="L74" s="545" t="s">
        <v>234</v>
      </c>
      <c r="M74" s="545"/>
      <c r="N74" s="545"/>
      <c r="O74" s="583"/>
      <c r="P74" s="566"/>
    </row>
    <row r="75" spans="1:16" s="547" customFormat="1" hidden="1" x14ac:dyDescent="0.3">
      <c r="A75" s="727"/>
      <c r="B75" s="728"/>
      <c r="C75" s="729"/>
      <c r="D75" s="543">
        <v>2</v>
      </c>
      <c r="E75" s="544">
        <v>143598.18</v>
      </c>
      <c r="F75" s="544">
        <v>7947.46</v>
      </c>
      <c r="G75" s="544">
        <f t="shared" ref="G75" si="4">E75-F75</f>
        <v>135650.72</v>
      </c>
      <c r="H75" s="545" t="s">
        <v>236</v>
      </c>
      <c r="I75" s="569">
        <v>45470</v>
      </c>
      <c r="J75" s="545" t="s">
        <v>218</v>
      </c>
      <c r="K75" s="545" t="s">
        <v>219</v>
      </c>
      <c r="L75" s="569"/>
      <c r="M75" s="569"/>
      <c r="N75" s="569"/>
      <c r="O75" s="583"/>
      <c r="P75" s="566"/>
    </row>
    <row r="76" spans="1:16" s="547" customFormat="1" x14ac:dyDescent="0.3">
      <c r="A76" s="727"/>
      <c r="B76" s="728"/>
      <c r="C76" s="729"/>
      <c r="D76" s="563">
        <v>3</v>
      </c>
      <c r="E76" s="551">
        <v>112681.46</v>
      </c>
      <c r="F76" s="551"/>
      <c r="G76" s="551">
        <f>E76-F76</f>
        <v>112681.46</v>
      </c>
      <c r="H76" s="553" t="s">
        <v>211</v>
      </c>
      <c r="I76" s="554">
        <v>45491</v>
      </c>
      <c r="J76" s="553"/>
      <c r="K76" s="553" t="s">
        <v>219</v>
      </c>
      <c r="L76" s="554"/>
      <c r="M76" s="553" t="s">
        <v>219</v>
      </c>
      <c r="N76" s="554"/>
      <c r="O76" s="582" t="s">
        <v>240</v>
      </c>
      <c r="P76" s="566"/>
    </row>
    <row r="77" spans="1:16" s="547" customFormat="1" x14ac:dyDescent="0.3">
      <c r="A77" s="727"/>
      <c r="B77" s="728"/>
      <c r="C77" s="729"/>
      <c r="D77" s="534">
        <v>4</v>
      </c>
      <c r="E77" s="537">
        <v>17776.28</v>
      </c>
      <c r="F77" s="537">
        <v>0</v>
      </c>
      <c r="G77" s="537">
        <f t="shared" si="0"/>
        <v>17776.28</v>
      </c>
      <c r="H77" s="533" t="s">
        <v>211</v>
      </c>
      <c r="I77" s="536">
        <v>45491</v>
      </c>
      <c r="J77" s="533"/>
      <c r="K77" s="533"/>
      <c r="L77" s="536"/>
      <c r="M77" s="536"/>
      <c r="N77" s="536"/>
      <c r="O77" s="582" t="s">
        <v>240</v>
      </c>
      <c r="P77" s="566"/>
    </row>
    <row r="78" spans="1:16" s="547" customFormat="1" hidden="1" x14ac:dyDescent="0.3">
      <c r="A78" s="730" t="s">
        <v>78</v>
      </c>
      <c r="B78" s="726" t="s">
        <v>202</v>
      </c>
      <c r="C78" s="731">
        <v>205250.65</v>
      </c>
      <c r="D78" s="534">
        <v>1</v>
      </c>
      <c r="E78" s="537">
        <v>36249.65</v>
      </c>
      <c r="F78" s="537">
        <v>15042.564</v>
      </c>
      <c r="G78" s="537">
        <f t="shared" si="0"/>
        <v>21207.086000000003</v>
      </c>
      <c r="H78" s="533" t="s">
        <v>194</v>
      </c>
      <c r="I78" s="533"/>
      <c r="J78" s="533" t="s">
        <v>218</v>
      </c>
      <c r="K78" s="533" t="s">
        <v>219</v>
      </c>
      <c r="L78" s="533"/>
      <c r="M78" s="533"/>
      <c r="N78" s="533"/>
      <c r="O78" s="582"/>
      <c r="P78" s="566"/>
    </row>
    <row r="79" spans="1:16" s="547" customFormat="1" hidden="1" x14ac:dyDescent="0.3">
      <c r="A79" s="730"/>
      <c r="B79" s="726"/>
      <c r="C79" s="731"/>
      <c r="D79" s="534">
        <v>2</v>
      </c>
      <c r="E79" s="537">
        <v>29584.9</v>
      </c>
      <c r="F79" s="537">
        <v>14808.288</v>
      </c>
      <c r="G79" s="537">
        <f t="shared" si="0"/>
        <v>14776.612000000001</v>
      </c>
      <c r="H79" s="533" t="s">
        <v>194</v>
      </c>
      <c r="I79" s="533"/>
      <c r="J79" s="533" t="s">
        <v>218</v>
      </c>
      <c r="K79" s="533" t="s">
        <v>219</v>
      </c>
      <c r="L79" s="533"/>
      <c r="M79" s="533"/>
      <c r="N79" s="533"/>
      <c r="O79" s="582"/>
      <c r="P79" s="566"/>
    </row>
    <row r="80" spans="1:16" s="547" customFormat="1" ht="31.2" hidden="1" x14ac:dyDescent="0.3">
      <c r="A80" s="730"/>
      <c r="B80" s="726"/>
      <c r="C80" s="731"/>
      <c r="D80" s="534">
        <v>3</v>
      </c>
      <c r="E80" s="537">
        <v>120717.72</v>
      </c>
      <c r="F80" s="537">
        <v>95512.97</v>
      </c>
      <c r="G80" s="537">
        <f t="shared" si="0"/>
        <v>25204.75</v>
      </c>
      <c r="H80" s="533" t="s">
        <v>194</v>
      </c>
      <c r="I80" s="536">
        <v>45481</v>
      </c>
      <c r="J80" s="536" t="s">
        <v>230</v>
      </c>
      <c r="K80" s="533" t="s">
        <v>219</v>
      </c>
      <c r="L80" s="533" t="s">
        <v>237</v>
      </c>
      <c r="M80" s="536"/>
      <c r="N80" s="536"/>
      <c r="O80" s="582"/>
      <c r="P80" s="566"/>
    </row>
    <row r="81" spans="1:16" s="547" customFormat="1" ht="69" hidden="1" customHeight="1" thickBot="1" x14ac:dyDescent="0.35">
      <c r="A81" s="571" t="s">
        <v>76</v>
      </c>
      <c r="B81" s="580" t="s">
        <v>203</v>
      </c>
      <c r="C81" s="544">
        <v>174395.3</v>
      </c>
      <c r="D81" s="543">
        <v>1</v>
      </c>
      <c r="E81" s="544">
        <v>174395.3</v>
      </c>
      <c r="F81" s="544">
        <v>46495.02</v>
      </c>
      <c r="G81" s="544">
        <f t="shared" si="0"/>
        <v>127900.28</v>
      </c>
      <c r="H81" s="545" t="s">
        <v>194</v>
      </c>
      <c r="I81" s="569"/>
      <c r="J81" s="569" t="s">
        <v>230</v>
      </c>
      <c r="K81" s="545" t="s">
        <v>219</v>
      </c>
      <c r="L81" s="545" t="s">
        <v>234</v>
      </c>
      <c r="M81" s="569"/>
      <c r="N81" s="569"/>
      <c r="O81" s="583"/>
      <c r="P81" s="566"/>
    </row>
    <row r="82" spans="1:16" s="547" customFormat="1" hidden="1" x14ac:dyDescent="0.3">
      <c r="A82" s="570" t="s">
        <v>79</v>
      </c>
      <c r="B82" s="574" t="s">
        <v>204</v>
      </c>
      <c r="C82" s="556">
        <v>67237.36</v>
      </c>
      <c r="D82" s="534">
        <v>1</v>
      </c>
      <c r="E82" s="537">
        <v>63923.6</v>
      </c>
      <c r="F82" s="537">
        <v>27543.26</v>
      </c>
      <c r="G82" s="537">
        <f t="shared" si="0"/>
        <v>36380.339999999997</v>
      </c>
      <c r="H82" s="533" t="s">
        <v>236</v>
      </c>
      <c r="I82" s="536">
        <v>45477</v>
      </c>
      <c r="J82" s="533" t="s">
        <v>218</v>
      </c>
      <c r="K82" s="533" t="s">
        <v>219</v>
      </c>
      <c r="L82" s="533" t="s">
        <v>220</v>
      </c>
      <c r="M82" s="536"/>
      <c r="N82" s="536"/>
      <c r="O82" s="582"/>
      <c r="P82" s="566"/>
    </row>
    <row r="83" spans="1:16" s="547" customFormat="1" hidden="1" x14ac:dyDescent="0.3">
      <c r="A83" s="727" t="s">
        <v>75</v>
      </c>
      <c r="B83" s="728" t="s">
        <v>205</v>
      </c>
      <c r="C83" s="729">
        <v>428355.98</v>
      </c>
      <c r="D83" s="543">
        <v>1</v>
      </c>
      <c r="E83" s="544">
        <v>282271.15999999997</v>
      </c>
      <c r="F83" s="544">
        <v>14016.42</v>
      </c>
      <c r="G83" s="544">
        <f t="shared" si="0"/>
        <v>268254.74</v>
      </c>
      <c r="H83" s="545" t="s">
        <v>194</v>
      </c>
      <c r="I83" s="545"/>
      <c r="J83" s="545" t="s">
        <v>218</v>
      </c>
      <c r="K83" s="545" t="s">
        <v>219</v>
      </c>
      <c r="L83" s="545" t="s">
        <v>220</v>
      </c>
      <c r="M83" s="545"/>
      <c r="N83" s="545"/>
      <c r="O83" s="583"/>
      <c r="P83" s="566"/>
    </row>
    <row r="84" spans="1:16" s="547" customFormat="1" ht="34.200000000000003" hidden="1" customHeight="1" thickBot="1" x14ac:dyDescent="0.35">
      <c r="A84" s="727"/>
      <c r="B84" s="728"/>
      <c r="C84" s="729"/>
      <c r="D84" s="543">
        <v>2</v>
      </c>
      <c r="E84" s="544">
        <v>139618.48000000001</v>
      </c>
      <c r="F84" s="544">
        <v>5490.97</v>
      </c>
      <c r="G84" s="544">
        <f t="shared" si="0"/>
        <v>134127.51</v>
      </c>
      <c r="H84" s="545" t="s">
        <v>236</v>
      </c>
      <c r="I84" s="569">
        <v>45471</v>
      </c>
      <c r="J84" s="545" t="s">
        <v>218</v>
      </c>
      <c r="K84" s="545" t="s">
        <v>219</v>
      </c>
      <c r="L84" s="569"/>
      <c r="M84" s="569"/>
      <c r="N84" s="569"/>
      <c r="O84" s="583"/>
      <c r="P84" s="566"/>
    </row>
    <row r="85" spans="1:16" s="547" customFormat="1" ht="31.2" hidden="1" x14ac:dyDescent="0.3">
      <c r="A85" s="730" t="s">
        <v>207</v>
      </c>
      <c r="B85" s="726" t="s">
        <v>206</v>
      </c>
      <c r="C85" s="731">
        <v>11216410.33</v>
      </c>
      <c r="D85" s="534">
        <v>1</v>
      </c>
      <c r="E85" s="537">
        <v>4613140.4800000004</v>
      </c>
      <c r="F85" s="537">
        <v>3179903.08</v>
      </c>
      <c r="G85" s="537">
        <f t="shared" si="0"/>
        <v>1433237.4000000004</v>
      </c>
      <c r="H85" s="533" t="s">
        <v>194</v>
      </c>
      <c r="I85" s="533"/>
      <c r="J85" s="533" t="s">
        <v>230</v>
      </c>
      <c r="K85" s="533" t="s">
        <v>219</v>
      </c>
      <c r="L85" s="533" t="s">
        <v>231</v>
      </c>
      <c r="M85" s="533"/>
      <c r="N85" s="533"/>
      <c r="O85" s="582"/>
      <c r="P85" s="566"/>
    </row>
    <row r="86" spans="1:16" s="307" customFormat="1" hidden="1" x14ac:dyDescent="0.25">
      <c r="A86" s="730"/>
      <c r="B86" s="726"/>
      <c r="C86" s="731"/>
      <c r="D86" s="534">
        <v>2</v>
      </c>
      <c r="E86" s="537">
        <v>648268.93000000005</v>
      </c>
      <c r="F86" s="537">
        <v>426955.2</v>
      </c>
      <c r="G86" s="537">
        <f t="shared" si="0"/>
        <v>221313.73000000004</v>
      </c>
      <c r="H86" s="533" t="s">
        <v>194</v>
      </c>
      <c r="I86" s="549"/>
      <c r="J86" s="533" t="s">
        <v>230</v>
      </c>
      <c r="K86" s="533" t="s">
        <v>219</v>
      </c>
      <c r="L86" s="533" t="s">
        <v>220</v>
      </c>
      <c r="M86" s="549"/>
      <c r="N86" s="549"/>
      <c r="O86" s="585"/>
      <c r="P86" s="573"/>
    </row>
    <row r="87" spans="1:16" s="307" customFormat="1" hidden="1" x14ac:dyDescent="0.25">
      <c r="A87" s="730"/>
      <c r="B87" s="726"/>
      <c r="C87" s="731"/>
      <c r="D87" s="550">
        <v>3</v>
      </c>
      <c r="E87" s="537">
        <v>764834.02</v>
      </c>
      <c r="F87" s="537">
        <v>513158.52</v>
      </c>
      <c r="G87" s="537">
        <f t="shared" si="0"/>
        <v>251675.5</v>
      </c>
      <c r="H87" s="533" t="s">
        <v>194</v>
      </c>
      <c r="I87" s="549"/>
      <c r="J87" s="533" t="s">
        <v>218</v>
      </c>
      <c r="K87" s="533" t="s">
        <v>219</v>
      </c>
      <c r="L87" s="549"/>
      <c r="M87" s="549"/>
      <c r="N87" s="549"/>
      <c r="O87" s="586"/>
      <c r="P87" s="573"/>
    </row>
    <row r="88" spans="1:16" s="307" customFormat="1" hidden="1" x14ac:dyDescent="0.25">
      <c r="A88" s="730"/>
      <c r="B88" s="726"/>
      <c r="C88" s="731"/>
      <c r="D88" s="534">
        <v>4</v>
      </c>
      <c r="E88" s="537">
        <v>459693.22</v>
      </c>
      <c r="F88" s="537">
        <v>315541.51</v>
      </c>
      <c r="G88" s="537">
        <f t="shared" si="0"/>
        <v>144151.70999999996</v>
      </c>
      <c r="H88" s="533" t="s">
        <v>194</v>
      </c>
      <c r="I88" s="549"/>
      <c r="J88" s="533" t="s">
        <v>218</v>
      </c>
      <c r="K88" s="533" t="s">
        <v>219</v>
      </c>
      <c r="L88" s="549"/>
      <c r="M88" s="549"/>
      <c r="N88" s="549"/>
      <c r="O88" s="587"/>
      <c r="P88" s="573"/>
    </row>
    <row r="89" spans="1:16" s="307" customFormat="1" x14ac:dyDescent="0.25">
      <c r="A89" s="570"/>
      <c r="B89" s="726"/>
      <c r="C89" s="556"/>
      <c r="D89" s="594">
        <v>5</v>
      </c>
      <c r="E89" s="595">
        <v>1066925.08</v>
      </c>
      <c r="F89" s="595">
        <v>726084</v>
      </c>
      <c r="G89" s="595">
        <f t="shared" si="0"/>
        <v>340841.08000000007</v>
      </c>
      <c r="H89" s="596" t="s">
        <v>211</v>
      </c>
      <c r="I89" s="604">
        <v>45492</v>
      </c>
      <c r="J89" s="596"/>
      <c r="K89" s="596"/>
      <c r="L89" s="605"/>
      <c r="M89" s="596" t="s">
        <v>219</v>
      </c>
      <c r="N89" s="605"/>
      <c r="O89" s="598" t="s">
        <v>244</v>
      </c>
      <c r="P89" s="606" t="s">
        <v>262</v>
      </c>
    </row>
    <row r="90" spans="1:16" s="307" customFormat="1" ht="10.199999999999999" hidden="1" customHeight="1" x14ac:dyDescent="0.25">
      <c r="A90" s="732" t="s">
        <v>53</v>
      </c>
      <c r="B90" s="728" t="s">
        <v>208</v>
      </c>
      <c r="C90" s="733">
        <v>790018.98</v>
      </c>
      <c r="D90" s="543">
        <v>1</v>
      </c>
      <c r="E90" s="544">
        <v>323673.21999999997</v>
      </c>
      <c r="F90" s="544">
        <v>223053.1</v>
      </c>
      <c r="G90" s="544">
        <f t="shared" si="0"/>
        <v>100620.11999999997</v>
      </c>
      <c r="H90" s="545" t="s">
        <v>194</v>
      </c>
      <c r="I90" s="575"/>
      <c r="J90" s="545" t="s">
        <v>218</v>
      </c>
      <c r="K90" s="545" t="s">
        <v>219</v>
      </c>
      <c r="L90" s="545" t="s">
        <v>226</v>
      </c>
      <c r="M90" s="575"/>
      <c r="N90" s="575"/>
      <c r="O90" s="588"/>
      <c r="P90" s="573"/>
    </row>
    <row r="91" spans="1:16" s="307" customFormat="1" hidden="1" x14ac:dyDescent="0.25">
      <c r="A91" s="732"/>
      <c r="B91" s="728"/>
      <c r="C91" s="733"/>
      <c r="D91" s="543">
        <v>2</v>
      </c>
      <c r="E91" s="544">
        <v>254891.88</v>
      </c>
      <c r="F91" s="544">
        <v>176125.27</v>
      </c>
      <c r="G91" s="544">
        <f t="shared" si="0"/>
        <v>78766.610000000015</v>
      </c>
      <c r="H91" s="545" t="s">
        <v>194</v>
      </c>
      <c r="I91" s="575"/>
      <c r="J91" s="545" t="s">
        <v>218</v>
      </c>
      <c r="K91" s="545" t="s">
        <v>219</v>
      </c>
      <c r="L91" s="545" t="s">
        <v>220</v>
      </c>
      <c r="M91" s="575"/>
      <c r="N91" s="575"/>
      <c r="O91" s="588"/>
      <c r="P91" s="573"/>
    </row>
    <row r="92" spans="1:16" s="307" customFormat="1" hidden="1" x14ac:dyDescent="0.25">
      <c r="A92" s="725" t="s">
        <v>69</v>
      </c>
      <c r="B92" s="726" t="s">
        <v>209</v>
      </c>
      <c r="C92" s="724">
        <v>164975.04000000001</v>
      </c>
      <c r="D92" s="534">
        <v>1</v>
      </c>
      <c r="E92" s="537">
        <v>98455.63</v>
      </c>
      <c r="F92" s="537">
        <v>69126.91</v>
      </c>
      <c r="G92" s="537">
        <f t="shared" si="0"/>
        <v>29328.720000000001</v>
      </c>
      <c r="H92" s="533" t="s">
        <v>194</v>
      </c>
      <c r="I92" s="549"/>
      <c r="J92" s="533" t="s">
        <v>218</v>
      </c>
      <c r="K92" s="533" t="s">
        <v>219</v>
      </c>
      <c r="L92" s="549"/>
      <c r="M92" s="549"/>
      <c r="N92" s="549"/>
      <c r="O92" s="587"/>
      <c r="P92" s="573"/>
    </row>
    <row r="93" spans="1:16" s="307" customFormat="1" ht="36.6" customHeight="1" x14ac:dyDescent="0.3">
      <c r="A93" s="725"/>
      <c r="B93" s="726"/>
      <c r="C93" s="724"/>
      <c r="D93" s="563">
        <v>2</v>
      </c>
      <c r="E93" s="551">
        <v>17098.009999999998</v>
      </c>
      <c r="F93" s="551">
        <v>11916.01</v>
      </c>
      <c r="G93" s="551">
        <f t="shared" ref="G93" si="5">E93-F93</f>
        <v>5181.9999999999982</v>
      </c>
      <c r="H93" s="553" t="s">
        <v>211</v>
      </c>
      <c r="I93" s="576">
        <v>45486</v>
      </c>
      <c r="J93" s="576"/>
      <c r="K93" s="553" t="s">
        <v>219</v>
      </c>
      <c r="L93" s="554" t="s">
        <v>243</v>
      </c>
      <c r="M93" s="554" t="s">
        <v>219</v>
      </c>
      <c r="N93" s="576"/>
      <c r="O93" s="607" t="s">
        <v>265</v>
      </c>
      <c r="P93" s="559">
        <v>0</v>
      </c>
    </row>
    <row r="94" spans="1:16" s="324" customFormat="1" ht="22.95" customHeight="1" x14ac:dyDescent="0.25">
      <c r="A94" s="577"/>
      <c r="B94" s="581" t="s">
        <v>47</v>
      </c>
      <c r="C94" s="578"/>
      <c r="D94" s="578"/>
      <c r="E94" s="578">
        <f>E12+E13+E15+E16+E17+E18+E19+E44+E46+E47+E48+E49+E50+E52+E51+E53+E62+E63+E64+E70+E71+E72+E73+E76+E77+E89+E93</f>
        <v>15160159.040000001</v>
      </c>
      <c r="F94" s="578"/>
      <c r="G94" s="578"/>
      <c r="H94" s="578"/>
      <c r="I94" s="578"/>
      <c r="J94" s="578"/>
      <c r="K94" s="578"/>
      <c r="L94" s="578"/>
      <c r="M94" s="578"/>
      <c r="N94" s="578"/>
      <c r="O94" s="579"/>
      <c r="P94" s="577"/>
    </row>
    <row r="95" spans="1:16" x14ac:dyDescent="0.3">
      <c r="C95" s="540"/>
      <c r="D95" s="540"/>
      <c r="E95" s="540"/>
      <c r="F95" s="540"/>
      <c r="G95" s="540"/>
      <c r="H95" s="540"/>
      <c r="I95" s="540"/>
      <c r="J95" s="540"/>
      <c r="K95" s="540"/>
      <c r="L95" s="540"/>
      <c r="M95" s="540"/>
      <c r="N95" s="540"/>
      <c r="O95" s="339"/>
    </row>
    <row r="96" spans="1:16" x14ac:dyDescent="0.3">
      <c r="C96" s="540"/>
      <c r="D96" s="540"/>
      <c r="E96" s="540"/>
      <c r="F96" s="540"/>
      <c r="G96" s="540"/>
      <c r="H96" s="540"/>
      <c r="I96" s="540"/>
      <c r="J96" s="540"/>
      <c r="K96" s="540"/>
      <c r="L96" s="540"/>
      <c r="M96" s="540"/>
      <c r="N96" s="540"/>
      <c r="O96" s="339"/>
    </row>
    <row r="97" spans="3:15" x14ac:dyDescent="0.3">
      <c r="C97" s="540"/>
      <c r="D97" s="540"/>
      <c r="E97" s="540"/>
      <c r="F97" s="540"/>
      <c r="G97" s="540"/>
      <c r="H97" s="540"/>
      <c r="I97" s="540"/>
      <c r="J97" s="540"/>
      <c r="K97" s="540"/>
      <c r="L97" s="540"/>
      <c r="M97" s="540"/>
      <c r="N97" s="540"/>
      <c r="O97" s="339"/>
    </row>
    <row r="98" spans="3:15" x14ac:dyDescent="0.3">
      <c r="C98" s="540"/>
      <c r="D98" s="540"/>
      <c r="E98" s="540"/>
      <c r="F98" s="540"/>
      <c r="G98" s="540"/>
      <c r="H98" s="540"/>
      <c r="I98" s="540"/>
      <c r="J98" s="540"/>
      <c r="K98" s="540"/>
      <c r="L98" s="540"/>
      <c r="M98" s="540"/>
      <c r="N98" s="540"/>
      <c r="O98" s="339"/>
    </row>
    <row r="99" spans="3:15" x14ac:dyDescent="0.3">
      <c r="C99" s="540"/>
      <c r="D99" s="540"/>
      <c r="E99" s="540"/>
      <c r="F99" s="540"/>
      <c r="G99" s="540"/>
      <c r="H99" s="540"/>
      <c r="I99" s="540"/>
      <c r="J99" s="540"/>
      <c r="K99" s="540"/>
      <c r="L99" s="540"/>
      <c r="M99" s="540"/>
      <c r="N99" s="540"/>
      <c r="O99" s="339"/>
    </row>
    <row r="100" spans="3:15" x14ac:dyDescent="0.3">
      <c r="C100" s="542"/>
      <c r="D100" s="540"/>
      <c r="E100" s="540">
        <f>E12+E13+E15+E16+E44+E46+E47+E48+E49+E50+E52+E62+E63+E64+E70+E71+E76+E77+E89+E93</f>
        <v>13184694.48</v>
      </c>
      <c r="F100" s="540"/>
      <c r="G100" s="540"/>
      <c r="H100" s="540"/>
      <c r="I100" s="540"/>
      <c r="J100" s="540"/>
      <c r="K100" s="540"/>
      <c r="L100" s="540"/>
      <c r="M100" s="540"/>
      <c r="N100" s="540"/>
      <c r="O100" s="339"/>
    </row>
    <row r="101" spans="3:15" x14ac:dyDescent="0.3">
      <c r="C101" s="540"/>
      <c r="D101" s="540"/>
      <c r="E101" s="540"/>
      <c r="F101" s="540"/>
      <c r="G101" s="540"/>
      <c r="H101" s="540"/>
      <c r="I101" s="540"/>
      <c r="J101" s="540"/>
      <c r="K101" s="540"/>
      <c r="L101" s="540"/>
      <c r="M101" s="540"/>
      <c r="N101" s="540"/>
      <c r="O101" s="339"/>
    </row>
    <row r="102" spans="3:15" x14ac:dyDescent="0.3"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0"/>
      <c r="N102" s="540"/>
      <c r="O102" s="339"/>
    </row>
    <row r="103" spans="3:15" x14ac:dyDescent="0.3"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0"/>
      <c r="N103" s="540"/>
      <c r="O103" s="339"/>
    </row>
    <row r="104" spans="3:15" x14ac:dyDescent="0.3">
      <c r="C104" s="540"/>
      <c r="D104" s="540"/>
      <c r="E104" s="540"/>
      <c r="F104" s="540"/>
      <c r="G104" s="540"/>
      <c r="H104" s="540"/>
      <c r="I104" s="540"/>
      <c r="J104" s="540"/>
      <c r="K104" s="540"/>
      <c r="L104" s="540"/>
      <c r="M104" s="540"/>
      <c r="N104" s="540"/>
      <c r="O104" s="339"/>
    </row>
    <row r="105" spans="3:15" x14ac:dyDescent="0.3">
      <c r="C105" s="540"/>
      <c r="D105" s="540"/>
      <c r="E105" s="540"/>
      <c r="F105" s="540"/>
      <c r="G105" s="540"/>
      <c r="H105" s="540"/>
      <c r="I105" s="540"/>
      <c r="J105" s="540"/>
      <c r="K105" s="540"/>
      <c r="L105" s="540"/>
      <c r="M105" s="540"/>
      <c r="N105" s="540"/>
      <c r="O105" s="339"/>
    </row>
    <row r="106" spans="3:15" x14ac:dyDescent="0.3">
      <c r="C106" s="540"/>
      <c r="D106" s="540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339"/>
    </row>
    <row r="107" spans="3:15" x14ac:dyDescent="0.3"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40"/>
      <c r="O107" s="339"/>
    </row>
    <row r="108" spans="3:15" x14ac:dyDescent="0.3">
      <c r="C108" s="540"/>
      <c r="D108" s="540"/>
      <c r="E108" s="540"/>
      <c r="F108" s="540"/>
      <c r="G108" s="540"/>
      <c r="H108" s="540"/>
      <c r="I108" s="540"/>
      <c r="J108" s="540"/>
      <c r="K108" s="540"/>
      <c r="L108" s="540"/>
      <c r="M108" s="540"/>
      <c r="N108" s="540"/>
      <c r="O108" s="339"/>
    </row>
    <row r="109" spans="3:15" x14ac:dyDescent="0.3">
      <c r="C109" s="540"/>
      <c r="D109" s="540"/>
      <c r="E109" s="540"/>
      <c r="F109" s="540"/>
      <c r="G109" s="540"/>
      <c r="H109" s="540"/>
      <c r="I109" s="540"/>
      <c r="J109" s="540"/>
      <c r="K109" s="540"/>
      <c r="L109" s="540"/>
      <c r="M109" s="540"/>
      <c r="N109" s="540"/>
      <c r="O109" s="339"/>
    </row>
    <row r="110" spans="3:15" x14ac:dyDescent="0.3">
      <c r="C110" s="540"/>
      <c r="D110" s="540"/>
      <c r="E110" s="540"/>
      <c r="F110" s="540"/>
      <c r="G110" s="540"/>
      <c r="H110" s="540"/>
      <c r="I110" s="540"/>
      <c r="J110" s="540"/>
      <c r="K110" s="540"/>
      <c r="L110" s="540"/>
      <c r="M110" s="540"/>
      <c r="N110" s="540"/>
      <c r="O110" s="339"/>
    </row>
    <row r="111" spans="3:15" x14ac:dyDescent="0.3">
      <c r="C111" s="540"/>
      <c r="D111" s="540"/>
      <c r="E111" s="540"/>
      <c r="F111" s="540"/>
      <c r="G111" s="540"/>
      <c r="H111" s="540"/>
      <c r="I111" s="540"/>
      <c r="J111" s="540"/>
      <c r="K111" s="540"/>
      <c r="L111" s="540"/>
      <c r="M111" s="540"/>
      <c r="N111" s="540"/>
      <c r="O111" s="339"/>
    </row>
    <row r="112" spans="3:15" x14ac:dyDescent="0.3">
      <c r="C112" s="540"/>
      <c r="D112" s="540"/>
      <c r="E112" s="540"/>
      <c r="F112" s="540"/>
      <c r="G112" s="540"/>
      <c r="H112" s="540"/>
      <c r="I112" s="540"/>
      <c r="J112" s="540"/>
      <c r="K112" s="540"/>
      <c r="L112" s="540"/>
      <c r="M112" s="540"/>
      <c r="N112" s="540"/>
      <c r="O112" s="339"/>
    </row>
    <row r="113" spans="3:15" x14ac:dyDescent="0.3">
      <c r="C113" s="540"/>
      <c r="D113" s="540"/>
      <c r="E113" s="540"/>
      <c r="F113" s="540"/>
      <c r="G113" s="540"/>
      <c r="H113" s="540"/>
      <c r="I113" s="540"/>
      <c r="J113" s="540"/>
      <c r="K113" s="540"/>
      <c r="L113" s="540"/>
      <c r="M113" s="540"/>
      <c r="N113" s="540"/>
      <c r="O113" s="339"/>
    </row>
    <row r="114" spans="3:15" x14ac:dyDescent="0.3">
      <c r="C114" s="540"/>
      <c r="D114" s="540"/>
      <c r="E114" s="540"/>
      <c r="F114" s="540"/>
      <c r="G114" s="540"/>
      <c r="H114" s="540"/>
      <c r="I114" s="540"/>
      <c r="J114" s="540"/>
      <c r="K114" s="540"/>
      <c r="L114" s="540"/>
      <c r="M114" s="540"/>
      <c r="N114" s="540"/>
      <c r="O114" s="339"/>
    </row>
    <row r="115" spans="3:15" x14ac:dyDescent="0.3">
      <c r="C115" s="540"/>
      <c r="D115" s="540"/>
      <c r="E115" s="540"/>
      <c r="F115" s="540"/>
      <c r="G115" s="540"/>
      <c r="H115" s="540"/>
      <c r="I115" s="540"/>
      <c r="J115" s="540"/>
      <c r="K115" s="540"/>
      <c r="L115" s="540"/>
      <c r="M115" s="540"/>
      <c r="N115" s="540"/>
      <c r="O115" s="339"/>
    </row>
    <row r="116" spans="3:15" x14ac:dyDescent="0.3">
      <c r="C116" s="540"/>
      <c r="D116" s="540"/>
      <c r="E116" s="540"/>
      <c r="F116" s="540"/>
      <c r="G116" s="540"/>
      <c r="H116" s="540"/>
      <c r="I116" s="540"/>
      <c r="J116" s="540"/>
      <c r="K116" s="540"/>
      <c r="L116" s="540"/>
      <c r="M116" s="540"/>
      <c r="N116" s="540"/>
      <c r="O116" s="339"/>
    </row>
  </sheetData>
  <autoFilter ref="A4:AJ94"/>
  <mergeCells count="49">
    <mergeCell ref="A1:O2"/>
    <mergeCell ref="A3:A4"/>
    <mergeCell ref="B3:B4"/>
    <mergeCell ref="C3:C4"/>
    <mergeCell ref="D3:I3"/>
    <mergeCell ref="O3:O4"/>
    <mergeCell ref="J3:L3"/>
    <mergeCell ref="M3:N3"/>
    <mergeCell ref="A5:A10"/>
    <mergeCell ref="B5:B10"/>
    <mergeCell ref="C5:C10"/>
    <mergeCell ref="B11:B19"/>
    <mergeCell ref="A11:A19"/>
    <mergeCell ref="C11:C19"/>
    <mergeCell ref="A20:A41"/>
    <mergeCell ref="B20:B41"/>
    <mergeCell ref="A78:A80"/>
    <mergeCell ref="B78:B80"/>
    <mergeCell ref="C78:C80"/>
    <mergeCell ref="C20:C41"/>
    <mergeCell ref="A42:A53"/>
    <mergeCell ref="B42:B53"/>
    <mergeCell ref="C42:C53"/>
    <mergeCell ref="A69:A73"/>
    <mergeCell ref="B69:B73"/>
    <mergeCell ref="C69:C73"/>
    <mergeCell ref="B85:B89"/>
    <mergeCell ref="A54:A63"/>
    <mergeCell ref="B54:B63"/>
    <mergeCell ref="C54:C63"/>
    <mergeCell ref="A67:A68"/>
    <mergeCell ref="B67:B68"/>
    <mergeCell ref="C67:C68"/>
    <mergeCell ref="P17:P19"/>
    <mergeCell ref="P72:P73"/>
    <mergeCell ref="C92:C93"/>
    <mergeCell ref="A92:A93"/>
    <mergeCell ref="B92:B93"/>
    <mergeCell ref="A74:A77"/>
    <mergeCell ref="B74:B77"/>
    <mergeCell ref="C74:C77"/>
    <mergeCell ref="A83:A84"/>
    <mergeCell ref="B83:B84"/>
    <mergeCell ref="C83:C84"/>
    <mergeCell ref="A85:A88"/>
    <mergeCell ref="C85:C88"/>
    <mergeCell ref="A90:A91"/>
    <mergeCell ref="B90:B91"/>
    <mergeCell ref="C90:C91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39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99" t="s">
        <v>149</v>
      </c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00" t="s">
        <v>118</v>
      </c>
      <c r="B4" s="803" t="s">
        <v>2</v>
      </c>
      <c r="C4" s="805" t="s">
        <v>119</v>
      </c>
      <c r="D4" s="806"/>
      <c r="E4" s="809" t="s">
        <v>120</v>
      </c>
      <c r="F4" s="797" t="s">
        <v>121</v>
      </c>
      <c r="G4" s="812"/>
      <c r="H4" s="812"/>
      <c r="I4" s="812"/>
      <c r="J4" s="812"/>
      <c r="K4" s="812"/>
      <c r="L4" s="812"/>
      <c r="M4" s="812"/>
      <c r="N4" s="812"/>
      <c r="O4" s="812"/>
      <c r="P4" s="812"/>
      <c r="Q4" s="812"/>
      <c r="R4" s="812"/>
      <c r="S4" s="812"/>
      <c r="T4" s="812"/>
      <c r="U4" s="812"/>
      <c r="V4" s="812"/>
      <c r="W4" s="798"/>
      <c r="X4" s="512"/>
      <c r="Y4" s="805" t="s">
        <v>122</v>
      </c>
      <c r="Z4" s="813"/>
      <c r="AA4" s="806"/>
      <c r="AB4" s="791" t="s">
        <v>123</v>
      </c>
      <c r="AC4" s="792"/>
      <c r="AD4" s="793"/>
    </row>
    <row r="5" spans="1:30" ht="15.45" customHeight="1" x14ac:dyDescent="0.25">
      <c r="A5" s="801"/>
      <c r="B5" s="783"/>
      <c r="C5" s="807"/>
      <c r="D5" s="808"/>
      <c r="E5" s="810"/>
      <c r="F5" s="797" t="s">
        <v>143</v>
      </c>
      <c r="G5" s="798"/>
      <c r="H5" s="797" t="s">
        <v>144</v>
      </c>
      <c r="I5" s="798"/>
      <c r="J5" s="797" t="s">
        <v>145</v>
      </c>
      <c r="K5" s="798"/>
      <c r="L5" s="797" t="s">
        <v>156</v>
      </c>
      <c r="M5" s="798"/>
      <c r="N5" s="797" t="s">
        <v>155</v>
      </c>
      <c r="O5" s="798"/>
      <c r="P5" s="797" t="s">
        <v>159</v>
      </c>
      <c r="Q5" s="798"/>
      <c r="R5" s="797" t="s">
        <v>166</v>
      </c>
      <c r="S5" s="798"/>
      <c r="T5" s="797"/>
      <c r="U5" s="798"/>
      <c r="V5" s="797"/>
      <c r="W5" s="798"/>
      <c r="X5" s="513"/>
      <c r="Y5" s="807"/>
      <c r="Z5" s="814"/>
      <c r="AA5" s="808"/>
      <c r="AB5" s="794"/>
      <c r="AC5" s="795"/>
      <c r="AD5" s="796"/>
    </row>
    <row r="6" spans="1:30" ht="27.75" customHeight="1" x14ac:dyDescent="0.25">
      <c r="A6" s="802"/>
      <c r="B6" s="804"/>
      <c r="C6" s="314" t="s">
        <v>124</v>
      </c>
      <c r="D6" s="315" t="s">
        <v>125</v>
      </c>
      <c r="E6" s="811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73">
        <v>1</v>
      </c>
      <c r="B8" s="788" t="s">
        <v>95</v>
      </c>
      <c r="C8" s="765" t="s">
        <v>53</v>
      </c>
      <c r="D8" s="767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70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86"/>
      <c r="B9" s="789"/>
      <c r="C9" s="766"/>
      <c r="D9" s="768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71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86"/>
      <c r="B10" s="789"/>
      <c r="C10" s="766"/>
      <c r="D10" s="768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71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86"/>
      <c r="B11" s="789"/>
      <c r="C11" s="766"/>
      <c r="D11" s="768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71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86"/>
      <c r="B12" s="789"/>
      <c r="C12" s="766"/>
      <c r="D12" s="768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71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86"/>
      <c r="B13" s="789"/>
      <c r="C13" s="766"/>
      <c r="D13" s="768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71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86"/>
      <c r="B14" s="789"/>
      <c r="C14" s="766"/>
      <c r="D14" s="768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71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86"/>
      <c r="B15" s="789"/>
      <c r="C15" s="766"/>
      <c r="D15" s="768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71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86"/>
      <c r="B16" s="789"/>
      <c r="C16" s="766"/>
      <c r="D16" s="768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71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86"/>
      <c r="B17" s="789"/>
      <c r="C17" s="766"/>
      <c r="D17" s="768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71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86"/>
      <c r="B18" s="789"/>
      <c r="C18" s="766"/>
      <c r="D18" s="768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71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86"/>
      <c r="B19" s="789"/>
      <c r="C19" s="766"/>
      <c r="D19" s="768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71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86"/>
      <c r="B20" s="789"/>
      <c r="C20" s="766"/>
      <c r="D20" s="768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71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86"/>
      <c r="B21" s="789"/>
      <c r="C21" s="744"/>
      <c r="D21" s="768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71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87"/>
      <c r="B22" s="790"/>
      <c r="C22" s="760"/>
      <c r="D22" s="769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72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80">
        <v>2</v>
      </c>
      <c r="B25" s="781" t="s">
        <v>157</v>
      </c>
      <c r="C25" s="783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84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62"/>
      <c r="B26" s="782"/>
      <c r="C26" s="760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85"/>
      <c r="AB26" s="418"/>
      <c r="AC26" s="418"/>
      <c r="AD26" s="419"/>
    </row>
    <row r="27" spans="1:30" s="323" customFormat="1" ht="12" customHeight="1" x14ac:dyDescent="0.25">
      <c r="A27" s="773">
        <v>3</v>
      </c>
      <c r="B27" s="774" t="s">
        <v>98</v>
      </c>
      <c r="C27" s="510"/>
      <c r="D27" s="777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61"/>
      <c r="B28" s="775"/>
      <c r="C28" s="511"/>
      <c r="D28" s="778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62"/>
      <c r="B29" s="776"/>
      <c r="C29" s="397"/>
      <c r="D29" s="779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45">
        <f>A8+1</f>
        <v>2</v>
      </c>
      <c r="B30" s="748" t="s">
        <v>152</v>
      </c>
      <c r="C30" s="751" t="s">
        <v>69</v>
      </c>
      <c r="D30" s="754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43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46"/>
      <c r="B31" s="749"/>
      <c r="C31" s="752"/>
      <c r="D31" s="755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44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46"/>
      <c r="B32" s="749"/>
      <c r="C32" s="744"/>
      <c r="D32" s="755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44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46"/>
      <c r="B33" s="749"/>
      <c r="C33" s="744"/>
      <c r="D33" s="755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44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46"/>
      <c r="B34" s="749"/>
      <c r="C34" s="744"/>
      <c r="D34" s="755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44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46"/>
      <c r="B35" s="749"/>
      <c r="C35" s="744"/>
      <c r="D35" s="755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44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46"/>
      <c r="B36" s="749"/>
      <c r="C36" s="744"/>
      <c r="D36" s="755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44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46"/>
      <c r="B37" s="749"/>
      <c r="C37" s="744"/>
      <c r="D37" s="755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44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46"/>
      <c r="B38" s="749"/>
      <c r="C38" s="744"/>
      <c r="D38" s="755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44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46"/>
      <c r="B39" s="749"/>
      <c r="C39" s="744"/>
      <c r="D39" s="755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44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46"/>
      <c r="B40" s="749"/>
      <c r="C40" s="744"/>
      <c r="D40" s="755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X39+#REF!+#REF!+#REF!+#REF!</f>
        <v>#REF!</v>
      </c>
      <c r="Y40" s="506" t="s">
        <v>79</v>
      </c>
      <c r="Z40" s="514">
        <v>78675.94</v>
      </c>
      <c r="AA40" s="744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46"/>
      <c r="B41" s="749"/>
      <c r="C41" s="744"/>
      <c r="D41" s="755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44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46"/>
      <c r="B42" s="749"/>
      <c r="C42" s="744"/>
      <c r="D42" s="755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44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46"/>
      <c r="B43" s="749"/>
      <c r="C43" s="744"/>
      <c r="D43" s="755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44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46"/>
      <c r="B44" s="749"/>
      <c r="C44" s="744"/>
      <c r="D44" s="755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44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47"/>
      <c r="B45" s="750"/>
      <c r="C45" s="760"/>
      <c r="D45" s="756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45">
        <v>3</v>
      </c>
      <c r="B47" s="748" t="s">
        <v>146</v>
      </c>
      <c r="C47" s="751" t="s">
        <v>70</v>
      </c>
      <c r="D47" s="754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57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46"/>
      <c r="B48" s="749"/>
      <c r="C48" s="752"/>
      <c r="D48" s="755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58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46"/>
      <c r="B49" s="749"/>
      <c r="C49" s="752"/>
      <c r="D49" s="755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58"/>
      <c r="AB49" s="415">
        <f>Z49</f>
        <v>197627.09</v>
      </c>
      <c r="AC49" s="415"/>
      <c r="AD49" s="443"/>
    </row>
    <row r="50" spans="1:30" s="323" customFormat="1" ht="12" customHeight="1" x14ac:dyDescent="0.25">
      <c r="A50" s="746"/>
      <c r="B50" s="749"/>
      <c r="C50" s="752"/>
      <c r="D50" s="755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58"/>
      <c r="AB50" s="415"/>
      <c r="AC50" s="415"/>
      <c r="AD50" s="443"/>
    </row>
    <row r="51" spans="1:30" s="323" customFormat="1" ht="12" customHeight="1" thickBot="1" x14ac:dyDescent="0.3">
      <c r="A51" s="746"/>
      <c r="B51" s="749"/>
      <c r="C51" s="752"/>
      <c r="D51" s="755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59"/>
      <c r="AB51" s="415"/>
      <c r="AC51" s="415"/>
      <c r="AD51" s="444"/>
    </row>
    <row r="52" spans="1:30" s="323" customFormat="1" ht="12.6" customHeight="1" thickBot="1" x14ac:dyDescent="0.3">
      <c r="A52" s="747"/>
      <c r="B52" s="750"/>
      <c r="C52" s="753"/>
      <c r="D52" s="756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45">
        <v>4</v>
      </c>
      <c r="B53" s="748" t="s">
        <v>151</v>
      </c>
      <c r="C53" s="751" t="s">
        <v>71</v>
      </c>
      <c r="D53" s="754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41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61"/>
      <c r="B54" s="763"/>
      <c r="C54" s="744"/>
      <c r="D54" s="744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42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61"/>
      <c r="B55" s="763"/>
      <c r="C55" s="744"/>
      <c r="D55" s="744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42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61"/>
      <c r="B56" s="763"/>
      <c r="C56" s="744"/>
      <c r="D56" s="744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42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61"/>
      <c r="B57" s="763"/>
      <c r="C57" s="744"/>
      <c r="D57" s="744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42"/>
      <c r="AB57" s="370"/>
      <c r="AC57" s="370"/>
      <c r="AD57" s="446"/>
    </row>
    <row r="58" spans="1:30" s="323" customFormat="1" ht="13.2" customHeight="1" thickBot="1" x14ac:dyDescent="0.3">
      <c r="A58" s="762"/>
      <c r="B58" s="764"/>
      <c r="C58" s="760"/>
      <c r="D58" s="760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45">
        <v>5</v>
      </c>
      <c r="B59" s="748" t="s">
        <v>154</v>
      </c>
      <c r="C59" s="751" t="s">
        <v>72</v>
      </c>
      <c r="D59" s="754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61"/>
      <c r="B60" s="763"/>
      <c r="C60" s="744"/>
      <c r="D60" s="744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61"/>
      <c r="B61" s="763"/>
      <c r="C61" s="744"/>
      <c r="D61" s="744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61"/>
      <c r="B62" s="763"/>
      <c r="C62" s="744"/>
      <c r="D62" s="744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61"/>
      <c r="B63" s="763"/>
      <c r="C63" s="744"/>
      <c r="D63" s="744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62"/>
      <c r="B64" s="764"/>
      <c r="C64" s="760"/>
      <c r="D64" s="760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4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15" t="s">
        <v>181</v>
      </c>
      <c r="B2" s="815"/>
      <c r="C2" s="815"/>
      <c r="D2" s="816"/>
      <c r="E2" s="816"/>
    </row>
    <row r="3" spans="1:5" ht="15" customHeight="1" x14ac:dyDescent="0.25">
      <c r="A3" s="309"/>
      <c r="B3" s="309"/>
      <c r="C3" s="309"/>
      <c r="D3" s="795" t="s">
        <v>182</v>
      </c>
      <c r="E3" s="795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86">
        <v>1</v>
      </c>
      <c r="B5" s="789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86"/>
      <c r="B6" s="789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86"/>
      <c r="B7" s="789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86"/>
      <c r="B8" s="789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86"/>
      <c r="B9" s="789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86"/>
      <c r="B10" s="789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86"/>
      <c r="B11" s="789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86"/>
      <c r="B12" s="789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86"/>
      <c r="B13" s="789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86"/>
      <c r="B14" s="789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86"/>
      <c r="B15" s="789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86"/>
      <c r="B16" s="789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86"/>
      <c r="B17" s="789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86"/>
      <c r="B18" s="789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86"/>
      <c r="B19" s="789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46">
        <f>A5+1</f>
        <v>2</v>
      </c>
      <c r="B23" s="749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46"/>
      <c r="B24" s="749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46"/>
      <c r="B25" s="749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46"/>
      <c r="B26" s="749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46"/>
      <c r="B27" s="749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46"/>
      <c r="B28" s="749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46"/>
      <c r="B29" s="749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46"/>
      <c r="B30" s="749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46"/>
      <c r="B31" s="749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46"/>
      <c r="B32" s="749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46"/>
      <c r="B33" s="749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46"/>
      <c r="B34" s="749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46"/>
      <c r="B35" s="749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46"/>
      <c r="B36" s="749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46"/>
      <c r="B37" s="749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46"/>
      <c r="B38" s="749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46"/>
      <c r="B39" s="749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46"/>
      <c r="B40" s="749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46"/>
      <c r="B41" s="749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46"/>
      <c r="B42" s="749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45">
        <v>3</v>
      </c>
      <c r="B43" s="748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46"/>
      <c r="B44" s="749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46"/>
      <c r="B45" s="749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46"/>
      <c r="B46" s="749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47"/>
      <c r="B47" s="750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45">
        <v>4</v>
      </c>
      <c r="B48" s="748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61"/>
      <c r="B49" s="763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61"/>
      <c r="B50" s="763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61"/>
      <c r="B51" s="763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17" t="s">
        <v>6</v>
      </c>
      <c r="B1" s="817"/>
      <c r="C1" s="817"/>
      <c r="D1" s="817"/>
      <c r="E1" s="817"/>
      <c r="F1" s="817"/>
    </row>
    <row r="2" spans="1:8" s="91" customFormat="1" ht="12.75" customHeight="1" x14ac:dyDescent="0.25">
      <c r="A2" s="818"/>
      <c r="B2" s="818"/>
      <c r="C2" s="818"/>
      <c r="D2" s="818"/>
      <c r="E2" s="818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 АВР не закриті  </vt:lpstr>
      <vt:lpstr>Аналіз АВР </vt:lpstr>
      <vt:lpstr>10 акт переносится</vt:lpstr>
      <vt:lpstr>материал Ладижин</vt:lpstr>
      <vt:lpstr>Пожарка подрядчик</vt:lpstr>
      <vt:lpstr>Лист1</vt:lpstr>
      <vt:lpstr>' АВР не закриті  '!Область_печати</vt:lpstr>
      <vt:lpstr>'10 акт переносится'!Область_печати</vt:lpstr>
      <vt:lpstr>'Аналіз АВР 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2024-09-17T09:09:11Z</cp:lastPrinted>
  <dcterms:created xsi:type="dcterms:W3CDTF">2016-07-15T13:11:41Z</dcterms:created>
  <dcterms:modified xsi:type="dcterms:W3CDTF">2024-09-24T07:44:51Z</dcterms:modified>
</cp:coreProperties>
</file>
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ТУРБИНА 3\Накопление\Реестр АВР\"/>
    </mc:Choice>
  </mc:AlternateContent>
  <bookViews>
    <workbookView xWindow="28680" yWindow="-120" windowWidth="29040" windowHeight="15840" firstSheet="3" activeTab="3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 ДЦ 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5" hidden="1">'Реєстр ДЦ  (2)'!$A$6:$H$6</definedName>
    <definedName name="_xlnm._FilterDatabase" localSheetId="4" hidden="1">РеєстрАВР!$A$4:$AI$77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'!$A$2:$I$36</definedName>
    <definedName name="_xlnm.Print_Area" localSheetId="5">'Реєстр ДЦ  (2)'!$A$2:$J$35</definedName>
    <definedName name="_xlnm.Print_Area" localSheetId="4">РеєстрАВР!$A$1:$J$78</definedName>
  </definedNames>
  <calcPr calcId="152511"/>
</workbook>
</file>

<file path=xl/calcChain.xml><?xml version="1.0" encoding="utf-8"?>
<calcChain xmlns="http://schemas.openxmlformats.org/spreadsheetml/2006/main">
  <c r="F36" i="22" l="1"/>
  <c r="D36" i="22"/>
  <c r="D32" i="22"/>
  <c r="D31" i="22" l="1"/>
  <c r="E77" i="27" l="1"/>
  <c r="G75" i="27" l="1"/>
  <c r="F63" i="27" l="1"/>
  <c r="F60" i="27"/>
  <c r="G60" i="27"/>
  <c r="G57" i="27"/>
  <c r="F57" i="27"/>
  <c r="G53" i="27"/>
  <c r="G49" i="27"/>
  <c r="F49" i="27"/>
  <c r="F43" i="27"/>
  <c r="G41" i="27"/>
  <c r="G21" i="27"/>
  <c r="G18" i="27" l="1"/>
  <c r="F18" i="27"/>
  <c r="F37" i="27" l="1"/>
  <c r="G37" i="27" s="1"/>
  <c r="G24" i="27"/>
  <c r="F24" i="27"/>
  <c r="G20" i="27"/>
  <c r="F20" i="27"/>
  <c r="G17" i="27"/>
  <c r="F17" i="27"/>
  <c r="G13" i="27"/>
  <c r="G74" i="27" l="1"/>
  <c r="F74" i="27"/>
  <c r="F67" i="27"/>
  <c r="F65" i="27"/>
  <c r="F62" i="27"/>
  <c r="G59" i="27"/>
  <c r="F59" i="27"/>
  <c r="G56" i="27"/>
  <c r="F54" i="27"/>
  <c r="G52" i="27"/>
  <c r="F52" i="27"/>
  <c r="F50" i="27"/>
  <c r="G48" i="27"/>
  <c r="F48" i="27"/>
  <c r="F46" i="27"/>
  <c r="E45" i="27"/>
  <c r="F45" i="27"/>
  <c r="F42" i="27"/>
  <c r="G40" i="27"/>
  <c r="F40" i="27"/>
  <c r="G73" i="27" l="1"/>
  <c r="F73" i="27"/>
  <c r="F36" i="27"/>
  <c r="K32" i="27"/>
  <c r="G34" i="27"/>
  <c r="F34" i="27"/>
  <c r="K29" i="27"/>
  <c r="G30" i="27"/>
  <c r="F30" i="27"/>
  <c r="F25" i="27"/>
  <c r="G23" i="27"/>
  <c r="F23" i="27"/>
  <c r="K22" i="27"/>
  <c r="F22" i="27"/>
  <c r="F19" i="27"/>
  <c r="K14" i="27"/>
  <c r="F15" i="27"/>
  <c r="G15" i="27" s="1"/>
  <c r="K10" i="27"/>
  <c r="K9" i="27"/>
  <c r="K7" i="27"/>
  <c r="K6" i="27"/>
  <c r="F11" i="27"/>
  <c r="G11" i="27" s="1"/>
  <c r="G8" i="27"/>
  <c r="G6" i="27"/>
  <c r="E30" i="22" l="1"/>
  <c r="D29" i="22" l="1"/>
  <c r="G68" i="27" l="1"/>
  <c r="G61" i="27"/>
  <c r="G55" i="27"/>
  <c r="G58" i="27"/>
  <c r="F44" i="27"/>
  <c r="G33" i="27" l="1"/>
  <c r="G29" i="27"/>
  <c r="G27" i="27"/>
  <c r="G12" i="27"/>
  <c r="G7" i="27"/>
  <c r="G9" i="27"/>
  <c r="G10" i="27"/>
  <c r="G14" i="27"/>
  <c r="G16" i="27"/>
  <c r="G19" i="27"/>
  <c r="G22" i="27"/>
  <c r="G25" i="27"/>
  <c r="G26" i="27"/>
  <c r="G31" i="27"/>
  <c r="G35" i="27"/>
  <c r="G36" i="27"/>
  <c r="G39" i="27"/>
  <c r="G42" i="27"/>
  <c r="G44" i="27"/>
  <c r="G47" i="27"/>
  <c r="G51" i="27"/>
  <c r="G64" i="27"/>
  <c r="G66" i="27"/>
  <c r="G67" i="27"/>
  <c r="G69" i="27"/>
  <c r="G70" i="27"/>
  <c r="G72" i="27"/>
  <c r="A8" i="22" l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7" i="22"/>
  <c r="E35" i="28"/>
  <c r="D35" i="28"/>
  <c r="C35" i="28"/>
  <c r="G77" i="27" l="1"/>
  <c r="F77" i="27"/>
  <c r="C77" i="27"/>
  <c r="E36" i="22"/>
  <c r="G78" i="27" l="1"/>
  <c r="F78" i="27"/>
  <c r="E78" i="27"/>
  <c r="C78" i="27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<sst xmlns="http://schemas.openxmlformats.org/spreadsheetml/2006/main" count="711" uniqueCount="332">
  <si>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</si>
  <si>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</si>
  <si>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</si>
  <si>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</si>
  <si>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</si>
  <si>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</si>
  <si>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</si>
  <si>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</si>
  <si>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</si>
  <si>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</si>
  <si>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</si>
  <si>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</si>
  <si>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</si>
  <si>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</si>
  <si>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</si>
  <si>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</si>
  <si>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</si>
  <si>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</si>
  <si>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</si>
  <si>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</si>
  <si>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</si>
  <si>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</si>
  <si>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</si>
  <si>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</si>
  <si>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</si>
  <si>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</si>
  <si>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</si>
  <si>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</si>
  <si>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</si>
  <si>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</si>
  <si>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</si>
  <si>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</si>
  <si>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</si>
  <si>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</si>
  <si>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</si>
  <si>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</si>
  <si>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</si>
  <si>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</si>
  <si>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</si>
  <si>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</si>
  <si>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</si>
  <si>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</si>
  <si>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</si>
  <si>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</si>
  <si>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</si>
  <si>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</si>
  <si>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</si>
  <si>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</si>
  <si>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</si>
  <si>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</si>
  <si>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</si>
  <si>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</si>
  <si>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</si>
  <si>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</si>
  <si>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</si>
  <si>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</si>
  <si>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</si>
  <si>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</si>
  <si>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</si>
  <si>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</si>
  <si>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</si>
  <si>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</si>
  <si>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</si>
  <si>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</si>
  <si>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</si>
  <si>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</si>
  <si>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</si>
  <si>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</si>
  <si>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</si>
  <si>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</si>
  <si>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</si>
  <si>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</si>
  <si>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</si>
  <si>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</si>
  <si>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</si>
  <si>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</si>
  <si>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</si>
  <si>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</si>
  <si>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</si>
  <si>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</si>
  <si>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</si>
  <si>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</si>
  <si>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</si>
  <si>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</si>
  <si>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</si>
  <si>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</si>
  <si>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</si>
  <si>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</si>
  <si>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</si>
  <si>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</si>
  <si>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</si>
  <si>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</si>
  <si>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</si>
  <si>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</si>
  <si>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</si>
  <si>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</si>
  <si>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</si>
  <si>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</si>
  <si>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</si>
  <si>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</si>
  <si>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</si>
  <si>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</si>
  <si>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</si>
  <si>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</si>
  <si>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</si>
  <si>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</si>
  <si>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</si>
  <si>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</si>
  <si>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</si>
  <si>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</si>
  <si>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</si>
  <si>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</si>
  <si>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</si>
  <si>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</si>
  <si>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</si>
  <si>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</si>
  <si>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</si>
  <si>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</si>
  <si>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</si>
  <si>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</si>
  <si>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</si>
  <si>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</si>
  <si>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</si>
  <si>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</si>
  <si>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</si>
  <si>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</si>
  <si>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</si>
  <si>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</si>
  <si>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</si>
  <si>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</si>
  <si>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</si>
  <si>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</si>
  <si>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</si>
  <si>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</si>
  <si>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</si>
  <si>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</si>
  <si>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</si>
  <si>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</si>
  <si>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</si>
  <si>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</si>
  <si>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</si>
  <si>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</si>
  <si>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</si>
  <si>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</si>
  <si>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</si>
  <si>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</si>
  <si>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</si>
  <si>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</si>
  <si>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</si>
  <si>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</si>
  <si>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</si>
  <si>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</si>
  <si>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</si>
  <si>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</si>
  <si>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</si>
  <si>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</si>
  <si>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</si>
  <si>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</si>
  <si>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</si>
  <si>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</si>
  <si>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</si>
  <si>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</si>
  <si>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</si>
  <si>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</si>
  <si>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</si>
  <si>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</si>
  <si>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</si>
  <si>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</si>
  <si>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</si>
  <si>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</si>
  <si>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</si>
  <si>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</si>
  <si>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</si>
  <si>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</si>
  <si>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</si>
  <si>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</si>
  <si>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</si>
  <si>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</si>
  <si>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</si>
  <si>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</si>
  <si>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</si>
  <si>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</si>
  <si>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</si>
  <si>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</si>
  <si>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</si>
  <si>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</si>
  <si>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</si>
  <si>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</si>
  <si>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</si>
  <si>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</si>
  <si>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</si>
  <si>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</si>
  <si>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</si>
  <si>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</si>
  <si>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</si>
  <si>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</si>
  <si>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</si>
  <si>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 xml:space="preserve"> Реєстр ДЦ  по об'єкту "_______________________________ "</t>
  </si>
  <si>
    <t xml:space="preserve"> Реєстр актів виконаних робіт по об'єкту "___________________________________________________"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</si>
  <si>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</si>
  <si>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</si>
  <si>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</si>
  <si>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</si>
  <si>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</si>
  <si>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</si>
  <si>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</si>
  <si>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</si>
  <si>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</si>
  <si>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</si>
  <si>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</si>
  <si>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Влаштування фундамента під турбіну та кран-балку</t>
  </si>
  <si>
    <t>Влаштування металоконструкцій площадок, огорож та сходів в машинному залі</t>
  </si>
  <si>
    <t xml:space="preserve">Поставка та монтаж кран-балки вантажопідйомністю-10т
</t>
  </si>
  <si>
    <t xml:space="preserve">Монтаж системи масляного охолодження турбіни </t>
  </si>
  <si>
    <t xml:space="preserve">Монтаж і обв'язування турбіни та генератора </t>
  </si>
  <si>
    <t>Влаштування додаткової вентиляції операторської</t>
  </si>
  <si>
    <t xml:space="preserve">Монтаж та обв'язування конденсатора  </t>
  </si>
  <si>
    <t>Влаштування промислової підлоги</t>
  </si>
  <si>
    <t>Влаштування паропроводу.</t>
  </si>
  <si>
    <t xml:space="preserve">Влаштування дренажів. </t>
  </si>
  <si>
    <t>Влаштування конденсаторопровода</t>
  </si>
  <si>
    <t>Оздоблювальні роботи</t>
  </si>
  <si>
    <t>Влаштування благоустрою території</t>
  </si>
  <si>
    <t>Влаштування утеплення паропроводів</t>
  </si>
  <si>
    <t>Влаштування системи кондиціювання в ТП-2</t>
  </si>
  <si>
    <t>Загальнобудівельні роботи по влаштуванню приміщення ТП 2</t>
  </si>
  <si>
    <t>Влаштування зовнішніх мереж водопроводу  каналізації К 2</t>
  </si>
  <si>
    <t>Електромонтажні роботи п.2.1</t>
  </si>
  <si>
    <t>Пусконалагоджувальні роботи</t>
  </si>
  <si>
    <t>Випробування кабельних трас</t>
  </si>
  <si>
    <t>Випробування трубопроводів</t>
  </si>
  <si>
    <t>Перебазування дільниці</t>
  </si>
  <si>
    <t xml:space="preserve"> Реєстр ДЦ  по об'єкту "Комплекс будівельно-монтажних та пусконалагоджувальних робіт з монтажу та підключення турбогенераторної установки для виробництва електричної енергії на базі парової турбіни "</t>
  </si>
  <si>
    <t>Договір №З-12</t>
  </si>
  <si>
    <t>Договір</t>
  </si>
  <si>
    <t>№ З-12</t>
  </si>
  <si>
    <t>Піскоструменеве очищення металоконструкцій</t>
  </si>
  <si>
    <t>підписано. Оригінал договору в офісі</t>
  </si>
  <si>
    <t>Обслуговування (ревізія) Турбіни</t>
  </si>
  <si>
    <t>Машинний зал</t>
  </si>
  <si>
    <t>Щитова ГРП 6, трансформаторні підстанції ТП 2, ТП 3</t>
  </si>
  <si>
    <t>Зовнішні мережі та естакади</t>
  </si>
  <si>
    <t>Електропостачання (ЕП1). Реконструкція ГПП-35/6кВ</t>
  </si>
  <si>
    <t>Вартість  обладнання ГПП-35/6кВ ЕП1</t>
  </si>
  <si>
    <t>Електропостачання (ЕП2). ГРП-6кВ</t>
  </si>
  <si>
    <t>Обладнання ГРП-6кВ ЕП2</t>
  </si>
  <si>
    <t>Електропостачання (ЕП3). Кабельні мережі</t>
  </si>
  <si>
    <t>Силове електрообладнання (ЕМ1). Будівля котельної</t>
  </si>
  <si>
    <t>Придбання силового електрообладнання (ЕМ1). Будівля котельної</t>
  </si>
  <si>
    <t>Силове електрообладнання (ЕМ2). Реконструкція ТП-2</t>
  </si>
  <si>
    <t>Придбання силового електрообладнання (ЕМ2). Реконструкція ТП-2</t>
  </si>
  <si>
    <t>Електроосвітлення (ЕО)</t>
  </si>
  <si>
    <t>Релейний захист (РЗ1). Реконструкція ГПП-35/6кВ</t>
  </si>
  <si>
    <t>Автоматизована система технічного обліку (АСТОЕ)</t>
  </si>
  <si>
    <t>Устаткування автоматизованої системи технічного обліку (АСТОЕ)</t>
  </si>
  <si>
    <t xml:space="preserve">Автоматизація технологічних процесів АТХ </t>
  </si>
  <si>
    <t>Устаткування автоматизації технологічних процесів АТХ</t>
  </si>
  <si>
    <t>Захисне заземлення та зрівнювання потенціалів (ЗЗ)</t>
  </si>
  <si>
    <t>№2/1</t>
  </si>
  <si>
    <t>№2/2</t>
  </si>
  <si>
    <t>№2/3</t>
  </si>
  <si>
    <t>№2/4</t>
  </si>
  <si>
    <t>№2/5</t>
  </si>
  <si>
    <t>№2/6</t>
  </si>
  <si>
    <t>№2/7</t>
  </si>
  <si>
    <t>№2/8</t>
  </si>
  <si>
    <t>№2/9</t>
  </si>
  <si>
    <t>№2/10</t>
  </si>
  <si>
    <t>№2/11</t>
  </si>
  <si>
    <t>№2/12</t>
  </si>
  <si>
    <t>"2/13</t>
  </si>
  <si>
    <t>Релейний захист (РЗ2). Реконструкція ГПП-35/6кВ</t>
  </si>
  <si>
    <t>№2/14</t>
  </si>
  <si>
    <t>№2/15</t>
  </si>
  <si>
    <t>"2/16</t>
  </si>
  <si>
    <t>согласовано (ОК в почте от Резниченко)</t>
  </si>
  <si>
    <t>Дефектовка ГПП</t>
  </si>
  <si>
    <r>
      <t xml:space="preserve">после пересчета ДЦ, в новую редакцию будут включены данные работы. Объемы фактические подписаны Резниченко, </t>
    </r>
    <r>
      <rPr>
        <b/>
        <sz val="10"/>
        <rFont val="Times New Roman"/>
        <family val="1"/>
        <charset val="204"/>
      </rPr>
      <t>закрыто в АВР №3</t>
    </r>
  </si>
  <si>
    <t>№3/1</t>
  </si>
  <si>
    <t>№3/2</t>
  </si>
  <si>
    <t>№3/3</t>
  </si>
  <si>
    <t>Сумма по АВР</t>
  </si>
  <si>
    <t>№3/4</t>
  </si>
  <si>
    <t>закрыто 100%</t>
  </si>
  <si>
    <t>закрыто по факту</t>
  </si>
  <si>
    <t>№3/5</t>
  </si>
  <si>
    <t>№3/6</t>
  </si>
  <si>
    <t>№3/7</t>
  </si>
  <si>
    <t>№3/8</t>
  </si>
  <si>
    <t>№3/9</t>
  </si>
  <si>
    <t>№3/10</t>
  </si>
  <si>
    <t>№3/11</t>
  </si>
  <si>
    <t>№3/12</t>
  </si>
  <si>
    <t>закрыто  по факту</t>
  </si>
  <si>
    <r>
      <t xml:space="preserve">после пересчета ДЦ, в новую редакцию будут включены данные работы. Объемы фактические подписаны Резниченко, закрыто </t>
    </r>
    <r>
      <rPr>
        <b/>
        <sz val="11"/>
        <color theme="1"/>
        <rFont val="Times New Roman"/>
        <family val="1"/>
        <charset val="204"/>
      </rPr>
      <t>в АВР №4</t>
    </r>
  </si>
  <si>
    <t>№4/1</t>
  </si>
  <si>
    <t>№4/2</t>
  </si>
  <si>
    <t>№4/3</t>
  </si>
  <si>
    <t>№4/4</t>
  </si>
  <si>
    <t>закрито 100%</t>
  </si>
  <si>
    <t>№4/5</t>
  </si>
  <si>
    <t>№4/6</t>
  </si>
  <si>
    <t>№4/7</t>
  </si>
  <si>
    <t>№4/8</t>
  </si>
  <si>
    <t>№4/9</t>
  </si>
  <si>
    <t>№4/10</t>
  </si>
  <si>
    <t>№4/11</t>
  </si>
  <si>
    <t>№4/12</t>
  </si>
  <si>
    <t>№4/13</t>
  </si>
  <si>
    <t>Додаткові роботи ГПП</t>
  </si>
  <si>
    <t>№4/14</t>
  </si>
  <si>
    <t>№5/1</t>
  </si>
  <si>
    <t>№5/2</t>
  </si>
  <si>
    <t>№5/3</t>
  </si>
  <si>
    <t>№5/4</t>
  </si>
  <si>
    <t>№5/5</t>
  </si>
  <si>
    <t>№6/1</t>
  </si>
  <si>
    <t>№6/2</t>
  </si>
  <si>
    <t>№6/3</t>
  </si>
  <si>
    <t>№6.4</t>
  </si>
  <si>
    <t>№6/5</t>
  </si>
  <si>
    <t>№6/6</t>
  </si>
  <si>
    <t>№6/7</t>
  </si>
  <si>
    <t>№6/8</t>
  </si>
  <si>
    <t>№6/9</t>
  </si>
  <si>
    <t>№6/10</t>
  </si>
  <si>
    <t>подписан. Оригинал в офисе</t>
  </si>
  <si>
    <t>ДУ №2</t>
  </si>
  <si>
    <t>Технічне забезпечення шефмонтажних та пусконалагоджувальних робіт</t>
  </si>
  <si>
    <t>Інжинірингові послуги (супровід та узгодження дозвільної документації в Запоріжжяобленерго)</t>
  </si>
  <si>
    <t xml:space="preserve">ДУ №2 </t>
  </si>
  <si>
    <t>в работе у наших юристов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</si>
</sst>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rgb="FF0070C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88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 wrapText="1"/>
    </xf>
    <xf numFmtId="0" fontId="50" fillId="0" borderId="0" xfId="20" applyFont="1" applyAlignment="1">
      <alignment horizontal="center"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 wrapText="1"/>
    </xf>
    <xf numFmtId="0" fontId="49" fillId="0" borderId="2" xfId="20" applyFont="1" applyFill="1" applyBorder="1" applyAlignment="1">
      <alignment vertical="center" wrapText="1"/>
    </xf>
    <xf numFmtId="0" fontId="51" fillId="0" borderId="2" xfId="20" applyNumberFormat="1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0" fontId="49" fillId="0" borderId="19" xfId="20" applyFont="1" applyFill="1" applyBorder="1" applyAlignment="1">
      <alignment horizontal="left" vertical="center" wrapText="1"/>
    </xf>
    <xf numFmtId="164" fontId="49" fillId="0" borderId="19" xfId="20" applyNumberFormat="1" applyFont="1" applyFill="1" applyBorder="1" applyAlignment="1">
      <alignment horizontal="center" vertical="center"/>
    </xf>
    <xf numFmtId="175" fontId="49" fillId="0" borderId="19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164" fontId="49" fillId="0" borderId="20" xfId="20" applyNumberFormat="1" applyFont="1" applyFill="1" applyBorder="1" applyAlignment="1">
      <alignment vertical="center"/>
    </xf>
    <xf numFmtId="164" fontId="49" fillId="0" borderId="14" xfId="20" applyNumberFormat="1" applyFont="1" applyFill="1" applyBorder="1" applyAlignment="1">
      <alignment horizontal="center"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43" fontId="39" fillId="5" borderId="2" xfId="20" applyNumberFormat="1" applyFont="1" applyFill="1" applyBorder="1" applyAlignment="1">
      <alignment horizontal="center" vertical="center"/>
    </xf>
    <xf numFmtId="0" fontId="42" fillId="0" borderId="0" xfId="20" applyFont="1" applyAlignment="1">
      <alignment vertical="center"/>
    </xf>
    <xf numFmtId="0" fontId="52" fillId="0" borderId="2" xfId="20" applyFont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vertical="center"/>
    </xf>
    <xf numFmtId="0" fontId="49" fillId="0" borderId="2" xfId="20" applyFont="1" applyFill="1" applyBorder="1" applyAlignment="1">
      <alignment vertical="top" wrapText="1"/>
    </xf>
    <xf numFmtId="0" fontId="49" fillId="13" borderId="19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horizontal="left" vertical="center" wrapText="1"/>
    </xf>
    <xf numFmtId="0" fontId="49" fillId="13" borderId="2" xfId="20" applyFont="1" applyFill="1" applyBorder="1" applyAlignment="1">
      <alignment horizontal="center" vertical="center" wrapText="1"/>
    </xf>
    <xf numFmtId="164" fontId="49" fillId="13" borderId="2" xfId="20" applyNumberFormat="1" applyFont="1" applyFill="1" applyBorder="1" applyAlignment="1">
      <alignment horizontal="center" vertical="center"/>
    </xf>
    <xf numFmtId="175" fontId="49" fillId="13" borderId="2" xfId="20" applyNumberFormat="1" applyFont="1" applyFill="1" applyBorder="1" applyAlignment="1">
      <alignment horizontal="center" vertical="center"/>
    </xf>
    <xf numFmtId="164" fontId="48" fillId="13" borderId="6" xfId="20" applyNumberFormat="1" applyFont="1" applyFill="1" applyBorder="1" applyAlignment="1">
      <alignment horizontal="center" vertical="center"/>
    </xf>
    <xf numFmtId="164" fontId="49" fillId="13" borderId="2" xfId="20" applyNumberFormat="1" applyFont="1" applyFill="1" applyBorder="1" applyAlignment="1">
      <alignment horizontal="center" vertical="center" wrapText="1"/>
    </xf>
    <xf numFmtId="14" fontId="49" fillId="13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0" fontId="48" fillId="0" borderId="2" xfId="20" applyFont="1" applyFill="1" applyBorder="1" applyAlignment="1">
      <alignment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43" fontId="49" fillId="0" borderId="2" xfId="25" applyFont="1" applyFill="1" applyBorder="1" applyAlignment="1">
      <alignment horizontal="center" vertical="center"/>
    </xf>
    <xf numFmtId="43" fontId="49" fillId="0" borderId="6" xfId="25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/>
    </xf>
    <xf numFmtId="0" fontId="48" fillId="4" borderId="6" xfId="21" applyNumberFormat="1" applyFont="1" applyFill="1" applyBorder="1" applyAlignment="1">
      <alignment horizontal="center" vertical="center" wrapText="1"/>
    </xf>
    <xf numFmtId="0" fontId="49" fillId="0" borderId="6" xfId="20" applyNumberFormat="1" applyFont="1" applyFill="1" applyBorder="1" applyAlignment="1">
      <alignment horizontal="center" vertical="center"/>
    </xf>
    <xf numFmtId="0" fontId="48" fillId="0" borderId="2" xfId="21" applyNumberFormat="1" applyFont="1" applyFill="1" applyBorder="1" applyAlignment="1">
      <alignment vertical="center"/>
    </xf>
    <xf numFmtId="0" fontId="49" fillId="12" borderId="2" xfId="20" applyNumberFormat="1" applyFont="1" applyFill="1" applyBorder="1" applyAlignment="1">
      <alignment horizontal="center" vertical="center"/>
    </xf>
    <xf numFmtId="0" fontId="37" fillId="0" borderId="0" xfId="21" applyNumberFormat="1" applyFont="1" applyFill="1" applyAlignment="1">
      <alignment horizontal="center"/>
    </xf>
    <xf numFmtId="0" fontId="37" fillId="2" borderId="0" xfId="21" applyNumberFormat="1" applyFont="1" applyFill="1" applyAlignment="1">
      <alignment horizontal="center"/>
    </xf>
    <xf numFmtId="14" fontId="49" fillId="0" borderId="6" xfId="20" applyNumberFormat="1" applyFont="1" applyFill="1" applyBorder="1" applyAlignment="1">
      <alignment horizontal="center" vertical="center"/>
    </xf>
    <xf numFmtId="0" fontId="49" fillId="2" borderId="19" xfId="20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vertical="center" wrapText="1"/>
    </xf>
    <xf numFmtId="0" fontId="49" fillId="2" borderId="2" xfId="20" applyFont="1" applyFill="1" applyBorder="1" applyAlignment="1">
      <alignment horizontal="center" vertical="center" wrapText="1"/>
    </xf>
    <xf numFmtId="164" fontId="49" fillId="2" borderId="2" xfId="20" applyNumberFormat="1" applyFont="1" applyFill="1" applyBorder="1" applyAlignment="1">
      <alignment vertical="center"/>
    </xf>
    <xf numFmtId="164" fontId="49" fillId="2" borderId="2" xfId="20" applyNumberFormat="1" applyFont="1" applyFill="1" applyBorder="1" applyAlignment="1">
      <alignment horizontal="center" vertical="center"/>
    </xf>
    <xf numFmtId="164" fontId="48" fillId="2" borderId="2" xfId="20" applyNumberFormat="1" applyFont="1" applyFill="1" applyBorder="1" applyAlignment="1">
      <alignment horizontal="center" vertical="center"/>
    </xf>
    <xf numFmtId="164" fontId="49" fillId="2" borderId="2" xfId="20" applyNumberFormat="1" applyFont="1" applyFill="1" applyBorder="1" applyAlignment="1">
      <alignment horizontal="center"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14" fillId="13" borderId="2" xfId="20" applyNumberFormat="1" applyFont="1" applyFill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164" fontId="48" fillId="0" borderId="6" xfId="20" applyNumberFormat="1" applyFont="1" applyFill="1" applyBorder="1" applyAlignment="1">
      <alignment horizontal="center" vertical="center"/>
    </xf>
    <xf numFmtId="0" fontId="49" fillId="14" borderId="2" xfId="20" applyFont="1" applyFill="1" applyBorder="1" applyAlignment="1">
      <alignment horizontal="center" vertical="center"/>
    </xf>
    <xf numFmtId="0" fontId="49" fillId="14" borderId="2" xfId="20" applyFont="1" applyFill="1" applyBorder="1" applyAlignment="1">
      <alignment horizontal="left" vertical="center" wrapText="1"/>
    </xf>
    <xf numFmtId="164" fontId="49" fillId="14" borderId="6" xfId="20" applyNumberFormat="1" applyFont="1" applyFill="1" applyBorder="1" applyAlignment="1">
      <alignment horizontal="center" vertical="center"/>
    </xf>
    <xf numFmtId="1" fontId="49" fillId="14" borderId="2" xfId="20" applyNumberFormat="1" applyFont="1" applyFill="1" applyBorder="1" applyAlignment="1">
      <alignment horizontal="center" vertical="center" wrapText="1"/>
    </xf>
    <xf numFmtId="164" fontId="48" fillId="14" borderId="6" xfId="20" applyNumberFormat="1" applyFont="1" applyFill="1" applyBorder="1" applyAlignment="1">
      <alignment horizontal="center" vertical="center"/>
    </xf>
    <xf numFmtId="164" fontId="49" fillId="14" borderId="2" xfId="20" applyNumberFormat="1" applyFont="1" applyFill="1" applyBorder="1" applyAlignment="1">
      <alignment horizontal="center" vertical="center"/>
    </xf>
    <xf numFmtId="43" fontId="49" fillId="14" borderId="6" xfId="25" applyFont="1" applyFill="1" applyBorder="1" applyAlignment="1">
      <alignment horizontal="center" vertical="center"/>
    </xf>
    <xf numFmtId="14" fontId="49" fillId="14" borderId="6" xfId="20" applyNumberFormat="1" applyFont="1" applyFill="1" applyBorder="1" applyAlignment="1">
      <alignment horizontal="center" vertical="center"/>
    </xf>
    <xf numFmtId="0" fontId="49" fillId="14" borderId="2" xfId="20" applyNumberFormat="1" applyFont="1" applyFill="1" applyBorder="1" applyAlignment="1">
      <alignment horizontal="center" vertical="center" wrapText="1"/>
    </xf>
    <xf numFmtId="0" fontId="49" fillId="2" borderId="2" xfId="20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horizontal="left" vertical="center" wrapText="1"/>
    </xf>
    <xf numFmtId="164" fontId="49" fillId="2" borderId="6" xfId="20" applyNumberFormat="1" applyFont="1" applyFill="1" applyBorder="1" applyAlignment="1">
      <alignment horizontal="center" vertical="center"/>
    </xf>
    <xf numFmtId="1" fontId="49" fillId="2" borderId="2" xfId="20" applyNumberFormat="1" applyFont="1" applyFill="1" applyBorder="1" applyAlignment="1">
      <alignment horizontal="center" vertical="center" wrapText="1"/>
    </xf>
    <xf numFmtId="164" fontId="48" fillId="2" borderId="6" xfId="20" applyNumberFormat="1" applyFont="1" applyFill="1" applyBorder="1" applyAlignment="1">
      <alignment horizontal="center" vertical="center"/>
    </xf>
    <xf numFmtId="43" fontId="49" fillId="2" borderId="6" xfId="25" applyFont="1" applyFill="1" applyBorder="1" applyAlignment="1">
      <alignment horizontal="center" vertical="center"/>
    </xf>
    <xf numFmtId="14" fontId="49" fillId="2" borderId="6" xfId="20" applyNumberFormat="1" applyFont="1" applyFill="1" applyBorder="1" applyAlignment="1">
      <alignment horizontal="center" vertical="center"/>
    </xf>
    <xf numFmtId="1" fontId="49" fillId="14" borderId="2" xfId="20" applyNumberFormat="1" applyFont="1" applyFill="1" applyBorder="1" applyAlignment="1">
      <alignment horizontal="center" vertical="center"/>
    </xf>
    <xf numFmtId="164" fontId="48" fillId="14" borderId="2" xfId="20" applyNumberFormat="1" applyFont="1" applyFill="1" applyBorder="1" applyAlignment="1">
      <alignment horizontal="center" vertical="center"/>
    </xf>
    <xf numFmtId="0" fontId="49" fillId="14" borderId="2" xfId="20" applyFont="1" applyFill="1" applyBorder="1" applyAlignment="1">
      <alignment vertical="center" wrapText="1"/>
    </xf>
    <xf numFmtId="0" fontId="49" fillId="14" borderId="2" xfId="20" applyNumberFormat="1" applyFont="1" applyFill="1" applyBorder="1" applyAlignment="1">
      <alignment vertical="top" wrapText="1"/>
    </xf>
    <xf numFmtId="43" fontId="49" fillId="0" borderId="0" xfId="25" applyFont="1" applyAlignment="1">
      <alignment horizontal="center"/>
    </xf>
    <xf numFmtId="43" fontId="49" fillId="0" borderId="0" xfId="25" applyFont="1" applyAlignment="1">
      <alignment horizontal="center" vertical="center"/>
    </xf>
    <xf numFmtId="43" fontId="48" fillId="0" borderId="0" xfId="25" applyFont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0" fontId="49" fillId="14" borderId="2" xfId="20" applyNumberFormat="1" applyFont="1" applyFill="1" applyBorder="1" applyAlignment="1">
      <alignment horizontal="center" vertical="center"/>
    </xf>
    <xf numFmtId="0" fontId="49" fillId="14" borderId="6" xfId="20" applyNumberFormat="1" applyFont="1" applyFill="1" applyBorder="1" applyAlignment="1">
      <alignment horizontal="center" vertical="center"/>
    </xf>
    <xf numFmtId="1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vertical="top" wrapText="1"/>
    </xf>
    <xf numFmtId="43" fontId="49" fillId="2" borderId="0" xfId="25" applyFont="1" applyFill="1" applyAlignment="1">
      <alignment horizontal="center" vertical="center"/>
    </xf>
    <xf numFmtId="164" fontId="49" fillId="14" borderId="6" xfId="20" applyNumberFormat="1" applyFont="1" applyFill="1" applyBorder="1" applyAlignment="1">
      <alignment horizontal="center" vertical="center"/>
    </xf>
    <xf numFmtId="0" fontId="54" fillId="13" borderId="19" xfId="20" applyFont="1" applyFill="1" applyBorder="1" applyAlignment="1">
      <alignment horizontal="center" vertical="center"/>
    </xf>
    <xf numFmtId="0" fontId="54" fillId="13" borderId="2" xfId="20" applyFont="1" applyFill="1" applyBorder="1" applyAlignment="1">
      <alignment vertical="center" wrapText="1"/>
    </xf>
    <xf numFmtId="0" fontId="54" fillId="13" borderId="2" xfId="20" applyFont="1" applyFill="1" applyBorder="1" applyAlignment="1">
      <alignment horizontal="center" vertical="center" wrapText="1"/>
    </xf>
    <xf numFmtId="164" fontId="54" fillId="13" borderId="2" xfId="20" applyNumberFormat="1" applyFont="1" applyFill="1" applyBorder="1" applyAlignment="1">
      <alignment vertical="center"/>
    </xf>
    <xf numFmtId="164" fontId="54" fillId="13" borderId="2" xfId="20" applyNumberFormat="1" applyFont="1" applyFill="1" applyBorder="1" applyAlignment="1">
      <alignment horizontal="center" vertical="center"/>
    </xf>
    <xf numFmtId="164" fontId="55" fillId="13" borderId="2" xfId="20" applyNumberFormat="1" applyFont="1" applyFill="1" applyBorder="1" applyAlignment="1">
      <alignment horizontal="center" vertical="center"/>
    </xf>
    <xf numFmtId="0" fontId="54" fillId="13" borderId="2" xfId="20" applyNumberFormat="1" applyFont="1" applyFill="1" applyBorder="1" applyAlignment="1">
      <alignment horizontal="center" vertical="center" wrapText="1"/>
    </xf>
    <xf numFmtId="14" fontId="54" fillId="13" borderId="2" xfId="20" applyNumberFormat="1" applyFont="1" applyFill="1" applyBorder="1" applyAlignment="1">
      <alignment horizontal="center" vertical="center"/>
    </xf>
    <xf numFmtId="0" fontId="56" fillId="13" borderId="2" xfId="20" applyNumberFormat="1" applyFont="1" applyFill="1" applyBorder="1" applyAlignment="1">
      <alignment horizontal="center" vertical="center" wrapText="1"/>
    </xf>
    <xf numFmtId="164" fontId="39" fillId="14" borderId="2" xfId="20" applyNumberFormat="1" applyFont="1" applyFill="1" applyBorder="1" applyAlignment="1">
      <alignment horizontal="center" vertical="center" wrapText="1"/>
    </xf>
    <xf numFmtId="0" fontId="39" fillId="0" borderId="2" xfId="20" applyNumberFormat="1" applyFont="1" applyFill="1" applyBorder="1" applyAlignment="1">
      <alignment horizontal="center" vertical="center" wrapText="1"/>
    </xf>
    <xf numFmtId="0" fontId="39" fillId="14" borderId="2" xfId="20" applyNumberFormat="1" applyFont="1" applyFill="1" applyBorder="1" applyAlignment="1">
      <alignment horizontal="center" vertical="center" wrapText="1"/>
    </xf>
    <xf numFmtId="164" fontId="39" fillId="14" borderId="2" xfId="20" applyNumberFormat="1" applyFont="1" applyFill="1" applyBorder="1" applyAlignment="1">
      <alignment horizontal="center" vertical="center"/>
    </xf>
    <xf numFmtId="164" fontId="39" fillId="2" borderId="2" xfId="20" applyNumberFormat="1" applyFont="1" applyFill="1" applyBorder="1" applyAlignment="1">
      <alignment horizontal="center" vertical="center" wrapText="1"/>
    </xf>
    <xf numFmtId="0" fontId="46" fillId="14" borderId="2" xfId="20" applyNumberFormat="1" applyFont="1" applyFill="1" applyBorder="1" applyAlignment="1">
      <alignment horizontal="center" vertical="center" wrapText="1"/>
    </xf>
    <xf numFmtId="0" fontId="58" fillId="0" borderId="2" xfId="20" applyNumberFormat="1" applyFont="1" applyFill="1" applyBorder="1" applyAlignment="1">
      <alignment horizontal="center" vertical="center" wrapText="1"/>
    </xf>
    <xf numFmtId="164" fontId="39" fillId="0" borderId="2" xfId="20" applyNumberFormat="1" applyFont="1" applyFill="1" applyBorder="1" applyAlignment="1">
      <alignment horizontal="center" vertical="center"/>
    </xf>
    <xf numFmtId="164" fontId="39" fillId="0" borderId="2" xfId="20" applyNumberFormat="1" applyFont="1" applyFill="1" applyBorder="1" applyAlignment="1">
      <alignment horizontal="center" vertical="center" wrapText="1"/>
    </xf>
    <xf numFmtId="0" fontId="49" fillId="0" borderId="6" xfId="20" applyNumberFormat="1" applyFont="1" applyFill="1" applyBorder="1" applyAlignment="1">
      <alignment vertical="top" wrapText="1"/>
    </xf>
    <xf numFmtId="164" fontId="49" fillId="14" borderId="6" xfId="20" applyNumberFormat="1" applyFont="1" applyFill="1" applyBorder="1" applyAlignment="1">
      <alignment horizontal="center" vertical="center"/>
    </xf>
    <xf numFmtId="0" fontId="49" fillId="14" borderId="6" xfId="20" applyNumberFormat="1" applyFont="1" applyFill="1" applyBorder="1" applyAlignment="1">
      <alignment vertical="top" wrapText="1"/>
    </xf>
    <xf numFmtId="0" fontId="39" fillId="2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64" fontId="49" fillId="14" borderId="6" xfId="20" applyNumberFormat="1" applyFont="1" applyFill="1" applyBorder="1" applyAlignment="1">
      <alignment horizontal="center" vertical="center"/>
    </xf>
    <xf numFmtId="0" fontId="49" fillId="2" borderId="6" xfId="20" applyNumberFormat="1" applyFont="1" applyFill="1" applyBorder="1" applyAlignment="1">
      <alignment vertical="top" wrapText="1"/>
    </xf>
    <xf numFmtId="0" fontId="49" fillId="2" borderId="6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/>
    </xf>
    <xf numFmtId="0" fontId="56" fillId="14" borderId="2" xfId="20" applyNumberFormat="1" applyFont="1" applyFill="1" applyBorder="1" applyAlignment="1">
      <alignment horizontal="center" vertical="center"/>
    </xf>
    <xf numFmtId="0" fontId="56" fillId="14" borderId="6" xfId="20" applyNumberFormat="1" applyFont="1" applyFill="1" applyBorder="1" applyAlignment="1">
      <alignment horizontal="center" vertical="center"/>
    </xf>
    <xf numFmtId="0" fontId="34" fillId="2" borderId="6" xfId="20" applyNumberFormat="1" applyFont="1" applyFill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horizontal="center" vertical="center" wrapText="1"/>
    </xf>
    <xf numFmtId="14" fontId="49" fillId="0" borderId="19" xfId="20" applyNumberFormat="1" applyFont="1" applyFill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horizontal="center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0" fontId="48" fillId="4" borderId="25" xfId="20" applyFont="1" applyFill="1" applyBorder="1" applyAlignment="1">
      <alignment horizontal="center" vertical="center"/>
    </xf>
    <xf numFmtId="0" fontId="48" fillId="4" borderId="20" xfId="20" applyFont="1" applyFill="1" applyBorder="1" applyAlignment="1">
      <alignment horizontal="center" vertical="center"/>
    </xf>
    <xf numFmtId="0" fontId="49" fillId="0" borderId="20" xfId="20" applyFont="1" applyFill="1" applyBorder="1" applyAlignment="1">
      <alignment horizontal="center" vertical="center" wrapText="1"/>
    </xf>
    <xf numFmtId="0" fontId="49" fillId="0" borderId="19" xfId="20" applyFont="1" applyFill="1" applyBorder="1" applyAlignment="1">
      <alignment horizontal="center" vertical="center" wrapText="1"/>
    </xf>
    <xf numFmtId="164" fontId="49" fillId="0" borderId="20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43" fontId="49" fillId="0" borderId="15" xfId="25" applyFont="1" applyBorder="1" applyAlignment="1">
      <alignment horizontal="center" vertical="center"/>
    </xf>
    <xf numFmtId="0" fontId="49" fillId="0" borderId="12" xfId="20" applyFont="1" applyFill="1" applyBorder="1" applyAlignment="1">
      <alignment horizontal="left" vertical="center" wrapText="1"/>
    </xf>
    <xf numFmtId="0" fontId="49" fillId="0" borderId="11" xfId="20" applyFont="1" applyFill="1" applyBorder="1" applyAlignment="1">
      <alignment horizontal="left" vertical="center" wrapText="1"/>
    </xf>
    <xf numFmtId="0" fontId="49" fillId="0" borderId="14" xfId="20" applyFont="1" applyFill="1" applyBorder="1" applyAlignment="1">
      <alignment horizontal="left" vertical="center" wrapText="1"/>
    </xf>
    <xf numFmtId="0" fontId="49" fillId="0" borderId="10" xfId="20" applyFont="1" applyFill="1" applyBorder="1" applyAlignment="1">
      <alignment horizontal="left" vertical="center" wrapText="1"/>
    </xf>
    <xf numFmtId="0" fontId="49" fillId="0" borderId="6" xfId="20" applyNumberFormat="1" applyFont="1" applyFill="1" applyBorder="1" applyAlignment="1">
      <alignment horizontal="center" vertical="center" wrapText="1"/>
    </xf>
    <xf numFmtId="0" fontId="49" fillId="0" borderId="19" xfId="20" applyNumberFormat="1" applyFont="1" applyFill="1" applyBorder="1" applyAlignment="1">
      <alignment horizontal="center" vertical="center" wrapText="1"/>
    </xf>
    <xf numFmtId="164" fontId="49" fillId="0" borderId="6" xfId="20" applyNumberFormat="1" applyFont="1" applyFill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horizontal="center" vertical="center"/>
    </xf>
    <xf numFmtId="0" fontId="49" fillId="14" borderId="12" xfId="20" applyFont="1" applyFill="1" applyBorder="1" applyAlignment="1">
      <alignment horizontal="left" vertical="center" wrapText="1"/>
    </xf>
    <xf numFmtId="0" fontId="49" fillId="14" borderId="11" xfId="20" applyFont="1" applyFill="1" applyBorder="1" applyAlignment="1">
      <alignment horizontal="left" vertical="center" wrapText="1"/>
    </xf>
    <xf numFmtId="0" fontId="49" fillId="14" borderId="14" xfId="20" applyFont="1" applyFill="1" applyBorder="1" applyAlignment="1">
      <alignment horizontal="left" vertical="center" wrapText="1"/>
    </xf>
    <xf numFmtId="0" fontId="49" fillId="14" borderId="10" xfId="20" applyFont="1" applyFill="1" applyBorder="1" applyAlignment="1">
      <alignment horizontal="left" vertical="center" wrapText="1"/>
    </xf>
    <xf numFmtId="0" fontId="49" fillId="14" borderId="6" xfId="20" applyNumberFormat="1" applyFont="1" applyFill="1" applyBorder="1" applyAlignment="1">
      <alignment horizontal="center" vertical="center" wrapText="1"/>
    </xf>
    <xf numFmtId="0" fontId="49" fillId="14" borderId="19" xfId="20" applyNumberFormat="1" applyFont="1" applyFill="1" applyBorder="1" applyAlignment="1">
      <alignment horizontal="center" vertical="center" wrapText="1"/>
    </xf>
    <xf numFmtId="0" fontId="49" fillId="14" borderId="6" xfId="20" applyFont="1" applyFill="1" applyBorder="1" applyAlignment="1">
      <alignment horizontal="left" vertical="center" wrapText="1"/>
    </xf>
    <xf numFmtId="0" fontId="49" fillId="14" borderId="19" xfId="20" applyFont="1" applyFill="1" applyBorder="1" applyAlignment="1">
      <alignment horizontal="left" vertical="center" wrapText="1"/>
    </xf>
    <xf numFmtId="0" fontId="50" fillId="0" borderId="16" xfId="20" applyFont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165" fontId="48" fillId="4" borderId="12" xfId="21" applyFont="1" applyFill="1" applyBorder="1" applyAlignment="1">
      <alignment horizontal="center" vertical="center" wrapText="1"/>
    </xf>
    <xf numFmtId="165" fontId="48" fillId="4" borderId="17" xfId="21" applyFont="1" applyFill="1" applyBorder="1" applyAlignment="1">
      <alignment horizontal="center" vertical="center" wrapText="1"/>
    </xf>
    <xf numFmtId="165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0" fontId="49" fillId="2" borderId="12" xfId="20" applyFont="1" applyFill="1" applyBorder="1" applyAlignment="1">
      <alignment horizontal="left" vertical="center" wrapText="1"/>
    </xf>
    <xf numFmtId="0" fontId="49" fillId="2" borderId="11" xfId="20" applyFont="1" applyFill="1" applyBorder="1" applyAlignment="1">
      <alignment horizontal="left" vertical="center" wrapText="1"/>
    </xf>
    <xf numFmtId="0" fontId="49" fillId="2" borderId="14" xfId="20" applyFont="1" applyFill="1" applyBorder="1" applyAlignment="1">
      <alignment horizontal="left" vertical="center" wrapText="1"/>
    </xf>
    <xf numFmtId="0" fontId="49" fillId="2" borderId="10" xfId="20" applyFont="1" applyFill="1" applyBorder="1" applyAlignment="1">
      <alignment horizontal="left" vertical="center" wrapText="1"/>
    </xf>
    <xf numFmtId="43" fontId="49" fillId="14" borderId="12" xfId="25" applyFont="1" applyFill="1" applyBorder="1" applyAlignment="1">
      <alignment horizontal="left" vertical="center" wrapText="1"/>
    </xf>
    <xf numFmtId="43" fontId="49" fillId="14" borderId="11" xfId="25" applyFont="1" applyFill="1" applyBorder="1" applyAlignment="1">
      <alignment horizontal="left" vertical="center" wrapText="1"/>
    </xf>
    <xf numFmtId="43" fontId="49" fillId="14" borderId="15" xfId="25" applyFont="1" applyFill="1" applyBorder="1" applyAlignment="1">
      <alignment horizontal="left" vertical="center" wrapText="1"/>
    </xf>
    <xf numFmtId="43" fontId="49" fillId="14" borderId="9" xfId="25" applyFont="1" applyFill="1" applyBorder="1" applyAlignment="1">
      <alignment horizontal="left" vertical="center" wrapText="1"/>
    </xf>
    <xf numFmtId="43" fontId="49" fillId="14" borderId="14" xfId="25" applyFont="1" applyFill="1" applyBorder="1" applyAlignment="1">
      <alignment horizontal="left" vertical="center" wrapText="1"/>
    </xf>
    <xf numFmtId="43" fontId="49" fillId="14" borderId="10" xfId="25" applyFont="1" applyFill="1" applyBorder="1" applyAlignment="1">
      <alignment horizontal="left" vertical="center" wrapText="1"/>
    </xf>
    <xf numFmtId="0" fontId="49" fillId="14" borderId="15" xfId="20" applyFont="1" applyFill="1" applyBorder="1" applyAlignment="1">
      <alignment horizontal="left" vertical="center" wrapText="1"/>
    </xf>
    <xf numFmtId="0" fontId="49" fillId="14" borderId="9" xfId="20" applyFont="1" applyFill="1" applyBorder="1" applyAlignment="1">
      <alignment horizontal="left" vertical="center" wrapText="1"/>
    </xf>
    <xf numFmtId="0" fontId="49" fillId="0" borderId="15" xfId="20" applyFont="1" applyFill="1" applyBorder="1" applyAlignment="1">
      <alignment horizontal="left" vertical="center" wrapText="1"/>
    </xf>
    <xf numFmtId="0" fontId="49" fillId="0" borderId="9" xfId="20" applyFont="1" applyFill="1" applyBorder="1" applyAlignment="1">
      <alignment horizontal="left" vertical="center" wrapText="1"/>
    </xf>
    <xf numFmtId="164" fontId="49" fillId="14" borderId="6" xfId="20" applyNumberFormat="1" applyFont="1" applyFill="1" applyBorder="1" applyAlignment="1">
      <alignment horizontal="center" vertical="center"/>
    </xf>
    <xf numFmtId="164" fontId="49" fillId="14" borderId="19" xfId="20" applyNumberFormat="1" applyFont="1" applyFill="1" applyBorder="1" applyAlignment="1">
      <alignment horizontal="center" vertical="center"/>
    </xf>
    <xf numFmtId="0" fontId="49" fillId="14" borderId="20" xfId="20" applyNumberFormat="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89" t="s">
        <v>37</v>
      </c>
      <c r="B5" s="689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89" t="s">
        <v>24</v>
      </c>
      <c r="B6" s="689"/>
      <c r="C6" s="82"/>
      <c r="D6" s="690"/>
      <c r="E6" s="690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89" t="s">
        <v>38</v>
      </c>
      <c r="B7" s="689"/>
      <c r="C7" s="689"/>
      <c r="D7" s="689"/>
      <c r="E7" s="689"/>
      <c r="F7" s="689"/>
      <c r="G7" s="689"/>
      <c r="H7" s="689"/>
      <c r="I7" s="689"/>
      <c r="J7" s="82"/>
      <c r="L7" s="61"/>
      <c r="V7" s="62"/>
      <c r="W7" s="63"/>
    </row>
    <row r="8" spans="1:23" s="60" customFormat="1" ht="12.75" customHeight="1" x14ac:dyDescent="0.25">
      <c r="A8" s="689" t="s">
        <v>39</v>
      </c>
      <c r="B8" s="689"/>
      <c r="C8" s="689"/>
      <c r="D8" s="689"/>
      <c r="E8" s="689"/>
      <c r="F8" s="689"/>
      <c r="G8" s="689"/>
      <c r="H8" s="689"/>
      <c r="I8" s="689"/>
      <c r="J8" s="82"/>
      <c r="L8" s="61"/>
      <c r="V8" s="62"/>
      <c r="W8" s="63"/>
    </row>
    <row r="9" spans="1:23" s="60" customFormat="1" ht="12.75" customHeight="1" x14ac:dyDescent="0.25">
      <c r="A9" s="688" t="s">
        <v>40</v>
      </c>
      <c r="B9" s="688"/>
      <c r="C9" s="688"/>
      <c r="D9" s="688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91" t="s">
        <v>0</v>
      </c>
      <c r="B11" s="691"/>
      <c r="C11" s="691"/>
      <c r="D11" s="691"/>
      <c r="E11" s="691"/>
      <c r="F11" s="691"/>
      <c r="G11" s="691"/>
      <c r="H11" s="691"/>
      <c r="I11" s="691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92" t="s">
        <v>1</v>
      </c>
      <c r="B13" s="675" t="s">
        <v>2</v>
      </c>
      <c r="C13" s="692" t="s">
        <v>13</v>
      </c>
      <c r="D13" s="693" t="s">
        <v>3</v>
      </c>
      <c r="E13" s="694" t="s">
        <v>14</v>
      </c>
      <c r="F13" s="695" t="s">
        <v>27</v>
      </c>
      <c r="G13" s="695"/>
      <c r="H13" s="693" t="s">
        <v>17</v>
      </c>
      <c r="I13" s="693"/>
      <c r="J13" s="676" t="s">
        <v>30</v>
      </c>
      <c r="K13" s="677"/>
      <c r="L13" s="678"/>
      <c r="M13" s="675" t="s">
        <v>26</v>
      </c>
      <c r="N13" s="675"/>
      <c r="O13" s="675"/>
      <c r="P13" s="675"/>
      <c r="Q13" s="675" t="s">
        <v>29</v>
      </c>
      <c r="R13" s="675"/>
      <c r="S13" s="675"/>
      <c r="T13" s="675"/>
      <c r="U13" s="675"/>
      <c r="V13" s="682" t="s">
        <v>34</v>
      </c>
      <c r="W13" s="683"/>
    </row>
    <row r="14" spans="1:23" s="3" customFormat="1" ht="20.25" customHeight="1" x14ac:dyDescent="0.25">
      <c r="A14" s="692"/>
      <c r="B14" s="675"/>
      <c r="C14" s="692"/>
      <c r="D14" s="693"/>
      <c r="E14" s="694"/>
      <c r="F14" s="693" t="s">
        <v>41</v>
      </c>
      <c r="G14" s="693"/>
      <c r="H14" s="693"/>
      <c r="I14" s="693"/>
      <c r="J14" s="679"/>
      <c r="K14" s="680"/>
      <c r="L14" s="681"/>
      <c r="M14" s="675"/>
      <c r="N14" s="675"/>
      <c r="O14" s="675"/>
      <c r="P14" s="675"/>
      <c r="Q14" s="675"/>
      <c r="R14" s="675"/>
      <c r="S14" s="675"/>
      <c r="T14" s="675"/>
      <c r="U14" s="675"/>
      <c r="V14" s="684"/>
      <c r="W14" s="68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84"/>
      <c r="W15" s="68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74" t="s">
        <v>32</v>
      </c>
      <c r="U16" s="674"/>
      <c r="V16" s="686"/>
      <c r="W16" s="68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05" t="s">
        <v>93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</row>
    <row r="2" spans="1:13" ht="16.2" thickBot="1" x14ac:dyDescent="0.3">
      <c r="M2" s="216"/>
    </row>
    <row r="3" spans="1:13" ht="31.5" customHeight="1" x14ac:dyDescent="0.25">
      <c r="A3" s="715" t="s">
        <v>84</v>
      </c>
      <c r="B3" s="717" t="s">
        <v>82</v>
      </c>
      <c r="C3" s="717" t="s">
        <v>86</v>
      </c>
      <c r="D3" s="717" t="s">
        <v>85</v>
      </c>
      <c r="E3" s="706" t="s">
        <v>83</v>
      </c>
      <c r="F3" s="710" t="s">
        <v>90</v>
      </c>
      <c r="G3" s="711"/>
      <c r="H3" s="712"/>
      <c r="I3" s="708" t="s">
        <v>9</v>
      </c>
      <c r="J3" s="713" t="s">
        <v>91</v>
      </c>
      <c r="K3" s="713"/>
      <c r="L3" s="714"/>
      <c r="M3" s="708" t="s">
        <v>50</v>
      </c>
    </row>
    <row r="4" spans="1:13" x14ac:dyDescent="0.25">
      <c r="A4" s="716"/>
      <c r="B4" s="718"/>
      <c r="C4" s="718"/>
      <c r="D4" s="718"/>
      <c r="E4" s="707"/>
      <c r="F4" s="145" t="s">
        <v>87</v>
      </c>
      <c r="G4" s="135" t="s">
        <v>88</v>
      </c>
      <c r="H4" s="135" t="s">
        <v>89</v>
      </c>
      <c r="I4" s="709"/>
      <c r="J4" s="143" t="s">
        <v>87</v>
      </c>
      <c r="K4" s="135" t="s">
        <v>88</v>
      </c>
      <c r="L4" s="135" t="s">
        <v>89</v>
      </c>
      <c r="M4" s="709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99">
        <v>4</v>
      </c>
      <c r="B6" s="696" t="s">
        <v>97</v>
      </c>
      <c r="C6" s="702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00"/>
      <c r="B7" s="697"/>
      <c r="C7" s="703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00"/>
      <c r="B8" s="697"/>
      <c r="C8" s="703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01"/>
      <c r="B9" s="698"/>
      <c r="C9" s="704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25" t="s">
        <v>84</v>
      </c>
      <c r="B2" s="725" t="s">
        <v>99</v>
      </c>
      <c r="C2" s="725" t="s">
        <v>86</v>
      </c>
      <c r="D2" s="725" t="s">
        <v>51</v>
      </c>
      <c r="E2" s="719" t="s">
        <v>100</v>
      </c>
      <c r="F2" s="720"/>
      <c r="G2" s="721"/>
      <c r="H2" s="722" t="s">
        <v>101</v>
      </c>
      <c r="I2" s="723"/>
      <c r="J2" s="723"/>
      <c r="K2" s="723"/>
      <c r="L2" s="723"/>
      <c r="M2" s="724"/>
      <c r="N2" s="719" t="s">
        <v>102</v>
      </c>
      <c r="O2" s="720"/>
      <c r="P2" s="721"/>
    </row>
    <row r="3" spans="1:16" ht="16.2" thickBot="1" x14ac:dyDescent="0.3">
      <c r="A3" s="726"/>
      <c r="B3" s="726"/>
      <c r="C3" s="726"/>
      <c r="D3" s="72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27">
        <v>4</v>
      </c>
      <c r="B4" s="730" t="s">
        <v>109</v>
      </c>
      <c r="C4" s="730" t="s">
        <v>94</v>
      </c>
      <c r="D4" s="730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28"/>
      <c r="B5" s="731"/>
      <c r="C5" s="731"/>
      <c r="D5" s="731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28"/>
      <c r="B6" s="731"/>
      <c r="C6" s="731"/>
      <c r="D6" s="731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28"/>
      <c r="B7" s="731"/>
      <c r="C7" s="731"/>
      <c r="D7" s="731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28"/>
      <c r="B8" s="731"/>
      <c r="C8" s="731"/>
      <c r="D8" s="732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28"/>
      <c r="B9" s="731"/>
      <c r="C9" s="731"/>
      <c r="D9" s="733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28"/>
      <c r="B10" s="731"/>
      <c r="C10" s="731"/>
      <c r="D10" s="734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28"/>
      <c r="B11" s="731"/>
      <c r="C11" s="731"/>
      <c r="D11" s="735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28"/>
      <c r="B12" s="731"/>
      <c r="C12" s="731"/>
      <c r="D12" s="730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28"/>
      <c r="B13" s="731"/>
      <c r="C13" s="731"/>
      <c r="D13" s="731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28"/>
      <c r="B14" s="731"/>
      <c r="C14" s="731"/>
      <c r="D14" s="732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28"/>
      <c r="B15" s="731"/>
      <c r="C15" s="731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29"/>
      <c r="B16" s="732"/>
      <c r="C16" s="732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showWhiteSpace="0" zoomScale="60" zoomScaleNormal="60" zoomScaleSheetLayoutView="76" workbookViewId="0">
      <pane ySplit="5" topLeftCell="A26" activePane="bottomLeft" state="frozen"/>
      <selection pane="bottomLeft" activeCell="G34" sqref="G34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3" width="21" style="308" customWidth="1"/>
    <col min="4" max="5" width="20.6640625" style="342" customWidth="1"/>
    <col min="6" max="6" width="24.6640625" style="342" customWidth="1"/>
    <col min="7" max="7" width="26.88671875" style="342" customWidth="1"/>
    <col min="8" max="8" width="21.33203125" style="342" customWidth="1"/>
    <col min="9" max="9" width="29.77734375" style="342" customWidth="1"/>
    <col min="10" max="10" width="16.44140625" style="308" customWidth="1"/>
    <col min="11" max="16384" width="9.109375" style="308"/>
  </cols>
  <sheetData>
    <row r="1" spans="1:34" ht="16.95" customHeight="1" x14ac:dyDescent="0.25">
      <c r="A1" s="736" t="s">
        <v>232</v>
      </c>
      <c r="B1" s="736"/>
      <c r="C1" s="736"/>
      <c r="D1" s="736"/>
      <c r="E1" s="736"/>
      <c r="F1" s="736"/>
      <c r="G1" s="736"/>
      <c r="H1" s="736"/>
      <c r="I1" s="736"/>
    </row>
    <row r="2" spans="1:34" ht="59.4" customHeight="1" x14ac:dyDescent="0.25">
      <c r="A2" s="736"/>
      <c r="B2" s="736"/>
      <c r="C2" s="736"/>
      <c r="D2" s="736"/>
      <c r="E2" s="736"/>
      <c r="F2" s="736"/>
      <c r="G2" s="736"/>
      <c r="H2" s="736"/>
      <c r="I2" s="736"/>
    </row>
    <row r="3" spans="1:34" ht="34.799999999999997" customHeight="1" thickBot="1" x14ac:dyDescent="0.3">
      <c r="A3" s="542"/>
      <c r="B3" s="542"/>
      <c r="C3" s="542"/>
      <c r="D3" s="748" t="s">
        <v>233</v>
      </c>
      <c r="E3" s="748"/>
      <c r="F3" s="748"/>
      <c r="G3" s="542"/>
      <c r="H3" s="542"/>
      <c r="I3" s="542"/>
    </row>
    <row r="4" spans="1:34" ht="31.8" customHeight="1" x14ac:dyDescent="0.25">
      <c r="A4" s="737" t="s">
        <v>124</v>
      </c>
      <c r="B4" s="743" t="s">
        <v>185</v>
      </c>
      <c r="C4" s="749" t="s">
        <v>234</v>
      </c>
      <c r="D4" s="739" t="s">
        <v>190</v>
      </c>
      <c r="E4" s="739" t="s">
        <v>191</v>
      </c>
      <c r="F4" s="739" t="s">
        <v>193</v>
      </c>
      <c r="G4" s="741" t="s">
        <v>9</v>
      </c>
      <c r="H4" s="741" t="s">
        <v>188</v>
      </c>
      <c r="I4" s="741" t="s">
        <v>189</v>
      </c>
    </row>
    <row r="5" spans="1:34" ht="30.6" customHeight="1" x14ac:dyDescent="0.25">
      <c r="A5" s="738"/>
      <c r="B5" s="744"/>
      <c r="C5" s="750"/>
      <c r="D5" s="740"/>
      <c r="E5" s="740"/>
      <c r="F5" s="740"/>
      <c r="G5" s="745"/>
      <c r="H5" s="745"/>
      <c r="I5" s="742"/>
    </row>
    <row r="6" spans="1:34" s="323" customFormat="1" ht="40.200000000000003" customHeight="1" x14ac:dyDescent="0.25">
      <c r="A6" s="557">
        <v>1</v>
      </c>
      <c r="B6" s="558" t="s">
        <v>210</v>
      </c>
      <c r="C6" s="751" t="s">
        <v>235</v>
      </c>
      <c r="D6" s="559"/>
      <c r="E6" s="560"/>
      <c r="F6" s="561">
        <v>12434.74</v>
      </c>
      <c r="G6" s="753" t="s">
        <v>237</v>
      </c>
      <c r="H6" s="559"/>
      <c r="I6" s="559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</row>
    <row r="7" spans="1:34" s="323" customFormat="1" ht="43.8" customHeight="1" x14ac:dyDescent="0.25">
      <c r="A7" s="557">
        <f>A6+1</f>
        <v>2</v>
      </c>
      <c r="B7" s="544" t="s">
        <v>211</v>
      </c>
      <c r="C7" s="751"/>
      <c r="D7" s="545"/>
      <c r="E7" s="562"/>
      <c r="F7" s="550">
        <v>775924.93</v>
      </c>
      <c r="G7" s="753"/>
      <c r="H7" s="548"/>
      <c r="I7" s="563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</row>
    <row r="8" spans="1:34" s="323" customFormat="1" ht="47.4" customHeight="1" x14ac:dyDescent="0.25">
      <c r="A8" s="557">
        <f t="shared" ref="A8:A27" si="0">A7+1</f>
        <v>3</v>
      </c>
      <c r="B8" s="574" t="s">
        <v>212</v>
      </c>
      <c r="C8" s="751"/>
      <c r="D8" s="564"/>
      <c r="E8" s="545"/>
      <c r="F8" s="547">
        <v>1435680</v>
      </c>
      <c r="G8" s="753"/>
      <c r="H8" s="545"/>
      <c r="I8" s="563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</row>
    <row r="9" spans="1:34" s="323" customFormat="1" ht="33" customHeight="1" x14ac:dyDescent="0.25">
      <c r="A9" s="557">
        <f t="shared" si="0"/>
        <v>4</v>
      </c>
      <c r="B9" s="552" t="s">
        <v>213</v>
      </c>
      <c r="C9" s="751"/>
      <c r="D9" s="564"/>
      <c r="E9" s="545"/>
      <c r="F9" s="547">
        <v>117868.46</v>
      </c>
      <c r="G9" s="753"/>
      <c r="H9" s="545"/>
      <c r="I9" s="551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</row>
    <row r="10" spans="1:34" s="323" customFormat="1" ht="44.4" customHeight="1" x14ac:dyDescent="0.25">
      <c r="A10" s="557">
        <f t="shared" si="0"/>
        <v>5</v>
      </c>
      <c r="B10" s="558" t="s">
        <v>214</v>
      </c>
      <c r="C10" s="751"/>
      <c r="D10" s="559"/>
      <c r="E10" s="560"/>
      <c r="F10" s="561">
        <v>4049560.79</v>
      </c>
      <c r="G10" s="753"/>
      <c r="H10" s="559"/>
      <c r="I10" s="559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</row>
    <row r="11" spans="1:34" s="323" customFormat="1" ht="31.2" customHeight="1" x14ac:dyDescent="0.25">
      <c r="A11" s="557">
        <f t="shared" si="0"/>
        <v>6</v>
      </c>
      <c r="B11" s="544" t="s">
        <v>215</v>
      </c>
      <c r="C11" s="751"/>
      <c r="D11" s="545"/>
      <c r="E11" s="562"/>
      <c r="F11" s="550">
        <v>121951.34</v>
      </c>
      <c r="G11" s="753"/>
      <c r="H11" s="548"/>
      <c r="I11" s="563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</row>
    <row r="12" spans="1:34" s="323" customFormat="1" ht="33.6" customHeight="1" x14ac:dyDescent="0.25">
      <c r="A12" s="557">
        <f t="shared" si="0"/>
        <v>7</v>
      </c>
      <c r="B12" s="552" t="s">
        <v>216</v>
      </c>
      <c r="C12" s="751"/>
      <c r="D12" s="564"/>
      <c r="E12" s="545"/>
      <c r="F12" s="547">
        <v>585897.12</v>
      </c>
      <c r="G12" s="753"/>
      <c r="H12" s="545"/>
      <c r="I12" s="563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</row>
    <row r="13" spans="1:34" s="323" customFormat="1" ht="34.799999999999997" customHeight="1" x14ac:dyDescent="0.25">
      <c r="A13" s="557">
        <f t="shared" si="0"/>
        <v>8</v>
      </c>
      <c r="B13" s="558" t="s">
        <v>217</v>
      </c>
      <c r="C13" s="751"/>
      <c r="D13" s="559"/>
      <c r="E13" s="560"/>
      <c r="F13" s="561">
        <v>512538.17</v>
      </c>
      <c r="G13" s="753"/>
      <c r="H13" s="559"/>
      <c r="I13" s="559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</row>
    <row r="14" spans="1:34" s="323" customFormat="1" ht="37.799999999999997" customHeight="1" x14ac:dyDescent="0.25">
      <c r="A14" s="557">
        <f t="shared" si="0"/>
        <v>9</v>
      </c>
      <c r="B14" s="544" t="s">
        <v>218</v>
      </c>
      <c r="C14" s="751"/>
      <c r="D14" s="545"/>
      <c r="E14" s="562"/>
      <c r="F14" s="550">
        <v>5299206.9800000004</v>
      </c>
      <c r="G14" s="753"/>
      <c r="H14" s="548"/>
      <c r="I14" s="563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</row>
    <row r="15" spans="1:34" s="323" customFormat="1" ht="37.200000000000003" customHeight="1" x14ac:dyDescent="0.25">
      <c r="A15" s="557">
        <f t="shared" si="0"/>
        <v>10</v>
      </c>
      <c r="B15" s="552" t="s">
        <v>219</v>
      </c>
      <c r="C15" s="751"/>
      <c r="D15" s="564"/>
      <c r="E15" s="545"/>
      <c r="F15" s="547">
        <v>408096.48</v>
      </c>
      <c r="G15" s="753"/>
      <c r="H15" s="545"/>
      <c r="I15" s="563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</row>
    <row r="16" spans="1:34" s="323" customFormat="1" ht="33.6" customHeight="1" x14ac:dyDescent="0.25">
      <c r="A16" s="557">
        <f t="shared" si="0"/>
        <v>11</v>
      </c>
      <c r="B16" s="552" t="s">
        <v>220</v>
      </c>
      <c r="C16" s="751"/>
      <c r="D16" s="564"/>
      <c r="E16" s="545"/>
      <c r="F16" s="547">
        <v>702045.67</v>
      </c>
      <c r="G16" s="753"/>
      <c r="H16" s="545"/>
      <c r="I16" s="551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</row>
    <row r="17" spans="1:34" s="323" customFormat="1" ht="43.2" customHeight="1" x14ac:dyDescent="0.25">
      <c r="A17" s="557">
        <f t="shared" si="0"/>
        <v>12</v>
      </c>
      <c r="B17" s="558" t="s">
        <v>221</v>
      </c>
      <c r="C17" s="751"/>
      <c r="D17" s="559"/>
      <c r="E17" s="560"/>
      <c r="F17" s="561">
        <v>744021.82</v>
      </c>
      <c r="G17" s="753"/>
      <c r="H17" s="559"/>
      <c r="I17" s="559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</row>
    <row r="18" spans="1:34" s="323" customFormat="1" ht="31.8" customHeight="1" x14ac:dyDescent="0.25">
      <c r="A18" s="557">
        <f t="shared" si="0"/>
        <v>13</v>
      </c>
      <c r="B18" s="544" t="s">
        <v>222</v>
      </c>
      <c r="C18" s="751"/>
      <c r="D18" s="545"/>
      <c r="E18" s="562"/>
      <c r="F18" s="550">
        <v>2383935.7000000002</v>
      </c>
      <c r="G18" s="753"/>
      <c r="H18" s="548"/>
      <c r="I18" s="563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</row>
    <row r="19" spans="1:34" s="323" customFormat="1" ht="36.6" customHeight="1" x14ac:dyDescent="0.25">
      <c r="A19" s="557">
        <f t="shared" si="0"/>
        <v>14</v>
      </c>
      <c r="B19" s="552" t="s">
        <v>223</v>
      </c>
      <c r="C19" s="751"/>
      <c r="D19" s="564"/>
      <c r="E19" s="545"/>
      <c r="F19" s="547">
        <v>422734.58</v>
      </c>
      <c r="G19" s="753"/>
      <c r="H19" s="545"/>
      <c r="I19" s="563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</row>
    <row r="20" spans="1:34" s="323" customFormat="1" ht="44.4" customHeight="1" x14ac:dyDescent="0.25">
      <c r="A20" s="557">
        <f t="shared" si="0"/>
        <v>15</v>
      </c>
      <c r="B20" s="558" t="s">
        <v>224</v>
      </c>
      <c r="C20" s="751"/>
      <c r="D20" s="559"/>
      <c r="E20" s="560"/>
      <c r="F20" s="561">
        <v>165729.51</v>
      </c>
      <c r="G20" s="753"/>
      <c r="H20" s="559"/>
      <c r="I20" s="559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</row>
    <row r="21" spans="1:34" s="323" customFormat="1" ht="43.8" customHeight="1" x14ac:dyDescent="0.25">
      <c r="A21" s="557">
        <f t="shared" si="0"/>
        <v>16</v>
      </c>
      <c r="B21" s="544" t="s">
        <v>225</v>
      </c>
      <c r="C21" s="751"/>
      <c r="D21" s="545"/>
      <c r="E21" s="562"/>
      <c r="F21" s="550">
        <v>545571.43000000005</v>
      </c>
      <c r="G21" s="753"/>
      <c r="H21" s="548"/>
      <c r="I21" s="563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</row>
    <row r="22" spans="1:34" s="323" customFormat="1" ht="52.2" customHeight="1" x14ac:dyDescent="0.25">
      <c r="A22" s="557">
        <f t="shared" si="0"/>
        <v>17</v>
      </c>
      <c r="B22" s="552" t="s">
        <v>226</v>
      </c>
      <c r="C22" s="751"/>
      <c r="D22" s="564"/>
      <c r="E22" s="545"/>
      <c r="F22" s="547">
        <v>68093.440000000002</v>
      </c>
      <c r="G22" s="753"/>
      <c r="H22" s="545"/>
      <c r="I22" s="563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</row>
    <row r="23" spans="1:34" s="323" customFormat="1" ht="31.2" customHeight="1" x14ac:dyDescent="0.25">
      <c r="A23" s="557">
        <f t="shared" si="0"/>
        <v>18</v>
      </c>
      <c r="B23" s="552" t="s">
        <v>227</v>
      </c>
      <c r="C23" s="751"/>
      <c r="D23" s="564"/>
      <c r="E23" s="545"/>
      <c r="F23" s="547">
        <v>27263303.890000001</v>
      </c>
      <c r="G23" s="753"/>
      <c r="H23" s="545"/>
      <c r="I23" s="551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</row>
    <row r="24" spans="1:34" s="323" customFormat="1" ht="34.200000000000003" customHeight="1" x14ac:dyDescent="0.25">
      <c r="A24" s="557">
        <f t="shared" si="0"/>
        <v>19</v>
      </c>
      <c r="B24" s="558" t="s">
        <v>228</v>
      </c>
      <c r="C24" s="751"/>
      <c r="D24" s="559"/>
      <c r="E24" s="560"/>
      <c r="F24" s="746">
        <v>4885307.53</v>
      </c>
      <c r="G24" s="753"/>
      <c r="H24" s="559"/>
      <c r="I24" s="559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</row>
    <row r="25" spans="1:34" s="323" customFormat="1" ht="37.200000000000003" customHeight="1" x14ac:dyDescent="0.25">
      <c r="A25" s="557">
        <f t="shared" si="0"/>
        <v>20</v>
      </c>
      <c r="B25" s="544" t="s">
        <v>229</v>
      </c>
      <c r="C25" s="751"/>
      <c r="D25" s="545"/>
      <c r="E25" s="562"/>
      <c r="F25" s="747"/>
      <c r="G25" s="753"/>
      <c r="H25" s="548"/>
      <c r="I25" s="563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</row>
    <row r="26" spans="1:34" s="323" customFormat="1" ht="34.200000000000003" customHeight="1" x14ac:dyDescent="0.25">
      <c r="A26" s="557">
        <f t="shared" si="0"/>
        <v>21</v>
      </c>
      <c r="B26" s="552" t="s">
        <v>230</v>
      </c>
      <c r="C26" s="751"/>
      <c r="D26" s="564"/>
      <c r="E26" s="545"/>
      <c r="F26" s="547">
        <v>255500</v>
      </c>
      <c r="G26" s="753"/>
      <c r="H26" s="545"/>
      <c r="I26" s="563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</row>
    <row r="27" spans="1:34" s="323" customFormat="1" ht="39" customHeight="1" x14ac:dyDescent="0.25">
      <c r="A27" s="557">
        <f t="shared" si="0"/>
        <v>22</v>
      </c>
      <c r="B27" s="558" t="s">
        <v>231</v>
      </c>
      <c r="C27" s="752"/>
      <c r="D27" s="559"/>
      <c r="E27" s="560"/>
      <c r="F27" s="561">
        <v>220000</v>
      </c>
      <c r="G27" s="754"/>
      <c r="H27" s="559"/>
      <c r="I27" s="559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</row>
    <row r="28" spans="1:34" s="323" customFormat="1" ht="69.599999999999994" customHeight="1" x14ac:dyDescent="0.25">
      <c r="A28" s="575"/>
      <c r="B28" s="576" t="s">
        <v>236</v>
      </c>
      <c r="C28" s="577"/>
      <c r="D28" s="578">
        <v>457389.44999999995</v>
      </c>
      <c r="E28" s="579">
        <v>26059.840799999998</v>
      </c>
      <c r="F28" s="580">
        <v>481468.45</v>
      </c>
      <c r="G28" s="581" t="s">
        <v>275</v>
      </c>
      <c r="H28" s="582">
        <v>45468</v>
      </c>
      <c r="I28" s="606" t="s">
        <v>277</v>
      </c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</row>
    <row r="29" spans="1:34" s="307" customFormat="1" ht="57" customHeight="1" x14ac:dyDescent="0.25">
      <c r="A29" s="596"/>
      <c r="B29" s="597" t="s">
        <v>238</v>
      </c>
      <c r="C29" s="598" t="s">
        <v>327</v>
      </c>
      <c r="D29" s="599">
        <f>F29</f>
        <v>377607.41</v>
      </c>
      <c r="E29" s="600"/>
      <c r="F29" s="601">
        <v>377607.41</v>
      </c>
      <c r="G29" s="602" t="s">
        <v>326</v>
      </c>
      <c r="H29" s="603"/>
      <c r="I29" s="604"/>
    </row>
    <row r="30" spans="1:34" s="608" customFormat="1" ht="76.2" customHeight="1" x14ac:dyDescent="0.25">
      <c r="A30" s="640"/>
      <c r="B30" s="641" t="s">
        <v>276</v>
      </c>
      <c r="C30" s="642"/>
      <c r="D30" s="643">
        <v>114260</v>
      </c>
      <c r="E30" s="644">
        <f>F30-D30</f>
        <v>138118.65</v>
      </c>
      <c r="F30" s="645">
        <v>252378.65</v>
      </c>
      <c r="G30" s="646" t="s">
        <v>275</v>
      </c>
      <c r="H30" s="647">
        <v>45503</v>
      </c>
      <c r="I30" s="648" t="s">
        <v>294</v>
      </c>
      <c r="J30" s="607"/>
      <c r="K30" s="607"/>
      <c r="L30" s="607"/>
      <c r="M30" s="607"/>
      <c r="N30" s="607"/>
      <c r="O30" s="607"/>
      <c r="P30" s="607"/>
      <c r="Q30" s="607"/>
      <c r="R30" s="607"/>
      <c r="S30" s="607"/>
      <c r="T30" s="607"/>
      <c r="U30" s="607"/>
      <c r="V30" s="607"/>
      <c r="W30" s="607"/>
      <c r="X30" s="607"/>
      <c r="Y30" s="607"/>
      <c r="Z30" s="607"/>
      <c r="AA30" s="607"/>
      <c r="AB30" s="607"/>
      <c r="AC30" s="607"/>
      <c r="AD30" s="607"/>
      <c r="AE30" s="607"/>
      <c r="AF30" s="607"/>
      <c r="AG30" s="607"/>
      <c r="AH30" s="607"/>
    </row>
    <row r="31" spans="1:34" s="323" customFormat="1" ht="54" customHeight="1" x14ac:dyDescent="0.25">
      <c r="A31" s="557"/>
      <c r="B31" s="558" t="s">
        <v>328</v>
      </c>
      <c r="C31" s="558"/>
      <c r="D31" s="559">
        <f>F31</f>
        <v>3428000</v>
      </c>
      <c r="E31" s="560"/>
      <c r="F31" s="561">
        <v>3428000</v>
      </c>
      <c r="G31" s="671" t="s">
        <v>331</v>
      </c>
      <c r="H31" s="672">
        <v>45555</v>
      </c>
      <c r="I31" s="559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</row>
    <row r="32" spans="1:34" s="323" customFormat="1" ht="48.6" customHeight="1" x14ac:dyDescent="0.25">
      <c r="A32" s="557"/>
      <c r="B32" s="544" t="s">
        <v>329</v>
      </c>
      <c r="C32" s="544"/>
      <c r="D32" s="545">
        <f>F32</f>
        <v>298000</v>
      </c>
      <c r="E32" s="562"/>
      <c r="F32" s="550">
        <v>298000</v>
      </c>
      <c r="G32" s="673" t="s">
        <v>331</v>
      </c>
      <c r="H32" s="595">
        <v>45555</v>
      </c>
      <c r="I32" s="563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</row>
    <row r="33" spans="1:34" s="323" customFormat="1" ht="52.2" customHeight="1" x14ac:dyDescent="0.25">
      <c r="A33" s="557"/>
      <c r="B33" s="552"/>
      <c r="C33" s="552"/>
      <c r="D33" s="564"/>
      <c r="E33" s="545"/>
      <c r="F33" s="547"/>
      <c r="G33" s="553"/>
      <c r="H33" s="545"/>
      <c r="I33" s="563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</row>
    <row r="34" spans="1:34" s="323" customFormat="1" ht="45" customHeight="1" x14ac:dyDescent="0.25">
      <c r="A34" s="557"/>
      <c r="B34" s="552"/>
      <c r="C34" s="552"/>
      <c r="D34" s="564"/>
      <c r="E34" s="545"/>
      <c r="F34" s="547"/>
      <c r="G34" s="553"/>
      <c r="H34" s="545"/>
      <c r="I34" s="551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</row>
    <row r="35" spans="1:34" s="323" customFormat="1" ht="39" customHeight="1" x14ac:dyDescent="0.25">
      <c r="A35" s="557"/>
      <c r="B35" s="552"/>
      <c r="C35" s="552"/>
      <c r="D35" s="564"/>
      <c r="E35" s="545"/>
      <c r="F35" s="547"/>
      <c r="G35" s="553"/>
      <c r="H35" s="545"/>
      <c r="I35" s="573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</row>
    <row r="36" spans="1:34" s="324" customFormat="1" ht="22.8" customHeight="1" x14ac:dyDescent="0.25">
      <c r="A36" s="533"/>
      <c r="B36" s="533" t="s">
        <v>47</v>
      </c>
      <c r="C36" s="533"/>
      <c r="D36" s="534">
        <f>SUM(D6:D35)</f>
        <v>4675256.8599999994</v>
      </c>
      <c r="E36" s="534">
        <f>SUM(E6:E35)</f>
        <v>164178.4908</v>
      </c>
      <c r="F36" s="534">
        <f>SUM(F6:F35)</f>
        <v>55812857.090000004</v>
      </c>
      <c r="G36" s="534"/>
      <c r="H36" s="534"/>
      <c r="I36" s="534"/>
    </row>
    <row r="37" spans="1:34" ht="19.8" customHeight="1" x14ac:dyDescent="0.25">
      <c r="D37" s="339"/>
      <c r="E37" s="339"/>
      <c r="F37" s="339"/>
      <c r="G37" s="339"/>
      <c r="H37" s="339"/>
      <c r="I37" s="339"/>
    </row>
    <row r="38" spans="1:34" x14ac:dyDescent="0.25">
      <c r="D38" s="339"/>
      <c r="E38" s="339"/>
      <c r="F38" s="339"/>
      <c r="G38" s="339"/>
      <c r="H38" s="339"/>
      <c r="I38" s="339"/>
    </row>
    <row r="39" spans="1:34" x14ac:dyDescent="0.25">
      <c r="D39" s="339"/>
      <c r="E39" s="339"/>
      <c r="F39" s="339"/>
      <c r="G39" s="339"/>
      <c r="H39" s="339"/>
      <c r="I39" s="339"/>
    </row>
    <row r="40" spans="1:34" x14ac:dyDescent="0.25">
      <c r="D40" s="339"/>
      <c r="E40" s="339"/>
      <c r="F40" s="339"/>
      <c r="G40" s="339"/>
      <c r="H40" s="339"/>
      <c r="I40" s="339"/>
    </row>
  </sheetData>
  <mergeCells count="14">
    <mergeCell ref="F24:F25"/>
    <mergeCell ref="D3:F3"/>
    <mergeCell ref="C4:C5"/>
    <mergeCell ref="C6:C27"/>
    <mergeCell ref="G6:G27"/>
    <mergeCell ref="A1:I2"/>
    <mergeCell ref="A4:A5"/>
    <mergeCell ref="D4:D5"/>
    <mergeCell ref="I4:I5"/>
    <mergeCell ref="B4:B5"/>
    <mergeCell ref="F4:F5"/>
    <mergeCell ref="E4:E5"/>
    <mergeCell ref="G4:G5"/>
    <mergeCell ref="H4:H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1"/>
  <sheetViews>
    <sheetView showWhiteSpace="0" view="pageBreakPreview" zoomScale="50" zoomScaleNormal="80" zoomScaleSheetLayoutView="50" workbookViewId="0">
      <pane xSplit="2" ySplit="4" topLeftCell="C68" activePane="bottomRight" state="frozen"/>
      <selection pane="topRight" activeCell="C1" sqref="C1"/>
      <selection pane="bottomLeft" activeCell="A6" sqref="A6"/>
      <selection pane="bottomRight" activeCell="H75" sqref="H75"/>
    </sheetView>
  </sheetViews>
  <sheetFormatPr defaultColWidth="9.109375" defaultRowHeight="18" outlineLevelRow="1" x14ac:dyDescent="0.35"/>
  <cols>
    <col min="1" max="1" width="10.44140625" style="308" customWidth="1"/>
    <col min="2" max="2" width="56.33203125" style="308" customWidth="1"/>
    <col min="3" max="3" width="18.6640625" style="342" customWidth="1"/>
    <col min="4" max="4" width="13.77734375" style="342" customWidth="1"/>
    <col min="5" max="5" width="21.6640625" style="342" customWidth="1"/>
    <col min="6" max="6" width="19.88671875" style="342" customWidth="1"/>
    <col min="7" max="7" width="22.33203125" style="342" customWidth="1"/>
    <col min="8" max="8" width="32.109375" style="342" customWidth="1"/>
    <col min="9" max="9" width="18.5546875" style="594" customWidth="1"/>
    <col min="10" max="10" width="30.6640625" style="342" customWidth="1"/>
    <col min="11" max="11" width="26.6640625" style="630" hidden="1" customWidth="1"/>
    <col min="12" max="16384" width="9.109375" style="308"/>
  </cols>
  <sheetData>
    <row r="1" spans="1:35" ht="16.95" customHeight="1" x14ac:dyDescent="0.35">
      <c r="A1" s="736" t="s">
        <v>198</v>
      </c>
      <c r="B1" s="736"/>
      <c r="C1" s="736"/>
      <c r="D1" s="736"/>
      <c r="E1" s="736"/>
      <c r="F1" s="736"/>
      <c r="G1" s="736"/>
      <c r="H1" s="736"/>
      <c r="I1" s="736"/>
      <c r="J1" s="736"/>
    </row>
    <row r="2" spans="1:35" ht="59.4" customHeight="1" x14ac:dyDescent="0.35">
      <c r="A2" s="772"/>
      <c r="B2" s="772"/>
      <c r="C2" s="772"/>
      <c r="D2" s="772"/>
      <c r="E2" s="772"/>
      <c r="F2" s="772"/>
      <c r="G2" s="772"/>
      <c r="H2" s="772"/>
      <c r="I2" s="772"/>
      <c r="J2" s="772"/>
    </row>
    <row r="3" spans="1:35" ht="24" customHeight="1" x14ac:dyDescent="0.35">
      <c r="A3" s="773" t="s">
        <v>124</v>
      </c>
      <c r="B3" s="778" t="s">
        <v>185</v>
      </c>
      <c r="C3" s="779" t="s">
        <v>193</v>
      </c>
      <c r="D3" s="775" t="s">
        <v>194</v>
      </c>
      <c r="E3" s="776"/>
      <c r="F3" s="776"/>
      <c r="G3" s="776"/>
      <c r="H3" s="776"/>
      <c r="I3" s="777"/>
      <c r="J3" s="773" t="s">
        <v>189</v>
      </c>
    </row>
    <row r="4" spans="1:35" ht="40.799999999999997" customHeight="1" x14ac:dyDescent="0.35">
      <c r="A4" s="774"/>
      <c r="B4" s="778"/>
      <c r="C4" s="780"/>
      <c r="D4" s="535" t="s">
        <v>126</v>
      </c>
      <c r="E4" s="535" t="s">
        <v>196</v>
      </c>
      <c r="F4" s="536" t="s">
        <v>191</v>
      </c>
      <c r="G4" s="536" t="s">
        <v>190</v>
      </c>
      <c r="H4" s="535" t="s">
        <v>9</v>
      </c>
      <c r="I4" s="589" t="s">
        <v>188</v>
      </c>
      <c r="J4" s="774"/>
      <c r="K4" s="630" t="s">
        <v>281</v>
      </c>
    </row>
    <row r="5" spans="1:35" s="323" customFormat="1" ht="31.2" customHeight="1" x14ac:dyDescent="0.25">
      <c r="A5" s="543"/>
      <c r="B5" s="583" t="s">
        <v>239</v>
      </c>
      <c r="C5" s="545"/>
      <c r="D5" s="546"/>
      <c r="E5" s="547"/>
      <c r="F5" s="545">
        <v>0</v>
      </c>
      <c r="G5" s="586"/>
      <c r="H5" s="545"/>
      <c r="I5" s="590"/>
      <c r="J5" s="548"/>
      <c r="K5" s="631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41.4" customHeight="1" outlineLevel="1" x14ac:dyDescent="0.25">
      <c r="A6" s="610"/>
      <c r="B6" s="611" t="s">
        <v>210</v>
      </c>
      <c r="C6" s="612"/>
      <c r="D6" s="613" t="s">
        <v>278</v>
      </c>
      <c r="E6" s="614">
        <v>12324.5</v>
      </c>
      <c r="F6" s="615">
        <v>5635.7519999999995</v>
      </c>
      <c r="G6" s="616">
        <f>E6-F6</f>
        <v>6688.7480000000005</v>
      </c>
      <c r="H6" s="649"/>
      <c r="I6" s="635"/>
      <c r="J6" s="618" t="s">
        <v>283</v>
      </c>
      <c r="K6" s="631">
        <f>E6</f>
        <v>12324.5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46.8" customHeight="1" outlineLevel="1" x14ac:dyDescent="0.25">
      <c r="A7" s="543"/>
      <c r="B7" s="756" t="s">
        <v>211</v>
      </c>
      <c r="C7" s="757"/>
      <c r="D7" s="546" t="s">
        <v>258</v>
      </c>
      <c r="E7" s="547">
        <v>270698.92</v>
      </c>
      <c r="F7" s="545">
        <v>9303.3959999999988</v>
      </c>
      <c r="G7" s="587">
        <f>E7-F7</f>
        <v>261395.52399999998</v>
      </c>
      <c r="H7" s="650"/>
      <c r="I7" s="588"/>
      <c r="J7" s="760" t="s">
        <v>283</v>
      </c>
      <c r="K7" s="755">
        <f>E7+E8</f>
        <v>1149199.28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6.8" customHeight="1" outlineLevel="1" x14ac:dyDescent="0.25">
      <c r="A8" s="543"/>
      <c r="B8" s="758"/>
      <c r="C8" s="759"/>
      <c r="D8" s="546" t="s">
        <v>279</v>
      </c>
      <c r="E8" s="547">
        <v>878500.36</v>
      </c>
      <c r="F8" s="545">
        <v>297661.7</v>
      </c>
      <c r="G8" s="587">
        <f>E8-F8</f>
        <v>580838.65999999992</v>
      </c>
      <c r="H8" s="650"/>
      <c r="I8" s="590"/>
      <c r="J8" s="761"/>
      <c r="K8" s="755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53.4" customHeight="1" outlineLevel="1" x14ac:dyDescent="0.25">
      <c r="A9" s="610"/>
      <c r="B9" s="611" t="s">
        <v>212</v>
      </c>
      <c r="C9" s="615"/>
      <c r="D9" s="626" t="s">
        <v>259</v>
      </c>
      <c r="E9" s="627">
        <v>1410108.04</v>
      </c>
      <c r="F9" s="615">
        <v>1203914.892</v>
      </c>
      <c r="G9" s="616">
        <f t="shared" ref="G9:G72" si="0">E9-F9</f>
        <v>206193.14800000004</v>
      </c>
      <c r="H9" s="651"/>
      <c r="I9" s="635"/>
      <c r="J9" s="612" t="s">
        <v>283</v>
      </c>
      <c r="K9" s="631">
        <f>E9</f>
        <v>1410108.04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40.200000000000003" customHeight="1" outlineLevel="1" x14ac:dyDescent="0.25">
      <c r="A10" s="543"/>
      <c r="B10" s="756" t="s">
        <v>213</v>
      </c>
      <c r="C10" s="757"/>
      <c r="D10" s="549" t="s">
        <v>260</v>
      </c>
      <c r="E10" s="550">
        <v>24870.04</v>
      </c>
      <c r="F10" s="545">
        <v>10154.412</v>
      </c>
      <c r="G10" s="587">
        <f t="shared" si="0"/>
        <v>14715.628000000001</v>
      </c>
      <c r="H10" s="650"/>
      <c r="I10" s="590"/>
      <c r="J10" s="760" t="s">
        <v>284</v>
      </c>
      <c r="K10" s="755">
        <f>E10+E11</f>
        <v>84548.68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40.200000000000003" customHeight="1" outlineLevel="1" x14ac:dyDescent="0.25">
      <c r="A11" s="543"/>
      <c r="B11" s="758"/>
      <c r="C11" s="759"/>
      <c r="D11" s="549" t="s">
        <v>280</v>
      </c>
      <c r="E11" s="605">
        <v>59678.64</v>
      </c>
      <c r="F11" s="545">
        <f>9434.59*1.2</f>
        <v>11321.508</v>
      </c>
      <c r="G11" s="587">
        <f>E11-F11</f>
        <v>48357.131999999998</v>
      </c>
      <c r="H11" s="650"/>
      <c r="I11" s="590"/>
      <c r="J11" s="761"/>
      <c r="K11" s="75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34.200000000000003" customHeight="1" outlineLevel="1" x14ac:dyDescent="0.25">
      <c r="A12" s="610"/>
      <c r="B12" s="764" t="s">
        <v>214</v>
      </c>
      <c r="C12" s="765"/>
      <c r="D12" s="626" t="s">
        <v>261</v>
      </c>
      <c r="E12" s="627">
        <v>3500757.3840000001</v>
      </c>
      <c r="F12" s="615">
        <v>204032.856</v>
      </c>
      <c r="G12" s="616">
        <f t="shared" si="0"/>
        <v>3296724.5279999999</v>
      </c>
      <c r="H12" s="651"/>
      <c r="I12" s="634"/>
      <c r="J12" s="768" t="s">
        <v>283</v>
      </c>
      <c r="K12" s="631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34.200000000000003" customHeight="1" outlineLevel="1" x14ac:dyDescent="0.25">
      <c r="A13" s="610"/>
      <c r="B13" s="766"/>
      <c r="C13" s="767"/>
      <c r="D13" s="626" t="s">
        <v>311</v>
      </c>
      <c r="E13" s="627">
        <v>529231.07999999996</v>
      </c>
      <c r="F13" s="615"/>
      <c r="G13" s="616">
        <f>E13</f>
        <v>529231.07999999996</v>
      </c>
      <c r="H13" s="651"/>
      <c r="I13" s="635"/>
      <c r="J13" s="769"/>
      <c r="K13" s="631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44.4" customHeight="1" outlineLevel="1" x14ac:dyDescent="0.25">
      <c r="A14" s="543"/>
      <c r="B14" s="756" t="s">
        <v>215</v>
      </c>
      <c r="C14" s="757"/>
      <c r="D14" s="546" t="s">
        <v>262</v>
      </c>
      <c r="E14" s="547">
        <v>124618.82</v>
      </c>
      <c r="F14" s="545">
        <v>120493.224</v>
      </c>
      <c r="G14" s="587">
        <f t="shared" si="0"/>
        <v>4125.596000000005</v>
      </c>
      <c r="H14" s="650"/>
      <c r="I14" s="590"/>
      <c r="J14" s="762" t="s">
        <v>283</v>
      </c>
      <c r="K14" s="755">
        <f>E14+E15</f>
        <v>159521.14000000001</v>
      </c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4.4" customHeight="1" outlineLevel="1" x14ac:dyDescent="0.25">
      <c r="A15" s="543"/>
      <c r="B15" s="758"/>
      <c r="C15" s="759"/>
      <c r="D15" s="546" t="s">
        <v>282</v>
      </c>
      <c r="E15" s="605">
        <v>34902.32</v>
      </c>
      <c r="F15" s="545">
        <f>1167.21*1.2</f>
        <v>1400.652</v>
      </c>
      <c r="G15" s="587">
        <f>E15-F15</f>
        <v>33501.667999999998</v>
      </c>
      <c r="H15" s="650"/>
      <c r="I15" s="590"/>
      <c r="J15" s="763"/>
      <c r="K15" s="755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43.8" customHeight="1" outlineLevel="1" x14ac:dyDescent="0.25">
      <c r="A16" s="610"/>
      <c r="B16" s="611" t="s">
        <v>216</v>
      </c>
      <c r="C16" s="612"/>
      <c r="D16" s="613"/>
      <c r="E16" s="614"/>
      <c r="F16" s="615">
        <v>0</v>
      </c>
      <c r="G16" s="616">
        <f t="shared" si="0"/>
        <v>0</v>
      </c>
      <c r="H16" s="652"/>
      <c r="I16" s="635"/>
      <c r="J16" s="618"/>
      <c r="K16" s="631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07" customFormat="1" ht="35.4" customHeight="1" outlineLevel="1" x14ac:dyDescent="0.25">
      <c r="A17" s="619"/>
      <c r="B17" s="781" t="s">
        <v>217</v>
      </c>
      <c r="C17" s="782"/>
      <c r="D17" s="636" t="s">
        <v>312</v>
      </c>
      <c r="E17" s="601">
        <v>342716.66</v>
      </c>
      <c r="F17" s="600">
        <f>173751.78*1.2</f>
        <v>208502.136</v>
      </c>
      <c r="G17" s="624">
        <f>E17-F17</f>
        <v>134214.52399999998</v>
      </c>
      <c r="H17" s="661"/>
      <c r="I17" s="667"/>
      <c r="J17" s="637"/>
      <c r="K17" s="638"/>
    </row>
    <row r="18" spans="1:35" s="307" customFormat="1" ht="35.4" customHeight="1" outlineLevel="1" x14ac:dyDescent="0.25">
      <c r="A18" s="619"/>
      <c r="B18" s="783"/>
      <c r="C18" s="784"/>
      <c r="D18" s="636" t="s">
        <v>316</v>
      </c>
      <c r="E18" s="601">
        <v>153264.70000000001</v>
      </c>
      <c r="F18" s="600">
        <f>103692.08*1.2</f>
        <v>124430.496</v>
      </c>
      <c r="G18" s="624">
        <f>E18-F18</f>
        <v>28834.204000000012</v>
      </c>
      <c r="H18" s="661" t="s">
        <v>326</v>
      </c>
      <c r="I18" s="625"/>
      <c r="J18" s="665"/>
      <c r="K18" s="638"/>
    </row>
    <row r="19" spans="1:35" s="323" customFormat="1" ht="31.2" customHeight="1" outlineLevel="1" x14ac:dyDescent="0.25">
      <c r="A19" s="610"/>
      <c r="B19" s="785" t="s">
        <v>218</v>
      </c>
      <c r="C19" s="786"/>
      <c r="D19" s="626" t="s">
        <v>285</v>
      </c>
      <c r="E19" s="627">
        <v>718425.36</v>
      </c>
      <c r="F19" s="615">
        <f>217956.39*1.2</f>
        <v>261547.66800000001</v>
      </c>
      <c r="G19" s="616">
        <f t="shared" si="0"/>
        <v>456877.69199999998</v>
      </c>
      <c r="H19" s="649"/>
      <c r="I19" s="635"/>
      <c r="J19" s="612"/>
      <c r="K19" s="631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31.2" customHeight="1" outlineLevel="1" x14ac:dyDescent="0.25">
      <c r="A20" s="610"/>
      <c r="B20" s="787"/>
      <c r="C20" s="788"/>
      <c r="D20" s="626" t="s">
        <v>313</v>
      </c>
      <c r="E20" s="614">
        <v>1241598.96</v>
      </c>
      <c r="F20" s="615">
        <f>687539.28*1.2</f>
        <v>825047.13600000006</v>
      </c>
      <c r="G20" s="616">
        <f>E20-F20</f>
        <v>416551.82399999991</v>
      </c>
      <c r="H20" s="649"/>
      <c r="I20" s="635"/>
      <c r="J20" s="659"/>
      <c r="K20" s="631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31.2" customHeight="1" outlineLevel="1" x14ac:dyDescent="0.25">
      <c r="A21" s="610"/>
      <c r="B21" s="789"/>
      <c r="C21" s="790"/>
      <c r="D21" s="626" t="s">
        <v>317</v>
      </c>
      <c r="E21" s="614">
        <v>29198.560000000001</v>
      </c>
      <c r="F21" s="615"/>
      <c r="G21" s="616">
        <f>E21</f>
        <v>29198.560000000001</v>
      </c>
      <c r="H21" s="649" t="s">
        <v>326</v>
      </c>
      <c r="I21" s="617"/>
      <c r="J21" s="664"/>
      <c r="K21" s="631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07" customFormat="1" ht="37.200000000000003" customHeight="1" outlineLevel="1" x14ac:dyDescent="0.25">
      <c r="A22" s="619"/>
      <c r="B22" s="620" t="s">
        <v>219</v>
      </c>
      <c r="C22" s="621"/>
      <c r="D22" s="622" t="s">
        <v>286</v>
      </c>
      <c r="E22" s="623">
        <v>383834.03</v>
      </c>
      <c r="F22" s="600">
        <f>53776.66*1.2</f>
        <v>64531.991999999998</v>
      </c>
      <c r="G22" s="624">
        <f t="shared" si="0"/>
        <v>319302.03800000006</v>
      </c>
      <c r="H22" s="653"/>
      <c r="I22" s="666"/>
      <c r="J22" s="604" t="s">
        <v>283</v>
      </c>
      <c r="K22" s="638">
        <f>E22</f>
        <v>383834.03</v>
      </c>
    </row>
    <row r="23" spans="1:35" s="323" customFormat="1" ht="29.4" customHeight="1" outlineLevel="1" x14ac:dyDescent="0.25">
      <c r="A23" s="610"/>
      <c r="B23" s="764" t="s">
        <v>220</v>
      </c>
      <c r="C23" s="765"/>
      <c r="D23" s="626" t="s">
        <v>287</v>
      </c>
      <c r="E23" s="627">
        <v>611563.93000000005</v>
      </c>
      <c r="F23" s="615">
        <f>142784.19*1.2</f>
        <v>171341.02799999999</v>
      </c>
      <c r="G23" s="616">
        <f>E23-F23</f>
        <v>440222.90200000006</v>
      </c>
      <c r="H23" s="654"/>
      <c r="I23" s="668"/>
      <c r="J23" s="629"/>
      <c r="K23" s="631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29.4" customHeight="1" outlineLevel="1" x14ac:dyDescent="0.25">
      <c r="A24" s="610"/>
      <c r="B24" s="766"/>
      <c r="C24" s="767"/>
      <c r="D24" s="626" t="s">
        <v>314</v>
      </c>
      <c r="E24" s="627">
        <v>258127.72</v>
      </c>
      <c r="F24" s="615">
        <f>20576.74*1.2</f>
        <v>24692.088</v>
      </c>
      <c r="G24" s="616">
        <f>E24-F24</f>
        <v>233435.63200000001</v>
      </c>
      <c r="H24" s="654"/>
      <c r="I24" s="669"/>
      <c r="J24" s="660"/>
      <c r="K24" s="631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07" customFormat="1" ht="35.4" customHeight="1" outlineLevel="1" x14ac:dyDescent="0.25">
      <c r="A25" s="619"/>
      <c r="B25" s="620" t="s">
        <v>221</v>
      </c>
      <c r="C25" s="600"/>
      <c r="D25" s="636" t="s">
        <v>288</v>
      </c>
      <c r="E25" s="601">
        <v>86531.94</v>
      </c>
      <c r="F25" s="600">
        <f>52775*1.2</f>
        <v>63330</v>
      </c>
      <c r="G25" s="624">
        <f t="shared" si="0"/>
        <v>23201.940000000002</v>
      </c>
      <c r="H25" s="653"/>
      <c r="I25" s="670"/>
      <c r="J25" s="621"/>
      <c r="K25" s="638"/>
    </row>
    <row r="26" spans="1:35" s="323" customFormat="1" ht="44.4" customHeight="1" outlineLevel="1" x14ac:dyDescent="0.25">
      <c r="A26" s="610"/>
      <c r="B26" s="770" t="s">
        <v>222</v>
      </c>
      <c r="C26" s="612"/>
      <c r="D26" s="613" t="s">
        <v>53</v>
      </c>
      <c r="E26" s="614">
        <v>783940.68</v>
      </c>
      <c r="F26" s="615">
        <v>407415</v>
      </c>
      <c r="G26" s="616">
        <f t="shared" si="0"/>
        <v>376525.68000000005</v>
      </c>
      <c r="H26" s="649"/>
      <c r="I26" s="635"/>
      <c r="J26" s="618"/>
      <c r="K26" s="631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44.4" customHeight="1" outlineLevel="1" x14ac:dyDescent="0.25">
      <c r="A27" s="610"/>
      <c r="B27" s="771"/>
      <c r="C27" s="612"/>
      <c r="D27" s="613" t="s">
        <v>263</v>
      </c>
      <c r="E27" s="614">
        <v>199344.06</v>
      </c>
      <c r="F27" s="615">
        <v>198485.65199999997</v>
      </c>
      <c r="G27" s="616">
        <f t="shared" si="0"/>
        <v>858.40800000002491</v>
      </c>
      <c r="H27" s="649"/>
      <c r="I27" s="635"/>
      <c r="J27" s="618"/>
      <c r="K27" s="631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34.200000000000003" customHeight="1" outlineLevel="1" x14ac:dyDescent="0.25">
      <c r="A28" s="543"/>
      <c r="B28" s="552" t="s">
        <v>223</v>
      </c>
      <c r="C28" s="545"/>
      <c r="D28" s="546"/>
      <c r="E28" s="547"/>
      <c r="F28" s="545" t="s">
        <v>153</v>
      </c>
      <c r="G28" s="587"/>
      <c r="H28" s="655"/>
      <c r="I28" s="588"/>
      <c r="J28" s="554"/>
      <c r="K28" s="631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3.8" customHeight="1" outlineLevel="1" x14ac:dyDescent="0.25">
      <c r="A29" s="610"/>
      <c r="B29" s="764" t="s">
        <v>224</v>
      </c>
      <c r="C29" s="765"/>
      <c r="D29" s="626" t="s">
        <v>264</v>
      </c>
      <c r="E29" s="627">
        <v>178566.07</v>
      </c>
      <c r="F29" s="615">
        <v>178566.07199999999</v>
      </c>
      <c r="G29" s="616">
        <f t="shared" si="0"/>
        <v>-1.9999999785795808E-3</v>
      </c>
      <c r="H29" s="649"/>
      <c r="I29" s="635"/>
      <c r="J29" s="795" t="s">
        <v>283</v>
      </c>
      <c r="K29" s="631">
        <f>E29+E30</f>
        <v>215759.07</v>
      </c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43.8" customHeight="1" outlineLevel="1" x14ac:dyDescent="0.25">
      <c r="A30" s="610"/>
      <c r="B30" s="766"/>
      <c r="C30" s="767"/>
      <c r="D30" s="626" t="s">
        <v>289</v>
      </c>
      <c r="E30" s="614">
        <v>37193</v>
      </c>
      <c r="F30" s="615">
        <f>2050.98*1.2</f>
        <v>2461.1759999999999</v>
      </c>
      <c r="G30" s="616">
        <f>E30-F30</f>
        <v>34731.824000000001</v>
      </c>
      <c r="H30" s="649"/>
      <c r="I30" s="635"/>
      <c r="J30" s="796"/>
      <c r="K30" s="631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46.8" customHeight="1" x14ac:dyDescent="0.25">
      <c r="A31" s="543"/>
      <c r="B31" s="583" t="s">
        <v>240</v>
      </c>
      <c r="C31" s="548"/>
      <c r="D31" s="549"/>
      <c r="E31" s="550"/>
      <c r="F31" s="545">
        <v>0</v>
      </c>
      <c r="G31" s="587">
        <f t="shared" si="0"/>
        <v>0</v>
      </c>
      <c r="H31" s="656"/>
      <c r="I31" s="590"/>
      <c r="J31" s="551"/>
      <c r="K31" s="631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49.2" customHeight="1" x14ac:dyDescent="0.25">
      <c r="A32" s="610"/>
      <c r="B32" s="764" t="s">
        <v>225</v>
      </c>
      <c r="C32" s="765"/>
      <c r="D32" s="626" t="s">
        <v>53</v>
      </c>
      <c r="E32" s="627">
        <v>61034</v>
      </c>
      <c r="F32" s="615">
        <v>30763.7</v>
      </c>
      <c r="G32" s="616">
        <v>30270.3</v>
      </c>
      <c r="H32" s="651"/>
      <c r="I32" s="634"/>
      <c r="J32" s="768" t="s">
        <v>283</v>
      </c>
      <c r="K32" s="631">
        <f>E32+E33+E34</f>
        <v>316265.55</v>
      </c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49.2" customHeight="1" x14ac:dyDescent="0.25">
      <c r="A33" s="610"/>
      <c r="B33" s="791"/>
      <c r="C33" s="792"/>
      <c r="D33" s="626" t="s">
        <v>265</v>
      </c>
      <c r="E33" s="627">
        <v>23226</v>
      </c>
      <c r="F33" s="615">
        <v>11699.651999999998</v>
      </c>
      <c r="G33" s="616">
        <f>E33-F33</f>
        <v>11526.348000000002</v>
      </c>
      <c r="H33" s="651"/>
      <c r="I33" s="635"/>
      <c r="J33" s="797"/>
      <c r="K33" s="631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49.2" customHeight="1" x14ac:dyDescent="0.25">
      <c r="A34" s="610"/>
      <c r="B34" s="766"/>
      <c r="C34" s="767"/>
      <c r="D34" s="626" t="s">
        <v>290</v>
      </c>
      <c r="E34" s="627">
        <v>232005.55</v>
      </c>
      <c r="F34" s="615">
        <f>122858.62*1.2</f>
        <v>147430.34399999998</v>
      </c>
      <c r="G34" s="616">
        <f>E34-F34</f>
        <v>84575.206000000006</v>
      </c>
      <c r="H34" s="651"/>
      <c r="I34" s="635"/>
      <c r="J34" s="769"/>
      <c r="K34" s="631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3" customFormat="1" ht="34.200000000000003" customHeight="1" x14ac:dyDescent="0.25">
      <c r="A35" s="543"/>
      <c r="B35" s="583" t="s">
        <v>241</v>
      </c>
      <c r="C35" s="545"/>
      <c r="D35" s="546"/>
      <c r="E35" s="547"/>
      <c r="F35" s="545">
        <v>0</v>
      </c>
      <c r="G35" s="587">
        <f t="shared" si="0"/>
        <v>0</v>
      </c>
      <c r="H35" s="656"/>
      <c r="I35" s="590"/>
      <c r="J35" s="548"/>
      <c r="K35" s="631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</row>
    <row r="36" spans="1:35" s="323" customFormat="1" ht="39" customHeight="1" x14ac:dyDescent="0.25">
      <c r="A36" s="610"/>
      <c r="B36" s="764" t="s">
        <v>226</v>
      </c>
      <c r="C36" s="765"/>
      <c r="D36" s="613" t="s">
        <v>291</v>
      </c>
      <c r="E36" s="614">
        <v>7303.6</v>
      </c>
      <c r="F36" s="615">
        <f>820.38*1.2</f>
        <v>984.4559999999999</v>
      </c>
      <c r="G36" s="616">
        <f t="shared" si="0"/>
        <v>6319.1440000000002</v>
      </c>
      <c r="H36" s="649"/>
      <c r="I36" s="635"/>
      <c r="J36" s="768" t="s">
        <v>283</v>
      </c>
      <c r="K36" s="631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</row>
    <row r="37" spans="1:35" s="323" customFormat="1" ht="39" customHeight="1" x14ac:dyDescent="0.25">
      <c r="A37" s="610"/>
      <c r="B37" s="766"/>
      <c r="C37" s="767"/>
      <c r="D37" s="613" t="s">
        <v>315</v>
      </c>
      <c r="E37" s="614">
        <v>14157.94</v>
      </c>
      <c r="F37" s="615">
        <f>9255.65*1.2</f>
        <v>11106.779999999999</v>
      </c>
      <c r="G37" s="616">
        <f t="shared" si="0"/>
        <v>3051.1600000000017</v>
      </c>
      <c r="H37" s="649"/>
      <c r="I37" s="635"/>
      <c r="J37" s="769"/>
      <c r="K37" s="631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</row>
    <row r="38" spans="1:35" s="323" customFormat="1" ht="33.6" customHeight="1" x14ac:dyDescent="0.25">
      <c r="A38" s="543"/>
      <c r="B38" s="584" t="s">
        <v>227</v>
      </c>
      <c r="C38" s="545"/>
      <c r="D38" s="546"/>
      <c r="E38" s="547"/>
      <c r="F38" s="545" t="s">
        <v>153</v>
      </c>
      <c r="G38" s="587"/>
      <c r="H38" s="655"/>
      <c r="I38" s="588"/>
      <c r="J38" s="554"/>
      <c r="K38" s="631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</row>
    <row r="39" spans="1:35" s="323" customFormat="1" ht="39.6" customHeight="1" outlineLevel="1" x14ac:dyDescent="0.25">
      <c r="A39" s="610"/>
      <c r="B39" s="764" t="s">
        <v>242</v>
      </c>
      <c r="C39" s="765"/>
      <c r="D39" s="626" t="s">
        <v>266</v>
      </c>
      <c r="E39" s="627">
        <v>536061.1</v>
      </c>
      <c r="F39" s="615">
        <v>378313.17599999998</v>
      </c>
      <c r="G39" s="616">
        <f t="shared" si="0"/>
        <v>157747.924</v>
      </c>
      <c r="H39" s="649"/>
      <c r="I39" s="635"/>
      <c r="J39" s="639"/>
      <c r="K39" s="631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</row>
    <row r="40" spans="1:35" s="323" customFormat="1" ht="39.6" customHeight="1" outlineLevel="1" x14ac:dyDescent="0.25">
      <c r="A40" s="610"/>
      <c r="B40" s="791"/>
      <c r="C40" s="792"/>
      <c r="D40" s="626" t="s">
        <v>295</v>
      </c>
      <c r="E40" s="614">
        <v>198934.63</v>
      </c>
      <c r="F40" s="615">
        <f>1161.76*1.2</f>
        <v>1394.1119999999999</v>
      </c>
      <c r="G40" s="616">
        <f>E40-F40</f>
        <v>197540.51800000001</v>
      </c>
      <c r="H40" s="649"/>
      <c r="I40" s="635"/>
      <c r="J40" s="639"/>
      <c r="K40" s="631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</row>
    <row r="41" spans="1:35" s="323" customFormat="1" ht="39.6" customHeight="1" outlineLevel="1" x14ac:dyDescent="0.25">
      <c r="A41" s="610"/>
      <c r="B41" s="766"/>
      <c r="C41" s="767"/>
      <c r="D41" s="626" t="s">
        <v>318</v>
      </c>
      <c r="E41" s="614">
        <v>39278.89</v>
      </c>
      <c r="F41" s="615"/>
      <c r="G41" s="616">
        <f>E41</f>
        <v>39278.89</v>
      </c>
      <c r="H41" s="649" t="s">
        <v>326</v>
      </c>
      <c r="I41" s="617"/>
      <c r="J41" s="664"/>
      <c r="K41" s="631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</row>
    <row r="42" spans="1:35" s="323" customFormat="1" ht="35.4" customHeight="1" outlineLevel="1" x14ac:dyDescent="0.25">
      <c r="A42" s="543"/>
      <c r="B42" s="756" t="s">
        <v>243</v>
      </c>
      <c r="C42" s="757"/>
      <c r="D42" s="549" t="s">
        <v>296</v>
      </c>
      <c r="E42" s="550">
        <v>2341190.92</v>
      </c>
      <c r="F42" s="545">
        <f>E42</f>
        <v>2341190.92</v>
      </c>
      <c r="G42" s="587">
        <f t="shared" si="0"/>
        <v>0</v>
      </c>
      <c r="H42" s="657"/>
      <c r="I42" s="590"/>
      <c r="J42" s="551"/>
      <c r="K42" s="631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</row>
    <row r="43" spans="1:35" s="323" customFormat="1" ht="35.4" customHeight="1" outlineLevel="1" x14ac:dyDescent="0.25">
      <c r="A43" s="543"/>
      <c r="B43" s="758"/>
      <c r="C43" s="759"/>
      <c r="D43" s="549" t="s">
        <v>319</v>
      </c>
      <c r="E43" s="662">
        <v>687170.38</v>
      </c>
      <c r="F43" s="545">
        <f>E43</f>
        <v>687170.38</v>
      </c>
      <c r="G43" s="587"/>
      <c r="H43" s="657" t="s">
        <v>326</v>
      </c>
      <c r="I43" s="595"/>
      <c r="J43" s="551"/>
      <c r="K43" s="631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</row>
    <row r="44" spans="1:35" s="323" customFormat="1" ht="39.6" customHeight="1" outlineLevel="1" x14ac:dyDescent="0.25">
      <c r="A44" s="610"/>
      <c r="B44" s="764" t="s">
        <v>244</v>
      </c>
      <c r="C44" s="765"/>
      <c r="D44" s="613" t="s">
        <v>267</v>
      </c>
      <c r="E44" s="614">
        <v>7540.97</v>
      </c>
      <c r="F44" s="615">
        <f>E44</f>
        <v>7540.97</v>
      </c>
      <c r="G44" s="616">
        <f t="shared" si="0"/>
        <v>0</v>
      </c>
      <c r="H44" s="649"/>
      <c r="I44" s="635"/>
      <c r="J44" s="618"/>
      <c r="K44" s="631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</row>
    <row r="45" spans="1:35" s="323" customFormat="1" ht="39.6" customHeight="1" outlineLevel="1" x14ac:dyDescent="0.25">
      <c r="A45" s="610"/>
      <c r="B45" s="766"/>
      <c r="C45" s="767"/>
      <c r="D45" s="613" t="s">
        <v>297</v>
      </c>
      <c r="E45" s="614">
        <f>F45</f>
        <v>14204.291999999999</v>
      </c>
      <c r="F45" s="615">
        <f>11836.91*1.2</f>
        <v>14204.291999999999</v>
      </c>
      <c r="G45" s="616"/>
      <c r="H45" s="649"/>
      <c r="I45" s="635"/>
      <c r="J45" s="618"/>
      <c r="K45" s="631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</row>
    <row r="46" spans="1:35" s="323" customFormat="1" ht="32.4" customHeight="1" outlineLevel="1" x14ac:dyDescent="0.25">
      <c r="A46" s="543"/>
      <c r="B46" s="552" t="s">
        <v>245</v>
      </c>
      <c r="C46" s="545"/>
      <c r="D46" s="546" t="s">
        <v>298</v>
      </c>
      <c r="E46" s="547">
        <v>1108232.3400000001</v>
      </c>
      <c r="F46" s="545">
        <f>E46</f>
        <v>1108232.3400000001</v>
      </c>
      <c r="G46" s="587"/>
      <c r="H46" s="650"/>
      <c r="I46" s="588"/>
      <c r="J46" s="551" t="s">
        <v>299</v>
      </c>
      <c r="K46" s="631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</row>
    <row r="47" spans="1:35" s="323" customFormat="1" ht="41.4" customHeight="1" outlineLevel="1" x14ac:dyDescent="0.25">
      <c r="A47" s="610"/>
      <c r="B47" s="611" t="s">
        <v>246</v>
      </c>
      <c r="C47" s="615"/>
      <c r="D47" s="626" t="s">
        <v>268</v>
      </c>
      <c r="E47" s="627">
        <v>256266.18</v>
      </c>
      <c r="F47" s="615">
        <v>255159.50400000002</v>
      </c>
      <c r="G47" s="616">
        <f t="shared" si="0"/>
        <v>1106.6759999999776</v>
      </c>
      <c r="H47" s="649"/>
      <c r="I47" s="635"/>
      <c r="J47" s="639"/>
      <c r="K47" s="631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</row>
    <row r="48" spans="1:35" s="323" customFormat="1" ht="42" customHeight="1" outlineLevel="1" x14ac:dyDescent="0.25">
      <c r="A48" s="543"/>
      <c r="B48" s="756" t="s">
        <v>247</v>
      </c>
      <c r="C48" s="757"/>
      <c r="D48" s="549" t="s">
        <v>300</v>
      </c>
      <c r="E48" s="550">
        <v>290354.76</v>
      </c>
      <c r="F48" s="545">
        <f>138136.26*1.2</f>
        <v>165763.51200000002</v>
      </c>
      <c r="G48" s="587">
        <f>E48-F48</f>
        <v>124591.24799999999</v>
      </c>
      <c r="H48" s="657"/>
      <c r="I48" s="590"/>
      <c r="J48" s="551"/>
      <c r="K48" s="631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</row>
    <row r="49" spans="1:35" s="323" customFormat="1" ht="42" customHeight="1" outlineLevel="1" x14ac:dyDescent="0.25">
      <c r="A49" s="543"/>
      <c r="B49" s="758"/>
      <c r="C49" s="759"/>
      <c r="D49" s="549" t="s">
        <v>320</v>
      </c>
      <c r="E49" s="662">
        <v>56371.76</v>
      </c>
      <c r="F49" s="545">
        <f>1729.31*1.2</f>
        <v>2075.172</v>
      </c>
      <c r="G49" s="587">
        <f>E49-F49</f>
        <v>54296.588000000003</v>
      </c>
      <c r="H49" s="657" t="s">
        <v>326</v>
      </c>
      <c r="I49" s="595"/>
      <c r="J49" s="551"/>
      <c r="K49" s="631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</row>
    <row r="50" spans="1:35" s="323" customFormat="1" ht="49.2" customHeight="1" outlineLevel="1" x14ac:dyDescent="0.25">
      <c r="A50" s="610"/>
      <c r="B50" s="628" t="s">
        <v>248</v>
      </c>
      <c r="C50" s="615"/>
      <c r="D50" s="626" t="s">
        <v>301</v>
      </c>
      <c r="E50" s="627">
        <v>2259560.6</v>
      </c>
      <c r="F50" s="615">
        <f>E50*1.2</f>
        <v>2711472.72</v>
      </c>
      <c r="G50" s="616"/>
      <c r="H50" s="651"/>
      <c r="I50" s="634"/>
      <c r="J50" s="618" t="s">
        <v>299</v>
      </c>
      <c r="K50" s="631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</row>
    <row r="51" spans="1:35" s="323" customFormat="1" ht="44.4" customHeight="1" outlineLevel="1" x14ac:dyDescent="0.25">
      <c r="A51" s="543"/>
      <c r="B51" s="756" t="s">
        <v>249</v>
      </c>
      <c r="C51" s="757"/>
      <c r="D51" s="546" t="s">
        <v>269</v>
      </c>
      <c r="E51" s="547">
        <v>442946.84</v>
      </c>
      <c r="F51" s="545">
        <v>441155.43600000005</v>
      </c>
      <c r="G51" s="587">
        <f t="shared" si="0"/>
        <v>1791.4039999999804</v>
      </c>
      <c r="H51" s="657"/>
      <c r="I51" s="590"/>
      <c r="J51" s="548"/>
      <c r="K51" s="631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</row>
    <row r="52" spans="1:35" s="323" customFormat="1" ht="44.4" customHeight="1" outlineLevel="1" x14ac:dyDescent="0.25">
      <c r="A52" s="543"/>
      <c r="B52" s="793"/>
      <c r="C52" s="794"/>
      <c r="D52" s="546" t="s">
        <v>302</v>
      </c>
      <c r="E52" s="609">
        <v>125679.28</v>
      </c>
      <c r="F52" s="545">
        <f>50437.8*1.2</f>
        <v>60525.36</v>
      </c>
      <c r="G52" s="587">
        <f>E52-F52</f>
        <v>65153.919999999998</v>
      </c>
      <c r="H52" s="657"/>
      <c r="I52" s="590"/>
      <c r="J52" s="633"/>
      <c r="K52" s="631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</row>
    <row r="53" spans="1:35" s="323" customFormat="1" ht="44.4" customHeight="1" outlineLevel="1" x14ac:dyDescent="0.25">
      <c r="A53" s="543"/>
      <c r="B53" s="758"/>
      <c r="C53" s="759"/>
      <c r="D53" s="546" t="s">
        <v>321</v>
      </c>
      <c r="E53" s="662">
        <v>169283.78</v>
      </c>
      <c r="F53" s="545"/>
      <c r="G53" s="587">
        <f>E53</f>
        <v>169283.78</v>
      </c>
      <c r="H53" s="657" t="s">
        <v>326</v>
      </c>
      <c r="I53" s="595"/>
      <c r="J53" s="663"/>
      <c r="K53" s="631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</row>
    <row r="54" spans="1:35" s="323" customFormat="1" ht="55.2" customHeight="1" outlineLevel="1" x14ac:dyDescent="0.25">
      <c r="A54" s="610"/>
      <c r="B54" s="611" t="s">
        <v>250</v>
      </c>
      <c r="C54" s="639"/>
      <c r="D54" s="613" t="s">
        <v>303</v>
      </c>
      <c r="E54" s="614">
        <v>4533614.66</v>
      </c>
      <c r="F54" s="615">
        <f>E54</f>
        <v>4533614.66</v>
      </c>
      <c r="G54" s="616"/>
      <c r="H54" s="649"/>
      <c r="I54" s="635"/>
      <c r="J54" s="618" t="s">
        <v>299</v>
      </c>
      <c r="K54" s="631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</row>
    <row r="55" spans="1:35" s="323" customFormat="1" ht="29.4" customHeight="1" outlineLevel="1" x14ac:dyDescent="0.25">
      <c r="A55" s="543"/>
      <c r="B55" s="756" t="s">
        <v>251</v>
      </c>
      <c r="C55" s="757"/>
      <c r="D55" s="546" t="s">
        <v>270</v>
      </c>
      <c r="E55" s="547">
        <v>38798.660000000003</v>
      </c>
      <c r="F55" s="545">
        <v>37910.627999999997</v>
      </c>
      <c r="G55" s="587">
        <f t="shared" si="0"/>
        <v>888.03200000000652</v>
      </c>
      <c r="H55" s="650"/>
      <c r="I55" s="588"/>
      <c r="J55" s="554"/>
      <c r="K55" s="631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</row>
    <row r="56" spans="1:35" s="323" customFormat="1" ht="29.4" customHeight="1" outlineLevel="1" x14ac:dyDescent="0.25">
      <c r="A56" s="543"/>
      <c r="B56" s="793"/>
      <c r="C56" s="794"/>
      <c r="D56" s="546" t="s">
        <v>304</v>
      </c>
      <c r="E56" s="547">
        <v>417505.73</v>
      </c>
      <c r="F56" s="545">
        <v>235262.64</v>
      </c>
      <c r="G56" s="587">
        <f>E56-F56</f>
        <v>182243.08999999997</v>
      </c>
      <c r="H56" s="650"/>
      <c r="I56" s="590"/>
      <c r="J56" s="658"/>
      <c r="K56" s="631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</row>
    <row r="57" spans="1:35" s="323" customFormat="1" ht="29.4" customHeight="1" outlineLevel="1" x14ac:dyDescent="0.25">
      <c r="A57" s="543"/>
      <c r="B57" s="758"/>
      <c r="C57" s="759"/>
      <c r="D57" s="546" t="s">
        <v>322</v>
      </c>
      <c r="E57" s="547">
        <v>291576.06</v>
      </c>
      <c r="F57" s="545">
        <f>74906.83*1.2</f>
        <v>89888.195999999996</v>
      </c>
      <c r="G57" s="587">
        <f>E57-F57</f>
        <v>201687.864</v>
      </c>
      <c r="H57" s="650" t="s">
        <v>326</v>
      </c>
      <c r="I57" s="595"/>
      <c r="J57" s="658"/>
      <c r="K57" s="631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</row>
    <row r="58" spans="1:35" s="323" customFormat="1" ht="36" customHeight="1" outlineLevel="1" x14ac:dyDescent="0.25">
      <c r="A58" s="610"/>
      <c r="B58" s="764" t="s">
        <v>252</v>
      </c>
      <c r="C58" s="765"/>
      <c r="D58" s="626" t="s">
        <v>272</v>
      </c>
      <c r="E58" s="627">
        <v>905145.17</v>
      </c>
      <c r="F58" s="615">
        <v>904247.772</v>
      </c>
      <c r="G58" s="616">
        <f t="shared" si="0"/>
        <v>897.3980000000447</v>
      </c>
      <c r="H58" s="649"/>
      <c r="I58" s="635"/>
      <c r="J58" s="639"/>
      <c r="K58" s="631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</row>
    <row r="59" spans="1:35" s="323" customFormat="1" ht="36" customHeight="1" outlineLevel="1" x14ac:dyDescent="0.25">
      <c r="A59" s="610"/>
      <c r="B59" s="791"/>
      <c r="C59" s="792"/>
      <c r="D59" s="626" t="s">
        <v>305</v>
      </c>
      <c r="E59" s="614">
        <v>776112.92</v>
      </c>
      <c r="F59" s="615">
        <f>423484.79*1.2</f>
        <v>508181.74799999996</v>
      </c>
      <c r="G59" s="616">
        <f>E59-F59</f>
        <v>267931.17200000008</v>
      </c>
      <c r="H59" s="649"/>
      <c r="I59" s="635"/>
      <c r="J59" s="639"/>
      <c r="K59" s="631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</row>
    <row r="60" spans="1:35" s="323" customFormat="1" ht="36" customHeight="1" outlineLevel="1" x14ac:dyDescent="0.25">
      <c r="A60" s="610"/>
      <c r="B60" s="766"/>
      <c r="C60" s="767"/>
      <c r="D60" s="626" t="s">
        <v>323</v>
      </c>
      <c r="E60" s="614">
        <v>745662.28</v>
      </c>
      <c r="F60" s="615">
        <f>408343.74*1.2</f>
        <v>490012.48799999995</v>
      </c>
      <c r="G60" s="616">
        <f>E60-F60</f>
        <v>255649.79200000007</v>
      </c>
      <c r="H60" s="649" t="s">
        <v>326</v>
      </c>
      <c r="I60" s="617"/>
      <c r="J60" s="664"/>
      <c r="K60" s="631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</row>
    <row r="61" spans="1:35" s="323" customFormat="1" ht="36" customHeight="1" outlineLevel="1" x14ac:dyDescent="0.25">
      <c r="A61" s="543"/>
      <c r="B61" s="756" t="s">
        <v>271</v>
      </c>
      <c r="C61" s="757"/>
      <c r="D61" s="546" t="s">
        <v>273</v>
      </c>
      <c r="E61" s="585">
        <v>47262.91</v>
      </c>
      <c r="F61" s="545">
        <v>46311.42</v>
      </c>
      <c r="G61" s="587">
        <f t="shared" si="0"/>
        <v>951.49000000000524</v>
      </c>
      <c r="H61" s="657"/>
      <c r="I61" s="590"/>
      <c r="J61" s="548"/>
      <c r="K61" s="631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</row>
    <row r="62" spans="1:35" s="323" customFormat="1" ht="36" customHeight="1" outlineLevel="1" x14ac:dyDescent="0.25">
      <c r="A62" s="543"/>
      <c r="B62" s="793"/>
      <c r="C62" s="794"/>
      <c r="D62" s="546" t="s">
        <v>306</v>
      </c>
      <c r="E62" s="609">
        <v>26074.79</v>
      </c>
      <c r="F62" s="545">
        <f>E62</f>
        <v>26074.79</v>
      </c>
      <c r="G62" s="587"/>
      <c r="H62" s="657"/>
      <c r="I62" s="590"/>
      <c r="J62" s="633"/>
      <c r="K62" s="631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</row>
    <row r="63" spans="1:35" s="323" customFormat="1" ht="36" customHeight="1" outlineLevel="1" x14ac:dyDescent="0.25">
      <c r="A63" s="543"/>
      <c r="B63" s="758"/>
      <c r="C63" s="759"/>
      <c r="D63" s="546" t="s">
        <v>324</v>
      </c>
      <c r="E63" s="662">
        <v>676903.01</v>
      </c>
      <c r="F63" s="545">
        <f>E63</f>
        <v>676903.01</v>
      </c>
      <c r="G63" s="587"/>
      <c r="H63" s="657" t="s">
        <v>326</v>
      </c>
      <c r="I63" s="595"/>
      <c r="J63" s="663"/>
      <c r="K63" s="631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</row>
    <row r="64" spans="1:35" s="323" customFormat="1" ht="43.8" customHeight="1" outlineLevel="1" x14ac:dyDescent="0.25">
      <c r="A64" s="610"/>
      <c r="B64" s="611" t="s">
        <v>253</v>
      </c>
      <c r="C64" s="639"/>
      <c r="D64" s="613"/>
      <c r="E64" s="614"/>
      <c r="F64" s="615">
        <v>0</v>
      </c>
      <c r="G64" s="616">
        <f t="shared" si="0"/>
        <v>0</v>
      </c>
      <c r="H64" s="649"/>
      <c r="I64" s="635"/>
      <c r="J64" s="618"/>
      <c r="K64" s="631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</row>
    <row r="65" spans="1:35" s="323" customFormat="1" ht="49.2" customHeight="1" outlineLevel="1" x14ac:dyDescent="0.25">
      <c r="A65" s="543"/>
      <c r="B65" s="552" t="s">
        <v>254</v>
      </c>
      <c r="C65" s="545"/>
      <c r="D65" s="546" t="s">
        <v>307</v>
      </c>
      <c r="E65" s="547">
        <v>490884.73</v>
      </c>
      <c r="F65" s="545">
        <f>E65</f>
        <v>490884.73</v>
      </c>
      <c r="G65" s="587"/>
      <c r="H65" s="650"/>
      <c r="I65" s="588"/>
      <c r="J65" s="551" t="s">
        <v>299</v>
      </c>
      <c r="K65" s="631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</row>
    <row r="66" spans="1:35" s="323" customFormat="1" ht="36.6" customHeight="1" outlineLevel="1" x14ac:dyDescent="0.25">
      <c r="A66" s="610"/>
      <c r="B66" s="611" t="s">
        <v>255</v>
      </c>
      <c r="C66" s="615"/>
      <c r="D66" s="626" t="s">
        <v>325</v>
      </c>
      <c r="E66" s="627">
        <v>765372.02</v>
      </c>
      <c r="F66" s="615">
        <v>0</v>
      </c>
      <c r="G66" s="616">
        <f t="shared" si="0"/>
        <v>765372.02</v>
      </c>
      <c r="H66" s="649" t="s">
        <v>326</v>
      </c>
      <c r="I66" s="617"/>
      <c r="J66" s="639"/>
      <c r="K66" s="631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</row>
    <row r="67" spans="1:35" s="323" customFormat="1" ht="45.6" customHeight="1" outlineLevel="1" x14ac:dyDescent="0.25">
      <c r="A67" s="543"/>
      <c r="B67" s="544" t="s">
        <v>256</v>
      </c>
      <c r="C67" s="548"/>
      <c r="D67" s="549" t="s">
        <v>308</v>
      </c>
      <c r="E67" s="550">
        <v>309001.28000000003</v>
      </c>
      <c r="F67" s="545">
        <f>E67</f>
        <v>309001.28000000003</v>
      </c>
      <c r="G67" s="587">
        <f t="shared" si="0"/>
        <v>0</v>
      </c>
      <c r="H67" s="657"/>
      <c r="I67" s="590"/>
      <c r="J67" s="551" t="s">
        <v>299</v>
      </c>
      <c r="K67" s="631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</row>
    <row r="68" spans="1:35" s="323" customFormat="1" ht="49.2" customHeight="1" outlineLevel="1" x14ac:dyDescent="0.25">
      <c r="A68" s="610"/>
      <c r="B68" s="628" t="s">
        <v>257</v>
      </c>
      <c r="C68" s="615"/>
      <c r="D68" s="626" t="s">
        <v>274</v>
      </c>
      <c r="E68" s="627">
        <v>32678.62</v>
      </c>
      <c r="F68" s="615">
        <v>31579.223999999998</v>
      </c>
      <c r="G68" s="616">
        <f>E68-F68</f>
        <v>1099.3960000000006</v>
      </c>
      <c r="H68" s="651"/>
      <c r="I68" s="634"/>
      <c r="J68" s="629"/>
      <c r="K68" s="631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</row>
    <row r="69" spans="1:35" s="323" customFormat="1" ht="39.6" customHeight="1" x14ac:dyDescent="0.25">
      <c r="A69" s="543"/>
      <c r="B69" s="583" t="s">
        <v>228</v>
      </c>
      <c r="C69" s="545"/>
      <c r="D69" s="546"/>
      <c r="E69" s="547"/>
      <c r="F69" s="545">
        <v>0</v>
      </c>
      <c r="G69" s="587">
        <f t="shared" si="0"/>
        <v>0</v>
      </c>
      <c r="H69" s="656"/>
      <c r="I69" s="590"/>
      <c r="J69" s="548"/>
      <c r="K69" s="631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</row>
    <row r="70" spans="1:35" s="323" customFormat="1" ht="42" customHeight="1" x14ac:dyDescent="0.25">
      <c r="A70" s="543"/>
      <c r="B70" s="583" t="s">
        <v>229</v>
      </c>
      <c r="C70" s="548"/>
      <c r="D70" s="549"/>
      <c r="E70" s="550"/>
      <c r="F70" s="545">
        <v>0</v>
      </c>
      <c r="G70" s="587">
        <f t="shared" si="0"/>
        <v>0</v>
      </c>
      <c r="H70" s="656"/>
      <c r="I70" s="590"/>
      <c r="J70" s="551"/>
      <c r="K70" s="631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</row>
    <row r="71" spans="1:35" s="323" customFormat="1" ht="31.8" customHeight="1" x14ac:dyDescent="0.25">
      <c r="A71" s="543"/>
      <c r="B71" s="584" t="s">
        <v>230</v>
      </c>
      <c r="C71" s="545"/>
      <c r="D71" s="546"/>
      <c r="E71" s="547"/>
      <c r="F71" s="545" t="s">
        <v>153</v>
      </c>
      <c r="G71" s="587"/>
      <c r="H71" s="655"/>
      <c r="I71" s="588"/>
      <c r="J71" s="554"/>
      <c r="K71" s="631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</row>
    <row r="72" spans="1:35" s="323" customFormat="1" ht="39" customHeight="1" x14ac:dyDescent="0.25">
      <c r="A72" s="543"/>
      <c r="B72" s="583" t="s">
        <v>231</v>
      </c>
      <c r="C72" s="545"/>
      <c r="D72" s="546"/>
      <c r="E72" s="547"/>
      <c r="F72" s="545">
        <v>0</v>
      </c>
      <c r="G72" s="587">
        <f t="shared" si="0"/>
        <v>0</v>
      </c>
      <c r="H72" s="656"/>
      <c r="I72" s="590"/>
      <c r="J72" s="548"/>
      <c r="K72" s="631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</row>
    <row r="73" spans="1:35" s="323" customFormat="1" ht="45" customHeight="1" x14ac:dyDescent="0.25">
      <c r="A73" s="610"/>
      <c r="B73" s="611" t="s">
        <v>236</v>
      </c>
      <c r="C73" s="612"/>
      <c r="D73" s="613" t="s">
        <v>292</v>
      </c>
      <c r="E73" s="614">
        <v>446264.9</v>
      </c>
      <c r="F73" s="615">
        <f>94375.3*1.2</f>
        <v>113250.36</v>
      </c>
      <c r="G73" s="612">
        <f>E73-F73</f>
        <v>333014.54000000004</v>
      </c>
      <c r="H73" s="649"/>
      <c r="I73" s="635"/>
      <c r="J73" s="618" t="s">
        <v>293</v>
      </c>
      <c r="K73" s="631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</row>
    <row r="74" spans="1:35" s="323" customFormat="1" ht="49.2" customHeight="1" x14ac:dyDescent="0.25">
      <c r="A74" s="543"/>
      <c r="B74" s="552" t="s">
        <v>309</v>
      </c>
      <c r="C74" s="545"/>
      <c r="D74" s="546" t="s">
        <v>310</v>
      </c>
      <c r="E74" s="547">
        <v>250793.71</v>
      </c>
      <c r="F74" s="545">
        <f>115000.13*1.2</f>
        <v>138000.15599999999</v>
      </c>
      <c r="G74" s="545">
        <f>E74-F74</f>
        <v>112793.554</v>
      </c>
      <c r="H74" s="551"/>
      <c r="I74" s="588"/>
      <c r="J74" s="551" t="s">
        <v>299</v>
      </c>
      <c r="K74" s="631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</row>
    <row r="75" spans="1:35" s="307" customFormat="1" ht="49.2" customHeight="1" x14ac:dyDescent="0.25">
      <c r="A75" s="619" t="s">
        <v>330</v>
      </c>
      <c r="B75" s="597" t="s">
        <v>238</v>
      </c>
      <c r="C75" s="600"/>
      <c r="D75" s="636" t="s">
        <v>53</v>
      </c>
      <c r="E75" s="601">
        <v>377607.41</v>
      </c>
      <c r="F75" s="600"/>
      <c r="G75" s="600">
        <f>E75</f>
        <v>377607.41</v>
      </c>
      <c r="H75" s="604" t="s">
        <v>326</v>
      </c>
      <c r="I75" s="667"/>
      <c r="J75" s="604"/>
      <c r="K75" s="638"/>
    </row>
    <row r="76" spans="1:35" s="323" customFormat="1" ht="42.6" customHeight="1" x14ac:dyDescent="0.25">
      <c r="A76" s="543"/>
      <c r="B76" s="552"/>
      <c r="C76" s="545"/>
      <c r="D76" s="546"/>
      <c r="E76" s="547"/>
      <c r="F76" s="545">
        <v>0</v>
      </c>
      <c r="G76" s="545"/>
      <c r="H76" s="545"/>
      <c r="I76" s="588"/>
      <c r="J76" s="554"/>
      <c r="K76" s="631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</row>
    <row r="77" spans="1:35" s="324" customFormat="1" ht="22.95" customHeight="1" x14ac:dyDescent="0.25">
      <c r="A77" s="533"/>
      <c r="B77" s="533" t="s">
        <v>47</v>
      </c>
      <c r="C77" s="534">
        <f>SUM(C5:C76)</f>
        <v>0</v>
      </c>
      <c r="D77" s="534"/>
      <c r="E77" s="534">
        <f>SUM(E5:E76)</f>
        <v>31872058.446000017</v>
      </c>
      <c r="F77" s="534">
        <f>SUM(F5:F76)</f>
        <v>21401574.764000002</v>
      </c>
      <c r="G77" s="534">
        <f>SUM(G5:G76)</f>
        <v>10922395.801999995</v>
      </c>
      <c r="H77" s="534"/>
      <c r="I77" s="591"/>
      <c r="J77" s="534"/>
      <c r="K77" s="632"/>
    </row>
    <row r="78" spans="1:35" s="323" customFormat="1" ht="25.8" customHeight="1" x14ac:dyDescent="0.25">
      <c r="A78" s="537"/>
      <c r="B78" s="538"/>
      <c r="C78" s="541">
        <f>SUBTOTAL(9,C5:C76)</f>
        <v>0</v>
      </c>
      <c r="D78" s="540"/>
      <c r="E78" s="541">
        <f>SUBTOTAL(9,E5:E76)</f>
        <v>31872058.446000017</v>
      </c>
      <c r="F78" s="541">
        <f>SUBTOTAL(9,F5:F76)</f>
        <v>21401574.764000002</v>
      </c>
      <c r="G78" s="541">
        <f>SUBTOTAL(9,G5:G76)</f>
        <v>10922395.801999995</v>
      </c>
      <c r="H78" s="539"/>
      <c r="I78" s="592"/>
      <c r="J78" s="539"/>
      <c r="K78" s="631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</row>
    <row r="79" spans="1:35" x14ac:dyDescent="0.35">
      <c r="C79" s="339"/>
      <c r="D79" s="339"/>
      <c r="E79" s="339"/>
      <c r="F79" s="339"/>
      <c r="G79" s="339"/>
      <c r="H79" s="339"/>
      <c r="I79" s="593"/>
      <c r="J79" s="339"/>
    </row>
    <row r="80" spans="1:35" x14ac:dyDescent="0.35">
      <c r="C80" s="339"/>
      <c r="D80" s="339"/>
      <c r="E80" s="339"/>
      <c r="F80" s="339"/>
      <c r="G80" s="339"/>
      <c r="H80" s="339"/>
      <c r="I80" s="593"/>
      <c r="J80" s="339"/>
    </row>
    <row r="81" spans="2:10" ht="19.2" customHeight="1" x14ac:dyDescent="0.35">
      <c r="B81" s="571"/>
      <c r="C81" s="339"/>
      <c r="D81" s="339"/>
      <c r="E81" s="339"/>
      <c r="F81" s="339"/>
      <c r="G81" s="339"/>
      <c r="H81" s="339"/>
      <c r="I81" s="593"/>
      <c r="J81" s="339"/>
    </row>
    <row r="82" spans="2:10" x14ac:dyDescent="0.35">
      <c r="C82" s="339"/>
      <c r="D82" s="339"/>
      <c r="E82" s="339"/>
      <c r="F82" s="339"/>
      <c r="G82" s="339"/>
      <c r="H82" s="339"/>
      <c r="I82" s="593"/>
      <c r="J82" s="339"/>
    </row>
    <row r="83" spans="2:10" x14ac:dyDescent="0.35">
      <c r="C83" s="339"/>
      <c r="D83" s="339"/>
      <c r="E83" s="339"/>
      <c r="F83" s="339"/>
      <c r="G83" s="339"/>
      <c r="H83" s="339"/>
      <c r="I83" s="593"/>
      <c r="J83" s="339"/>
    </row>
    <row r="84" spans="2:10" x14ac:dyDescent="0.35">
      <c r="C84" s="339"/>
      <c r="D84" s="339"/>
      <c r="E84" s="339"/>
      <c r="F84" s="339"/>
      <c r="G84" s="339"/>
      <c r="H84" s="339"/>
      <c r="I84" s="593"/>
      <c r="J84" s="339"/>
    </row>
    <row r="85" spans="2:10" x14ac:dyDescent="0.35">
      <c r="C85" s="339"/>
      <c r="D85" s="339"/>
      <c r="E85" s="339"/>
      <c r="F85" s="339"/>
      <c r="G85" s="339"/>
      <c r="H85" s="339"/>
      <c r="I85" s="593"/>
      <c r="J85" s="339"/>
    </row>
    <row r="86" spans="2:10" x14ac:dyDescent="0.35">
      <c r="C86" s="339"/>
      <c r="D86" s="339"/>
      <c r="E86" s="339"/>
      <c r="F86" s="339"/>
      <c r="G86" s="339"/>
      <c r="H86" s="339"/>
      <c r="I86" s="593"/>
      <c r="J86" s="339"/>
    </row>
    <row r="87" spans="2:10" x14ac:dyDescent="0.35">
      <c r="C87" s="339"/>
      <c r="D87" s="339"/>
      <c r="E87" s="339"/>
      <c r="F87" s="339"/>
      <c r="G87" s="339"/>
      <c r="H87" s="339"/>
      <c r="I87" s="593"/>
      <c r="J87" s="339"/>
    </row>
    <row r="88" spans="2:10" x14ac:dyDescent="0.35">
      <c r="C88" s="339"/>
      <c r="D88" s="339"/>
      <c r="E88" s="339"/>
      <c r="F88" s="339"/>
      <c r="G88" s="339"/>
      <c r="H88" s="339"/>
      <c r="I88" s="593"/>
      <c r="J88" s="339"/>
    </row>
    <row r="89" spans="2:10" x14ac:dyDescent="0.35">
      <c r="C89" s="339"/>
      <c r="D89" s="339"/>
      <c r="E89" s="339"/>
      <c r="F89" s="339"/>
      <c r="G89" s="339"/>
      <c r="H89" s="339"/>
      <c r="I89" s="593"/>
      <c r="J89" s="339"/>
    </row>
    <row r="90" spans="2:10" x14ac:dyDescent="0.35">
      <c r="C90" s="339"/>
      <c r="D90" s="339"/>
      <c r="E90" s="339"/>
      <c r="F90" s="339"/>
      <c r="G90" s="339"/>
      <c r="H90" s="339"/>
      <c r="I90" s="593"/>
      <c r="J90" s="339"/>
    </row>
    <row r="91" spans="2:10" x14ac:dyDescent="0.35">
      <c r="C91" s="339"/>
      <c r="D91" s="339"/>
      <c r="E91" s="339"/>
      <c r="F91" s="339"/>
      <c r="G91" s="339"/>
      <c r="H91" s="339"/>
      <c r="I91" s="593"/>
      <c r="J91" s="339"/>
    </row>
    <row r="92" spans="2:10" x14ac:dyDescent="0.35">
      <c r="C92" s="339"/>
      <c r="D92" s="339"/>
      <c r="E92" s="339"/>
      <c r="F92" s="339"/>
      <c r="G92" s="339"/>
      <c r="H92" s="339"/>
      <c r="I92" s="593"/>
      <c r="J92" s="339"/>
    </row>
    <row r="93" spans="2:10" x14ac:dyDescent="0.35">
      <c r="C93" s="339"/>
      <c r="D93" s="339"/>
      <c r="E93" s="339"/>
      <c r="F93" s="339"/>
      <c r="G93" s="339"/>
      <c r="H93" s="339"/>
      <c r="I93" s="593"/>
      <c r="J93" s="339"/>
    </row>
    <row r="94" spans="2:10" x14ac:dyDescent="0.35">
      <c r="C94" s="339"/>
      <c r="D94" s="339"/>
      <c r="E94" s="339"/>
      <c r="F94" s="339"/>
      <c r="G94" s="339"/>
      <c r="H94" s="339"/>
      <c r="I94" s="593"/>
      <c r="J94" s="339"/>
    </row>
    <row r="95" spans="2:10" x14ac:dyDescent="0.35">
      <c r="C95" s="339"/>
      <c r="D95" s="339"/>
      <c r="E95" s="339"/>
      <c r="F95" s="339"/>
      <c r="G95" s="339"/>
      <c r="H95" s="339"/>
      <c r="I95" s="593"/>
      <c r="J95" s="339"/>
    </row>
    <row r="96" spans="2:10" x14ac:dyDescent="0.35">
      <c r="C96" s="339"/>
      <c r="D96" s="339"/>
      <c r="E96" s="339"/>
      <c r="F96" s="339"/>
      <c r="G96" s="339"/>
      <c r="H96" s="339"/>
      <c r="I96" s="593"/>
      <c r="J96" s="339"/>
    </row>
    <row r="97" spans="3:10" x14ac:dyDescent="0.35">
      <c r="C97" s="339"/>
      <c r="D97" s="339"/>
      <c r="E97" s="339"/>
      <c r="F97" s="339"/>
      <c r="G97" s="339"/>
      <c r="H97" s="339"/>
      <c r="I97" s="593"/>
      <c r="J97" s="339"/>
    </row>
    <row r="98" spans="3:10" x14ac:dyDescent="0.35">
      <c r="C98" s="339"/>
      <c r="D98" s="339"/>
      <c r="E98" s="339"/>
      <c r="F98" s="339"/>
      <c r="G98" s="339"/>
      <c r="H98" s="339"/>
      <c r="I98" s="593"/>
      <c r="J98" s="339"/>
    </row>
    <row r="99" spans="3:10" x14ac:dyDescent="0.35">
      <c r="C99" s="339"/>
      <c r="D99" s="339"/>
      <c r="E99" s="339"/>
      <c r="F99" s="339"/>
      <c r="G99" s="339"/>
      <c r="H99" s="339"/>
      <c r="I99" s="593"/>
      <c r="J99" s="339"/>
    </row>
    <row r="100" spans="3:10" x14ac:dyDescent="0.35">
      <c r="C100" s="339"/>
      <c r="D100" s="339"/>
      <c r="E100" s="339"/>
      <c r="F100" s="339"/>
      <c r="G100" s="339"/>
      <c r="H100" s="339"/>
      <c r="I100" s="593"/>
      <c r="J100" s="339"/>
    </row>
    <row r="101" spans="3:10" x14ac:dyDescent="0.35">
      <c r="C101" s="339"/>
      <c r="D101" s="339"/>
      <c r="E101" s="339"/>
      <c r="F101" s="339"/>
      <c r="G101" s="339"/>
      <c r="H101" s="339"/>
      <c r="I101" s="593"/>
      <c r="J101" s="339"/>
    </row>
  </sheetData>
  <autoFilter ref="A4:AI77"/>
  <mergeCells count="35">
    <mergeCell ref="B39:C41"/>
    <mergeCell ref="B44:C45"/>
    <mergeCell ref="B61:C63"/>
    <mergeCell ref="B29:C30"/>
    <mergeCell ref="J29:J30"/>
    <mergeCell ref="B32:C34"/>
    <mergeCell ref="J32:J34"/>
    <mergeCell ref="B36:C37"/>
    <mergeCell ref="J36:J37"/>
    <mergeCell ref="B42:C43"/>
    <mergeCell ref="B48:C49"/>
    <mergeCell ref="B51:C53"/>
    <mergeCell ref="B55:C57"/>
    <mergeCell ref="B58:C60"/>
    <mergeCell ref="B26:B27"/>
    <mergeCell ref="A1:J2"/>
    <mergeCell ref="J3:J4"/>
    <mergeCell ref="D3:I3"/>
    <mergeCell ref="A3:A4"/>
    <mergeCell ref="B3:B4"/>
    <mergeCell ref="C3:C4"/>
    <mergeCell ref="B7:C8"/>
    <mergeCell ref="B10:C11"/>
    <mergeCell ref="B23:C24"/>
    <mergeCell ref="B17:C18"/>
    <mergeCell ref="B19:C21"/>
    <mergeCell ref="K7:K8"/>
    <mergeCell ref="K10:K11"/>
    <mergeCell ref="B14:C15"/>
    <mergeCell ref="K14:K15"/>
    <mergeCell ref="J7:J8"/>
    <mergeCell ref="J10:J11"/>
    <mergeCell ref="J14:J15"/>
    <mergeCell ref="B12:C13"/>
    <mergeCell ref="J12:J13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1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9"/>
  <sheetViews>
    <sheetView showWhiteSpace="0" zoomScale="80" zoomScaleNormal="80" zoomScaleSheetLayoutView="76" workbookViewId="0">
      <pane ySplit="4" topLeftCell="A5" activePane="bottomLeft" state="frozen"/>
      <selection pane="bottomLeft" activeCell="C13" sqref="C13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" style="342" customWidth="1"/>
    <col min="7" max="7" width="21.33203125" style="342" customWidth="1"/>
    <col min="8" max="8" width="29.77734375" style="342" customWidth="1"/>
    <col min="9" max="9" width="29.77734375" style="308" customWidth="1"/>
    <col min="10" max="10" width="35.88671875" style="308" customWidth="1"/>
    <col min="11" max="11" width="16.44140625" style="308" customWidth="1"/>
    <col min="12" max="16384" width="9.109375" style="308"/>
  </cols>
  <sheetData>
    <row r="1" spans="1:35" ht="16.95" customHeight="1" x14ac:dyDescent="0.25">
      <c r="A1" s="736" t="s">
        <v>197</v>
      </c>
      <c r="B1" s="736"/>
      <c r="C1" s="736"/>
      <c r="D1" s="736"/>
      <c r="E1" s="736"/>
      <c r="F1" s="736"/>
      <c r="G1" s="736"/>
      <c r="H1" s="736"/>
    </row>
    <row r="2" spans="1:35" ht="59.4" customHeight="1" thickBot="1" x14ac:dyDescent="0.3">
      <c r="A2" s="736"/>
      <c r="B2" s="736"/>
      <c r="C2" s="736"/>
      <c r="D2" s="736"/>
      <c r="E2" s="736"/>
      <c r="F2" s="736"/>
      <c r="G2" s="736"/>
      <c r="H2" s="736"/>
      <c r="I2" s="798" t="s">
        <v>206</v>
      </c>
      <c r="J2" s="799"/>
    </row>
    <row r="3" spans="1:35" ht="31.8" customHeight="1" x14ac:dyDescent="0.25">
      <c r="A3" s="737" t="s">
        <v>124</v>
      </c>
      <c r="B3" s="743" t="s">
        <v>185</v>
      </c>
      <c r="C3" s="739" t="s">
        <v>190</v>
      </c>
      <c r="D3" s="739" t="s">
        <v>191</v>
      </c>
      <c r="E3" s="739" t="s">
        <v>193</v>
      </c>
      <c r="F3" s="741" t="s">
        <v>9</v>
      </c>
      <c r="G3" s="741" t="s">
        <v>188</v>
      </c>
      <c r="H3" s="800" t="s">
        <v>189</v>
      </c>
      <c r="I3" s="572" t="s">
        <v>204</v>
      </c>
      <c r="J3" s="572" t="s">
        <v>205</v>
      </c>
    </row>
    <row r="4" spans="1:35" ht="30.6" customHeight="1" x14ac:dyDescent="0.25">
      <c r="A4" s="738"/>
      <c r="B4" s="744"/>
      <c r="C4" s="740"/>
      <c r="D4" s="740"/>
      <c r="E4" s="740"/>
      <c r="F4" s="745"/>
      <c r="G4" s="745"/>
      <c r="H4" s="801"/>
      <c r="I4" s="556" t="s">
        <v>199</v>
      </c>
      <c r="J4" s="556" t="s">
        <v>203</v>
      </c>
    </row>
    <row r="5" spans="1:35" s="323" customFormat="1" ht="85.8" customHeight="1" x14ac:dyDescent="0.25">
      <c r="A5" s="557" t="s">
        <v>53</v>
      </c>
      <c r="B5" s="558" t="s">
        <v>210</v>
      </c>
      <c r="C5" s="559"/>
      <c r="D5" s="560"/>
      <c r="E5" s="561"/>
      <c r="F5" s="559"/>
      <c r="G5" s="559"/>
      <c r="H5" s="566"/>
      <c r="I5" s="568" t="s">
        <v>207</v>
      </c>
      <c r="J5" s="555" t="s">
        <v>208</v>
      </c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52.8" customHeight="1" x14ac:dyDescent="0.25">
      <c r="A6" s="557" t="s">
        <v>69</v>
      </c>
      <c r="B6" s="544" t="s">
        <v>211</v>
      </c>
      <c r="C6" s="545"/>
      <c r="D6" s="562"/>
      <c r="E6" s="550"/>
      <c r="F6" s="545"/>
      <c r="G6" s="548"/>
      <c r="H6" s="563"/>
      <c r="I6" s="569" t="s">
        <v>187</v>
      </c>
      <c r="J6" s="555" t="s">
        <v>209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52.2" customHeight="1" x14ac:dyDescent="0.25">
      <c r="A7" s="557" t="s">
        <v>70</v>
      </c>
      <c r="B7" s="552" t="s">
        <v>212</v>
      </c>
      <c r="C7" s="564"/>
      <c r="D7" s="545"/>
      <c r="E7" s="547"/>
      <c r="F7" s="553"/>
      <c r="G7" s="545"/>
      <c r="H7" s="563"/>
      <c r="I7" s="568" t="s">
        <v>192</v>
      </c>
      <c r="J7" s="555" t="s">
        <v>202</v>
      </c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5" customHeight="1" x14ac:dyDescent="0.25">
      <c r="A8" s="557" t="s">
        <v>71</v>
      </c>
      <c r="B8" s="552" t="s">
        <v>213</v>
      </c>
      <c r="C8" s="564"/>
      <c r="D8" s="545"/>
      <c r="E8" s="547"/>
      <c r="F8" s="553"/>
      <c r="G8" s="545"/>
      <c r="H8" s="551"/>
      <c r="I8" s="569" t="s">
        <v>186</v>
      </c>
      <c r="J8" s="555" t="s">
        <v>200</v>
      </c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85.8" customHeight="1" x14ac:dyDescent="0.25">
      <c r="A9" s="557" t="s">
        <v>53</v>
      </c>
      <c r="B9" s="558" t="s">
        <v>214</v>
      </c>
      <c r="C9" s="559"/>
      <c r="D9" s="560"/>
      <c r="E9" s="561"/>
      <c r="F9" s="559"/>
      <c r="G9" s="559"/>
      <c r="H9" s="566"/>
      <c r="I9" s="568" t="s">
        <v>207</v>
      </c>
      <c r="J9" s="555" t="s">
        <v>208</v>
      </c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52.8" customHeight="1" x14ac:dyDescent="0.25">
      <c r="A10" s="557" t="s">
        <v>69</v>
      </c>
      <c r="B10" s="544" t="s">
        <v>215</v>
      </c>
      <c r="C10" s="545"/>
      <c r="D10" s="562"/>
      <c r="E10" s="550"/>
      <c r="F10" s="545"/>
      <c r="G10" s="548"/>
      <c r="H10" s="563"/>
      <c r="I10" s="569" t="s">
        <v>187</v>
      </c>
      <c r="J10" s="555" t="s">
        <v>209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52.2" customHeight="1" x14ac:dyDescent="0.25">
      <c r="A11" s="557" t="s">
        <v>70</v>
      </c>
      <c r="B11" s="552" t="s">
        <v>216</v>
      </c>
      <c r="C11" s="564"/>
      <c r="D11" s="545"/>
      <c r="E11" s="547"/>
      <c r="F11" s="553"/>
      <c r="G11" s="545"/>
      <c r="H11" s="563"/>
      <c r="I11" s="568" t="s">
        <v>192</v>
      </c>
      <c r="J11" s="555" t="s">
        <v>202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85.8" customHeight="1" x14ac:dyDescent="0.25">
      <c r="A12" s="557" t="s">
        <v>53</v>
      </c>
      <c r="B12" s="558" t="s">
        <v>217</v>
      </c>
      <c r="C12" s="559"/>
      <c r="D12" s="560"/>
      <c r="E12" s="561"/>
      <c r="F12" s="559"/>
      <c r="G12" s="559"/>
      <c r="H12" s="566"/>
      <c r="I12" s="568" t="s">
        <v>207</v>
      </c>
      <c r="J12" s="555" t="s">
        <v>208</v>
      </c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52.8" customHeight="1" x14ac:dyDescent="0.25">
      <c r="A13" s="557" t="s">
        <v>69</v>
      </c>
      <c r="B13" s="544" t="s">
        <v>218</v>
      </c>
      <c r="C13" s="545"/>
      <c r="D13" s="562"/>
      <c r="E13" s="550"/>
      <c r="F13" s="545"/>
      <c r="G13" s="548"/>
      <c r="H13" s="563"/>
      <c r="I13" s="569" t="s">
        <v>187</v>
      </c>
      <c r="J13" s="555" t="s">
        <v>209</v>
      </c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52.2" customHeight="1" x14ac:dyDescent="0.25">
      <c r="A14" s="557" t="s">
        <v>70</v>
      </c>
      <c r="B14" s="552" t="s">
        <v>219</v>
      </c>
      <c r="C14" s="564"/>
      <c r="D14" s="545"/>
      <c r="E14" s="547"/>
      <c r="F14" s="553"/>
      <c r="G14" s="545"/>
      <c r="H14" s="563"/>
      <c r="I14" s="568" t="s">
        <v>192</v>
      </c>
      <c r="J14" s="555" t="s">
        <v>202</v>
      </c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5" customHeight="1" x14ac:dyDescent="0.25">
      <c r="A15" s="557" t="s">
        <v>71</v>
      </c>
      <c r="B15" s="552" t="s">
        <v>220</v>
      </c>
      <c r="C15" s="564"/>
      <c r="D15" s="545"/>
      <c r="E15" s="547"/>
      <c r="F15" s="553"/>
      <c r="G15" s="545"/>
      <c r="H15" s="551"/>
      <c r="I15" s="569" t="s">
        <v>186</v>
      </c>
      <c r="J15" s="555" t="s">
        <v>200</v>
      </c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85.8" customHeight="1" x14ac:dyDescent="0.25">
      <c r="A16" s="557" t="s">
        <v>53</v>
      </c>
      <c r="B16" s="558" t="s">
        <v>221</v>
      </c>
      <c r="C16" s="559"/>
      <c r="D16" s="560"/>
      <c r="E16" s="561"/>
      <c r="F16" s="559"/>
      <c r="G16" s="559"/>
      <c r="H16" s="566"/>
      <c r="I16" s="568" t="s">
        <v>207</v>
      </c>
      <c r="J16" s="555" t="s">
        <v>208</v>
      </c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52.8" customHeight="1" x14ac:dyDescent="0.25">
      <c r="A17" s="557" t="s">
        <v>69</v>
      </c>
      <c r="B17" s="544" t="s">
        <v>222</v>
      </c>
      <c r="C17" s="545"/>
      <c r="D17" s="562"/>
      <c r="E17" s="550"/>
      <c r="F17" s="545"/>
      <c r="G17" s="548"/>
      <c r="H17" s="563"/>
      <c r="I17" s="569" t="s">
        <v>187</v>
      </c>
      <c r="J17" s="555" t="s">
        <v>209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52.2" customHeight="1" x14ac:dyDescent="0.25">
      <c r="A18" s="557" t="s">
        <v>70</v>
      </c>
      <c r="B18" s="552" t="s">
        <v>223</v>
      </c>
      <c r="C18" s="564"/>
      <c r="D18" s="545"/>
      <c r="E18" s="547"/>
      <c r="F18" s="553"/>
      <c r="G18" s="545"/>
      <c r="H18" s="563"/>
      <c r="I18" s="568" t="s">
        <v>192</v>
      </c>
      <c r="J18" s="555" t="s">
        <v>202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85.8" customHeight="1" x14ac:dyDescent="0.25">
      <c r="A19" s="557" t="s">
        <v>53</v>
      </c>
      <c r="B19" s="558" t="s">
        <v>224</v>
      </c>
      <c r="C19" s="559"/>
      <c r="D19" s="560"/>
      <c r="E19" s="561"/>
      <c r="F19" s="559"/>
      <c r="G19" s="559"/>
      <c r="H19" s="566"/>
      <c r="I19" s="568" t="s">
        <v>207</v>
      </c>
      <c r="J19" s="555" t="s">
        <v>208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52.8" customHeight="1" x14ac:dyDescent="0.25">
      <c r="A20" s="557" t="s">
        <v>69</v>
      </c>
      <c r="B20" s="544" t="s">
        <v>225</v>
      </c>
      <c r="C20" s="545"/>
      <c r="D20" s="562"/>
      <c r="E20" s="550"/>
      <c r="F20" s="545"/>
      <c r="G20" s="548"/>
      <c r="H20" s="563"/>
      <c r="I20" s="569" t="s">
        <v>187</v>
      </c>
      <c r="J20" s="555" t="s">
        <v>209</v>
      </c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52.2" customHeight="1" x14ac:dyDescent="0.25">
      <c r="A21" s="557" t="s">
        <v>70</v>
      </c>
      <c r="B21" s="552" t="s">
        <v>226</v>
      </c>
      <c r="C21" s="564"/>
      <c r="D21" s="545"/>
      <c r="E21" s="547"/>
      <c r="F21" s="553"/>
      <c r="G21" s="545"/>
      <c r="H21" s="563"/>
      <c r="I21" s="568" t="s">
        <v>192</v>
      </c>
      <c r="J21" s="555" t="s">
        <v>202</v>
      </c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45" customHeight="1" x14ac:dyDescent="0.25">
      <c r="A22" s="557" t="s">
        <v>71</v>
      </c>
      <c r="B22" s="552" t="s">
        <v>227</v>
      </c>
      <c r="C22" s="564"/>
      <c r="D22" s="545"/>
      <c r="E22" s="547"/>
      <c r="F22" s="553"/>
      <c r="G22" s="545"/>
      <c r="H22" s="551"/>
      <c r="I22" s="569" t="s">
        <v>186</v>
      </c>
      <c r="J22" s="555" t="s">
        <v>200</v>
      </c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85.8" customHeight="1" x14ac:dyDescent="0.25">
      <c r="A23" s="557" t="s">
        <v>53</v>
      </c>
      <c r="B23" s="558" t="s">
        <v>228</v>
      </c>
      <c r="C23" s="559"/>
      <c r="D23" s="560"/>
      <c r="E23" s="561"/>
      <c r="F23" s="559"/>
      <c r="G23" s="559"/>
      <c r="H23" s="566"/>
      <c r="I23" s="568" t="s">
        <v>207</v>
      </c>
      <c r="J23" s="555" t="s">
        <v>208</v>
      </c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52.8" customHeight="1" x14ac:dyDescent="0.25">
      <c r="A24" s="557" t="s">
        <v>69</v>
      </c>
      <c r="B24" s="544" t="s">
        <v>229</v>
      </c>
      <c r="C24" s="545"/>
      <c r="D24" s="562"/>
      <c r="E24" s="550"/>
      <c r="F24" s="545"/>
      <c r="G24" s="548"/>
      <c r="H24" s="563"/>
      <c r="I24" s="569" t="s">
        <v>187</v>
      </c>
      <c r="J24" s="555" t="s">
        <v>209</v>
      </c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52.2" customHeight="1" x14ac:dyDescent="0.25">
      <c r="A25" s="557" t="s">
        <v>70</v>
      </c>
      <c r="B25" s="552" t="s">
        <v>230</v>
      </c>
      <c r="C25" s="564"/>
      <c r="D25" s="545"/>
      <c r="E25" s="547"/>
      <c r="F25" s="553"/>
      <c r="G25" s="545"/>
      <c r="H25" s="563"/>
      <c r="I25" s="568" t="s">
        <v>192</v>
      </c>
      <c r="J25" s="555" t="s">
        <v>202</v>
      </c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85.8" customHeight="1" x14ac:dyDescent="0.25">
      <c r="A26" s="557" t="s">
        <v>53</v>
      </c>
      <c r="B26" s="558" t="s">
        <v>231</v>
      </c>
      <c r="C26" s="559"/>
      <c r="D26" s="560"/>
      <c r="E26" s="561"/>
      <c r="F26" s="559"/>
      <c r="G26" s="559"/>
      <c r="H26" s="566"/>
      <c r="I26" s="568" t="s">
        <v>207</v>
      </c>
      <c r="J26" s="555" t="s">
        <v>208</v>
      </c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52.8" customHeight="1" x14ac:dyDescent="0.25">
      <c r="A27" s="557" t="s">
        <v>69</v>
      </c>
      <c r="B27" s="544"/>
      <c r="C27" s="545"/>
      <c r="D27" s="562"/>
      <c r="E27" s="550"/>
      <c r="F27" s="545"/>
      <c r="G27" s="548"/>
      <c r="H27" s="563"/>
      <c r="I27" s="569" t="s">
        <v>187</v>
      </c>
      <c r="J27" s="555" t="s">
        <v>209</v>
      </c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52.2" customHeight="1" x14ac:dyDescent="0.25">
      <c r="A28" s="557" t="s">
        <v>70</v>
      </c>
      <c r="B28" s="552"/>
      <c r="C28" s="564"/>
      <c r="D28" s="545"/>
      <c r="E28" s="547"/>
      <c r="F28" s="553"/>
      <c r="G28" s="545"/>
      <c r="H28" s="563"/>
      <c r="I28" s="568" t="s">
        <v>192</v>
      </c>
      <c r="J28" s="555" t="s">
        <v>202</v>
      </c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5" customHeight="1" x14ac:dyDescent="0.25">
      <c r="A29" s="557" t="s">
        <v>71</v>
      </c>
      <c r="B29" s="552"/>
      <c r="C29" s="564"/>
      <c r="D29" s="545"/>
      <c r="E29" s="547"/>
      <c r="F29" s="553"/>
      <c r="G29" s="545"/>
      <c r="H29" s="551"/>
      <c r="I29" s="569" t="s">
        <v>186</v>
      </c>
      <c r="J29" s="555" t="s">
        <v>200</v>
      </c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85.8" customHeight="1" x14ac:dyDescent="0.25">
      <c r="A30" s="557" t="s">
        <v>53</v>
      </c>
      <c r="B30" s="558"/>
      <c r="C30" s="559"/>
      <c r="D30" s="560"/>
      <c r="E30" s="561"/>
      <c r="F30" s="559"/>
      <c r="G30" s="559"/>
      <c r="H30" s="566"/>
      <c r="I30" s="568" t="s">
        <v>207</v>
      </c>
      <c r="J30" s="555" t="s">
        <v>208</v>
      </c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52.8" customHeight="1" x14ac:dyDescent="0.25">
      <c r="A31" s="557" t="s">
        <v>69</v>
      </c>
      <c r="B31" s="544"/>
      <c r="C31" s="545"/>
      <c r="D31" s="562"/>
      <c r="E31" s="550"/>
      <c r="F31" s="545"/>
      <c r="G31" s="548"/>
      <c r="H31" s="563"/>
      <c r="I31" s="569" t="s">
        <v>187</v>
      </c>
      <c r="J31" s="555" t="s">
        <v>209</v>
      </c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52.2" customHeight="1" x14ac:dyDescent="0.25">
      <c r="A32" s="557" t="s">
        <v>70</v>
      </c>
      <c r="B32" s="552"/>
      <c r="C32" s="564"/>
      <c r="D32" s="545"/>
      <c r="E32" s="547"/>
      <c r="F32" s="553"/>
      <c r="G32" s="545"/>
      <c r="H32" s="563"/>
      <c r="I32" s="568" t="s">
        <v>192</v>
      </c>
      <c r="J32" s="555" t="s">
        <v>202</v>
      </c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45" customHeight="1" x14ac:dyDescent="0.25">
      <c r="A33" s="557" t="s">
        <v>71</v>
      </c>
      <c r="B33" s="552"/>
      <c r="C33" s="564"/>
      <c r="D33" s="545"/>
      <c r="E33" s="547"/>
      <c r="F33" s="553"/>
      <c r="G33" s="545"/>
      <c r="H33" s="551"/>
      <c r="I33" s="569" t="s">
        <v>186</v>
      </c>
      <c r="J33" s="555" t="s">
        <v>200</v>
      </c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39" customHeight="1" x14ac:dyDescent="0.25">
      <c r="A34" s="557" t="s">
        <v>72</v>
      </c>
      <c r="B34" s="552"/>
      <c r="C34" s="564"/>
      <c r="D34" s="545"/>
      <c r="E34" s="547"/>
      <c r="F34" s="553"/>
      <c r="G34" s="545"/>
      <c r="H34" s="565"/>
      <c r="I34" s="570" t="s">
        <v>195</v>
      </c>
      <c r="J34" s="555" t="s">
        <v>201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4" customFormat="1" ht="22.8" customHeight="1" x14ac:dyDescent="0.25">
      <c r="A35" s="533"/>
      <c r="B35" s="533" t="s">
        <v>47</v>
      </c>
      <c r="C35" s="534">
        <f>SUM(C5:C34)</f>
        <v>0</v>
      </c>
      <c r="D35" s="534">
        <f>SUM(D5:D34)</f>
        <v>0</v>
      </c>
      <c r="E35" s="534">
        <f>SUM(E5:E34)</f>
        <v>0</v>
      </c>
      <c r="F35" s="534"/>
      <c r="G35" s="534"/>
      <c r="H35" s="534"/>
      <c r="I35" s="567"/>
      <c r="J35" s="498"/>
    </row>
    <row r="36" spans="1:35" ht="19.8" customHeight="1" x14ac:dyDescent="0.25">
      <c r="C36" s="339"/>
      <c r="D36" s="339"/>
      <c r="E36" s="339"/>
      <c r="F36" s="339"/>
      <c r="G36" s="339"/>
      <c r="H36" s="339"/>
    </row>
    <row r="37" spans="1:35" x14ac:dyDescent="0.25">
      <c r="C37" s="339"/>
      <c r="D37" s="339"/>
      <c r="E37" s="339"/>
      <c r="F37" s="339"/>
      <c r="G37" s="339"/>
      <c r="H37" s="339"/>
    </row>
    <row r="38" spans="1:35" x14ac:dyDescent="0.25">
      <c r="C38" s="339"/>
      <c r="D38" s="339"/>
      <c r="E38" s="339"/>
      <c r="F38" s="339"/>
      <c r="G38" s="339"/>
      <c r="H38" s="339"/>
    </row>
    <row r="39" spans="1:35" x14ac:dyDescent="0.25">
      <c r="C39" s="339"/>
      <c r="D39" s="339"/>
      <c r="E39" s="339"/>
      <c r="F39" s="339"/>
      <c r="G39" s="339"/>
      <c r="H39" s="339"/>
    </row>
  </sheetData>
  <mergeCells count="10">
    <mergeCell ref="A1:H2"/>
    <mergeCell ref="I2:J2"/>
    <mergeCell ref="A3:A4"/>
    <mergeCell ref="B3:B4"/>
    <mergeCell ref="C3:C4"/>
    <mergeCell ref="D3:D4"/>
    <mergeCell ref="E3:E4"/>
    <mergeCell ref="F3:F4"/>
    <mergeCell ref="G3:G4"/>
    <mergeCell ref="H3:H4"/>
  </mergeCells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60" t="s">
        <v>149</v>
      </c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  <c r="O2" s="860"/>
      <c r="P2" s="860"/>
      <c r="Q2" s="860"/>
      <c r="R2" s="860"/>
      <c r="S2" s="860"/>
      <c r="T2" s="860"/>
      <c r="U2" s="860"/>
      <c r="V2" s="860"/>
      <c r="W2" s="860"/>
      <c r="X2" s="860"/>
      <c r="Y2" s="860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61" t="s">
        <v>118</v>
      </c>
      <c r="B4" s="864" t="s">
        <v>2</v>
      </c>
      <c r="C4" s="866" t="s">
        <v>119</v>
      </c>
      <c r="D4" s="867"/>
      <c r="E4" s="870" t="s">
        <v>120</v>
      </c>
      <c r="F4" s="858" t="s">
        <v>121</v>
      </c>
      <c r="G4" s="873"/>
      <c r="H4" s="873"/>
      <c r="I4" s="873"/>
      <c r="J4" s="873"/>
      <c r="K4" s="873"/>
      <c r="L4" s="873"/>
      <c r="M4" s="873"/>
      <c r="N4" s="873"/>
      <c r="O4" s="873"/>
      <c r="P4" s="873"/>
      <c r="Q4" s="873"/>
      <c r="R4" s="873"/>
      <c r="S4" s="873"/>
      <c r="T4" s="873"/>
      <c r="U4" s="873"/>
      <c r="V4" s="873"/>
      <c r="W4" s="859"/>
      <c r="X4" s="512"/>
      <c r="Y4" s="866" t="s">
        <v>122</v>
      </c>
      <c r="Z4" s="874"/>
      <c r="AA4" s="867"/>
      <c r="AB4" s="852" t="s">
        <v>123</v>
      </c>
      <c r="AC4" s="853"/>
      <c r="AD4" s="854"/>
    </row>
    <row r="5" spans="1:30" ht="15.45" customHeight="1" x14ac:dyDescent="0.25">
      <c r="A5" s="862"/>
      <c r="B5" s="844"/>
      <c r="C5" s="868"/>
      <c r="D5" s="869"/>
      <c r="E5" s="871"/>
      <c r="F5" s="858" t="s">
        <v>143</v>
      </c>
      <c r="G5" s="859"/>
      <c r="H5" s="858" t="s">
        <v>144</v>
      </c>
      <c r="I5" s="859"/>
      <c r="J5" s="858" t="s">
        <v>145</v>
      </c>
      <c r="K5" s="859"/>
      <c r="L5" s="858" t="s">
        <v>156</v>
      </c>
      <c r="M5" s="859"/>
      <c r="N5" s="858" t="s">
        <v>155</v>
      </c>
      <c r="O5" s="859"/>
      <c r="P5" s="858" t="s">
        <v>159</v>
      </c>
      <c r="Q5" s="859"/>
      <c r="R5" s="858" t="s">
        <v>166</v>
      </c>
      <c r="S5" s="859"/>
      <c r="T5" s="858"/>
      <c r="U5" s="859"/>
      <c r="V5" s="858"/>
      <c r="W5" s="859"/>
      <c r="X5" s="513"/>
      <c r="Y5" s="868"/>
      <c r="Z5" s="875"/>
      <c r="AA5" s="869"/>
      <c r="AB5" s="855"/>
      <c r="AC5" s="856"/>
      <c r="AD5" s="857"/>
    </row>
    <row r="6" spans="1:30" ht="27.75" customHeight="1" x14ac:dyDescent="0.25">
      <c r="A6" s="863"/>
      <c r="B6" s="865"/>
      <c r="C6" s="314" t="s">
        <v>124</v>
      </c>
      <c r="D6" s="315" t="s">
        <v>125</v>
      </c>
      <c r="E6" s="872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34">
        <v>1</v>
      </c>
      <c r="B8" s="849" t="s">
        <v>95</v>
      </c>
      <c r="C8" s="826" t="s">
        <v>53</v>
      </c>
      <c r="D8" s="828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31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47"/>
      <c r="B9" s="850"/>
      <c r="C9" s="827"/>
      <c r="D9" s="829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32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47"/>
      <c r="B10" s="850"/>
      <c r="C10" s="827"/>
      <c r="D10" s="829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32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47"/>
      <c r="B11" s="850"/>
      <c r="C11" s="827"/>
      <c r="D11" s="829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32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47"/>
      <c r="B12" s="850"/>
      <c r="C12" s="827"/>
      <c r="D12" s="829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32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47"/>
      <c r="B13" s="850"/>
      <c r="C13" s="827"/>
      <c r="D13" s="829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32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47"/>
      <c r="B14" s="850"/>
      <c r="C14" s="827"/>
      <c r="D14" s="829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32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47"/>
      <c r="B15" s="850"/>
      <c r="C15" s="827"/>
      <c r="D15" s="829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32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47"/>
      <c r="B16" s="850"/>
      <c r="C16" s="827"/>
      <c r="D16" s="829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32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47"/>
      <c r="B17" s="850"/>
      <c r="C17" s="827"/>
      <c r="D17" s="829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32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47"/>
      <c r="B18" s="850"/>
      <c r="C18" s="827"/>
      <c r="D18" s="829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32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47"/>
      <c r="B19" s="850"/>
      <c r="C19" s="827"/>
      <c r="D19" s="829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32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47"/>
      <c r="B20" s="850"/>
      <c r="C20" s="827"/>
      <c r="D20" s="829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32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47"/>
      <c r="B21" s="850"/>
      <c r="C21" s="805"/>
      <c r="D21" s="829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32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48"/>
      <c r="B22" s="851"/>
      <c r="C22" s="821"/>
      <c r="D22" s="830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33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41">
        <v>2</v>
      </c>
      <c r="B25" s="842" t="s">
        <v>157</v>
      </c>
      <c r="C25" s="844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4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23"/>
      <c r="B26" s="843"/>
      <c r="C26" s="821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46"/>
      <c r="AB26" s="418"/>
      <c r="AC26" s="418"/>
      <c r="AD26" s="419"/>
    </row>
    <row r="27" spans="1:30" s="323" customFormat="1" ht="12" customHeight="1" x14ac:dyDescent="0.25">
      <c r="A27" s="834">
        <v>3</v>
      </c>
      <c r="B27" s="835" t="s">
        <v>98</v>
      </c>
      <c r="C27" s="510"/>
      <c r="D27" s="838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22"/>
      <c r="B28" s="836"/>
      <c r="C28" s="511"/>
      <c r="D28" s="839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23"/>
      <c r="B29" s="837"/>
      <c r="C29" s="397"/>
      <c r="D29" s="840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06">
        <f>A8+1</f>
        <v>2</v>
      </c>
      <c r="B30" s="809" t="s">
        <v>152</v>
      </c>
      <c r="C30" s="812" t="s">
        <v>69</v>
      </c>
      <c r="D30" s="815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0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07"/>
      <c r="B31" s="810"/>
      <c r="C31" s="813"/>
      <c r="D31" s="816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0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07"/>
      <c r="B32" s="810"/>
      <c r="C32" s="805"/>
      <c r="D32" s="816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0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07"/>
      <c r="B33" s="810"/>
      <c r="C33" s="805"/>
      <c r="D33" s="816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0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07"/>
      <c r="B34" s="810"/>
      <c r="C34" s="805"/>
      <c r="D34" s="816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0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07"/>
      <c r="B35" s="810"/>
      <c r="C35" s="805"/>
      <c r="D35" s="816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0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07"/>
      <c r="B36" s="810"/>
      <c r="C36" s="805"/>
      <c r="D36" s="816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0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07"/>
      <c r="B37" s="810"/>
      <c r="C37" s="805"/>
      <c r="D37" s="816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0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07"/>
      <c r="B38" s="810"/>
      <c r="C38" s="805"/>
      <c r="D38" s="816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0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07"/>
      <c r="B39" s="810"/>
      <c r="C39" s="805"/>
      <c r="D39" s="816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0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07"/>
      <c r="B40" s="810"/>
      <c r="C40" s="805"/>
      <c r="D40" s="816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0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07"/>
      <c r="B41" s="810"/>
      <c r="C41" s="805"/>
      <c r="D41" s="816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0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07"/>
      <c r="B42" s="810"/>
      <c r="C42" s="805"/>
      <c r="D42" s="816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0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07"/>
      <c r="B43" s="810"/>
      <c r="C43" s="805"/>
      <c r="D43" s="816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0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07"/>
      <c r="B44" s="810"/>
      <c r="C44" s="805"/>
      <c r="D44" s="816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0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08"/>
      <c r="B45" s="811"/>
      <c r="C45" s="821"/>
      <c r="D45" s="817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06">
        <v>3</v>
      </c>
      <c r="B47" s="809" t="s">
        <v>146</v>
      </c>
      <c r="C47" s="812" t="s">
        <v>70</v>
      </c>
      <c r="D47" s="815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18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07"/>
      <c r="B48" s="810"/>
      <c r="C48" s="813"/>
      <c r="D48" s="816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19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07"/>
      <c r="B49" s="810"/>
      <c r="C49" s="813"/>
      <c r="D49" s="816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19"/>
      <c r="AB49" s="415">
        <f>Z49</f>
        <v>197627.09</v>
      </c>
      <c r="AC49" s="415"/>
      <c r="AD49" s="443"/>
    </row>
    <row r="50" spans="1:30" s="323" customFormat="1" ht="12" customHeight="1" x14ac:dyDescent="0.25">
      <c r="A50" s="807"/>
      <c r="B50" s="810"/>
      <c r="C50" s="813"/>
      <c r="D50" s="816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19"/>
      <c r="AB50" s="415"/>
      <c r="AC50" s="415"/>
      <c r="AD50" s="443"/>
    </row>
    <row r="51" spans="1:30" s="323" customFormat="1" ht="12" customHeight="1" thickBot="1" x14ac:dyDescent="0.3">
      <c r="A51" s="807"/>
      <c r="B51" s="810"/>
      <c r="C51" s="813"/>
      <c r="D51" s="816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20"/>
      <c r="AB51" s="415"/>
      <c r="AC51" s="415"/>
      <c r="AD51" s="444"/>
    </row>
    <row r="52" spans="1:30" s="323" customFormat="1" ht="12.6" customHeight="1" thickBot="1" x14ac:dyDescent="0.3">
      <c r="A52" s="808"/>
      <c r="B52" s="811"/>
      <c r="C52" s="814"/>
      <c r="D52" s="817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06">
        <v>4</v>
      </c>
      <c r="B53" s="809" t="s">
        <v>151</v>
      </c>
      <c r="C53" s="812" t="s">
        <v>71</v>
      </c>
      <c r="D53" s="815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0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22"/>
      <c r="B54" s="824"/>
      <c r="C54" s="805"/>
      <c r="D54" s="80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0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22"/>
      <c r="B55" s="824"/>
      <c r="C55" s="805"/>
      <c r="D55" s="80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0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22"/>
      <c r="B56" s="824"/>
      <c r="C56" s="805"/>
      <c r="D56" s="80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0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22"/>
      <c r="B57" s="824"/>
      <c r="C57" s="805"/>
      <c r="D57" s="80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03"/>
      <c r="AB57" s="370"/>
      <c r="AC57" s="370"/>
      <c r="AD57" s="446"/>
    </row>
    <row r="58" spans="1:30" s="323" customFormat="1" ht="13.2" customHeight="1" thickBot="1" x14ac:dyDescent="0.3">
      <c r="A58" s="823"/>
      <c r="B58" s="825"/>
      <c r="C58" s="821"/>
      <c r="D58" s="821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06">
        <v>5</v>
      </c>
      <c r="B59" s="809" t="s">
        <v>154</v>
      </c>
      <c r="C59" s="812" t="s">
        <v>72</v>
      </c>
      <c r="D59" s="815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22"/>
      <c r="B60" s="824"/>
      <c r="C60" s="805"/>
      <c r="D60" s="80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22"/>
      <c r="B61" s="824"/>
      <c r="C61" s="805"/>
      <c r="D61" s="80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22"/>
      <c r="B62" s="824"/>
      <c r="C62" s="805"/>
      <c r="D62" s="80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22"/>
      <c r="B63" s="824"/>
      <c r="C63" s="805"/>
      <c r="D63" s="80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23"/>
      <c r="B64" s="825"/>
      <c r="C64" s="821"/>
      <c r="D64" s="821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76" t="s">
        <v>181</v>
      </c>
      <c r="B2" s="876"/>
      <c r="C2" s="876"/>
      <c r="D2" s="877"/>
      <c r="E2" s="877"/>
    </row>
    <row r="3" spans="1:5" ht="15" customHeight="1" x14ac:dyDescent="0.25">
      <c r="A3" s="309"/>
      <c r="B3" s="309"/>
      <c r="C3" s="309"/>
      <c r="D3" s="856" t="s">
        <v>182</v>
      </c>
      <c r="E3" s="856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47">
        <v>1</v>
      </c>
      <c r="B5" s="85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47"/>
      <c r="B6" s="85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47"/>
      <c r="B7" s="85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47"/>
      <c r="B8" s="85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47"/>
      <c r="B9" s="85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47"/>
      <c r="B10" s="85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47"/>
      <c r="B11" s="85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47"/>
      <c r="B12" s="85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47"/>
      <c r="B13" s="85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47"/>
      <c r="B14" s="85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47"/>
      <c r="B15" s="85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47"/>
      <c r="B16" s="85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47"/>
      <c r="B17" s="85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47"/>
      <c r="B18" s="85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47"/>
      <c r="B19" s="85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07">
        <f>A5+1</f>
        <v>2</v>
      </c>
      <c r="B23" s="810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07"/>
      <c r="B24" s="810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07"/>
      <c r="B25" s="810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07"/>
      <c r="B26" s="810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07"/>
      <c r="B27" s="810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07"/>
      <c r="B28" s="810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07"/>
      <c r="B29" s="810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07"/>
      <c r="B30" s="810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07"/>
      <c r="B31" s="810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07"/>
      <c r="B32" s="810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07"/>
      <c r="B33" s="810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07"/>
      <c r="B34" s="810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07"/>
      <c r="B35" s="810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07"/>
      <c r="B36" s="810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07"/>
      <c r="B37" s="810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07"/>
      <c r="B38" s="810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07"/>
      <c r="B39" s="810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07"/>
      <c r="B40" s="810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07"/>
      <c r="B41" s="810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07"/>
      <c r="B42" s="810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06">
        <v>3</v>
      </c>
      <c r="B43" s="80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07"/>
      <c r="B44" s="810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07"/>
      <c r="B45" s="810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07"/>
      <c r="B46" s="810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08"/>
      <c r="B47" s="811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06">
        <v>4</v>
      </c>
      <c r="B48" s="80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22"/>
      <c r="B49" s="82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22"/>
      <c r="B50" s="82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22"/>
      <c r="B51" s="82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78" t="s">
        <v>6</v>
      </c>
      <c r="B1" s="878"/>
      <c r="C1" s="878"/>
      <c r="D1" s="878"/>
      <c r="E1" s="878"/>
      <c r="F1" s="878"/>
    </row>
    <row r="2" spans="1:8" s="91" customFormat="1" ht="12.75" customHeight="1" x14ac:dyDescent="0.25">
      <c r="A2" s="879"/>
      <c r="B2" s="879"/>
      <c r="C2" s="879"/>
      <c r="D2" s="879"/>
      <c r="E2" s="87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 ДЦ 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'Реєстр ДЦ  (2)'!Область_печати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2024-08-07T07:28:34Z</cp:lastPrinted>
  <dcterms:created xsi:type="dcterms:W3CDTF">2016-07-15T13:11:41Z</dcterms:created>
  <dcterms:modified xsi:type="dcterms:W3CDTF">2024-09-23T07:31:30Z</dcterms:modified>
</cp:coreProperties>
</file>
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\Накопление\"/>
    </mc:Choice>
  </mc:AlternateContent>
  <bookViews>
    <workbookView xWindow="-108" yWindow="-108" windowWidth="23256" windowHeight="1245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externalReferences>
    <externalReference r:id="rId10"/>
  </externalReference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'!$A$7:$H$7</definedName>
    <definedName name="_xlnm._FilterDatabase" localSheetId="4" hidden="1">РеєстрАВР!$A$4:$AP$19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'!$A$2:$J$12</definedName>
    <definedName name="_xlnm.Print_Area" localSheetId="4">РеєстрАВР!$A$1:$J$20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9" i="27" l="1"/>
  <c r="F19" i="27"/>
  <c r="E19" i="27"/>
  <c r="C20" i="27"/>
  <c r="C19" i="27"/>
  <c r="G17" i="27"/>
  <c r="C10" i="22" l="1"/>
  <c r="E12" i="22" l="1"/>
  <c r="D12" i="22"/>
  <c r="C12" i="22"/>
  <c r="C9" i="22" l="1"/>
  <c r="G20" i="27" l="1"/>
  <c r="F20" i="27"/>
  <c r="G13" i="27"/>
  <c r="G16" i="27"/>
  <c r="C18" i="27" l="1"/>
  <c r="G18" i="27"/>
  <c r="G12" i="27" l="1"/>
  <c r="G11" i="27" l="1"/>
  <c r="F11" i="27"/>
  <c r="S14" i="27" l="1"/>
  <c r="C11" i="22"/>
  <c r="G15" i="27" l="1"/>
  <c r="F15" i="27"/>
  <c r="G10" i="27" l="1"/>
  <c r="F10" i="27"/>
  <c r="K6" i="22" l="1"/>
  <c r="E9" i="27" l="1"/>
  <c r="E20" i="27" l="1"/>
  <c r="C8" i="22"/>
  <c r="G8" i="27" l="1"/>
  <c r="G14" i="27" l="1"/>
  <c r="C6" i="22" l="1"/>
  <c r="G7" i="27" l="1"/>
  <c r="S6" i="27" l="1"/>
  <c r="C7" i="22" l="1"/>
  <c r="G6" i="27" l="1"/>
  <c r="G5" i="27" l="1"/>
  <c r="F5" i="27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<sst xmlns="http://schemas.openxmlformats.org/spreadsheetml/2006/main" count="590" uniqueCount="256">
  <si>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</si>
  <si>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</si>
  <si>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</si>
  <si>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</si>
  <si>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</si>
  <si>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</si>
  <si>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</si>
  <si>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</si>
  <si>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</si>
  <si>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</si>
  <si>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</si>
  <si>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</si>
  <si>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</si>
  <si>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</si>
  <si>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</si>
  <si>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</si>
  <si>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</si>
  <si>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</si>
  <si>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</si>
  <si>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</si>
  <si>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</si>
  <si>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</si>
  <si>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</si>
  <si>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</si>
  <si>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</si>
  <si>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</si>
  <si>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</si>
  <si>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</si>
  <si>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</si>
  <si>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</si>
  <si>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</si>
  <si>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</si>
  <si>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</si>
  <si>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</si>
  <si>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</si>
  <si>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</si>
  <si>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</si>
  <si>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</si>
  <si>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</si>
  <si>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</si>
  <si>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</si>
  <si>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</si>
  <si>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</si>
  <si>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</si>
  <si>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</si>
  <si>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</si>
  <si>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</si>
  <si>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</si>
  <si>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</si>
  <si>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</si>
  <si>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</si>
  <si>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</si>
  <si>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</si>
  <si>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</si>
  <si>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</si>
  <si>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</si>
  <si>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</si>
  <si>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</si>
  <si>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</si>
  <si>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</si>
  <si>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</si>
  <si>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</si>
  <si>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</si>
  <si>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</si>
  <si>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</si>
  <si>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</si>
  <si>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</si>
  <si>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</si>
  <si>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</si>
  <si>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</si>
  <si>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</si>
  <si>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</si>
  <si>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</si>
  <si>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</si>
  <si>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</si>
  <si>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</si>
  <si>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</si>
  <si>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</si>
  <si>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</si>
  <si>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</si>
  <si>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</si>
  <si>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</si>
  <si>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</si>
  <si>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</si>
  <si>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</si>
  <si>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</si>
  <si>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</si>
  <si>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</si>
  <si>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</si>
  <si>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</si>
  <si>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</si>
  <si>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</si>
  <si>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</si>
  <si>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</si>
  <si>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</si>
  <si>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</si>
  <si>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</si>
  <si>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</si>
  <si>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</si>
  <si>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</si>
  <si>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</si>
  <si>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</si>
  <si>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</si>
  <si>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</si>
  <si>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</si>
  <si>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</si>
  <si>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</si>
  <si>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</si>
  <si>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</si>
  <si>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</si>
  <si>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</si>
  <si>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</si>
  <si>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</si>
  <si>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</si>
  <si>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</si>
  <si>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</si>
  <si>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</si>
  <si>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</si>
  <si>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</si>
  <si>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</si>
  <si>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</si>
  <si>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</si>
  <si>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</si>
  <si>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</si>
  <si>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</si>
  <si>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</si>
  <si>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</si>
  <si>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</si>
  <si>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</si>
  <si>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</si>
  <si>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</si>
  <si>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</si>
  <si>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</si>
  <si>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</si>
  <si>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</si>
  <si>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</si>
  <si>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</si>
  <si>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</si>
  <si>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</si>
  <si>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</si>
  <si>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</si>
  <si>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</si>
  <si>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</si>
  <si>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</si>
  <si>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</si>
  <si>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</si>
  <si>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</si>
  <si>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</si>
  <si>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</si>
  <si>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</si>
  <si>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</si>
  <si>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</si>
  <si>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</si>
  <si>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</si>
  <si>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</si>
  <si>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</si>
  <si>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</si>
  <si>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</si>
  <si>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</si>
  <si>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</si>
  <si>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</si>
  <si>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</si>
  <si>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</si>
  <si>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</si>
  <si>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</si>
  <si>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</si>
  <si>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</si>
  <si>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</si>
  <si>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</si>
  <si>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</si>
  <si>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</si>
  <si>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</si>
  <si>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</si>
  <si>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</si>
  <si>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</si>
  <si>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</si>
  <si>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</si>
  <si>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</si>
  <si>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</si>
  <si>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</si>
  <si>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</si>
  <si>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</si>
  <si>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</si>
  <si>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</si>
  <si>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</si>
  <si>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</si>
  <si>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</si>
  <si>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</si>
  <si>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</si>
  <si>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</si>
  <si>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</si>
  <si>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</si>
  <si>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</si>
  <si>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</si>
  <si>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</si>
  <si>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</si>
  <si>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</si>
  <si>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</si>
  <si>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</si>
  <si>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</si>
  <si>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</si>
  <si>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</si>
  <si>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</si>
  <si>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</si>
  <si>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</si>
  <si>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</si>
  <si>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</si>
  <si>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АВР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</si>
  <si>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</si>
  <si>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</si>
  <si>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зауваження до ССДЦ якщо є і на кому затримка в погодженні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</si>
  <si>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</si>
  <si>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</si>
  <si>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ДЦ  по об'єкту 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</si>
  <si>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</si>
  <si>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</si>
  <si>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</si>
  <si>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Демонтажніе работі+разница земляных работ</t>
  </si>
  <si>
    <t>Підготовчі роботи та монтаж пальового поля (Договір № 14/06/2024)</t>
  </si>
  <si>
    <t>Договор будет переподписываться в новой редакции с учетом аванса)</t>
  </si>
  <si>
    <t>(Договір № 14/06/2024)</t>
  </si>
  <si>
    <t>Додаткова угода №1 к договору 14/06/2024</t>
  </si>
  <si>
    <t>Пересчет КП в новой редакции (согласно проекта)</t>
  </si>
  <si>
    <t>Підготовчі роботи та монтаж пальового поля (Договір № 19/07/2024)</t>
  </si>
  <si>
    <t>подписано</t>
  </si>
  <si>
    <t>Договор №19/07/2024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</si>
  <si>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</si>
  <si>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</si>
  <si>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</si>
  <si>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</si>
  <si>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</si>
  <si>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</si>
  <si>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</si>
  <si>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Оплата по авансам согласно договора планируеться в пятницу на слудующую неделю(вт или чт),согласно счета фактуры поданой до четверга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</si>
  <si>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</si>
  <si>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</si>
  <si>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</si>
  <si>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</si>
  <si>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</si>
  <si>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</si>
  <si>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</si>
  <si>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Согласование договоров:после принципиального согласования юрид отделами заказчика и подрядчика,договор отсылаеться на представителя заказчика(Москалев).2)Москалев загружает в программу согласований.3)Согласовуеться 2-3дня финансистами,бухгалтерией и юристами Филиала Глобино.4)Согласовуеться 2-3дня финансистами,бухгалтерией и юристами Филиала Киев.4)Согласовывает служба СБ.5)Согласовывает Директора</t>
  </si>
  <si>
    <t>ДУ №1 до № 19/07/2024</t>
  </si>
  <si>
    <t>Рахунок</t>
  </si>
  <si>
    <t>ДУ №2 до №19/07/2024</t>
  </si>
  <si>
    <t>Планування території (земляні роботи та влаштування паркану)</t>
  </si>
  <si>
    <t>Доп. Работы</t>
  </si>
  <si>
    <t>Подготовительные работы (ППР)</t>
  </si>
  <si>
    <t>АВР по рахунку</t>
  </si>
  <si>
    <t>на подписи у директора</t>
  </si>
  <si>
    <t>Временные дороги</t>
  </si>
  <si>
    <t>На подписи у Директора</t>
  </si>
  <si>
    <t>на согласовании у Заказчика после корректировки замечаний</t>
  </si>
  <si>
    <t>на подписи у директора АВР</t>
  </si>
  <si>
    <t>влаштування тимчасових доріг (ДУ №1 до договору 19.07.2024)</t>
  </si>
  <si>
    <t>после подписания будет отправлен на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</si>
</sst>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783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1" fillId="0" borderId="2" xfId="20" applyFont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1" fillId="0" borderId="1" xfId="20" applyFont="1" applyBorder="1" applyAlignment="1">
      <alignment horizontal="center" vertical="center"/>
    </xf>
    <xf numFmtId="0" fontId="37" fillId="0" borderId="2" xfId="20" applyFont="1" applyBorder="1"/>
    <xf numFmtId="14" fontId="49" fillId="0" borderId="2" xfId="20" applyNumberFormat="1" applyFont="1" applyFill="1" applyBorder="1" applyAlignment="1">
      <alignment horizontal="center" vertical="center"/>
    </xf>
    <xf numFmtId="0" fontId="53" fillId="0" borderId="19" xfId="20" applyFont="1" applyFill="1" applyBorder="1" applyAlignment="1">
      <alignment horizontal="left" vertical="center" wrapText="1"/>
    </xf>
    <xf numFmtId="164" fontId="53" fillId="0" borderId="19" xfId="20" applyNumberFormat="1" applyFont="1" applyFill="1" applyBorder="1" applyAlignment="1">
      <alignment horizontal="center" vertical="center"/>
    </xf>
    <xf numFmtId="175" fontId="53" fillId="0" borderId="19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14" fontId="46" fillId="5" borderId="2" xfId="20" applyNumberFormat="1" applyFont="1" applyFill="1" applyBorder="1" applyAlignment="1">
      <alignment horizontal="center" vertical="center"/>
    </xf>
    <xf numFmtId="0" fontId="46" fillId="0" borderId="2" xfId="20" applyFont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53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left" vertical="center" wrapText="1"/>
    </xf>
    <xf numFmtId="164" fontId="55" fillId="0" borderId="19" xfId="20" applyNumberFormat="1" applyFont="1" applyFill="1" applyBorder="1" applyAlignment="1">
      <alignment horizontal="center" vertical="center"/>
    </xf>
    <xf numFmtId="175" fontId="55" fillId="0" borderId="19" xfId="20" applyNumberFormat="1" applyFont="1" applyFill="1" applyBorder="1" applyAlignment="1">
      <alignment horizontal="center" vertical="center"/>
    </xf>
    <xf numFmtId="164" fontId="56" fillId="0" borderId="19" xfId="20" applyNumberFormat="1" applyFont="1" applyFill="1" applyBorder="1" applyAlignment="1">
      <alignment horizontal="center" vertical="center"/>
    </xf>
    <xf numFmtId="164" fontId="55" fillId="0" borderId="14" xfId="20" applyNumberFormat="1" applyFont="1" applyFill="1" applyBorder="1" applyAlignment="1">
      <alignment horizontal="center" vertical="center" wrapText="1"/>
    </xf>
    <xf numFmtId="164" fontId="53" fillId="0" borderId="15" xfId="20" applyNumberFormat="1" applyFont="1" applyFill="1" applyBorder="1" applyAlignment="1">
      <alignment horizontal="center" vertical="center" wrapText="1"/>
    </xf>
    <xf numFmtId="43" fontId="53" fillId="0" borderId="2" xfId="25" applyFont="1" applyBorder="1" applyAlignment="1">
      <alignment horizontal="center" vertical="center"/>
    </xf>
    <xf numFmtId="0" fontId="46" fillId="5" borderId="1" xfId="20" applyFont="1" applyFill="1" applyBorder="1" applyAlignment="1">
      <alignment horizontal="center" vertical="center"/>
    </xf>
    <xf numFmtId="0" fontId="49" fillId="9" borderId="2" xfId="20" applyNumberFormat="1" applyFont="1" applyFill="1" applyBorder="1" applyAlignment="1">
      <alignment horizontal="center" vertical="center" wrapText="1"/>
    </xf>
    <xf numFmtId="0" fontId="49" fillId="9" borderId="20" xfId="20" applyNumberFormat="1" applyFont="1" applyFill="1" applyBorder="1" applyAlignment="1">
      <alignment vertical="center" wrapText="1"/>
    </xf>
    <xf numFmtId="0" fontId="40" fillId="9" borderId="1" xfId="20" applyFont="1" applyFill="1" applyBorder="1" applyAlignment="1">
      <alignment horizontal="center" vertical="center" wrapText="1"/>
    </xf>
    <xf numFmtId="0" fontId="40" fillId="0" borderId="0" xfId="2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39" fillId="9" borderId="2" xfId="20" applyFont="1" applyFill="1" applyBorder="1" applyAlignment="1">
      <alignment horizontal="center" vertical="center" wrapText="1"/>
    </xf>
    <xf numFmtId="0" fontId="44" fillId="0" borderId="2" xfId="20" applyFont="1" applyFill="1" applyBorder="1" applyAlignment="1">
      <alignment vertical="center"/>
    </xf>
    <xf numFmtId="43" fontId="37" fillId="0" borderId="2" xfId="20" applyNumberFormat="1" applyFont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0" fontId="57" fillId="5" borderId="1" xfId="20" applyFont="1" applyFill="1" applyBorder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/>
    </xf>
    <xf numFmtId="16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center" vertical="center" wrapText="1"/>
    </xf>
    <xf numFmtId="164" fontId="58" fillId="0" borderId="2" xfId="20" applyNumberFormat="1" applyFont="1" applyFill="1" applyBorder="1" applyAlignment="1">
      <alignment horizontal="center" vertical="center" wrapText="1"/>
    </xf>
    <xf numFmtId="0" fontId="59" fillId="0" borderId="2" xfId="20" applyNumberFormat="1" applyFont="1" applyFill="1" applyBorder="1" applyAlignment="1">
      <alignment horizontal="center" vertical="center" wrapText="1"/>
    </xf>
    <xf numFmtId="0" fontId="48" fillId="0" borderId="2" xfId="20" applyFont="1" applyFill="1" applyBorder="1" applyAlignment="1">
      <alignment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53" fillId="2" borderId="2" xfId="20" applyNumberFormat="1" applyFont="1" applyFill="1" applyBorder="1" applyAlignment="1">
      <alignment horizontal="center" vertical="center" wrapText="1"/>
    </xf>
    <xf numFmtId="0" fontId="49" fillId="2" borderId="2" xfId="20" applyNumberFormat="1" applyFont="1" applyFill="1" applyBorder="1" applyAlignment="1">
      <alignment horizontal="center" vertical="center" wrapText="1"/>
    </xf>
    <xf numFmtId="164" fontId="55" fillId="2" borderId="2" xfId="20" applyNumberFormat="1" applyFont="1" applyFill="1" applyBorder="1" applyAlignment="1">
      <alignment horizontal="center" vertical="center" wrapText="1"/>
    </xf>
    <xf numFmtId="0" fontId="55" fillId="2" borderId="2" xfId="20" applyNumberFormat="1" applyFont="1" applyFill="1" applyBorder="1" applyAlignment="1">
      <alignment horizontal="center" vertical="center"/>
    </xf>
    <xf numFmtId="14" fontId="53" fillId="2" borderId="2" xfId="20" applyNumberFormat="1" applyFont="1" applyFill="1" applyBorder="1" applyAlignment="1">
      <alignment horizontal="center" vertical="center" wrapText="1"/>
    </xf>
    <xf numFmtId="0" fontId="53" fillId="0" borderId="2" xfId="20" applyNumberFormat="1" applyFont="1" applyFill="1" applyBorder="1" applyAlignment="1">
      <alignment horizontal="center" vertical="center" wrapText="1"/>
    </xf>
    <xf numFmtId="164" fontId="59" fillId="2" borderId="2" xfId="20" applyNumberFormat="1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9" fillId="0" borderId="2" xfId="20" applyFont="1" applyBorder="1" applyAlignment="1">
      <alignment horizontal="center" vertical="center"/>
    </xf>
    <xf numFmtId="0" fontId="40" fillId="0" borderId="0" xfId="2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 wrapText="1"/>
    </xf>
    <xf numFmtId="164" fontId="48" fillId="0" borderId="2" xfId="20" applyNumberFormat="1" applyFont="1" applyFill="1" applyBorder="1" applyAlignment="1">
      <alignment horizontal="center" vertical="center" wrapText="1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0;&#1089;&#1090;&#1072;&#1088;&#1090;&#1072;/&#1040;&#1042;&#1056;/&#1040;&#1042;&#1056;%20&#1054;&#1089;&#1085;&#1086;&#1074;&#1085;&#1086;&#1081;%20&#1076;&#1086;&#1075;&#1086;&#1074;&#1086;&#1088;/&#1040;&#1042;&#1056;%20&#8470;5/&#1040;&#1042;&#1056;%20&#8470;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ВР №3"/>
    </sheetNames>
    <sheetDataSet>
      <sheetData sheetId="0">
        <row r="31">
          <cell r="F31">
            <v>2917816.8479999998</v>
          </cell>
        </row>
      </sheetData>
    </sheetDataSet>
  </externalBook>
</externalLink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33" t="s">
        <v>37</v>
      </c>
      <c r="B5" s="633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33" t="s">
        <v>24</v>
      </c>
      <c r="B6" s="633"/>
      <c r="C6" s="82"/>
      <c r="D6" s="634"/>
      <c r="E6" s="634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33" t="s">
        <v>38</v>
      </c>
      <c r="B7" s="633"/>
      <c r="C7" s="633"/>
      <c r="D7" s="633"/>
      <c r="E7" s="633"/>
      <c r="F7" s="633"/>
      <c r="G7" s="633"/>
      <c r="H7" s="633"/>
      <c r="I7" s="633"/>
      <c r="J7" s="82"/>
      <c r="L7" s="61"/>
      <c r="V7" s="62"/>
      <c r="W7" s="63"/>
    </row>
    <row r="8" spans="1:23" s="60" customFormat="1" ht="12.75" customHeight="1" x14ac:dyDescent="0.25">
      <c r="A8" s="633" t="s">
        <v>39</v>
      </c>
      <c r="B8" s="633"/>
      <c r="C8" s="633"/>
      <c r="D8" s="633"/>
      <c r="E8" s="633"/>
      <c r="F8" s="633"/>
      <c r="G8" s="633"/>
      <c r="H8" s="633"/>
      <c r="I8" s="633"/>
      <c r="J8" s="82"/>
      <c r="L8" s="61"/>
      <c r="V8" s="62"/>
      <c r="W8" s="63"/>
    </row>
    <row r="9" spans="1:23" s="60" customFormat="1" ht="12.75" customHeight="1" x14ac:dyDescent="0.25">
      <c r="A9" s="632" t="s">
        <v>40</v>
      </c>
      <c r="B9" s="632"/>
      <c r="C9" s="632"/>
      <c r="D9" s="632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35" t="s">
        <v>0</v>
      </c>
      <c r="B11" s="635"/>
      <c r="C11" s="635"/>
      <c r="D11" s="635"/>
      <c r="E11" s="635"/>
      <c r="F11" s="635"/>
      <c r="G11" s="635"/>
      <c r="H11" s="635"/>
      <c r="I11" s="63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36" t="s">
        <v>1</v>
      </c>
      <c r="B13" s="619" t="s">
        <v>2</v>
      </c>
      <c r="C13" s="636" t="s">
        <v>13</v>
      </c>
      <c r="D13" s="637" t="s">
        <v>3</v>
      </c>
      <c r="E13" s="638" t="s">
        <v>14</v>
      </c>
      <c r="F13" s="639" t="s">
        <v>27</v>
      </c>
      <c r="G13" s="639"/>
      <c r="H13" s="637" t="s">
        <v>17</v>
      </c>
      <c r="I13" s="637"/>
      <c r="J13" s="620" t="s">
        <v>30</v>
      </c>
      <c r="K13" s="621"/>
      <c r="L13" s="622"/>
      <c r="M13" s="619" t="s">
        <v>26</v>
      </c>
      <c r="N13" s="619"/>
      <c r="O13" s="619"/>
      <c r="P13" s="619"/>
      <c r="Q13" s="619" t="s">
        <v>29</v>
      </c>
      <c r="R13" s="619"/>
      <c r="S13" s="619"/>
      <c r="T13" s="619"/>
      <c r="U13" s="619"/>
      <c r="V13" s="626" t="s">
        <v>34</v>
      </c>
      <c r="W13" s="627"/>
    </row>
    <row r="14" spans="1:23" s="3" customFormat="1" ht="20.25" customHeight="1" x14ac:dyDescent="0.25">
      <c r="A14" s="636"/>
      <c r="B14" s="619"/>
      <c r="C14" s="636"/>
      <c r="D14" s="637"/>
      <c r="E14" s="638"/>
      <c r="F14" s="637" t="s">
        <v>41</v>
      </c>
      <c r="G14" s="637"/>
      <c r="H14" s="637"/>
      <c r="I14" s="637"/>
      <c r="J14" s="623"/>
      <c r="K14" s="624"/>
      <c r="L14" s="625"/>
      <c r="M14" s="619"/>
      <c r="N14" s="619"/>
      <c r="O14" s="619"/>
      <c r="P14" s="619"/>
      <c r="Q14" s="619"/>
      <c r="R14" s="619"/>
      <c r="S14" s="619"/>
      <c r="T14" s="619"/>
      <c r="U14" s="619"/>
      <c r="V14" s="628"/>
      <c r="W14" s="629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28"/>
      <c r="W15" s="629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18" t="s">
        <v>32</v>
      </c>
      <c r="U16" s="618"/>
      <c r="V16" s="630"/>
      <c r="W16" s="631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49" t="s">
        <v>93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</row>
    <row r="2" spans="1:13" ht="16.2" thickBot="1" x14ac:dyDescent="0.3">
      <c r="M2" s="216"/>
    </row>
    <row r="3" spans="1:13" ht="31.5" customHeight="1" x14ac:dyDescent="0.25">
      <c r="A3" s="659" t="s">
        <v>84</v>
      </c>
      <c r="B3" s="661" t="s">
        <v>82</v>
      </c>
      <c r="C3" s="661" t="s">
        <v>86</v>
      </c>
      <c r="D3" s="661" t="s">
        <v>85</v>
      </c>
      <c r="E3" s="650" t="s">
        <v>83</v>
      </c>
      <c r="F3" s="654" t="s">
        <v>90</v>
      </c>
      <c r="G3" s="655"/>
      <c r="H3" s="656"/>
      <c r="I3" s="652" t="s">
        <v>9</v>
      </c>
      <c r="J3" s="657" t="s">
        <v>91</v>
      </c>
      <c r="K3" s="657"/>
      <c r="L3" s="658"/>
      <c r="M3" s="652" t="s">
        <v>50</v>
      </c>
    </row>
    <row r="4" spans="1:13" x14ac:dyDescent="0.25">
      <c r="A4" s="660"/>
      <c r="B4" s="662"/>
      <c r="C4" s="662"/>
      <c r="D4" s="662"/>
      <c r="E4" s="651"/>
      <c r="F4" s="145" t="s">
        <v>87</v>
      </c>
      <c r="G4" s="135" t="s">
        <v>88</v>
      </c>
      <c r="H4" s="135" t="s">
        <v>89</v>
      </c>
      <c r="I4" s="653"/>
      <c r="J4" s="143" t="s">
        <v>87</v>
      </c>
      <c r="K4" s="135" t="s">
        <v>88</v>
      </c>
      <c r="L4" s="135" t="s">
        <v>89</v>
      </c>
      <c r="M4" s="653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43">
        <v>4</v>
      </c>
      <c r="B6" s="640" t="s">
        <v>97</v>
      </c>
      <c r="C6" s="646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44"/>
      <c r="B7" s="641"/>
      <c r="C7" s="647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44"/>
      <c r="B8" s="641"/>
      <c r="C8" s="647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45"/>
      <c r="B9" s="642"/>
      <c r="C9" s="648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69" t="s">
        <v>84</v>
      </c>
      <c r="B2" s="669" t="s">
        <v>99</v>
      </c>
      <c r="C2" s="669" t="s">
        <v>86</v>
      </c>
      <c r="D2" s="669" t="s">
        <v>51</v>
      </c>
      <c r="E2" s="663" t="s">
        <v>100</v>
      </c>
      <c r="F2" s="664"/>
      <c r="G2" s="665"/>
      <c r="H2" s="666" t="s">
        <v>101</v>
      </c>
      <c r="I2" s="667"/>
      <c r="J2" s="667"/>
      <c r="K2" s="667"/>
      <c r="L2" s="667"/>
      <c r="M2" s="668"/>
      <c r="N2" s="663" t="s">
        <v>102</v>
      </c>
      <c r="O2" s="664"/>
      <c r="P2" s="665"/>
    </row>
    <row r="3" spans="1:16" ht="16.2" thickBot="1" x14ac:dyDescent="0.3">
      <c r="A3" s="670"/>
      <c r="B3" s="670"/>
      <c r="C3" s="670"/>
      <c r="D3" s="670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71">
        <v>4</v>
      </c>
      <c r="B4" s="674" t="s">
        <v>109</v>
      </c>
      <c r="C4" s="674" t="s">
        <v>94</v>
      </c>
      <c r="D4" s="674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72"/>
      <c r="B5" s="675"/>
      <c r="C5" s="675"/>
      <c r="D5" s="675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72"/>
      <c r="B6" s="675"/>
      <c r="C6" s="675"/>
      <c r="D6" s="675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72"/>
      <c r="B7" s="675"/>
      <c r="C7" s="675"/>
      <c r="D7" s="675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72"/>
      <c r="B8" s="675"/>
      <c r="C8" s="675"/>
      <c r="D8" s="676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72"/>
      <c r="B9" s="675"/>
      <c r="C9" s="675"/>
      <c r="D9" s="677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72"/>
      <c r="B10" s="675"/>
      <c r="C10" s="675"/>
      <c r="D10" s="678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72"/>
      <c r="B11" s="675"/>
      <c r="C11" s="675"/>
      <c r="D11" s="679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72"/>
      <c r="B12" s="675"/>
      <c r="C12" s="675"/>
      <c r="D12" s="674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72"/>
      <c r="B13" s="675"/>
      <c r="C13" s="675"/>
      <c r="D13" s="675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72"/>
      <c r="B14" s="675"/>
      <c r="C14" s="675"/>
      <c r="D14" s="676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72"/>
      <c r="B15" s="675"/>
      <c r="C15" s="675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73"/>
      <c r="B16" s="676"/>
      <c r="C16" s="676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I16"/>
  <sheetViews>
    <sheetView showWhiteSpace="0" zoomScale="60" zoomScaleNormal="60" zoomScaleSheetLayoutView="76" workbookViewId="0">
      <pane ySplit="4" topLeftCell="A5" activePane="bottomLeft" state="frozen"/>
      <selection pane="bottomLeft" activeCell="F10" sqref="F10"/>
    </sheetView>
  </sheetViews>
  <sheetFormatPr defaultColWidth="9.109375" defaultRowHeight="12" x14ac:dyDescent="0.25"/>
  <cols>
    <col min="1" max="1" width="39.33203125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38.21875" style="342" customWidth="1"/>
    <col min="7" max="7" width="32.21875" style="342" customWidth="1"/>
    <col min="8" max="8" width="41.77734375" style="342" hidden="1" customWidth="1"/>
    <col min="9" max="9" width="29.77734375" style="308" hidden="1" customWidth="1"/>
    <col min="10" max="10" width="45.33203125" style="308" hidden="1" customWidth="1"/>
    <col min="11" max="11" width="25.5546875" style="308" customWidth="1"/>
    <col min="12" max="16384" width="9.109375" style="308"/>
  </cols>
  <sheetData>
    <row r="1" spans="1:35" ht="16.95" customHeight="1" x14ac:dyDescent="0.25">
      <c r="A1" s="683" t="s">
        <v>213</v>
      </c>
      <c r="B1" s="683"/>
      <c r="C1" s="683"/>
      <c r="D1" s="683"/>
      <c r="E1" s="683"/>
      <c r="F1" s="683"/>
      <c r="G1" s="683"/>
      <c r="H1" s="683"/>
    </row>
    <row r="2" spans="1:35" ht="59.4" customHeight="1" thickBot="1" x14ac:dyDescent="0.3">
      <c r="A2" s="683"/>
      <c r="B2" s="683"/>
      <c r="C2" s="683"/>
      <c r="D2" s="683"/>
      <c r="E2" s="683"/>
      <c r="F2" s="683"/>
      <c r="G2" s="683"/>
      <c r="H2" s="683"/>
      <c r="I2" s="681" t="s">
        <v>205</v>
      </c>
      <c r="J2" s="682"/>
    </row>
    <row r="3" spans="1:35" ht="31.8" customHeight="1" x14ac:dyDescent="0.25">
      <c r="A3" s="684" t="s">
        <v>124</v>
      </c>
      <c r="B3" s="690" t="s">
        <v>185</v>
      </c>
      <c r="C3" s="686" t="s">
        <v>190</v>
      </c>
      <c r="D3" s="686" t="s">
        <v>191</v>
      </c>
      <c r="E3" s="686" t="s">
        <v>193</v>
      </c>
      <c r="F3" s="692" t="s">
        <v>9</v>
      </c>
      <c r="G3" s="692" t="s">
        <v>188</v>
      </c>
      <c r="H3" s="688" t="s">
        <v>189</v>
      </c>
      <c r="I3" s="565" t="s">
        <v>203</v>
      </c>
      <c r="J3" s="565" t="s">
        <v>204</v>
      </c>
      <c r="K3" s="680" t="s">
        <v>229</v>
      </c>
    </row>
    <row r="4" spans="1:35" ht="30.6" customHeight="1" x14ac:dyDescent="0.25">
      <c r="A4" s="685"/>
      <c r="B4" s="691"/>
      <c r="C4" s="687"/>
      <c r="D4" s="687"/>
      <c r="E4" s="687"/>
      <c r="F4" s="693"/>
      <c r="G4" s="693"/>
      <c r="H4" s="689"/>
      <c r="I4" s="554" t="s">
        <v>198</v>
      </c>
      <c r="J4" s="554" t="s">
        <v>202</v>
      </c>
      <c r="K4" s="680"/>
    </row>
    <row r="5" spans="1:35" s="323" customFormat="1" ht="64.8" customHeight="1" x14ac:dyDescent="0.25">
      <c r="A5" s="583" t="s">
        <v>220</v>
      </c>
      <c r="B5" s="584" t="s">
        <v>218</v>
      </c>
      <c r="C5" s="585"/>
      <c r="D5" s="586"/>
      <c r="E5" s="587"/>
      <c r="F5" s="613"/>
      <c r="G5" s="614"/>
      <c r="H5" s="588" t="s">
        <v>219</v>
      </c>
      <c r="I5" s="561" t="s">
        <v>206</v>
      </c>
      <c r="J5" s="553" t="s">
        <v>208</v>
      </c>
      <c r="K5" s="49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581" customFormat="1" ht="63.6" customHeight="1" x14ac:dyDescent="0.25">
      <c r="A6" s="582" t="s">
        <v>221</v>
      </c>
      <c r="B6" s="574" t="s">
        <v>222</v>
      </c>
      <c r="C6" s="575">
        <f>E6-D6</f>
        <v>7142088.0039999988</v>
      </c>
      <c r="D6" s="576">
        <v>11448535.256000003</v>
      </c>
      <c r="E6" s="577">
        <v>18590623.260000002</v>
      </c>
      <c r="F6" s="617" t="s">
        <v>224</v>
      </c>
      <c r="G6" s="615"/>
      <c r="H6" s="589"/>
      <c r="I6" s="578"/>
      <c r="J6" s="579"/>
      <c r="K6" s="590">
        <f>1000000+3797805.45+4030999.51+2619730.3</f>
        <v>11448535.260000002</v>
      </c>
      <c r="L6" s="580"/>
      <c r="M6" s="580"/>
      <c r="N6" s="580"/>
      <c r="O6" s="580"/>
      <c r="P6" s="580"/>
      <c r="Q6" s="580"/>
      <c r="R6" s="580"/>
      <c r="S6" s="580"/>
      <c r="T6" s="580"/>
      <c r="U6" s="580"/>
      <c r="V6" s="580"/>
      <c r="W6" s="580"/>
      <c r="X6" s="580"/>
      <c r="Y6" s="580"/>
      <c r="Z6" s="580"/>
      <c r="AA6" s="580"/>
      <c r="AB6" s="580"/>
      <c r="AC6" s="580"/>
      <c r="AD6" s="580"/>
      <c r="AE6" s="580"/>
      <c r="AF6" s="580"/>
      <c r="AG6" s="580"/>
      <c r="AH6" s="580"/>
      <c r="AI6" s="580"/>
    </row>
    <row r="7" spans="1:35" s="323" customFormat="1" ht="47.4" customHeight="1" x14ac:dyDescent="0.25">
      <c r="A7" s="555" t="s">
        <v>225</v>
      </c>
      <c r="B7" s="543" t="s">
        <v>217</v>
      </c>
      <c r="C7" s="544">
        <f>E7-D7</f>
        <v>698867.58</v>
      </c>
      <c r="D7" s="557">
        <v>6410.8800000000019</v>
      </c>
      <c r="E7" s="556">
        <v>705278.46</v>
      </c>
      <c r="F7" s="617" t="s">
        <v>224</v>
      </c>
      <c r="G7" s="615"/>
      <c r="H7" s="558"/>
      <c r="I7" s="562" t="s">
        <v>187</v>
      </c>
      <c r="J7" s="553" t="s">
        <v>210</v>
      </c>
      <c r="K7" s="49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50.4" customHeight="1" x14ac:dyDescent="0.25">
      <c r="A8" s="555" t="s">
        <v>242</v>
      </c>
      <c r="B8" s="543" t="s">
        <v>250</v>
      </c>
      <c r="C8" s="559">
        <f>E8-D8</f>
        <v>1349448.1494431999</v>
      </c>
      <c r="D8" s="544">
        <v>1422704.4605568</v>
      </c>
      <c r="E8" s="556">
        <v>2772152.61</v>
      </c>
      <c r="F8" s="617" t="s">
        <v>224</v>
      </c>
      <c r="G8" s="610"/>
      <c r="H8" s="558"/>
      <c r="I8" s="561" t="s">
        <v>192</v>
      </c>
      <c r="J8" s="553" t="s">
        <v>201</v>
      </c>
      <c r="K8" s="49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66.599999999999994" customHeight="1" x14ac:dyDescent="0.25">
      <c r="A9" s="555" t="s">
        <v>244</v>
      </c>
      <c r="B9" s="550" t="s">
        <v>245</v>
      </c>
      <c r="C9" s="559">
        <f>E9-D9</f>
        <v>165933.79999999999</v>
      </c>
      <c r="D9" s="544">
        <v>110802.61</v>
      </c>
      <c r="E9" s="556">
        <v>276736.40999999997</v>
      </c>
      <c r="F9" s="612" t="s">
        <v>251</v>
      </c>
      <c r="G9" s="610">
        <v>45553</v>
      </c>
      <c r="H9" s="592" t="s">
        <v>233</v>
      </c>
      <c r="I9" s="562" t="s">
        <v>186</v>
      </c>
      <c r="J9" s="553" t="s">
        <v>199</v>
      </c>
      <c r="K9" s="49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55"/>
      <c r="B10" s="550" t="s">
        <v>247</v>
      </c>
      <c r="C10" s="559">
        <f>E10-D10</f>
        <v>388830.761742</v>
      </c>
      <c r="D10" s="544">
        <v>236042.44825799996</v>
      </c>
      <c r="E10" s="556">
        <v>624873.21</v>
      </c>
      <c r="F10" s="616" t="s">
        <v>252</v>
      </c>
      <c r="G10" s="573">
        <v>45554</v>
      </c>
      <c r="H10" s="593" t="s">
        <v>241</v>
      </c>
      <c r="I10" s="563" t="s">
        <v>195</v>
      </c>
      <c r="J10" s="553" t="s">
        <v>200</v>
      </c>
      <c r="K10" s="49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5.2" customHeight="1" x14ac:dyDescent="0.25">
      <c r="A11" s="555" t="s">
        <v>243</v>
      </c>
      <c r="B11" s="543" t="s">
        <v>246</v>
      </c>
      <c r="C11" s="559">
        <f>E11</f>
        <v>30193.73</v>
      </c>
      <c r="D11" s="544">
        <v>0</v>
      </c>
      <c r="E11" s="556">
        <v>30193.73</v>
      </c>
      <c r="F11" s="611" t="s">
        <v>253</v>
      </c>
      <c r="G11" s="610"/>
      <c r="H11" s="558"/>
      <c r="I11" s="561"/>
      <c r="J11" s="553"/>
      <c r="K11" s="49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4" customFormat="1" ht="22.8" customHeight="1" x14ac:dyDescent="0.25">
      <c r="A12" s="533"/>
      <c r="B12" s="533" t="s">
        <v>47</v>
      </c>
      <c r="C12" s="534">
        <f>SUM(C5:C11)</f>
        <v>9775362.0251851995</v>
      </c>
      <c r="D12" s="534">
        <f>SUM(D5:D11)</f>
        <v>13224495.654814802</v>
      </c>
      <c r="E12" s="534">
        <f>SUM(E5:E11)</f>
        <v>22999857.680000003</v>
      </c>
      <c r="F12" s="534"/>
      <c r="G12" s="534"/>
      <c r="H12" s="534"/>
      <c r="I12" s="560"/>
      <c r="J12" s="498"/>
      <c r="K12" s="560"/>
    </row>
    <row r="13" spans="1:35" ht="19.8" customHeight="1" x14ac:dyDescent="0.25">
      <c r="C13" s="339"/>
      <c r="D13" s="339"/>
      <c r="E13" s="339"/>
      <c r="F13" s="339"/>
      <c r="G13" s="339"/>
      <c r="H13" s="339"/>
    </row>
    <row r="14" spans="1:35" x14ac:dyDescent="0.25">
      <c r="C14" s="339"/>
      <c r="D14" s="339"/>
      <c r="E14" s="339"/>
      <c r="F14" s="339"/>
      <c r="G14" s="339"/>
      <c r="H14" s="339"/>
    </row>
    <row r="15" spans="1:35" x14ac:dyDescent="0.25">
      <c r="C15" s="339"/>
      <c r="D15" s="339"/>
      <c r="E15" s="339"/>
      <c r="F15" s="339"/>
      <c r="G15" s="339"/>
      <c r="H15" s="339"/>
    </row>
    <row r="16" spans="1:35" x14ac:dyDescent="0.25">
      <c r="C16" s="339"/>
      <c r="D16" s="339"/>
      <c r="E16" s="339"/>
      <c r="F16" s="339"/>
      <c r="G16" s="339"/>
      <c r="H16" s="339"/>
    </row>
  </sheetData>
  <mergeCells count="11">
    <mergeCell ref="K3:K4"/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tabSelected="1" showWhiteSpace="0" view="pageBreakPreview" zoomScale="60" zoomScaleNormal="50" workbookViewId="0">
      <pane xSplit="2" ySplit="4" topLeftCell="C14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1" width="31.33203125" style="308" hidden="1" customWidth="1"/>
    <col min="12" max="14" width="31.33203125" style="308" customWidth="1"/>
    <col min="15" max="15" width="33.5546875" style="308" customWidth="1"/>
    <col min="16" max="18" width="31.33203125" style="308" customWidth="1"/>
    <col min="19" max="19" width="24.44140625" style="308" customWidth="1"/>
    <col min="20" max="20" width="21.33203125" style="308" customWidth="1"/>
    <col min="21" max="21" width="51.88671875" style="308" hidden="1" customWidth="1"/>
    <col min="22" max="16384" width="9.109375" style="308"/>
  </cols>
  <sheetData>
    <row r="1" spans="1:42" ht="16.95" customHeight="1" x14ac:dyDescent="0.25">
      <c r="A1" s="683" t="s">
        <v>214</v>
      </c>
      <c r="B1" s="683"/>
      <c r="C1" s="683"/>
      <c r="D1" s="683"/>
      <c r="E1" s="683"/>
      <c r="F1" s="683"/>
      <c r="G1" s="683"/>
      <c r="H1" s="683"/>
      <c r="I1" s="683"/>
      <c r="J1" s="683"/>
    </row>
    <row r="2" spans="1:42" ht="59.4" customHeight="1" x14ac:dyDescent="0.25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595" t="s">
        <v>205</v>
      </c>
      <c r="L2" s="595"/>
      <c r="M2" s="595"/>
      <c r="N2" s="595"/>
      <c r="O2" s="595"/>
      <c r="P2" s="595"/>
      <c r="Q2" s="595"/>
      <c r="R2" s="595"/>
      <c r="U2" s="596"/>
    </row>
    <row r="3" spans="1:42" ht="24" customHeight="1" x14ac:dyDescent="0.25">
      <c r="A3" s="695" t="s">
        <v>124</v>
      </c>
      <c r="B3" s="700" t="s">
        <v>185</v>
      </c>
      <c r="C3" s="701" t="s">
        <v>193</v>
      </c>
      <c r="D3" s="697" t="s">
        <v>194</v>
      </c>
      <c r="E3" s="698"/>
      <c r="F3" s="698"/>
      <c r="G3" s="698"/>
      <c r="H3" s="698"/>
      <c r="I3" s="699"/>
      <c r="J3" s="695" t="s">
        <v>189</v>
      </c>
      <c r="K3" s="565" t="s">
        <v>203</v>
      </c>
      <c r="L3" s="571"/>
      <c r="M3" s="571"/>
      <c r="N3" s="571"/>
      <c r="O3" s="571"/>
      <c r="P3" s="571"/>
      <c r="Q3" s="571"/>
      <c r="R3" s="571"/>
      <c r="S3" s="572"/>
      <c r="T3" s="572"/>
      <c r="U3" s="565" t="s">
        <v>204</v>
      </c>
    </row>
    <row r="4" spans="1:42" ht="40.799999999999997" customHeight="1" x14ac:dyDescent="0.25">
      <c r="A4" s="696"/>
      <c r="B4" s="700"/>
      <c r="C4" s="702"/>
      <c r="D4" s="535" t="s">
        <v>126</v>
      </c>
      <c r="E4" s="535" t="s">
        <v>196</v>
      </c>
      <c r="F4" s="536" t="s">
        <v>191</v>
      </c>
      <c r="G4" s="536" t="s">
        <v>190</v>
      </c>
      <c r="H4" s="535" t="s">
        <v>9</v>
      </c>
      <c r="I4" s="535" t="s">
        <v>188</v>
      </c>
      <c r="J4" s="696"/>
      <c r="K4" s="554" t="s">
        <v>198</v>
      </c>
      <c r="L4" s="594" t="s">
        <v>234</v>
      </c>
      <c r="M4" s="594" t="s">
        <v>235</v>
      </c>
      <c r="N4" s="594" t="s">
        <v>230</v>
      </c>
      <c r="O4" s="594" t="s">
        <v>231</v>
      </c>
      <c r="P4" s="594" t="s">
        <v>236</v>
      </c>
      <c r="Q4" s="594" t="s">
        <v>237</v>
      </c>
      <c r="R4" s="594" t="s">
        <v>238</v>
      </c>
      <c r="S4" s="600" t="s">
        <v>239</v>
      </c>
      <c r="T4" s="600" t="s">
        <v>240</v>
      </c>
      <c r="U4" s="554" t="s">
        <v>202</v>
      </c>
    </row>
    <row r="5" spans="1:42" s="323" customFormat="1" ht="57.6" customHeight="1" x14ac:dyDescent="0.25">
      <c r="A5" s="567" t="s">
        <v>53</v>
      </c>
      <c r="B5" s="568" t="s">
        <v>226</v>
      </c>
      <c r="C5" s="546">
        <v>18590623.260000002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607" t="s">
        <v>215</v>
      </c>
      <c r="I5" s="566"/>
      <c r="J5" s="570" t="s">
        <v>216</v>
      </c>
      <c r="K5" s="552" t="s">
        <v>207</v>
      </c>
      <c r="L5" s="591" t="s">
        <v>228</v>
      </c>
      <c r="M5" s="591" t="s">
        <v>228</v>
      </c>
      <c r="N5" s="591" t="s">
        <v>228</v>
      </c>
      <c r="O5" s="591" t="s">
        <v>228</v>
      </c>
      <c r="P5" s="591" t="s">
        <v>228</v>
      </c>
      <c r="Q5" s="591" t="s">
        <v>228</v>
      </c>
      <c r="R5" s="591" t="s">
        <v>228</v>
      </c>
      <c r="S5" s="602">
        <v>727783.74</v>
      </c>
      <c r="T5" s="603" t="s">
        <v>228</v>
      </c>
      <c r="U5" s="553" t="s">
        <v>209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607" t="s">
        <v>215</v>
      </c>
      <c r="I6" s="566"/>
      <c r="J6" s="570" t="s">
        <v>216</v>
      </c>
      <c r="K6" s="552" t="s">
        <v>192</v>
      </c>
      <c r="L6" s="591" t="s">
        <v>228</v>
      </c>
      <c r="M6" s="591" t="s">
        <v>228</v>
      </c>
      <c r="N6" s="591" t="s">
        <v>228</v>
      </c>
      <c r="O6" s="591" t="s">
        <v>228</v>
      </c>
      <c r="P6" s="591" t="s">
        <v>228</v>
      </c>
      <c r="Q6" s="591" t="s">
        <v>228</v>
      </c>
      <c r="R6" s="591" t="s">
        <v>228</v>
      </c>
      <c r="S6" s="604">
        <f>E6</f>
        <v>1941984</v>
      </c>
      <c r="T6" s="603" t="s">
        <v>228</v>
      </c>
      <c r="U6" s="553" t="s">
        <v>212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1131739.1200000001</v>
      </c>
      <c r="F7" s="544">
        <v>997219.1</v>
      </c>
      <c r="G7" s="544">
        <f>E7-F7</f>
        <v>134520.02000000014</v>
      </c>
      <c r="H7" s="608" t="s">
        <v>227</v>
      </c>
      <c r="I7" s="573"/>
      <c r="J7" s="551"/>
      <c r="K7" s="552" t="s">
        <v>186</v>
      </c>
      <c r="L7" s="591" t="s">
        <v>228</v>
      </c>
      <c r="M7" s="591" t="s">
        <v>228</v>
      </c>
      <c r="N7" s="591" t="s">
        <v>228</v>
      </c>
      <c r="O7" s="591" t="s">
        <v>228</v>
      </c>
      <c r="P7" s="591" t="s">
        <v>228</v>
      </c>
      <c r="Q7" s="591" t="s">
        <v>228</v>
      </c>
      <c r="R7" s="591" t="s">
        <v>228</v>
      </c>
      <c r="S7" s="603"/>
      <c r="T7" s="605" t="s">
        <v>228</v>
      </c>
      <c r="U7" s="553" t="s">
        <v>199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2437104.3199999998</v>
      </c>
      <c r="F8" s="544">
        <v>1992504.3240000003</v>
      </c>
      <c r="G8" s="544">
        <f>E8-F8</f>
        <v>444599.99599999958</v>
      </c>
      <c r="H8" s="608" t="s">
        <v>227</v>
      </c>
      <c r="I8" s="573"/>
      <c r="J8" s="551"/>
      <c r="K8" s="552"/>
      <c r="L8" s="591" t="s">
        <v>228</v>
      </c>
      <c r="M8" s="591" t="s">
        <v>228</v>
      </c>
      <c r="N8" s="591" t="s">
        <v>228</v>
      </c>
      <c r="O8" s="591" t="s">
        <v>228</v>
      </c>
      <c r="P8" s="591" t="s">
        <v>228</v>
      </c>
      <c r="Q8" s="591" t="s">
        <v>228</v>
      </c>
      <c r="R8" s="601" t="s">
        <v>228</v>
      </c>
      <c r="S8" s="603"/>
      <c r="T8" s="603" t="s">
        <v>228</v>
      </c>
      <c r="U8" s="597" t="s">
        <v>232</v>
      </c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71.400000000000006" customHeight="1" x14ac:dyDescent="0.25">
      <c r="A9" s="542"/>
      <c r="B9" s="550"/>
      <c r="C9" s="544"/>
      <c r="D9" s="545" t="s">
        <v>72</v>
      </c>
      <c r="E9" s="546">
        <f>'[1]АВР №3'!$F$31</f>
        <v>2917816.8479999998</v>
      </c>
      <c r="F9" s="544">
        <v>2747273</v>
      </c>
      <c r="G9" s="544">
        <v>170544</v>
      </c>
      <c r="H9" s="608" t="s">
        <v>227</v>
      </c>
      <c r="I9" s="573"/>
      <c r="J9" s="551"/>
      <c r="K9" s="552"/>
      <c r="L9" s="591" t="s">
        <v>228</v>
      </c>
      <c r="M9" s="591" t="s">
        <v>228</v>
      </c>
      <c r="N9" s="591" t="s">
        <v>228</v>
      </c>
      <c r="O9" s="591" t="s">
        <v>228</v>
      </c>
      <c r="P9" s="591" t="s">
        <v>228</v>
      </c>
      <c r="Q9" s="591" t="s">
        <v>228</v>
      </c>
      <c r="R9" s="591" t="s">
        <v>228</v>
      </c>
      <c r="S9" s="603"/>
      <c r="T9" s="603" t="s">
        <v>228</v>
      </c>
      <c r="U9" s="553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71.400000000000006" customHeight="1" x14ac:dyDescent="0.25">
      <c r="A10" s="542"/>
      <c r="B10" s="550"/>
      <c r="C10" s="544"/>
      <c r="D10" s="545" t="s">
        <v>73</v>
      </c>
      <c r="E10" s="546">
        <v>2603926.91</v>
      </c>
      <c r="F10" s="544">
        <f>943299.09*1.2</f>
        <v>1131958.9079999998</v>
      </c>
      <c r="G10" s="544">
        <f>1226640*1.2</f>
        <v>1471968</v>
      </c>
      <c r="H10" s="608" t="s">
        <v>227</v>
      </c>
      <c r="I10" s="573"/>
      <c r="J10" s="551"/>
      <c r="K10" s="552"/>
      <c r="L10" s="591" t="s">
        <v>228</v>
      </c>
      <c r="M10" s="591" t="s">
        <v>228</v>
      </c>
      <c r="N10" s="591" t="s">
        <v>228</v>
      </c>
      <c r="O10" s="591" t="s">
        <v>228</v>
      </c>
      <c r="P10" s="591" t="s">
        <v>228</v>
      </c>
      <c r="Q10" s="591" t="s">
        <v>228</v>
      </c>
      <c r="R10" s="591" t="s">
        <v>228</v>
      </c>
      <c r="S10" s="603"/>
      <c r="T10" s="603" t="s">
        <v>228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71.400000000000006" customHeight="1" x14ac:dyDescent="0.25">
      <c r="A11" s="542"/>
      <c r="B11" s="550"/>
      <c r="C11" s="544"/>
      <c r="D11" s="545" t="s">
        <v>74</v>
      </c>
      <c r="E11" s="546">
        <v>2571099.5499999998</v>
      </c>
      <c r="F11" s="544">
        <f>1733322.96*1.2</f>
        <v>2079987.5519999999</v>
      </c>
      <c r="G11" s="544">
        <f>E11-F11</f>
        <v>491111.99799999991</v>
      </c>
      <c r="H11" s="608" t="s">
        <v>227</v>
      </c>
      <c r="I11" s="573"/>
      <c r="J11" s="551"/>
      <c r="K11" s="552"/>
      <c r="L11" s="591" t="s">
        <v>228</v>
      </c>
      <c r="M11" s="591" t="s">
        <v>228</v>
      </c>
      <c r="N11" s="591" t="s">
        <v>228</v>
      </c>
      <c r="O11" s="591" t="s">
        <v>228</v>
      </c>
      <c r="P11" s="591" t="s">
        <v>228</v>
      </c>
      <c r="Q11" s="591" t="s">
        <v>228</v>
      </c>
      <c r="R11" s="591" t="s">
        <v>228</v>
      </c>
      <c r="S11" s="603"/>
      <c r="T11" s="603" t="s">
        <v>228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71.400000000000006" customHeight="1" x14ac:dyDescent="0.25">
      <c r="A12" s="542"/>
      <c r="B12" s="550"/>
      <c r="C12" s="544"/>
      <c r="D12" s="545" t="s">
        <v>77</v>
      </c>
      <c r="E12" s="546">
        <v>3356872.5240000002</v>
      </c>
      <c r="F12" s="544">
        <v>2199544.5239999997</v>
      </c>
      <c r="G12" s="544">
        <f>E12-F12</f>
        <v>1157328.0000000005</v>
      </c>
      <c r="H12" s="608" t="s">
        <v>227</v>
      </c>
      <c r="I12" s="573"/>
      <c r="J12" s="551"/>
      <c r="K12" s="552"/>
      <c r="L12" s="591" t="s">
        <v>228</v>
      </c>
      <c r="M12" s="591" t="s">
        <v>228</v>
      </c>
      <c r="N12" s="591" t="s">
        <v>228</v>
      </c>
      <c r="O12" s="591" t="s">
        <v>228</v>
      </c>
      <c r="P12" s="591" t="s">
        <v>228</v>
      </c>
      <c r="Q12" s="591" t="s">
        <v>228</v>
      </c>
      <c r="R12" s="591" t="s">
        <v>228</v>
      </c>
      <c r="S12" s="603"/>
      <c r="T12" s="603" t="s">
        <v>228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71.400000000000006" customHeight="1" x14ac:dyDescent="0.25">
      <c r="A13" s="542"/>
      <c r="B13" s="550"/>
      <c r="C13" s="544"/>
      <c r="D13" s="545" t="s">
        <v>78</v>
      </c>
      <c r="E13" s="546">
        <v>291840</v>
      </c>
      <c r="F13" s="544"/>
      <c r="G13" s="544">
        <f>E13</f>
        <v>291840</v>
      </c>
      <c r="H13" s="781" t="s">
        <v>224</v>
      </c>
      <c r="I13" s="573"/>
      <c r="J13" s="551"/>
      <c r="K13" s="552"/>
      <c r="L13" s="591"/>
      <c r="M13" s="591"/>
      <c r="N13" s="591"/>
      <c r="O13" s="591"/>
      <c r="P13" s="591"/>
      <c r="Q13" s="591"/>
      <c r="R13" s="591"/>
      <c r="S13" s="603"/>
      <c r="T13" s="603"/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67"/>
      <c r="B14" s="609" t="s">
        <v>223</v>
      </c>
      <c r="C14" s="546">
        <v>705278.46</v>
      </c>
      <c r="D14" s="545" t="s">
        <v>53</v>
      </c>
      <c r="E14" s="546">
        <v>500621.1</v>
      </c>
      <c r="F14" s="544">
        <v>0</v>
      </c>
      <c r="G14" s="544">
        <f>E14</f>
        <v>500621.1</v>
      </c>
      <c r="H14" s="607" t="s">
        <v>215</v>
      </c>
      <c r="I14" s="544"/>
      <c r="J14" s="606" t="s">
        <v>216</v>
      </c>
      <c r="K14" s="552" t="s">
        <v>197</v>
      </c>
      <c r="L14" s="591" t="s">
        <v>228</v>
      </c>
      <c r="M14" s="591" t="s">
        <v>228</v>
      </c>
      <c r="N14" s="591" t="s">
        <v>228</v>
      </c>
      <c r="O14" s="591" t="s">
        <v>228</v>
      </c>
      <c r="P14" s="591" t="s">
        <v>228</v>
      </c>
      <c r="Q14" s="591" t="s">
        <v>228</v>
      </c>
      <c r="R14" s="591" t="s">
        <v>228</v>
      </c>
      <c r="S14" s="604">
        <f>E14</f>
        <v>500621.1</v>
      </c>
      <c r="T14" s="603" t="s">
        <v>228</v>
      </c>
      <c r="U14" s="553" t="s">
        <v>211</v>
      </c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50"/>
      <c r="C15" s="544"/>
      <c r="D15" s="545" t="s">
        <v>69</v>
      </c>
      <c r="E15" s="546">
        <v>166743.25</v>
      </c>
      <c r="F15" s="544">
        <f>4712.4*1.2</f>
        <v>5654.8799999999992</v>
      </c>
      <c r="G15" s="544">
        <f>E15-F15</f>
        <v>161088.37</v>
      </c>
      <c r="H15" s="607" t="s">
        <v>215</v>
      </c>
      <c r="I15" s="544"/>
      <c r="J15" s="606" t="s">
        <v>216</v>
      </c>
      <c r="K15" s="552"/>
      <c r="L15" s="591" t="s">
        <v>228</v>
      </c>
      <c r="M15" s="591" t="s">
        <v>228</v>
      </c>
      <c r="N15" s="591" t="s">
        <v>228</v>
      </c>
      <c r="O15" s="591" t="s">
        <v>228</v>
      </c>
      <c r="P15" s="591" t="s">
        <v>228</v>
      </c>
      <c r="Q15" s="591" t="s">
        <v>228</v>
      </c>
      <c r="R15" s="591" t="s">
        <v>228</v>
      </c>
      <c r="S15" s="603"/>
      <c r="T15" s="603" t="s">
        <v>228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50"/>
      <c r="C16" s="544"/>
      <c r="D16" s="545" t="s">
        <v>70</v>
      </c>
      <c r="E16" s="546">
        <v>34908.25</v>
      </c>
      <c r="F16" s="544"/>
      <c r="G16" s="544">
        <f>E16</f>
        <v>34908.25</v>
      </c>
      <c r="H16" s="782" t="s">
        <v>224</v>
      </c>
      <c r="I16" s="544"/>
      <c r="J16" s="606"/>
      <c r="K16" s="552"/>
      <c r="L16" s="591"/>
      <c r="M16" s="591"/>
      <c r="N16" s="591"/>
      <c r="O16" s="591"/>
      <c r="P16" s="591"/>
      <c r="Q16" s="591"/>
      <c r="R16" s="591"/>
      <c r="S16" s="603"/>
      <c r="T16" s="603"/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3" customFormat="1" ht="61.8" customHeight="1" x14ac:dyDescent="0.25">
      <c r="A17" s="542"/>
      <c r="B17" s="609" t="s">
        <v>254</v>
      </c>
      <c r="C17" s="546">
        <v>2772152.37</v>
      </c>
      <c r="D17" s="545" t="s">
        <v>53</v>
      </c>
      <c r="E17" s="546">
        <v>1281386.8799999999</v>
      </c>
      <c r="F17" s="544">
        <v>639618.87600000005</v>
      </c>
      <c r="G17" s="544">
        <f>E17-F17</f>
        <v>641768.00399999984</v>
      </c>
      <c r="H17" s="569" t="s">
        <v>255</v>
      </c>
      <c r="I17" s="544"/>
      <c r="J17" s="606"/>
      <c r="K17" s="552"/>
      <c r="L17" s="591"/>
      <c r="M17" s="591"/>
      <c r="N17" s="591"/>
      <c r="O17" s="591"/>
      <c r="P17" s="591"/>
      <c r="Q17" s="591"/>
      <c r="R17" s="591"/>
      <c r="S17" s="603"/>
      <c r="T17" s="603"/>
      <c r="U17" s="553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s="323" customFormat="1" ht="61.8" customHeight="1" x14ac:dyDescent="0.25">
      <c r="A18" s="542"/>
      <c r="B18" s="609" t="s">
        <v>248</v>
      </c>
      <c r="C18" s="546">
        <f>E18</f>
        <v>30193.727999999999</v>
      </c>
      <c r="D18" s="545" t="s">
        <v>53</v>
      </c>
      <c r="E18" s="546">
        <v>30193.727999999999</v>
      </c>
      <c r="F18" s="544"/>
      <c r="G18" s="544">
        <f>E18</f>
        <v>30193.727999999999</v>
      </c>
      <c r="H18" s="569" t="s">
        <v>249</v>
      </c>
      <c r="I18" s="544"/>
      <c r="J18" s="606"/>
      <c r="K18" s="552"/>
      <c r="L18" s="591" t="s">
        <v>228</v>
      </c>
      <c r="M18" s="591" t="s">
        <v>228</v>
      </c>
      <c r="N18" s="591" t="s">
        <v>228</v>
      </c>
      <c r="O18" s="591" t="s">
        <v>228</v>
      </c>
      <c r="P18" s="591" t="s">
        <v>228</v>
      </c>
      <c r="Q18" s="591"/>
      <c r="R18" s="591"/>
      <c r="S18" s="603"/>
      <c r="T18" s="603"/>
      <c r="U18" s="553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s="324" customFormat="1" ht="22.95" customHeight="1" x14ac:dyDescent="0.25">
      <c r="A19" s="533"/>
      <c r="B19" s="533" t="s">
        <v>47</v>
      </c>
      <c r="C19" s="534">
        <f>SUM(C5:C18)</f>
        <v>22098247.818000004</v>
      </c>
      <c r="D19" s="534"/>
      <c r="E19" s="534">
        <f>SUM(E5:E18)</f>
        <v>19995020.219999999</v>
      </c>
      <c r="F19" s="534">
        <f>SUM(F5:F18)</f>
        <v>12017644.9</v>
      </c>
      <c r="G19" s="534">
        <f>SUM(G5:G18)</f>
        <v>7977375.466</v>
      </c>
      <c r="H19" s="534"/>
      <c r="I19" s="534"/>
      <c r="J19" s="534"/>
      <c r="K19" s="598"/>
      <c r="L19" s="598"/>
      <c r="M19" s="598"/>
      <c r="N19" s="598"/>
      <c r="O19" s="598"/>
      <c r="P19" s="598"/>
      <c r="Q19" s="598"/>
      <c r="R19" s="598"/>
      <c r="S19" s="560"/>
      <c r="T19" s="560"/>
      <c r="U19" s="560"/>
    </row>
    <row r="20" spans="1:42" s="323" customFormat="1" ht="25.8" customHeight="1" x14ac:dyDescent="0.25">
      <c r="A20" s="537"/>
      <c r="B20" s="538"/>
      <c r="C20" s="541">
        <f>SUBTOTAL(9,C5:C18)</f>
        <v>22098247.818000004</v>
      </c>
      <c r="D20" s="540"/>
      <c r="E20" s="541">
        <f>SUBTOTAL(9,E5:E18)</f>
        <v>19995020.219999999</v>
      </c>
      <c r="F20" s="541">
        <f>SUBTOTAL(9,F5:F18)</f>
        <v>12017644.9</v>
      </c>
      <c r="G20" s="541">
        <f>SUBTOTAL(9,G5:G18)</f>
        <v>7977375.466</v>
      </c>
      <c r="H20" s="539"/>
      <c r="I20" s="539"/>
      <c r="J20" s="539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599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ht="19.2" customHeight="1" x14ac:dyDescent="0.25">
      <c r="B23" s="564"/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  <row r="42" spans="3:10" x14ac:dyDescent="0.25">
      <c r="C42" s="339"/>
      <c r="D42" s="339"/>
      <c r="E42" s="339"/>
      <c r="F42" s="339"/>
      <c r="G42" s="339"/>
      <c r="H42" s="339"/>
      <c r="I42" s="339"/>
      <c r="J42" s="339"/>
    </row>
    <row r="43" spans="3:10" x14ac:dyDescent="0.25">
      <c r="C43" s="339"/>
      <c r="D43" s="339"/>
      <c r="E43" s="339"/>
      <c r="F43" s="339"/>
      <c r="G43" s="339"/>
      <c r="H43" s="339"/>
      <c r="I43" s="339"/>
      <c r="J43" s="339"/>
    </row>
  </sheetData>
  <autoFilter ref="A4:AP19"/>
  <mergeCells count="6">
    <mergeCell ref="A1:J2"/>
    <mergeCell ref="J3:J4"/>
    <mergeCell ref="D3:I3"/>
    <mergeCell ref="A3:A4"/>
    <mergeCell ref="B3:B4"/>
    <mergeCell ref="C3:C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61" t="s">
        <v>149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62" t="s">
        <v>118</v>
      </c>
      <c r="B4" s="765" t="s">
        <v>2</v>
      </c>
      <c r="C4" s="767" t="s">
        <v>119</v>
      </c>
      <c r="D4" s="768"/>
      <c r="E4" s="771" t="s">
        <v>120</v>
      </c>
      <c r="F4" s="759" t="s">
        <v>121</v>
      </c>
      <c r="G4" s="774"/>
      <c r="H4" s="774"/>
      <c r="I4" s="774"/>
      <c r="J4" s="774"/>
      <c r="K4" s="774"/>
      <c r="L4" s="774"/>
      <c r="M4" s="774"/>
      <c r="N4" s="774"/>
      <c r="O4" s="774"/>
      <c r="P4" s="774"/>
      <c r="Q4" s="774"/>
      <c r="R4" s="774"/>
      <c r="S4" s="774"/>
      <c r="T4" s="774"/>
      <c r="U4" s="774"/>
      <c r="V4" s="774"/>
      <c r="W4" s="760"/>
      <c r="X4" s="512"/>
      <c r="Y4" s="767" t="s">
        <v>122</v>
      </c>
      <c r="Z4" s="775"/>
      <c r="AA4" s="768"/>
      <c r="AB4" s="753" t="s">
        <v>123</v>
      </c>
      <c r="AC4" s="754"/>
      <c r="AD4" s="755"/>
    </row>
    <row r="5" spans="1:30" ht="15.45" customHeight="1" x14ac:dyDescent="0.25">
      <c r="A5" s="763"/>
      <c r="B5" s="745"/>
      <c r="C5" s="769"/>
      <c r="D5" s="770"/>
      <c r="E5" s="772"/>
      <c r="F5" s="759" t="s">
        <v>143</v>
      </c>
      <c r="G5" s="760"/>
      <c r="H5" s="759" t="s">
        <v>144</v>
      </c>
      <c r="I5" s="760"/>
      <c r="J5" s="759" t="s">
        <v>145</v>
      </c>
      <c r="K5" s="760"/>
      <c r="L5" s="759" t="s">
        <v>156</v>
      </c>
      <c r="M5" s="760"/>
      <c r="N5" s="759" t="s">
        <v>155</v>
      </c>
      <c r="O5" s="760"/>
      <c r="P5" s="759" t="s">
        <v>159</v>
      </c>
      <c r="Q5" s="760"/>
      <c r="R5" s="759" t="s">
        <v>166</v>
      </c>
      <c r="S5" s="760"/>
      <c r="T5" s="759"/>
      <c r="U5" s="760"/>
      <c r="V5" s="759"/>
      <c r="W5" s="760"/>
      <c r="X5" s="513"/>
      <c r="Y5" s="769"/>
      <c r="Z5" s="776"/>
      <c r="AA5" s="770"/>
      <c r="AB5" s="756"/>
      <c r="AC5" s="757"/>
      <c r="AD5" s="758"/>
    </row>
    <row r="6" spans="1:30" ht="27.75" customHeight="1" x14ac:dyDescent="0.25">
      <c r="A6" s="764"/>
      <c r="B6" s="766"/>
      <c r="C6" s="314" t="s">
        <v>124</v>
      </c>
      <c r="D6" s="315" t="s">
        <v>125</v>
      </c>
      <c r="E6" s="773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35">
        <v>1</v>
      </c>
      <c r="B8" s="750" t="s">
        <v>95</v>
      </c>
      <c r="C8" s="727" t="s">
        <v>53</v>
      </c>
      <c r="D8" s="729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32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48"/>
      <c r="B9" s="751"/>
      <c r="C9" s="728"/>
      <c r="D9" s="730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33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48"/>
      <c r="B10" s="751"/>
      <c r="C10" s="728"/>
      <c r="D10" s="730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33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48"/>
      <c r="B11" s="751"/>
      <c r="C11" s="728"/>
      <c r="D11" s="730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33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48"/>
      <c r="B12" s="751"/>
      <c r="C12" s="728"/>
      <c r="D12" s="730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33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48"/>
      <c r="B13" s="751"/>
      <c r="C13" s="728"/>
      <c r="D13" s="730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33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48"/>
      <c r="B14" s="751"/>
      <c r="C14" s="728"/>
      <c r="D14" s="730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33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48"/>
      <c r="B15" s="751"/>
      <c r="C15" s="728"/>
      <c r="D15" s="730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33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48"/>
      <c r="B16" s="751"/>
      <c r="C16" s="728"/>
      <c r="D16" s="730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33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48"/>
      <c r="B17" s="751"/>
      <c r="C17" s="728"/>
      <c r="D17" s="730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33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48"/>
      <c r="B18" s="751"/>
      <c r="C18" s="728"/>
      <c r="D18" s="730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33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48"/>
      <c r="B19" s="751"/>
      <c r="C19" s="728"/>
      <c r="D19" s="730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33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48"/>
      <c r="B20" s="751"/>
      <c r="C20" s="728"/>
      <c r="D20" s="730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33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48"/>
      <c r="B21" s="751"/>
      <c r="C21" s="706"/>
      <c r="D21" s="730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33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49"/>
      <c r="B22" s="752"/>
      <c r="C22" s="722"/>
      <c r="D22" s="731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34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42">
        <v>2</v>
      </c>
      <c r="B25" s="743" t="s">
        <v>157</v>
      </c>
      <c r="C25" s="745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46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24"/>
      <c r="B26" s="744"/>
      <c r="C26" s="722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47"/>
      <c r="AB26" s="418"/>
      <c r="AC26" s="418"/>
      <c r="AD26" s="419"/>
    </row>
    <row r="27" spans="1:30" s="323" customFormat="1" ht="12" customHeight="1" x14ac:dyDescent="0.25">
      <c r="A27" s="735">
        <v>3</v>
      </c>
      <c r="B27" s="736" t="s">
        <v>98</v>
      </c>
      <c r="C27" s="510"/>
      <c r="D27" s="739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23"/>
      <c r="B28" s="737"/>
      <c r="C28" s="511"/>
      <c r="D28" s="740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24"/>
      <c r="B29" s="738"/>
      <c r="C29" s="397"/>
      <c r="D29" s="741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07">
        <f>A8+1</f>
        <v>2</v>
      </c>
      <c r="B30" s="710" t="s">
        <v>152</v>
      </c>
      <c r="C30" s="713" t="s">
        <v>69</v>
      </c>
      <c r="D30" s="716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05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08"/>
      <c r="B31" s="711"/>
      <c r="C31" s="714"/>
      <c r="D31" s="717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06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08"/>
      <c r="B32" s="711"/>
      <c r="C32" s="706"/>
      <c r="D32" s="717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06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08"/>
      <c r="B33" s="711"/>
      <c r="C33" s="706"/>
      <c r="D33" s="717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06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08"/>
      <c r="B34" s="711"/>
      <c r="C34" s="706"/>
      <c r="D34" s="717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06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08"/>
      <c r="B35" s="711"/>
      <c r="C35" s="706"/>
      <c r="D35" s="717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06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08"/>
      <c r="B36" s="711"/>
      <c r="C36" s="706"/>
      <c r="D36" s="717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06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08"/>
      <c r="B37" s="711"/>
      <c r="C37" s="706"/>
      <c r="D37" s="717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06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08"/>
      <c r="B38" s="711"/>
      <c r="C38" s="706"/>
      <c r="D38" s="717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06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08"/>
      <c r="B39" s="711"/>
      <c r="C39" s="706"/>
      <c r="D39" s="717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06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08"/>
      <c r="B40" s="711"/>
      <c r="C40" s="706"/>
      <c r="D40" s="717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06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08"/>
      <c r="B41" s="711"/>
      <c r="C41" s="706"/>
      <c r="D41" s="717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06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08"/>
      <c r="B42" s="711"/>
      <c r="C42" s="706"/>
      <c r="D42" s="717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06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08"/>
      <c r="B43" s="711"/>
      <c r="C43" s="706"/>
      <c r="D43" s="717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06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08"/>
      <c r="B44" s="711"/>
      <c r="C44" s="706"/>
      <c r="D44" s="717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06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09"/>
      <c r="B45" s="712"/>
      <c r="C45" s="722"/>
      <c r="D45" s="718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07">
        <v>3</v>
      </c>
      <c r="B47" s="710" t="s">
        <v>146</v>
      </c>
      <c r="C47" s="713" t="s">
        <v>70</v>
      </c>
      <c r="D47" s="716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19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08"/>
      <c r="B48" s="711"/>
      <c r="C48" s="714"/>
      <c r="D48" s="717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20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08"/>
      <c r="B49" s="711"/>
      <c r="C49" s="714"/>
      <c r="D49" s="717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20"/>
      <c r="AB49" s="415">
        <f>Z49</f>
        <v>197627.09</v>
      </c>
      <c r="AC49" s="415"/>
      <c r="AD49" s="443"/>
    </row>
    <row r="50" spans="1:30" s="323" customFormat="1" ht="12" customHeight="1" x14ac:dyDescent="0.25">
      <c r="A50" s="708"/>
      <c r="B50" s="711"/>
      <c r="C50" s="714"/>
      <c r="D50" s="717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20"/>
      <c r="AB50" s="415"/>
      <c r="AC50" s="415"/>
      <c r="AD50" s="443"/>
    </row>
    <row r="51" spans="1:30" s="323" customFormat="1" ht="12" customHeight="1" thickBot="1" x14ac:dyDescent="0.3">
      <c r="A51" s="708"/>
      <c r="B51" s="711"/>
      <c r="C51" s="714"/>
      <c r="D51" s="717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21"/>
      <c r="AB51" s="415"/>
      <c r="AC51" s="415"/>
      <c r="AD51" s="444"/>
    </row>
    <row r="52" spans="1:30" s="323" customFormat="1" ht="12.6" customHeight="1" thickBot="1" x14ac:dyDescent="0.3">
      <c r="A52" s="709"/>
      <c r="B52" s="712"/>
      <c r="C52" s="715"/>
      <c r="D52" s="718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07">
        <v>4</v>
      </c>
      <c r="B53" s="710" t="s">
        <v>151</v>
      </c>
      <c r="C53" s="713" t="s">
        <v>71</v>
      </c>
      <c r="D53" s="716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03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23"/>
      <c r="B54" s="725"/>
      <c r="C54" s="706"/>
      <c r="D54" s="706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04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23"/>
      <c r="B55" s="725"/>
      <c r="C55" s="706"/>
      <c r="D55" s="706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04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23"/>
      <c r="B56" s="725"/>
      <c r="C56" s="706"/>
      <c r="D56" s="706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04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23"/>
      <c r="B57" s="725"/>
      <c r="C57" s="706"/>
      <c r="D57" s="706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04"/>
      <c r="AB57" s="370"/>
      <c r="AC57" s="370"/>
      <c r="AD57" s="446"/>
    </row>
    <row r="58" spans="1:30" s="323" customFormat="1" ht="13.2" customHeight="1" thickBot="1" x14ac:dyDescent="0.3">
      <c r="A58" s="724"/>
      <c r="B58" s="726"/>
      <c r="C58" s="722"/>
      <c r="D58" s="722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07">
        <v>5</v>
      </c>
      <c r="B59" s="710" t="s">
        <v>154</v>
      </c>
      <c r="C59" s="713" t="s">
        <v>72</v>
      </c>
      <c r="D59" s="716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23"/>
      <c r="B60" s="725"/>
      <c r="C60" s="706"/>
      <c r="D60" s="706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23"/>
      <c r="B61" s="725"/>
      <c r="C61" s="706"/>
      <c r="D61" s="706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23"/>
      <c r="B62" s="725"/>
      <c r="C62" s="706"/>
      <c r="D62" s="706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23"/>
      <c r="B63" s="725"/>
      <c r="C63" s="706"/>
      <c r="D63" s="706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24"/>
      <c r="B64" s="726"/>
      <c r="C64" s="722"/>
      <c r="D64" s="722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77" t="s">
        <v>181</v>
      </c>
      <c r="B2" s="777"/>
      <c r="C2" s="777"/>
      <c r="D2" s="778"/>
      <c r="E2" s="778"/>
    </row>
    <row r="3" spans="1:5" ht="15" customHeight="1" x14ac:dyDescent="0.25">
      <c r="A3" s="309"/>
      <c r="B3" s="309"/>
      <c r="C3" s="309"/>
      <c r="D3" s="757" t="s">
        <v>182</v>
      </c>
      <c r="E3" s="757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48">
        <v>1</v>
      </c>
      <c r="B5" s="751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48"/>
      <c r="B6" s="751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48"/>
      <c r="B7" s="751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48"/>
      <c r="B8" s="751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48"/>
      <c r="B9" s="751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48"/>
      <c r="B10" s="751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48"/>
      <c r="B11" s="751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48"/>
      <c r="B12" s="751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48"/>
      <c r="B13" s="751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48"/>
      <c r="B14" s="751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48"/>
      <c r="B15" s="751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48"/>
      <c r="B16" s="751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48"/>
      <c r="B17" s="751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48"/>
      <c r="B18" s="751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48"/>
      <c r="B19" s="751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08">
        <f>A5+1</f>
        <v>2</v>
      </c>
      <c r="B23" s="711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08"/>
      <c r="B24" s="711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08"/>
      <c r="B25" s="711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08"/>
      <c r="B26" s="711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08"/>
      <c r="B27" s="711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08"/>
      <c r="B28" s="711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08"/>
      <c r="B29" s="711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08"/>
      <c r="B30" s="711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08"/>
      <c r="B31" s="711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08"/>
      <c r="B32" s="711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08"/>
      <c r="B33" s="711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08"/>
      <c r="B34" s="711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08"/>
      <c r="B35" s="711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08"/>
      <c r="B36" s="711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08"/>
      <c r="B37" s="711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08"/>
      <c r="B38" s="711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08"/>
      <c r="B39" s="711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08"/>
      <c r="B40" s="711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08"/>
      <c r="B41" s="711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08"/>
      <c r="B42" s="711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07">
        <v>3</v>
      </c>
      <c r="B43" s="710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08"/>
      <c r="B44" s="711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08"/>
      <c r="B45" s="711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08"/>
      <c r="B46" s="711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09"/>
      <c r="B47" s="712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07">
        <v>4</v>
      </c>
      <c r="B48" s="710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23"/>
      <c r="B49" s="725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23"/>
      <c r="B50" s="725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23"/>
      <c r="B51" s="725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79" t="s">
        <v>6</v>
      </c>
      <c r="B1" s="779"/>
      <c r="C1" s="779"/>
      <c r="D1" s="779"/>
      <c r="E1" s="779"/>
      <c r="F1" s="779"/>
    </row>
    <row r="2" spans="1:8" s="91" customFormat="1" ht="12.75" customHeight="1" x14ac:dyDescent="0.25">
      <c r="A2" s="780"/>
      <c r="B2" s="780"/>
      <c r="C2" s="780"/>
      <c r="D2" s="780"/>
      <c r="E2" s="780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2024-08-05T07:07:57Z</cp:lastPrinted>
  <dcterms:created xsi:type="dcterms:W3CDTF">2016-07-15T13:11:41Z</dcterms:created>
  <dcterms:modified xsi:type="dcterms:W3CDTF">2024-09-23T08:31:12Z</dcterms:modified>
</cp:coreProperties>
</file>
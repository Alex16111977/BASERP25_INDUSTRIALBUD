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4" windowWidth="22980" windowHeight="9024"/>
  </bookViews>
  <sheets>
    <sheet name="Акты_Ноябрь" sheetId="2" r:id="rId1"/>
  </sheets>
  <definedNames>
    <definedName name="_xlnm._FilterDatabase" localSheetId="0" hidden="1">Акты_Ноябрь!$A$1:$I$75</definedName>
  </definedNames>
  <calcPr calcId="145621"/>
</workbook>
</file>

<file path=xl/calcChain.xml><?xml version="1.0" encoding="utf-8"?>
<calcChain xmlns="http://schemas.openxmlformats.org/spreadsheetml/2006/main">
  <c r="D123" i="2" l="1"/>
  <c r="D111" i="2"/>
  <c r="D110" i="2"/>
  <c r="D109" i="2"/>
  <c r="D108" i="2"/>
  <c r="D106" i="2"/>
  <c r="D105" i="2"/>
  <c r="D107" i="2" s="1"/>
  <c r="D121" i="2" l="1"/>
  <c r="D84" i="2"/>
  <c r="D83" i="2"/>
  <c r="D82" i="2"/>
  <c r="D81" i="2"/>
  <c r="D80" i="2"/>
  <c r="D79" i="2"/>
  <c r="D77" i="2"/>
  <c r="D78" i="2"/>
  <c r="D43" i="2"/>
  <c r="D42" i="2"/>
  <c r="D40" i="2"/>
  <c r="D74" i="2" l="1"/>
  <c r="D85" i="2"/>
  <c r="D75" i="2" l="1"/>
</calcChain>
</file>

<file path=xl/sharedStrings.xml><?xml version="1.0" encoding="utf-8"?>
<sst xmlns="http://schemas.openxmlformats.org/spreadsheetml/2006/main" count="751" uniqueCount="284">
  <si>
    <t>Дата</t>
  </si>
  <si>
    <t>Номер</t>
  </si>
  <si>
    <t>Контрагент</t>
  </si>
  <si>
    <t>Сума</t>
  </si>
  <si>
    <t>Валюта</t>
  </si>
  <si>
    <t>Підрозділ</t>
  </si>
  <si>
    <t>Організація</t>
  </si>
  <si>
    <t>Відповідальний</t>
  </si>
  <si>
    <t>Коментар</t>
  </si>
  <si>
    <t xml:space="preserve">Старокостянтинівський олійноекстраційний завод ТОВ </t>
  </si>
  <si>
    <t>грн</t>
  </si>
  <si>
    <t>Виробничий (Старокостянтинів)</t>
  </si>
  <si>
    <t>ТОВ "ІНДАСТРІАЛБУД"</t>
  </si>
  <si>
    <t>Хлань Елена</t>
  </si>
  <si>
    <t>Аулова Маргарита</t>
  </si>
  <si>
    <t>АСТАРТА АГРО ПРОТЕЇН ТОВ</t>
  </si>
  <si>
    <t>Виробничий (Глобино)</t>
  </si>
  <si>
    <t>НІЖИНСЬКИЙ ЖИРКОМБІНАТ ПрАТ</t>
  </si>
  <si>
    <t>Виробничий (Ніжин-3)</t>
  </si>
  <si>
    <t>Виробничий (Глобине-2)</t>
  </si>
  <si>
    <t>Акт 5</t>
  </si>
  <si>
    <t>МОЛОКО ВІТЧИЗНИ ТОВ</t>
  </si>
  <si>
    <t>Виробничий (Молоко Вітчизни)</t>
  </si>
  <si>
    <t>ЗАПОРІЗЬКИЙ ОЛІЙНОЕКСТРАКЦІЙНИЙ ЗАВОД  ПРАТ</t>
  </si>
  <si>
    <t>Виробничий (Запоріж_Турбіна 3)</t>
  </si>
  <si>
    <t xml:space="preserve">КОМРАД ТРЕЙД  ТОВ </t>
  </si>
  <si>
    <t>Виробничий (Путрівка КМД)</t>
  </si>
  <si>
    <t>Акт 1</t>
  </si>
  <si>
    <t>Староконстантинов</t>
  </si>
  <si>
    <t>Нежин-3</t>
  </si>
  <si>
    <t>Глобино</t>
  </si>
  <si>
    <t>Глобино-2</t>
  </si>
  <si>
    <t>КМД Путровка</t>
  </si>
  <si>
    <t>Турбина-3</t>
  </si>
  <si>
    <t>Молоко Вітчизни</t>
  </si>
  <si>
    <t>Акт 3</t>
  </si>
  <si>
    <t>Акт 4</t>
  </si>
  <si>
    <t>ВСЕГО</t>
  </si>
  <si>
    <t>Продаж, комісія</t>
  </si>
  <si>
    <t>АВІА ВЕНЧУРС ТОВ</t>
  </si>
  <si>
    <t>Крушинка</t>
  </si>
  <si>
    <t>04.11.2024 00:00:00</t>
  </si>
  <si>
    <t>ІБ00-000454</t>
  </si>
  <si>
    <t>Акт 4/1.14-КБ (Котельня)</t>
  </si>
  <si>
    <t>04.11.2024 13:35:25</t>
  </si>
  <si>
    <t>ІБ00-000457</t>
  </si>
  <si>
    <t>Акт 5/1.14-КБ (Котельня)</t>
  </si>
  <si>
    <t>04.11.2024 13:38:02</t>
  </si>
  <si>
    <t>ІБ00-000458</t>
  </si>
  <si>
    <t>Акт 6/1.3-КБ(Цех екстракції поз. 3 ГБ)</t>
  </si>
  <si>
    <t>04.11.2024 13:42:36</t>
  </si>
  <si>
    <t>ІБ00-000459</t>
  </si>
  <si>
    <t xml:space="preserve"> Акт 5/1.3-КБ(Цех екстракції поз. 3 ГБ)</t>
  </si>
  <si>
    <t>08.11.2024 14:02:50</t>
  </si>
  <si>
    <t>ІБ00-000474</t>
  </si>
  <si>
    <t>Акт № 96</t>
  </si>
  <si>
    <t>08.11.2024 14:04:00</t>
  </si>
  <si>
    <t>ІБ00-000475</t>
  </si>
  <si>
    <t>Акт № 100</t>
  </si>
  <si>
    <t>08.11.2024 14:05:07</t>
  </si>
  <si>
    <t>ІБ00-000476</t>
  </si>
  <si>
    <t>Акт № 101</t>
  </si>
  <si>
    <t>08.11.2024 14:06:15</t>
  </si>
  <si>
    <t>ІБ00-000477</t>
  </si>
  <si>
    <t>Акт № 107</t>
  </si>
  <si>
    <t>08.11.2024 14:07:20</t>
  </si>
  <si>
    <t>ІБ00-000478</t>
  </si>
  <si>
    <t>Акт № 108</t>
  </si>
  <si>
    <t>08.11.2024 14:08:39</t>
  </si>
  <si>
    <t>ІБ00-000479</t>
  </si>
  <si>
    <t>Акт № 109</t>
  </si>
  <si>
    <t>08.11.2024 14:09:49</t>
  </si>
  <si>
    <t>ІБ00-000480</t>
  </si>
  <si>
    <t>Акт № 111</t>
  </si>
  <si>
    <t>08.11.2024 14:10:48</t>
  </si>
  <si>
    <t>ІБ00-000481</t>
  </si>
  <si>
    <t>Акт № 115</t>
  </si>
  <si>
    <t>08.11.2024 14:11:50</t>
  </si>
  <si>
    <t>ІБ00-000482</t>
  </si>
  <si>
    <t>Акт № 116</t>
  </si>
  <si>
    <t>08.11.2024 14:12:46</t>
  </si>
  <si>
    <t>ІБ00-000483</t>
  </si>
  <si>
    <t>Акт № 117</t>
  </si>
  <si>
    <t>08.11.2024 14:13:49</t>
  </si>
  <si>
    <t>ІБ00-000484</t>
  </si>
  <si>
    <t>Акт № 118</t>
  </si>
  <si>
    <t>08.11.2024 14:15:22</t>
  </si>
  <si>
    <t>ІБ00-000485</t>
  </si>
  <si>
    <t>Акт № 119</t>
  </si>
  <si>
    <t>08.11.2024 14:16:23</t>
  </si>
  <si>
    <t>ІБ00-000486</t>
  </si>
  <si>
    <t>Акт № 120</t>
  </si>
  <si>
    <t>08.11.2024 14:17:27</t>
  </si>
  <si>
    <t>ІБ00-000487</t>
  </si>
  <si>
    <t>Акт № 121</t>
  </si>
  <si>
    <t>08.11.2024 14:18:40</t>
  </si>
  <si>
    <t>ІБ00-000488</t>
  </si>
  <si>
    <t>Акт № 122</t>
  </si>
  <si>
    <t>08.11.2024 14:19:51</t>
  </si>
  <si>
    <t>ІБ00-000489</t>
  </si>
  <si>
    <t>Акт № 123</t>
  </si>
  <si>
    <t xml:space="preserve"> Акт 1/1.9-КБ (СПК)</t>
  </si>
  <si>
    <t xml:space="preserve"> Акт 7/1.14-КБ (Котельня)</t>
  </si>
  <si>
    <t>Акт 9/1.3-КБ(Цех екстракції поз. 3 ГБ)</t>
  </si>
  <si>
    <t>11.11.2024 17:22:43</t>
  </si>
  <si>
    <t>ІБ00-000497</t>
  </si>
  <si>
    <t>акт 2</t>
  </si>
  <si>
    <t>11.11.2024 17:23:15</t>
  </si>
  <si>
    <t>ІБ00-000498</t>
  </si>
  <si>
    <t>акт 1</t>
  </si>
  <si>
    <t>12.11.2024 00:00:00</t>
  </si>
  <si>
    <t>ІБ00-000447</t>
  </si>
  <si>
    <t>Виробничий (Крушинка)</t>
  </si>
  <si>
    <t>акт №10  ДУ № 14 ДОГОВІР ПІДРЯДУ № 20230815-3 від 15.08.2023</t>
  </si>
  <si>
    <t>ІБ00-000448</t>
  </si>
  <si>
    <t>акт №4 ДУ № 8 ДОГОВІР ПІДРЯДУ № 20230815-3 від 15.08.2023</t>
  </si>
  <si>
    <t>ІБ00-000490</t>
  </si>
  <si>
    <t>Акт 7/1.3-КБ(Цех екстракції поз. 3 ГБ)</t>
  </si>
  <si>
    <t>ІБ00-000492</t>
  </si>
  <si>
    <t>Акт 7</t>
  </si>
  <si>
    <t>14.11.2024 00:00:00</t>
  </si>
  <si>
    <t>ІБ00-000493</t>
  </si>
  <si>
    <t xml:space="preserve"> Акт 6/1.14-КБ (Котельня)</t>
  </si>
  <si>
    <t>15.11.2024 00:00:00</t>
  </si>
  <si>
    <t>ІБ00-000505</t>
  </si>
  <si>
    <t>Акт 10/1.3-КБ(Цех екстракції поз. 3 ГБ)</t>
  </si>
  <si>
    <t>ІБ00-000509</t>
  </si>
  <si>
    <t xml:space="preserve"> Акт 8/1.14-КБ (Котельня)</t>
  </si>
  <si>
    <t>15.11.2024 14:46:01</t>
  </si>
  <si>
    <t>ІБ00-000510</t>
  </si>
  <si>
    <t>Акт 2/1.5-КБ (насосна,градирня)</t>
  </si>
  <si>
    <t>15.11.2024 15:18:43</t>
  </si>
  <si>
    <t>ІБ00-000491</t>
  </si>
  <si>
    <t>Акт 8/1.3-КБ(Цех екстракції поз. 3 ГБ)</t>
  </si>
  <si>
    <t>15.11.2024 16:21:59</t>
  </si>
  <si>
    <t>ІБ00-000501</t>
  </si>
  <si>
    <t>15.11.2024 16:22:37</t>
  </si>
  <si>
    <t>ІБ00-000502</t>
  </si>
  <si>
    <t>15.11.2024 16:25:22</t>
  </si>
  <si>
    <t>ІБ00-000503</t>
  </si>
  <si>
    <t>15.11.2024 16:50:44</t>
  </si>
  <si>
    <t>ІБ00-000504</t>
  </si>
  <si>
    <t xml:space="preserve"> Акт 2/1.9-КБ (СПК)</t>
  </si>
  <si>
    <t>18.11.2024 10:00:39</t>
  </si>
  <si>
    <t>ІБ00-000506</t>
  </si>
  <si>
    <t>Акт № 125</t>
  </si>
  <si>
    <t>18.11.2024 10:01:42</t>
  </si>
  <si>
    <t>ІБ00-000507</t>
  </si>
  <si>
    <t>Акт № 126 (заміна) була сума 114849,60</t>
  </si>
  <si>
    <t>18.11.2024 10:03:04</t>
  </si>
  <si>
    <t>ІБ00-000508</t>
  </si>
  <si>
    <t>Акт № 127</t>
  </si>
  <si>
    <t>19.11.2024 00:00:00</t>
  </si>
  <si>
    <t>ІБ00-000343</t>
  </si>
  <si>
    <t>акт №5 ДУ № 7 ДОГОВІР ПІДРЯДУ № 20230815-3 від 15.08.2023</t>
  </si>
  <si>
    <t>ІБ00-000473</t>
  </si>
  <si>
    <t xml:space="preserve"> Акт № 5 ДОГОВІР ПІДРЯДУ № 19/12/23-3.5.2-АР-СтОЕЗ</t>
  </si>
  <si>
    <t>19.11.2024 11:35:01</t>
  </si>
  <si>
    <t>ІБ00-000511</t>
  </si>
  <si>
    <t>Акт № 19 ДУ № 13 від 20.09.2023, року ДОГОВІР 20230815-3 від 15.08.2023</t>
  </si>
  <si>
    <t>19.11.2024 15:02:24</t>
  </si>
  <si>
    <t>ІБ00-000513</t>
  </si>
  <si>
    <t>акт №6 гідроізоляція за  2024</t>
  </si>
  <si>
    <t>19.11.2024 16:05:15</t>
  </si>
  <si>
    <t>ІБ00-000514</t>
  </si>
  <si>
    <t>акт №5 гідроізоляція за листопад 2024</t>
  </si>
  <si>
    <t>21.11.2024 13:16:59</t>
  </si>
  <si>
    <t>ІБ00-000515</t>
  </si>
  <si>
    <t>Акт № 124</t>
  </si>
  <si>
    <t>21.11.2024 13:17:25</t>
  </si>
  <si>
    <t>ІБ00-000516</t>
  </si>
  <si>
    <t>Акт № 128</t>
  </si>
  <si>
    <t>21.11.2024 13:19:51</t>
  </si>
  <si>
    <t>ІБ00-000517</t>
  </si>
  <si>
    <t>Акт № 129</t>
  </si>
  <si>
    <t>21.11.2024 13:20:11</t>
  </si>
  <si>
    <t>ІБ00-000518</t>
  </si>
  <si>
    <t>Акт № 130</t>
  </si>
  <si>
    <t>21.11.2024 13:21:46</t>
  </si>
  <si>
    <t>ІБ00-000519</t>
  </si>
  <si>
    <t>Акт № 131</t>
  </si>
  <si>
    <t>21.11.2024 16:01:33</t>
  </si>
  <si>
    <t>ІБ00-000499</t>
  </si>
  <si>
    <t>акт 9/1</t>
  </si>
  <si>
    <t>21.11.2024 16:02:09</t>
  </si>
  <si>
    <t>ІБ00-000500</t>
  </si>
  <si>
    <t>акт 9/2</t>
  </si>
  <si>
    <t>22.11.2024 12:14:53</t>
  </si>
  <si>
    <t>ІБ00-000523</t>
  </si>
  <si>
    <t>Акт № 134</t>
  </si>
  <si>
    <t>26.11.2024 16:21:27</t>
  </si>
  <si>
    <t>ІБ00-000525</t>
  </si>
  <si>
    <t>26.11.2024 16:22:40</t>
  </si>
  <si>
    <t>ІБ00-000526</t>
  </si>
  <si>
    <t>27.11.2024 15:10:37</t>
  </si>
  <si>
    <t>ІБ00-000538</t>
  </si>
  <si>
    <t>Акт № 132</t>
  </si>
  <si>
    <t>27.11.2024 15:12:08</t>
  </si>
  <si>
    <t>ІБ00-000539</t>
  </si>
  <si>
    <t>Акт № 133</t>
  </si>
  <si>
    <t>27.11.2024 15:12:29</t>
  </si>
  <si>
    <t>ІБ00-000540</t>
  </si>
  <si>
    <t>Акт № 135</t>
  </si>
  <si>
    <t>28.11.2024 00:00:00</t>
  </si>
  <si>
    <t>ІБ00-000520</t>
  </si>
  <si>
    <t>Акт 11/1.3-КБ(Цех екстракції поз. 3 ГБ)</t>
  </si>
  <si>
    <t>ІБ00-000521</t>
  </si>
  <si>
    <t xml:space="preserve"> Акт 9/1.14-КБ (Котельня)</t>
  </si>
  <si>
    <t>ІБ00-000522</t>
  </si>
  <si>
    <t xml:space="preserve"> Акт 3/1.9-КБ (СПК)</t>
  </si>
  <si>
    <t>ІБ00-000524</t>
  </si>
  <si>
    <t>Акт 3/1.5-КБ (насосна,градирня)</t>
  </si>
  <si>
    <t>29.11.2024 16:24:07</t>
  </si>
  <si>
    <t>ІБ00-000527</t>
  </si>
  <si>
    <t>акт 10/1</t>
  </si>
  <si>
    <t>29.11.2024 16:24:47</t>
  </si>
  <si>
    <t>ІБ00-000528</t>
  </si>
  <si>
    <t>акт 10/2</t>
  </si>
  <si>
    <t>29.11.2024 16:25:14</t>
  </si>
  <si>
    <t>ІБ00-000529</t>
  </si>
  <si>
    <t>акт 10/3</t>
  </si>
  <si>
    <t>29.11.2024 16:25:44</t>
  </si>
  <si>
    <t>ІБ00-000530</t>
  </si>
  <si>
    <t>акт 10/4</t>
  </si>
  <si>
    <t>29.11.2024 16:26:13</t>
  </si>
  <si>
    <t>ІБ00-000531</t>
  </si>
  <si>
    <t>акт 10/5</t>
  </si>
  <si>
    <t>29.11.2024 16:26:40</t>
  </si>
  <si>
    <t>ІБ00-000532</t>
  </si>
  <si>
    <t>акт 10/6</t>
  </si>
  <si>
    <t>29.11.2024 16:27:02</t>
  </si>
  <si>
    <t>ІБ00-000533</t>
  </si>
  <si>
    <t>акт 10/7</t>
  </si>
  <si>
    <t>29.11.2024 16:27:26</t>
  </si>
  <si>
    <t>ІБ00-000534</t>
  </si>
  <si>
    <t>акт 10/8</t>
  </si>
  <si>
    <t>29.11.2024 16:27:54</t>
  </si>
  <si>
    <t>ІБ00-000535</t>
  </si>
  <si>
    <t>акт 10/9</t>
  </si>
  <si>
    <t>29.11.2024 16:36:29</t>
  </si>
  <si>
    <t>ІБ00-000536</t>
  </si>
  <si>
    <t>акт 10/10</t>
  </si>
  <si>
    <t>29.11.2024 23:58:22</t>
  </si>
  <si>
    <t>ІБ00-000544</t>
  </si>
  <si>
    <t>29.11.2024 23:58:23</t>
  </si>
  <si>
    <t>ІБ00-000545</t>
  </si>
  <si>
    <t>Вид операції</t>
  </si>
  <si>
    <t>Склад</t>
  </si>
  <si>
    <t>КРАФТ ІННОВЕЙШН</t>
  </si>
  <si>
    <t>Цех_Ретал</t>
  </si>
  <si>
    <t>стр 5 Дріт 1,2мм = 4,15т</t>
  </si>
  <si>
    <t>01.11.2024 19:56:00</t>
  </si>
  <si>
    <t>ІБ00-000063</t>
  </si>
  <si>
    <t>01.11.2024 19:56:01</t>
  </si>
  <si>
    <t>ІБ00-000064</t>
  </si>
  <si>
    <t>13.11.2024 20:00:00</t>
  </si>
  <si>
    <t>ІБ00-000068</t>
  </si>
  <si>
    <t>14.11.2024 23:01:34</t>
  </si>
  <si>
    <t>ІБ00-000069</t>
  </si>
  <si>
    <t>15.11.2024 21:00:00</t>
  </si>
  <si>
    <t>ІБ00-000070</t>
  </si>
  <si>
    <t>18.11.2024 17:55:08</t>
  </si>
  <si>
    <t>ІБ00-000071</t>
  </si>
  <si>
    <t>19.11.2024 17:51:55</t>
  </si>
  <si>
    <t>ІБ00-000072</t>
  </si>
  <si>
    <t>20.11.2024 00:00:00</t>
  </si>
  <si>
    <t>ІБ00-000076</t>
  </si>
  <si>
    <t>21.11.2024 16:36:31</t>
  </si>
  <si>
    <t>ІБ00-000067</t>
  </si>
  <si>
    <t>21.11.2024 19:57:01</t>
  </si>
  <si>
    <t>ІБ00-000077</t>
  </si>
  <si>
    <t>25.11.2024 18:00:07</t>
  </si>
  <si>
    <t>ІБ00-000078</t>
  </si>
  <si>
    <t>26.11.2024 20:01:04</t>
  </si>
  <si>
    <t>ІБ00-000079</t>
  </si>
  <si>
    <t>27.11.2024 19:00:07</t>
  </si>
  <si>
    <t>ІБ00-000080</t>
  </si>
  <si>
    <t>28.11.2024 18:28:44</t>
  </si>
  <si>
    <t>ІБ00-000081</t>
  </si>
  <si>
    <t>29.11.2024 15:09:26</t>
  </si>
  <si>
    <t>ІБ00-000073</t>
  </si>
  <si>
    <t>29.11.2024 21:00:00</t>
  </si>
  <si>
    <t>ІБ00-000082</t>
  </si>
  <si>
    <t>Себест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</si>
</sst>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10"/>
      <color indexed="63"/>
      <name val="Arial"/>
      <family val="2"/>
      <charset val="204"/>
    </font>
    <font>
      <sz val="8"/>
      <color indexed="63"/>
      <name val="Arial"/>
      <family val="2"/>
    </font>
    <font>
      <sz val="11"/>
      <color rgb="FF7030A0"/>
      <name val="Calibri"/>
      <family val="2"/>
      <charset val="204"/>
      <scheme val="minor"/>
    </font>
    <font>
      <sz val="10"/>
      <color indexed="63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4" fontId="0" fillId="0" borderId="0" xfId="0" applyNumberFormat="1"/>
    <xf numFmtId="4" fontId="1" fillId="0" borderId="0" xfId="0" applyNumberFormat="1" applyFont="1"/>
    <xf numFmtId="0" fontId="6" fillId="2" borderId="1" xfId="1" applyNumberFormat="1" applyFont="1" applyFill="1" applyBorder="1" applyAlignment="1">
      <alignment horizontal="left" vertical="top"/>
    </xf>
    <xf numFmtId="0" fontId="4" fillId="2" borderId="1" xfId="1" applyNumberFormat="1" applyFont="1" applyFill="1" applyBorder="1" applyAlignment="1">
      <alignment horizontal="left" vertical="top"/>
    </xf>
    <xf numFmtId="4" fontId="4" fillId="2" borderId="1" xfId="1" applyNumberFormat="1" applyFont="1" applyFill="1" applyBorder="1" applyAlignment="1">
      <alignment horizontal="right" vertical="top"/>
    </xf>
    <xf numFmtId="4" fontId="4" fillId="3" borderId="1" xfId="1" applyNumberFormat="1" applyFont="1" applyFill="1" applyBorder="1" applyAlignment="1">
      <alignment horizontal="right" vertical="top"/>
    </xf>
    <xf numFmtId="0" fontId="1" fillId="0" borderId="0" xfId="0" applyFont="1"/>
    <xf numFmtId="4" fontId="5" fillId="0" borderId="0" xfId="0" applyNumberFormat="1" applyFont="1"/>
    <xf numFmtId="0" fontId="3" fillId="2" borderId="1" xfId="1" applyNumberFormat="1" applyFont="1" applyFill="1" applyBorder="1" applyAlignment="1">
      <alignment horizontal="left" vertical="top"/>
    </xf>
    <xf numFmtId="4" fontId="0" fillId="4" borderId="0" xfId="0" applyNumberFormat="1" applyFill="1"/>
    <xf numFmtId="4" fontId="4" fillId="4" borderId="1" xfId="1" applyNumberFormat="1" applyFont="1" applyFill="1" applyBorder="1" applyAlignment="1">
      <alignment horizontal="right" vertical="top"/>
    </xf>
  </cellXfs>
  <cellStyles count="2">
    <cellStyle name="Обычный" xfId="0" builtinId="0"/>
    <cellStyle name="Обычный_Акты_Ноябрь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3"/>
  <sheetViews>
    <sheetView tabSelected="1" topLeftCell="A73" workbookViewId="0">
      <selection activeCell="D121" sqref="D121"/>
    </sheetView>
  </sheetViews>
  <sheetFormatPr defaultRowHeight="14.4" x14ac:dyDescent="0.3"/>
  <cols>
    <col min="1" max="1" width="14" bestFit="1" customWidth="1"/>
    <col min="2" max="2" width="8.77734375" customWidth="1"/>
    <col min="3" max="3" width="39.6640625" bestFit="1" customWidth="1"/>
    <col min="4" max="4" width="12.33203125" bestFit="1" customWidth="1"/>
    <col min="5" max="5" width="7.6640625" bestFit="1" customWidth="1"/>
    <col min="6" max="6" width="22.77734375" bestFit="1" customWidth="1"/>
    <col min="7" max="7" width="16.6640625" bestFit="1" customWidth="1"/>
    <col min="8" max="8" width="14.5546875" bestFit="1" customWidth="1"/>
    <col min="9" max="9" width="53" bestFit="1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4" t="s">
        <v>41</v>
      </c>
      <c r="B2" s="4" t="s">
        <v>42</v>
      </c>
      <c r="C2" s="4" t="s">
        <v>15</v>
      </c>
      <c r="D2" s="5">
        <v>827310.95</v>
      </c>
      <c r="E2" s="4" t="s">
        <v>10</v>
      </c>
      <c r="F2" s="4" t="s">
        <v>19</v>
      </c>
      <c r="G2" s="4" t="s">
        <v>12</v>
      </c>
      <c r="H2" s="4" t="s">
        <v>13</v>
      </c>
      <c r="I2" s="4" t="s">
        <v>43</v>
      </c>
    </row>
    <row r="3" spans="1:9" x14ac:dyDescent="0.3">
      <c r="A3" s="4" t="s">
        <v>44</v>
      </c>
      <c r="B3" s="4" t="s">
        <v>45</v>
      </c>
      <c r="C3" s="4" t="s">
        <v>15</v>
      </c>
      <c r="D3" s="5">
        <v>257756.03</v>
      </c>
      <c r="E3" s="4" t="s">
        <v>10</v>
      </c>
      <c r="F3" s="4" t="s">
        <v>19</v>
      </c>
      <c r="G3" s="4" t="s">
        <v>12</v>
      </c>
      <c r="H3" s="4" t="s">
        <v>13</v>
      </c>
      <c r="I3" s="4" t="s">
        <v>46</v>
      </c>
    </row>
    <row r="4" spans="1:9" x14ac:dyDescent="0.3">
      <c r="A4" s="4" t="s">
        <v>47</v>
      </c>
      <c r="B4" s="4" t="s">
        <v>48</v>
      </c>
      <c r="C4" s="4" t="s">
        <v>15</v>
      </c>
      <c r="D4" s="5">
        <v>262987.33</v>
      </c>
      <c r="E4" s="4" t="s">
        <v>10</v>
      </c>
      <c r="F4" s="4" t="s">
        <v>19</v>
      </c>
      <c r="G4" s="4" t="s">
        <v>12</v>
      </c>
      <c r="H4" s="4" t="s">
        <v>13</v>
      </c>
      <c r="I4" s="4" t="s">
        <v>49</v>
      </c>
    </row>
    <row r="5" spans="1:9" x14ac:dyDescent="0.3">
      <c r="A5" s="4" t="s">
        <v>50</v>
      </c>
      <c r="B5" s="4" t="s">
        <v>51</v>
      </c>
      <c r="C5" s="4" t="s">
        <v>15</v>
      </c>
      <c r="D5" s="5">
        <v>311201.77</v>
      </c>
      <c r="E5" s="4" t="s">
        <v>10</v>
      </c>
      <c r="F5" s="4" t="s">
        <v>19</v>
      </c>
      <c r="G5" s="4" t="s">
        <v>12</v>
      </c>
      <c r="H5" s="4" t="s">
        <v>13</v>
      </c>
      <c r="I5" s="4" t="s">
        <v>52</v>
      </c>
    </row>
    <row r="6" spans="1:9" x14ac:dyDescent="0.3">
      <c r="A6" s="4" t="s">
        <v>53</v>
      </c>
      <c r="B6" s="4" t="s">
        <v>54</v>
      </c>
      <c r="C6" s="4" t="s">
        <v>17</v>
      </c>
      <c r="D6" s="5">
        <v>15979.2</v>
      </c>
      <c r="E6" s="4" t="s">
        <v>10</v>
      </c>
      <c r="F6" s="4" t="s">
        <v>18</v>
      </c>
      <c r="G6" s="4" t="s">
        <v>12</v>
      </c>
      <c r="H6" s="4" t="s">
        <v>13</v>
      </c>
      <c r="I6" s="4" t="s">
        <v>55</v>
      </c>
    </row>
    <row r="7" spans="1:9" x14ac:dyDescent="0.3">
      <c r="A7" s="4" t="s">
        <v>56</v>
      </c>
      <c r="B7" s="4" t="s">
        <v>57</v>
      </c>
      <c r="C7" s="4" t="s">
        <v>17</v>
      </c>
      <c r="D7" s="5">
        <v>15979.8</v>
      </c>
      <c r="E7" s="4" t="s">
        <v>10</v>
      </c>
      <c r="F7" s="4" t="s">
        <v>18</v>
      </c>
      <c r="G7" s="4" t="s">
        <v>12</v>
      </c>
      <c r="H7" s="4" t="s">
        <v>13</v>
      </c>
      <c r="I7" s="4" t="s">
        <v>58</v>
      </c>
    </row>
    <row r="8" spans="1:9" x14ac:dyDescent="0.3">
      <c r="A8" s="4" t="s">
        <v>59</v>
      </c>
      <c r="B8" s="4" t="s">
        <v>60</v>
      </c>
      <c r="C8" s="4" t="s">
        <v>17</v>
      </c>
      <c r="D8" s="5">
        <v>15979.8</v>
      </c>
      <c r="E8" s="4" t="s">
        <v>10</v>
      </c>
      <c r="F8" s="4" t="s">
        <v>18</v>
      </c>
      <c r="G8" s="4" t="s">
        <v>12</v>
      </c>
      <c r="H8" s="4" t="s">
        <v>13</v>
      </c>
      <c r="I8" s="4" t="s">
        <v>61</v>
      </c>
    </row>
    <row r="9" spans="1:9" x14ac:dyDescent="0.3">
      <c r="A9" s="4" t="s">
        <v>62</v>
      </c>
      <c r="B9" s="4" t="s">
        <v>63</v>
      </c>
      <c r="C9" s="4" t="s">
        <v>17</v>
      </c>
      <c r="D9" s="5">
        <v>511938.26</v>
      </c>
      <c r="E9" s="4" t="s">
        <v>10</v>
      </c>
      <c r="F9" s="4" t="s">
        <v>18</v>
      </c>
      <c r="G9" s="4" t="s">
        <v>12</v>
      </c>
      <c r="H9" s="4" t="s">
        <v>13</v>
      </c>
      <c r="I9" s="4" t="s">
        <v>64</v>
      </c>
    </row>
    <row r="10" spans="1:9" x14ac:dyDescent="0.3">
      <c r="A10" s="4" t="s">
        <v>65</v>
      </c>
      <c r="B10" s="4" t="s">
        <v>66</v>
      </c>
      <c r="C10" s="4" t="s">
        <v>17</v>
      </c>
      <c r="D10" s="5">
        <v>285228.46000000002</v>
      </c>
      <c r="E10" s="4" t="s">
        <v>10</v>
      </c>
      <c r="F10" s="4" t="s">
        <v>18</v>
      </c>
      <c r="G10" s="4" t="s">
        <v>12</v>
      </c>
      <c r="H10" s="4" t="s">
        <v>13</v>
      </c>
      <c r="I10" s="4" t="s">
        <v>67</v>
      </c>
    </row>
    <row r="11" spans="1:9" x14ac:dyDescent="0.3">
      <c r="A11" s="4" t="s">
        <v>68</v>
      </c>
      <c r="B11" s="4" t="s">
        <v>69</v>
      </c>
      <c r="C11" s="4" t="s">
        <v>17</v>
      </c>
      <c r="D11" s="5">
        <v>173344.82</v>
      </c>
      <c r="E11" s="4" t="s">
        <v>10</v>
      </c>
      <c r="F11" s="4" t="s">
        <v>18</v>
      </c>
      <c r="G11" s="4" t="s">
        <v>12</v>
      </c>
      <c r="H11" s="4" t="s">
        <v>13</v>
      </c>
      <c r="I11" s="4" t="s">
        <v>70</v>
      </c>
    </row>
    <row r="12" spans="1:9" x14ac:dyDescent="0.3">
      <c r="A12" s="4" t="s">
        <v>71</v>
      </c>
      <c r="B12" s="4" t="s">
        <v>72</v>
      </c>
      <c r="C12" s="4" t="s">
        <v>17</v>
      </c>
      <c r="D12" s="5">
        <v>40868.339999999997</v>
      </c>
      <c r="E12" s="4" t="s">
        <v>10</v>
      </c>
      <c r="F12" s="4" t="s">
        <v>18</v>
      </c>
      <c r="G12" s="4" t="s">
        <v>12</v>
      </c>
      <c r="H12" s="4" t="s">
        <v>13</v>
      </c>
      <c r="I12" s="4" t="s">
        <v>73</v>
      </c>
    </row>
    <row r="13" spans="1:9" x14ac:dyDescent="0.3">
      <c r="A13" s="4" t="s">
        <v>74</v>
      </c>
      <c r="B13" s="4" t="s">
        <v>75</v>
      </c>
      <c r="C13" s="4" t="s">
        <v>17</v>
      </c>
      <c r="D13" s="5">
        <v>22500</v>
      </c>
      <c r="E13" s="4" t="s">
        <v>10</v>
      </c>
      <c r="F13" s="4" t="s">
        <v>18</v>
      </c>
      <c r="G13" s="4" t="s">
        <v>12</v>
      </c>
      <c r="H13" s="4" t="s">
        <v>13</v>
      </c>
      <c r="I13" s="4" t="s">
        <v>76</v>
      </c>
    </row>
    <row r="14" spans="1:9" x14ac:dyDescent="0.3">
      <c r="A14" s="4" t="s">
        <v>77</v>
      </c>
      <c r="B14" s="4" t="s">
        <v>78</v>
      </c>
      <c r="C14" s="4" t="s">
        <v>17</v>
      </c>
      <c r="D14" s="5">
        <v>22500</v>
      </c>
      <c r="E14" s="4" t="s">
        <v>10</v>
      </c>
      <c r="F14" s="4" t="s">
        <v>18</v>
      </c>
      <c r="G14" s="4" t="s">
        <v>12</v>
      </c>
      <c r="H14" s="4" t="s">
        <v>13</v>
      </c>
      <c r="I14" s="4" t="s">
        <v>79</v>
      </c>
    </row>
    <row r="15" spans="1:9" x14ac:dyDescent="0.3">
      <c r="A15" s="4" t="s">
        <v>80</v>
      </c>
      <c r="B15" s="4" t="s">
        <v>81</v>
      </c>
      <c r="C15" s="4" t="s">
        <v>17</v>
      </c>
      <c r="D15" s="5">
        <v>22500</v>
      </c>
      <c r="E15" s="4" t="s">
        <v>10</v>
      </c>
      <c r="F15" s="4" t="s">
        <v>18</v>
      </c>
      <c r="G15" s="4" t="s">
        <v>12</v>
      </c>
      <c r="H15" s="4" t="s">
        <v>13</v>
      </c>
      <c r="I15" s="4" t="s">
        <v>82</v>
      </c>
    </row>
    <row r="16" spans="1:9" x14ac:dyDescent="0.3">
      <c r="A16" s="4" t="s">
        <v>83</v>
      </c>
      <c r="B16" s="4" t="s">
        <v>84</v>
      </c>
      <c r="C16" s="4" t="s">
        <v>17</v>
      </c>
      <c r="D16" s="5">
        <v>7729.53</v>
      </c>
      <c r="E16" s="4" t="s">
        <v>10</v>
      </c>
      <c r="F16" s="4" t="s">
        <v>18</v>
      </c>
      <c r="G16" s="4" t="s">
        <v>12</v>
      </c>
      <c r="H16" s="4" t="s">
        <v>13</v>
      </c>
      <c r="I16" s="4" t="s">
        <v>85</v>
      </c>
    </row>
    <row r="17" spans="1:9" x14ac:dyDescent="0.3">
      <c r="A17" s="4" t="s">
        <v>86</v>
      </c>
      <c r="B17" s="4" t="s">
        <v>87</v>
      </c>
      <c r="C17" s="4" t="s">
        <v>17</v>
      </c>
      <c r="D17" s="5">
        <v>16533.150000000001</v>
      </c>
      <c r="E17" s="4" t="s">
        <v>10</v>
      </c>
      <c r="F17" s="4" t="s">
        <v>18</v>
      </c>
      <c r="G17" s="4" t="s">
        <v>12</v>
      </c>
      <c r="H17" s="4" t="s">
        <v>13</v>
      </c>
      <c r="I17" s="4" t="s">
        <v>88</v>
      </c>
    </row>
    <row r="18" spans="1:9" x14ac:dyDescent="0.3">
      <c r="A18" s="4" t="s">
        <v>89</v>
      </c>
      <c r="B18" s="4" t="s">
        <v>90</v>
      </c>
      <c r="C18" s="4" t="s">
        <v>17</v>
      </c>
      <c r="D18" s="5">
        <v>16533.150000000001</v>
      </c>
      <c r="E18" s="4" t="s">
        <v>10</v>
      </c>
      <c r="F18" s="4" t="s">
        <v>18</v>
      </c>
      <c r="G18" s="4" t="s">
        <v>12</v>
      </c>
      <c r="H18" s="4" t="s">
        <v>13</v>
      </c>
      <c r="I18" s="4" t="s">
        <v>91</v>
      </c>
    </row>
    <row r="19" spans="1:9" x14ac:dyDescent="0.3">
      <c r="A19" s="4" t="s">
        <v>92</v>
      </c>
      <c r="B19" s="4" t="s">
        <v>93</v>
      </c>
      <c r="C19" s="4" t="s">
        <v>17</v>
      </c>
      <c r="D19" s="5">
        <v>16533.150000000001</v>
      </c>
      <c r="E19" s="4" t="s">
        <v>10</v>
      </c>
      <c r="F19" s="4" t="s">
        <v>18</v>
      </c>
      <c r="G19" s="4" t="s">
        <v>12</v>
      </c>
      <c r="H19" s="4" t="s">
        <v>13</v>
      </c>
      <c r="I19" s="4" t="s">
        <v>94</v>
      </c>
    </row>
    <row r="20" spans="1:9" x14ac:dyDescent="0.3">
      <c r="A20" s="4" t="s">
        <v>95</v>
      </c>
      <c r="B20" s="4" t="s">
        <v>96</v>
      </c>
      <c r="C20" s="4" t="s">
        <v>17</v>
      </c>
      <c r="D20" s="5">
        <v>240316.35</v>
      </c>
      <c r="E20" s="4" t="s">
        <v>10</v>
      </c>
      <c r="F20" s="4" t="s">
        <v>18</v>
      </c>
      <c r="G20" s="4" t="s">
        <v>12</v>
      </c>
      <c r="H20" s="4" t="s">
        <v>13</v>
      </c>
      <c r="I20" s="4" t="s">
        <v>97</v>
      </c>
    </row>
    <row r="21" spans="1:9" x14ac:dyDescent="0.3">
      <c r="A21" s="4" t="s">
        <v>98</v>
      </c>
      <c r="B21" s="4" t="s">
        <v>99</v>
      </c>
      <c r="C21" s="4" t="s">
        <v>17</v>
      </c>
      <c r="D21" s="5">
        <v>292822</v>
      </c>
      <c r="E21" s="4" t="s">
        <v>10</v>
      </c>
      <c r="F21" s="4" t="s">
        <v>18</v>
      </c>
      <c r="G21" s="4" t="s">
        <v>12</v>
      </c>
      <c r="H21" s="4" t="s">
        <v>13</v>
      </c>
      <c r="I21" s="4" t="s">
        <v>100</v>
      </c>
    </row>
    <row r="22" spans="1:9" x14ac:dyDescent="0.3">
      <c r="A22" s="4" t="s">
        <v>104</v>
      </c>
      <c r="B22" s="4" t="s">
        <v>105</v>
      </c>
      <c r="C22" s="4" t="s">
        <v>21</v>
      </c>
      <c r="D22" s="5">
        <v>654298.46</v>
      </c>
      <c r="E22" s="4" t="s">
        <v>10</v>
      </c>
      <c r="F22" s="4" t="s">
        <v>22</v>
      </c>
      <c r="G22" s="4" t="s">
        <v>12</v>
      </c>
      <c r="H22" s="4" t="s">
        <v>14</v>
      </c>
      <c r="I22" s="4" t="s">
        <v>106</v>
      </c>
    </row>
    <row r="23" spans="1:9" x14ac:dyDescent="0.3">
      <c r="A23" s="4" t="s">
        <v>107</v>
      </c>
      <c r="B23" s="4" t="s">
        <v>108</v>
      </c>
      <c r="C23" s="4" t="s">
        <v>21</v>
      </c>
      <c r="D23" s="5">
        <v>500607.54</v>
      </c>
      <c r="E23" s="4" t="s">
        <v>10</v>
      </c>
      <c r="F23" s="4" t="s">
        <v>22</v>
      </c>
      <c r="G23" s="4" t="s">
        <v>12</v>
      </c>
      <c r="H23" s="4" t="s">
        <v>14</v>
      </c>
      <c r="I23" s="4" t="s">
        <v>109</v>
      </c>
    </row>
    <row r="24" spans="1:9" x14ac:dyDescent="0.3">
      <c r="A24" s="4" t="s">
        <v>110</v>
      </c>
      <c r="B24" s="4" t="s">
        <v>111</v>
      </c>
      <c r="C24" s="4" t="s">
        <v>39</v>
      </c>
      <c r="D24" s="5">
        <v>230241.44</v>
      </c>
      <c r="E24" s="4" t="s">
        <v>10</v>
      </c>
      <c r="F24" s="4" t="s">
        <v>112</v>
      </c>
      <c r="G24" s="4" t="s">
        <v>12</v>
      </c>
      <c r="H24" s="4" t="s">
        <v>13</v>
      </c>
      <c r="I24" s="4" t="s">
        <v>113</v>
      </c>
    </row>
    <row r="25" spans="1:9" x14ac:dyDescent="0.3">
      <c r="A25" s="4" t="s">
        <v>110</v>
      </c>
      <c r="B25" s="4" t="s">
        <v>114</v>
      </c>
      <c r="C25" s="4" t="s">
        <v>39</v>
      </c>
      <c r="D25" s="5">
        <v>17776.28</v>
      </c>
      <c r="E25" s="4" t="s">
        <v>10</v>
      </c>
      <c r="F25" s="4" t="s">
        <v>112</v>
      </c>
      <c r="G25" s="4" t="s">
        <v>12</v>
      </c>
      <c r="H25" s="4" t="s">
        <v>14</v>
      </c>
      <c r="I25" s="4" t="s">
        <v>115</v>
      </c>
    </row>
    <row r="26" spans="1:9" x14ac:dyDescent="0.3">
      <c r="A26" s="4" t="s">
        <v>110</v>
      </c>
      <c r="B26" s="4" t="s">
        <v>116</v>
      </c>
      <c r="C26" s="4" t="s">
        <v>15</v>
      </c>
      <c r="D26" s="5">
        <v>567906.1</v>
      </c>
      <c r="E26" s="4" t="s">
        <v>10</v>
      </c>
      <c r="F26" s="4" t="s">
        <v>19</v>
      </c>
      <c r="G26" s="4" t="s">
        <v>12</v>
      </c>
      <c r="H26" s="4" t="s">
        <v>13</v>
      </c>
      <c r="I26" s="4" t="s">
        <v>117</v>
      </c>
    </row>
    <row r="27" spans="1:9" x14ac:dyDescent="0.3">
      <c r="A27" s="4" t="s">
        <v>110</v>
      </c>
      <c r="B27" s="4" t="s">
        <v>118</v>
      </c>
      <c r="C27" s="4" t="s">
        <v>15</v>
      </c>
      <c r="D27" s="5">
        <v>156523.13</v>
      </c>
      <c r="E27" s="4" t="s">
        <v>10</v>
      </c>
      <c r="F27" s="4" t="s">
        <v>16</v>
      </c>
      <c r="G27" s="4" t="s">
        <v>12</v>
      </c>
      <c r="H27" s="4" t="s">
        <v>13</v>
      </c>
      <c r="I27" s="4" t="s">
        <v>119</v>
      </c>
    </row>
    <row r="28" spans="1:9" x14ac:dyDescent="0.3">
      <c r="A28" s="4" t="s">
        <v>120</v>
      </c>
      <c r="B28" s="4" t="s">
        <v>121</v>
      </c>
      <c r="C28" s="4" t="s">
        <v>15</v>
      </c>
      <c r="D28" s="5">
        <v>127800.19</v>
      </c>
      <c r="E28" s="4" t="s">
        <v>10</v>
      </c>
      <c r="F28" s="4" t="s">
        <v>19</v>
      </c>
      <c r="G28" s="4" t="s">
        <v>12</v>
      </c>
      <c r="H28" s="4" t="s">
        <v>14</v>
      </c>
      <c r="I28" s="4" t="s">
        <v>122</v>
      </c>
    </row>
    <row r="29" spans="1:9" x14ac:dyDescent="0.3">
      <c r="A29" s="4" t="s">
        <v>123</v>
      </c>
      <c r="B29" s="4" t="s">
        <v>124</v>
      </c>
      <c r="C29" s="4" t="s">
        <v>15</v>
      </c>
      <c r="D29" s="5">
        <v>492959.28</v>
      </c>
      <c r="E29" s="4" t="s">
        <v>10</v>
      </c>
      <c r="F29" s="4" t="s">
        <v>19</v>
      </c>
      <c r="G29" s="4" t="s">
        <v>12</v>
      </c>
      <c r="H29" s="4" t="s">
        <v>13</v>
      </c>
      <c r="I29" s="4" t="s">
        <v>125</v>
      </c>
    </row>
    <row r="30" spans="1:9" x14ac:dyDescent="0.3">
      <c r="A30" s="4" t="s">
        <v>123</v>
      </c>
      <c r="B30" s="4" t="s">
        <v>126</v>
      </c>
      <c r="C30" s="4" t="s">
        <v>15</v>
      </c>
      <c r="D30" s="5">
        <v>734264.92</v>
      </c>
      <c r="E30" s="4" t="s">
        <v>10</v>
      </c>
      <c r="F30" s="4" t="s">
        <v>19</v>
      </c>
      <c r="G30" s="4" t="s">
        <v>12</v>
      </c>
      <c r="H30" s="4" t="s">
        <v>13</v>
      </c>
      <c r="I30" s="4" t="s">
        <v>127</v>
      </c>
    </row>
    <row r="31" spans="1:9" x14ac:dyDescent="0.3">
      <c r="A31" s="4" t="s">
        <v>128</v>
      </c>
      <c r="B31" s="4" t="s">
        <v>129</v>
      </c>
      <c r="C31" s="4" t="s">
        <v>15</v>
      </c>
      <c r="D31" s="5">
        <v>344971.33</v>
      </c>
      <c r="E31" s="4" t="s">
        <v>10</v>
      </c>
      <c r="F31" s="4" t="s">
        <v>19</v>
      </c>
      <c r="G31" s="4" t="s">
        <v>12</v>
      </c>
      <c r="H31" s="4" t="s">
        <v>13</v>
      </c>
      <c r="I31" s="4" t="s">
        <v>130</v>
      </c>
    </row>
    <row r="32" spans="1:9" x14ac:dyDescent="0.3">
      <c r="A32" s="4" t="s">
        <v>131</v>
      </c>
      <c r="B32" s="4" t="s">
        <v>132</v>
      </c>
      <c r="C32" s="4" t="s">
        <v>15</v>
      </c>
      <c r="D32" s="5">
        <v>789116.72</v>
      </c>
      <c r="E32" s="4" t="s">
        <v>10</v>
      </c>
      <c r="F32" s="4" t="s">
        <v>19</v>
      </c>
      <c r="G32" s="4" t="s">
        <v>12</v>
      </c>
      <c r="H32" s="4" t="s">
        <v>13</v>
      </c>
      <c r="I32" s="4" t="s">
        <v>133</v>
      </c>
    </row>
    <row r="33" spans="1:9" x14ac:dyDescent="0.3">
      <c r="A33" s="4" t="s">
        <v>134</v>
      </c>
      <c r="B33" s="4" t="s">
        <v>135</v>
      </c>
      <c r="C33" s="4" t="s">
        <v>15</v>
      </c>
      <c r="D33" s="5">
        <v>518102.3</v>
      </c>
      <c r="E33" s="4" t="s">
        <v>10</v>
      </c>
      <c r="F33" s="4" t="s">
        <v>19</v>
      </c>
      <c r="G33" s="4" t="s">
        <v>12</v>
      </c>
      <c r="H33" s="4" t="s">
        <v>13</v>
      </c>
      <c r="I33" s="4" t="s">
        <v>103</v>
      </c>
    </row>
    <row r="34" spans="1:9" x14ac:dyDescent="0.3">
      <c r="A34" s="4" t="s">
        <v>136</v>
      </c>
      <c r="B34" s="4" t="s">
        <v>137</v>
      </c>
      <c r="C34" s="4" t="s">
        <v>15</v>
      </c>
      <c r="D34" s="5">
        <v>324958.37</v>
      </c>
      <c r="E34" s="4" t="s">
        <v>10</v>
      </c>
      <c r="F34" s="4" t="s">
        <v>19</v>
      </c>
      <c r="G34" s="4" t="s">
        <v>12</v>
      </c>
      <c r="H34" s="4" t="s">
        <v>13</v>
      </c>
      <c r="I34" s="4" t="s">
        <v>102</v>
      </c>
    </row>
    <row r="35" spans="1:9" x14ac:dyDescent="0.3">
      <c r="A35" s="4" t="s">
        <v>138</v>
      </c>
      <c r="B35" s="4" t="s">
        <v>139</v>
      </c>
      <c r="C35" s="4" t="s">
        <v>15</v>
      </c>
      <c r="D35" s="5">
        <v>1069747.33</v>
      </c>
      <c r="E35" s="4" t="s">
        <v>10</v>
      </c>
      <c r="F35" s="4" t="s">
        <v>19</v>
      </c>
      <c r="G35" s="4" t="s">
        <v>12</v>
      </c>
      <c r="H35" s="4" t="s">
        <v>13</v>
      </c>
      <c r="I35" s="4" t="s">
        <v>101</v>
      </c>
    </row>
    <row r="36" spans="1:9" x14ac:dyDescent="0.3">
      <c r="A36" s="4" t="s">
        <v>140</v>
      </c>
      <c r="B36" s="4" t="s">
        <v>141</v>
      </c>
      <c r="C36" s="4" t="s">
        <v>15</v>
      </c>
      <c r="D36" s="5">
        <v>150631.84</v>
      </c>
      <c r="E36" s="4" t="s">
        <v>10</v>
      </c>
      <c r="F36" s="4" t="s">
        <v>19</v>
      </c>
      <c r="G36" s="4" t="s">
        <v>12</v>
      </c>
      <c r="H36" s="4" t="s">
        <v>13</v>
      </c>
      <c r="I36" s="4" t="s">
        <v>142</v>
      </c>
    </row>
    <row r="37" spans="1:9" x14ac:dyDescent="0.3">
      <c r="A37" s="4" t="s">
        <v>143</v>
      </c>
      <c r="B37" s="4" t="s">
        <v>144</v>
      </c>
      <c r="C37" s="4" t="s">
        <v>17</v>
      </c>
      <c r="D37" s="5">
        <v>15510</v>
      </c>
      <c r="E37" s="4" t="s">
        <v>10</v>
      </c>
      <c r="F37" s="4" t="s">
        <v>18</v>
      </c>
      <c r="G37" s="4" t="s">
        <v>12</v>
      </c>
      <c r="H37" s="4" t="s">
        <v>13</v>
      </c>
      <c r="I37" s="4" t="s">
        <v>145</v>
      </c>
    </row>
    <row r="38" spans="1:9" x14ac:dyDescent="0.3">
      <c r="A38" s="4" t="s">
        <v>146</v>
      </c>
      <c r="B38" s="4" t="s">
        <v>147</v>
      </c>
      <c r="C38" s="4" t="s">
        <v>17</v>
      </c>
      <c r="D38" s="5">
        <v>116806.21</v>
      </c>
      <c r="E38" s="4" t="s">
        <v>10</v>
      </c>
      <c r="F38" s="4" t="s">
        <v>18</v>
      </c>
      <c r="G38" s="4" t="s">
        <v>12</v>
      </c>
      <c r="H38" s="4" t="s">
        <v>13</v>
      </c>
      <c r="I38" s="4" t="s">
        <v>148</v>
      </c>
    </row>
    <row r="39" spans="1:9" x14ac:dyDescent="0.3">
      <c r="A39" s="4" t="s">
        <v>149</v>
      </c>
      <c r="B39" s="4" t="s">
        <v>150</v>
      </c>
      <c r="C39" s="4" t="s">
        <v>17</v>
      </c>
      <c r="D39" s="5">
        <v>113715</v>
      </c>
      <c r="E39" s="4" t="s">
        <v>10</v>
      </c>
      <c r="F39" s="4" t="s">
        <v>18</v>
      </c>
      <c r="G39" s="4" t="s">
        <v>12</v>
      </c>
      <c r="H39" s="4" t="s">
        <v>13</v>
      </c>
      <c r="I39" s="4" t="s">
        <v>151</v>
      </c>
    </row>
    <row r="40" spans="1:9" x14ac:dyDescent="0.3">
      <c r="A40" s="4" t="s">
        <v>152</v>
      </c>
      <c r="B40" s="4" t="s">
        <v>153</v>
      </c>
      <c r="C40" s="4" t="s">
        <v>39</v>
      </c>
      <c r="D40" s="6">
        <f>420779.93*0</f>
        <v>0</v>
      </c>
      <c r="E40" s="4" t="s">
        <v>10</v>
      </c>
      <c r="F40" s="4" t="s">
        <v>112</v>
      </c>
      <c r="G40" s="4" t="s">
        <v>12</v>
      </c>
      <c r="H40" s="4" t="s">
        <v>13</v>
      </c>
      <c r="I40" s="4" t="s">
        <v>154</v>
      </c>
    </row>
    <row r="41" spans="1:9" x14ac:dyDescent="0.3">
      <c r="A41" s="4" t="s">
        <v>152</v>
      </c>
      <c r="B41" s="4" t="s">
        <v>155</v>
      </c>
      <c r="C41" s="4" t="s">
        <v>9</v>
      </c>
      <c r="D41" s="5">
        <v>494051.83</v>
      </c>
      <c r="E41" s="4" t="s">
        <v>10</v>
      </c>
      <c r="F41" s="4" t="s">
        <v>11</v>
      </c>
      <c r="G41" s="4" t="s">
        <v>12</v>
      </c>
      <c r="H41" s="4" t="s">
        <v>13</v>
      </c>
      <c r="I41" s="4" t="s">
        <v>156</v>
      </c>
    </row>
    <row r="42" spans="1:9" x14ac:dyDescent="0.3">
      <c r="A42" s="4" t="s">
        <v>157</v>
      </c>
      <c r="B42" s="4" t="s">
        <v>158</v>
      </c>
      <c r="C42" s="4" t="s">
        <v>39</v>
      </c>
      <c r="D42" s="6">
        <f>263678.28*0</f>
        <v>0</v>
      </c>
      <c r="E42" s="4" t="s">
        <v>10</v>
      </c>
      <c r="F42" s="4" t="s">
        <v>112</v>
      </c>
      <c r="G42" s="4" t="s">
        <v>12</v>
      </c>
      <c r="H42" s="4" t="s">
        <v>13</v>
      </c>
      <c r="I42" s="4" t="s">
        <v>159</v>
      </c>
    </row>
    <row r="43" spans="1:9" x14ac:dyDescent="0.3">
      <c r="A43" s="4" t="s">
        <v>160</v>
      </c>
      <c r="B43" s="4" t="s">
        <v>161</v>
      </c>
      <c r="C43" s="4" t="s">
        <v>39</v>
      </c>
      <c r="D43" s="6">
        <f>65730.59*0</f>
        <v>0</v>
      </c>
      <c r="E43" s="4" t="s">
        <v>10</v>
      </c>
      <c r="F43" s="4" t="s">
        <v>112</v>
      </c>
      <c r="G43" s="4" t="s">
        <v>12</v>
      </c>
      <c r="H43" s="4" t="s">
        <v>13</v>
      </c>
      <c r="I43" s="4" t="s">
        <v>162</v>
      </c>
    </row>
    <row r="44" spans="1:9" x14ac:dyDescent="0.3">
      <c r="A44" s="4" t="s">
        <v>163</v>
      </c>
      <c r="B44" s="4" t="s">
        <v>164</v>
      </c>
      <c r="C44" s="4" t="s">
        <v>39</v>
      </c>
      <c r="D44" s="5">
        <v>433423.81</v>
      </c>
      <c r="E44" s="4" t="s">
        <v>10</v>
      </c>
      <c r="F44" s="4" t="s">
        <v>112</v>
      </c>
      <c r="G44" s="4" t="s">
        <v>12</v>
      </c>
      <c r="H44" s="4" t="s">
        <v>13</v>
      </c>
      <c r="I44" s="4" t="s">
        <v>165</v>
      </c>
    </row>
    <row r="45" spans="1:9" x14ac:dyDescent="0.3">
      <c r="A45" s="4" t="s">
        <v>166</v>
      </c>
      <c r="B45" s="4" t="s">
        <v>167</v>
      </c>
      <c r="C45" s="4" t="s">
        <v>17</v>
      </c>
      <c r="D45" s="5">
        <v>178615.2</v>
      </c>
      <c r="E45" s="4" t="s">
        <v>10</v>
      </c>
      <c r="F45" s="4" t="s">
        <v>18</v>
      </c>
      <c r="G45" s="4" t="s">
        <v>12</v>
      </c>
      <c r="H45" s="4" t="s">
        <v>13</v>
      </c>
      <c r="I45" s="4" t="s">
        <v>168</v>
      </c>
    </row>
    <row r="46" spans="1:9" x14ac:dyDescent="0.3">
      <c r="A46" s="4" t="s">
        <v>169</v>
      </c>
      <c r="B46" s="4" t="s">
        <v>170</v>
      </c>
      <c r="C46" s="4" t="s">
        <v>17</v>
      </c>
      <c r="D46" s="5">
        <v>75000</v>
      </c>
      <c r="E46" s="4" t="s">
        <v>10</v>
      </c>
      <c r="F46" s="4" t="s">
        <v>18</v>
      </c>
      <c r="G46" s="4" t="s">
        <v>12</v>
      </c>
      <c r="H46" s="4" t="s">
        <v>13</v>
      </c>
      <c r="I46" s="4" t="s">
        <v>171</v>
      </c>
    </row>
    <row r="47" spans="1:9" x14ac:dyDescent="0.3">
      <c r="A47" s="4" t="s">
        <v>172</v>
      </c>
      <c r="B47" s="4" t="s">
        <v>173</v>
      </c>
      <c r="C47" s="4" t="s">
        <v>17</v>
      </c>
      <c r="D47" s="5">
        <v>88000</v>
      </c>
      <c r="E47" s="4" t="s">
        <v>10</v>
      </c>
      <c r="F47" s="4" t="s">
        <v>18</v>
      </c>
      <c r="G47" s="4" t="s">
        <v>12</v>
      </c>
      <c r="H47" s="4" t="s">
        <v>13</v>
      </c>
      <c r="I47" s="4" t="s">
        <v>174</v>
      </c>
    </row>
    <row r="48" spans="1:9" x14ac:dyDescent="0.3">
      <c r="A48" s="4" t="s">
        <v>175</v>
      </c>
      <c r="B48" s="4" t="s">
        <v>176</v>
      </c>
      <c r="C48" s="4" t="s">
        <v>17</v>
      </c>
      <c r="D48" s="5">
        <v>72180</v>
      </c>
      <c r="E48" s="4" t="s">
        <v>10</v>
      </c>
      <c r="F48" s="4" t="s">
        <v>18</v>
      </c>
      <c r="G48" s="4" t="s">
        <v>12</v>
      </c>
      <c r="H48" s="4" t="s">
        <v>13</v>
      </c>
      <c r="I48" s="4" t="s">
        <v>177</v>
      </c>
    </row>
    <row r="49" spans="1:9" x14ac:dyDescent="0.3">
      <c r="A49" s="4" t="s">
        <v>178</v>
      </c>
      <c r="B49" s="4" t="s">
        <v>179</v>
      </c>
      <c r="C49" s="4" t="s">
        <v>17</v>
      </c>
      <c r="D49" s="5">
        <v>182372</v>
      </c>
      <c r="E49" s="4" t="s">
        <v>10</v>
      </c>
      <c r="F49" s="4" t="s">
        <v>18</v>
      </c>
      <c r="G49" s="4" t="s">
        <v>12</v>
      </c>
      <c r="H49" s="4" t="s">
        <v>13</v>
      </c>
      <c r="I49" s="4" t="s">
        <v>180</v>
      </c>
    </row>
    <row r="50" spans="1:9" x14ac:dyDescent="0.3">
      <c r="A50" s="4" t="s">
        <v>181</v>
      </c>
      <c r="B50" s="4" t="s">
        <v>182</v>
      </c>
      <c r="C50" s="4" t="s">
        <v>23</v>
      </c>
      <c r="D50" s="5">
        <v>325074.25</v>
      </c>
      <c r="E50" s="4" t="s">
        <v>10</v>
      </c>
      <c r="F50" s="4" t="s">
        <v>24</v>
      </c>
      <c r="G50" s="4" t="s">
        <v>12</v>
      </c>
      <c r="H50" s="4" t="s">
        <v>13</v>
      </c>
      <c r="I50" s="4" t="s">
        <v>183</v>
      </c>
    </row>
    <row r="51" spans="1:9" x14ac:dyDescent="0.3">
      <c r="A51" s="4" t="s">
        <v>184</v>
      </c>
      <c r="B51" s="4" t="s">
        <v>185</v>
      </c>
      <c r="C51" s="4" t="s">
        <v>23</v>
      </c>
      <c r="D51" s="5">
        <v>1846546.36</v>
      </c>
      <c r="E51" s="4" t="s">
        <v>10</v>
      </c>
      <c r="F51" s="4" t="s">
        <v>24</v>
      </c>
      <c r="G51" s="4" t="s">
        <v>12</v>
      </c>
      <c r="H51" s="4" t="s">
        <v>13</v>
      </c>
      <c r="I51" s="4" t="s">
        <v>186</v>
      </c>
    </row>
    <row r="52" spans="1:9" x14ac:dyDescent="0.3">
      <c r="A52" s="4" t="s">
        <v>187</v>
      </c>
      <c r="B52" s="4" t="s">
        <v>188</v>
      </c>
      <c r="C52" s="4" t="s">
        <v>17</v>
      </c>
      <c r="D52" s="5">
        <v>151884.95000000001</v>
      </c>
      <c r="E52" s="4" t="s">
        <v>10</v>
      </c>
      <c r="F52" s="4" t="s">
        <v>18</v>
      </c>
      <c r="G52" s="4" t="s">
        <v>12</v>
      </c>
      <c r="H52" s="4" t="s">
        <v>13</v>
      </c>
      <c r="I52" s="4" t="s">
        <v>189</v>
      </c>
    </row>
    <row r="53" spans="1:9" x14ac:dyDescent="0.3">
      <c r="A53" s="4" t="s">
        <v>190</v>
      </c>
      <c r="B53" s="4" t="s">
        <v>191</v>
      </c>
      <c r="C53" s="4" t="s">
        <v>25</v>
      </c>
      <c r="D53" s="5">
        <v>1416306.48</v>
      </c>
      <c r="E53" s="4" t="s">
        <v>10</v>
      </c>
      <c r="F53" s="4" t="s">
        <v>26</v>
      </c>
      <c r="G53" s="4" t="s">
        <v>12</v>
      </c>
      <c r="H53" s="4" t="s">
        <v>13</v>
      </c>
      <c r="I53" s="4" t="s">
        <v>35</v>
      </c>
    </row>
    <row r="54" spans="1:9" x14ac:dyDescent="0.3">
      <c r="A54" s="4" t="s">
        <v>192</v>
      </c>
      <c r="B54" s="4" t="s">
        <v>193</v>
      </c>
      <c r="C54" s="4" t="s">
        <v>25</v>
      </c>
      <c r="D54" s="5">
        <v>530072.61</v>
      </c>
      <c r="E54" s="4" t="s">
        <v>10</v>
      </c>
      <c r="F54" s="4" t="s">
        <v>26</v>
      </c>
      <c r="G54" s="4" t="s">
        <v>12</v>
      </c>
      <c r="H54" s="4" t="s">
        <v>13</v>
      </c>
      <c r="I54" s="4" t="s">
        <v>27</v>
      </c>
    </row>
    <row r="55" spans="1:9" x14ac:dyDescent="0.3">
      <c r="A55" s="4" t="s">
        <v>194</v>
      </c>
      <c r="B55" s="4" t="s">
        <v>195</v>
      </c>
      <c r="C55" s="4" t="s">
        <v>17</v>
      </c>
      <c r="D55" s="5">
        <v>116225.5</v>
      </c>
      <c r="E55" s="4" t="s">
        <v>10</v>
      </c>
      <c r="F55" s="4" t="s">
        <v>18</v>
      </c>
      <c r="G55" s="4" t="s">
        <v>12</v>
      </c>
      <c r="H55" s="4" t="s">
        <v>13</v>
      </c>
      <c r="I55" s="4" t="s">
        <v>196</v>
      </c>
    </row>
    <row r="56" spans="1:9" x14ac:dyDescent="0.3">
      <c r="A56" s="4" t="s">
        <v>197</v>
      </c>
      <c r="B56" s="4" t="s">
        <v>198</v>
      </c>
      <c r="C56" s="4" t="s">
        <v>17</v>
      </c>
      <c r="D56" s="5">
        <v>44000</v>
      </c>
      <c r="E56" s="4" t="s">
        <v>10</v>
      </c>
      <c r="F56" s="4" t="s">
        <v>18</v>
      </c>
      <c r="G56" s="4" t="s">
        <v>12</v>
      </c>
      <c r="H56" s="4" t="s">
        <v>13</v>
      </c>
      <c r="I56" s="4" t="s">
        <v>199</v>
      </c>
    </row>
    <row r="57" spans="1:9" x14ac:dyDescent="0.3">
      <c r="A57" s="4" t="s">
        <v>200</v>
      </c>
      <c r="B57" s="4" t="s">
        <v>201</v>
      </c>
      <c r="C57" s="4" t="s">
        <v>17</v>
      </c>
      <c r="D57" s="5">
        <v>80250</v>
      </c>
      <c r="E57" s="4" t="s">
        <v>10</v>
      </c>
      <c r="F57" s="4" t="s">
        <v>18</v>
      </c>
      <c r="G57" s="4" t="s">
        <v>12</v>
      </c>
      <c r="H57" s="4" t="s">
        <v>13</v>
      </c>
      <c r="I57" s="4" t="s">
        <v>202</v>
      </c>
    </row>
    <row r="58" spans="1:9" x14ac:dyDescent="0.3">
      <c r="A58" s="4" t="s">
        <v>203</v>
      </c>
      <c r="B58" s="4" t="s">
        <v>204</v>
      </c>
      <c r="C58" s="4" t="s">
        <v>15</v>
      </c>
      <c r="D58" s="5">
        <v>858855.97</v>
      </c>
      <c r="E58" s="4" t="s">
        <v>10</v>
      </c>
      <c r="F58" s="4" t="s">
        <v>19</v>
      </c>
      <c r="G58" s="4" t="s">
        <v>12</v>
      </c>
      <c r="H58" s="4" t="s">
        <v>13</v>
      </c>
      <c r="I58" s="4" t="s">
        <v>205</v>
      </c>
    </row>
    <row r="59" spans="1:9" x14ac:dyDescent="0.3">
      <c r="A59" s="4" t="s">
        <v>203</v>
      </c>
      <c r="B59" s="4" t="s">
        <v>206</v>
      </c>
      <c r="C59" s="4" t="s">
        <v>15</v>
      </c>
      <c r="D59" s="5">
        <v>623405.12</v>
      </c>
      <c r="E59" s="4" t="s">
        <v>10</v>
      </c>
      <c r="F59" s="4" t="s">
        <v>19</v>
      </c>
      <c r="G59" s="4" t="s">
        <v>12</v>
      </c>
      <c r="H59" s="4" t="s">
        <v>13</v>
      </c>
      <c r="I59" s="4" t="s">
        <v>207</v>
      </c>
    </row>
    <row r="60" spans="1:9" x14ac:dyDescent="0.3">
      <c r="A60" s="4" t="s">
        <v>203</v>
      </c>
      <c r="B60" s="4" t="s">
        <v>208</v>
      </c>
      <c r="C60" s="4" t="s">
        <v>15</v>
      </c>
      <c r="D60" s="5">
        <v>570648.81999999995</v>
      </c>
      <c r="E60" s="4" t="s">
        <v>10</v>
      </c>
      <c r="F60" s="4" t="s">
        <v>19</v>
      </c>
      <c r="G60" s="4" t="s">
        <v>12</v>
      </c>
      <c r="H60" s="4" t="s">
        <v>13</v>
      </c>
      <c r="I60" s="4" t="s">
        <v>209</v>
      </c>
    </row>
    <row r="61" spans="1:9" x14ac:dyDescent="0.3">
      <c r="A61" s="4" t="s">
        <v>203</v>
      </c>
      <c r="B61" s="4" t="s">
        <v>210</v>
      </c>
      <c r="C61" s="4" t="s">
        <v>15</v>
      </c>
      <c r="D61" s="5">
        <v>879169.39</v>
      </c>
      <c r="E61" s="4" t="s">
        <v>10</v>
      </c>
      <c r="F61" s="4" t="s">
        <v>19</v>
      </c>
      <c r="G61" s="4" t="s">
        <v>12</v>
      </c>
      <c r="H61" s="4" t="s">
        <v>13</v>
      </c>
      <c r="I61" s="4" t="s">
        <v>211</v>
      </c>
    </row>
    <row r="62" spans="1:9" x14ac:dyDescent="0.3">
      <c r="A62" s="4" t="s">
        <v>212</v>
      </c>
      <c r="B62" s="4" t="s">
        <v>213</v>
      </c>
      <c r="C62" s="4" t="s">
        <v>23</v>
      </c>
      <c r="D62" s="5">
        <v>164217.67000000001</v>
      </c>
      <c r="E62" s="4" t="s">
        <v>10</v>
      </c>
      <c r="F62" s="4" t="s">
        <v>24</v>
      </c>
      <c r="G62" s="4" t="s">
        <v>12</v>
      </c>
      <c r="H62" s="4" t="s">
        <v>13</v>
      </c>
      <c r="I62" s="4" t="s">
        <v>214</v>
      </c>
    </row>
    <row r="63" spans="1:9" x14ac:dyDescent="0.3">
      <c r="A63" s="4" t="s">
        <v>215</v>
      </c>
      <c r="B63" s="4" t="s">
        <v>216</v>
      </c>
      <c r="C63" s="4" t="s">
        <v>23</v>
      </c>
      <c r="D63" s="5">
        <v>655585.96</v>
      </c>
      <c r="E63" s="4" t="s">
        <v>10</v>
      </c>
      <c r="F63" s="4" t="s">
        <v>24</v>
      </c>
      <c r="G63" s="4" t="s">
        <v>12</v>
      </c>
      <c r="H63" s="4" t="s">
        <v>13</v>
      </c>
      <c r="I63" s="4" t="s">
        <v>217</v>
      </c>
    </row>
    <row r="64" spans="1:9" x14ac:dyDescent="0.3">
      <c r="A64" s="4" t="s">
        <v>218</v>
      </c>
      <c r="B64" s="4" t="s">
        <v>219</v>
      </c>
      <c r="C64" s="4" t="s">
        <v>23</v>
      </c>
      <c r="D64" s="5">
        <v>77060.929999999993</v>
      </c>
      <c r="E64" s="4" t="s">
        <v>10</v>
      </c>
      <c r="F64" s="4" t="s">
        <v>24</v>
      </c>
      <c r="G64" s="4" t="s">
        <v>12</v>
      </c>
      <c r="H64" s="4" t="s">
        <v>13</v>
      </c>
      <c r="I64" s="4" t="s">
        <v>220</v>
      </c>
    </row>
    <row r="65" spans="1:9" x14ac:dyDescent="0.3">
      <c r="A65" s="4" t="s">
        <v>221</v>
      </c>
      <c r="B65" s="4" t="s">
        <v>222</v>
      </c>
      <c r="C65" s="4" t="s">
        <v>23</v>
      </c>
      <c r="D65" s="5">
        <v>601427.88</v>
      </c>
      <c r="E65" s="4" t="s">
        <v>10</v>
      </c>
      <c r="F65" s="4" t="s">
        <v>24</v>
      </c>
      <c r="G65" s="4" t="s">
        <v>12</v>
      </c>
      <c r="H65" s="4" t="s">
        <v>13</v>
      </c>
      <c r="I65" s="4" t="s">
        <v>223</v>
      </c>
    </row>
    <row r="66" spans="1:9" x14ac:dyDescent="0.3">
      <c r="A66" s="4" t="s">
        <v>224</v>
      </c>
      <c r="B66" s="4" t="s">
        <v>225</v>
      </c>
      <c r="C66" s="4" t="s">
        <v>23</v>
      </c>
      <c r="D66" s="5">
        <v>17857.32</v>
      </c>
      <c r="E66" s="4" t="s">
        <v>10</v>
      </c>
      <c r="F66" s="4" t="s">
        <v>24</v>
      </c>
      <c r="G66" s="4" t="s">
        <v>12</v>
      </c>
      <c r="H66" s="4" t="s">
        <v>13</v>
      </c>
      <c r="I66" s="4" t="s">
        <v>226</v>
      </c>
    </row>
    <row r="67" spans="1:9" x14ac:dyDescent="0.3">
      <c r="A67" s="4" t="s">
        <v>227</v>
      </c>
      <c r="B67" s="4" t="s">
        <v>228</v>
      </c>
      <c r="C67" s="4" t="s">
        <v>23</v>
      </c>
      <c r="D67" s="5">
        <v>58953.26</v>
      </c>
      <c r="E67" s="4" t="s">
        <v>10</v>
      </c>
      <c r="F67" s="4" t="s">
        <v>24</v>
      </c>
      <c r="G67" s="4" t="s">
        <v>12</v>
      </c>
      <c r="H67" s="4" t="s">
        <v>13</v>
      </c>
      <c r="I67" s="4" t="s">
        <v>229</v>
      </c>
    </row>
    <row r="68" spans="1:9" x14ac:dyDescent="0.3">
      <c r="A68" s="4" t="s">
        <v>230</v>
      </c>
      <c r="B68" s="4" t="s">
        <v>231</v>
      </c>
      <c r="C68" s="4" t="s">
        <v>23</v>
      </c>
      <c r="D68" s="5">
        <v>1432.74</v>
      </c>
      <c r="E68" s="4" t="s">
        <v>10</v>
      </c>
      <c r="F68" s="4" t="s">
        <v>24</v>
      </c>
      <c r="G68" s="4" t="s">
        <v>12</v>
      </c>
      <c r="H68" s="4" t="s">
        <v>13</v>
      </c>
      <c r="I68" s="4" t="s">
        <v>232</v>
      </c>
    </row>
    <row r="69" spans="1:9" x14ac:dyDescent="0.3">
      <c r="A69" s="4" t="s">
        <v>233</v>
      </c>
      <c r="B69" s="4" t="s">
        <v>234</v>
      </c>
      <c r="C69" s="4" t="s">
        <v>23</v>
      </c>
      <c r="D69" s="5">
        <v>109922.44</v>
      </c>
      <c r="E69" s="4" t="s">
        <v>10</v>
      </c>
      <c r="F69" s="4" t="s">
        <v>24</v>
      </c>
      <c r="G69" s="4" t="s">
        <v>12</v>
      </c>
      <c r="H69" s="4" t="s">
        <v>13</v>
      </c>
      <c r="I69" s="4" t="s">
        <v>235</v>
      </c>
    </row>
    <row r="70" spans="1:9" x14ac:dyDescent="0.3">
      <c r="A70" s="4" t="s">
        <v>236</v>
      </c>
      <c r="B70" s="4" t="s">
        <v>237</v>
      </c>
      <c r="C70" s="4" t="s">
        <v>23</v>
      </c>
      <c r="D70" s="5">
        <v>112330.6</v>
      </c>
      <c r="E70" s="4" t="s">
        <v>10</v>
      </c>
      <c r="F70" s="4" t="s">
        <v>24</v>
      </c>
      <c r="G70" s="4" t="s">
        <v>12</v>
      </c>
      <c r="H70" s="4" t="s">
        <v>13</v>
      </c>
      <c r="I70" s="4" t="s">
        <v>238</v>
      </c>
    </row>
    <row r="71" spans="1:9" x14ac:dyDescent="0.3">
      <c r="A71" s="4" t="s">
        <v>239</v>
      </c>
      <c r="B71" s="4" t="s">
        <v>240</v>
      </c>
      <c r="C71" s="4" t="s">
        <v>23</v>
      </c>
      <c r="D71" s="5">
        <v>21312.65</v>
      </c>
      <c r="E71" s="4" t="s">
        <v>10</v>
      </c>
      <c r="F71" s="4" t="s">
        <v>24</v>
      </c>
      <c r="G71" s="4" t="s">
        <v>12</v>
      </c>
      <c r="H71" s="4" t="s">
        <v>13</v>
      </c>
      <c r="I71" s="4" t="s">
        <v>241</v>
      </c>
    </row>
    <row r="72" spans="1:9" x14ac:dyDescent="0.3">
      <c r="A72" s="4" t="s">
        <v>242</v>
      </c>
      <c r="B72" s="4" t="s">
        <v>243</v>
      </c>
      <c r="C72" s="4" t="s">
        <v>25</v>
      </c>
      <c r="D72" s="5">
        <v>1248915.05</v>
      </c>
      <c r="E72" s="4" t="s">
        <v>10</v>
      </c>
      <c r="F72" s="4" t="s">
        <v>26</v>
      </c>
      <c r="G72" s="4" t="s">
        <v>12</v>
      </c>
      <c r="H72" s="4" t="s">
        <v>13</v>
      </c>
      <c r="I72" s="4" t="s">
        <v>36</v>
      </c>
    </row>
    <row r="73" spans="1:9" x14ac:dyDescent="0.3">
      <c r="A73" s="4" t="s">
        <v>244</v>
      </c>
      <c r="B73" s="4" t="s">
        <v>245</v>
      </c>
      <c r="C73" s="4" t="s">
        <v>25</v>
      </c>
      <c r="D73" s="5">
        <v>1371710.92</v>
      </c>
      <c r="E73" s="4" t="s">
        <v>10</v>
      </c>
      <c r="F73" s="4" t="s">
        <v>26</v>
      </c>
      <c r="G73" s="4" t="s">
        <v>12</v>
      </c>
      <c r="H73" s="4" t="s">
        <v>13</v>
      </c>
      <c r="I73" s="4" t="s">
        <v>20</v>
      </c>
    </row>
    <row r="74" spans="1:9" x14ac:dyDescent="0.3">
      <c r="D74" s="1">
        <f>SUM(D2:D73)</f>
        <v>23709288.240000002</v>
      </c>
    </row>
    <row r="75" spans="1:9" x14ac:dyDescent="0.3">
      <c r="D75" s="8">
        <f>D74-D85</f>
        <v>0</v>
      </c>
    </row>
    <row r="77" spans="1:9" x14ac:dyDescent="0.3">
      <c r="C77" t="s">
        <v>30</v>
      </c>
      <c r="D77" s="1">
        <f>D27</f>
        <v>156523.13</v>
      </c>
    </row>
    <row r="78" spans="1:9" x14ac:dyDescent="0.3">
      <c r="C78" t="s">
        <v>31</v>
      </c>
      <c r="D78" s="1">
        <f>D2+D3+D4+D5+D26+D28+D29+D30+D31+D32+D33+D34+D35+D36+D58+D59+D61+D60</f>
        <v>9711793.7599999998</v>
      </c>
    </row>
    <row r="79" spans="1:9" x14ac:dyDescent="0.3">
      <c r="C79" t="s">
        <v>33</v>
      </c>
      <c r="D79" s="1">
        <f>D50+D51+D62+D63+D64+D65+D67+D66+D68+D69+D70+D71</f>
        <v>3991722.06</v>
      </c>
    </row>
    <row r="80" spans="1:9" x14ac:dyDescent="0.3">
      <c r="C80" t="s">
        <v>40</v>
      </c>
      <c r="D80" s="1">
        <f>D24+D25+D44</f>
        <v>681441.53</v>
      </c>
    </row>
    <row r="81" spans="1:10" x14ac:dyDescent="0.3">
      <c r="C81" t="s">
        <v>34</v>
      </c>
      <c r="D81" s="1">
        <f>D22+D23</f>
        <v>1154906</v>
      </c>
    </row>
    <row r="82" spans="1:10" x14ac:dyDescent="0.3">
      <c r="C82" t="s">
        <v>29</v>
      </c>
      <c r="D82" s="1">
        <f>D6+D7+D8+D9+D10+D11+D12+D13+D14+D15+D16+D17+D18+D19+D20+D21+D38+D37+D39+D45+D46+D48+D47+D49+D52+D55+D56+D57</f>
        <v>2951844.87</v>
      </c>
    </row>
    <row r="83" spans="1:10" x14ac:dyDescent="0.3">
      <c r="C83" t="s">
        <v>32</v>
      </c>
      <c r="D83" s="1">
        <f>D53+D54+D72+D73</f>
        <v>4567005.0599999996</v>
      </c>
    </row>
    <row r="84" spans="1:10" x14ac:dyDescent="0.3">
      <c r="C84" t="s">
        <v>28</v>
      </c>
      <c r="D84" s="1">
        <f>D41</f>
        <v>494051.83</v>
      </c>
    </row>
    <row r="85" spans="1:10" x14ac:dyDescent="0.3">
      <c r="C85" s="7" t="s">
        <v>37</v>
      </c>
      <c r="D85" s="2">
        <f>SUM(D77:D84)</f>
        <v>23709288.239999998</v>
      </c>
    </row>
    <row r="87" spans="1:10" x14ac:dyDescent="0.3">
      <c r="A87" s="9" t="s">
        <v>0</v>
      </c>
      <c r="B87" s="9" t="s">
        <v>1</v>
      </c>
      <c r="C87" s="9" t="s">
        <v>246</v>
      </c>
      <c r="D87" s="9" t="s">
        <v>3</v>
      </c>
      <c r="E87" s="9" t="s">
        <v>4</v>
      </c>
      <c r="F87" s="9" t="s">
        <v>2</v>
      </c>
      <c r="G87" s="9" t="s">
        <v>247</v>
      </c>
      <c r="H87" s="9" t="s">
        <v>6</v>
      </c>
      <c r="I87" s="9" t="s">
        <v>7</v>
      </c>
      <c r="J87" s="9" t="s">
        <v>8</v>
      </c>
    </row>
    <row r="88" spans="1:10" x14ac:dyDescent="0.3">
      <c r="A88" s="4" t="s">
        <v>251</v>
      </c>
      <c r="B88" s="4" t="s">
        <v>252</v>
      </c>
      <c r="C88" s="4" t="s">
        <v>38</v>
      </c>
      <c r="D88" s="11">
        <v>11794476.07</v>
      </c>
      <c r="E88" s="4" t="s">
        <v>10</v>
      </c>
      <c r="F88" s="4" t="s">
        <v>39</v>
      </c>
      <c r="G88" s="4" t="s">
        <v>40</v>
      </c>
      <c r="H88" s="4" t="s">
        <v>12</v>
      </c>
      <c r="I88" s="4" t="s">
        <v>14</v>
      </c>
      <c r="J88" s="4" t="s">
        <v>250</v>
      </c>
    </row>
    <row r="89" spans="1:10" x14ac:dyDescent="0.3">
      <c r="A89" s="4" t="s">
        <v>253</v>
      </c>
      <c r="B89" s="4" t="s">
        <v>254</v>
      </c>
      <c r="C89" s="4" t="s">
        <v>38</v>
      </c>
      <c r="D89" s="11">
        <v>169557.05</v>
      </c>
      <c r="E89" s="4" t="s">
        <v>10</v>
      </c>
      <c r="F89" s="4" t="s">
        <v>39</v>
      </c>
      <c r="G89" s="4" t="s">
        <v>40</v>
      </c>
      <c r="H89" s="4" t="s">
        <v>12</v>
      </c>
      <c r="I89" s="4" t="s">
        <v>14</v>
      </c>
      <c r="J89" s="4" t="s">
        <v>250</v>
      </c>
    </row>
    <row r="90" spans="1:10" x14ac:dyDescent="0.3">
      <c r="A90" s="4" t="s">
        <v>255</v>
      </c>
      <c r="B90" s="4" t="s">
        <v>256</v>
      </c>
      <c r="C90" s="4" t="s">
        <v>38</v>
      </c>
      <c r="D90" s="11">
        <v>27927</v>
      </c>
      <c r="E90" s="4" t="s">
        <v>10</v>
      </c>
      <c r="F90" s="4" t="s">
        <v>21</v>
      </c>
      <c r="G90" s="4" t="s">
        <v>34</v>
      </c>
      <c r="H90" s="4" t="s">
        <v>12</v>
      </c>
      <c r="I90" s="4" t="s">
        <v>13</v>
      </c>
      <c r="J90" s="4"/>
    </row>
    <row r="91" spans="1:10" x14ac:dyDescent="0.3">
      <c r="A91" s="4" t="s">
        <v>257</v>
      </c>
      <c r="B91" s="4" t="s">
        <v>258</v>
      </c>
      <c r="C91" s="4" t="s">
        <v>38</v>
      </c>
      <c r="D91" s="11">
        <v>37236</v>
      </c>
      <c r="E91" s="4" t="s">
        <v>10</v>
      </c>
      <c r="F91" s="4" t="s">
        <v>21</v>
      </c>
      <c r="G91" s="4" t="s">
        <v>34</v>
      </c>
      <c r="H91" s="4" t="s">
        <v>12</v>
      </c>
      <c r="I91" s="4" t="s">
        <v>13</v>
      </c>
      <c r="J91" s="4"/>
    </row>
    <row r="92" spans="1:10" x14ac:dyDescent="0.3">
      <c r="A92" s="4" t="s">
        <v>259</v>
      </c>
      <c r="B92" s="4" t="s">
        <v>260</v>
      </c>
      <c r="C92" s="4" t="s">
        <v>38</v>
      </c>
      <c r="D92" s="11">
        <v>127736.6</v>
      </c>
      <c r="E92" s="4" t="s">
        <v>10</v>
      </c>
      <c r="F92" s="4" t="s">
        <v>21</v>
      </c>
      <c r="G92" s="4" t="s">
        <v>34</v>
      </c>
      <c r="H92" s="4" t="s">
        <v>12</v>
      </c>
      <c r="I92" s="4" t="s">
        <v>13</v>
      </c>
      <c r="J92" s="4"/>
    </row>
    <row r="93" spans="1:10" x14ac:dyDescent="0.3">
      <c r="A93" s="4" t="s">
        <v>261</v>
      </c>
      <c r="B93" s="4" t="s">
        <v>262</v>
      </c>
      <c r="C93" s="4" t="s">
        <v>38</v>
      </c>
      <c r="D93" s="11">
        <v>103351.3</v>
      </c>
      <c r="E93" s="4" t="s">
        <v>10</v>
      </c>
      <c r="F93" s="4" t="s">
        <v>21</v>
      </c>
      <c r="G93" s="4" t="s">
        <v>34</v>
      </c>
      <c r="H93" s="4" t="s">
        <v>12</v>
      </c>
      <c r="I93" s="4" t="s">
        <v>13</v>
      </c>
      <c r="J93" s="4"/>
    </row>
    <row r="94" spans="1:10" x14ac:dyDescent="0.3">
      <c r="A94" s="4" t="s">
        <v>263</v>
      </c>
      <c r="B94" s="4" t="s">
        <v>264</v>
      </c>
      <c r="C94" s="4" t="s">
        <v>38</v>
      </c>
      <c r="D94" s="11">
        <v>294785</v>
      </c>
      <c r="E94" s="4" t="s">
        <v>10</v>
      </c>
      <c r="F94" s="4" t="s">
        <v>21</v>
      </c>
      <c r="G94" s="4" t="s">
        <v>34</v>
      </c>
      <c r="H94" s="4" t="s">
        <v>12</v>
      </c>
      <c r="I94" s="4" t="s">
        <v>13</v>
      </c>
      <c r="J94" s="4"/>
    </row>
    <row r="95" spans="1:10" x14ac:dyDescent="0.3">
      <c r="A95" s="4" t="s">
        <v>265</v>
      </c>
      <c r="B95" s="4" t="s">
        <v>266</v>
      </c>
      <c r="C95" s="4" t="s">
        <v>38</v>
      </c>
      <c r="D95" s="11">
        <v>27927</v>
      </c>
      <c r="E95" s="4" t="s">
        <v>10</v>
      </c>
      <c r="F95" s="4" t="s">
        <v>21</v>
      </c>
      <c r="G95" s="4" t="s">
        <v>34</v>
      </c>
      <c r="H95" s="4" t="s">
        <v>12</v>
      </c>
      <c r="I95" s="4" t="s">
        <v>13</v>
      </c>
      <c r="J95" s="4"/>
    </row>
    <row r="96" spans="1:10" x14ac:dyDescent="0.3">
      <c r="A96" s="4" t="s">
        <v>269</v>
      </c>
      <c r="B96" s="4" t="s">
        <v>270</v>
      </c>
      <c r="C96" s="4" t="s">
        <v>38</v>
      </c>
      <c r="D96" s="11">
        <v>113355.8</v>
      </c>
      <c r="E96" s="4" t="s">
        <v>10</v>
      </c>
      <c r="F96" s="4" t="s">
        <v>21</v>
      </c>
      <c r="G96" s="4" t="s">
        <v>34</v>
      </c>
      <c r="H96" s="4" t="s">
        <v>12</v>
      </c>
      <c r="I96" s="4" t="s">
        <v>13</v>
      </c>
      <c r="J96" s="4"/>
    </row>
    <row r="97" spans="1:10" x14ac:dyDescent="0.3">
      <c r="A97" s="4" t="s">
        <v>271</v>
      </c>
      <c r="B97" s="4" t="s">
        <v>272</v>
      </c>
      <c r="C97" s="4" t="s">
        <v>38</v>
      </c>
      <c r="D97" s="11">
        <v>82094.679999999993</v>
      </c>
      <c r="E97" s="4" t="s">
        <v>10</v>
      </c>
      <c r="F97" s="4" t="s">
        <v>21</v>
      </c>
      <c r="G97" s="4" t="s">
        <v>34</v>
      </c>
      <c r="H97" s="4" t="s">
        <v>12</v>
      </c>
      <c r="I97" s="4" t="s">
        <v>13</v>
      </c>
      <c r="J97" s="4"/>
    </row>
    <row r="98" spans="1:10" x14ac:dyDescent="0.3">
      <c r="A98" s="4" t="s">
        <v>273</v>
      </c>
      <c r="B98" s="4" t="s">
        <v>274</v>
      </c>
      <c r="C98" s="4" t="s">
        <v>38</v>
      </c>
      <c r="D98" s="11">
        <v>135714.51999999999</v>
      </c>
      <c r="E98" s="4" t="s">
        <v>10</v>
      </c>
      <c r="F98" s="4" t="s">
        <v>21</v>
      </c>
      <c r="G98" s="4" t="s">
        <v>34</v>
      </c>
      <c r="H98" s="4" t="s">
        <v>12</v>
      </c>
      <c r="I98" s="4" t="s">
        <v>13</v>
      </c>
      <c r="J98" s="4"/>
    </row>
    <row r="99" spans="1:10" x14ac:dyDescent="0.3">
      <c r="A99" s="4" t="s">
        <v>275</v>
      </c>
      <c r="B99" s="4" t="s">
        <v>276</v>
      </c>
      <c r="C99" s="4" t="s">
        <v>38</v>
      </c>
      <c r="D99" s="11">
        <v>83781</v>
      </c>
      <c r="E99" s="4" t="s">
        <v>10</v>
      </c>
      <c r="F99" s="4" t="s">
        <v>21</v>
      </c>
      <c r="G99" s="4" t="s">
        <v>34</v>
      </c>
      <c r="H99" s="4" t="s">
        <v>12</v>
      </c>
      <c r="I99" s="4" t="s">
        <v>13</v>
      </c>
      <c r="J99" s="4"/>
    </row>
    <row r="100" spans="1:10" x14ac:dyDescent="0.3">
      <c r="A100" s="4" t="s">
        <v>277</v>
      </c>
      <c r="B100" s="4" t="s">
        <v>278</v>
      </c>
      <c r="C100" s="4" t="s">
        <v>38</v>
      </c>
      <c r="D100" s="11">
        <v>77831.8</v>
      </c>
      <c r="E100" s="4" t="s">
        <v>10</v>
      </c>
      <c r="F100" s="4" t="s">
        <v>21</v>
      </c>
      <c r="G100" s="4" t="s">
        <v>34</v>
      </c>
      <c r="H100" s="4" t="s">
        <v>12</v>
      </c>
      <c r="I100" s="4" t="s">
        <v>13</v>
      </c>
      <c r="J100" s="4"/>
    </row>
    <row r="101" spans="1:10" x14ac:dyDescent="0.3">
      <c r="A101" s="4" t="s">
        <v>279</v>
      </c>
      <c r="B101" s="4" t="s">
        <v>280</v>
      </c>
      <c r="C101" s="4" t="s">
        <v>38</v>
      </c>
      <c r="D101" s="11">
        <v>381516.26</v>
      </c>
      <c r="E101" s="4" t="s">
        <v>10</v>
      </c>
      <c r="F101" s="4" t="s">
        <v>21</v>
      </c>
      <c r="G101" s="4" t="s">
        <v>34</v>
      </c>
      <c r="H101" s="4" t="s">
        <v>12</v>
      </c>
      <c r="I101" s="4" t="s">
        <v>13</v>
      </c>
      <c r="J101" s="4"/>
    </row>
    <row r="102" spans="1:10" x14ac:dyDescent="0.3">
      <c r="A102" s="4" t="s">
        <v>281</v>
      </c>
      <c r="B102" s="4" t="s">
        <v>282</v>
      </c>
      <c r="C102" s="4" t="s">
        <v>38</v>
      </c>
      <c r="D102" s="11">
        <v>65163</v>
      </c>
      <c r="E102" s="4" t="s">
        <v>10</v>
      </c>
      <c r="F102" s="4" t="s">
        <v>21</v>
      </c>
      <c r="G102" s="4" t="s">
        <v>34</v>
      </c>
      <c r="H102" s="4" t="s">
        <v>12</v>
      </c>
      <c r="I102" s="4" t="s">
        <v>13</v>
      </c>
      <c r="J102" s="4"/>
    </row>
    <row r="103" spans="1:10" x14ac:dyDescent="0.3">
      <c r="A103" s="4" t="s">
        <v>267</v>
      </c>
      <c r="B103" s="4" t="s">
        <v>268</v>
      </c>
      <c r="C103" s="4" t="s">
        <v>38</v>
      </c>
      <c r="D103" s="11">
        <v>199324.59</v>
      </c>
      <c r="E103" s="4" t="s">
        <v>10</v>
      </c>
      <c r="F103" s="4" t="s">
        <v>248</v>
      </c>
      <c r="G103" s="4" t="s">
        <v>249</v>
      </c>
      <c r="H103" s="4" t="s">
        <v>12</v>
      </c>
      <c r="I103" s="4" t="s">
        <v>13</v>
      </c>
      <c r="J103" s="4"/>
    </row>
    <row r="104" spans="1:10" x14ac:dyDescent="0.3">
      <c r="D104" t="s">
        <v>283</v>
      </c>
    </row>
    <row r="105" spans="1:10" x14ac:dyDescent="0.3">
      <c r="D105" s="5">
        <f>7892714.43*1.2</f>
        <v>9471257.3159999996</v>
      </c>
      <c r="F105" s="4" t="s">
        <v>39</v>
      </c>
    </row>
    <row r="106" spans="1:10" x14ac:dyDescent="0.3">
      <c r="D106" s="5">
        <f>122523.4*1.2</f>
        <v>147028.07999999999</v>
      </c>
      <c r="F106" s="4" t="s">
        <v>39</v>
      </c>
    </row>
    <row r="107" spans="1:10" x14ac:dyDescent="0.3">
      <c r="D107" s="10">
        <f>SUM(D105:D106)</f>
        <v>9618285.3959999997</v>
      </c>
    </row>
    <row r="108" spans="1:10" x14ac:dyDescent="0.3">
      <c r="D108" s="5">
        <f>19499.99*1.2</f>
        <v>23399.988000000001</v>
      </c>
      <c r="F108" s="4" t="s">
        <v>21</v>
      </c>
    </row>
    <row r="109" spans="1:10" x14ac:dyDescent="0.3">
      <c r="D109" s="5">
        <f>26000.01*1.2</f>
        <v>31200.011999999995</v>
      </c>
      <c r="F109" s="4" t="s">
        <v>21</v>
      </c>
    </row>
    <row r="110" spans="1:10" x14ac:dyDescent="0.3">
      <c r="D110" s="5">
        <f>96834.75*1.2</f>
        <v>116201.7</v>
      </c>
      <c r="F110" s="4" t="s">
        <v>21</v>
      </c>
    </row>
    <row r="111" spans="1:10" x14ac:dyDescent="0.3">
      <c r="D111" s="5">
        <f>83209.44*1.2</f>
        <v>99851.327999999994</v>
      </c>
      <c r="F111" s="4" t="s">
        <v>21</v>
      </c>
    </row>
    <row r="112" spans="1:10" x14ac:dyDescent="0.3">
      <c r="D112" s="5">
        <v>268004.00400000002</v>
      </c>
      <c r="F112" s="4" t="s">
        <v>21</v>
      </c>
    </row>
    <row r="113" spans="4:6" x14ac:dyDescent="0.3">
      <c r="D113" s="5">
        <v>25389.851999999999</v>
      </c>
      <c r="F113" s="4" t="s">
        <v>21</v>
      </c>
    </row>
    <row r="114" spans="4:6" x14ac:dyDescent="0.3">
      <c r="D114" s="5">
        <v>103017.024</v>
      </c>
      <c r="F114" s="4" t="s">
        <v>21</v>
      </c>
    </row>
    <row r="115" spans="4:6" x14ac:dyDescent="0.3">
      <c r="D115" s="5">
        <v>76110.06</v>
      </c>
      <c r="F115" s="4" t="s">
        <v>21</v>
      </c>
    </row>
    <row r="116" spans="4:6" x14ac:dyDescent="0.3">
      <c r="D116" s="5">
        <v>125882.87999999999</v>
      </c>
      <c r="F116" s="4" t="s">
        <v>21</v>
      </c>
    </row>
    <row r="117" spans="4:6" x14ac:dyDescent="0.3">
      <c r="D117" s="5">
        <v>75732.803999999989</v>
      </c>
      <c r="F117" s="4" t="s">
        <v>21</v>
      </c>
    </row>
    <row r="118" spans="4:6" x14ac:dyDescent="0.3">
      <c r="D118" s="5">
        <v>70543.716</v>
      </c>
      <c r="F118" s="4" t="s">
        <v>21</v>
      </c>
    </row>
    <row r="119" spans="4:6" x14ac:dyDescent="0.3">
      <c r="D119" s="5">
        <v>313943.90399999998</v>
      </c>
      <c r="F119" s="4" t="s">
        <v>21</v>
      </c>
    </row>
    <row r="120" spans="4:6" x14ac:dyDescent="0.3">
      <c r="D120" s="5">
        <v>58903.284</v>
      </c>
      <c r="F120" s="4" t="s">
        <v>21</v>
      </c>
    </row>
    <row r="121" spans="4:6" x14ac:dyDescent="0.3">
      <c r="D121" s="10">
        <f>SUM(D108:D120)</f>
        <v>1388180.5559999999</v>
      </c>
    </row>
    <row r="122" spans="4:6" x14ac:dyDescent="0.3">
      <c r="D122" s="5">
        <v>167850.12</v>
      </c>
      <c r="F122" s="4" t="s">
        <v>248</v>
      </c>
    </row>
    <row r="123" spans="4:6" x14ac:dyDescent="0.3">
      <c r="D123" s="10">
        <f>SUM(D122)</f>
        <v>167850.12</v>
      </c>
    </row>
  </sheetData>
  <autoFilter ref="A1:I75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Акты_Ноябрь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i.steblianko</cp:lastModifiedBy>
  <dcterms:created xsi:type="dcterms:W3CDTF">2024-11-14T12:43:22Z</dcterms:created>
  <dcterms:modified xsi:type="dcterms:W3CDTF">2024-12-19T11:27:52Z</dcterms:modified>
</cp:coreProperties>
</file>
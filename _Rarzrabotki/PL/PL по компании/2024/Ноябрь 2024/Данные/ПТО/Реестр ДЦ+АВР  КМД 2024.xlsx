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Робота (Валя)\КМД\"/>
    </mc:Choice>
  </mc:AlternateContent>
  <bookViews>
    <workbookView xWindow="0" yWindow="-120" windowWidth="28800" windowHeight="12624" tabRatio="564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3" hidden="1">'Реєстр ДЦ '!$A$7:$I$7</definedName>
    <definedName name="_xlnm._FilterDatabase" localSheetId="4" hidden="1">РеєстрАВР!$A$5:$AM$30</definedName>
    <definedName name="_xlnm.Print_Area" localSheetId="5">'10 акт переносится'!$A$2:$Y$72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  <definedName name="_xlnm.Print_Area" localSheetId="3">'Реєстр ДЦ '!$A$2:$I$14</definedName>
    <definedName name="_xlnm.Print_Area" localSheetId="4">РеєстрАВР!$A$1:$L$30</definedName>
  </definedNames>
  <calcPr calcId="152511"/>
</workbook>
</file>

<file path=xl/calcChain.xml><?xml version="1.0" encoding="utf-8"?>
<calcChain xmlns="http://schemas.openxmlformats.org/spreadsheetml/2006/main">
  <c r="E12" i="27" l="1"/>
  <c r="E10" i="27" l="1"/>
  <c r="E13" i="27" l="1"/>
  <c r="F30" i="27" l="1"/>
  <c r="G30" i="27"/>
  <c r="H30" i="27"/>
  <c r="E8" i="27"/>
  <c r="E7" i="27" l="1"/>
  <c r="E11" i="27" l="1"/>
  <c r="E14" i="22" l="1"/>
  <c r="F14" i="22"/>
  <c r="E9" i="27" l="1"/>
  <c r="E6" i="27" l="1"/>
  <c r="D14" i="22" l="1"/>
  <c r="C30" i="27" l="1"/>
  <c r="C14" i="22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<sst xmlns="http://schemas.openxmlformats.org/spreadsheetml/2006/main" count="501" uniqueCount="227">
  <si>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</si>
  <si>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</si>
  <si>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</si>
  <si>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</si>
  <si>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</si>
  <si>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</si>
  <si>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</si>
  <si>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</si>
  <si>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</si>
  <si>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</si>
  <si>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</si>
  <si>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</si>
  <si>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</si>
  <si>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</si>
  <si>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</si>
  <si>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</si>
  <si>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</si>
  <si>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</si>
  <si>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</si>
  <si>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</si>
  <si>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</si>
  <si>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</si>
  <si>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</si>
  <si>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</si>
  <si>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</si>
  <si>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</si>
  <si>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</si>
  <si>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</si>
  <si>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</si>
  <si>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</si>
  <si>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</si>
  <si>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</si>
  <si>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</si>
  <si>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</si>
  <si>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</si>
  <si>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</si>
  <si>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</si>
  <si>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</si>
  <si>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</si>
  <si>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</si>
  <si>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</si>
  <si>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</si>
  <si>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</si>
  <si>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</si>
  <si>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</si>
  <si>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</si>
  <si>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</si>
  <si>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</si>
  <si>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</si>
  <si>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</si>
  <si>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</si>
  <si>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</si>
  <si>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</si>
  <si>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</si>
  <si>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</si>
  <si>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</si>
  <si>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</si>
  <si>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</si>
  <si>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</si>
  <si>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</si>
  <si>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</si>
  <si>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</si>
  <si>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</si>
  <si>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</si>
  <si>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</si>
  <si>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</si>
  <si>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</si>
  <si>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</si>
  <si>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</si>
  <si>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</si>
  <si>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</si>
  <si>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</si>
  <si>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</si>
  <si>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</si>
  <si>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</si>
  <si>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</si>
  <si>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</si>
  <si>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</si>
  <si>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</si>
  <si>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</si>
  <si>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</si>
  <si>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</si>
  <si>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</si>
  <si>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</si>
  <si>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</si>
  <si>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</si>
  <si>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</si>
  <si>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</si>
  <si>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</si>
  <si>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</si>
  <si>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</si>
  <si>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</si>
  <si>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</si>
  <si>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</si>
  <si>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</si>
  <si>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</si>
  <si>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</si>
  <si>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</si>
  <si>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</si>
  <si>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</si>
  <si>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</si>
  <si>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</si>
  <si>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</si>
  <si>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</si>
  <si>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</si>
  <si>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</si>
  <si>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</si>
  <si>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</si>
  <si>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</si>
  <si>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</si>
  <si>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</si>
  <si>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</si>
  <si>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</si>
  <si>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</si>
  <si>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</si>
  <si>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</si>
  <si>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</si>
  <si>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</si>
  <si>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</si>
  <si>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</si>
  <si>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</si>
  <si>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</si>
  <si>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</si>
  <si>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</si>
  <si>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</si>
  <si>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</si>
  <si>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</si>
  <si>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</si>
  <si>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</si>
  <si>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</si>
  <si>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</si>
  <si>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</si>
  <si>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</si>
  <si>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</si>
  <si>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</si>
  <si>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</si>
  <si>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</si>
  <si>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</si>
  <si>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</si>
  <si>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</si>
  <si>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</si>
  <si>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</si>
  <si>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</si>
  <si>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</si>
  <si>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</si>
  <si>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</si>
  <si>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</si>
  <si>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</si>
  <si>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</si>
  <si>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</si>
  <si>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</si>
  <si>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</si>
  <si>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</si>
  <si>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</si>
  <si>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</si>
  <si>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</si>
  <si>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</si>
  <si>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</si>
  <si>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</si>
  <si>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</si>
  <si>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</si>
  <si>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</si>
  <si>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</si>
  <si>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</si>
  <si>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</si>
  <si>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</si>
  <si>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</si>
  <si>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</si>
  <si>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</si>
  <si>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</si>
  <si>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</si>
  <si>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</si>
  <si>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</si>
  <si>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</si>
  <si>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</si>
  <si>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</si>
  <si>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</si>
  <si>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</si>
  <si>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</si>
  <si>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</si>
  <si>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</si>
  <si>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</si>
  <si>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</si>
  <si>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</si>
  <si>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</si>
  <si>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</si>
  <si>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Собівартість, грн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</si>
  <si>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</si>
  <si>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</si>
  <si>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</si>
  <si>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</si>
  <si>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</si>
  <si>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</si>
  <si>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</si>
  <si>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</si>
  <si>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</si>
  <si>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№20</t>
  </si>
  <si>
    <t>Оригінал в офісі</t>
  </si>
  <si>
    <t>Всього, грн з ПДВ</t>
  </si>
  <si>
    <t>ДЦ у відділі ВТВ</t>
  </si>
  <si>
    <t>АВР у відділі ВТВ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</si>
  <si>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</si>
  <si>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</si>
  <si>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>заповнюємо колонку коментарі з датою коли буде оригінал</t>
  </si>
  <si>
    <t>списання так/ні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</si>
  <si>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</si>
  <si>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</si>
  <si>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заповнюємо колонку коли замовник обіцяє погодити, зауваження якщо є</t>
  </si>
  <si>
    <t>не заповнюємо колонку коментарі</t>
  </si>
  <si>
    <t>СОРТИРОВКА по актам</t>
  </si>
  <si>
    <t xml:space="preserve"> Реєстр актів виконаних робіт по об'єкту "Нове будівництво виробничого - складського комплексу по вул. Путрівська в с.Путрівка, Фастівського району, Київської області , що здійснюється в 2023 році"</t>
  </si>
  <si>
    <t xml:space="preserve"> Реєстр ДЦ  по об'єкту "Нове будівництво виробничого - складського комплексу по вул. Путрівська в с.Путрівка, Фастівського району, Київської області , що здійснюється в 2023 році"</t>
  </si>
  <si>
    <t xml:space="preserve">Підготовчі роботи </t>
  </si>
  <si>
    <t>Резервуар фільтрації</t>
  </si>
  <si>
    <t>Пожежні резервуари. Насосна станція протипожежного призначення.</t>
  </si>
  <si>
    <t>13 09 2024</t>
  </si>
  <si>
    <t>02 10 2024</t>
  </si>
  <si>
    <t>Списання мат.</t>
  </si>
  <si>
    <t>04 11 2024</t>
  </si>
  <si>
    <t>Робота генератора</t>
  </si>
  <si>
    <t>ДУ №1</t>
  </si>
  <si>
    <t>ДУ №2</t>
  </si>
  <si>
    <t xml:space="preserve">27 11 2024 </t>
  </si>
  <si>
    <t>так</t>
  </si>
  <si>
    <t>29 11 2024</t>
  </si>
  <si>
    <t>02 12 2024</t>
  </si>
  <si>
    <t>16 12 2024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</si>
</sst>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\№0"/>
  </numFmts>
  <fonts count="53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rgb="FFFF3399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5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756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1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 vertical="center"/>
    </xf>
    <xf numFmtId="0" fontId="42" fillId="0" borderId="0" xfId="20" applyFont="1" applyAlignment="1">
      <alignment horizontal="center" vertical="center"/>
    </xf>
    <xf numFmtId="0" fontId="37" fillId="0" borderId="0" xfId="20" applyFont="1" applyBorder="1" applyAlignment="1">
      <alignment horizontal="center" vertical="center"/>
    </xf>
    <xf numFmtId="0" fontId="37" fillId="2" borderId="0" xfId="20" applyFont="1" applyFill="1" applyBorder="1" applyAlignment="1">
      <alignment horizontal="center" vertical="center"/>
    </xf>
    <xf numFmtId="43" fontId="37" fillId="2" borderId="0" xfId="20" applyNumberFormat="1" applyFont="1" applyFill="1" applyBorder="1" applyAlignment="1">
      <alignment horizontal="center" vertical="center"/>
    </xf>
    <xf numFmtId="164" fontId="48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vertical="center"/>
    </xf>
    <xf numFmtId="1" fontId="49" fillId="10" borderId="2" xfId="20" applyNumberFormat="1" applyFont="1" applyFill="1" applyBorder="1" applyAlignment="1">
      <alignment horizontal="center" vertical="center"/>
    </xf>
    <xf numFmtId="0" fontId="49" fillId="10" borderId="2" xfId="20" applyNumberFormat="1" applyFont="1" applyFill="1" applyBorder="1" applyAlignment="1">
      <alignment horizontal="center" vertical="center" wrapText="1"/>
    </xf>
    <xf numFmtId="164" fontId="49" fillId="10" borderId="2" xfId="20" applyNumberFormat="1" applyFont="1" applyFill="1" applyBorder="1" applyAlignment="1">
      <alignment horizontal="center" vertical="center" wrapText="1"/>
    </xf>
    <xf numFmtId="164" fontId="48" fillId="10" borderId="2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vertical="center" wrapText="1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0" fontId="51" fillId="10" borderId="2" xfId="20" applyNumberFormat="1" applyFont="1" applyFill="1" applyBorder="1" applyAlignment="1">
      <alignment horizontal="center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76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8" fillId="4" borderId="22" xfId="21" applyFont="1" applyFill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175" fontId="49" fillId="10" borderId="2" xfId="20" applyNumberFormat="1" applyFont="1" applyFill="1" applyBorder="1" applyAlignment="1">
      <alignment vertical="center" wrapText="1"/>
    </xf>
    <xf numFmtId="0" fontId="49" fillId="10" borderId="6" xfId="20" applyFont="1" applyFill="1" applyBorder="1" applyAlignment="1">
      <alignment horizontal="left" vertical="center" wrapText="1"/>
    </xf>
    <xf numFmtId="164" fontId="49" fillId="10" borderId="6" xfId="20" applyNumberFormat="1" applyFont="1" applyFill="1" applyBorder="1" applyAlignment="1">
      <alignment horizontal="center" vertical="center"/>
    </xf>
    <xf numFmtId="164" fontId="49" fillId="10" borderId="19" xfId="20" applyNumberFormat="1" applyFont="1" applyFill="1" applyBorder="1" applyAlignment="1">
      <alignment vertical="center"/>
    </xf>
    <xf numFmtId="167" fontId="48" fillId="0" borderId="2" xfId="21" applyNumberFormat="1" applyFont="1" applyFill="1" applyBorder="1" applyAlignment="1">
      <alignment horizontal="center" vertical="center"/>
    </xf>
    <xf numFmtId="1" fontId="52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left" vertical="center" wrapText="1"/>
    </xf>
    <xf numFmtId="1" fontId="49" fillId="10" borderId="3" xfId="20" applyNumberFormat="1" applyFont="1" applyFill="1" applyBorder="1" applyAlignment="1">
      <alignment horizontal="center" vertical="center"/>
    </xf>
    <xf numFmtId="1" fontId="52" fillId="10" borderId="3" xfId="20" applyNumberFormat="1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horizontal="left" vertical="center" wrapText="1"/>
    </xf>
    <xf numFmtId="164" fontId="49" fillId="10" borderId="19" xfId="20" applyNumberFormat="1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horizontal="center" vertical="center"/>
    </xf>
    <xf numFmtId="164" fontId="49" fillId="10" borderId="20" xfId="20" applyNumberFormat="1" applyFont="1" applyFill="1" applyBorder="1" applyAlignment="1">
      <alignment horizontal="center" vertical="center"/>
    </xf>
    <xf numFmtId="164" fontId="48" fillId="10" borderId="6" xfId="20" applyNumberFormat="1" applyFont="1" applyFill="1" applyBorder="1" applyAlignment="1">
      <alignment horizontal="center" vertical="center"/>
    </xf>
    <xf numFmtId="176" fontId="49" fillId="10" borderId="19" xfId="20" applyNumberFormat="1" applyFont="1" applyFill="1" applyBorder="1" applyAlignment="1">
      <alignment horizontal="center" vertical="center"/>
    </xf>
    <xf numFmtId="164" fontId="48" fillId="10" borderId="19" xfId="20" applyNumberFormat="1" applyFont="1" applyFill="1" applyBorder="1" applyAlignment="1">
      <alignment horizontal="center" vertical="center"/>
    </xf>
    <xf numFmtId="175" fontId="49" fillId="10" borderId="19" xfId="20" applyNumberFormat="1" applyFont="1" applyFill="1" applyBorder="1" applyAlignment="1">
      <alignment horizontal="center" vertical="center"/>
    </xf>
    <xf numFmtId="175" fontId="49" fillId="10" borderId="2" xfId="20" applyNumberFormat="1" applyFont="1" applyFill="1" applyBorder="1" applyAlignment="1">
      <alignment horizontal="center" vertical="center"/>
    </xf>
    <xf numFmtId="0" fontId="49" fillId="10" borderId="6" xfId="20" applyNumberFormat="1" applyFont="1" applyFill="1" applyBorder="1" applyAlignment="1">
      <alignment horizontal="center" vertical="center" wrapText="1"/>
    </xf>
    <xf numFmtId="164" fontId="49" fillId="10" borderId="2" xfId="20" applyNumberFormat="1" applyFont="1" applyFill="1" applyBorder="1" applyAlignment="1">
      <alignment vertical="center" wrapText="1"/>
    </xf>
    <xf numFmtId="0" fontId="39" fillId="0" borderId="6" xfId="20" applyFont="1" applyBorder="1" applyAlignment="1">
      <alignment horizontal="center" vertical="center" wrapText="1"/>
    </xf>
    <xf numFmtId="0" fontId="39" fillId="0" borderId="0" xfId="20" applyFont="1" applyBorder="1" applyAlignment="1">
      <alignment horizontal="center" vertical="center" wrapText="1"/>
    </xf>
    <xf numFmtId="0" fontId="49" fillId="10" borderId="14" xfId="20" applyFont="1" applyFill="1" applyBorder="1" applyAlignment="1">
      <alignment horizontal="center" vertical="center"/>
    </xf>
    <xf numFmtId="1" fontId="49" fillId="10" borderId="10" xfId="20" applyNumberFormat="1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vertical="center" wrapText="1"/>
    </xf>
    <xf numFmtId="0" fontId="49" fillId="10" borderId="12" xfId="20" applyFont="1" applyFill="1" applyBorder="1" applyAlignment="1">
      <alignment horizontal="left" vertical="center" wrapText="1"/>
    </xf>
    <xf numFmtId="164" fontId="49" fillId="10" borderId="11" xfId="20" applyNumberFormat="1" applyFont="1" applyFill="1" applyBorder="1" applyAlignment="1">
      <alignment horizontal="center" vertical="center"/>
    </xf>
    <xf numFmtId="164" fontId="49" fillId="10" borderId="10" xfId="20" applyNumberFormat="1" applyFont="1" applyFill="1" applyBorder="1" applyAlignment="1">
      <alignment horizontal="center" vertical="center"/>
    </xf>
    <xf numFmtId="164" fontId="51" fillId="10" borderId="2" xfId="20" applyNumberFormat="1" applyFont="1" applyFill="1" applyBorder="1" applyAlignment="1">
      <alignment horizontal="center" vertical="center" wrapText="1"/>
    </xf>
    <xf numFmtId="164" fontId="49" fillId="10" borderId="9" xfId="20" applyNumberFormat="1" applyFont="1" applyFill="1" applyBorder="1" applyAlignment="1">
      <alignment horizontal="center" vertical="center"/>
    </xf>
    <xf numFmtId="0" fontId="49" fillId="10" borderId="15" xfId="20" applyFont="1" applyFill="1" applyBorder="1" applyAlignment="1">
      <alignment horizontal="left" vertical="center" wrapText="1"/>
    </xf>
    <xf numFmtId="0" fontId="49" fillId="10" borderId="1" xfId="20" applyFont="1" applyFill="1" applyBorder="1" applyAlignment="1">
      <alignment horizontal="center" vertical="center"/>
    </xf>
    <xf numFmtId="0" fontId="49" fillId="10" borderId="12" xfId="20" applyFont="1" applyFill="1" applyBorder="1" applyAlignment="1">
      <alignment vertical="center" wrapText="1"/>
    </xf>
    <xf numFmtId="0" fontId="49" fillId="10" borderId="14" xfId="20" applyFont="1" applyFill="1" applyBorder="1" applyAlignment="1">
      <alignment vertical="center" wrapText="1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5" fontId="48" fillId="4" borderId="31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7" fontId="48" fillId="4" borderId="4" xfId="21" applyNumberFormat="1" applyFont="1" applyFill="1" applyBorder="1" applyAlignment="1">
      <alignment horizontal="center" vertical="center" wrapText="1"/>
    </xf>
    <xf numFmtId="165" fontId="48" fillId="4" borderId="26" xfId="21" applyFont="1" applyFill="1" applyBorder="1" applyAlignment="1">
      <alignment horizontal="center" vertical="center" wrapText="1"/>
    </xf>
    <xf numFmtId="165" fontId="48" fillId="4" borderId="28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4" xfId="21" applyFont="1" applyFill="1" applyBorder="1" applyAlignment="1">
      <alignment horizontal="center" vertical="center" wrapText="1"/>
    </xf>
    <xf numFmtId="165" fontId="48" fillId="4" borderId="29" xfId="21" applyFont="1" applyFill="1" applyBorder="1" applyAlignment="1">
      <alignment horizontal="center" vertical="center" wrapText="1"/>
    </xf>
    <xf numFmtId="165" fontId="48" fillId="4" borderId="62" xfId="21" applyFont="1" applyFill="1" applyBorder="1" applyAlignment="1">
      <alignment horizontal="center" vertical="center" wrapText="1"/>
    </xf>
    <xf numFmtId="165" fontId="48" fillId="4" borderId="32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2" xfId="20" applyFont="1" applyFill="1" applyBorder="1" applyAlignment="1">
      <alignment horizontal="center" vertical="center"/>
    </xf>
    <xf numFmtId="0" fontId="48" fillId="4" borderId="22" xfId="20" applyFont="1" applyFill="1" applyBorder="1" applyAlignment="1">
      <alignment horizontal="center" vertical="center"/>
    </xf>
    <xf numFmtId="0" fontId="50" fillId="0" borderId="59" xfId="20" applyFont="1" applyBorder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66" xfId="21" applyFont="1" applyFill="1" applyBorder="1" applyAlignment="1">
      <alignment horizontal="center" vertical="center" wrapText="1"/>
    </xf>
    <xf numFmtId="165" fontId="48" fillId="4" borderId="67" xfId="21" applyFont="1" applyFill="1" applyBorder="1" applyAlignment="1">
      <alignment horizontal="center" vertical="center" wrapText="1"/>
    </xf>
    <xf numFmtId="165" fontId="48" fillId="4" borderId="14" xfId="21" applyFont="1" applyFill="1" applyBorder="1" applyAlignment="1">
      <alignment horizontal="center" vertical="center" wrapText="1"/>
    </xf>
    <xf numFmtId="165" fontId="48" fillId="4" borderId="16" xfId="21" applyFont="1" applyFill="1" applyBorder="1" applyAlignment="1">
      <alignment horizontal="center" vertical="center" wrapText="1"/>
    </xf>
    <xf numFmtId="165" fontId="48" fillId="4" borderId="10" xfId="21" applyFont="1" applyFill="1" applyBorder="1" applyAlignment="1">
      <alignment horizontal="center" vertical="center" wrapText="1"/>
    </xf>
    <xf numFmtId="0" fontId="48" fillId="4" borderId="6" xfId="20" applyFont="1" applyFill="1" applyBorder="1" applyAlignment="1">
      <alignment horizontal="center" vertical="center"/>
    </xf>
    <xf numFmtId="165" fontId="48" fillId="4" borderId="25" xfId="21" applyFont="1" applyFill="1" applyBorder="1" applyAlignment="1">
      <alignment horizontal="center" vertical="center" wrapText="1"/>
    </xf>
    <xf numFmtId="165" fontId="48" fillId="4" borderId="20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20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7" fillId="0" borderId="24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0" borderId="25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5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3399"/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596" t="s">
        <v>37</v>
      </c>
      <c r="B5" s="596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596" t="s">
        <v>24</v>
      </c>
      <c r="B6" s="596"/>
      <c r="C6" s="82"/>
      <c r="D6" s="597"/>
      <c r="E6" s="597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596" t="s">
        <v>38</v>
      </c>
      <c r="B7" s="596"/>
      <c r="C7" s="596"/>
      <c r="D7" s="596"/>
      <c r="E7" s="596"/>
      <c r="F7" s="596"/>
      <c r="G7" s="596"/>
      <c r="H7" s="596"/>
      <c r="I7" s="596"/>
      <c r="J7" s="82"/>
      <c r="L7" s="61"/>
      <c r="V7" s="62"/>
      <c r="W7" s="63"/>
    </row>
    <row r="8" spans="1:23" s="60" customFormat="1" ht="12.75" customHeight="1" x14ac:dyDescent="0.25">
      <c r="A8" s="596" t="s">
        <v>39</v>
      </c>
      <c r="B8" s="596"/>
      <c r="C8" s="596"/>
      <c r="D8" s="596"/>
      <c r="E8" s="596"/>
      <c r="F8" s="596"/>
      <c r="G8" s="596"/>
      <c r="H8" s="596"/>
      <c r="I8" s="596"/>
      <c r="J8" s="82"/>
      <c r="L8" s="61"/>
      <c r="V8" s="62"/>
      <c r="W8" s="63"/>
    </row>
    <row r="9" spans="1:23" s="60" customFormat="1" ht="12.75" customHeight="1" x14ac:dyDescent="0.25">
      <c r="A9" s="595" t="s">
        <v>40</v>
      </c>
      <c r="B9" s="595"/>
      <c r="C9" s="595"/>
      <c r="D9" s="595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589" t="s">
        <v>0</v>
      </c>
      <c r="B11" s="589"/>
      <c r="C11" s="589"/>
      <c r="D11" s="589"/>
      <c r="E11" s="589"/>
      <c r="F11" s="589"/>
      <c r="G11" s="589"/>
      <c r="H11" s="589"/>
      <c r="I11" s="589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590" t="s">
        <v>1</v>
      </c>
      <c r="B13" s="591" t="s">
        <v>2</v>
      </c>
      <c r="C13" s="590" t="s">
        <v>13</v>
      </c>
      <c r="D13" s="592" t="s">
        <v>3</v>
      </c>
      <c r="E13" s="593" t="s">
        <v>14</v>
      </c>
      <c r="F13" s="594" t="s">
        <v>27</v>
      </c>
      <c r="G13" s="594"/>
      <c r="H13" s="592" t="s">
        <v>17</v>
      </c>
      <c r="I13" s="592"/>
      <c r="J13" s="599" t="s">
        <v>30</v>
      </c>
      <c r="K13" s="600"/>
      <c r="L13" s="601"/>
      <c r="M13" s="591" t="s">
        <v>26</v>
      </c>
      <c r="N13" s="591"/>
      <c r="O13" s="591"/>
      <c r="P13" s="591"/>
      <c r="Q13" s="591" t="s">
        <v>29</v>
      </c>
      <c r="R13" s="591"/>
      <c r="S13" s="591"/>
      <c r="T13" s="591"/>
      <c r="U13" s="591"/>
      <c r="V13" s="605" t="s">
        <v>34</v>
      </c>
      <c r="W13" s="606"/>
    </row>
    <row r="14" spans="1:23" s="3" customFormat="1" ht="20.25" customHeight="1" x14ac:dyDescent="0.25">
      <c r="A14" s="590"/>
      <c r="B14" s="591"/>
      <c r="C14" s="590"/>
      <c r="D14" s="592"/>
      <c r="E14" s="593"/>
      <c r="F14" s="592" t="s">
        <v>41</v>
      </c>
      <c r="G14" s="592"/>
      <c r="H14" s="592"/>
      <c r="I14" s="592"/>
      <c r="J14" s="602"/>
      <c r="K14" s="603"/>
      <c r="L14" s="604"/>
      <c r="M14" s="591"/>
      <c r="N14" s="591"/>
      <c r="O14" s="591"/>
      <c r="P14" s="591"/>
      <c r="Q14" s="591"/>
      <c r="R14" s="591"/>
      <c r="S14" s="591"/>
      <c r="T14" s="591"/>
      <c r="U14" s="591"/>
      <c r="V14" s="607"/>
      <c r="W14" s="608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07"/>
      <c r="W15" s="608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598" t="s">
        <v>32</v>
      </c>
      <c r="U16" s="598"/>
      <c r="V16" s="609"/>
      <c r="W16" s="610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T16:U16"/>
    <mergeCell ref="Q13:U14"/>
    <mergeCell ref="J13:L14"/>
    <mergeCell ref="V13:W16"/>
    <mergeCell ref="M13:P14"/>
    <mergeCell ref="A9:D9"/>
    <mergeCell ref="A5:B5"/>
    <mergeCell ref="A6:B6"/>
    <mergeCell ref="D6:E6"/>
    <mergeCell ref="A7:I7"/>
    <mergeCell ref="A8:I8"/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620" t="s">
        <v>93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</row>
    <row r="2" spans="1:13" ht="16.2" thickBot="1" x14ac:dyDescent="0.3">
      <c r="M2" s="216"/>
    </row>
    <row r="3" spans="1:13" ht="31.5" customHeight="1" x14ac:dyDescent="0.25">
      <c r="A3" s="630" t="s">
        <v>84</v>
      </c>
      <c r="B3" s="632" t="s">
        <v>82</v>
      </c>
      <c r="C3" s="632" t="s">
        <v>86</v>
      </c>
      <c r="D3" s="632" t="s">
        <v>85</v>
      </c>
      <c r="E3" s="621" t="s">
        <v>83</v>
      </c>
      <c r="F3" s="625" t="s">
        <v>90</v>
      </c>
      <c r="G3" s="626"/>
      <c r="H3" s="627"/>
      <c r="I3" s="623" t="s">
        <v>9</v>
      </c>
      <c r="J3" s="628" t="s">
        <v>91</v>
      </c>
      <c r="K3" s="628"/>
      <c r="L3" s="629"/>
      <c r="M3" s="623" t="s">
        <v>50</v>
      </c>
    </row>
    <row r="4" spans="1:13" x14ac:dyDescent="0.25">
      <c r="A4" s="631"/>
      <c r="B4" s="633"/>
      <c r="C4" s="633"/>
      <c r="D4" s="633"/>
      <c r="E4" s="622"/>
      <c r="F4" s="145" t="s">
        <v>87</v>
      </c>
      <c r="G4" s="135" t="s">
        <v>88</v>
      </c>
      <c r="H4" s="135" t="s">
        <v>89</v>
      </c>
      <c r="I4" s="624"/>
      <c r="J4" s="143" t="s">
        <v>87</v>
      </c>
      <c r="K4" s="135" t="s">
        <v>88</v>
      </c>
      <c r="L4" s="135" t="s">
        <v>89</v>
      </c>
      <c r="M4" s="624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614">
        <v>4</v>
      </c>
      <c r="B6" s="611" t="s">
        <v>97</v>
      </c>
      <c r="C6" s="617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615"/>
      <c r="B7" s="612"/>
      <c r="C7" s="618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615"/>
      <c r="B8" s="612"/>
      <c r="C8" s="618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616"/>
      <c r="B9" s="613"/>
      <c r="C9" s="619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649" t="s">
        <v>84</v>
      </c>
      <c r="B2" s="649" t="s">
        <v>99</v>
      </c>
      <c r="C2" s="649" t="s">
        <v>86</v>
      </c>
      <c r="D2" s="649" t="s">
        <v>51</v>
      </c>
      <c r="E2" s="643" t="s">
        <v>100</v>
      </c>
      <c r="F2" s="644"/>
      <c r="G2" s="645"/>
      <c r="H2" s="646" t="s">
        <v>101</v>
      </c>
      <c r="I2" s="647"/>
      <c r="J2" s="647"/>
      <c r="K2" s="647"/>
      <c r="L2" s="647"/>
      <c r="M2" s="648"/>
      <c r="N2" s="643" t="s">
        <v>102</v>
      </c>
      <c r="O2" s="644"/>
      <c r="P2" s="645"/>
    </row>
    <row r="3" spans="1:16" ht="16.2" thickBot="1" x14ac:dyDescent="0.3">
      <c r="A3" s="650"/>
      <c r="B3" s="650"/>
      <c r="C3" s="650"/>
      <c r="D3" s="650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634">
        <v>4</v>
      </c>
      <c r="B4" s="637" t="s">
        <v>109</v>
      </c>
      <c r="C4" s="637" t="s">
        <v>94</v>
      </c>
      <c r="D4" s="637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635"/>
      <c r="B5" s="638"/>
      <c r="C5" s="638"/>
      <c r="D5" s="638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635"/>
      <c r="B6" s="638"/>
      <c r="C6" s="638"/>
      <c r="D6" s="638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635"/>
      <c r="B7" s="638"/>
      <c r="C7" s="638"/>
      <c r="D7" s="638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635"/>
      <c r="B8" s="638"/>
      <c r="C8" s="638"/>
      <c r="D8" s="639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635"/>
      <c r="B9" s="638"/>
      <c r="C9" s="638"/>
      <c r="D9" s="640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635"/>
      <c r="B10" s="638"/>
      <c r="C10" s="638"/>
      <c r="D10" s="641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635"/>
      <c r="B11" s="638"/>
      <c r="C11" s="638"/>
      <c r="D11" s="642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635"/>
      <c r="B12" s="638"/>
      <c r="C12" s="638"/>
      <c r="D12" s="637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635"/>
      <c r="B13" s="638"/>
      <c r="C13" s="638"/>
      <c r="D13" s="638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635"/>
      <c r="B14" s="638"/>
      <c r="C14" s="638"/>
      <c r="D14" s="639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635"/>
      <c r="B15" s="638"/>
      <c r="C15" s="638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636"/>
      <c r="B16" s="639"/>
      <c r="C16" s="639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E2:G2"/>
    <mergeCell ref="H2:M2"/>
    <mergeCell ref="N2:P2"/>
    <mergeCell ref="A2:A3"/>
    <mergeCell ref="B2:B3"/>
    <mergeCell ref="C2:C3"/>
    <mergeCell ref="D2:D3"/>
    <mergeCell ref="A4:A16"/>
    <mergeCell ref="B4:B16"/>
    <mergeCell ref="C4:C16"/>
    <mergeCell ref="D9:D11"/>
    <mergeCell ref="D4:D8"/>
    <mergeCell ref="D12:D1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20"/>
  <sheetViews>
    <sheetView showWhiteSpace="0" zoomScale="81" zoomScaleNormal="81" zoomScaleSheetLayoutView="76" workbookViewId="0">
      <pane ySplit="5" topLeftCell="A6" activePane="bottomLeft" state="frozen"/>
      <selection pane="bottomLeft" activeCell="G6" sqref="G6:G7"/>
    </sheetView>
  </sheetViews>
  <sheetFormatPr defaultColWidth="9.109375" defaultRowHeight="12" x14ac:dyDescent="0.25"/>
  <cols>
    <col min="1" max="1" width="10.44140625" style="308" customWidth="1"/>
    <col min="2" max="2" width="59.33203125" style="308" customWidth="1"/>
    <col min="3" max="4" width="20.6640625" style="342" customWidth="1"/>
    <col min="5" max="5" width="24.6640625" style="342" customWidth="1"/>
    <col min="6" max="6" width="20.6640625" style="342" customWidth="1"/>
    <col min="7" max="7" width="23.44140625" style="342" customWidth="1"/>
    <col min="8" max="8" width="21.33203125" style="342" customWidth="1"/>
    <col min="9" max="9" width="32.109375" style="342" customWidth="1"/>
    <col min="10" max="10" width="24.33203125" style="308" customWidth="1"/>
    <col min="11" max="11" width="51" style="308" customWidth="1"/>
    <col min="12" max="12" width="16.44140625" style="308" customWidth="1"/>
    <col min="13" max="16384" width="9.109375" style="308"/>
  </cols>
  <sheetData>
    <row r="1" spans="1:36" ht="16.95" customHeight="1" x14ac:dyDescent="0.25">
      <c r="A1" s="651" t="s">
        <v>211</v>
      </c>
      <c r="B1" s="651"/>
      <c r="C1" s="651"/>
      <c r="D1" s="651"/>
      <c r="E1" s="651"/>
      <c r="F1" s="651"/>
      <c r="G1" s="651"/>
      <c r="H1" s="651"/>
      <c r="I1" s="651"/>
    </row>
    <row r="2" spans="1:36" ht="59.4" customHeight="1" thickBot="1" x14ac:dyDescent="0.3">
      <c r="A2" s="651"/>
      <c r="B2" s="651"/>
      <c r="C2" s="651"/>
      <c r="D2" s="651"/>
      <c r="E2" s="651"/>
      <c r="F2" s="651"/>
      <c r="G2" s="651"/>
      <c r="H2" s="651"/>
      <c r="I2" s="651"/>
    </row>
    <row r="3" spans="1:36" ht="17.399999999999999" customHeight="1" x14ac:dyDescent="0.25">
      <c r="A3" s="652" t="s">
        <v>124</v>
      </c>
      <c r="B3" s="665" t="s">
        <v>185</v>
      </c>
      <c r="C3" s="655" t="s">
        <v>191</v>
      </c>
      <c r="D3" s="655" t="s">
        <v>192</v>
      </c>
      <c r="E3" s="655" t="s">
        <v>194</v>
      </c>
      <c r="F3" s="655" t="s">
        <v>186</v>
      </c>
      <c r="G3" s="658" t="s">
        <v>9</v>
      </c>
      <c r="H3" s="659"/>
      <c r="I3" s="662" t="s">
        <v>190</v>
      </c>
    </row>
    <row r="4" spans="1:36" ht="21" customHeight="1" x14ac:dyDescent="0.25">
      <c r="A4" s="653"/>
      <c r="B4" s="666"/>
      <c r="C4" s="656"/>
      <c r="D4" s="656"/>
      <c r="E4" s="656"/>
      <c r="F4" s="656"/>
      <c r="G4" s="660"/>
      <c r="H4" s="660" t="s">
        <v>189</v>
      </c>
      <c r="I4" s="663"/>
    </row>
    <row r="5" spans="1:36" ht="30" customHeight="1" thickBot="1" x14ac:dyDescent="0.3">
      <c r="A5" s="654"/>
      <c r="B5" s="667"/>
      <c r="C5" s="657"/>
      <c r="D5" s="657"/>
      <c r="E5" s="657"/>
      <c r="F5" s="657"/>
      <c r="G5" s="661"/>
      <c r="H5" s="661"/>
      <c r="I5" s="664"/>
    </row>
    <row r="6" spans="1:36" s="323" customFormat="1" ht="49.2" customHeight="1" x14ac:dyDescent="0.25">
      <c r="A6" s="566" t="s">
        <v>53</v>
      </c>
      <c r="B6" s="564" t="s">
        <v>212</v>
      </c>
      <c r="C6" s="565">
        <v>6911341.5800000001</v>
      </c>
      <c r="D6" s="571">
        <v>1659729.7630374997</v>
      </c>
      <c r="E6" s="570">
        <v>8571071.343037501</v>
      </c>
      <c r="F6" s="558">
        <v>6008752.151541125</v>
      </c>
      <c r="G6" s="549" t="s">
        <v>197</v>
      </c>
      <c r="H6" s="565" t="s">
        <v>215</v>
      </c>
      <c r="I6" s="565"/>
      <c r="J6" s="533" t="s">
        <v>199</v>
      </c>
      <c r="K6" s="554" t="s">
        <v>205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</row>
    <row r="7" spans="1:36" s="323" customFormat="1" ht="52.95" customHeight="1" x14ac:dyDescent="0.25">
      <c r="A7" s="552" t="s">
        <v>220</v>
      </c>
      <c r="B7" s="551" t="s">
        <v>213</v>
      </c>
      <c r="C7" s="549">
        <v>3212962.4</v>
      </c>
      <c r="D7" s="572">
        <v>2179694.1143955933</v>
      </c>
      <c r="E7" s="568">
        <v>5392656.5143955927</v>
      </c>
      <c r="F7" s="557">
        <v>4087279.8236969076</v>
      </c>
      <c r="G7" s="549" t="s">
        <v>197</v>
      </c>
      <c r="H7" s="557" t="s">
        <v>216</v>
      </c>
      <c r="I7" s="573"/>
      <c r="J7" s="307" t="s">
        <v>188</v>
      </c>
      <c r="K7" s="554" t="s">
        <v>206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</row>
    <row r="8" spans="1:36" s="323" customFormat="1" ht="42.6" customHeight="1" x14ac:dyDescent="0.25">
      <c r="A8" s="552"/>
      <c r="B8" s="545" t="s">
        <v>214</v>
      </c>
      <c r="C8" s="540">
        <v>5519308.1999999993</v>
      </c>
      <c r="D8" s="549">
        <v>5640919.8693417767</v>
      </c>
      <c r="E8" s="539">
        <v>11160228.069341775</v>
      </c>
      <c r="F8" s="540">
        <v>8725800.9573433846</v>
      </c>
      <c r="G8" s="583" t="s">
        <v>193</v>
      </c>
      <c r="H8" s="549" t="s">
        <v>218</v>
      </c>
      <c r="I8" s="574"/>
      <c r="J8" s="533" t="s">
        <v>193</v>
      </c>
      <c r="K8" s="554" t="s">
        <v>207</v>
      </c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</row>
    <row r="9" spans="1:36" s="323" customFormat="1" ht="36.6" customHeight="1" x14ac:dyDescent="0.25">
      <c r="A9" s="552" t="s">
        <v>221</v>
      </c>
      <c r="B9" s="545" t="s">
        <v>219</v>
      </c>
      <c r="C9" s="540">
        <v>112440</v>
      </c>
      <c r="D9" s="549"/>
      <c r="E9" s="539">
        <v>112440</v>
      </c>
      <c r="F9" s="540">
        <v>54392</v>
      </c>
      <c r="G9" s="549" t="s">
        <v>197</v>
      </c>
      <c r="H9" s="549" t="s">
        <v>226</v>
      </c>
      <c r="I9" s="540"/>
      <c r="J9" s="307" t="s">
        <v>187</v>
      </c>
      <c r="K9" s="554" t="s">
        <v>203</v>
      </c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</row>
    <row r="10" spans="1:36" s="323" customFormat="1" ht="39" customHeight="1" x14ac:dyDescent="0.25">
      <c r="A10" s="552" t="s">
        <v>72</v>
      </c>
      <c r="B10" s="545"/>
      <c r="C10" s="540"/>
      <c r="D10" s="549"/>
      <c r="E10" s="539"/>
      <c r="F10" s="540"/>
      <c r="G10" s="543"/>
      <c r="H10" s="549"/>
      <c r="I10" s="540"/>
      <c r="J10" s="534" t="s">
        <v>197</v>
      </c>
      <c r="K10" s="554" t="s">
        <v>208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</row>
    <row r="11" spans="1:36" s="323" customFormat="1" ht="56.4" customHeight="1" x14ac:dyDescent="0.25">
      <c r="A11" s="552" t="s">
        <v>73</v>
      </c>
      <c r="B11" s="556"/>
      <c r="C11" s="549"/>
      <c r="D11" s="549"/>
      <c r="E11" s="539"/>
      <c r="F11" s="549"/>
      <c r="G11" s="543"/>
      <c r="H11" s="543"/>
      <c r="I11" s="543"/>
      <c r="J11" s="318"/>
      <c r="K11" s="535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</row>
    <row r="12" spans="1:36" s="323" customFormat="1" ht="56.4" customHeight="1" x14ac:dyDescent="0.25">
      <c r="A12" s="552" t="s">
        <v>74</v>
      </c>
      <c r="B12" s="556"/>
      <c r="C12" s="549"/>
      <c r="D12" s="549"/>
      <c r="E12" s="539"/>
      <c r="F12" s="549"/>
      <c r="G12" s="543"/>
      <c r="H12" s="543"/>
      <c r="I12" s="543"/>
      <c r="J12" s="318"/>
      <c r="K12" s="535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</row>
    <row r="13" spans="1:36" s="323" customFormat="1" ht="41.4" customHeight="1" x14ac:dyDescent="0.25">
      <c r="A13" s="552" t="s">
        <v>77</v>
      </c>
      <c r="B13" s="551"/>
      <c r="C13" s="540"/>
      <c r="D13" s="540"/>
      <c r="E13" s="544"/>
      <c r="F13" s="540"/>
      <c r="G13" s="549"/>
      <c r="H13" s="543"/>
      <c r="I13" s="549"/>
      <c r="J13" s="537"/>
      <c r="K13" s="538"/>
      <c r="L13" s="536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</row>
    <row r="14" spans="1:36" s="324" customFormat="1" ht="22.95" customHeight="1" x14ac:dyDescent="0.25">
      <c r="A14" s="546"/>
      <c r="B14" s="546" t="s">
        <v>47</v>
      </c>
      <c r="C14" s="547">
        <f>SUM(C6:C13)</f>
        <v>15756052.18</v>
      </c>
      <c r="D14" s="547">
        <f>SUM(D6:D13)</f>
        <v>9480343.7467748709</v>
      </c>
      <c r="E14" s="547">
        <f>SUM(E6:E13)</f>
        <v>25236395.926774867</v>
      </c>
      <c r="F14" s="547">
        <f>SUM(F6:F13)</f>
        <v>18876224.932581417</v>
      </c>
      <c r="G14" s="547"/>
      <c r="H14" s="547"/>
      <c r="I14" s="547"/>
    </row>
    <row r="15" spans="1:36" x14ac:dyDescent="0.25">
      <c r="C15" s="339"/>
      <c r="D15" s="339"/>
      <c r="E15" s="339"/>
      <c r="F15" s="339"/>
      <c r="G15" s="339"/>
      <c r="H15" s="339"/>
      <c r="I15" s="339"/>
    </row>
    <row r="16" spans="1:36" x14ac:dyDescent="0.25">
      <c r="C16" s="339"/>
      <c r="D16" s="339"/>
      <c r="E16" s="339"/>
      <c r="F16" s="339"/>
      <c r="G16" s="339"/>
      <c r="H16" s="339"/>
      <c r="I16" s="339"/>
    </row>
    <row r="17" spans="3:9" x14ac:dyDescent="0.25">
      <c r="C17" s="339"/>
      <c r="D17" s="339"/>
      <c r="E17" s="339"/>
      <c r="F17" s="339"/>
      <c r="G17" s="339"/>
      <c r="H17" s="339"/>
      <c r="I17" s="339"/>
    </row>
    <row r="18" spans="3:9" x14ac:dyDescent="0.25">
      <c r="C18" s="339"/>
      <c r="D18" s="339"/>
      <c r="E18" s="339"/>
      <c r="F18" s="339"/>
      <c r="G18" s="339"/>
      <c r="H18" s="339"/>
      <c r="I18" s="339"/>
    </row>
    <row r="19" spans="3:9" x14ac:dyDescent="0.25">
      <c r="C19" s="339"/>
      <c r="D19" s="339"/>
      <c r="E19" s="339"/>
      <c r="F19" s="339"/>
      <c r="G19" s="339"/>
      <c r="H19" s="339"/>
      <c r="I19" s="339"/>
    </row>
    <row r="20" spans="3:9" x14ac:dyDescent="0.25">
      <c r="C20" s="339"/>
      <c r="D20" s="339"/>
      <c r="E20" s="339"/>
      <c r="F20" s="339"/>
      <c r="G20" s="339"/>
      <c r="H20" s="339"/>
      <c r="I20" s="339"/>
    </row>
  </sheetData>
  <mergeCells count="11">
    <mergeCell ref="A1:I2"/>
    <mergeCell ref="A3:A5"/>
    <mergeCell ref="C3:C5"/>
    <mergeCell ref="F3:F5"/>
    <mergeCell ref="G3:H3"/>
    <mergeCell ref="G4:G5"/>
    <mergeCell ref="H4:H5"/>
    <mergeCell ref="I3:I5"/>
    <mergeCell ref="B3:B5"/>
    <mergeCell ref="E3:E5"/>
    <mergeCell ref="D3:D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62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5"/>
  <sheetViews>
    <sheetView tabSelected="1" showWhiteSpace="0" zoomScale="73" zoomScaleNormal="73" zoomScaleSheetLayoutView="36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17" sqref="D17"/>
    </sheetView>
  </sheetViews>
  <sheetFormatPr defaultColWidth="9.109375" defaultRowHeight="12" outlineLevelCol="1" x14ac:dyDescent="0.25"/>
  <cols>
    <col min="1" max="1" width="10.44140625" style="308" customWidth="1"/>
    <col min="2" max="2" width="56.33203125" style="308" customWidth="1"/>
    <col min="3" max="3" width="20.6640625" style="342" customWidth="1"/>
    <col min="4" max="4" width="8.6640625" style="342" customWidth="1"/>
    <col min="5" max="5" width="19.88671875" style="342" customWidth="1" outlineLevel="1"/>
    <col min="6" max="6" width="21.6640625" style="342" customWidth="1"/>
    <col min="7" max="8" width="19.88671875" style="342" customWidth="1"/>
    <col min="9" max="9" width="24.109375" style="342" customWidth="1"/>
    <col min="10" max="11" width="18.5546875" style="342" customWidth="1"/>
    <col min="12" max="12" width="39.109375" style="342" customWidth="1"/>
    <col min="13" max="13" width="21.5546875" style="308" customWidth="1"/>
    <col min="14" max="14" width="36.77734375" style="308" customWidth="1"/>
    <col min="15" max="15" width="16.44140625" style="308" customWidth="1"/>
    <col min="16" max="16384" width="9.109375" style="308"/>
  </cols>
  <sheetData>
    <row r="1" spans="1:39" ht="16.95" customHeight="1" x14ac:dyDescent="0.25">
      <c r="A1" s="651" t="s">
        <v>210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</row>
    <row r="2" spans="1:39" ht="59.4" customHeight="1" thickBot="1" x14ac:dyDescent="0.3">
      <c r="A2" s="668"/>
      <c r="B2" s="668"/>
      <c r="C2" s="668"/>
      <c r="D2" s="668"/>
      <c r="E2" s="668"/>
      <c r="F2" s="668"/>
      <c r="G2" s="668"/>
      <c r="H2" s="668"/>
      <c r="I2" s="668"/>
      <c r="J2" s="668"/>
      <c r="K2" s="668"/>
      <c r="L2" s="668"/>
    </row>
    <row r="3" spans="1:39" ht="17.399999999999999" customHeight="1" x14ac:dyDescent="0.25">
      <c r="A3" s="652" t="s">
        <v>124</v>
      </c>
      <c r="B3" s="665" t="s">
        <v>185</v>
      </c>
      <c r="C3" s="655" t="s">
        <v>194</v>
      </c>
      <c r="D3" s="669" t="s">
        <v>195</v>
      </c>
      <c r="E3" s="670"/>
      <c r="F3" s="670"/>
      <c r="G3" s="670"/>
      <c r="H3" s="670"/>
      <c r="I3" s="670"/>
      <c r="J3" s="671"/>
      <c r="K3" s="676" t="s">
        <v>217</v>
      </c>
      <c r="L3" s="662" t="s">
        <v>190</v>
      </c>
    </row>
    <row r="4" spans="1:39" ht="12.6" customHeight="1" x14ac:dyDescent="0.25">
      <c r="A4" s="653"/>
      <c r="B4" s="666"/>
      <c r="C4" s="656"/>
      <c r="D4" s="672"/>
      <c r="E4" s="673"/>
      <c r="F4" s="673"/>
      <c r="G4" s="673"/>
      <c r="H4" s="673"/>
      <c r="I4" s="673"/>
      <c r="J4" s="674"/>
      <c r="K4" s="677"/>
      <c r="L4" s="663"/>
    </row>
    <row r="5" spans="1:39" ht="40.950000000000003" customHeight="1" thickBot="1" x14ac:dyDescent="0.3">
      <c r="A5" s="654"/>
      <c r="B5" s="675"/>
      <c r="C5" s="656"/>
      <c r="D5" s="553" t="s">
        <v>126</v>
      </c>
      <c r="E5" s="553" t="s">
        <v>209</v>
      </c>
      <c r="F5" s="553" t="s">
        <v>198</v>
      </c>
      <c r="G5" s="553" t="s">
        <v>192</v>
      </c>
      <c r="H5" s="553" t="s">
        <v>191</v>
      </c>
      <c r="I5" s="553" t="s">
        <v>9</v>
      </c>
      <c r="J5" s="553" t="s">
        <v>189</v>
      </c>
      <c r="K5" s="661"/>
      <c r="L5" s="664"/>
    </row>
    <row r="6" spans="1:39" s="323" customFormat="1" ht="49.2" customHeight="1" x14ac:dyDescent="0.25">
      <c r="A6" s="577" t="s">
        <v>53</v>
      </c>
      <c r="B6" s="580" t="s">
        <v>212</v>
      </c>
      <c r="C6" s="557">
        <v>6911341.5800000001</v>
      </c>
      <c r="D6" s="578" t="s">
        <v>53</v>
      </c>
      <c r="E6" s="569">
        <f t="shared" ref="E6:E13" si="0">IFERROR(VALUE(MID(D6,2,LEN(D6)-1)),"")</f>
        <v>1</v>
      </c>
      <c r="F6" s="570">
        <v>984600.24</v>
      </c>
      <c r="G6" s="565"/>
      <c r="H6" s="565">
        <v>984600.24</v>
      </c>
      <c r="I6" s="549" t="s">
        <v>197</v>
      </c>
      <c r="J6" s="557" t="s">
        <v>222</v>
      </c>
      <c r="K6" s="567"/>
      <c r="L6" s="567"/>
      <c r="M6" s="533" t="s">
        <v>200</v>
      </c>
      <c r="N6" s="554" t="s">
        <v>201</v>
      </c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</row>
    <row r="7" spans="1:39" s="323" customFormat="1" ht="52.95" customHeight="1" x14ac:dyDescent="0.25">
      <c r="A7" s="577" t="s">
        <v>53</v>
      </c>
      <c r="B7" s="585"/>
      <c r="C7" s="567"/>
      <c r="D7" s="578" t="s">
        <v>69</v>
      </c>
      <c r="E7" s="569">
        <f t="shared" ref="E7:E8" si="1">IFERROR(VALUE(MID(D7,2,LEN(D7)-1)),"")</f>
        <v>2</v>
      </c>
      <c r="F7" s="568">
        <v>1252857.3600000001</v>
      </c>
      <c r="G7" s="549"/>
      <c r="H7" s="557">
        <v>1252857.3600000001</v>
      </c>
      <c r="I7" s="549" t="s">
        <v>197</v>
      </c>
      <c r="J7" s="557" t="s">
        <v>222</v>
      </c>
      <c r="K7" s="557"/>
      <c r="L7" s="542"/>
      <c r="M7" s="307"/>
      <c r="N7" s="536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</row>
    <row r="8" spans="1:39" s="323" customFormat="1" ht="52.95" customHeight="1" x14ac:dyDescent="0.25">
      <c r="A8" s="577" t="s">
        <v>53</v>
      </c>
      <c r="B8" s="585"/>
      <c r="C8" s="567"/>
      <c r="D8" s="578" t="s">
        <v>70</v>
      </c>
      <c r="E8" s="569">
        <f t="shared" si="1"/>
        <v>3</v>
      </c>
      <c r="F8" s="568">
        <v>1416306.48</v>
      </c>
      <c r="G8" s="549"/>
      <c r="H8" s="557">
        <v>1416306.48</v>
      </c>
      <c r="I8" s="549" t="s">
        <v>197</v>
      </c>
      <c r="J8" s="557" t="s">
        <v>222</v>
      </c>
      <c r="K8" s="557"/>
      <c r="L8" s="542"/>
      <c r="M8" s="307"/>
      <c r="N8" s="536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</row>
    <row r="9" spans="1:39" s="323" customFormat="1" ht="52.95" customHeight="1" x14ac:dyDescent="0.25">
      <c r="A9" s="577" t="s">
        <v>53</v>
      </c>
      <c r="B9" s="585"/>
      <c r="C9" s="567"/>
      <c r="D9" s="578" t="s">
        <v>71</v>
      </c>
      <c r="E9" s="569">
        <f t="shared" si="0"/>
        <v>4</v>
      </c>
      <c r="F9" s="568">
        <v>1248915.05</v>
      </c>
      <c r="G9" s="549">
        <v>80296.09</v>
      </c>
      <c r="H9" s="557">
        <v>1168618.96</v>
      </c>
      <c r="I9" s="549" t="s">
        <v>197</v>
      </c>
      <c r="J9" s="557" t="s">
        <v>225</v>
      </c>
      <c r="K9" s="557" t="s">
        <v>223</v>
      </c>
      <c r="L9" s="542"/>
      <c r="M9" s="307"/>
      <c r="N9" s="536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</row>
    <row r="10" spans="1:39" s="323" customFormat="1" ht="52.95" customHeight="1" x14ac:dyDescent="0.25">
      <c r="A10" s="577" t="s">
        <v>53</v>
      </c>
      <c r="B10" s="585"/>
      <c r="C10" s="567"/>
      <c r="D10" s="578" t="s">
        <v>72</v>
      </c>
      <c r="E10" s="569">
        <f t="shared" si="0"/>
        <v>5</v>
      </c>
      <c r="F10" s="568">
        <v>1371710.9246875001</v>
      </c>
      <c r="G10" s="549">
        <v>811132.12468749995</v>
      </c>
      <c r="H10" s="557">
        <v>560578.80000000005</v>
      </c>
      <c r="I10" s="549" t="s">
        <v>197</v>
      </c>
      <c r="J10" s="557" t="s">
        <v>225</v>
      </c>
      <c r="K10" s="557" t="s">
        <v>223</v>
      </c>
      <c r="L10" s="542"/>
      <c r="M10" s="307"/>
      <c r="N10" s="536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</row>
    <row r="11" spans="1:39" s="323" customFormat="1" ht="46.2" customHeight="1" x14ac:dyDescent="0.25">
      <c r="A11" s="586" t="s">
        <v>220</v>
      </c>
      <c r="B11" s="587" t="s">
        <v>213</v>
      </c>
      <c r="C11" s="581">
        <v>5392656.5143955927</v>
      </c>
      <c r="D11" s="562" t="s">
        <v>53</v>
      </c>
      <c r="E11" s="569">
        <f t="shared" si="0"/>
        <v>1</v>
      </c>
      <c r="F11" s="539">
        <v>530072.60988</v>
      </c>
      <c r="G11" s="549">
        <v>250580.20988000004</v>
      </c>
      <c r="H11" s="549">
        <v>279492.40000000002</v>
      </c>
      <c r="I11" s="549" t="s">
        <v>197</v>
      </c>
      <c r="J11" s="557" t="s">
        <v>224</v>
      </c>
      <c r="K11" s="557" t="s">
        <v>223</v>
      </c>
      <c r="L11" s="543"/>
      <c r="M11" s="533" t="s">
        <v>193</v>
      </c>
      <c r="N11" s="554" t="s">
        <v>202</v>
      </c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</row>
    <row r="12" spans="1:39" s="323" customFormat="1" ht="46.2" customHeight="1" x14ac:dyDescent="0.25">
      <c r="A12" s="586" t="s">
        <v>220</v>
      </c>
      <c r="B12" s="588"/>
      <c r="C12" s="582"/>
      <c r="D12" s="562" t="s">
        <v>69</v>
      </c>
      <c r="E12" s="569">
        <f t="shared" si="0"/>
        <v>2</v>
      </c>
      <c r="F12" s="539">
        <v>1811664.554245</v>
      </c>
      <c r="G12" s="549">
        <v>1097904.554245</v>
      </c>
      <c r="H12" s="549">
        <v>713760</v>
      </c>
      <c r="I12" s="549" t="s">
        <v>197</v>
      </c>
      <c r="J12" s="557" t="s">
        <v>226</v>
      </c>
      <c r="K12" s="557"/>
      <c r="L12" s="543"/>
      <c r="M12" s="533"/>
      <c r="N12" s="554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</row>
    <row r="13" spans="1:39" s="323" customFormat="1" ht="39.75" customHeight="1" x14ac:dyDescent="0.25">
      <c r="A13" s="552" t="s">
        <v>221</v>
      </c>
      <c r="B13" s="579" t="s">
        <v>219</v>
      </c>
      <c r="C13" s="584">
        <v>123240</v>
      </c>
      <c r="D13" s="541" t="s">
        <v>53</v>
      </c>
      <c r="E13" s="569">
        <f t="shared" si="0"/>
        <v>1</v>
      </c>
      <c r="F13" s="539">
        <v>112440</v>
      </c>
      <c r="G13" s="549"/>
      <c r="H13" s="549">
        <v>112440</v>
      </c>
      <c r="I13" s="549" t="s">
        <v>197</v>
      </c>
      <c r="J13" s="557" t="s">
        <v>225</v>
      </c>
      <c r="K13" s="557"/>
      <c r="L13" s="542"/>
      <c r="M13" s="307" t="s">
        <v>187</v>
      </c>
      <c r="N13" s="554" t="s">
        <v>203</v>
      </c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</row>
    <row r="14" spans="1:39" s="323" customFormat="1" ht="39.75" customHeight="1" x14ac:dyDescent="0.25">
      <c r="A14" s="552" t="s">
        <v>72</v>
      </c>
      <c r="B14" s="545"/>
      <c r="C14" s="545"/>
      <c r="D14" s="541"/>
      <c r="E14" s="550"/>
      <c r="F14" s="539"/>
      <c r="G14" s="549"/>
      <c r="H14" s="549"/>
      <c r="I14" s="549"/>
      <c r="J14" s="557"/>
      <c r="K14" s="557"/>
      <c r="L14" s="540"/>
      <c r="M14" s="533"/>
      <c r="N14" s="575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</row>
    <row r="15" spans="1:39" s="323" customFormat="1" ht="39.75" customHeight="1" x14ac:dyDescent="0.25">
      <c r="A15" s="552" t="s">
        <v>73</v>
      </c>
      <c r="B15" s="545"/>
      <c r="C15" s="545"/>
      <c r="D15" s="541"/>
      <c r="E15" s="550"/>
      <c r="F15" s="539"/>
      <c r="G15" s="549"/>
      <c r="H15" s="549"/>
      <c r="I15" s="549"/>
      <c r="J15" s="557"/>
      <c r="K15" s="557"/>
      <c r="L15" s="540"/>
      <c r="M15" s="533"/>
      <c r="N15" s="576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</row>
    <row r="16" spans="1:39" s="323" customFormat="1" ht="39.75" customHeight="1" x14ac:dyDescent="0.25">
      <c r="A16" s="552" t="s">
        <v>74</v>
      </c>
      <c r="B16" s="545"/>
      <c r="C16" s="545"/>
      <c r="D16" s="560"/>
      <c r="E16" s="550"/>
      <c r="F16" s="539"/>
      <c r="G16" s="549"/>
      <c r="H16" s="549"/>
      <c r="I16" s="548"/>
      <c r="J16" s="557"/>
      <c r="K16" s="557"/>
      <c r="L16" s="555"/>
      <c r="M16" s="533"/>
      <c r="N16" s="576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</row>
    <row r="17" spans="1:39" s="323" customFormat="1" ht="38.25" customHeight="1" x14ac:dyDescent="0.25">
      <c r="A17" s="552" t="s">
        <v>77</v>
      </c>
      <c r="B17" s="545"/>
      <c r="C17" s="545"/>
      <c r="D17" s="562"/>
      <c r="E17" s="550"/>
      <c r="F17" s="539"/>
      <c r="G17" s="549"/>
      <c r="H17" s="549"/>
      <c r="I17" s="549"/>
      <c r="J17" s="549"/>
      <c r="K17" s="549"/>
      <c r="L17" s="543"/>
      <c r="M17" s="307"/>
      <c r="N17" s="576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</row>
    <row r="18" spans="1:39" s="323" customFormat="1" ht="38.25" customHeight="1" x14ac:dyDescent="0.25">
      <c r="A18" s="552" t="s">
        <v>78</v>
      </c>
      <c r="B18" s="545"/>
      <c r="C18" s="545"/>
      <c r="D18" s="562"/>
      <c r="E18" s="550"/>
      <c r="F18" s="539"/>
      <c r="G18" s="549"/>
      <c r="H18" s="549"/>
      <c r="I18" s="549"/>
      <c r="J18" s="557"/>
      <c r="K18" s="557"/>
      <c r="L18" s="543"/>
      <c r="M18" s="307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</row>
    <row r="19" spans="1:39" s="323" customFormat="1" ht="38.25" customHeight="1" x14ac:dyDescent="0.25">
      <c r="A19" s="552" t="s">
        <v>76</v>
      </c>
      <c r="B19" s="545"/>
      <c r="C19" s="545"/>
      <c r="D19" s="562"/>
      <c r="E19" s="550"/>
      <c r="F19" s="539"/>
      <c r="G19" s="549"/>
      <c r="H19" s="549"/>
      <c r="I19" s="549"/>
      <c r="J19" s="557"/>
      <c r="K19" s="557"/>
      <c r="L19" s="543"/>
      <c r="M19" s="307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</row>
    <row r="20" spans="1:39" s="323" customFormat="1" ht="38.25" customHeight="1" x14ac:dyDescent="0.25">
      <c r="A20" s="552" t="s">
        <v>79</v>
      </c>
      <c r="B20" s="545"/>
      <c r="C20" s="545"/>
      <c r="D20" s="562"/>
      <c r="E20" s="550"/>
      <c r="F20" s="539"/>
      <c r="G20" s="549"/>
      <c r="H20" s="549"/>
      <c r="I20" s="549"/>
      <c r="J20" s="557"/>
      <c r="K20" s="557"/>
      <c r="L20" s="542"/>
      <c r="M20" s="307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</row>
    <row r="21" spans="1:39" s="323" customFormat="1" ht="38.25" customHeight="1" x14ac:dyDescent="0.25">
      <c r="A21" s="552" t="s">
        <v>75</v>
      </c>
      <c r="B21" s="545"/>
      <c r="C21" s="545"/>
      <c r="D21" s="562"/>
      <c r="E21" s="550"/>
      <c r="F21" s="539"/>
      <c r="G21" s="549"/>
      <c r="H21" s="549"/>
      <c r="I21" s="549"/>
      <c r="J21" s="543"/>
      <c r="K21" s="543"/>
      <c r="L21" s="555"/>
      <c r="M21" s="307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</row>
    <row r="22" spans="1:39" s="323" customFormat="1" ht="38.25" customHeight="1" x14ac:dyDescent="0.25">
      <c r="A22" s="552" t="s">
        <v>80</v>
      </c>
      <c r="B22" s="545"/>
      <c r="C22" s="545"/>
      <c r="D22" s="562"/>
      <c r="E22" s="550"/>
      <c r="F22" s="539"/>
      <c r="G22" s="549"/>
      <c r="H22" s="549"/>
      <c r="I22" s="549"/>
      <c r="J22" s="557"/>
      <c r="K22" s="557"/>
      <c r="L22" s="555"/>
      <c r="M22" s="307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</row>
    <row r="23" spans="1:39" s="323" customFormat="1" ht="38.25" customHeight="1" x14ac:dyDescent="0.25">
      <c r="A23" s="552" t="s">
        <v>81</v>
      </c>
      <c r="B23" s="545"/>
      <c r="C23" s="545"/>
      <c r="D23" s="563"/>
      <c r="E23" s="550"/>
      <c r="F23" s="539"/>
      <c r="G23" s="549"/>
      <c r="H23" s="549"/>
      <c r="I23" s="548"/>
      <c r="J23" s="557"/>
      <c r="K23" s="557"/>
      <c r="L23" s="555"/>
      <c r="M23" s="307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  <c r="AM23" s="318"/>
    </row>
    <row r="24" spans="1:39" s="323" customFormat="1" ht="36" customHeight="1" x14ac:dyDescent="0.25">
      <c r="A24" s="552" t="s">
        <v>158</v>
      </c>
      <c r="B24" s="545"/>
      <c r="C24" s="545"/>
      <c r="D24" s="562"/>
      <c r="E24" s="550"/>
      <c r="F24" s="539"/>
      <c r="G24" s="549"/>
      <c r="H24" s="549"/>
      <c r="I24" s="549"/>
      <c r="J24" s="557"/>
      <c r="K24" s="557"/>
      <c r="L24" s="543"/>
      <c r="M24" s="534" t="s">
        <v>197</v>
      </c>
      <c r="N24" s="554" t="s">
        <v>204</v>
      </c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  <c r="AM24" s="318"/>
    </row>
    <row r="25" spans="1:39" s="323" customFormat="1" ht="33" customHeight="1" x14ac:dyDescent="0.25">
      <c r="A25" s="552" t="s">
        <v>169</v>
      </c>
      <c r="B25" s="545"/>
      <c r="C25" s="545"/>
      <c r="D25" s="562"/>
      <c r="E25" s="550"/>
      <c r="F25" s="539"/>
      <c r="G25" s="549"/>
      <c r="H25" s="549"/>
      <c r="I25" s="549"/>
      <c r="J25" s="549"/>
      <c r="K25" s="549"/>
      <c r="L25" s="543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</row>
    <row r="26" spans="1:39" s="323" customFormat="1" ht="32.4" customHeight="1" x14ac:dyDescent="0.25">
      <c r="A26" s="552" t="s">
        <v>170</v>
      </c>
      <c r="B26" s="545"/>
      <c r="C26" s="545"/>
      <c r="D26" s="562"/>
      <c r="E26" s="550"/>
      <c r="F26" s="539"/>
      <c r="G26" s="549"/>
      <c r="H26" s="549"/>
      <c r="I26" s="542"/>
      <c r="J26" s="549"/>
      <c r="K26" s="549"/>
      <c r="L26" s="543"/>
      <c r="M26" s="318"/>
      <c r="N26" s="535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</row>
    <row r="27" spans="1:39" s="323" customFormat="1" ht="32.4" customHeight="1" x14ac:dyDescent="0.25">
      <c r="A27" s="552" t="s">
        <v>171</v>
      </c>
      <c r="B27" s="545"/>
      <c r="C27" s="545"/>
      <c r="D27" s="562"/>
      <c r="E27" s="550"/>
      <c r="F27" s="539"/>
      <c r="G27" s="549"/>
      <c r="H27" s="549"/>
      <c r="I27" s="549"/>
      <c r="J27" s="557"/>
      <c r="K27" s="557"/>
      <c r="L27" s="543"/>
      <c r="M27" s="318"/>
      <c r="N27" s="535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</row>
    <row r="28" spans="1:39" s="323" customFormat="1" ht="32.4" customHeight="1" x14ac:dyDescent="0.25">
      <c r="A28" s="552" t="s">
        <v>172</v>
      </c>
      <c r="B28" s="545"/>
      <c r="C28" s="545"/>
      <c r="D28" s="562"/>
      <c r="E28" s="550"/>
      <c r="F28" s="539"/>
      <c r="G28" s="549"/>
      <c r="H28" s="549"/>
      <c r="I28" s="549"/>
      <c r="J28" s="557"/>
      <c r="K28" s="557"/>
      <c r="L28" s="561"/>
      <c r="M28" s="318"/>
      <c r="N28" s="535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  <c r="AM28" s="318"/>
    </row>
    <row r="29" spans="1:39" s="323" customFormat="1" ht="38.25" customHeight="1" x14ac:dyDescent="0.25">
      <c r="A29" s="552" t="s">
        <v>196</v>
      </c>
      <c r="B29" s="545"/>
      <c r="C29" s="545"/>
      <c r="D29" s="563"/>
      <c r="E29" s="550"/>
      <c r="F29" s="539"/>
      <c r="G29" s="549"/>
      <c r="H29" s="549"/>
      <c r="I29" s="548"/>
      <c r="J29" s="557"/>
      <c r="K29" s="557"/>
      <c r="L29" s="555"/>
      <c r="M29" s="307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  <c r="AM29" s="318"/>
    </row>
    <row r="30" spans="1:39" s="324" customFormat="1" ht="22.95" customHeight="1" x14ac:dyDescent="0.25">
      <c r="A30" s="546"/>
      <c r="B30" s="546" t="s">
        <v>47</v>
      </c>
      <c r="C30" s="547">
        <f>SUM(C6:C29)</f>
        <v>12427238.094395593</v>
      </c>
      <c r="D30" s="559"/>
      <c r="E30" s="559"/>
      <c r="F30" s="547">
        <f>SUM(F6:F29)</f>
        <v>8728567.2188125011</v>
      </c>
      <c r="G30" s="547">
        <f>SUM(G6:G29)</f>
        <v>2239912.9788124999</v>
      </c>
      <c r="H30" s="547">
        <f>SUM(H6:H29)</f>
        <v>6488654.2400000002</v>
      </c>
      <c r="I30" s="547"/>
      <c r="J30" s="547"/>
      <c r="K30" s="547"/>
      <c r="L30" s="547"/>
    </row>
    <row r="31" spans="1:39" x14ac:dyDescent="0.25">
      <c r="C31" s="339"/>
      <c r="D31" s="339"/>
      <c r="E31" s="339"/>
      <c r="F31" s="339"/>
      <c r="G31" s="339"/>
      <c r="H31" s="339"/>
      <c r="I31" s="339"/>
      <c r="J31" s="339"/>
      <c r="K31" s="339"/>
      <c r="L31" s="339"/>
    </row>
    <row r="32" spans="1:39" x14ac:dyDescent="0.25">
      <c r="C32" s="339"/>
      <c r="D32" s="339"/>
      <c r="E32" s="339"/>
      <c r="F32" s="339"/>
      <c r="G32" s="339"/>
      <c r="H32" s="339"/>
      <c r="I32" s="339"/>
      <c r="J32" s="339"/>
      <c r="K32" s="339"/>
      <c r="L32" s="339"/>
    </row>
    <row r="33" spans="3:12" x14ac:dyDescent="0.25">
      <c r="C33" s="339"/>
      <c r="D33" s="339"/>
      <c r="E33" s="339"/>
      <c r="F33" s="339"/>
      <c r="G33" s="339"/>
      <c r="H33" s="339"/>
      <c r="I33" s="339"/>
      <c r="J33" s="339"/>
      <c r="K33" s="339"/>
      <c r="L33" s="339"/>
    </row>
    <row r="34" spans="3:12" x14ac:dyDescent="0.25">
      <c r="C34" s="339"/>
      <c r="D34" s="339"/>
      <c r="E34" s="339"/>
      <c r="F34" s="339"/>
      <c r="G34" s="339"/>
      <c r="H34" s="339"/>
      <c r="I34" s="339"/>
      <c r="J34" s="339"/>
      <c r="K34" s="339"/>
      <c r="L34" s="339"/>
    </row>
    <row r="35" spans="3:12" x14ac:dyDescent="0.25">
      <c r="C35" s="339"/>
      <c r="D35" s="339"/>
      <c r="E35" s="339"/>
      <c r="F35" s="339"/>
      <c r="G35" s="339"/>
      <c r="H35" s="339"/>
      <c r="I35" s="339"/>
      <c r="J35" s="339"/>
      <c r="K35" s="339"/>
      <c r="L35" s="339"/>
    </row>
  </sheetData>
  <autoFilter ref="A5:AM30"/>
  <mergeCells count="7">
    <mergeCell ref="A1:L2"/>
    <mergeCell ref="L3:L5"/>
    <mergeCell ref="D3:J4"/>
    <mergeCell ref="A3:A5"/>
    <mergeCell ref="B3:B5"/>
    <mergeCell ref="C3:C5"/>
    <mergeCell ref="K3:K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6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678" t="s">
        <v>149</v>
      </c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  <c r="N2" s="678"/>
      <c r="O2" s="678"/>
      <c r="P2" s="678"/>
      <c r="Q2" s="678"/>
      <c r="R2" s="678"/>
      <c r="S2" s="678"/>
      <c r="T2" s="678"/>
      <c r="U2" s="678"/>
      <c r="V2" s="678"/>
      <c r="W2" s="678"/>
      <c r="X2" s="678"/>
      <c r="Y2" s="678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679" t="s">
        <v>118</v>
      </c>
      <c r="B4" s="682" t="s">
        <v>2</v>
      </c>
      <c r="C4" s="685" t="s">
        <v>119</v>
      </c>
      <c r="D4" s="686"/>
      <c r="E4" s="689" t="s">
        <v>120</v>
      </c>
      <c r="F4" s="692" t="s">
        <v>121</v>
      </c>
      <c r="G4" s="693"/>
      <c r="H4" s="693"/>
      <c r="I4" s="693"/>
      <c r="J4" s="693"/>
      <c r="K4" s="693"/>
      <c r="L4" s="693"/>
      <c r="M4" s="693"/>
      <c r="N4" s="693"/>
      <c r="O4" s="693"/>
      <c r="P4" s="693"/>
      <c r="Q4" s="693"/>
      <c r="R4" s="693"/>
      <c r="S4" s="693"/>
      <c r="T4" s="693"/>
      <c r="U4" s="693"/>
      <c r="V4" s="693"/>
      <c r="W4" s="694"/>
      <c r="X4" s="512"/>
      <c r="Y4" s="685" t="s">
        <v>122</v>
      </c>
      <c r="Z4" s="695"/>
      <c r="AA4" s="686"/>
      <c r="AB4" s="697" t="s">
        <v>123</v>
      </c>
      <c r="AC4" s="698"/>
      <c r="AD4" s="699"/>
    </row>
    <row r="5" spans="1:30" ht="15.45" customHeight="1" x14ac:dyDescent="0.25">
      <c r="A5" s="680"/>
      <c r="B5" s="683"/>
      <c r="C5" s="687"/>
      <c r="D5" s="688"/>
      <c r="E5" s="690"/>
      <c r="F5" s="692" t="s">
        <v>143</v>
      </c>
      <c r="G5" s="694"/>
      <c r="H5" s="692" t="s">
        <v>144</v>
      </c>
      <c r="I5" s="694"/>
      <c r="J5" s="692" t="s">
        <v>145</v>
      </c>
      <c r="K5" s="694"/>
      <c r="L5" s="692" t="s">
        <v>156</v>
      </c>
      <c r="M5" s="694"/>
      <c r="N5" s="692" t="s">
        <v>155</v>
      </c>
      <c r="O5" s="694"/>
      <c r="P5" s="692" t="s">
        <v>159</v>
      </c>
      <c r="Q5" s="694"/>
      <c r="R5" s="692" t="s">
        <v>166</v>
      </c>
      <c r="S5" s="694"/>
      <c r="T5" s="692"/>
      <c r="U5" s="694"/>
      <c r="V5" s="692"/>
      <c r="W5" s="694"/>
      <c r="X5" s="513"/>
      <c r="Y5" s="687"/>
      <c r="Z5" s="696"/>
      <c r="AA5" s="688"/>
      <c r="AB5" s="700"/>
      <c r="AC5" s="701"/>
      <c r="AD5" s="702"/>
    </row>
    <row r="6" spans="1:30" ht="27.75" customHeight="1" x14ac:dyDescent="0.25">
      <c r="A6" s="681"/>
      <c r="B6" s="684"/>
      <c r="C6" s="314" t="s">
        <v>124</v>
      </c>
      <c r="D6" s="315" t="s">
        <v>125</v>
      </c>
      <c r="E6" s="691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713">
        <v>1</v>
      </c>
      <c r="B8" s="729" t="s">
        <v>95</v>
      </c>
      <c r="C8" s="703" t="s">
        <v>53</v>
      </c>
      <c r="D8" s="707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710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727"/>
      <c r="B9" s="730"/>
      <c r="C9" s="704"/>
      <c r="D9" s="708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711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727"/>
      <c r="B10" s="730"/>
      <c r="C10" s="704"/>
      <c r="D10" s="708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711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727"/>
      <c r="B11" s="730"/>
      <c r="C11" s="704"/>
      <c r="D11" s="708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711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727"/>
      <c r="B12" s="730"/>
      <c r="C12" s="704"/>
      <c r="D12" s="708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711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727"/>
      <c r="B13" s="730"/>
      <c r="C13" s="704"/>
      <c r="D13" s="708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711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727"/>
      <c r="B14" s="730"/>
      <c r="C14" s="704"/>
      <c r="D14" s="708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711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727"/>
      <c r="B15" s="730"/>
      <c r="C15" s="704"/>
      <c r="D15" s="708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711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727"/>
      <c r="B16" s="730"/>
      <c r="C16" s="704"/>
      <c r="D16" s="708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711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727"/>
      <c r="B17" s="730"/>
      <c r="C17" s="704"/>
      <c r="D17" s="708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711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727"/>
      <c r="B18" s="730"/>
      <c r="C18" s="704"/>
      <c r="D18" s="708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711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727"/>
      <c r="B19" s="730"/>
      <c r="C19" s="704"/>
      <c r="D19" s="708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711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727"/>
      <c r="B20" s="730"/>
      <c r="C20" s="704"/>
      <c r="D20" s="708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711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727"/>
      <c r="B21" s="730"/>
      <c r="C21" s="705"/>
      <c r="D21" s="708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711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728"/>
      <c r="B22" s="731"/>
      <c r="C22" s="706"/>
      <c r="D22" s="709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712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722">
        <v>2</v>
      </c>
      <c r="B25" s="723" t="s">
        <v>157</v>
      </c>
      <c r="C25" s="683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725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715"/>
      <c r="B26" s="724"/>
      <c r="C26" s="706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726"/>
      <c r="AB26" s="418"/>
      <c r="AC26" s="418"/>
      <c r="AD26" s="419"/>
    </row>
    <row r="27" spans="1:30" s="323" customFormat="1" ht="12" customHeight="1" x14ac:dyDescent="0.25">
      <c r="A27" s="713">
        <v>3</v>
      </c>
      <c r="B27" s="716" t="s">
        <v>98</v>
      </c>
      <c r="C27" s="510"/>
      <c r="D27" s="719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714"/>
      <c r="B28" s="717"/>
      <c r="C28" s="511"/>
      <c r="D28" s="720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715"/>
      <c r="B29" s="718"/>
      <c r="C29" s="397"/>
      <c r="D29" s="721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732">
        <f>A8+1</f>
        <v>2</v>
      </c>
      <c r="B30" s="733" t="s">
        <v>152</v>
      </c>
      <c r="C30" s="736" t="s">
        <v>69</v>
      </c>
      <c r="D30" s="737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740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741"/>
      <c r="B31" s="743"/>
      <c r="C31" s="745"/>
      <c r="D31" s="747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705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741"/>
      <c r="B32" s="743"/>
      <c r="C32" s="705"/>
      <c r="D32" s="747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705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741"/>
      <c r="B33" s="743"/>
      <c r="C33" s="705"/>
      <c r="D33" s="747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705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741"/>
      <c r="B34" s="743"/>
      <c r="C34" s="705"/>
      <c r="D34" s="747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705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741"/>
      <c r="B35" s="743"/>
      <c r="C35" s="705"/>
      <c r="D35" s="747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705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741"/>
      <c r="B36" s="743"/>
      <c r="C36" s="705"/>
      <c r="D36" s="747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705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741"/>
      <c r="B37" s="743"/>
      <c r="C37" s="705"/>
      <c r="D37" s="747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705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741"/>
      <c r="B38" s="743"/>
      <c r="C38" s="705"/>
      <c r="D38" s="747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705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741"/>
      <c r="B39" s="743"/>
      <c r="C39" s="705"/>
      <c r="D39" s="747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705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741"/>
      <c r="B40" s="743"/>
      <c r="C40" s="705"/>
      <c r="D40" s="747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705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741"/>
      <c r="B41" s="743"/>
      <c r="C41" s="705"/>
      <c r="D41" s="747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705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741"/>
      <c r="B42" s="743"/>
      <c r="C42" s="705"/>
      <c r="D42" s="747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705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741"/>
      <c r="B43" s="743"/>
      <c r="C43" s="705"/>
      <c r="D43" s="747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705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741"/>
      <c r="B44" s="743"/>
      <c r="C44" s="705"/>
      <c r="D44" s="747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705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742"/>
      <c r="B45" s="744"/>
      <c r="C45" s="706"/>
      <c r="D45" s="748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732">
        <v>3</v>
      </c>
      <c r="B47" s="733" t="s">
        <v>146</v>
      </c>
      <c r="C47" s="736" t="s">
        <v>70</v>
      </c>
      <c r="D47" s="737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749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741"/>
      <c r="B48" s="743"/>
      <c r="C48" s="745"/>
      <c r="D48" s="747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750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741"/>
      <c r="B49" s="743"/>
      <c r="C49" s="745"/>
      <c r="D49" s="747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750"/>
      <c r="AB49" s="415">
        <f>Z49</f>
        <v>197627.09</v>
      </c>
      <c r="AC49" s="415"/>
      <c r="AD49" s="443"/>
    </row>
    <row r="50" spans="1:30" s="323" customFormat="1" ht="12" customHeight="1" x14ac:dyDescent="0.25">
      <c r="A50" s="741"/>
      <c r="B50" s="743"/>
      <c r="C50" s="745"/>
      <c r="D50" s="747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750"/>
      <c r="AB50" s="415"/>
      <c r="AC50" s="415"/>
      <c r="AD50" s="443"/>
    </row>
    <row r="51" spans="1:30" s="323" customFormat="1" ht="12" customHeight="1" thickBot="1" x14ac:dyDescent="0.3">
      <c r="A51" s="741"/>
      <c r="B51" s="743"/>
      <c r="C51" s="745"/>
      <c r="D51" s="747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751"/>
      <c r="AB51" s="415"/>
      <c r="AC51" s="415"/>
      <c r="AD51" s="444"/>
    </row>
    <row r="52" spans="1:30" s="323" customFormat="1" ht="12.6" customHeight="1" thickBot="1" x14ac:dyDescent="0.3">
      <c r="A52" s="742"/>
      <c r="B52" s="744"/>
      <c r="C52" s="746"/>
      <c r="D52" s="748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732">
        <v>4</v>
      </c>
      <c r="B53" s="733" t="s">
        <v>151</v>
      </c>
      <c r="C53" s="736" t="s">
        <v>71</v>
      </c>
      <c r="D53" s="737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738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714"/>
      <c r="B54" s="734"/>
      <c r="C54" s="705"/>
      <c r="D54" s="705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739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714"/>
      <c r="B55" s="734"/>
      <c r="C55" s="705"/>
      <c r="D55" s="705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739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714"/>
      <c r="B56" s="734"/>
      <c r="C56" s="705"/>
      <c r="D56" s="705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739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714"/>
      <c r="B57" s="734"/>
      <c r="C57" s="705"/>
      <c r="D57" s="705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739"/>
      <c r="AB57" s="370"/>
      <c r="AC57" s="370"/>
      <c r="AD57" s="446"/>
    </row>
    <row r="58" spans="1:30" s="323" customFormat="1" ht="13.2" customHeight="1" thickBot="1" x14ac:dyDescent="0.3">
      <c r="A58" s="715"/>
      <c r="B58" s="735"/>
      <c r="C58" s="706"/>
      <c r="D58" s="706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732">
        <v>5</v>
      </c>
      <c r="B59" s="733" t="s">
        <v>154</v>
      </c>
      <c r="C59" s="736" t="s">
        <v>72</v>
      </c>
      <c r="D59" s="737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714"/>
      <c r="B60" s="734"/>
      <c r="C60" s="705"/>
      <c r="D60" s="705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714"/>
      <c r="B61" s="734"/>
      <c r="C61" s="705"/>
      <c r="D61" s="705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714"/>
      <c r="B62" s="734"/>
      <c r="C62" s="705"/>
      <c r="D62" s="705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714"/>
      <c r="B63" s="734"/>
      <c r="C63" s="705"/>
      <c r="D63" s="705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715"/>
      <c r="B64" s="735"/>
      <c r="C64" s="706"/>
      <c r="D64" s="706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  <mergeCell ref="A59:A64"/>
    <mergeCell ref="B59:B64"/>
    <mergeCell ref="C59:C64"/>
    <mergeCell ref="D59:D64"/>
    <mergeCell ref="A53:A58"/>
    <mergeCell ref="B53:B58"/>
    <mergeCell ref="C53:C58"/>
    <mergeCell ref="D53:D58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2:Y2"/>
    <mergeCell ref="A4:A6"/>
    <mergeCell ref="B4:B6"/>
    <mergeCell ref="C4:D5"/>
    <mergeCell ref="E4:E6"/>
    <mergeCell ref="F4:W4"/>
    <mergeCell ref="Y4:AA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752" t="s">
        <v>181</v>
      </c>
      <c r="B2" s="752"/>
      <c r="C2" s="752"/>
      <c r="D2" s="753"/>
      <c r="E2" s="753"/>
    </row>
    <row r="3" spans="1:5" ht="15" customHeight="1" x14ac:dyDescent="0.25">
      <c r="A3" s="309"/>
      <c r="B3" s="309"/>
      <c r="C3" s="309"/>
      <c r="D3" s="701" t="s">
        <v>182</v>
      </c>
      <c r="E3" s="701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727">
        <v>1</v>
      </c>
      <c r="B5" s="730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727"/>
      <c r="B6" s="730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727"/>
      <c r="B7" s="730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727"/>
      <c r="B8" s="730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727"/>
      <c r="B9" s="730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727"/>
      <c r="B10" s="730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727"/>
      <c r="B11" s="730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727"/>
      <c r="B12" s="730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727"/>
      <c r="B13" s="730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727"/>
      <c r="B14" s="730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727"/>
      <c r="B15" s="730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727"/>
      <c r="B16" s="730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727"/>
      <c r="B17" s="730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727"/>
      <c r="B18" s="730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727"/>
      <c r="B19" s="730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741">
        <f>A5+1</f>
        <v>2</v>
      </c>
      <c r="B23" s="743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741"/>
      <c r="B24" s="743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741"/>
      <c r="B25" s="743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741"/>
      <c r="B26" s="743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741"/>
      <c r="B27" s="743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741"/>
      <c r="B28" s="743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741"/>
      <c r="B29" s="743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741"/>
      <c r="B30" s="743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741"/>
      <c r="B31" s="743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741"/>
      <c r="B32" s="743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741"/>
      <c r="B33" s="743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741"/>
      <c r="B34" s="743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741"/>
      <c r="B35" s="743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741"/>
      <c r="B36" s="743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741"/>
      <c r="B37" s="743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741"/>
      <c r="B38" s="743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741"/>
      <c r="B39" s="743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741"/>
      <c r="B40" s="743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741"/>
      <c r="B41" s="743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741"/>
      <c r="B42" s="743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732">
        <v>3</v>
      </c>
      <c r="B43" s="733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741"/>
      <c r="B44" s="743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741"/>
      <c r="B45" s="743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741"/>
      <c r="B46" s="743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742"/>
      <c r="B47" s="744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732">
        <v>4</v>
      </c>
      <c r="B48" s="733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714"/>
      <c r="B49" s="734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714"/>
      <c r="B50" s="734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714"/>
      <c r="B51" s="734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754" t="s">
        <v>6</v>
      </c>
      <c r="B1" s="754"/>
      <c r="C1" s="754"/>
      <c r="D1" s="754"/>
      <c r="E1" s="754"/>
      <c r="F1" s="754"/>
    </row>
    <row r="2" spans="1:8" s="91" customFormat="1" ht="12.75" customHeight="1" x14ac:dyDescent="0.25">
      <c r="A2" s="755"/>
      <c r="B2" s="755"/>
      <c r="C2" s="755"/>
      <c r="D2" s="755"/>
      <c r="E2" s="755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Реєстр ДЦ </vt:lpstr>
      <vt:lpstr>РеєстрАВР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2024-09-30T08:37:48Z</cp:lastPrinted>
  <dcterms:created xsi:type="dcterms:W3CDTF">2016-07-15T13:11:41Z</dcterms:created>
  <dcterms:modified xsi:type="dcterms:W3CDTF">2024-12-20T11:04:08Z</dcterms:modified>
</cp:coreProperties>
</file>
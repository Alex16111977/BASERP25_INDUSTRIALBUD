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АСТАРТА ГЕНПОДРЯД\"/>
    </mc:Choice>
  </mc:AlternateContent>
  <bookViews>
    <workbookView xWindow="-108" yWindow="-108" windowWidth="23256" windowHeight="12456" activeTab="2"/>
  </bookViews>
  <sheets>
    <sheet name="16-20" sheetId="1" r:id="rId1"/>
    <sheet name="23-27" sheetId="2" r:id="rId2"/>
    <sheet name="ФАКТ" sheetId="3" r:id="rId3"/>
  </sheets>
  <definedNames>
    <definedName name="_xlnm._FilterDatabase" localSheetId="0" hidden="1">'16-20'!$D$5:$D$16</definedName>
    <definedName name="_xlnm._FilterDatabase" localSheetId="1" hidden="1">'23-27'!$D$5:$D$27</definedName>
    <definedName name="_xlnm._FilterDatabase" localSheetId="2" hidden="1">ФАКТ!$D$5:$D$29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8" i="3" l="1"/>
  <c r="D28" i="3" l="1"/>
  <c r="G21" i="3" l="1"/>
  <c r="E31" i="3" l="1"/>
  <c r="G29" i="3" l="1"/>
  <c r="G28" i="3" l="1"/>
  <c r="G31" i="3" s="1"/>
  <c r="D22" i="2" l="1"/>
  <c r="D17" i="2"/>
  <c r="D9" i="2"/>
  <c r="D29" i="2" l="1"/>
  <c r="D16" i="2" l="1"/>
  <c r="D15" i="2"/>
  <c r="D14" i="2"/>
  <c r="D13" i="2"/>
  <c r="D7" i="2"/>
  <c r="F27" i="2"/>
  <c r="D10" i="1"/>
  <c r="D26" i="2" l="1"/>
  <c r="F26" i="2" s="1"/>
  <c r="F29" i="2" s="1"/>
  <c r="D18" i="1" l="1"/>
  <c r="D15" i="1" l="1"/>
  <c r="F16" i="1" l="1"/>
  <c r="F15" i="1"/>
</calcChain>
</file>

<file path=xl/sharedStrings.xml><?xml version="1.0" encoding="utf-8"?>
<sst xmlns="http://schemas.openxmlformats.org/spreadsheetml/2006/main" count="224" uniqueCount="102">
  <si>
    <t xml:space="preserve"> Реєстр актів виконаних робіт з будівництва об’єкту: «Нове будівництво заводу з переробки соєвого шроту продуктивністю 500т/добу за адресою: вул. Володимирівська, 65-Д, м. Глобине, Кременчуцький район, Полтавська область»</t>
  </si>
  <si>
    <t>№ ДЦ</t>
  </si>
  <si>
    <t>Найменування договірної ціни</t>
  </si>
  <si>
    <t>АКТИ</t>
  </si>
  <si>
    <t>Коментарі</t>
  </si>
  <si>
    <t xml:space="preserve">№ акта </t>
  </si>
  <si>
    <t>Всього, грн з ПДВ</t>
  </si>
  <si>
    <t>Статус</t>
  </si>
  <si>
    <t>Сумма к оплате (за минусом 3% согласно договора)</t>
  </si>
  <si>
    <t xml:space="preserve">Согласованные, но еще не подписанные АВРы </t>
  </si>
  <si>
    <t>Локальний кошторис 1.14. Котельня. Побутовому корпусу. ТП 10/0,4кВ. Електрощитових поз.6 по ГП та димовій трубі поз. 6.1 по ГП</t>
  </si>
  <si>
    <t>№4-5/1.14-КМ</t>
  </si>
  <si>
    <t xml:space="preserve"> после подписания оригиналы будут отправлены</t>
  </si>
  <si>
    <t>Локальний кошторис 1.3 "Цех екстракції поз. 3 по ГП</t>
  </si>
  <si>
    <t>№4-5/1.3-КМ</t>
  </si>
  <si>
    <t>№14</t>
  </si>
  <si>
    <t>Локальний кошторис 1.9 СПК</t>
  </si>
  <si>
    <t>№6</t>
  </si>
  <si>
    <t>Локальний кошторис 1.5 Насосна Градирня</t>
  </si>
  <si>
    <t>№5</t>
  </si>
  <si>
    <t>ВСЬОГО:</t>
  </si>
  <si>
    <t>Локальний кошторис 1.25 Генплан</t>
  </si>
  <si>
    <t xml:space="preserve"> №1/1.25 </t>
  </si>
  <si>
    <t>№12</t>
  </si>
  <si>
    <t>20т поставка 18.12.2024</t>
  </si>
  <si>
    <t>№5-5/1.14-КМ</t>
  </si>
  <si>
    <t>роботи 12.12 по 19.12</t>
  </si>
  <si>
    <t>роботи 19.12 по 26.12</t>
  </si>
  <si>
    <t>поставка 100%</t>
  </si>
  <si>
    <t>№6-5/1.3-КМ</t>
  </si>
  <si>
    <t>№15</t>
  </si>
  <si>
    <t>№16</t>
  </si>
  <si>
    <t>Поставка 20.12</t>
  </si>
  <si>
    <t>№7-5/1.3-КМ</t>
  </si>
  <si>
    <t>№8-5/1.3-КМ</t>
  </si>
  <si>
    <t>№9-5/1.3-КМ</t>
  </si>
  <si>
    <t>Поставка 23.12</t>
  </si>
  <si>
    <t>Поставка 24.12</t>
  </si>
  <si>
    <t>Поставка 27.12</t>
  </si>
  <si>
    <t xml:space="preserve"> №2/1.25 </t>
  </si>
  <si>
    <t>№6-5/1.14-КМ</t>
  </si>
  <si>
    <t>Переделка м/к</t>
  </si>
  <si>
    <t>№13/1.14-КБ</t>
  </si>
  <si>
    <t>+</t>
  </si>
  <si>
    <t>№14/1.14-КБ</t>
  </si>
  <si>
    <t>№6/1.5-КБ</t>
  </si>
  <si>
    <t>№7/1.5-КБ</t>
  </si>
  <si>
    <t>Локальний кошторис 1.16 Пож. Резервуар</t>
  </si>
  <si>
    <t>№1/1.16-КБ</t>
  </si>
  <si>
    <t>Локальний кошторис 1.4 Розчинник</t>
  </si>
  <si>
    <t>№2/1.4-КБ</t>
  </si>
  <si>
    <t>№7/1.9-КБ</t>
  </si>
  <si>
    <t>№8/1.9-КБ</t>
  </si>
  <si>
    <t>Локальний кошторис 1.12 Меляса</t>
  </si>
  <si>
    <t>№1/1.12-КБ</t>
  </si>
  <si>
    <t>№7-5/1.14-КМ</t>
  </si>
  <si>
    <t>Монтаж м/к 20</t>
  </si>
  <si>
    <t>№10-5/1.3-КМ</t>
  </si>
  <si>
    <t>Р 9, Р 10, анкера</t>
  </si>
  <si>
    <t>Р 8, балки</t>
  </si>
  <si>
    <t>виконано</t>
  </si>
  <si>
    <t>Всього, грн з ПДВ 1 черга</t>
  </si>
  <si>
    <t>Всього, грн з ПДВ 2 черга</t>
  </si>
  <si>
    <t>№47 (№1)</t>
  </si>
  <si>
    <t>№48(№2)</t>
  </si>
  <si>
    <t>№15/1.3-КБ</t>
  </si>
  <si>
    <t>№49 (№3)</t>
  </si>
  <si>
    <t>№5/1.3-КМ</t>
  </si>
  <si>
    <t>№50 (№4)</t>
  </si>
  <si>
    <t>№5/1.14-КМ</t>
  </si>
  <si>
    <t>№51 (№5)</t>
  </si>
  <si>
    <t>№52 (№6)</t>
  </si>
  <si>
    <t>№16/1.3-КБ</t>
  </si>
  <si>
    <t>№53 (№7)</t>
  </si>
  <si>
    <t>№54 (№8)</t>
  </si>
  <si>
    <t>№55 (№9)</t>
  </si>
  <si>
    <t>№56 (№10)</t>
  </si>
  <si>
    <t>№57 (№11)</t>
  </si>
  <si>
    <t>№58 (№12)</t>
  </si>
  <si>
    <t>переделка мк</t>
  </si>
  <si>
    <t>№59 (№13)</t>
  </si>
  <si>
    <t>№60 (№14)</t>
  </si>
  <si>
    <t>№6/1.3-КМ</t>
  </si>
  <si>
    <t>№61 (№15)</t>
  </si>
  <si>
    <t>№62 (№16)</t>
  </si>
  <si>
    <t>данных нет</t>
  </si>
  <si>
    <t>монтаж мк</t>
  </si>
  <si>
    <t>№7/1.3-КМ</t>
  </si>
  <si>
    <t>6 машина</t>
  </si>
  <si>
    <t>5 машина</t>
  </si>
  <si>
    <t>№63 (17)</t>
  </si>
  <si>
    <t>7 машина</t>
  </si>
  <si>
    <t>№8/1.3-КМ</t>
  </si>
  <si>
    <t>№64 (18)</t>
  </si>
  <si>
    <t>№9/1.3-КМ</t>
  </si>
  <si>
    <t>8 машина</t>
  </si>
  <si>
    <t>9 машина</t>
  </si>
  <si>
    <t>10 машина</t>
  </si>
  <si>
    <t>11 машина</t>
  </si>
  <si>
    <t>№10/1.3-КМ</t>
  </si>
  <si>
    <t>№11 /1.3-КМ</t>
  </si>
  <si>
    <t>№12 /1.3-КМ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</si>
</sst>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_-* #,##0.00_-;\-* #,##0.00_-;_-* &quot;-&quot;??_-;_-@_-"/>
    <numFmt numFmtId="165" formatCode="_-* #,##0.00_₴_-;\-* #,##0.00_₴_-;_-* &quot;-&quot;??_₴_-;_-@_-"/>
    <numFmt numFmtId="166" formatCode="_-* #,##0.00\ _₴_-;\-* #,##0.00\ _₴_-;_-* &quot;-&quot;??\ _₴_-;_-@_-"/>
    <numFmt numFmtId="167" formatCode="#,##0.00\ _₴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</cellStyleXfs>
  <cellXfs count="109">
    <xf numFmtId="0" fontId="0" fillId="0" borderId="0" xfId="0"/>
    <xf numFmtId="0" fontId="3" fillId="0" borderId="0" xfId="2" applyFont="1"/>
    <xf numFmtId="165" fontId="4" fillId="2" borderId="2" xfId="3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166" fontId="5" fillId="0" borderId="3" xfId="2" applyNumberFormat="1" applyFont="1" applyBorder="1" applyAlignment="1">
      <alignment horizontal="center" vertical="center" wrapText="1"/>
    </xf>
    <xf numFmtId="164" fontId="5" fillId="0" borderId="3" xfId="1" applyFont="1" applyBorder="1" applyAlignment="1">
      <alignment horizontal="center" vertical="center"/>
    </xf>
    <xf numFmtId="1" fontId="5" fillId="5" borderId="3" xfId="2" applyNumberFormat="1" applyFont="1" applyFill="1" applyBorder="1" applyAlignment="1">
      <alignment horizontal="center" vertical="center"/>
    </xf>
    <xf numFmtId="164" fontId="6" fillId="5" borderId="2" xfId="1" applyFont="1" applyFill="1" applyBorder="1" applyAlignment="1">
      <alignment horizontal="center" vertical="center"/>
    </xf>
    <xf numFmtId="0" fontId="4" fillId="0" borderId="10" xfId="2" applyFont="1" applyBorder="1" applyAlignment="1">
      <alignment horizontal="left" vertical="center" wrapText="1"/>
    </xf>
    <xf numFmtId="164" fontId="6" fillId="0" borderId="2" xfId="1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 wrapText="1"/>
    </xf>
    <xf numFmtId="43" fontId="3" fillId="0" borderId="0" xfId="2" applyNumberFormat="1" applyFont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 wrapText="1"/>
    </xf>
    <xf numFmtId="166" fontId="5" fillId="0" borderId="2" xfId="2" applyNumberFormat="1" applyFont="1" applyBorder="1" applyAlignment="1">
      <alignment horizontal="center" vertical="center" wrapText="1"/>
    </xf>
    <xf numFmtId="1" fontId="5" fillId="5" borderId="3" xfId="2" applyNumberFormat="1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164" fontId="5" fillId="0" borderId="2" xfId="1" applyFont="1" applyBorder="1" applyAlignment="1">
      <alignment horizontal="center" vertical="center" wrapText="1"/>
    </xf>
    <xf numFmtId="0" fontId="4" fillId="0" borderId="3" xfId="2" applyFont="1" applyBorder="1" applyAlignment="1">
      <alignment vertical="center"/>
    </xf>
    <xf numFmtId="167" fontId="4" fillId="0" borderId="3" xfId="3" applyNumberFormat="1" applyFont="1" applyBorder="1" applyAlignment="1">
      <alignment vertical="center"/>
    </xf>
    <xf numFmtId="43" fontId="7" fillId="0" borderId="0" xfId="2" applyNumberFormat="1" applyFont="1" applyAlignment="1">
      <alignment vertical="center"/>
    </xf>
    <xf numFmtId="0" fontId="7" fillId="0" borderId="0" xfId="2" applyFont="1" applyAlignment="1">
      <alignment vertical="center"/>
    </xf>
    <xf numFmtId="0" fontId="5" fillId="6" borderId="3" xfId="2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left" vertical="center" wrapText="1"/>
    </xf>
    <xf numFmtId="166" fontId="5" fillId="6" borderId="3" xfId="2" applyNumberFormat="1" applyFont="1" applyFill="1" applyBorder="1" applyAlignment="1">
      <alignment vertical="center"/>
    </xf>
    <xf numFmtId="166" fontId="4" fillId="6" borderId="3" xfId="2" applyNumberFormat="1" applyFont="1" applyFill="1" applyBorder="1" applyAlignment="1">
      <alignment vertical="center" wrapText="1"/>
    </xf>
    <xf numFmtId="166" fontId="5" fillId="6" borderId="3" xfId="2" applyNumberFormat="1" applyFont="1" applyFill="1" applyBorder="1" applyAlignment="1">
      <alignment horizontal="center" vertical="center"/>
    </xf>
    <xf numFmtId="166" fontId="4" fillId="6" borderId="3" xfId="2" applyNumberFormat="1" applyFont="1" applyFill="1" applyBorder="1" applyAlignment="1">
      <alignment horizontal="center" vertical="center"/>
    </xf>
    <xf numFmtId="167" fontId="3" fillId="0" borderId="0" xfId="3" applyNumberFormat="1" applyFont="1" applyAlignment="1">
      <alignment horizontal="center"/>
    </xf>
    <xf numFmtId="0" fontId="8" fillId="0" borderId="0" xfId="2" applyFont="1" applyAlignment="1">
      <alignment vertical="center"/>
    </xf>
    <xf numFmtId="167" fontId="3" fillId="7" borderId="0" xfId="3" applyNumberFormat="1" applyFont="1" applyFill="1" applyAlignment="1">
      <alignment horizontal="center"/>
    </xf>
    <xf numFmtId="164" fontId="6" fillId="8" borderId="3" xfId="1" applyFont="1" applyFill="1" applyBorder="1" applyAlignment="1">
      <alignment horizontal="center" vertical="center"/>
    </xf>
    <xf numFmtId="164" fontId="6" fillId="8" borderId="2" xfId="1" applyFont="1" applyFill="1" applyBorder="1" applyAlignment="1">
      <alignment horizontal="center" vertical="center"/>
    </xf>
    <xf numFmtId="0" fontId="4" fillId="3" borderId="8" xfId="2" applyFont="1" applyFill="1" applyBorder="1" applyAlignment="1">
      <alignment vertical="center" wrapText="1"/>
    </xf>
    <xf numFmtId="0" fontId="4" fillId="3" borderId="9" xfId="2" applyFont="1" applyFill="1" applyBorder="1" applyAlignment="1">
      <alignment vertical="center" wrapText="1"/>
    </xf>
    <xf numFmtId="0" fontId="4" fillId="3" borderId="10" xfId="2" applyFont="1" applyFill="1" applyBorder="1" applyAlignment="1">
      <alignment vertical="center" wrapText="1"/>
    </xf>
    <xf numFmtId="167" fontId="4" fillId="8" borderId="0" xfId="3" applyNumberFormat="1" applyFont="1" applyFill="1" applyAlignment="1">
      <alignment horizontal="center"/>
    </xf>
    <xf numFmtId="0" fontId="3" fillId="4" borderId="3" xfId="2" applyFont="1" applyFill="1" applyBorder="1" applyAlignment="1">
      <alignment horizontal="center" vertical="center"/>
    </xf>
    <xf numFmtId="165" fontId="4" fillId="2" borderId="2" xfId="3" applyFont="1" applyFill="1" applyBorder="1" applyAlignment="1">
      <alignment horizontal="center" vertical="center" wrapText="1"/>
    </xf>
    <xf numFmtId="164" fontId="5" fillId="7" borderId="3" xfId="1" applyFont="1" applyFill="1" applyBorder="1" applyAlignment="1">
      <alignment horizontal="center" vertical="center" wrapText="1"/>
    </xf>
    <xf numFmtId="1" fontId="5" fillId="7" borderId="3" xfId="2" applyNumberFormat="1" applyFont="1" applyFill="1" applyBorder="1" applyAlignment="1">
      <alignment horizontal="center" vertical="center"/>
    </xf>
    <xf numFmtId="164" fontId="6" fillId="7" borderId="2" xfId="1" applyFont="1" applyFill="1" applyBorder="1" applyAlignment="1">
      <alignment horizontal="center" vertical="center"/>
    </xf>
    <xf numFmtId="1" fontId="5" fillId="7" borderId="3" xfId="2" applyNumberFormat="1" applyFont="1" applyFill="1" applyBorder="1" applyAlignment="1">
      <alignment horizontal="center" vertical="center" wrapText="1"/>
    </xf>
    <xf numFmtId="9" fontId="9" fillId="7" borderId="3" xfId="1" applyNumberFormat="1" applyFont="1" applyFill="1" applyBorder="1" applyAlignment="1">
      <alignment horizontal="center" vertical="center" wrapText="1"/>
    </xf>
    <xf numFmtId="164" fontId="5" fillId="0" borderId="6" xfId="1" applyFont="1" applyBorder="1" applyAlignment="1">
      <alignment horizontal="center" vertical="center"/>
    </xf>
    <xf numFmtId="0" fontId="9" fillId="7" borderId="3" xfId="2" applyFont="1" applyFill="1" applyBorder="1" applyAlignment="1">
      <alignment horizontal="center" vertical="center"/>
    </xf>
    <xf numFmtId="0" fontId="4" fillId="0" borderId="6" xfId="2" applyFont="1" applyBorder="1" applyAlignment="1">
      <alignment horizontal="left" vertical="center" wrapText="1"/>
    </xf>
    <xf numFmtId="167" fontId="4" fillId="7" borderId="0" xfId="3" applyNumberFormat="1" applyFont="1" applyFill="1" applyAlignment="1">
      <alignment horizontal="center"/>
    </xf>
    <xf numFmtId="164" fontId="10" fillId="8" borderId="2" xfId="1" applyFont="1" applyFill="1" applyBorder="1" applyAlignment="1">
      <alignment horizontal="center" vertical="center"/>
    </xf>
    <xf numFmtId="164" fontId="10" fillId="7" borderId="2" xfId="1" applyFont="1" applyFill="1" applyBorder="1" applyAlignment="1">
      <alignment horizontal="center" vertical="center"/>
    </xf>
    <xf numFmtId="1" fontId="5" fillId="8" borderId="3" xfId="2" applyNumberFormat="1" applyFont="1" applyFill="1" applyBorder="1" applyAlignment="1">
      <alignment horizontal="center" vertical="center"/>
    </xf>
    <xf numFmtId="166" fontId="5" fillId="8" borderId="3" xfId="2" applyNumberFormat="1" applyFont="1" applyFill="1" applyBorder="1" applyAlignment="1">
      <alignment horizontal="center" vertical="center" wrapText="1"/>
    </xf>
    <xf numFmtId="164" fontId="5" fillId="8" borderId="3" xfId="1" applyFont="1" applyFill="1" applyBorder="1" applyAlignment="1">
      <alignment horizontal="center" vertical="center"/>
    </xf>
    <xf numFmtId="0" fontId="9" fillId="8" borderId="3" xfId="2" applyFont="1" applyFill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164" fontId="5" fillId="8" borderId="2" xfId="1" applyFont="1" applyFill="1" applyBorder="1" applyAlignment="1">
      <alignment horizontal="center" vertical="center"/>
    </xf>
    <xf numFmtId="1" fontId="5" fillId="9" borderId="3" xfId="2" applyNumberFormat="1" applyFont="1" applyFill="1" applyBorder="1" applyAlignment="1">
      <alignment horizontal="center" vertical="center"/>
    </xf>
    <xf numFmtId="164" fontId="6" fillId="9" borderId="3" xfId="1" applyFont="1" applyFill="1" applyBorder="1" applyAlignment="1">
      <alignment horizontal="center" vertical="center"/>
    </xf>
    <xf numFmtId="166" fontId="5" fillId="9" borderId="3" xfId="2" applyNumberFormat="1" applyFont="1" applyFill="1" applyBorder="1" applyAlignment="1">
      <alignment horizontal="center" vertical="center" wrapText="1"/>
    </xf>
    <xf numFmtId="164" fontId="5" fillId="9" borderId="2" xfId="1" applyFont="1" applyFill="1" applyBorder="1" applyAlignment="1">
      <alignment horizontal="center" vertical="center"/>
    </xf>
    <xf numFmtId="0" fontId="9" fillId="9" borderId="3" xfId="2" applyFont="1" applyFill="1" applyBorder="1" applyAlignment="1">
      <alignment horizontal="center" vertical="center"/>
    </xf>
    <xf numFmtId="0" fontId="5" fillId="0" borderId="7" xfId="2" applyFont="1" applyBorder="1" applyAlignment="1">
      <alignment horizontal="left" vertical="center" wrapText="1"/>
    </xf>
    <xf numFmtId="164" fontId="6" fillId="9" borderId="2" xfId="1" applyFont="1" applyFill="1" applyBorder="1" applyAlignment="1">
      <alignment horizontal="center" vertical="center"/>
    </xf>
    <xf numFmtId="0" fontId="5" fillId="0" borderId="11" xfId="2" applyFont="1" applyBorder="1" applyAlignment="1">
      <alignment horizontal="left" vertical="center" wrapText="1"/>
    </xf>
    <xf numFmtId="1" fontId="5" fillId="9" borderId="3" xfId="2" applyNumberFormat="1" applyFont="1" applyFill="1" applyBorder="1" applyAlignment="1">
      <alignment horizontal="center" vertical="center" wrapText="1"/>
    </xf>
    <xf numFmtId="0" fontId="5" fillId="0" borderId="7" xfId="2" applyFont="1" applyBorder="1" applyAlignment="1">
      <alignment horizontal="left" vertical="center" wrapText="1"/>
    </xf>
    <xf numFmtId="1" fontId="5" fillId="8" borderId="3" xfId="2" applyNumberFormat="1" applyFont="1" applyFill="1" applyBorder="1" applyAlignment="1">
      <alignment horizontal="center" vertical="center" wrapText="1"/>
    </xf>
    <xf numFmtId="164" fontId="10" fillId="9" borderId="2" xfId="1" applyFont="1" applyFill="1" applyBorder="1" applyAlignment="1">
      <alignment horizontal="center" vertical="center"/>
    </xf>
    <xf numFmtId="0" fontId="5" fillId="0" borderId="11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165" fontId="4" fillId="2" borderId="2" xfId="3" applyFont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4" fillId="8" borderId="10" xfId="2" applyFont="1" applyFill="1" applyBorder="1" applyAlignment="1">
      <alignment horizontal="left" vertical="center" wrapText="1"/>
    </xf>
    <xf numFmtId="164" fontId="5" fillId="8" borderId="3" xfId="1" applyFont="1" applyFill="1" applyBorder="1" applyAlignment="1">
      <alignment horizontal="center" vertical="center" wrapText="1"/>
    </xf>
    <xf numFmtId="9" fontId="9" fillId="8" borderId="3" xfId="1" applyNumberFormat="1" applyFont="1" applyFill="1" applyBorder="1" applyAlignment="1">
      <alignment horizontal="center" vertical="center" wrapText="1"/>
    </xf>
    <xf numFmtId="43" fontId="11" fillId="0" borderId="0" xfId="2" applyNumberFormat="1" applyFont="1" applyAlignment="1">
      <alignment horizontal="center" vertical="center"/>
    </xf>
    <xf numFmtId="1" fontId="13" fillId="9" borderId="3" xfId="2" applyNumberFormat="1" applyFont="1" applyFill="1" applyBorder="1" applyAlignment="1">
      <alignment horizontal="center" vertical="center" wrapText="1"/>
    </xf>
    <xf numFmtId="166" fontId="13" fillId="9" borderId="3" xfId="2" applyNumberFormat="1" applyFont="1" applyFill="1" applyBorder="1" applyAlignment="1">
      <alignment horizontal="center" vertical="center" wrapText="1"/>
    </xf>
    <xf numFmtId="164" fontId="13" fillId="9" borderId="6" xfId="1" applyFont="1" applyFill="1" applyBorder="1" applyAlignment="1">
      <alignment horizontal="center" vertical="center"/>
    </xf>
    <xf numFmtId="0" fontId="14" fillId="9" borderId="3" xfId="2" applyFont="1" applyFill="1" applyBorder="1" applyAlignment="1">
      <alignment horizontal="center" vertical="center"/>
    </xf>
    <xf numFmtId="43" fontId="12" fillId="0" borderId="0" xfId="2" applyNumberFormat="1" applyFont="1" applyAlignment="1">
      <alignment horizontal="center" vertical="center"/>
    </xf>
    <xf numFmtId="0" fontId="4" fillId="9" borderId="6" xfId="2" applyFont="1" applyFill="1" applyBorder="1" applyAlignment="1">
      <alignment horizontal="left" vertical="center" wrapText="1"/>
    </xf>
    <xf numFmtId="9" fontId="9" fillId="9" borderId="3" xfId="1" applyNumberFormat="1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164" fontId="5" fillId="9" borderId="3" xfId="1" applyFont="1" applyFill="1" applyBorder="1" applyAlignment="1">
      <alignment horizontal="center" vertical="center" wrapText="1"/>
    </xf>
    <xf numFmtId="0" fontId="4" fillId="8" borderId="10" xfId="2" applyFont="1" applyFill="1" applyBorder="1" applyAlignment="1">
      <alignment horizontal="center" vertical="center" wrapText="1"/>
    </xf>
    <xf numFmtId="0" fontId="4" fillId="9" borderId="6" xfId="2" applyFont="1" applyFill="1" applyBorder="1" applyAlignment="1">
      <alignment horizontal="center" vertical="center" wrapText="1"/>
    </xf>
    <xf numFmtId="0" fontId="6" fillId="9" borderId="6" xfId="2" applyFont="1" applyFill="1" applyBorder="1" applyAlignment="1">
      <alignment horizontal="center" vertical="center" wrapText="1"/>
    </xf>
    <xf numFmtId="164" fontId="13" fillId="9" borderId="3" xfId="1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11" xfId="2" applyFont="1" applyBorder="1" applyAlignment="1">
      <alignment horizontal="left" vertical="center" wrapText="1"/>
    </xf>
    <xf numFmtId="0" fontId="5" fillId="0" borderId="7" xfId="2" applyFont="1" applyBorder="1" applyAlignment="1">
      <alignment horizontal="left" vertical="center" wrapText="1"/>
    </xf>
    <xf numFmtId="0" fontId="2" fillId="0" borderId="0" xfId="2" applyFont="1" applyAlignment="1">
      <alignment horizontal="center" vertical="center" wrapText="1"/>
    </xf>
    <xf numFmtId="0" fontId="2" fillId="0" borderId="1" xfId="2" applyFont="1" applyBorder="1" applyAlignment="1">
      <alignment horizontal="center" vertical="center" wrapText="1"/>
    </xf>
    <xf numFmtId="165" fontId="4" fillId="2" borderId="2" xfId="3" applyFont="1" applyFill="1" applyBorder="1" applyAlignment="1">
      <alignment horizontal="center" vertical="center" wrapText="1"/>
    </xf>
    <xf numFmtId="165" fontId="4" fillId="2" borderId="7" xfId="3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165" fontId="4" fillId="2" borderId="4" xfId="3" applyFont="1" applyFill="1" applyBorder="1" applyAlignment="1">
      <alignment horizontal="center" vertical="center" wrapText="1"/>
    </xf>
    <xf numFmtId="165" fontId="4" fillId="2" borderId="5" xfId="3" applyFont="1" applyFill="1" applyBorder="1" applyAlignment="1">
      <alignment horizontal="center" vertical="center" wrapText="1"/>
    </xf>
    <xf numFmtId="165" fontId="4" fillId="2" borderId="6" xfId="3" applyFont="1" applyFill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1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</cellXfs>
  <cellStyles count="4">
    <cellStyle name="Обычный" xfId="0" builtinId="0"/>
    <cellStyle name="Обычный 13 3 2" xfId="2"/>
    <cellStyle name="Финансовый" xfId="1" builtinId="3"/>
    <cellStyle name="Финансовый 2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Views>
    <sheetView zoomScale="68" zoomScaleNormal="68" workbookViewId="0">
      <selection activeCell="D10" sqref="D10"/>
    </sheetView>
  </sheetViews>
  <sheetFormatPr defaultColWidth="9.109375" defaultRowHeight="12" x14ac:dyDescent="0.25"/>
  <cols>
    <col min="1" max="1" width="10.44140625" style="1" customWidth="1"/>
    <col min="2" max="2" width="73" style="1" customWidth="1"/>
    <col min="3" max="3" width="24" style="36" customWidth="1"/>
    <col min="4" max="4" width="27.5546875" style="36" customWidth="1"/>
    <col min="5" max="5" width="46.6640625" style="36" customWidth="1"/>
    <col min="6" max="6" width="35.5546875" style="36" customWidth="1"/>
    <col min="7" max="7" width="30.6640625" style="36" customWidth="1"/>
    <col min="8" max="8" width="55.109375" style="1" customWidth="1"/>
    <col min="9" max="16384" width="9.109375" style="1"/>
  </cols>
  <sheetData>
    <row r="1" spans="1:26" x14ac:dyDescent="0.25">
      <c r="A1" s="98" t="s">
        <v>0</v>
      </c>
      <c r="B1" s="98"/>
      <c r="C1" s="98"/>
      <c r="D1" s="98"/>
      <c r="E1" s="98"/>
      <c r="F1" s="98"/>
      <c r="G1" s="98"/>
    </row>
    <row r="2" spans="1:26" ht="42.6" customHeight="1" x14ac:dyDescent="0.25">
      <c r="A2" s="99"/>
      <c r="B2" s="99"/>
      <c r="C2" s="99"/>
      <c r="D2" s="99"/>
      <c r="E2" s="99"/>
      <c r="F2" s="99"/>
      <c r="G2" s="99"/>
    </row>
    <row r="3" spans="1:26" ht="17.399999999999999" x14ac:dyDescent="0.25">
      <c r="A3" s="100" t="s">
        <v>1</v>
      </c>
      <c r="B3" s="102" t="s">
        <v>2</v>
      </c>
      <c r="C3" s="103" t="s">
        <v>3</v>
      </c>
      <c r="D3" s="104"/>
      <c r="E3" s="104"/>
      <c r="F3" s="105"/>
      <c r="G3" s="100" t="s">
        <v>4</v>
      </c>
    </row>
    <row r="4" spans="1:26" ht="52.2" x14ac:dyDescent="0.25">
      <c r="A4" s="101"/>
      <c r="B4" s="102"/>
      <c r="C4" s="2" t="s">
        <v>5</v>
      </c>
      <c r="D4" s="2" t="s">
        <v>6</v>
      </c>
      <c r="E4" s="2" t="s">
        <v>7</v>
      </c>
      <c r="F4" s="2" t="s">
        <v>8</v>
      </c>
      <c r="G4" s="101"/>
    </row>
    <row r="5" spans="1:26" s="6" customFormat="1" ht="18" x14ac:dyDescent="0.3">
      <c r="A5" s="3"/>
      <c r="B5" s="39" t="s">
        <v>9</v>
      </c>
      <c r="C5" s="40"/>
      <c r="D5" s="40"/>
      <c r="E5" s="40"/>
      <c r="F5" s="41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6" customFormat="1" ht="44.4" customHeight="1" x14ac:dyDescent="0.3">
      <c r="A6" s="7"/>
      <c r="B6" s="95" t="s">
        <v>10</v>
      </c>
      <c r="C6" s="11" t="s">
        <v>23</v>
      </c>
      <c r="D6" s="37">
        <v>149214.10999999999</v>
      </c>
      <c r="E6" s="9" t="s">
        <v>12</v>
      </c>
      <c r="F6" s="10"/>
      <c r="G6" s="43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6" customFormat="1" ht="36" x14ac:dyDescent="0.3">
      <c r="A7" s="7"/>
      <c r="B7" s="96"/>
      <c r="C7" s="11" t="s">
        <v>11</v>
      </c>
      <c r="D7" s="12">
        <v>1581832.12</v>
      </c>
      <c r="E7" s="9" t="s">
        <v>12</v>
      </c>
      <c r="F7" s="13"/>
      <c r="G7" s="4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6" customFormat="1" ht="27" customHeight="1" x14ac:dyDescent="0.3">
      <c r="A8" s="7"/>
      <c r="B8" s="96"/>
      <c r="C8" s="8"/>
      <c r="D8" s="14"/>
      <c r="E8" s="9"/>
      <c r="F8" s="15"/>
      <c r="G8" s="16"/>
      <c r="H8" s="17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6" customFormat="1" ht="30.6" customHeight="1" x14ac:dyDescent="0.3">
      <c r="A9" s="7"/>
      <c r="B9" s="95" t="s">
        <v>13</v>
      </c>
      <c r="C9" s="18"/>
      <c r="D9" s="14"/>
      <c r="E9" s="9"/>
      <c r="F9" s="15"/>
      <c r="G9" s="19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6" customFormat="1" ht="36" x14ac:dyDescent="0.3">
      <c r="A10" s="7"/>
      <c r="B10" s="96"/>
      <c r="C10" s="20" t="s">
        <v>14</v>
      </c>
      <c r="D10" s="12">
        <f>1647758.93+20*80137</f>
        <v>3250498.9299999997</v>
      </c>
      <c r="E10" s="9" t="s">
        <v>12</v>
      </c>
      <c r="F10" s="13"/>
      <c r="G10" s="45" t="s">
        <v>24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6" customFormat="1" ht="36" x14ac:dyDescent="0.3">
      <c r="A11" s="7"/>
      <c r="B11" s="97"/>
      <c r="C11" s="20" t="s">
        <v>15</v>
      </c>
      <c r="D11" s="38">
        <v>189299</v>
      </c>
      <c r="E11" s="9" t="s">
        <v>12</v>
      </c>
      <c r="F11" s="15"/>
      <c r="G11" s="1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6" customFormat="1" ht="36" x14ac:dyDescent="0.3">
      <c r="A12" s="7"/>
      <c r="B12" s="21" t="s">
        <v>16</v>
      </c>
      <c r="C12" s="20" t="s">
        <v>17</v>
      </c>
      <c r="D12" s="38">
        <v>573416.30000000005</v>
      </c>
      <c r="E12" s="9" t="s">
        <v>12</v>
      </c>
      <c r="F12" s="15"/>
      <c r="G12" s="19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6" customFormat="1" ht="36" x14ac:dyDescent="0.3">
      <c r="A13" s="7"/>
      <c r="B13" s="22" t="s">
        <v>18</v>
      </c>
      <c r="C13" s="11" t="s">
        <v>19</v>
      </c>
      <c r="D13" s="38">
        <v>553431.52</v>
      </c>
      <c r="E13" s="9" t="s">
        <v>12</v>
      </c>
      <c r="F13" s="15"/>
      <c r="G13" s="23"/>
      <c r="H13" s="17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6" customFormat="1" ht="36" x14ac:dyDescent="0.3">
      <c r="A14" s="7"/>
      <c r="B14" s="22" t="s">
        <v>21</v>
      </c>
      <c r="C14" s="11" t="s">
        <v>22</v>
      </c>
      <c r="D14" s="54">
        <v>284867.03000000003</v>
      </c>
      <c r="E14" s="9" t="s">
        <v>12</v>
      </c>
      <c r="F14" s="15"/>
      <c r="G14" s="23"/>
      <c r="H14" s="17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27" customFormat="1" ht="24.6" customHeight="1" x14ac:dyDescent="0.3">
      <c r="A15" s="24"/>
      <c r="B15" s="24" t="s">
        <v>20</v>
      </c>
      <c r="C15" s="25"/>
      <c r="D15" s="25">
        <f>SUM(D7:D13)+D14</f>
        <v>6433344.8999999994</v>
      </c>
      <c r="E15" s="25"/>
      <c r="F15" s="25">
        <f>D15*0.97</f>
        <v>6240344.5529999994</v>
      </c>
      <c r="G15" s="25"/>
      <c r="H15" s="26"/>
    </row>
    <row r="16" spans="1:26" s="6" customFormat="1" ht="18" x14ac:dyDescent="0.3">
      <c r="A16" s="28"/>
      <c r="B16" s="29"/>
      <c r="C16" s="30"/>
      <c r="D16" s="31"/>
      <c r="E16" s="32"/>
      <c r="F16" s="33">
        <f>D16-E18</f>
        <v>0</v>
      </c>
      <c r="G16" s="32"/>
      <c r="H16" s="17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7" x14ac:dyDescent="0.25">
      <c r="C17" s="34"/>
      <c r="D17" s="34"/>
      <c r="E17" s="34"/>
      <c r="F17" s="34"/>
      <c r="G17" s="34"/>
    </row>
    <row r="18" spans="2:7" ht="25.2" customHeight="1" x14ac:dyDescent="0.3">
      <c r="C18" s="34"/>
      <c r="D18" s="42">
        <f>D14+D13+D12+D11+D6</f>
        <v>1750227.96</v>
      </c>
      <c r="E18" s="34"/>
      <c r="F18" s="34"/>
      <c r="G18" s="34"/>
    </row>
    <row r="19" spans="2:7" x14ac:dyDescent="0.25">
      <c r="B19" s="35"/>
      <c r="C19" s="34"/>
      <c r="D19" s="34"/>
      <c r="E19" s="34"/>
      <c r="F19" s="34"/>
      <c r="G19" s="34"/>
    </row>
    <row r="20" spans="2:7" x14ac:dyDescent="0.25">
      <c r="C20" s="34"/>
      <c r="D20" s="34"/>
      <c r="E20" s="34"/>
      <c r="F20" s="34"/>
      <c r="G20" s="34"/>
    </row>
    <row r="21" spans="2:7" x14ac:dyDescent="0.25">
      <c r="C21" s="34"/>
      <c r="D21" s="34"/>
      <c r="E21" s="34"/>
      <c r="F21" s="34"/>
      <c r="G21" s="34"/>
    </row>
    <row r="22" spans="2:7" x14ac:dyDescent="0.25">
      <c r="C22" s="34"/>
      <c r="D22" s="34"/>
      <c r="E22" s="34"/>
      <c r="F22" s="34"/>
      <c r="G22" s="34"/>
    </row>
    <row r="23" spans="2:7" x14ac:dyDescent="0.25">
      <c r="C23" s="34"/>
      <c r="D23" s="34"/>
      <c r="E23" s="34"/>
      <c r="F23" s="34"/>
      <c r="G23" s="34"/>
    </row>
    <row r="24" spans="2:7" x14ac:dyDescent="0.25">
      <c r="C24" s="34"/>
      <c r="D24" s="34"/>
      <c r="E24" s="34"/>
      <c r="F24" s="34"/>
      <c r="G24" s="34"/>
    </row>
    <row r="25" spans="2:7" x14ac:dyDescent="0.25">
      <c r="C25" s="34"/>
      <c r="D25" s="34"/>
      <c r="E25" s="34"/>
      <c r="F25" s="34"/>
      <c r="G25" s="34"/>
    </row>
    <row r="26" spans="2:7" x14ac:dyDescent="0.25">
      <c r="C26" s="34"/>
      <c r="D26" s="34"/>
      <c r="E26" s="34"/>
      <c r="F26" s="34"/>
      <c r="G26" s="34"/>
    </row>
    <row r="27" spans="2:7" x14ac:dyDescent="0.25">
      <c r="C27" s="34"/>
      <c r="D27" s="34"/>
      <c r="E27" s="34"/>
      <c r="F27" s="34"/>
      <c r="G27" s="34"/>
    </row>
    <row r="28" spans="2:7" x14ac:dyDescent="0.25">
      <c r="C28" s="34"/>
      <c r="D28" s="34"/>
      <c r="E28" s="34"/>
      <c r="F28" s="34"/>
      <c r="G28" s="34"/>
    </row>
    <row r="29" spans="2:7" x14ac:dyDescent="0.25">
      <c r="C29" s="34"/>
      <c r="D29" s="34"/>
      <c r="E29" s="34"/>
      <c r="F29" s="34"/>
      <c r="G29" s="34"/>
    </row>
    <row r="30" spans="2:7" x14ac:dyDescent="0.25">
      <c r="C30" s="34"/>
      <c r="D30" s="34"/>
      <c r="E30" s="34"/>
      <c r="F30" s="34"/>
      <c r="G30" s="34"/>
    </row>
    <row r="31" spans="2:7" x14ac:dyDescent="0.25">
      <c r="C31" s="34"/>
      <c r="D31" s="34"/>
      <c r="E31" s="34"/>
      <c r="F31" s="34"/>
      <c r="G31" s="34"/>
    </row>
    <row r="32" spans="2:7" x14ac:dyDescent="0.25">
      <c r="C32" s="34"/>
      <c r="D32" s="34"/>
      <c r="E32" s="34"/>
      <c r="F32" s="34"/>
      <c r="G32" s="34"/>
    </row>
    <row r="33" spans="3:7" x14ac:dyDescent="0.25">
      <c r="C33" s="34"/>
      <c r="D33" s="34"/>
      <c r="E33" s="34"/>
      <c r="F33" s="34"/>
      <c r="G33" s="34"/>
    </row>
    <row r="34" spans="3:7" x14ac:dyDescent="0.25">
      <c r="C34" s="34"/>
      <c r="D34" s="34"/>
      <c r="E34" s="34"/>
      <c r="F34" s="34"/>
      <c r="G34" s="34"/>
    </row>
    <row r="35" spans="3:7" x14ac:dyDescent="0.25">
      <c r="C35" s="34"/>
      <c r="D35" s="34"/>
      <c r="E35" s="34"/>
      <c r="F35" s="34"/>
      <c r="G35" s="34"/>
    </row>
    <row r="36" spans="3:7" x14ac:dyDescent="0.25">
      <c r="C36" s="34"/>
      <c r="D36" s="34"/>
      <c r="E36" s="34"/>
      <c r="F36" s="34"/>
      <c r="G36" s="34"/>
    </row>
    <row r="37" spans="3:7" x14ac:dyDescent="0.25">
      <c r="C37" s="34"/>
      <c r="D37" s="34"/>
      <c r="E37" s="34"/>
      <c r="F37" s="34"/>
      <c r="G37" s="34"/>
    </row>
    <row r="38" spans="3:7" x14ac:dyDescent="0.25">
      <c r="C38" s="34"/>
      <c r="D38" s="34"/>
      <c r="E38" s="34"/>
      <c r="F38" s="34"/>
      <c r="G38" s="34"/>
    </row>
    <row r="39" spans="3:7" x14ac:dyDescent="0.25">
      <c r="C39" s="34"/>
      <c r="D39" s="34"/>
      <c r="E39" s="34"/>
      <c r="F39" s="34"/>
      <c r="G39" s="34"/>
    </row>
  </sheetData>
  <autoFilter ref="D5:D16"/>
  <mergeCells count="7">
    <mergeCell ref="B6:B8"/>
    <mergeCell ref="B9:B11"/>
    <mergeCell ref="A1:G2"/>
    <mergeCell ref="A3:A4"/>
    <mergeCell ref="B3:B4"/>
    <mergeCell ref="C3:F3"/>
    <mergeCell ref="G3:G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50"/>
  <sheetViews>
    <sheetView view="pageBreakPreview" zoomScale="60" zoomScaleNormal="60" workbookViewId="0">
      <selection activeCell="D21" sqref="D21"/>
    </sheetView>
  </sheetViews>
  <sheetFormatPr defaultColWidth="9.109375" defaultRowHeight="12" x14ac:dyDescent="0.25"/>
  <cols>
    <col min="1" max="1" width="10.44140625" style="1" customWidth="1"/>
    <col min="2" max="2" width="73" style="1" customWidth="1"/>
    <col min="3" max="3" width="24" style="36" customWidth="1"/>
    <col min="4" max="4" width="27.5546875" style="36" customWidth="1"/>
    <col min="5" max="5" width="46.6640625" style="36" customWidth="1"/>
    <col min="6" max="6" width="35.5546875" style="36" customWidth="1"/>
    <col min="7" max="7" width="30.6640625" style="36" customWidth="1"/>
    <col min="8" max="8" width="28.109375" style="1" customWidth="1"/>
    <col min="9" max="16384" width="9.109375" style="1"/>
  </cols>
  <sheetData>
    <row r="1" spans="1:26" x14ac:dyDescent="0.25">
      <c r="A1" s="98" t="s">
        <v>0</v>
      </c>
      <c r="B1" s="98"/>
      <c r="C1" s="98"/>
      <c r="D1" s="98"/>
      <c r="E1" s="98"/>
      <c r="F1" s="98"/>
      <c r="G1" s="98"/>
    </row>
    <row r="2" spans="1:26" ht="42.6" customHeight="1" x14ac:dyDescent="0.25">
      <c r="A2" s="99"/>
      <c r="B2" s="99"/>
      <c r="C2" s="99"/>
      <c r="D2" s="99"/>
      <c r="E2" s="99"/>
      <c r="F2" s="99"/>
      <c r="G2" s="99"/>
    </row>
    <row r="3" spans="1:26" ht="17.399999999999999" x14ac:dyDescent="0.25">
      <c r="A3" s="100" t="s">
        <v>1</v>
      </c>
      <c r="B3" s="102" t="s">
        <v>2</v>
      </c>
      <c r="C3" s="103" t="s">
        <v>3</v>
      </c>
      <c r="D3" s="104"/>
      <c r="E3" s="104"/>
      <c r="F3" s="105"/>
      <c r="G3" s="100" t="s">
        <v>4</v>
      </c>
    </row>
    <row r="4" spans="1:26" ht="52.2" x14ac:dyDescent="0.25">
      <c r="A4" s="101"/>
      <c r="B4" s="102"/>
      <c r="C4" s="44" t="s">
        <v>5</v>
      </c>
      <c r="D4" s="44" t="s">
        <v>6</v>
      </c>
      <c r="E4" s="44" t="s">
        <v>7</v>
      </c>
      <c r="F4" s="44" t="s">
        <v>8</v>
      </c>
      <c r="G4" s="101"/>
    </row>
    <row r="5" spans="1:26" s="6" customFormat="1" ht="18" x14ac:dyDescent="0.3">
      <c r="A5" s="3"/>
      <c r="B5" s="39" t="s">
        <v>9</v>
      </c>
      <c r="C5" s="40"/>
      <c r="D5" s="40"/>
      <c r="E5" s="40"/>
      <c r="F5" s="41"/>
      <c r="G5" s="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s="6" customFormat="1" ht="44.4" customHeight="1" x14ac:dyDescent="0.3">
      <c r="A6" s="7"/>
      <c r="B6" s="95" t="s">
        <v>10</v>
      </c>
      <c r="C6" s="56" t="s">
        <v>42</v>
      </c>
      <c r="D6" s="37">
        <v>1256485.88448</v>
      </c>
      <c r="E6" s="57" t="s">
        <v>12</v>
      </c>
      <c r="F6" s="58"/>
      <c r="G6" s="59" t="s">
        <v>26</v>
      </c>
      <c r="H6" s="60" t="s">
        <v>43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s="6" customFormat="1" ht="36" x14ac:dyDescent="0.3">
      <c r="A7" s="7"/>
      <c r="B7" s="96"/>
      <c r="C7" s="46" t="s">
        <v>25</v>
      </c>
      <c r="D7" s="47">
        <f>41*80137</f>
        <v>3285617</v>
      </c>
      <c r="E7" s="9" t="s">
        <v>12</v>
      </c>
      <c r="F7" s="13"/>
      <c r="G7" s="49" t="s">
        <v>28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s="6" customFormat="1" ht="36" x14ac:dyDescent="0.3">
      <c r="A8" s="7"/>
      <c r="B8" s="96"/>
      <c r="C8" s="46" t="s">
        <v>40</v>
      </c>
      <c r="D8" s="55">
        <v>460000</v>
      </c>
      <c r="E8" s="9" t="s">
        <v>12</v>
      </c>
      <c r="F8" s="52"/>
      <c r="G8" s="49" t="s">
        <v>41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s="6" customFormat="1" ht="36" x14ac:dyDescent="0.3">
      <c r="A9" s="7"/>
      <c r="B9" s="96"/>
      <c r="C9" s="46" t="s">
        <v>55</v>
      </c>
      <c r="D9" s="55">
        <f>20*16787.9*1.2</f>
        <v>402909.6</v>
      </c>
      <c r="E9" s="9" t="s">
        <v>12</v>
      </c>
      <c r="F9" s="52"/>
      <c r="G9" s="49" t="s">
        <v>56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s="6" customFormat="1" ht="39.6" customHeight="1" x14ac:dyDescent="0.3">
      <c r="A10" s="7"/>
      <c r="B10" s="96"/>
      <c r="C10" s="62" t="s">
        <v>44</v>
      </c>
      <c r="D10" s="63">
        <v>202846.79</v>
      </c>
      <c r="E10" s="64" t="s">
        <v>12</v>
      </c>
      <c r="F10" s="65"/>
      <c r="G10" s="66" t="s">
        <v>27</v>
      </c>
      <c r="H10" s="17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s="6" customFormat="1" ht="34.799999999999997" customHeight="1" x14ac:dyDescent="0.3">
      <c r="A11" s="7"/>
      <c r="B11" s="106" t="s">
        <v>13</v>
      </c>
      <c r="C11" s="48" t="s">
        <v>30</v>
      </c>
      <c r="D11" s="55">
        <v>1300000</v>
      </c>
      <c r="E11" s="9" t="s">
        <v>12</v>
      </c>
      <c r="F11" s="15"/>
      <c r="G11" s="51" t="s">
        <v>26</v>
      </c>
      <c r="H11" s="5" t="s">
        <v>59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s="6" customFormat="1" ht="36" customHeight="1" x14ac:dyDescent="0.3">
      <c r="A12" s="7"/>
      <c r="B12" s="107"/>
      <c r="C12" s="48" t="s">
        <v>31</v>
      </c>
      <c r="D12" s="55">
        <v>2000000</v>
      </c>
      <c r="E12" s="9" t="s">
        <v>12</v>
      </c>
      <c r="F12" s="50"/>
      <c r="G12" s="51" t="s">
        <v>27</v>
      </c>
      <c r="H12" s="5" t="s">
        <v>58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s="6" customFormat="1" ht="36" x14ac:dyDescent="0.3">
      <c r="A13" s="7"/>
      <c r="B13" s="107"/>
      <c r="C13" s="48" t="s">
        <v>29</v>
      </c>
      <c r="D13" s="47">
        <f>20*80137</f>
        <v>1602740</v>
      </c>
      <c r="E13" s="9" t="s">
        <v>12</v>
      </c>
      <c r="F13" s="13"/>
      <c r="G13" s="45" t="s">
        <v>32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s="6" customFormat="1" ht="36" x14ac:dyDescent="0.3">
      <c r="A14" s="7"/>
      <c r="B14" s="107"/>
      <c r="C14" s="48" t="s">
        <v>33</v>
      </c>
      <c r="D14" s="47">
        <f>20*80137</f>
        <v>1602740</v>
      </c>
      <c r="E14" s="9" t="s">
        <v>12</v>
      </c>
      <c r="F14" s="52"/>
      <c r="G14" s="45" t="s">
        <v>36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s="6" customFormat="1" ht="36" x14ac:dyDescent="0.3">
      <c r="A15" s="7"/>
      <c r="B15" s="107"/>
      <c r="C15" s="48" t="s">
        <v>34</v>
      </c>
      <c r="D15" s="47">
        <f>20*80137</f>
        <v>1602740</v>
      </c>
      <c r="E15" s="9" t="s">
        <v>12</v>
      </c>
      <c r="F15" s="52"/>
      <c r="G15" s="45" t="s">
        <v>37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s="6" customFormat="1" ht="36" x14ac:dyDescent="0.3">
      <c r="A16" s="7"/>
      <c r="B16" s="107"/>
      <c r="C16" s="48" t="s">
        <v>35</v>
      </c>
      <c r="D16" s="47">
        <f>20*80137</f>
        <v>1602740</v>
      </c>
      <c r="E16" s="9" t="s">
        <v>12</v>
      </c>
      <c r="F16" s="52"/>
      <c r="G16" s="45" t="s">
        <v>38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s="6" customFormat="1" ht="36" x14ac:dyDescent="0.3">
      <c r="A17" s="7"/>
      <c r="B17" s="108"/>
      <c r="C17" s="48" t="s">
        <v>57</v>
      </c>
      <c r="D17" s="55">
        <f>20*16787.9*1.2</f>
        <v>402909.6</v>
      </c>
      <c r="E17" s="9" t="s">
        <v>12</v>
      </c>
      <c r="F17" s="52"/>
      <c r="G17" s="49" t="s">
        <v>56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s="6" customFormat="1" ht="36" x14ac:dyDescent="0.3">
      <c r="A18" s="7"/>
      <c r="B18" s="95" t="s">
        <v>16</v>
      </c>
      <c r="C18" s="72" t="s">
        <v>51</v>
      </c>
      <c r="D18" s="38">
        <v>385695.80352000002</v>
      </c>
      <c r="E18" s="57" t="s">
        <v>12</v>
      </c>
      <c r="F18" s="61"/>
      <c r="G18" s="59" t="s">
        <v>26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s="6" customFormat="1" ht="36" x14ac:dyDescent="0.3">
      <c r="A19" s="7"/>
      <c r="B19" s="97"/>
      <c r="C19" s="70" t="s">
        <v>52</v>
      </c>
      <c r="D19" s="68">
        <v>643318.32403199992</v>
      </c>
      <c r="E19" s="64" t="s">
        <v>12</v>
      </c>
      <c r="F19" s="65"/>
      <c r="G19" s="66" t="s">
        <v>27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s="6" customFormat="1" ht="37.200000000000003" customHeight="1" x14ac:dyDescent="0.3">
      <c r="A20" s="7"/>
      <c r="B20" s="69" t="s">
        <v>49</v>
      </c>
      <c r="C20" s="70" t="s">
        <v>50</v>
      </c>
      <c r="D20" s="68">
        <v>127818.10713600001</v>
      </c>
      <c r="E20" s="64" t="s">
        <v>12</v>
      </c>
      <c r="F20" s="65"/>
      <c r="G20" s="66" t="s">
        <v>27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6" customFormat="1" ht="36" x14ac:dyDescent="0.3">
      <c r="A21" s="7"/>
      <c r="B21" s="95" t="s">
        <v>18</v>
      </c>
      <c r="C21" s="56" t="s">
        <v>45</v>
      </c>
      <c r="D21" s="38">
        <v>256085.27</v>
      </c>
      <c r="E21" s="57" t="s">
        <v>12</v>
      </c>
      <c r="F21" s="61"/>
      <c r="G21" s="59" t="s">
        <v>26</v>
      </c>
      <c r="H21" s="17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6" customFormat="1" ht="36" x14ac:dyDescent="0.3">
      <c r="A22" s="7"/>
      <c r="B22" s="97"/>
      <c r="C22" s="62" t="s">
        <v>46</v>
      </c>
      <c r="D22" s="73">
        <f>727216.4761896-100000</f>
        <v>627216.47618959995</v>
      </c>
      <c r="E22" s="64" t="s">
        <v>12</v>
      </c>
      <c r="F22" s="65"/>
      <c r="G22" s="66" t="s">
        <v>27</v>
      </c>
      <c r="H22" s="17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s="6" customFormat="1" ht="41.4" customHeight="1" x14ac:dyDescent="0.3">
      <c r="A23" s="7"/>
      <c r="B23" s="67" t="s">
        <v>47</v>
      </c>
      <c r="C23" s="62" t="s">
        <v>48</v>
      </c>
      <c r="D23" s="68">
        <v>200560.63439999998</v>
      </c>
      <c r="E23" s="64" t="s">
        <v>12</v>
      </c>
      <c r="F23" s="65"/>
      <c r="G23" s="66" t="s">
        <v>60</v>
      </c>
      <c r="H23" s="17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s="6" customFormat="1" ht="31.2" customHeight="1" x14ac:dyDescent="0.3">
      <c r="A24" s="7"/>
      <c r="B24" s="71" t="s">
        <v>53</v>
      </c>
      <c r="C24" s="62" t="s">
        <v>54</v>
      </c>
      <c r="D24" s="68">
        <v>166627.20000000001</v>
      </c>
      <c r="E24" s="64"/>
      <c r="F24" s="65"/>
      <c r="G24" s="66" t="s">
        <v>27</v>
      </c>
      <c r="H24" s="17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s="6" customFormat="1" ht="36" x14ac:dyDescent="0.3">
      <c r="A25" s="7"/>
      <c r="B25" s="22" t="s">
        <v>21</v>
      </c>
      <c r="C25" s="46" t="s">
        <v>39</v>
      </c>
      <c r="D25" s="47"/>
      <c r="E25" s="9" t="s">
        <v>12</v>
      </c>
      <c r="F25" s="15"/>
      <c r="G25" s="51" t="s">
        <v>26</v>
      </c>
      <c r="H25" s="17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s="27" customFormat="1" ht="24.6" customHeight="1" x14ac:dyDescent="0.3">
      <c r="A26" s="24"/>
      <c r="B26" s="24" t="s">
        <v>20</v>
      </c>
      <c r="C26" s="25"/>
      <c r="D26" s="25">
        <f>SUM(D7:D21)+D25</f>
        <v>15878160.494687999</v>
      </c>
      <c r="E26" s="25"/>
      <c r="F26" s="25">
        <f>D26*0.97</f>
        <v>15401815.679847358</v>
      </c>
      <c r="G26" s="25"/>
      <c r="H26" s="26"/>
    </row>
    <row r="27" spans="1:26" s="6" customFormat="1" ht="18" x14ac:dyDescent="0.3">
      <c r="A27" s="28"/>
      <c r="B27" s="29"/>
      <c r="C27" s="30"/>
      <c r="D27" s="31"/>
      <c r="E27" s="32"/>
      <c r="F27" s="33">
        <f>D27-E29</f>
        <v>0</v>
      </c>
      <c r="G27" s="32"/>
      <c r="H27" s="17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C28" s="34"/>
      <c r="D28" s="34"/>
      <c r="E28" s="34"/>
      <c r="F28" s="34"/>
      <c r="G28" s="34"/>
    </row>
    <row r="29" spans="1:26" ht="25.2" customHeight="1" x14ac:dyDescent="0.3">
      <c r="C29" s="34"/>
      <c r="D29" s="53">
        <f>D6+D10+D21+D22+D20+D23+D18+D19+D24</f>
        <v>3866654.4897575998</v>
      </c>
      <c r="E29" s="34"/>
      <c r="F29" s="34">
        <f>F26+'16-20'!F15+9226000+2800000</f>
        <v>33668160.232847355</v>
      </c>
      <c r="G29" s="34"/>
    </row>
    <row r="30" spans="1:26" x14ac:dyDescent="0.25">
      <c r="B30" s="35"/>
      <c r="C30" s="34"/>
      <c r="D30" s="34"/>
      <c r="E30" s="34"/>
      <c r="F30" s="34"/>
      <c r="G30" s="34"/>
    </row>
    <row r="31" spans="1:26" x14ac:dyDescent="0.25">
      <c r="C31" s="34"/>
      <c r="D31" s="34"/>
      <c r="E31" s="34"/>
      <c r="F31" s="34"/>
      <c r="G31" s="34"/>
    </row>
    <row r="32" spans="1:26" x14ac:dyDescent="0.25">
      <c r="C32" s="34"/>
      <c r="D32" s="34"/>
      <c r="E32" s="34"/>
      <c r="F32" s="34"/>
      <c r="G32" s="34"/>
    </row>
    <row r="33" spans="3:7" x14ac:dyDescent="0.25">
      <c r="C33" s="34"/>
      <c r="D33" s="34"/>
      <c r="E33" s="34"/>
      <c r="F33" s="34"/>
      <c r="G33" s="34"/>
    </row>
    <row r="34" spans="3:7" x14ac:dyDescent="0.25">
      <c r="C34" s="34"/>
      <c r="D34" s="34"/>
      <c r="E34" s="34"/>
      <c r="F34" s="34"/>
      <c r="G34" s="34"/>
    </row>
    <row r="35" spans="3:7" x14ac:dyDescent="0.25">
      <c r="C35" s="34"/>
      <c r="D35" s="34"/>
      <c r="E35" s="34"/>
      <c r="F35" s="34"/>
      <c r="G35" s="34"/>
    </row>
    <row r="36" spans="3:7" x14ac:dyDescent="0.25">
      <c r="C36" s="34"/>
      <c r="D36" s="34"/>
      <c r="E36" s="34"/>
      <c r="F36" s="34"/>
      <c r="G36" s="34"/>
    </row>
    <row r="37" spans="3:7" x14ac:dyDescent="0.25">
      <c r="C37" s="34"/>
      <c r="D37" s="34"/>
      <c r="E37" s="34"/>
      <c r="F37" s="34"/>
      <c r="G37" s="34"/>
    </row>
    <row r="38" spans="3:7" x14ac:dyDescent="0.25">
      <c r="C38" s="34"/>
      <c r="D38" s="34"/>
      <c r="E38" s="34"/>
      <c r="F38" s="34"/>
      <c r="G38" s="34"/>
    </row>
    <row r="39" spans="3:7" x14ac:dyDescent="0.25">
      <c r="C39" s="34"/>
      <c r="D39" s="34"/>
      <c r="E39" s="34"/>
      <c r="F39" s="34"/>
      <c r="G39" s="34"/>
    </row>
    <row r="40" spans="3:7" x14ac:dyDescent="0.25">
      <c r="C40" s="34"/>
      <c r="D40" s="34"/>
      <c r="E40" s="34"/>
      <c r="F40" s="34"/>
      <c r="G40" s="34"/>
    </row>
    <row r="41" spans="3:7" x14ac:dyDescent="0.25">
      <c r="C41" s="34"/>
      <c r="D41" s="34"/>
      <c r="E41" s="34"/>
      <c r="F41" s="34"/>
      <c r="G41" s="34"/>
    </row>
    <row r="42" spans="3:7" x14ac:dyDescent="0.25">
      <c r="C42" s="34"/>
      <c r="D42" s="34"/>
      <c r="E42" s="34"/>
      <c r="F42" s="34"/>
      <c r="G42" s="34"/>
    </row>
    <row r="43" spans="3:7" x14ac:dyDescent="0.25">
      <c r="C43" s="34"/>
      <c r="D43" s="34"/>
      <c r="E43" s="34"/>
      <c r="F43" s="34"/>
      <c r="G43" s="34"/>
    </row>
    <row r="44" spans="3:7" x14ac:dyDescent="0.25">
      <c r="C44" s="34"/>
      <c r="D44" s="34"/>
      <c r="E44" s="34"/>
      <c r="F44" s="34"/>
      <c r="G44" s="34"/>
    </row>
    <row r="45" spans="3:7" x14ac:dyDescent="0.25">
      <c r="C45" s="34"/>
      <c r="D45" s="34"/>
      <c r="E45" s="34"/>
      <c r="F45" s="34"/>
      <c r="G45" s="34"/>
    </row>
    <row r="46" spans="3:7" x14ac:dyDescent="0.25">
      <c r="C46" s="34"/>
      <c r="D46" s="34"/>
      <c r="E46" s="34"/>
      <c r="F46" s="34"/>
      <c r="G46" s="34"/>
    </row>
    <row r="47" spans="3:7" x14ac:dyDescent="0.25">
      <c r="C47" s="34"/>
      <c r="D47" s="34"/>
      <c r="E47" s="34"/>
      <c r="F47" s="34"/>
      <c r="G47" s="34"/>
    </row>
    <row r="48" spans="3:7" x14ac:dyDescent="0.25">
      <c r="C48" s="34"/>
      <c r="D48" s="34"/>
      <c r="E48" s="34"/>
      <c r="F48" s="34"/>
      <c r="G48" s="34"/>
    </row>
    <row r="49" spans="3:7" x14ac:dyDescent="0.25">
      <c r="C49" s="34"/>
      <c r="D49" s="34"/>
      <c r="E49" s="34"/>
      <c r="F49" s="34"/>
      <c r="G49" s="34"/>
    </row>
    <row r="50" spans="3:7" x14ac:dyDescent="0.25">
      <c r="C50" s="34"/>
      <c r="D50" s="34"/>
      <c r="E50" s="34"/>
      <c r="F50" s="34"/>
      <c r="G50" s="34"/>
    </row>
  </sheetData>
  <autoFilter ref="D5:D27"/>
  <mergeCells count="9">
    <mergeCell ref="B18:B19"/>
    <mergeCell ref="B21:B22"/>
    <mergeCell ref="A1:G2"/>
    <mergeCell ref="A3:A4"/>
    <mergeCell ref="B3:B4"/>
    <mergeCell ref="C3:F3"/>
    <mergeCell ref="G3:G4"/>
    <mergeCell ref="B6:B10"/>
    <mergeCell ref="B11:B17"/>
  </mergeCells>
  <pageMargins left="0.7" right="0.7" top="0.75" bottom="0.75" header="0.3" footer="0.3"/>
  <pageSetup paperSize="9" scale="47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2"/>
  <sheetViews>
    <sheetView tabSelected="1" view="pageBreakPreview" topLeftCell="A17" zoomScale="60" zoomScaleNormal="60" workbookViewId="0">
      <selection activeCell="E29" sqref="E29"/>
    </sheetView>
  </sheetViews>
  <sheetFormatPr defaultColWidth="9.109375" defaultRowHeight="12" x14ac:dyDescent="0.25"/>
  <cols>
    <col min="1" max="1" width="10.44140625" style="1" customWidth="1"/>
    <col min="2" max="2" width="73" style="1" customWidth="1"/>
    <col min="3" max="3" width="24" style="36" customWidth="1"/>
    <col min="4" max="5" width="27.5546875" style="36" customWidth="1"/>
    <col min="6" max="6" width="46.6640625" style="36" customWidth="1"/>
    <col min="7" max="7" width="35.5546875" style="36" customWidth="1"/>
    <col min="8" max="8" width="30.6640625" style="36" customWidth="1"/>
    <col min="9" max="9" width="28.109375" style="1" customWidth="1"/>
    <col min="10" max="16384" width="9.109375" style="1"/>
  </cols>
  <sheetData>
    <row r="1" spans="1:27" x14ac:dyDescent="0.25">
      <c r="A1" s="98" t="s">
        <v>0</v>
      </c>
      <c r="B1" s="98"/>
      <c r="C1" s="98"/>
      <c r="D1" s="98"/>
      <c r="E1" s="98"/>
      <c r="F1" s="98"/>
      <c r="G1" s="98"/>
      <c r="H1" s="98"/>
    </row>
    <row r="2" spans="1:27" ht="42.6" customHeight="1" x14ac:dyDescent="0.25">
      <c r="A2" s="99"/>
      <c r="B2" s="99"/>
      <c r="C2" s="99"/>
      <c r="D2" s="99"/>
      <c r="E2" s="99"/>
      <c r="F2" s="99"/>
      <c r="G2" s="99"/>
      <c r="H2" s="99"/>
    </row>
    <row r="3" spans="1:27" ht="17.399999999999999" x14ac:dyDescent="0.25">
      <c r="A3" s="100" t="s">
        <v>1</v>
      </c>
      <c r="B3" s="102" t="s">
        <v>2</v>
      </c>
      <c r="C3" s="103" t="s">
        <v>3</v>
      </c>
      <c r="D3" s="104"/>
      <c r="E3" s="104"/>
      <c r="F3" s="104"/>
      <c r="G3" s="105"/>
      <c r="H3" s="100" t="s">
        <v>4</v>
      </c>
    </row>
    <row r="4" spans="1:27" ht="52.2" x14ac:dyDescent="0.25">
      <c r="A4" s="101"/>
      <c r="B4" s="102"/>
      <c r="C4" s="76" t="s">
        <v>5</v>
      </c>
      <c r="D4" s="76" t="s">
        <v>61</v>
      </c>
      <c r="E4" s="76" t="s">
        <v>62</v>
      </c>
      <c r="F4" s="76" t="s">
        <v>7</v>
      </c>
      <c r="G4" s="76" t="s">
        <v>8</v>
      </c>
      <c r="H4" s="101"/>
    </row>
    <row r="5" spans="1:27" s="6" customFormat="1" ht="18" x14ac:dyDescent="0.3">
      <c r="A5" s="3"/>
      <c r="B5" s="39" t="s">
        <v>9</v>
      </c>
      <c r="C5" s="40"/>
      <c r="D5" s="40"/>
      <c r="E5" s="40"/>
      <c r="F5" s="40"/>
      <c r="G5" s="41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s="6" customFormat="1" ht="44.4" customHeight="1" x14ac:dyDescent="0.3">
      <c r="A6" s="7"/>
      <c r="B6" s="95" t="s">
        <v>10</v>
      </c>
      <c r="C6" s="56" t="s">
        <v>42</v>
      </c>
      <c r="D6" s="37">
        <v>912212.21356800001</v>
      </c>
      <c r="E6" s="37"/>
      <c r="F6" s="57" t="s">
        <v>12</v>
      </c>
      <c r="G6" s="58" t="s">
        <v>43</v>
      </c>
      <c r="H6" s="59" t="s">
        <v>26</v>
      </c>
      <c r="I6" s="60" t="s">
        <v>63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s="6" customFormat="1" ht="36" x14ac:dyDescent="0.3">
      <c r="A7" s="7"/>
      <c r="B7" s="96"/>
      <c r="C7" s="56" t="s">
        <v>69</v>
      </c>
      <c r="D7" s="38">
        <v>3387564.08</v>
      </c>
      <c r="E7" s="38"/>
      <c r="F7" s="57" t="s">
        <v>12</v>
      </c>
      <c r="G7" s="78"/>
      <c r="H7" s="80" t="s">
        <v>28</v>
      </c>
      <c r="I7" s="60" t="s">
        <v>70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s="6" customFormat="1" ht="36" x14ac:dyDescent="0.3">
      <c r="A8" s="7"/>
      <c r="B8" s="96"/>
      <c r="C8" s="62" t="s">
        <v>40</v>
      </c>
      <c r="D8" s="73"/>
      <c r="E8" s="68">
        <v>402888</v>
      </c>
      <c r="F8" s="64" t="s">
        <v>12</v>
      </c>
      <c r="G8" s="87"/>
      <c r="H8" s="88" t="s">
        <v>56</v>
      </c>
      <c r="I8" s="77" t="s">
        <v>80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s="6" customFormat="1" ht="36" x14ac:dyDescent="0.3">
      <c r="A9" s="7"/>
      <c r="B9" s="96"/>
      <c r="C9" s="62" t="s">
        <v>55</v>
      </c>
      <c r="D9" s="73"/>
      <c r="E9" s="68">
        <v>442334.76</v>
      </c>
      <c r="F9" s="64" t="s">
        <v>12</v>
      </c>
      <c r="G9" s="87"/>
      <c r="H9" s="88" t="s">
        <v>79</v>
      </c>
      <c r="I9" s="89" t="s">
        <v>81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s="6" customFormat="1" ht="39.6" customHeight="1" x14ac:dyDescent="0.3">
      <c r="A10" s="7"/>
      <c r="B10" s="96"/>
      <c r="C10" s="62" t="s">
        <v>44</v>
      </c>
      <c r="D10" s="63"/>
      <c r="E10" s="63">
        <v>347659.13</v>
      </c>
      <c r="F10" s="64" t="s">
        <v>12</v>
      </c>
      <c r="G10" s="65"/>
      <c r="H10" s="66" t="s">
        <v>27</v>
      </c>
      <c r="I10" s="81" t="s">
        <v>71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s="6" customFormat="1" ht="34.799999999999997" customHeight="1" x14ac:dyDescent="0.3">
      <c r="A11" s="7"/>
      <c r="B11" s="106" t="s">
        <v>13</v>
      </c>
      <c r="C11" s="72" t="s">
        <v>65</v>
      </c>
      <c r="D11" s="38">
        <v>1353790.73</v>
      </c>
      <c r="E11" s="54"/>
      <c r="F11" s="57" t="s">
        <v>12</v>
      </c>
      <c r="G11" s="61" t="s">
        <v>43</v>
      </c>
      <c r="H11" s="59" t="s">
        <v>26</v>
      </c>
      <c r="I11" s="60" t="s">
        <v>66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s="6" customFormat="1" ht="36" customHeight="1" x14ac:dyDescent="0.3">
      <c r="A12" s="7"/>
      <c r="B12" s="107"/>
      <c r="C12" s="82" t="s">
        <v>72</v>
      </c>
      <c r="D12" s="68"/>
      <c r="E12" s="68">
        <v>2362222.88</v>
      </c>
      <c r="F12" s="83" t="s">
        <v>12</v>
      </c>
      <c r="G12" s="84"/>
      <c r="H12" s="85" t="s">
        <v>27</v>
      </c>
      <c r="I12" s="60" t="s">
        <v>73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s="6" customFormat="1" ht="36" x14ac:dyDescent="0.3">
      <c r="A13" s="7"/>
      <c r="B13" s="107"/>
      <c r="C13" s="72" t="s">
        <v>67</v>
      </c>
      <c r="D13" s="38">
        <v>1594901.54</v>
      </c>
      <c r="E13" s="38"/>
      <c r="F13" s="57" t="s">
        <v>12</v>
      </c>
      <c r="G13" s="91" t="s">
        <v>89</v>
      </c>
      <c r="H13" s="79" t="s">
        <v>32</v>
      </c>
      <c r="I13" s="60" t="s">
        <v>68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s="6" customFormat="1" ht="36" x14ac:dyDescent="0.3">
      <c r="A14" s="7"/>
      <c r="B14" s="107"/>
      <c r="C14" s="70" t="s">
        <v>82</v>
      </c>
      <c r="D14" s="68"/>
      <c r="E14" s="68">
        <v>402909.6</v>
      </c>
      <c r="F14" s="64" t="s">
        <v>12</v>
      </c>
      <c r="G14" s="92"/>
      <c r="H14" s="90" t="s">
        <v>86</v>
      </c>
      <c r="I14" s="77" t="s">
        <v>83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s="6" customFormat="1" ht="36" x14ac:dyDescent="0.3">
      <c r="A15" s="7"/>
      <c r="B15" s="107"/>
      <c r="C15" s="82" t="s">
        <v>87</v>
      </c>
      <c r="D15" s="68"/>
      <c r="E15" s="68">
        <v>1538203.5497280001</v>
      </c>
      <c r="F15" s="83" t="s">
        <v>12</v>
      </c>
      <c r="G15" s="93" t="s">
        <v>88</v>
      </c>
      <c r="H15" s="94" t="s">
        <v>37</v>
      </c>
      <c r="I15" s="89" t="s">
        <v>90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s="6" customFormat="1" ht="36" x14ac:dyDescent="0.3">
      <c r="A16" s="7"/>
      <c r="B16" s="107"/>
      <c r="C16" s="70" t="s">
        <v>92</v>
      </c>
      <c r="D16" s="68"/>
      <c r="E16" s="68">
        <v>1919957.7076440002</v>
      </c>
      <c r="F16" s="64" t="s">
        <v>12</v>
      </c>
      <c r="G16" s="92" t="s">
        <v>91</v>
      </c>
      <c r="H16" s="90" t="s">
        <v>38</v>
      </c>
      <c r="I16" s="60" t="s">
        <v>93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s="6" customFormat="1" ht="36" customHeight="1" x14ac:dyDescent="0.3">
      <c r="A17" s="7"/>
      <c r="B17" s="107"/>
      <c r="C17" s="70" t="s">
        <v>94</v>
      </c>
      <c r="D17" s="68"/>
      <c r="E17" s="68">
        <v>1155962.822412</v>
      </c>
      <c r="F17" s="64" t="s">
        <v>12</v>
      </c>
      <c r="G17" s="92" t="s">
        <v>95</v>
      </c>
      <c r="H17" s="90"/>
      <c r="I17" s="6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s="6" customFormat="1" ht="36" x14ac:dyDescent="0.3">
      <c r="A18" s="7"/>
      <c r="B18" s="107"/>
      <c r="C18" s="70" t="s">
        <v>99</v>
      </c>
      <c r="D18" s="73"/>
      <c r="E18" s="68">
        <v>1394721.3579480001</v>
      </c>
      <c r="F18" s="64" t="s">
        <v>12</v>
      </c>
      <c r="G18" s="92" t="s">
        <v>96</v>
      </c>
      <c r="H18" s="88" t="s">
        <v>36</v>
      </c>
      <c r="I18" s="5" t="s">
        <v>85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s="6" customFormat="1" ht="36" x14ac:dyDescent="0.3">
      <c r="A19" s="7"/>
      <c r="B19" s="107"/>
      <c r="C19" s="70" t="s">
        <v>100</v>
      </c>
      <c r="D19" s="73"/>
      <c r="E19" s="68">
        <v>1439689.5362399998</v>
      </c>
      <c r="F19" s="64" t="s">
        <v>12</v>
      </c>
      <c r="G19" s="92" t="s">
        <v>97</v>
      </c>
      <c r="H19" s="88"/>
      <c r="I19" s="5" t="s">
        <v>85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s="6" customFormat="1" ht="33" customHeight="1" x14ac:dyDescent="0.3">
      <c r="A20" s="7"/>
      <c r="B20" s="108"/>
      <c r="C20" s="70" t="s">
        <v>101</v>
      </c>
      <c r="D20" s="73"/>
      <c r="E20" s="68">
        <v>1223132.9324800002</v>
      </c>
      <c r="F20" s="64" t="s">
        <v>12</v>
      </c>
      <c r="G20" s="92" t="s">
        <v>98</v>
      </c>
      <c r="H20" s="8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s="6" customFormat="1" ht="36" x14ac:dyDescent="0.3">
      <c r="A21" s="7"/>
      <c r="B21" s="95" t="s">
        <v>16</v>
      </c>
      <c r="C21" s="72" t="s">
        <v>51</v>
      </c>
      <c r="D21" s="38">
        <v>385695.80352000002</v>
      </c>
      <c r="E21" s="38"/>
      <c r="F21" s="57" t="s">
        <v>12</v>
      </c>
      <c r="G21" s="61">
        <f>21.1162*26450</f>
        <v>558523.49</v>
      </c>
      <c r="H21" s="59" t="s">
        <v>26</v>
      </c>
      <c r="I21" s="77" t="s">
        <v>64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s="6" customFormat="1" ht="36" x14ac:dyDescent="0.3">
      <c r="A22" s="7"/>
      <c r="B22" s="97"/>
      <c r="C22" s="70" t="s">
        <v>52</v>
      </c>
      <c r="D22" s="68"/>
      <c r="E22" s="68">
        <v>643318.31999999995</v>
      </c>
      <c r="F22" s="64" t="s">
        <v>12</v>
      </c>
      <c r="G22" s="65"/>
      <c r="H22" s="66" t="s">
        <v>27</v>
      </c>
      <c r="I22" s="77" t="s">
        <v>76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s="6" customFormat="1" ht="37.200000000000003" customHeight="1" x14ac:dyDescent="0.3">
      <c r="A23" s="7"/>
      <c r="B23" s="74" t="s">
        <v>49</v>
      </c>
      <c r="C23" s="70" t="s">
        <v>50</v>
      </c>
      <c r="D23" s="68"/>
      <c r="E23" s="68">
        <v>127818.11</v>
      </c>
      <c r="F23" s="64" t="s">
        <v>12</v>
      </c>
      <c r="G23" s="65"/>
      <c r="H23" s="66" t="s">
        <v>27</v>
      </c>
      <c r="I23" s="60" t="s">
        <v>75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s="6" customFormat="1" ht="36" x14ac:dyDescent="0.3">
      <c r="A24" s="7"/>
      <c r="B24" s="75" t="s">
        <v>18</v>
      </c>
      <c r="C24" s="62" t="s">
        <v>45</v>
      </c>
      <c r="D24" s="73"/>
      <c r="E24" s="68">
        <v>716695.44</v>
      </c>
      <c r="F24" s="64" t="s">
        <v>12</v>
      </c>
      <c r="G24" s="65"/>
      <c r="H24" s="66" t="s">
        <v>27</v>
      </c>
      <c r="I24" s="81" t="s">
        <v>74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s="6" customFormat="1" ht="41.4" customHeight="1" x14ac:dyDescent="0.3">
      <c r="A25" s="7"/>
      <c r="B25" s="75" t="s">
        <v>47</v>
      </c>
      <c r="C25" s="62" t="s">
        <v>48</v>
      </c>
      <c r="D25" s="68"/>
      <c r="E25" s="68">
        <v>200560.63</v>
      </c>
      <c r="F25" s="64" t="s">
        <v>12</v>
      </c>
      <c r="G25" s="65"/>
      <c r="H25" s="66" t="s">
        <v>60</v>
      </c>
      <c r="I25" s="81" t="s">
        <v>78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s="6" customFormat="1" ht="31.2" customHeight="1" x14ac:dyDescent="0.3">
      <c r="A26" s="7"/>
      <c r="B26" s="75" t="s">
        <v>53</v>
      </c>
      <c r="C26" s="62" t="s">
        <v>54</v>
      </c>
      <c r="D26" s="68"/>
      <c r="E26" s="68">
        <v>166627.20000000001</v>
      </c>
      <c r="F26" s="64" t="s">
        <v>12</v>
      </c>
      <c r="G26" s="65"/>
      <c r="H26" s="66" t="s">
        <v>27</v>
      </c>
      <c r="I26" s="86" t="s">
        <v>77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s="6" customFormat="1" ht="36" x14ac:dyDescent="0.3">
      <c r="A27" s="7"/>
      <c r="B27" s="22" t="s">
        <v>21</v>
      </c>
      <c r="C27" s="62" t="s">
        <v>22</v>
      </c>
      <c r="D27" s="68"/>
      <c r="E27" s="68">
        <v>253226.72</v>
      </c>
      <c r="F27" s="64" t="s">
        <v>12</v>
      </c>
      <c r="G27" s="65"/>
      <c r="H27" s="66" t="s">
        <v>26</v>
      </c>
      <c r="I27" s="86" t="s">
        <v>84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s="27" customFormat="1" ht="24.6" customHeight="1" x14ac:dyDescent="0.3">
      <c r="A28" s="24"/>
      <c r="B28" s="24" t="s">
        <v>20</v>
      </c>
      <c r="C28" s="25"/>
      <c r="D28" s="25">
        <f>SUM(D6:D26)+D27</f>
        <v>7634164.3670880003</v>
      </c>
      <c r="E28" s="25">
        <f>SUM(E6:E27)</f>
        <v>14737928.696451999</v>
      </c>
      <c r="F28" s="25"/>
      <c r="G28" s="25">
        <f>D28*0.97</f>
        <v>7405139.4360753605</v>
      </c>
      <c r="H28" s="25"/>
      <c r="I28" s="26"/>
    </row>
    <row r="29" spans="1:27" s="6" customFormat="1" ht="18" x14ac:dyDescent="0.3">
      <c r="A29" s="28"/>
      <c r="B29" s="29"/>
      <c r="C29" s="30"/>
      <c r="D29" s="31"/>
      <c r="E29" s="31"/>
      <c r="F29" s="32"/>
      <c r="G29" s="33">
        <f>D29-F31</f>
        <v>0</v>
      </c>
      <c r="H29" s="32"/>
      <c r="I29" s="17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x14ac:dyDescent="0.25">
      <c r="C30" s="34"/>
      <c r="D30" s="34"/>
      <c r="E30" s="34"/>
      <c r="F30" s="34"/>
      <c r="G30" s="34"/>
      <c r="H30" s="34"/>
    </row>
    <row r="31" spans="1:27" ht="25.2" customHeight="1" x14ac:dyDescent="0.3">
      <c r="C31" s="34"/>
      <c r="D31" s="53"/>
      <c r="E31" s="53">
        <f>D28+E28</f>
        <v>22372093.06354</v>
      </c>
      <c r="F31" s="34"/>
      <c r="G31" s="34">
        <f>G28+'16-20'!F15+9226000+2800000</f>
        <v>25671483.989075359</v>
      </c>
      <c r="H31" s="34"/>
    </row>
    <row r="32" spans="1:27" x14ac:dyDescent="0.25">
      <c r="B32" s="35"/>
      <c r="C32" s="34"/>
      <c r="D32" s="34"/>
      <c r="E32" s="34"/>
      <c r="F32" s="34"/>
      <c r="G32" s="34"/>
      <c r="H32" s="34"/>
    </row>
    <row r="33" spans="3:8" x14ac:dyDescent="0.25">
      <c r="C33" s="34"/>
      <c r="D33" s="34"/>
      <c r="E33" s="34"/>
      <c r="F33" s="34"/>
      <c r="G33" s="34"/>
      <c r="H33" s="34"/>
    </row>
    <row r="34" spans="3:8" x14ac:dyDescent="0.25">
      <c r="C34" s="34"/>
      <c r="D34" s="34"/>
      <c r="E34" s="34"/>
      <c r="F34" s="34"/>
      <c r="G34" s="34"/>
      <c r="H34" s="34"/>
    </row>
    <row r="35" spans="3:8" x14ac:dyDescent="0.25">
      <c r="C35" s="34"/>
      <c r="D35" s="34"/>
      <c r="E35" s="34"/>
      <c r="F35" s="34"/>
      <c r="G35" s="34"/>
      <c r="H35" s="34"/>
    </row>
    <row r="36" spans="3:8" x14ac:dyDescent="0.25">
      <c r="C36" s="34"/>
      <c r="D36" s="34"/>
      <c r="E36" s="34"/>
      <c r="F36" s="34"/>
      <c r="G36" s="34"/>
      <c r="H36" s="34"/>
    </row>
    <row r="37" spans="3:8" x14ac:dyDescent="0.25">
      <c r="C37" s="34"/>
      <c r="D37" s="34"/>
      <c r="E37" s="34"/>
      <c r="F37" s="34"/>
      <c r="G37" s="34"/>
      <c r="H37" s="34"/>
    </row>
    <row r="38" spans="3:8" x14ac:dyDescent="0.25">
      <c r="C38" s="34"/>
      <c r="D38" s="34"/>
      <c r="E38" s="34"/>
      <c r="F38" s="34"/>
      <c r="G38" s="34"/>
      <c r="H38" s="34"/>
    </row>
    <row r="39" spans="3:8" x14ac:dyDescent="0.25">
      <c r="C39" s="34"/>
      <c r="D39" s="34"/>
      <c r="E39" s="34"/>
      <c r="F39" s="34"/>
      <c r="G39" s="34"/>
      <c r="H39" s="34"/>
    </row>
    <row r="40" spans="3:8" x14ac:dyDescent="0.25">
      <c r="C40" s="34"/>
      <c r="D40" s="34"/>
      <c r="E40" s="34"/>
      <c r="F40" s="34"/>
      <c r="G40" s="34"/>
      <c r="H40" s="34"/>
    </row>
    <row r="41" spans="3:8" x14ac:dyDescent="0.25">
      <c r="C41" s="34"/>
      <c r="D41" s="34"/>
      <c r="E41" s="34"/>
      <c r="F41" s="34"/>
      <c r="G41" s="34"/>
      <c r="H41" s="34"/>
    </row>
    <row r="42" spans="3:8" x14ac:dyDescent="0.25">
      <c r="C42" s="34"/>
      <c r="D42" s="34"/>
      <c r="E42" s="34"/>
      <c r="F42" s="34"/>
      <c r="G42" s="34"/>
      <c r="H42" s="34"/>
    </row>
    <row r="43" spans="3:8" x14ac:dyDescent="0.25">
      <c r="C43" s="34"/>
      <c r="D43" s="34"/>
      <c r="E43" s="34"/>
      <c r="F43" s="34"/>
      <c r="G43" s="34"/>
      <c r="H43" s="34"/>
    </row>
    <row r="44" spans="3:8" x14ac:dyDescent="0.25">
      <c r="C44" s="34"/>
      <c r="D44" s="34"/>
      <c r="E44" s="34"/>
      <c r="F44" s="34"/>
      <c r="G44" s="34"/>
      <c r="H44" s="34"/>
    </row>
    <row r="45" spans="3:8" x14ac:dyDescent="0.25">
      <c r="C45" s="34"/>
      <c r="D45" s="34"/>
      <c r="E45" s="34"/>
      <c r="F45" s="34"/>
      <c r="G45" s="34"/>
      <c r="H45" s="34"/>
    </row>
    <row r="46" spans="3:8" x14ac:dyDescent="0.25">
      <c r="C46" s="34"/>
      <c r="D46" s="34"/>
      <c r="E46" s="34"/>
      <c r="F46" s="34"/>
      <c r="G46" s="34"/>
      <c r="H46" s="34"/>
    </row>
    <row r="47" spans="3:8" x14ac:dyDescent="0.25">
      <c r="C47" s="34"/>
      <c r="D47" s="34"/>
      <c r="E47" s="34"/>
      <c r="F47" s="34"/>
      <c r="G47" s="34"/>
      <c r="H47" s="34"/>
    </row>
    <row r="48" spans="3:8" x14ac:dyDescent="0.25">
      <c r="C48" s="34"/>
      <c r="D48" s="34"/>
      <c r="E48" s="34"/>
      <c r="F48" s="34"/>
      <c r="G48" s="34"/>
      <c r="H48" s="34"/>
    </row>
    <row r="49" spans="3:8" x14ac:dyDescent="0.25">
      <c r="C49" s="34"/>
      <c r="D49" s="34"/>
      <c r="E49" s="34"/>
      <c r="F49" s="34"/>
      <c r="G49" s="34"/>
      <c r="H49" s="34"/>
    </row>
    <row r="50" spans="3:8" x14ac:dyDescent="0.25">
      <c r="C50" s="34"/>
      <c r="D50" s="34"/>
      <c r="E50" s="34"/>
      <c r="F50" s="34"/>
      <c r="G50" s="34"/>
      <c r="H50" s="34"/>
    </row>
    <row r="51" spans="3:8" x14ac:dyDescent="0.25">
      <c r="C51" s="34"/>
      <c r="D51" s="34"/>
      <c r="E51" s="34"/>
      <c r="F51" s="34"/>
      <c r="G51" s="34"/>
      <c r="H51" s="34"/>
    </row>
    <row r="52" spans="3:8" x14ac:dyDescent="0.25">
      <c r="C52" s="34"/>
      <c r="D52" s="34"/>
      <c r="E52" s="34"/>
      <c r="F52" s="34"/>
      <c r="G52" s="34"/>
      <c r="H52" s="34"/>
    </row>
  </sheetData>
  <autoFilter ref="D5:D29"/>
  <mergeCells count="8">
    <mergeCell ref="B21:B22"/>
    <mergeCell ref="A1:H2"/>
    <mergeCell ref="A3:A4"/>
    <mergeCell ref="B3:B4"/>
    <mergeCell ref="C3:G3"/>
    <mergeCell ref="H3:H4"/>
    <mergeCell ref="B6:B10"/>
    <mergeCell ref="B11:B20"/>
  </mergeCells>
  <pageMargins left="0.7" right="0.7" top="0.75" bottom="0.75" header="0.3" footer="0.3"/>
  <pageSetup paperSize="9" scale="43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16-20</vt:lpstr>
      <vt:lpstr>23-27</vt:lpstr>
      <vt:lpstr>ФАКТ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2024-12-18T09:01:01Z</cp:lastPrinted>
  <dcterms:created xsi:type="dcterms:W3CDTF">2024-12-13T06:01:37Z</dcterms:created>
  <dcterms:modified xsi:type="dcterms:W3CDTF">2024-12-19T12:44:35Z</dcterms:modified>
</cp:coreProperties>
</file>
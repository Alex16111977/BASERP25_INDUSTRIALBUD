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8496"/>
  </bookViews>
  <sheets>
    <sheet name="списание" sheetId="1" r:id="rId1"/>
    <sheet name="послуги" sheetId="2" r:id="rId2"/>
    <sheet name="Лист3" sheetId="3" r:id="rId3"/>
  </sheets>
  <definedNames>
    <definedName name="_xlnm._FilterDatabase" localSheetId="1" hidden="1">послуги!$A$1:$N$12</definedName>
    <definedName name="_xlnm._FilterDatabase" localSheetId="0" hidden="1">списание!$A$1:$H$31</definedName>
  </definedNames>
  <calcPr calcId="145621"/>
</workbook>
</file>

<file path=xl/calcChain.xml><?xml version="1.0" encoding="utf-8"?>
<calcChain xmlns="http://schemas.openxmlformats.org/spreadsheetml/2006/main">
  <c r="F19" i="1" l="1"/>
  <c r="F18" i="1"/>
  <c r="F17" i="1"/>
  <c r="F15" i="1"/>
  <c r="F6" i="1"/>
  <c r="F5" i="1"/>
  <c r="F4" i="1"/>
  <c r="F31" i="1" l="1"/>
  <c r="F30" i="1"/>
  <c r="F29" i="1"/>
  <c r="F28" i="1"/>
  <c r="F27" i="1"/>
  <c r="F26" i="1"/>
  <c r="F25" i="1"/>
  <c r="F24" i="1"/>
  <c r="F23" i="1"/>
  <c r="F22" i="1"/>
  <c r="F21" i="1"/>
  <c r="F20" i="1"/>
  <c r="F14" i="1"/>
  <c r="F13" i="1"/>
  <c r="F12" i="1"/>
  <c r="F11" i="1"/>
  <c r="F10" i="1"/>
  <c r="F9" i="1"/>
  <c r="F8" i="1"/>
  <c r="D17" i="2" l="1"/>
  <c r="F16" i="1"/>
  <c r="F7" i="1"/>
  <c r="F3" i="1"/>
  <c r="F2" i="1"/>
</calcChain>
</file>

<file path=xl/sharedStrings.xml><?xml version="1.0" encoding="utf-8"?>
<sst xmlns="http://schemas.openxmlformats.org/spreadsheetml/2006/main" count="361" uniqueCount="149">
  <si>
    <t>Дата</t>
  </si>
  <si>
    <t>Номер</t>
  </si>
  <si>
    <t>Склад</t>
  </si>
  <si>
    <t>Організація</t>
  </si>
  <si>
    <t>Відповідальний</t>
  </si>
  <si>
    <t>Коментар</t>
  </si>
  <si>
    <t>Цех_ВООЗ</t>
  </si>
  <si>
    <t>ТОВ "ІНДАСТРІАЛБУД"</t>
  </si>
  <si>
    <t>Стецюк Татьяна</t>
  </si>
  <si>
    <t>15.08.2024 00:00:00</t>
  </si>
  <si>
    <t>ІБ00-000335</t>
  </si>
  <si>
    <t>МД ВООЗ №1</t>
  </si>
  <si>
    <t>14.09.2024 00:00:00</t>
  </si>
  <si>
    <t>ІБ00-000339</t>
  </si>
  <si>
    <t>МД  ВООЗ №2</t>
  </si>
  <si>
    <t>20.09.2024 00:00:00</t>
  </si>
  <si>
    <t>ІБ00-000385</t>
  </si>
  <si>
    <t>МД ВООЗ №3</t>
  </si>
  <si>
    <t>23.09.2024 00:00:00</t>
  </si>
  <si>
    <t>ІБ00-000389</t>
  </si>
  <si>
    <t>МД ВООЗ №4</t>
  </si>
  <si>
    <t>24.09.2024 00:00:00</t>
  </si>
  <si>
    <t>ІБ00-000392</t>
  </si>
  <si>
    <t>МД ВООЗ №5</t>
  </si>
  <si>
    <t>25.09.2024 00:00:00</t>
  </si>
  <si>
    <t>ІБ00-000433</t>
  </si>
  <si>
    <t>МД ВООЗ №6</t>
  </si>
  <si>
    <t>30.09.2024 00:00:00</t>
  </si>
  <si>
    <t>ІБ00-000480</t>
  </si>
  <si>
    <t>заміна гартованого склопакету м/п кон-ції МД ВООЗ №3</t>
  </si>
  <si>
    <t>ІБ00-000498</t>
  </si>
  <si>
    <t>доп. МД ВООЗ №1</t>
  </si>
  <si>
    <t>ІБ00-000500</t>
  </si>
  <si>
    <t>доп. МД ВООЗ №2</t>
  </si>
  <si>
    <t>ІБ00-000503</t>
  </si>
  <si>
    <t>Аулова Маргарита</t>
  </si>
  <si>
    <t>доп. МД ВООЗ №3</t>
  </si>
  <si>
    <t>ІБ00-000505</t>
  </si>
  <si>
    <t>доп. МД ВООЗ №4</t>
  </si>
  <si>
    <t>ІБ00-000507</t>
  </si>
  <si>
    <t>доп. МД ВООЗ №5</t>
  </si>
  <si>
    <t>ІБ00-000509</t>
  </si>
  <si>
    <t>доп. МД ВООЗ №6</t>
  </si>
  <si>
    <t>07.10.2024 00:00:00</t>
  </si>
  <si>
    <t>ІБ00-000436</t>
  </si>
  <si>
    <t>МД ВООЗ №1 (велика)</t>
  </si>
  <si>
    <t>07.10.2024 10:00:00</t>
  </si>
  <si>
    <t>ІБ00-000434</t>
  </si>
  <si>
    <t>МД ВООЗ №7</t>
  </si>
  <si>
    <t>08.10.2024 00:00:00</t>
  </si>
  <si>
    <t>ІБ00-000471</t>
  </si>
  <si>
    <t>МД ВООЗ №2 (велика)</t>
  </si>
  <si>
    <t>09.10.2024 00:00:00</t>
  </si>
  <si>
    <t>ІБ00-000472</t>
  </si>
  <si>
    <t>МД ВООЗ №3 (велика)</t>
  </si>
  <si>
    <t>10.10.2024 00:00:00</t>
  </si>
  <si>
    <t>ІБ00-000478</t>
  </si>
  <si>
    <t>МД ВООЗ №4 (велика)</t>
  </si>
  <si>
    <t>18.10.2024 00:00:00</t>
  </si>
  <si>
    <t>ІБ00-000504</t>
  </si>
  <si>
    <t>18.10.2024 22:21:11</t>
  </si>
  <si>
    <t>ІБ00-000499</t>
  </si>
  <si>
    <t>доп. МД ВООЗ №7</t>
  </si>
  <si>
    <t>18.10.2024 22:21:14</t>
  </si>
  <si>
    <t>ІБ00-000501</t>
  </si>
  <si>
    <t>18.10.2024 22:21:15</t>
  </si>
  <si>
    <t>ІБ00-000502</t>
  </si>
  <si>
    <t>18.10.2024 22:21:16</t>
  </si>
  <si>
    <t>ІБ00-000506</t>
  </si>
  <si>
    <t>18.10.2024 22:21:17</t>
  </si>
  <si>
    <t>ІБ00-000508</t>
  </si>
  <si>
    <t>18.10.2024 22:21:18</t>
  </si>
  <si>
    <t>ІБ00-000510</t>
  </si>
  <si>
    <t>18.10.2024 22:21:21</t>
  </si>
  <si>
    <t>ІБ00-000511</t>
  </si>
  <si>
    <t>доп. МД ВООЗ велика №1</t>
  </si>
  <si>
    <t>21.10.2024 14:23:29</t>
  </si>
  <si>
    <t>ІБ00-000512</t>
  </si>
  <si>
    <t>доп. МД ВООЗ велика №2</t>
  </si>
  <si>
    <t>21.10.2024 14:33:25</t>
  </si>
  <si>
    <t>ІБ00-000513</t>
  </si>
  <si>
    <t>доп. МД ВООЗ велика №3 рядок 12 зменшено на 0,042км</t>
  </si>
  <si>
    <t>21.10.2024 14:49:06</t>
  </si>
  <si>
    <t>ІБ00-000514</t>
  </si>
  <si>
    <t>доп. МД ВООЗ велика №4 нема на залишках клей монтажний, ВВГнг 3х2,5 кабель</t>
  </si>
  <si>
    <t>01.11.2024 19:57:29</t>
  </si>
  <si>
    <t>ІБ00-000561</t>
  </si>
  <si>
    <t>доп МД ВООЗ №4(велика)</t>
  </si>
  <si>
    <t>сумма</t>
  </si>
  <si>
    <t>01.11.2024 19:56:05</t>
  </si>
  <si>
    <t>ІБ00-005461</t>
  </si>
  <si>
    <t>Покупка, комісія</t>
  </si>
  <si>
    <t>грн</t>
  </si>
  <si>
    <t>Цех_ВООЗ (ЕМС)</t>
  </si>
  <si>
    <t>ІНДЕП ТРАНС ТОВ</t>
  </si>
  <si>
    <t>01.11.2024</t>
  </si>
  <si>
    <t>527</t>
  </si>
  <si>
    <t>дог. 20.07.22 від 20.07.2022 РАХУНКИ_МД ВООЗ</t>
  </si>
  <si>
    <t>Рахунок на оплату постачальника ІБ00-004445 від 01.11.2024 19:56:04</t>
  </si>
  <si>
    <t>Шостак Жанета</t>
  </si>
  <si>
    <t>01.11.2024 19:56:07</t>
  </si>
  <si>
    <t>ІБ00-005462</t>
  </si>
  <si>
    <t>528</t>
  </si>
  <si>
    <t>Рахунок на оплату постачальника ІБ00-004446 від 01.11.2024 19:56:06</t>
  </si>
  <si>
    <t>01.11.2024 19:56:09</t>
  </si>
  <si>
    <t>ІБ00-005463</t>
  </si>
  <si>
    <t>523</t>
  </si>
  <si>
    <t>Рахунок на оплату постачальника ІБ00-004447 від 01.11.2024 19:56:08</t>
  </si>
  <si>
    <t>01.11.2024 19:56:11</t>
  </si>
  <si>
    <t>ІБ00-005464</t>
  </si>
  <si>
    <t>521</t>
  </si>
  <si>
    <t>Рахунок на оплату постачальника ІБ00-004448 від 01.11.2024 19:56:10</t>
  </si>
  <si>
    <t>01.11.2024 19:56:15</t>
  </si>
  <si>
    <t>ІБ00-005467</t>
  </si>
  <si>
    <t>530</t>
  </si>
  <si>
    <t>Рахунок на оплату постачальника ІБ00-004451 від 01.11.2024 19:56:14</t>
  </si>
  <si>
    <t>01.11.2024 19:57:44</t>
  </si>
  <si>
    <t>ІБ00-005648</t>
  </si>
  <si>
    <t>532</t>
  </si>
  <si>
    <t>Рахунок на оплату постачальника ІБ00-004590 від 01.11.2024 19:57:34</t>
  </si>
  <si>
    <t>02.11.2024 12:00:06</t>
  </si>
  <si>
    <t>ІБ00-005466</t>
  </si>
  <si>
    <t>02.11.2024</t>
  </si>
  <si>
    <t>533</t>
  </si>
  <si>
    <t>Рахунок на оплату постачальника ІБ00-004450 від 02.11.2024 12:00:05</t>
  </si>
  <si>
    <t>04.11.2024 17:12:56</t>
  </si>
  <si>
    <t>ІБ00-005468</t>
  </si>
  <si>
    <t>04.11.2024</t>
  </si>
  <si>
    <t>535</t>
  </si>
  <si>
    <t>Рахунок на оплату постачальника ІБ00-004452 від 04.11.2024 17:12:55</t>
  </si>
  <si>
    <t>07.11.2024 17:17:45</t>
  </si>
  <si>
    <t>ІБ00-005644</t>
  </si>
  <si>
    <t>07.11.2024</t>
  </si>
  <si>
    <t>541</t>
  </si>
  <si>
    <t>Рахунок на оплату постачальника ІБ00-004603 від 07.11.2024 17:17:44</t>
  </si>
  <si>
    <t>08.11.2024 20:00:07</t>
  </si>
  <si>
    <t>ІБ00-005651</t>
  </si>
  <si>
    <t>08.11.2024</t>
  </si>
  <si>
    <t>545</t>
  </si>
  <si>
    <t>Рахунок на оплату постачальника ІБ00-004595 від 08.11.2024 20:00:03</t>
  </si>
  <si>
    <t>08.11.2024 20:00:11</t>
  </si>
  <si>
    <t>ІБ00-005654</t>
  </si>
  <si>
    <t>543</t>
  </si>
  <si>
    <t>Рахунок на оплату постачальника ІБ00-004609 від 08.11.2024 20:00:10</t>
  </si>
  <si>
    <t>БЦ-с.Миролюбівка</t>
  </si>
  <si>
    <t>БЦ</t>
  </si>
  <si>
    <t>автокран</t>
  </si>
  <si>
    <t>підрозділ</t>
  </si>
  <si>
    <t>ВООЗ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</si>
</sst>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b/>
      <sz val="8"/>
      <color indexed="63"/>
      <name val="Arial"/>
      <family val="2"/>
    </font>
    <font>
      <b/>
      <sz val="11"/>
      <color indexed="63"/>
      <name val="Arial"/>
      <family val="2"/>
      <charset val="204"/>
    </font>
    <font>
      <b/>
      <sz val="11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1" fillId="3" borderId="0" xfId="0" applyNumberFormat="1" applyFont="1" applyFill="1"/>
    <xf numFmtId="4" fontId="6" fillId="3" borderId="1" xfId="1" applyNumberFormat="1" applyFont="1" applyFill="1" applyBorder="1" applyAlignment="1">
      <alignment horizontal="left" vertical="top"/>
    </xf>
    <xf numFmtId="4" fontId="7" fillId="3" borderId="1" xfId="1" applyNumberFormat="1" applyFont="1" applyFill="1" applyBorder="1" applyAlignment="1">
      <alignment horizontal="left" vertical="top"/>
    </xf>
    <xf numFmtId="0" fontId="1" fillId="3" borderId="0" xfId="0" applyFont="1" applyFill="1"/>
    <xf numFmtId="0" fontId="4" fillId="4" borderId="1" xfId="2" applyNumberFormat="1" applyFont="1" applyFill="1" applyBorder="1" applyAlignment="1">
      <alignment horizontal="left" vertical="top"/>
    </xf>
    <xf numFmtId="4" fontId="4" fillId="4" borderId="1" xfId="2" applyNumberFormat="1" applyFont="1" applyFill="1" applyBorder="1" applyAlignment="1">
      <alignment horizontal="right" vertical="top"/>
    </xf>
    <xf numFmtId="0" fontId="5" fillId="4" borderId="1" xfId="2" applyNumberFormat="1" applyFont="1" applyFill="1" applyBorder="1" applyAlignment="1">
      <alignment horizontal="left" vertical="top"/>
    </xf>
    <xf numFmtId="0" fontId="0" fillId="4" borderId="0" xfId="0" applyFill="1"/>
    <xf numFmtId="4" fontId="1" fillId="0" borderId="0" xfId="0" applyNumberFormat="1" applyFont="1"/>
    <xf numFmtId="0" fontId="1" fillId="0" borderId="0" xfId="0" applyFont="1"/>
  </cellXfs>
  <cellStyles count="3">
    <cellStyle name="Обычный" xfId="0" builtinId="0"/>
    <cellStyle name="Обычный_послуги" xfId="2"/>
    <cellStyle name="Обычный_списание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1"/>
  <sheetViews>
    <sheetView tabSelected="1" workbookViewId="0">
      <selection activeCell="D11" sqref="D11"/>
    </sheetView>
  </sheetViews>
  <sheetFormatPr defaultRowHeight="14.4" x14ac:dyDescent="0.3"/>
  <cols>
    <col min="1" max="1" width="8.88671875" style="12"/>
    <col min="2" max="2" width="15" customWidth="1"/>
    <col min="5" max="5" width="16.6640625" bestFit="1" customWidth="1"/>
    <col min="6" max="6" width="12.6640625" style="3" bestFit="1" customWidth="1"/>
    <col min="7" max="7" width="15.109375" customWidth="1"/>
    <col min="8" max="8" width="20.77734375" customWidth="1"/>
  </cols>
  <sheetData>
    <row r="1" spans="1:8" x14ac:dyDescent="0.3">
      <c r="A1" s="12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88</v>
      </c>
      <c r="G1" s="1" t="s">
        <v>4</v>
      </c>
      <c r="H1" s="1" t="s">
        <v>5</v>
      </c>
    </row>
    <row r="2" spans="1:8" hidden="1" x14ac:dyDescent="0.3">
      <c r="A2" s="12" t="s">
        <v>148</v>
      </c>
      <c r="B2" s="2" t="s">
        <v>9</v>
      </c>
      <c r="C2" s="2" t="s">
        <v>10</v>
      </c>
      <c r="D2" s="2" t="s">
        <v>6</v>
      </c>
      <c r="E2" s="2" t="s">
        <v>7</v>
      </c>
      <c r="F2" s="5">
        <f>1432329.57*1.2</f>
        <v>1718795.4839999999</v>
      </c>
      <c r="G2" s="2" t="s">
        <v>8</v>
      </c>
      <c r="H2" s="2" t="s">
        <v>11</v>
      </c>
    </row>
    <row r="3" spans="1:8" hidden="1" x14ac:dyDescent="0.3">
      <c r="A3" s="12" t="s">
        <v>148</v>
      </c>
      <c r="B3" s="2" t="s">
        <v>12</v>
      </c>
      <c r="C3" s="2" t="s">
        <v>13</v>
      </c>
      <c r="D3" s="2" t="s">
        <v>6</v>
      </c>
      <c r="E3" s="2" t="s">
        <v>7</v>
      </c>
      <c r="F3" s="5">
        <f>1280402.09*1.2</f>
        <v>1536482.5080000001</v>
      </c>
      <c r="G3" s="2" t="s">
        <v>8</v>
      </c>
      <c r="H3" s="2" t="s">
        <v>14</v>
      </c>
    </row>
    <row r="4" spans="1:8" hidden="1" x14ac:dyDescent="0.3">
      <c r="A4" s="12" t="s">
        <v>148</v>
      </c>
      <c r="B4" s="2" t="s">
        <v>15</v>
      </c>
      <c r="C4" s="2" t="s">
        <v>16</v>
      </c>
      <c r="D4" s="2" t="s">
        <v>6</v>
      </c>
      <c r="E4" s="2" t="s">
        <v>7</v>
      </c>
      <c r="F4" s="5">
        <f>1319061.85*1.2</f>
        <v>1582874.22</v>
      </c>
      <c r="G4" s="2" t="s">
        <v>8</v>
      </c>
      <c r="H4" s="2" t="s">
        <v>17</v>
      </c>
    </row>
    <row r="5" spans="1:8" hidden="1" x14ac:dyDescent="0.3">
      <c r="A5" s="12" t="s">
        <v>148</v>
      </c>
      <c r="B5" s="2" t="s">
        <v>18</v>
      </c>
      <c r="C5" s="2" t="s">
        <v>19</v>
      </c>
      <c r="D5" s="2" t="s">
        <v>6</v>
      </c>
      <c r="E5" s="2" t="s">
        <v>7</v>
      </c>
      <c r="F5" s="5">
        <f>1275539.63*1.2</f>
        <v>1530647.5559999999</v>
      </c>
      <c r="G5" s="2" t="s">
        <v>8</v>
      </c>
      <c r="H5" s="2" t="s">
        <v>20</v>
      </c>
    </row>
    <row r="6" spans="1:8" hidden="1" x14ac:dyDescent="0.3">
      <c r="A6" s="12" t="s">
        <v>148</v>
      </c>
      <c r="B6" s="2" t="s">
        <v>21</v>
      </c>
      <c r="C6" s="2" t="s">
        <v>22</v>
      </c>
      <c r="D6" s="2" t="s">
        <v>6</v>
      </c>
      <c r="E6" s="2" t="s">
        <v>7</v>
      </c>
      <c r="F6" s="5">
        <f>1264231.48*1.2</f>
        <v>1517077.7759999998</v>
      </c>
      <c r="G6" s="2" t="s">
        <v>8</v>
      </c>
      <c r="H6" s="2" t="s">
        <v>23</v>
      </c>
    </row>
    <row r="7" spans="1:8" hidden="1" x14ac:dyDescent="0.3">
      <c r="A7" s="12" t="s">
        <v>148</v>
      </c>
      <c r="B7" s="2" t="s">
        <v>24</v>
      </c>
      <c r="C7" s="2" t="s">
        <v>25</v>
      </c>
      <c r="D7" s="2" t="s">
        <v>6</v>
      </c>
      <c r="E7" s="2" t="s">
        <v>7</v>
      </c>
      <c r="F7" s="5">
        <f>1161384.17*1.2</f>
        <v>1393661.004</v>
      </c>
      <c r="G7" s="2" t="s">
        <v>8</v>
      </c>
      <c r="H7" s="2" t="s">
        <v>26</v>
      </c>
    </row>
    <row r="8" spans="1:8" hidden="1" x14ac:dyDescent="0.3">
      <c r="A8" s="12" t="s">
        <v>148</v>
      </c>
      <c r="B8" s="2" t="s">
        <v>27</v>
      </c>
      <c r="C8" s="2" t="s">
        <v>28</v>
      </c>
      <c r="D8" s="2" t="s">
        <v>6</v>
      </c>
      <c r="E8" s="2" t="s">
        <v>7</v>
      </c>
      <c r="F8" s="5">
        <f>1541.68*1.2</f>
        <v>1850.0160000000001</v>
      </c>
      <c r="G8" s="2" t="s">
        <v>8</v>
      </c>
      <c r="H8" s="2" t="s">
        <v>29</v>
      </c>
    </row>
    <row r="9" spans="1:8" hidden="1" x14ac:dyDescent="0.3">
      <c r="A9" s="12" t="s">
        <v>148</v>
      </c>
      <c r="B9" s="2" t="s">
        <v>27</v>
      </c>
      <c r="C9" s="2" t="s">
        <v>30</v>
      </c>
      <c r="D9" s="2" t="s">
        <v>6</v>
      </c>
      <c r="E9" s="2" t="s">
        <v>7</v>
      </c>
      <c r="F9" s="5">
        <f>223710.22*1.2</f>
        <v>268452.26399999997</v>
      </c>
      <c r="G9" s="2" t="s">
        <v>8</v>
      </c>
      <c r="H9" s="2" t="s">
        <v>31</v>
      </c>
    </row>
    <row r="10" spans="1:8" hidden="1" x14ac:dyDescent="0.3">
      <c r="A10" s="12" t="s">
        <v>148</v>
      </c>
      <c r="B10" s="2" t="s">
        <v>27</v>
      </c>
      <c r="C10" s="2" t="s">
        <v>32</v>
      </c>
      <c r="D10" s="2" t="s">
        <v>6</v>
      </c>
      <c r="E10" s="2" t="s">
        <v>7</v>
      </c>
      <c r="F10" s="5">
        <f>329735.54*1.2</f>
        <v>395682.64799999999</v>
      </c>
      <c r="G10" s="2" t="s">
        <v>8</v>
      </c>
      <c r="H10" s="2" t="s">
        <v>33</v>
      </c>
    </row>
    <row r="11" spans="1:8" hidden="1" x14ac:dyDescent="0.3">
      <c r="A11" s="12" t="s">
        <v>148</v>
      </c>
      <c r="B11" s="2" t="s">
        <v>27</v>
      </c>
      <c r="C11" s="2" t="s">
        <v>34</v>
      </c>
      <c r="D11" s="2" t="s">
        <v>6</v>
      </c>
      <c r="E11" s="2" t="s">
        <v>7</v>
      </c>
      <c r="F11" s="5">
        <f>235531.46*1.2</f>
        <v>282637.75199999998</v>
      </c>
      <c r="G11" s="2" t="s">
        <v>35</v>
      </c>
      <c r="H11" s="2" t="s">
        <v>36</v>
      </c>
    </row>
    <row r="12" spans="1:8" hidden="1" x14ac:dyDescent="0.3">
      <c r="A12" s="12" t="s">
        <v>148</v>
      </c>
      <c r="B12" s="2" t="s">
        <v>27</v>
      </c>
      <c r="C12" s="2" t="s">
        <v>37</v>
      </c>
      <c r="D12" s="2" t="s">
        <v>6</v>
      </c>
      <c r="E12" s="2" t="s">
        <v>7</v>
      </c>
      <c r="F12" s="5">
        <f>238068.95*1.2</f>
        <v>285682.74</v>
      </c>
      <c r="G12" s="2" t="s">
        <v>35</v>
      </c>
      <c r="H12" s="2" t="s">
        <v>38</v>
      </c>
    </row>
    <row r="13" spans="1:8" hidden="1" x14ac:dyDescent="0.3">
      <c r="A13" s="12" t="s">
        <v>148</v>
      </c>
      <c r="B13" s="2" t="s">
        <v>27</v>
      </c>
      <c r="C13" s="2" t="s">
        <v>39</v>
      </c>
      <c r="D13" s="2" t="s">
        <v>6</v>
      </c>
      <c r="E13" s="2" t="s">
        <v>7</v>
      </c>
      <c r="F13" s="5">
        <f>240332.46*1.2</f>
        <v>288398.95199999999</v>
      </c>
      <c r="G13" s="2" t="s">
        <v>35</v>
      </c>
      <c r="H13" s="2" t="s">
        <v>40</v>
      </c>
    </row>
    <row r="14" spans="1:8" hidden="1" x14ac:dyDescent="0.3">
      <c r="A14" s="12" t="s">
        <v>148</v>
      </c>
      <c r="B14" s="2" t="s">
        <v>27</v>
      </c>
      <c r="C14" s="2" t="s">
        <v>41</v>
      </c>
      <c r="D14" s="2" t="s">
        <v>6</v>
      </c>
      <c r="E14" s="2" t="s">
        <v>7</v>
      </c>
      <c r="F14" s="5">
        <f>322217.34*1.2</f>
        <v>386660.80800000002</v>
      </c>
      <c r="G14" s="2" t="s">
        <v>35</v>
      </c>
      <c r="H14" s="2" t="s">
        <v>42</v>
      </c>
    </row>
    <row r="15" spans="1:8" x14ac:dyDescent="0.3">
      <c r="A15" s="12" t="s">
        <v>148</v>
      </c>
      <c r="B15" s="2" t="s">
        <v>43</v>
      </c>
      <c r="C15" s="2" t="s">
        <v>44</v>
      </c>
      <c r="D15" s="2" t="s">
        <v>6</v>
      </c>
      <c r="E15" s="2" t="s">
        <v>7</v>
      </c>
      <c r="F15" s="5">
        <f>1333338.66*1.2</f>
        <v>1600006.3919999998</v>
      </c>
      <c r="G15" s="2" t="s">
        <v>8</v>
      </c>
      <c r="H15" s="2" t="s">
        <v>45</v>
      </c>
    </row>
    <row r="16" spans="1:8" x14ac:dyDescent="0.3">
      <c r="A16" s="12" t="s">
        <v>148</v>
      </c>
      <c r="B16" s="2" t="s">
        <v>46</v>
      </c>
      <c r="C16" s="2" t="s">
        <v>47</v>
      </c>
      <c r="D16" s="2" t="s">
        <v>6</v>
      </c>
      <c r="E16" s="2" t="s">
        <v>7</v>
      </c>
      <c r="F16" s="5">
        <f>1120085.77*1.2</f>
        <v>1344102.9239999999</v>
      </c>
      <c r="G16" s="2" t="s">
        <v>8</v>
      </c>
      <c r="H16" s="2" t="s">
        <v>48</v>
      </c>
    </row>
    <row r="17" spans="1:8" x14ac:dyDescent="0.3">
      <c r="A17" s="12" t="s">
        <v>148</v>
      </c>
      <c r="B17" s="2" t="s">
        <v>49</v>
      </c>
      <c r="C17" s="2" t="s">
        <v>50</v>
      </c>
      <c r="D17" s="2" t="s">
        <v>6</v>
      </c>
      <c r="E17" s="2" t="s">
        <v>7</v>
      </c>
      <c r="F17" s="5">
        <f>1284471.87*1.2</f>
        <v>1541366.2440000002</v>
      </c>
      <c r="G17" s="2" t="s">
        <v>8</v>
      </c>
      <c r="H17" s="2" t="s">
        <v>51</v>
      </c>
    </row>
    <row r="18" spans="1:8" x14ac:dyDescent="0.3">
      <c r="A18" s="12" t="s">
        <v>148</v>
      </c>
      <c r="B18" s="2" t="s">
        <v>52</v>
      </c>
      <c r="C18" s="2" t="s">
        <v>53</v>
      </c>
      <c r="D18" s="2" t="s">
        <v>6</v>
      </c>
      <c r="E18" s="2" t="s">
        <v>7</v>
      </c>
      <c r="F18" s="5">
        <f>1290768.9*1.2</f>
        <v>1548922.68</v>
      </c>
      <c r="G18" s="2" t="s">
        <v>8</v>
      </c>
      <c r="H18" s="2" t="s">
        <v>54</v>
      </c>
    </row>
    <row r="19" spans="1:8" x14ac:dyDescent="0.3">
      <c r="A19" s="12" t="s">
        <v>148</v>
      </c>
      <c r="B19" s="2" t="s">
        <v>55</v>
      </c>
      <c r="C19" s="2" t="s">
        <v>56</v>
      </c>
      <c r="D19" s="2" t="s">
        <v>6</v>
      </c>
      <c r="E19" s="2" t="s">
        <v>7</v>
      </c>
      <c r="F19" s="5">
        <f>1227308.98*1.2</f>
        <v>1472770.7759999998</v>
      </c>
      <c r="G19" s="2" t="s">
        <v>8</v>
      </c>
      <c r="H19" s="2" t="s">
        <v>57</v>
      </c>
    </row>
    <row r="20" spans="1:8" x14ac:dyDescent="0.3">
      <c r="A20" s="12" t="s">
        <v>148</v>
      </c>
      <c r="B20" s="2" t="s">
        <v>58</v>
      </c>
      <c r="C20" s="2" t="s">
        <v>59</v>
      </c>
      <c r="D20" s="2" t="s">
        <v>6</v>
      </c>
      <c r="E20" s="2" t="s">
        <v>7</v>
      </c>
      <c r="F20" s="5">
        <f>3145.55*1.2</f>
        <v>3774.66</v>
      </c>
      <c r="G20" s="2" t="s">
        <v>35</v>
      </c>
      <c r="H20" s="2" t="s">
        <v>36</v>
      </c>
    </row>
    <row r="21" spans="1:8" x14ac:dyDescent="0.3">
      <c r="A21" s="12" t="s">
        <v>148</v>
      </c>
      <c r="B21" s="2" t="s">
        <v>60</v>
      </c>
      <c r="C21" s="2" t="s">
        <v>61</v>
      </c>
      <c r="D21" s="2" t="s">
        <v>6</v>
      </c>
      <c r="E21" s="2" t="s">
        <v>7</v>
      </c>
      <c r="F21" s="5">
        <f>242790.68*1.2</f>
        <v>291348.81599999999</v>
      </c>
      <c r="G21" s="2" t="s">
        <v>8</v>
      </c>
      <c r="H21" s="2" t="s">
        <v>62</v>
      </c>
    </row>
    <row r="22" spans="1:8" x14ac:dyDescent="0.3">
      <c r="A22" s="12" t="s">
        <v>148</v>
      </c>
      <c r="B22" s="2" t="s">
        <v>63</v>
      </c>
      <c r="C22" s="2" t="s">
        <v>64</v>
      </c>
      <c r="D22" s="2" t="s">
        <v>6</v>
      </c>
      <c r="E22" s="2" t="s">
        <v>7</v>
      </c>
      <c r="F22" s="5">
        <f>3236.82*1.2</f>
        <v>3884.1840000000002</v>
      </c>
      <c r="G22" s="2" t="s">
        <v>35</v>
      </c>
      <c r="H22" s="2" t="s">
        <v>31</v>
      </c>
    </row>
    <row r="23" spans="1:8" x14ac:dyDescent="0.3">
      <c r="A23" s="12" t="s">
        <v>148</v>
      </c>
      <c r="B23" s="2" t="s">
        <v>65</v>
      </c>
      <c r="C23" s="2" t="s">
        <v>66</v>
      </c>
      <c r="D23" s="2" t="s">
        <v>6</v>
      </c>
      <c r="E23" s="2" t="s">
        <v>7</v>
      </c>
      <c r="F23" s="5">
        <f>3165.15*1.2</f>
        <v>3798.18</v>
      </c>
      <c r="G23" s="2" t="s">
        <v>35</v>
      </c>
      <c r="H23" s="2" t="s">
        <v>33</v>
      </c>
    </row>
    <row r="24" spans="1:8" x14ac:dyDescent="0.3">
      <c r="A24" s="12" t="s">
        <v>148</v>
      </c>
      <c r="B24" s="2" t="s">
        <v>67</v>
      </c>
      <c r="C24" s="2" t="s">
        <v>68</v>
      </c>
      <c r="D24" s="2" t="s">
        <v>6</v>
      </c>
      <c r="E24" s="2" t="s">
        <v>7</v>
      </c>
      <c r="F24" s="5">
        <f>3298.25*1.2</f>
        <v>3957.8999999999996</v>
      </c>
      <c r="G24" s="2" t="s">
        <v>35</v>
      </c>
      <c r="H24" s="2" t="s">
        <v>38</v>
      </c>
    </row>
    <row r="25" spans="1:8" x14ac:dyDescent="0.3">
      <c r="A25" s="12" t="s">
        <v>148</v>
      </c>
      <c r="B25" s="2" t="s">
        <v>69</v>
      </c>
      <c r="C25" s="2" t="s">
        <v>70</v>
      </c>
      <c r="D25" s="2" t="s">
        <v>6</v>
      </c>
      <c r="E25" s="2" t="s">
        <v>7</v>
      </c>
      <c r="F25" s="5">
        <f>4921.96*1.2</f>
        <v>5906.3519999999999</v>
      </c>
      <c r="G25" s="2" t="s">
        <v>35</v>
      </c>
      <c r="H25" s="2" t="s">
        <v>40</v>
      </c>
    </row>
    <row r="26" spans="1:8" x14ac:dyDescent="0.3">
      <c r="A26" s="12" t="s">
        <v>148</v>
      </c>
      <c r="B26" s="2" t="s">
        <v>71</v>
      </c>
      <c r="C26" s="2" t="s">
        <v>72</v>
      </c>
      <c r="D26" s="2" t="s">
        <v>6</v>
      </c>
      <c r="E26" s="2" t="s">
        <v>7</v>
      </c>
      <c r="F26" s="5">
        <f>9184.79*1.2</f>
        <v>11021.748000000001</v>
      </c>
      <c r="G26" s="2" t="s">
        <v>35</v>
      </c>
      <c r="H26" s="2" t="s">
        <v>42</v>
      </c>
    </row>
    <row r="27" spans="1:8" x14ac:dyDescent="0.3">
      <c r="A27" s="12" t="s">
        <v>148</v>
      </c>
      <c r="B27" s="2" t="s">
        <v>73</v>
      </c>
      <c r="C27" s="2" t="s">
        <v>74</v>
      </c>
      <c r="D27" s="2" t="s">
        <v>6</v>
      </c>
      <c r="E27" s="2" t="s">
        <v>7</v>
      </c>
      <c r="F27" s="5">
        <f>341047.1*1.2</f>
        <v>409256.51999999996</v>
      </c>
      <c r="G27" s="2" t="s">
        <v>35</v>
      </c>
      <c r="H27" s="2" t="s">
        <v>75</v>
      </c>
    </row>
    <row r="28" spans="1:8" x14ac:dyDescent="0.3">
      <c r="A28" s="12" t="s">
        <v>148</v>
      </c>
      <c r="B28" s="2" t="s">
        <v>76</v>
      </c>
      <c r="C28" s="2" t="s">
        <v>77</v>
      </c>
      <c r="D28" s="2" t="s">
        <v>6</v>
      </c>
      <c r="E28" s="2" t="s">
        <v>7</v>
      </c>
      <c r="F28" s="5">
        <f>356230.82*1.2</f>
        <v>427476.984</v>
      </c>
      <c r="G28" s="2" t="s">
        <v>35</v>
      </c>
      <c r="H28" s="2" t="s">
        <v>78</v>
      </c>
    </row>
    <row r="29" spans="1:8" x14ac:dyDescent="0.3">
      <c r="A29" s="12" t="s">
        <v>148</v>
      </c>
      <c r="B29" s="2" t="s">
        <v>79</v>
      </c>
      <c r="C29" s="2" t="s">
        <v>80</v>
      </c>
      <c r="D29" s="2" t="s">
        <v>6</v>
      </c>
      <c r="E29" s="2" t="s">
        <v>7</v>
      </c>
      <c r="F29" s="5">
        <f>352125.49*1.2</f>
        <v>422550.58799999999</v>
      </c>
      <c r="G29" s="2" t="s">
        <v>35</v>
      </c>
      <c r="H29" s="2" t="s">
        <v>81</v>
      </c>
    </row>
    <row r="30" spans="1:8" x14ac:dyDescent="0.3">
      <c r="A30" s="12" t="s">
        <v>148</v>
      </c>
      <c r="B30" s="2" t="s">
        <v>82</v>
      </c>
      <c r="C30" s="2" t="s">
        <v>83</v>
      </c>
      <c r="D30" s="2" t="s">
        <v>6</v>
      </c>
      <c r="E30" s="2" t="s">
        <v>7</v>
      </c>
      <c r="F30" s="5">
        <f>354568.2*1.2</f>
        <v>425481.84</v>
      </c>
      <c r="G30" s="2" t="s">
        <v>35</v>
      </c>
      <c r="H30" s="2" t="s">
        <v>84</v>
      </c>
    </row>
    <row r="31" spans="1:8" hidden="1" x14ac:dyDescent="0.3">
      <c r="A31" s="12" t="s">
        <v>148</v>
      </c>
      <c r="B31" s="2" t="s">
        <v>85</v>
      </c>
      <c r="C31" s="2" t="s">
        <v>86</v>
      </c>
      <c r="D31" s="2" t="s">
        <v>6</v>
      </c>
      <c r="E31" s="2" t="s">
        <v>7</v>
      </c>
      <c r="F31" s="5">
        <f>14644.6*1.2</f>
        <v>17573.52</v>
      </c>
      <c r="G31" s="2" t="s">
        <v>8</v>
      </c>
      <c r="H31" s="2" t="s">
        <v>87</v>
      </c>
    </row>
  </sheetData>
  <autoFilter ref="A1:H31">
    <filterColumn colId="1">
      <filters>
        <filter val="07.10.2024 00:00:00"/>
        <filter val="07.10.2024 10:00:00"/>
        <filter val="08.10.2024 00:00:00"/>
        <filter val="09.10.2024 00:00:00"/>
        <filter val="10.10.2024 00:00:00"/>
        <filter val="18.10.2024 00:00:00"/>
        <filter val="18.10.2024 22:21:11"/>
        <filter val="18.10.2024 22:21:14"/>
        <filter val="18.10.2024 22:21:15"/>
        <filter val="18.10.2024 22:21:16"/>
        <filter val="18.10.2024 22:21:17"/>
        <filter val="18.10.2024 22:21:18"/>
        <filter val="18.10.2024 22:21:21"/>
        <filter val="21.10.2024 14:23:29"/>
        <filter val="21.10.2024 14:33:25"/>
        <filter val="21.10.2024 14:49:06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N17"/>
  <sheetViews>
    <sheetView workbookViewId="0">
      <selection activeCell="I14" sqref="I14"/>
    </sheetView>
  </sheetViews>
  <sheetFormatPr defaultRowHeight="14.4" x14ac:dyDescent="0.3"/>
  <cols>
    <col min="4" max="4" width="11" customWidth="1"/>
    <col min="6" max="6" width="13" bestFit="1" customWidth="1"/>
    <col min="7" max="7" width="13" style="6" customWidth="1"/>
    <col min="8" max="8" width="13.77734375" bestFit="1" customWidth="1"/>
    <col min="12" max="12" width="8.77734375" customWidth="1"/>
  </cols>
  <sheetData>
    <row r="2" spans="1:14" s="10" customFormat="1" x14ac:dyDescent="0.3">
      <c r="A2" s="7" t="s">
        <v>89</v>
      </c>
      <c r="B2" s="7" t="s">
        <v>90</v>
      </c>
      <c r="C2" s="7" t="s">
        <v>91</v>
      </c>
      <c r="D2" s="8">
        <v>44000</v>
      </c>
      <c r="E2" s="7" t="s">
        <v>92</v>
      </c>
      <c r="F2" s="7" t="s">
        <v>93</v>
      </c>
      <c r="G2" s="9" t="s">
        <v>144</v>
      </c>
      <c r="H2" s="7" t="s">
        <v>94</v>
      </c>
      <c r="I2" s="7" t="s">
        <v>95</v>
      </c>
      <c r="J2" s="7" t="s">
        <v>96</v>
      </c>
      <c r="K2" s="7" t="s">
        <v>97</v>
      </c>
      <c r="L2" s="7" t="s">
        <v>98</v>
      </c>
      <c r="M2" s="7" t="s">
        <v>7</v>
      </c>
      <c r="N2" s="7" t="s">
        <v>99</v>
      </c>
    </row>
    <row r="3" spans="1:14" s="10" customFormat="1" x14ac:dyDescent="0.3">
      <c r="A3" s="7" t="s">
        <v>100</v>
      </c>
      <c r="B3" s="7" t="s">
        <v>101</v>
      </c>
      <c r="C3" s="7" t="s">
        <v>91</v>
      </c>
      <c r="D3" s="8">
        <v>44000</v>
      </c>
      <c r="E3" s="7" t="s">
        <v>92</v>
      </c>
      <c r="F3" s="7" t="s">
        <v>93</v>
      </c>
      <c r="G3" s="9" t="s">
        <v>144</v>
      </c>
      <c r="H3" s="7" t="s">
        <v>94</v>
      </c>
      <c r="I3" s="7" t="s">
        <v>95</v>
      </c>
      <c r="J3" s="7" t="s">
        <v>102</v>
      </c>
      <c r="K3" s="7" t="s">
        <v>97</v>
      </c>
      <c r="L3" s="7" t="s">
        <v>103</v>
      </c>
      <c r="M3" s="7" t="s">
        <v>7</v>
      </c>
      <c r="N3" s="7" t="s">
        <v>99</v>
      </c>
    </row>
    <row r="4" spans="1:14" s="10" customFormat="1" x14ac:dyDescent="0.3">
      <c r="A4" s="7" t="s">
        <v>104</v>
      </c>
      <c r="B4" s="7" t="s">
        <v>105</v>
      </c>
      <c r="C4" s="7" t="s">
        <v>91</v>
      </c>
      <c r="D4" s="8">
        <v>88000</v>
      </c>
      <c r="E4" s="7" t="s">
        <v>92</v>
      </c>
      <c r="F4" s="7" t="s">
        <v>93</v>
      </c>
      <c r="G4" s="9" t="s">
        <v>144</v>
      </c>
      <c r="H4" s="7" t="s">
        <v>94</v>
      </c>
      <c r="I4" s="7" t="s">
        <v>95</v>
      </c>
      <c r="J4" s="7" t="s">
        <v>106</v>
      </c>
      <c r="K4" s="7" t="s">
        <v>97</v>
      </c>
      <c r="L4" s="7" t="s">
        <v>107</v>
      </c>
      <c r="M4" s="7" t="s">
        <v>7</v>
      </c>
      <c r="N4" s="7" t="s">
        <v>99</v>
      </c>
    </row>
    <row r="5" spans="1:14" s="10" customFormat="1" hidden="1" x14ac:dyDescent="0.3">
      <c r="A5" s="7" t="s">
        <v>108</v>
      </c>
      <c r="B5" s="7" t="s">
        <v>109</v>
      </c>
      <c r="C5" s="7" t="s">
        <v>91</v>
      </c>
      <c r="D5" s="8">
        <v>5000</v>
      </c>
      <c r="E5" s="7" t="s">
        <v>92</v>
      </c>
      <c r="F5" s="7" t="s">
        <v>93</v>
      </c>
      <c r="G5" s="9" t="s">
        <v>145</v>
      </c>
      <c r="H5" s="7" t="s">
        <v>94</v>
      </c>
      <c r="I5" s="7" t="s">
        <v>95</v>
      </c>
      <c r="J5" s="7" t="s">
        <v>110</v>
      </c>
      <c r="K5" s="7" t="s">
        <v>97</v>
      </c>
      <c r="L5" s="7" t="s">
        <v>111</v>
      </c>
      <c r="M5" s="7" t="s">
        <v>7</v>
      </c>
      <c r="N5" s="7" t="s">
        <v>99</v>
      </c>
    </row>
    <row r="6" spans="1:14" s="10" customFormat="1" hidden="1" x14ac:dyDescent="0.3">
      <c r="A6" s="7" t="s">
        <v>112</v>
      </c>
      <c r="B6" s="7" t="s">
        <v>113</v>
      </c>
      <c r="C6" s="7" t="s">
        <v>91</v>
      </c>
      <c r="D6" s="8">
        <v>3000</v>
      </c>
      <c r="E6" s="7" t="s">
        <v>92</v>
      </c>
      <c r="F6" s="7" t="s">
        <v>93</v>
      </c>
      <c r="G6" s="9" t="s">
        <v>145</v>
      </c>
      <c r="H6" s="7" t="s">
        <v>94</v>
      </c>
      <c r="I6" s="7" t="s">
        <v>95</v>
      </c>
      <c r="J6" s="7" t="s">
        <v>114</v>
      </c>
      <c r="K6" s="7" t="s">
        <v>97</v>
      </c>
      <c r="L6" s="7" t="s">
        <v>115</v>
      </c>
      <c r="M6" s="7" t="s">
        <v>7</v>
      </c>
      <c r="N6" s="7" t="s">
        <v>99</v>
      </c>
    </row>
    <row r="7" spans="1:14" s="10" customFormat="1" hidden="1" x14ac:dyDescent="0.3">
      <c r="A7" s="7" t="s">
        <v>116</v>
      </c>
      <c r="B7" s="7" t="s">
        <v>117</v>
      </c>
      <c r="C7" s="7" t="s">
        <v>91</v>
      </c>
      <c r="D7" s="8">
        <v>27300</v>
      </c>
      <c r="E7" s="7" t="s">
        <v>92</v>
      </c>
      <c r="F7" s="7" t="s">
        <v>93</v>
      </c>
      <c r="G7" s="9" t="s">
        <v>146</v>
      </c>
      <c r="H7" s="7" t="s">
        <v>94</v>
      </c>
      <c r="I7" s="7" t="s">
        <v>95</v>
      </c>
      <c r="J7" s="7" t="s">
        <v>118</v>
      </c>
      <c r="K7" s="7" t="s">
        <v>97</v>
      </c>
      <c r="L7" s="7" t="s">
        <v>119</v>
      </c>
      <c r="M7" s="7" t="s">
        <v>7</v>
      </c>
      <c r="N7" s="7" t="s">
        <v>99</v>
      </c>
    </row>
    <row r="8" spans="1:14" s="10" customFormat="1" x14ac:dyDescent="0.3">
      <c r="A8" s="7" t="s">
        <v>120</v>
      </c>
      <c r="B8" s="7" t="s">
        <v>121</v>
      </c>
      <c r="C8" s="7" t="s">
        <v>91</v>
      </c>
      <c r="D8" s="8">
        <v>18700</v>
      </c>
      <c r="E8" s="7" t="s">
        <v>92</v>
      </c>
      <c r="F8" s="7" t="s">
        <v>93</v>
      </c>
      <c r="G8" s="9" t="s">
        <v>144</v>
      </c>
      <c r="H8" s="7" t="s">
        <v>94</v>
      </c>
      <c r="I8" s="7" t="s">
        <v>122</v>
      </c>
      <c r="J8" s="7" t="s">
        <v>123</v>
      </c>
      <c r="K8" s="7" t="s">
        <v>97</v>
      </c>
      <c r="L8" s="7" t="s">
        <v>124</v>
      </c>
      <c r="M8" s="7" t="s">
        <v>7</v>
      </c>
      <c r="N8" s="7" t="s">
        <v>99</v>
      </c>
    </row>
    <row r="9" spans="1:14" s="10" customFormat="1" hidden="1" x14ac:dyDescent="0.3">
      <c r="A9" s="7" t="s">
        <v>125</v>
      </c>
      <c r="B9" s="7" t="s">
        <v>126</v>
      </c>
      <c r="C9" s="7" t="s">
        <v>91</v>
      </c>
      <c r="D9" s="8">
        <v>2750</v>
      </c>
      <c r="E9" s="7" t="s">
        <v>92</v>
      </c>
      <c r="F9" s="7" t="s">
        <v>93</v>
      </c>
      <c r="G9" s="9" t="s">
        <v>145</v>
      </c>
      <c r="H9" s="7" t="s">
        <v>94</v>
      </c>
      <c r="I9" s="7" t="s">
        <v>127</v>
      </c>
      <c r="J9" s="7" t="s">
        <v>128</v>
      </c>
      <c r="K9" s="7" t="s">
        <v>97</v>
      </c>
      <c r="L9" s="7" t="s">
        <v>129</v>
      </c>
      <c r="M9" s="7" t="s">
        <v>7</v>
      </c>
      <c r="N9" s="7" t="s">
        <v>99</v>
      </c>
    </row>
    <row r="10" spans="1:14" s="10" customFormat="1" x14ac:dyDescent="0.3">
      <c r="A10" s="7" t="s">
        <v>130</v>
      </c>
      <c r="B10" s="7" t="s">
        <v>131</v>
      </c>
      <c r="C10" s="7" t="s">
        <v>91</v>
      </c>
      <c r="D10" s="8">
        <v>15400</v>
      </c>
      <c r="E10" s="7" t="s">
        <v>92</v>
      </c>
      <c r="F10" s="7" t="s">
        <v>93</v>
      </c>
      <c r="G10" s="9" t="s">
        <v>144</v>
      </c>
      <c r="H10" s="7" t="s">
        <v>94</v>
      </c>
      <c r="I10" s="7" t="s">
        <v>132</v>
      </c>
      <c r="J10" s="7" t="s">
        <v>133</v>
      </c>
      <c r="K10" s="7" t="s">
        <v>97</v>
      </c>
      <c r="L10" s="7" t="s">
        <v>134</v>
      </c>
      <c r="M10" s="7" t="s">
        <v>7</v>
      </c>
      <c r="N10" s="7" t="s">
        <v>99</v>
      </c>
    </row>
    <row r="11" spans="1:14" s="10" customFormat="1" hidden="1" x14ac:dyDescent="0.3">
      <c r="A11" s="7" t="s">
        <v>135</v>
      </c>
      <c r="B11" s="7" t="s">
        <v>136</v>
      </c>
      <c r="C11" s="7" t="s">
        <v>91</v>
      </c>
      <c r="D11" s="8">
        <v>1000</v>
      </c>
      <c r="E11" s="7" t="s">
        <v>92</v>
      </c>
      <c r="F11" s="7" t="s">
        <v>93</v>
      </c>
      <c r="G11" s="9" t="s">
        <v>145</v>
      </c>
      <c r="H11" s="7" t="s">
        <v>94</v>
      </c>
      <c r="I11" s="7" t="s">
        <v>137</v>
      </c>
      <c r="J11" s="7" t="s">
        <v>138</v>
      </c>
      <c r="K11" s="7" t="s">
        <v>97</v>
      </c>
      <c r="L11" s="7" t="s">
        <v>139</v>
      </c>
      <c r="M11" s="7" t="s">
        <v>7</v>
      </c>
      <c r="N11" s="7" t="s">
        <v>99</v>
      </c>
    </row>
    <row r="12" spans="1:14" s="10" customFormat="1" x14ac:dyDescent="0.3">
      <c r="A12" s="7" t="s">
        <v>140</v>
      </c>
      <c r="B12" s="7" t="s">
        <v>141</v>
      </c>
      <c r="C12" s="7" t="s">
        <v>91</v>
      </c>
      <c r="D12" s="8">
        <v>13200</v>
      </c>
      <c r="E12" s="7" t="s">
        <v>92</v>
      </c>
      <c r="F12" s="7" t="s">
        <v>93</v>
      </c>
      <c r="G12" s="9" t="s">
        <v>144</v>
      </c>
      <c r="H12" s="7" t="s">
        <v>94</v>
      </c>
      <c r="I12" s="7" t="s">
        <v>137</v>
      </c>
      <c r="J12" s="7" t="s">
        <v>142</v>
      </c>
      <c r="K12" s="7" t="s">
        <v>97</v>
      </c>
      <c r="L12" s="7" t="s">
        <v>143</v>
      </c>
      <c r="M12" s="7" t="s">
        <v>7</v>
      </c>
      <c r="N12" s="7" t="s">
        <v>99</v>
      </c>
    </row>
    <row r="17" spans="4:4" x14ac:dyDescent="0.3">
      <c r="D17" s="11">
        <f>SUBTOTAL(9,D1:D16)</f>
        <v>223300</v>
      </c>
    </row>
  </sheetData>
  <autoFilter ref="A1:N12">
    <filterColumn colId="6">
      <filters>
        <filter val="БЦ-с.Миролюбівка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списание</vt:lpstr>
      <vt:lpstr>послуги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t.antonovich</dc:creator>
  <cp:lastModifiedBy>t.antonovich</cp:lastModifiedBy>
  <dcterms:created xsi:type="dcterms:W3CDTF">2024-12-19T15:04:59Z</dcterms:created>
  <dcterms:modified xsi:type="dcterms:W3CDTF">2024-12-19T20:31:37Z</dcterms:modified>
</cp:coreProperties>
</file>
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 activeTab="3"/>
  </bookViews>
  <sheets>
    <sheet name="Акты заказчика" sheetId="1" r:id="rId1"/>
    <sheet name="Списание стройматериалов" sheetId="2" r:id="rId2"/>
    <sheet name="ВаловаяПрибыль" sheetId="3" r:id="rId3"/>
    <sheet name="Услуги_сторонних" sheetId="4" r:id="rId4"/>
    <sheet name="Турбина2" sheetId="5" r:id="rId5"/>
  </sheets>
  <definedNames>
    <definedName name="_xlnm._FilterDatabase" localSheetId="0" hidden="1">'Акты заказчика'!$A$1:$I$36</definedName>
  </definedNames>
  <calcPr calcId="145621"/>
</workbook>
</file>

<file path=xl/calcChain.xml><?xml version="1.0" encoding="utf-8"?>
<calcChain xmlns="http://schemas.openxmlformats.org/spreadsheetml/2006/main">
  <c r="F36" i="1" l="1"/>
  <c r="D55" i="1"/>
  <c r="D105" i="2" l="1"/>
  <c r="E116" i="2" l="1"/>
  <c r="E115" i="2"/>
  <c r="E114" i="2"/>
  <c r="D108" i="2" l="1"/>
  <c r="D110" i="2" s="1"/>
  <c r="D111" i="2" s="1"/>
  <c r="G27" i="3"/>
  <c r="D15" i="4"/>
  <c r="G21" i="3"/>
  <c r="G10" i="3"/>
  <c r="G7" i="3"/>
  <c r="G6" i="3"/>
  <c r="G5" i="3"/>
  <c r="E98" i="2"/>
  <c r="D109" i="2"/>
  <c r="D107" i="2"/>
  <c r="D106" i="2"/>
  <c r="D104" i="2"/>
  <c r="D103" i="2"/>
  <c r="E100" i="2" l="1"/>
  <c r="E94" i="2"/>
  <c r="E97" i="2"/>
  <c r="E96" i="2"/>
  <c r="E95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2" i="2"/>
  <c r="E3" i="2"/>
  <c r="E4" i="2" l="1"/>
  <c r="J19" i="5" l="1"/>
  <c r="J14" i="5" l="1"/>
  <c r="J9" i="5"/>
  <c r="J5" i="5"/>
  <c r="J2" i="5"/>
  <c r="D21" i="5"/>
  <c r="D50" i="1" l="1"/>
  <c r="D36" i="1" l="1"/>
  <c r="D35" i="1"/>
  <c r="D34" i="1"/>
  <c r="D37" i="1" s="1"/>
  <c r="D33" i="1"/>
  <c r="D32" i="1"/>
  <c r="D30" i="1"/>
  <c r="D31" i="1" l="1"/>
</calcChain>
</file>

<file path=xl/sharedStrings.xml><?xml version="1.0" encoding="utf-8"?>
<sst xmlns="http://schemas.openxmlformats.org/spreadsheetml/2006/main" count="1238" uniqueCount="485">
  <si>
    <t>Дата</t>
  </si>
  <si>
    <t>Номер</t>
  </si>
  <si>
    <t>Контрагент</t>
  </si>
  <si>
    <t>Сума</t>
  </si>
  <si>
    <t>Валюта</t>
  </si>
  <si>
    <t>Підрозділ</t>
  </si>
  <si>
    <t>Організація</t>
  </si>
  <si>
    <t>Відповідальний</t>
  </si>
  <si>
    <t>Коментар</t>
  </si>
  <si>
    <t>01.03.2024 16:53:16</t>
  </si>
  <si>
    <t>ІБ00-000060</t>
  </si>
  <si>
    <t>Вінницька птахофабрика ВКВК філія ТОВ</t>
  </si>
  <si>
    <t>грн</t>
  </si>
  <si>
    <t>Виробничий (Ладижин)</t>
  </si>
  <si>
    <t>ТОВ "ІНДАСТРІАЛБУД"</t>
  </si>
  <si>
    <t>Хлань Елена</t>
  </si>
  <si>
    <t>Акт №31</t>
  </si>
  <si>
    <t>05.03.2024 00:00:00</t>
  </si>
  <si>
    <t>ІБ00-000035</t>
  </si>
  <si>
    <t xml:space="preserve">Старокостянтинівський олійноекстраційний завод ТОВ </t>
  </si>
  <si>
    <t>Виробничий (Старокостянтинів</t>
  </si>
  <si>
    <t>ДОГОВІР ПІДРЯДУ № 01/02/2024 -Б -СтОЕЗ від 01.02.2024</t>
  </si>
  <si>
    <t>ІБ00-000048</t>
  </si>
  <si>
    <t>Акт № 3 ДОГОВІР ПІДРЯДУ № 18/12/23-3.3.3-АР-СтОЕЗ від 18.1</t>
  </si>
  <si>
    <t>ІБ00-000049</t>
  </si>
  <si>
    <t xml:space="preserve"> Акт 3 ДОГОВІР ПІДРЯДУ № 13/12/2023-3.4.5-АР-СтОЕЗ від 13</t>
  </si>
  <si>
    <t>11.03.2024 17:04:14</t>
  </si>
  <si>
    <t>ІБ00-000062</t>
  </si>
  <si>
    <t>Акт №32</t>
  </si>
  <si>
    <t>13.03.2024 09:44:52</t>
  </si>
  <si>
    <t>ІБ00-000064</t>
  </si>
  <si>
    <t xml:space="preserve"> Акт 4 (скан) ДОГОВІР ПІДРЯДУ № 13/12/2023-3.4.5-АР-СтОЕЗ від 13</t>
  </si>
  <si>
    <t>14.03.2024 00:00:00</t>
  </si>
  <si>
    <t>ІБ00-000063</t>
  </si>
  <si>
    <t>Акт № 4 (скан) ДОГОВІР ПІДРЯДУ № 18/12/23-3.3.3-АР-СтОЕЗ від 18.1</t>
  </si>
  <si>
    <t>14.03.2024 16:10:25</t>
  </si>
  <si>
    <t>ІБ00-000068</t>
  </si>
  <si>
    <t xml:space="preserve"> Акт 5 (скан) ДОГОВІР ПІДРЯДУ № 13/12/2023-3.4.5-АР-СтОЕЗ від 13</t>
  </si>
  <si>
    <t>15.03.2024 17:25:42</t>
  </si>
  <si>
    <t>ІБ00-000065</t>
  </si>
  <si>
    <t>Акт №33</t>
  </si>
  <si>
    <t>21.03.2024 00:00:00</t>
  </si>
  <si>
    <t>ІБ00-000028</t>
  </si>
  <si>
    <t>Акт 2 ДОГОВІР ПІДРЯДУ № 07/11/2023 -КМ5 -СтОЕЗ</t>
  </si>
  <si>
    <t>ІБ00-000066</t>
  </si>
  <si>
    <t>Акт 3  ДОГОВІР ПІДРЯДУ № 06/11/2023 -Б -СтОЕЗ від 06.11.23</t>
  </si>
  <si>
    <t>21.03.2024 08:39:05</t>
  </si>
  <si>
    <t>ІБ00-000067</t>
  </si>
  <si>
    <t>22.03.2024 12:00:02</t>
  </si>
  <si>
    <t>ІБ00-000070</t>
  </si>
  <si>
    <t>ЗАПОРІЗЬКИЙ ОЛІЙНОЕКСТРАКЦІЙНИЙ ЗАВОД  ПРАТ</t>
  </si>
  <si>
    <t>Виробничий (Запоріж_Турбіна2)</t>
  </si>
  <si>
    <t xml:space="preserve"> Акт № 5/1</t>
  </si>
  <si>
    <t>22.03.2024 12:00:03</t>
  </si>
  <si>
    <t>ІБ00-000071</t>
  </si>
  <si>
    <t xml:space="preserve"> Акт № 5/2</t>
  </si>
  <si>
    <t>22.03.2024 12:00:04</t>
  </si>
  <si>
    <t>ІБ00-000072</t>
  </si>
  <si>
    <t xml:space="preserve"> Акт № 5/3</t>
  </si>
  <si>
    <t>22.03.2024 12:00:05</t>
  </si>
  <si>
    <t>ІБ00-000073</t>
  </si>
  <si>
    <t xml:space="preserve"> Акт № 5/4</t>
  </si>
  <si>
    <t>22.03.2024 12:00:06</t>
  </si>
  <si>
    <t>ІБ00-000074</t>
  </si>
  <si>
    <t xml:space="preserve"> Акт № 5/5</t>
  </si>
  <si>
    <t>22.03.2024 17:34:06</t>
  </si>
  <si>
    <t>ІБ00-000069</t>
  </si>
  <si>
    <t>Акт №34</t>
  </si>
  <si>
    <t>28.03.2024 15:08:08</t>
  </si>
  <si>
    <t>ІБ00-000075</t>
  </si>
  <si>
    <t>ЗАПОРІЗЬКИЙ ОЛІЯЖИРКОМБІНАТ ПРАТ</t>
  </si>
  <si>
    <t>Виробничий Щедро_Флексітанки</t>
  </si>
  <si>
    <t>акт № 1 опалення ( не підписаний)</t>
  </si>
  <si>
    <t>28.03.2024 15:08:43</t>
  </si>
  <si>
    <t>ІБ00-000076</t>
  </si>
  <si>
    <t>акт № 1 архітектурні рішення ( не підписаний)</t>
  </si>
  <si>
    <t>28.03.2024 15:10:46</t>
  </si>
  <si>
    <t>ІБ00-000077</t>
  </si>
  <si>
    <t>акт № 2/кб фундамент ( не підписаний)</t>
  </si>
  <si>
    <t>28.03.2024 15:11:57</t>
  </si>
  <si>
    <t>ІБ00-000078</t>
  </si>
  <si>
    <t>акт № 1 фасад цеху ( не підписаний)</t>
  </si>
  <si>
    <t>28.03.2024 18:44:49</t>
  </si>
  <si>
    <t>ІБ00-000079</t>
  </si>
  <si>
    <t>акт № 1 ТХ</t>
  </si>
  <si>
    <t>28.03.2024 18:44:50</t>
  </si>
  <si>
    <t>ІБ00-000080</t>
  </si>
  <si>
    <t>акт № 1 ТК</t>
  </si>
  <si>
    <t>29.03.2024 18:44:52</t>
  </si>
  <si>
    <t>ІБ00-000081</t>
  </si>
  <si>
    <t>АВІА ВЕНЧУРС ТОВ</t>
  </si>
  <si>
    <t>Виробничий (Крушинка)</t>
  </si>
  <si>
    <t>Акт № 2 ДУ № 1 від 27.11.2023 року ДОГОВІР F-20231127-1</t>
  </si>
  <si>
    <t>29.03.2024 18:45:06</t>
  </si>
  <si>
    <t>ІБ00-000082</t>
  </si>
  <si>
    <t xml:space="preserve">акт №21 за лютий 2024 </t>
  </si>
  <si>
    <t>29.03.2024 18:45:07</t>
  </si>
  <si>
    <t>ІБ00-000083</t>
  </si>
  <si>
    <t xml:space="preserve">акт №22 за лютий 2024 </t>
  </si>
  <si>
    <t>29.03.2024 18:45:08</t>
  </si>
  <si>
    <t>ІБ00-000084</t>
  </si>
  <si>
    <t>Акт 2</t>
  </si>
  <si>
    <t>Турбина-2</t>
  </si>
  <si>
    <t>Крушинка</t>
  </si>
  <si>
    <t>Ладыжин-3</t>
  </si>
  <si>
    <t>Староконстантинов</t>
  </si>
  <si>
    <t>Щедро.Флекситанки</t>
  </si>
  <si>
    <t>ИТОГО</t>
  </si>
  <si>
    <t>Вид операції</t>
  </si>
  <si>
    <t>Склад</t>
  </si>
  <si>
    <t>Дата вх.</t>
  </si>
  <si>
    <t>Номер вх.</t>
  </si>
  <si>
    <t>Договір</t>
  </si>
  <si>
    <t>Документ розрахунків</t>
  </si>
  <si>
    <t>29.03.2024 22:00:02</t>
  </si>
  <si>
    <t>ІБ00-001324</t>
  </si>
  <si>
    <t>Покупка, комісія</t>
  </si>
  <si>
    <t>ДНІПРО АКВАБУД ІНВЕСТ</t>
  </si>
  <si>
    <t>29.03.2024</t>
  </si>
  <si>
    <t>Акт 7</t>
  </si>
  <si>
    <t>Дог№12/09 від 12.09.23 ДУ1_661 044,29_Крушинка</t>
  </si>
  <si>
    <t>Рахунок на оплату постачальника ІБ00-000314 от 26.01.2024 17:45:34</t>
  </si>
  <si>
    <t>04.03.2024 00:00:00</t>
  </si>
  <si>
    <t>ІБ00-000643</t>
  </si>
  <si>
    <t>Устаткування</t>
  </si>
  <si>
    <t>Ніжин-3</t>
  </si>
  <si>
    <t>ІНДЕПТ СТІЛ ТОВ</t>
  </si>
  <si>
    <t>04.03.2024</t>
  </si>
  <si>
    <t>7</t>
  </si>
  <si>
    <t>21/02/24_Ніжин3 битовка</t>
  </si>
  <si>
    <t>Рахунок на оплату постачальника ІБ00-000445 от 21.02.2024 17:53:54</t>
  </si>
  <si>
    <t>Таншин Леонид</t>
  </si>
  <si>
    <t>07.03.2024 17:00:17</t>
  </si>
  <si>
    <t>ІБ00-000884</t>
  </si>
  <si>
    <t>Старокостянтинів</t>
  </si>
  <si>
    <t>07.03.2024</t>
  </si>
  <si>
    <t>2</t>
  </si>
  <si>
    <t>Договір 20/02/24 від 20.02.2024_Старокостянтинів</t>
  </si>
  <si>
    <t>Рахунок на оплату постачальника ІБ00-000627 от 07.03.2024 17:00:13</t>
  </si>
  <si>
    <t>Шостак Жанета</t>
  </si>
  <si>
    <t>07.03.2024 18:18:39</t>
  </si>
  <si>
    <t>ІБ00-001237</t>
  </si>
  <si>
    <t>8</t>
  </si>
  <si>
    <t>15.03.2024 17:26:04</t>
  </si>
  <si>
    <t>ІБ00-001129</t>
  </si>
  <si>
    <t>15.03.2024</t>
  </si>
  <si>
    <t>14</t>
  </si>
  <si>
    <t>21/02/24_Ніжин3 бункер</t>
  </si>
  <si>
    <t>Рахунок на оплату постачальника ІБ00-000805 от 15.03.2024 17:26:03</t>
  </si>
  <si>
    <t>ІНДЕПТ СТІЛ ТОВ (ТРАНСПОРТНЫЕ)</t>
  </si>
  <si>
    <t>22.03.2024 00:00:00</t>
  </si>
  <si>
    <t>ІБ00-001236</t>
  </si>
  <si>
    <t>Запоріжжя_Турбіна 2</t>
  </si>
  <si>
    <t>ТАВРІЯ ПРОМ ЕНЕРГОБУД ТОВ</t>
  </si>
  <si>
    <t>22.03.2024</t>
  </si>
  <si>
    <t>б/н</t>
  </si>
  <si>
    <t>Договір 2401/24-1 від 24.01.2024_Турбина-2</t>
  </si>
  <si>
    <t>Рахунок на оплату постачальника ІБ00-000154 от 24.01.2024 17:53:12</t>
  </si>
  <si>
    <t>01.05.2024 12:00:00</t>
  </si>
  <si>
    <t>ІБ00-000090</t>
  </si>
  <si>
    <t>НІЖИНСЬКИЙ ЖИРКОМБІНАТ ПрАТ</t>
  </si>
  <si>
    <t>Виробничий (Ніжин-3)</t>
  </si>
  <si>
    <t>Акт № 1 без дати проведення</t>
  </si>
  <si>
    <t>01.05.2024 12:00:01</t>
  </si>
  <si>
    <t>ІБ00-000091</t>
  </si>
  <si>
    <t>Акт № 2 без дати проведення</t>
  </si>
  <si>
    <t>01.05.2024 12:00:02</t>
  </si>
  <si>
    <t>ІБ00-000092</t>
  </si>
  <si>
    <t>Акт № 3 без дати проведення</t>
  </si>
  <si>
    <t>01.05.2024 12:00:03</t>
  </si>
  <si>
    <t>ІБ00-000093</t>
  </si>
  <si>
    <t>Акт № 4 без дати проведення</t>
  </si>
  <si>
    <t>01.05.2024 12:00:04</t>
  </si>
  <si>
    <t>ІБ00-000095</t>
  </si>
  <si>
    <t>Акт № 5 без дати проведення</t>
  </si>
  <si>
    <t>01.05.2024 12:00:05</t>
  </si>
  <si>
    <t>ІБ00-000096</t>
  </si>
  <si>
    <t>Акт № 6 без дати проведення</t>
  </si>
  <si>
    <t>01.05.2024 12:00:06</t>
  </si>
  <si>
    <t>ІБ00-000097</t>
  </si>
  <si>
    <t>Акт № 7 без дати проведення</t>
  </si>
  <si>
    <t>01.05.2024 12:00:07</t>
  </si>
  <si>
    <t>ІБ00-000098</t>
  </si>
  <si>
    <t>Акт № 8 без дати проведення</t>
  </si>
  <si>
    <t>01.05.2024 12:00:08</t>
  </si>
  <si>
    <t>ІБ00-000099</t>
  </si>
  <si>
    <t>Акт № 9 без дати проведення</t>
  </si>
  <si>
    <t>31.10.2023 10:00:00</t>
  </si>
  <si>
    <t>ІБ00-000165</t>
  </si>
  <si>
    <t>- Акт №1 ( не під. заказ)</t>
  </si>
  <si>
    <t>31.10.2023 10:05:00</t>
  </si>
  <si>
    <t>ІБ00-000166</t>
  </si>
  <si>
    <t>- Акт №2 ( не під. заказ)</t>
  </si>
  <si>
    <t>30.11.2023 10:00:00</t>
  </si>
  <si>
    <t>ІБ00-000179</t>
  </si>
  <si>
    <t xml:space="preserve"> Акт №2/1</t>
  </si>
  <si>
    <t>ІБ00-000180</t>
  </si>
  <si>
    <t xml:space="preserve"> Акт №2/2 </t>
  </si>
  <si>
    <t>30.11.2023 17:56:29</t>
  </si>
  <si>
    <t>ІБ00-000181</t>
  </si>
  <si>
    <t xml:space="preserve"> Акт №2/3</t>
  </si>
  <si>
    <t>29.12.2023 16:00:11</t>
  </si>
  <si>
    <t>ІБ00-000215</t>
  </si>
  <si>
    <t xml:space="preserve"> Акт № 3/1</t>
  </si>
  <si>
    <t>29.12.2023 16:00:12</t>
  </si>
  <si>
    <t>ІБ00-000216</t>
  </si>
  <si>
    <t xml:space="preserve"> Акт № 3/2</t>
  </si>
  <si>
    <t>29.12.2023 16:00:13</t>
  </si>
  <si>
    <t>ІБ00-000217</t>
  </si>
  <si>
    <t xml:space="preserve"> Акт № 3/3</t>
  </si>
  <si>
    <t>29.12.2023 16:00:14</t>
  </si>
  <si>
    <t>ІБ00-000218</t>
  </si>
  <si>
    <t xml:space="preserve"> Акт № 3/4</t>
  </si>
  <si>
    <t>29.02.2024 00:00:00</t>
  </si>
  <si>
    <t>ІБ00-000029</t>
  </si>
  <si>
    <t xml:space="preserve"> Акт № 4/1</t>
  </si>
  <si>
    <t>29.02.2024 12:01:28</t>
  </si>
  <si>
    <t>ІБ00-000030</t>
  </si>
  <si>
    <t xml:space="preserve"> Акт № 4/2</t>
  </si>
  <si>
    <t>29.02.2024 12:02:10</t>
  </si>
  <si>
    <t>ІБ00-000031</t>
  </si>
  <si>
    <t xml:space="preserve"> Акт № 4/3</t>
  </si>
  <si>
    <t>29.02.2024 12:02:43</t>
  </si>
  <si>
    <t>ІБ00-000032</t>
  </si>
  <si>
    <t xml:space="preserve"> Акт № 4/4</t>
  </si>
  <si>
    <t>29.02.2024 12:03:27</t>
  </si>
  <si>
    <t>ІБ00-000033</t>
  </si>
  <si>
    <t xml:space="preserve"> Акт № 4/5</t>
  </si>
  <si>
    <t>Склад відправник</t>
  </si>
  <si>
    <t>Склад одержувач</t>
  </si>
  <si>
    <t>ІБ00-000016</t>
  </si>
  <si>
    <t>Склад списання Ніжин-3</t>
  </si>
  <si>
    <t>Переміщення до акту № 2(91 в 1С)</t>
  </si>
  <si>
    <t>ІБ00-000017</t>
  </si>
  <si>
    <t>Переміщення до акту № 3(92 в 1С)</t>
  </si>
  <si>
    <t>31.03.2024 20:00:00</t>
  </si>
  <si>
    <t>Сумма без НДС</t>
  </si>
  <si>
    <t>Сумма С НДС</t>
  </si>
  <si>
    <t>* работы</t>
  </si>
  <si>
    <t>02.02.2024 17:32:52</t>
  </si>
  <si>
    <t>ООН Київ</t>
  </si>
  <si>
    <t>Виробничий (ООН Київ)</t>
  </si>
  <si>
    <t>АЕ 63 622 248,83</t>
  </si>
  <si>
    <t>02.02.2024 17:40:56</t>
  </si>
  <si>
    <t>ІБ00-000036</t>
  </si>
  <si>
    <t>Р 285 - 34 074,89</t>
  </si>
  <si>
    <t>02.02.2024 17:40:59</t>
  </si>
  <si>
    <t>ІБ00-000037</t>
  </si>
  <si>
    <t>Р 350 - 176 340,07</t>
  </si>
  <si>
    <t>02.02.2024 17:41:02</t>
  </si>
  <si>
    <t>ІБ00-000039</t>
  </si>
  <si>
    <t>АЕ 62 - 1 205 734,97</t>
  </si>
  <si>
    <t>02.02.2024 17:41:05</t>
  </si>
  <si>
    <t>ІБ00-000040</t>
  </si>
  <si>
    <t>АЕ 61 - 1 482 198,00</t>
  </si>
  <si>
    <t>02.02.2024 17:41:09</t>
  </si>
  <si>
    <t>ІБ00-000041</t>
  </si>
  <si>
    <t>АЕ 26 - 755 008,69</t>
  </si>
  <si>
    <t>02.02.2024 17:41:23</t>
  </si>
  <si>
    <t>02.02.2024 17:41:24</t>
  </si>
  <si>
    <t>02.02.2024 17:41:28</t>
  </si>
  <si>
    <t>05.02.2024 15:54:18</t>
  </si>
  <si>
    <t>ІБ00-000042</t>
  </si>
  <si>
    <t>Ладижин-3</t>
  </si>
  <si>
    <t>Біогаз</t>
  </si>
  <si>
    <t>06.02.2024 17:52:30</t>
  </si>
  <si>
    <t>ІБ00-000046</t>
  </si>
  <si>
    <t>06.02.2024 17:52:35</t>
  </si>
  <si>
    <t>12.02.2024 18:30:56</t>
  </si>
  <si>
    <t>ІБ00-000051</t>
  </si>
  <si>
    <t>12.02.2024 22:52:33</t>
  </si>
  <si>
    <t>12.02.2024 22:52:38</t>
  </si>
  <si>
    <t>12.02.2024 23:58:42</t>
  </si>
  <si>
    <t>14.02.2024 11:46:04</t>
  </si>
  <si>
    <t>Досписання До акту № 2</t>
  </si>
  <si>
    <t>14.02.2024 12:00:03</t>
  </si>
  <si>
    <t>Досписання До акту № 3</t>
  </si>
  <si>
    <t>14.02.2024 13:11:01</t>
  </si>
  <si>
    <t>Досписання До акту № 6</t>
  </si>
  <si>
    <t>14.02.2024 13:15:45</t>
  </si>
  <si>
    <t>Досписання До акту № 1 ДУ2</t>
  </si>
  <si>
    <t>14.02.2024 14:07:18</t>
  </si>
  <si>
    <t>Досписання До акту № 4</t>
  </si>
  <si>
    <t>14.02.2024 14:40:27</t>
  </si>
  <si>
    <t>ІБ00-000034</t>
  </si>
  <si>
    <t>Досписання До акту № 5</t>
  </si>
  <si>
    <t>14.02.2024 17:53:14</t>
  </si>
  <si>
    <t>ІБ00-000038</t>
  </si>
  <si>
    <t>Придніпровський МЕЗ-2</t>
  </si>
  <si>
    <t>До акту № 1 (рахунок 30 від 06.02.2023)</t>
  </si>
  <si>
    <t>Цех МД польська акція</t>
  </si>
  <si>
    <t>Стецюк Татьяна</t>
  </si>
  <si>
    <t>19.02.2024 17:11:50</t>
  </si>
  <si>
    <t>ІБ00-000052</t>
  </si>
  <si>
    <t>20.02.2024 18:03:34</t>
  </si>
  <si>
    <t>20.02.2024 18:03:36</t>
  </si>
  <si>
    <t>20.02.2024 18:03:39</t>
  </si>
  <si>
    <t>20.02.2024 18:03:43</t>
  </si>
  <si>
    <t>26.02.2024 17:11:07</t>
  </si>
  <si>
    <t>ІБ00-000053</t>
  </si>
  <si>
    <t>26.02.2024 18:13:48</t>
  </si>
  <si>
    <t>26.02.2024 18:13:51</t>
  </si>
  <si>
    <t>26.02.2024 18:13:55</t>
  </si>
  <si>
    <t>26.02.2024 18:13:59</t>
  </si>
  <si>
    <t>27.02.2024 00:00:00</t>
  </si>
  <si>
    <t>ІБ00-000103</t>
  </si>
  <si>
    <t>Щедро_Флекситанки</t>
  </si>
  <si>
    <t>27.02.2024 17:29:45</t>
  </si>
  <si>
    <t>27.02.2024 17:29:49</t>
  </si>
  <si>
    <t>27.02.2024 17:29:53</t>
  </si>
  <si>
    <t>ІБ00-000050</t>
  </si>
  <si>
    <t>28.02.2024 00:00:00</t>
  </si>
  <si>
    <t>28.02.2024 09:35:38</t>
  </si>
  <si>
    <t>ІБ00-000044</t>
  </si>
  <si>
    <t>досписання</t>
  </si>
  <si>
    <t>28.02.2024 09:44:34</t>
  </si>
  <si>
    <t>ІБ00-000045</t>
  </si>
  <si>
    <t>28.02.2024 09:46:21</t>
  </si>
  <si>
    <t>28.02.2024 09:48:11</t>
  </si>
  <si>
    <t>ІБ00-000047</t>
  </si>
  <si>
    <t>28.02.2024 10:18:10</t>
  </si>
  <si>
    <t>28.02.2024 10:22:14</t>
  </si>
  <si>
    <t>28.02.2024 10:24:59</t>
  </si>
  <si>
    <t>28.02.2024 17:11:31</t>
  </si>
  <si>
    <t>ІБ00-000054</t>
  </si>
  <si>
    <t>досписання АА-108/АА113/АА112/А287</t>
  </si>
  <si>
    <t>28.02.2024 17:11:32</t>
  </si>
  <si>
    <t>ІБ00-000055</t>
  </si>
  <si>
    <t>28.02.2024 17:11:33</t>
  </si>
  <si>
    <t>ІБ00-000056</t>
  </si>
  <si>
    <t>28.02.2024 17:11:34</t>
  </si>
  <si>
    <t>ІБ00-000057</t>
  </si>
  <si>
    <t>28.02.2024 17:11:35</t>
  </si>
  <si>
    <t>ІБ00-000058</t>
  </si>
  <si>
    <t>28.02.2024 17:11:36</t>
  </si>
  <si>
    <t>ІБ00-000059</t>
  </si>
  <si>
    <t>28.02.2024 17:11:37</t>
  </si>
  <si>
    <t>28.02.2024 17:12:01</t>
  </si>
  <si>
    <t>ІБ00-000089</t>
  </si>
  <si>
    <t>Металізація</t>
  </si>
  <si>
    <t>29.02.2024 20:00:00</t>
  </si>
  <si>
    <t>ІБ00-000086</t>
  </si>
  <si>
    <t>29.02.2024 20:10:00</t>
  </si>
  <si>
    <t>ІБ00-000087</t>
  </si>
  <si>
    <t>29.02.2024 20:20:00</t>
  </si>
  <si>
    <t>29.02.2024 23:01:07</t>
  </si>
  <si>
    <t>29.02.2024 23:55:55</t>
  </si>
  <si>
    <t>ІБ00-000088</t>
  </si>
  <si>
    <t>04.03.2024 18:00:01</t>
  </si>
  <si>
    <t>ІБ00-000085</t>
  </si>
  <si>
    <t>05.03.2024 18:27:41</t>
  </si>
  <si>
    <t>08.03.2024 16:50:49</t>
  </si>
  <si>
    <t>ІБ00-000104</t>
  </si>
  <si>
    <t>11.03.2024 09:36:35</t>
  </si>
  <si>
    <t>ІБ00-000100</t>
  </si>
  <si>
    <t>12.03.2024 11:14:39</t>
  </si>
  <si>
    <t>МД-Побутове приміщення</t>
  </si>
  <si>
    <t>12.03.2024 17:57:47</t>
  </si>
  <si>
    <t xml:space="preserve">Досписання </t>
  </si>
  <si>
    <t>13.03.2024 00:00:00</t>
  </si>
  <si>
    <t>ІБ00-000112</t>
  </si>
  <si>
    <t>13.03.2024 11:11:06</t>
  </si>
  <si>
    <t>дистанційні вставки між металоконструкціями Щедро</t>
  </si>
  <si>
    <t>13.03.2024 17:25:49</t>
  </si>
  <si>
    <t>ІБ00-000094</t>
  </si>
  <si>
    <t>Придніпровський МЕЗ СЕТИ</t>
  </si>
  <si>
    <t>Досписання до договору 01-11/22</t>
  </si>
  <si>
    <t>14.03.2024 20:00:00</t>
  </si>
  <si>
    <t>ІБ00-000113</t>
  </si>
  <si>
    <t>ІБ00-000119</t>
  </si>
  <si>
    <t>15.03.2024 00:00:00</t>
  </si>
  <si>
    <t>ІБ00-000111</t>
  </si>
  <si>
    <t>ремонт бункера для бетону</t>
  </si>
  <si>
    <t>15.03.2024 10:07:15</t>
  </si>
  <si>
    <t>ІБ00-000101</t>
  </si>
  <si>
    <t>21.03.2024 18:10:32</t>
  </si>
  <si>
    <t>ІБ00-000115</t>
  </si>
  <si>
    <t>21.03.2024 18:10:35</t>
  </si>
  <si>
    <t>ІБ00-000116</t>
  </si>
  <si>
    <t>ІБ00-000109</t>
  </si>
  <si>
    <t>22.03.2024 10:53:39</t>
  </si>
  <si>
    <t>22.03.2024 12:27:20</t>
  </si>
  <si>
    <t>ІБ00-000105</t>
  </si>
  <si>
    <t>22.03.2024 17:34:19</t>
  </si>
  <si>
    <t>ІБ00-000107</t>
  </si>
  <si>
    <t>22.03.2024 17:34:21</t>
  </si>
  <si>
    <t>ІБ00-000108</t>
  </si>
  <si>
    <t>26.03.2024 17:57:46</t>
  </si>
  <si>
    <t>ІБ00-000114</t>
  </si>
  <si>
    <t>29.03.2024 00:00:00</t>
  </si>
  <si>
    <t>ІБ00-000122</t>
  </si>
  <si>
    <t>29.03.2024 18:45:13</t>
  </si>
  <si>
    <t>ІБ00-000117</t>
  </si>
  <si>
    <t>29.03.2024 18:45:16</t>
  </si>
  <si>
    <t>ІБ00-000118</t>
  </si>
  <si>
    <t>29.03.2024 18:45:32</t>
  </si>
  <si>
    <t>ІБ00-000120</t>
  </si>
  <si>
    <t>29.03.2024 18:45:33</t>
  </si>
  <si>
    <t>ІБ00-000121</t>
  </si>
  <si>
    <t>29.03.2024 22:00:15</t>
  </si>
  <si>
    <t>ІБ00-000124</t>
  </si>
  <si>
    <t>29.03.2024 22:00:21</t>
  </si>
  <si>
    <t>ІБ00-000144</t>
  </si>
  <si>
    <t>29.03.2024 22:00:22</t>
  </si>
  <si>
    <t>ІБ00-000149</t>
  </si>
  <si>
    <t>ТУРБИНА (1)</t>
  </si>
  <si>
    <t>ІБ00-000129</t>
  </si>
  <si>
    <t>Досписання МЕЗ СЕТИ</t>
  </si>
  <si>
    <t>* Нежин-3</t>
  </si>
  <si>
    <t>25.03.2024 18:13:18</t>
  </si>
  <si>
    <t>ІБ00-000013</t>
  </si>
  <si>
    <t>Цех металоконструкцій</t>
  </si>
  <si>
    <t>Цех_Нежин-3</t>
  </si>
  <si>
    <t>ПЕРЕМЕЩЕНИЕ</t>
  </si>
  <si>
    <t>Дохід</t>
  </si>
  <si>
    <t>ПДВ</t>
  </si>
  <si>
    <t>Собівартість</t>
  </si>
  <si>
    <t>Інші витрати (Послуги транспортні, проектні та інші)</t>
  </si>
  <si>
    <t>Валовий прибуток</t>
  </si>
  <si>
    <t>Акт</t>
  </si>
  <si>
    <t>ДОГОВІР ПІДРЯДУ № 20230815-3 від 15.08.2023</t>
  </si>
  <si>
    <t>Надання виробничих послуг ІБ00-000082 от 29.03.2024 18:45:06</t>
  </si>
  <si>
    <t>Надання виробничих послуг ІБ00-000083 от 29.03.2024 18:45:07</t>
  </si>
  <si>
    <t>ДУ № 1 від 27.11.2023 року ДОГОВІР F-20231127-1</t>
  </si>
  <si>
    <t>Надання виробничих послуг ІБ00-000081 от 29.03.2024 18:44:52</t>
  </si>
  <si>
    <t>ДУ № 6 ДОГОВІР ПІДРЯДУ № 20230815-3 від 15.08.2023</t>
  </si>
  <si>
    <t>Надання виробничих послуг ІБ00-000084 от 29.03.2024 18:45:08</t>
  </si>
  <si>
    <t>Договір №2909/2023/ЛА від 29.09.2023 року</t>
  </si>
  <si>
    <t>Надання виробничих послуг ІБ00-000060 от 01.03.2024 16:53:16</t>
  </si>
  <si>
    <t>Надання виробничих послуг ІБ00-000062 от 11.03.2024 17:04:14</t>
  </si>
  <si>
    <t>Надання виробничих послуг ІБ00-000065 от 15.03.2024 17:25:42</t>
  </si>
  <si>
    <t>Надання виробничих послуг ІБ00-000069 от 22.03.2024 17:34:06</t>
  </si>
  <si>
    <t>Договір підряду №3-23 від 28.09.2023</t>
  </si>
  <si>
    <t>Надання виробничих послуг ІБ00-000070 от 22.03.2024 12:00:02</t>
  </si>
  <si>
    <t>Надання виробничих послуг ІБ00-000071 от 22.03.2024 12:00:03</t>
  </si>
  <si>
    <t>Надання виробничих послуг ІБ00-000072 от 22.03.2024 12:00:04</t>
  </si>
  <si>
    <t>Надання виробничих послуг ІБ00-000073 от 22.03.2024 12:00:05</t>
  </si>
  <si>
    <t>Надання виробничих послуг ІБ00-000074 от 22.03.2024 12:00:06</t>
  </si>
  <si>
    <t>Договір підряду №26</t>
  </si>
  <si>
    <t>Надання виробничих послуг ІБ00-000075 от 28.03.2024 15:08:08</t>
  </si>
  <si>
    <t>Надання виробничих послуг ІБ00-000076 от 28.03.2024 15:08:43</t>
  </si>
  <si>
    <t>Надання виробничих послуг ІБ00-000077 от 28.03.2024 15:10:46</t>
  </si>
  <si>
    <t>Надання виробничих послуг ІБ00-000078 от 28.03.2024 15:11:57</t>
  </si>
  <si>
    <t>Надання виробничих послуг ІБ00-000079 от 28.03.2024 18:44:49</t>
  </si>
  <si>
    <t>Надання виробничих послуг ІБ00-000080 от 28.03.2024 18:44:50</t>
  </si>
  <si>
    <t>ДОГОВІР ПІДРЯДУ № 01/02/2024 -Б -СтОЕЗ від 01.02.2</t>
  </si>
  <si>
    <t>Надання виробничих послуг ІБ00-000035 от 05.03.2024 00:00:00</t>
  </si>
  <si>
    <t>Надання виробничих послуг ІБ00-000067 от 21.03.2024 08:39:05</t>
  </si>
  <si>
    <t>ДОГОВІР ПІДРЯДУ № 06/11/2023 -Б -СтОЕЗ від 06.11.2</t>
  </si>
  <si>
    <t>Надання виробничих послуг ІБ00-000066 от 21.03.2024 00:00:00</t>
  </si>
  <si>
    <t>ДОГОВІР ПІДРЯДУ № 07/11/2023 -КМ5 -СтОЕЗ</t>
  </si>
  <si>
    <t>Надання виробничих послуг ІБ00-000028 от 21.03.2024 00:00:00</t>
  </si>
  <si>
    <t>ДОГОВІР ПІДРЯДУ № 13/12/2023-3.4.5-АР-СтОЕЗ від 13</t>
  </si>
  <si>
    <t>Надання виробничих послуг ІБ00-000049 от 05.03.2024 00:00:00</t>
  </si>
  <si>
    <t>Надання виробничих послуг ІБ00-000064 от 13.03.2024 09:44:52</t>
  </si>
  <si>
    <t>Надання виробничих послуг ІБ00-000068 от 14.03.2024 16:10:25</t>
  </si>
  <si>
    <t>ДОГОВІР ПІДРЯДУ № 18/12/23-3.3.3-АР-СтОЕЗ від 18.1</t>
  </si>
  <si>
    <t>Надання виробничих послуг ІБ00-000048 от 05.03.2024 00:00:00</t>
  </si>
  <si>
    <t>Надання виробничих послуг ІБ00-000063 от 14.03.2024 00:00:00</t>
  </si>
  <si>
    <t>Итого</t>
  </si>
  <si>
    <t>* добавлено в февраль 2024</t>
  </si>
  <si>
    <t>ВСЕГО</t>
  </si>
  <si>
    <t>досписание</t>
  </si>
  <si>
    <t>МІКС-ІНВЕСТ ТОВ</t>
  </si>
  <si>
    <t>28.03.2024</t>
  </si>
  <si>
    <t>28.03.2024 18:44:51</t>
  </si>
  <si>
    <t>ІБ00-001278</t>
  </si>
  <si>
    <t>АКТ 1/О/1</t>
  </si>
  <si>
    <t>Договір 07-02/2024 від 07.02.2024_Щедро.Флексі</t>
  </si>
  <si>
    <t>Рахунок на оплату постачальника ІБ00-000315 от 08.02.2024 17:53:06</t>
  </si>
  <si>
    <t>28.03.2024 18:44:52</t>
  </si>
  <si>
    <t>ІБ00-001279</t>
  </si>
  <si>
    <t>АКТ 2/ТК/1</t>
  </si>
  <si>
    <t>28.03.2024 18:44:53</t>
  </si>
  <si>
    <t>ІБ00-001280</t>
  </si>
  <si>
    <t>АКТ 3/ТХ/1</t>
  </si>
  <si>
    <t>трубопровод подрядчики</t>
  </si>
  <si>
    <t>28.03.2024 18:45:08</t>
  </si>
  <si>
    <t>28.03.2024 18:45:11</t>
  </si>
  <si>
    <t>28.03.2024 15:54:27</t>
  </si>
  <si>
    <t>ІБ00-000009</t>
  </si>
  <si>
    <t>Продаж, комісія</t>
  </si>
  <si>
    <t>28.03.2024 18:00:03</t>
  </si>
  <si>
    <t>ІБ00-000010</t>
  </si>
  <si>
    <t>* всего с продажей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</si>
</sst>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sz val="11"/>
      <color rgb="FF7030A0"/>
      <name val="Calibri"/>
      <family val="2"/>
      <scheme val="minor"/>
    </font>
    <font>
      <sz val="10"/>
      <color indexed="63"/>
      <name val="Arial"/>
      <family val="2"/>
      <charset val="204"/>
    </font>
    <font>
      <b/>
      <sz val="8"/>
      <color indexed="63"/>
      <name val="Arial"/>
      <family val="2"/>
      <charset val="204"/>
    </font>
    <font>
      <sz val="10"/>
      <color indexed="63"/>
      <name val="Arial"/>
      <family val="2"/>
      <charset val="204"/>
    </font>
    <font>
      <b/>
      <sz val="11"/>
      <color indexed="63"/>
      <name val="Arial"/>
      <family val="2"/>
      <charset val="204"/>
    </font>
    <font>
      <b/>
      <sz val="10"/>
      <color indexed="9"/>
      <name val="Arial"/>
      <family val="2"/>
      <charset val="204"/>
    </font>
    <font>
      <b/>
      <sz val="8"/>
      <color indexed="56"/>
      <name val="Arial"/>
      <family val="2"/>
      <charset val="204"/>
    </font>
    <font>
      <sz val="11"/>
      <color rgb="FF7030A0"/>
      <name val="Calibri"/>
      <family val="2"/>
      <charset val="204"/>
      <scheme val="minor"/>
    </font>
    <font>
      <sz val="10"/>
      <color indexed="63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2"/>
        <bgColor indexed="64"/>
      </patternFill>
    </fill>
  </fills>
  <borders count="10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medium">
        <color indexed="64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 style="thin">
        <color indexed="31"/>
      </top>
      <bottom/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/>
      <bottom style="thin">
        <color indexed="31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74">
    <xf numFmtId="0" fontId="0" fillId="0" borderId="0" xfId="0"/>
    <xf numFmtId="0" fontId="3" fillId="2" borderId="1" xfId="1" applyNumberFormat="1" applyFont="1" applyFill="1" applyBorder="1" applyAlignment="1">
      <alignment horizontal="left" vertical="top"/>
    </xf>
    <xf numFmtId="0" fontId="4" fillId="2" borderId="1" xfId="1" applyNumberFormat="1" applyFont="1" applyFill="1" applyBorder="1" applyAlignment="1">
      <alignment horizontal="left" vertical="top"/>
    </xf>
    <xf numFmtId="4" fontId="4" fillId="2" borderId="1" xfId="1" applyNumberFormat="1" applyFont="1" applyFill="1" applyBorder="1" applyAlignment="1">
      <alignment horizontal="right" vertical="top"/>
    </xf>
    <xf numFmtId="4" fontId="5" fillId="0" borderId="0" xfId="0" applyNumberFormat="1" applyFont="1"/>
    <xf numFmtId="0" fontId="1" fillId="0" borderId="0" xfId="0" applyFont="1"/>
    <xf numFmtId="4" fontId="1" fillId="0" borderId="0" xfId="0" applyNumberFormat="1" applyFont="1"/>
    <xf numFmtId="0" fontId="6" fillId="2" borderId="1" xfId="2" applyNumberFormat="1" applyFont="1" applyFill="1" applyBorder="1" applyAlignment="1">
      <alignment horizontal="left" vertical="top"/>
    </xf>
    <xf numFmtId="0" fontId="4" fillId="2" borderId="1" xfId="2" applyNumberFormat="1" applyFont="1" applyFill="1" applyBorder="1" applyAlignment="1">
      <alignment horizontal="left" vertical="top"/>
    </xf>
    <xf numFmtId="0" fontId="7" fillId="2" borderId="1" xfId="2" applyNumberFormat="1" applyFont="1" applyFill="1" applyBorder="1" applyAlignment="1">
      <alignment horizontal="left" vertical="top"/>
    </xf>
    <xf numFmtId="0" fontId="3" fillId="2" borderId="1" xfId="3" applyNumberFormat="1" applyFont="1" applyFill="1" applyBorder="1" applyAlignment="1">
      <alignment horizontal="left" vertical="top"/>
    </xf>
    <xf numFmtId="0" fontId="4" fillId="2" borderId="1" xfId="3" applyNumberFormat="1" applyFont="1" applyFill="1" applyBorder="1" applyAlignment="1">
      <alignment horizontal="left" vertical="top"/>
    </xf>
    <xf numFmtId="4" fontId="4" fillId="2" borderId="1" xfId="3" applyNumberFormat="1" applyFont="1" applyFill="1" applyBorder="1" applyAlignment="1">
      <alignment horizontal="right" vertical="top"/>
    </xf>
    <xf numFmtId="4" fontId="0" fillId="3" borderId="0" xfId="0" applyNumberFormat="1" applyFill="1"/>
    <xf numFmtId="4" fontId="1" fillId="3" borderId="0" xfId="0" applyNumberFormat="1" applyFont="1" applyFill="1"/>
    <xf numFmtId="4" fontId="7" fillId="3" borderId="1" xfId="2" applyNumberFormat="1" applyFont="1" applyFill="1" applyBorder="1" applyAlignment="1">
      <alignment horizontal="right" vertical="top"/>
    </xf>
    <xf numFmtId="4" fontId="4" fillId="3" borderId="1" xfId="2" applyNumberFormat="1" applyFont="1" applyFill="1" applyBorder="1" applyAlignment="1">
      <alignment horizontal="right" vertical="top"/>
    </xf>
    <xf numFmtId="4" fontId="0" fillId="0" borderId="0" xfId="0" applyNumberFormat="1"/>
    <xf numFmtId="4" fontId="4" fillId="0" borderId="1" xfId="1" applyNumberFormat="1" applyFont="1" applyFill="1" applyBorder="1" applyAlignment="1">
      <alignment horizontal="right" vertical="top"/>
    </xf>
    <xf numFmtId="4" fontId="4" fillId="4" borderId="1" xfId="1" applyNumberFormat="1" applyFont="1" applyFill="1" applyBorder="1" applyAlignment="1">
      <alignment horizontal="right" vertical="top"/>
    </xf>
    <xf numFmtId="0" fontId="8" fillId="2" borderId="1" xfId="4" applyNumberFormat="1" applyFont="1" applyFill="1" applyBorder="1" applyAlignment="1">
      <alignment horizontal="left" vertical="top"/>
    </xf>
    <xf numFmtId="0" fontId="4" fillId="2" borderId="1" xfId="4" applyNumberFormat="1" applyFont="1" applyFill="1" applyBorder="1" applyAlignment="1">
      <alignment horizontal="left" vertical="top"/>
    </xf>
    <xf numFmtId="4" fontId="3" fillId="2" borderId="1" xfId="4" applyNumberFormat="1" applyFont="1" applyFill="1" applyBorder="1" applyAlignment="1">
      <alignment horizontal="center" vertical="center"/>
    </xf>
    <xf numFmtId="4" fontId="4" fillId="2" borderId="1" xfId="4" applyNumberFormat="1" applyFont="1" applyFill="1" applyBorder="1" applyAlignment="1">
      <alignment horizontal="center" vertical="top"/>
    </xf>
    <xf numFmtId="0" fontId="4" fillId="4" borderId="1" xfId="3" applyNumberFormat="1" applyFont="1" applyFill="1" applyBorder="1" applyAlignment="1">
      <alignment horizontal="left" vertical="top"/>
    </xf>
    <xf numFmtId="4" fontId="0" fillId="0" borderId="0" xfId="0" applyNumberFormat="1" applyAlignment="1">
      <alignment horizontal="center" vertical="center"/>
    </xf>
    <xf numFmtId="0" fontId="4" fillId="2" borderId="2" xfId="4" applyNumberFormat="1" applyFont="1" applyFill="1" applyBorder="1" applyAlignment="1">
      <alignment horizontal="left" vertical="top"/>
    </xf>
    <xf numFmtId="4" fontId="4" fillId="2" borderId="2" xfId="4" applyNumberFormat="1" applyFont="1" applyFill="1" applyBorder="1" applyAlignment="1">
      <alignment horizontal="center" vertical="top"/>
    </xf>
    <xf numFmtId="0" fontId="4" fillId="2" borderId="3" xfId="4" applyNumberFormat="1" applyFont="1" applyFill="1" applyBorder="1" applyAlignment="1">
      <alignment horizontal="left" vertical="top"/>
    </xf>
    <xf numFmtId="4" fontId="4" fillId="2" borderId="3" xfId="4" applyNumberFormat="1" applyFont="1" applyFill="1" applyBorder="1" applyAlignment="1">
      <alignment horizontal="center" vertical="top"/>
    </xf>
    <xf numFmtId="0" fontId="4" fillId="4" borderId="1" xfId="4" applyNumberFormat="1" applyFont="1" applyFill="1" applyBorder="1" applyAlignment="1">
      <alignment horizontal="left" vertical="top"/>
    </xf>
    <xf numFmtId="4" fontId="4" fillId="4" borderId="1" xfId="4" applyNumberFormat="1" applyFont="1" applyFill="1" applyBorder="1" applyAlignment="1">
      <alignment horizontal="center" vertical="top"/>
    </xf>
    <xf numFmtId="0" fontId="0" fillId="4" borderId="0" xfId="0" applyFill="1"/>
    <xf numFmtId="0" fontId="4" fillId="5" borderId="1" xfId="4" applyNumberFormat="1" applyFont="1" applyFill="1" applyBorder="1" applyAlignment="1">
      <alignment horizontal="left" vertical="top"/>
    </xf>
    <xf numFmtId="4" fontId="4" fillId="5" borderId="1" xfId="4" applyNumberFormat="1" applyFont="1" applyFill="1" applyBorder="1" applyAlignment="1">
      <alignment horizontal="center" vertical="top"/>
    </xf>
    <xf numFmtId="0" fontId="9" fillId="5" borderId="0" xfId="4" applyNumberFormat="1" applyFont="1" applyFill="1" applyBorder="1" applyAlignment="1">
      <alignment horizontal="left" vertical="top"/>
    </xf>
    <xf numFmtId="0" fontId="0" fillId="5" borderId="0" xfId="0" applyFill="1"/>
    <xf numFmtId="0" fontId="10" fillId="6" borderId="4" xfId="5" applyNumberFormat="1" applyFont="1" applyFill="1" applyBorder="1" applyAlignment="1">
      <alignment vertical="top" wrapText="1"/>
    </xf>
    <xf numFmtId="0" fontId="11" fillId="7" borderId="8" xfId="5" applyNumberFormat="1" applyFont="1" applyFill="1" applyBorder="1" applyAlignment="1">
      <alignment vertical="top" wrapText="1"/>
    </xf>
    <xf numFmtId="4" fontId="11" fillId="7" borderId="8" xfId="5" applyNumberFormat="1" applyFont="1" applyFill="1" applyBorder="1" applyAlignment="1">
      <alignment horizontal="right" vertical="top"/>
    </xf>
    <xf numFmtId="0" fontId="11" fillId="7" borderId="8" xfId="5" applyNumberFormat="1" applyFont="1" applyFill="1" applyBorder="1" applyAlignment="1">
      <alignment horizontal="right" vertical="top"/>
    </xf>
    <xf numFmtId="0" fontId="11" fillId="8" borderId="8" xfId="5" applyNumberFormat="1" applyFont="1" applyFill="1" applyBorder="1" applyAlignment="1">
      <alignment vertical="top" wrapText="1" indent="2"/>
    </xf>
    <xf numFmtId="4" fontId="11" fillId="8" borderId="8" xfId="5" applyNumberFormat="1" applyFont="1" applyFill="1" applyBorder="1" applyAlignment="1">
      <alignment horizontal="right" vertical="top"/>
    </xf>
    <xf numFmtId="0" fontId="11" fillId="8" borderId="8" xfId="5" applyNumberFormat="1" applyFont="1" applyFill="1" applyBorder="1" applyAlignment="1">
      <alignment horizontal="right" vertical="top"/>
    </xf>
    <xf numFmtId="0" fontId="2" fillId="0" borderId="8" xfId="5" applyNumberFormat="1" applyFont="1" applyBorder="1" applyAlignment="1">
      <alignment vertical="top" wrapText="1" indent="4"/>
    </xf>
    <xf numFmtId="4" fontId="2" fillId="0" borderId="8" xfId="5" applyNumberFormat="1" applyFont="1" applyBorder="1" applyAlignment="1">
      <alignment horizontal="right" vertical="top"/>
    </xf>
    <xf numFmtId="3" fontId="2" fillId="0" borderId="8" xfId="5" applyNumberFormat="1" applyFont="1" applyBorder="1" applyAlignment="1">
      <alignment horizontal="right" vertical="top"/>
    </xf>
    <xf numFmtId="0" fontId="2" fillId="0" borderId="8" xfId="5" applyNumberFormat="1" applyFont="1" applyBorder="1" applyAlignment="1">
      <alignment horizontal="right" vertical="top"/>
    </xf>
    <xf numFmtId="164" fontId="2" fillId="0" borderId="8" xfId="5" applyNumberFormat="1" applyFont="1" applyBorder="1" applyAlignment="1">
      <alignment horizontal="right" vertical="top"/>
    </xf>
    <xf numFmtId="164" fontId="11" fillId="8" borderId="8" xfId="5" applyNumberFormat="1" applyFont="1" applyFill="1" applyBorder="1" applyAlignment="1">
      <alignment horizontal="right" vertical="top"/>
    </xf>
    <xf numFmtId="164" fontId="11" fillId="7" borderId="8" xfId="5" applyNumberFormat="1" applyFont="1" applyFill="1" applyBorder="1" applyAlignment="1">
      <alignment horizontal="right" vertical="top"/>
    </xf>
    <xf numFmtId="2" fontId="2" fillId="0" borderId="8" xfId="5" applyNumberFormat="1" applyFont="1" applyBorder="1" applyAlignment="1">
      <alignment horizontal="right" vertical="top"/>
    </xf>
    <xf numFmtId="165" fontId="2" fillId="0" borderId="8" xfId="5" applyNumberFormat="1" applyFont="1" applyBorder="1" applyAlignment="1">
      <alignment horizontal="right" vertical="top"/>
    </xf>
    <xf numFmtId="165" fontId="11" fillId="8" borderId="8" xfId="5" applyNumberFormat="1" applyFont="1" applyFill="1" applyBorder="1" applyAlignment="1">
      <alignment horizontal="right" vertical="top"/>
    </xf>
    <xf numFmtId="0" fontId="10" fillId="9" borderId="4" xfId="5" applyNumberFormat="1" applyFont="1" applyFill="1" applyBorder="1" applyAlignment="1">
      <alignment vertical="top"/>
    </xf>
    <xf numFmtId="4" fontId="10" fillId="9" borderId="4" xfId="5" applyNumberFormat="1" applyFont="1" applyFill="1" applyBorder="1" applyAlignment="1">
      <alignment horizontal="right" vertical="top"/>
    </xf>
    <xf numFmtId="0" fontId="4" fillId="4" borderId="3" xfId="4" applyNumberFormat="1" applyFont="1" applyFill="1" applyBorder="1" applyAlignment="1">
      <alignment horizontal="left" vertical="top"/>
    </xf>
    <xf numFmtId="4" fontId="4" fillId="4" borderId="3" xfId="4" applyNumberFormat="1" applyFont="1" applyFill="1" applyBorder="1" applyAlignment="1">
      <alignment horizontal="center" vertical="top"/>
    </xf>
    <xf numFmtId="4" fontId="1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" fontId="2" fillId="3" borderId="8" xfId="5" applyNumberFormat="1" applyFont="1" applyFill="1" applyBorder="1" applyAlignment="1">
      <alignment horizontal="right" vertical="top"/>
    </xf>
    <xf numFmtId="4" fontId="11" fillId="3" borderId="8" xfId="5" applyNumberFormat="1" applyFont="1" applyFill="1" applyBorder="1" applyAlignment="1">
      <alignment horizontal="right" vertical="top"/>
    </xf>
    <xf numFmtId="0" fontId="3" fillId="2" borderId="1" xfId="2" applyNumberFormat="1" applyFont="1" applyFill="1" applyBorder="1" applyAlignment="1">
      <alignment horizontal="left" vertical="top"/>
    </xf>
    <xf numFmtId="4" fontId="0" fillId="3" borderId="0" xfId="0" applyNumberFormat="1" applyFill="1" applyAlignment="1">
      <alignment horizontal="center" vertical="center"/>
    </xf>
    <xf numFmtId="0" fontId="2" fillId="4" borderId="8" xfId="5" applyNumberFormat="1" applyFont="1" applyFill="1" applyBorder="1" applyAlignment="1">
      <alignment vertical="top" wrapText="1" indent="4"/>
    </xf>
    <xf numFmtId="4" fontId="2" fillId="4" borderId="8" xfId="5" applyNumberFormat="1" applyFont="1" applyFill="1" applyBorder="1" applyAlignment="1">
      <alignment horizontal="right" vertical="top"/>
    </xf>
    <xf numFmtId="4" fontId="0" fillId="4" borderId="0" xfId="0" applyNumberFormat="1" applyFill="1" applyAlignment="1">
      <alignment horizontal="center" vertical="center"/>
    </xf>
    <xf numFmtId="0" fontId="2" fillId="4" borderId="8" xfId="5" applyNumberFormat="1" applyFont="1" applyFill="1" applyBorder="1" applyAlignment="1">
      <alignment horizontal="right" vertical="top"/>
    </xf>
    <xf numFmtId="0" fontId="13" fillId="2" borderId="1" xfId="4" applyNumberFormat="1" applyFont="1" applyFill="1" applyBorder="1" applyAlignment="1">
      <alignment horizontal="left" vertical="top"/>
    </xf>
    <xf numFmtId="4" fontId="2" fillId="0" borderId="9" xfId="4" applyNumberFormat="1" applyFont="1" applyBorder="1" applyAlignment="1">
      <alignment horizontal="right" vertical="top" wrapText="1"/>
    </xf>
    <xf numFmtId="0" fontId="10" fillId="6" borderId="5" xfId="5" applyNumberFormat="1" applyFont="1" applyFill="1" applyBorder="1" applyAlignment="1">
      <alignment vertical="top" wrapText="1"/>
    </xf>
    <xf numFmtId="0" fontId="10" fillId="6" borderId="6" xfId="5" applyNumberFormat="1" applyFont="1" applyFill="1" applyBorder="1" applyAlignment="1">
      <alignment vertical="top" wrapText="1"/>
    </xf>
    <xf numFmtId="0" fontId="10" fillId="6" borderId="7" xfId="5" applyNumberFormat="1" applyFont="1" applyFill="1" applyBorder="1" applyAlignment="1">
      <alignment vertical="top" wrapText="1"/>
    </xf>
    <xf numFmtId="0" fontId="13" fillId="2" borderId="1" xfId="3" applyNumberFormat="1" applyFont="1" applyFill="1" applyBorder="1" applyAlignment="1">
      <alignment horizontal="left" vertical="top"/>
    </xf>
  </cellXfs>
  <cellStyles count="6">
    <cellStyle name="Обычный" xfId="0" builtinId="0"/>
    <cellStyle name="Обычный_Акты заказчика" xfId="3"/>
    <cellStyle name="Обычный_ВаловаяПрибыль" xfId="5"/>
    <cellStyle name="Обычный_Лист1" xfId="1"/>
    <cellStyle name="Обычный_Списание стройматериалов" xfId="4"/>
    <cellStyle name="Обычный_Услуги_сторонних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31" zoomScaleNormal="100" workbookViewId="0">
      <selection activeCell="G36" sqref="G36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39.6640625" bestFit="1" customWidth="1"/>
    <col min="4" max="4" width="12.33203125" bestFit="1" customWidth="1"/>
    <col min="5" max="5" width="7.6640625" bestFit="1" customWidth="1"/>
    <col min="6" max="6" width="22.88671875" bestFit="1" customWidth="1"/>
    <col min="7" max="7" width="16.6640625" bestFit="1" customWidth="1"/>
    <col min="8" max="8" width="14.5546875" bestFit="1" customWidth="1"/>
    <col min="9" max="9" width="49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3">
        <v>799931.26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2" t="s">
        <v>18</v>
      </c>
      <c r="C3" s="2" t="s">
        <v>19</v>
      </c>
      <c r="D3" s="3">
        <v>1306642.6599999999</v>
      </c>
      <c r="E3" s="2" t="s">
        <v>12</v>
      </c>
      <c r="F3" s="2" t="s">
        <v>20</v>
      </c>
      <c r="G3" s="2" t="s">
        <v>14</v>
      </c>
      <c r="H3" s="2" t="s">
        <v>15</v>
      </c>
      <c r="I3" s="2" t="s">
        <v>21</v>
      </c>
    </row>
    <row r="4" spans="1:9" x14ac:dyDescent="0.3">
      <c r="A4" s="2" t="s">
        <v>17</v>
      </c>
      <c r="B4" s="2" t="s">
        <v>22</v>
      </c>
      <c r="C4" s="2" t="s">
        <v>19</v>
      </c>
      <c r="D4" s="3">
        <v>730363.62</v>
      </c>
      <c r="E4" s="2" t="s">
        <v>12</v>
      </c>
      <c r="F4" s="2" t="s">
        <v>20</v>
      </c>
      <c r="G4" s="2" t="s">
        <v>14</v>
      </c>
      <c r="H4" s="2" t="s">
        <v>15</v>
      </c>
      <c r="I4" s="2" t="s">
        <v>23</v>
      </c>
    </row>
    <row r="5" spans="1:9" x14ac:dyDescent="0.3">
      <c r="A5" s="2" t="s">
        <v>17</v>
      </c>
      <c r="B5" s="2" t="s">
        <v>24</v>
      </c>
      <c r="C5" s="2" t="s">
        <v>19</v>
      </c>
      <c r="D5" s="3">
        <v>236200.08</v>
      </c>
      <c r="E5" s="2" t="s">
        <v>12</v>
      </c>
      <c r="F5" s="2" t="s">
        <v>20</v>
      </c>
      <c r="G5" s="2" t="s">
        <v>14</v>
      </c>
      <c r="H5" s="2" t="s">
        <v>15</v>
      </c>
      <c r="I5" s="2" t="s">
        <v>25</v>
      </c>
    </row>
    <row r="6" spans="1:9" x14ac:dyDescent="0.3">
      <c r="A6" s="2" t="s">
        <v>26</v>
      </c>
      <c r="B6" s="2" t="s">
        <v>27</v>
      </c>
      <c r="C6" s="2" t="s">
        <v>11</v>
      </c>
      <c r="D6" s="3">
        <v>624835.32999999996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28</v>
      </c>
    </row>
    <row r="7" spans="1:9" x14ac:dyDescent="0.3">
      <c r="A7" s="2" t="s">
        <v>29</v>
      </c>
      <c r="B7" s="2" t="s">
        <v>30</v>
      </c>
      <c r="C7" s="2" t="s">
        <v>19</v>
      </c>
      <c r="D7" s="3">
        <v>347357.4</v>
      </c>
      <c r="E7" s="2" t="s">
        <v>12</v>
      </c>
      <c r="F7" s="2" t="s">
        <v>20</v>
      </c>
      <c r="G7" s="2" t="s">
        <v>14</v>
      </c>
      <c r="H7" s="2" t="s">
        <v>15</v>
      </c>
      <c r="I7" s="2" t="s">
        <v>31</v>
      </c>
    </row>
    <row r="8" spans="1:9" x14ac:dyDescent="0.3">
      <c r="A8" s="2" t="s">
        <v>32</v>
      </c>
      <c r="B8" s="2" t="s">
        <v>33</v>
      </c>
      <c r="C8" s="2" t="s">
        <v>19</v>
      </c>
      <c r="D8" s="3">
        <v>829463.93</v>
      </c>
      <c r="E8" s="2" t="s">
        <v>12</v>
      </c>
      <c r="F8" s="2" t="s">
        <v>20</v>
      </c>
      <c r="G8" s="2" t="s">
        <v>14</v>
      </c>
      <c r="H8" s="2" t="s">
        <v>15</v>
      </c>
      <c r="I8" s="2" t="s">
        <v>34</v>
      </c>
    </row>
    <row r="9" spans="1:9" x14ac:dyDescent="0.3">
      <c r="A9" s="2" t="s">
        <v>35</v>
      </c>
      <c r="B9" s="2" t="s">
        <v>36</v>
      </c>
      <c r="C9" s="2" t="s">
        <v>19</v>
      </c>
      <c r="D9" s="3">
        <v>211209.84</v>
      </c>
      <c r="E9" s="2" t="s">
        <v>12</v>
      </c>
      <c r="F9" s="2" t="s">
        <v>20</v>
      </c>
      <c r="G9" s="2" t="s">
        <v>14</v>
      </c>
      <c r="H9" s="2" t="s">
        <v>15</v>
      </c>
      <c r="I9" s="2" t="s">
        <v>37</v>
      </c>
    </row>
    <row r="10" spans="1:9" x14ac:dyDescent="0.3">
      <c r="A10" s="2" t="s">
        <v>38</v>
      </c>
      <c r="B10" s="2" t="s">
        <v>39</v>
      </c>
      <c r="C10" s="2" t="s">
        <v>11</v>
      </c>
      <c r="D10" s="3">
        <v>454335.91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40</v>
      </c>
    </row>
    <row r="11" spans="1:9" x14ac:dyDescent="0.3">
      <c r="A11" s="2" t="s">
        <v>41</v>
      </c>
      <c r="B11" s="2" t="s">
        <v>42</v>
      </c>
      <c r="C11" s="2" t="s">
        <v>19</v>
      </c>
      <c r="D11" s="3">
        <v>228576.73</v>
      </c>
      <c r="E11" s="2" t="s">
        <v>12</v>
      </c>
      <c r="F11" s="2" t="s">
        <v>20</v>
      </c>
      <c r="G11" s="2" t="s">
        <v>14</v>
      </c>
      <c r="H11" s="2" t="s">
        <v>15</v>
      </c>
      <c r="I11" s="2" t="s">
        <v>43</v>
      </c>
    </row>
    <row r="12" spans="1:9" x14ac:dyDescent="0.3">
      <c r="A12" s="2" t="s">
        <v>41</v>
      </c>
      <c r="B12" s="2" t="s">
        <v>44</v>
      </c>
      <c r="C12" s="2" t="s">
        <v>19</v>
      </c>
      <c r="D12" s="3">
        <v>80944.5</v>
      </c>
      <c r="E12" s="2" t="s">
        <v>12</v>
      </c>
      <c r="F12" s="2" t="s">
        <v>20</v>
      </c>
      <c r="G12" s="2" t="s">
        <v>14</v>
      </c>
      <c r="H12" s="2" t="s">
        <v>15</v>
      </c>
      <c r="I12" s="2" t="s">
        <v>45</v>
      </c>
    </row>
    <row r="13" spans="1:9" x14ac:dyDescent="0.3">
      <c r="A13" s="2" t="s">
        <v>46</v>
      </c>
      <c r="B13" s="2" t="s">
        <v>47</v>
      </c>
      <c r="C13" s="2" t="s">
        <v>19</v>
      </c>
      <c r="D13" s="3">
        <v>47541.23</v>
      </c>
      <c r="E13" s="2" t="s">
        <v>12</v>
      </c>
      <c r="F13" s="2" t="s">
        <v>20</v>
      </c>
      <c r="G13" s="2" t="s">
        <v>14</v>
      </c>
      <c r="H13" s="2" t="s">
        <v>15</v>
      </c>
      <c r="I13" s="2" t="s">
        <v>21</v>
      </c>
    </row>
    <row r="14" spans="1:9" x14ac:dyDescent="0.3">
      <c r="A14" s="2" t="s">
        <v>48</v>
      </c>
      <c r="B14" s="2" t="s">
        <v>49</v>
      </c>
      <c r="C14" s="2" t="s">
        <v>50</v>
      </c>
      <c r="D14" s="3">
        <v>413721.95</v>
      </c>
      <c r="E14" s="2" t="s">
        <v>12</v>
      </c>
      <c r="F14" s="2" t="s">
        <v>51</v>
      </c>
      <c r="G14" s="2" t="s">
        <v>14</v>
      </c>
      <c r="H14" s="2" t="s">
        <v>15</v>
      </c>
      <c r="I14" s="2" t="s">
        <v>52</v>
      </c>
    </row>
    <row r="15" spans="1:9" x14ac:dyDescent="0.3">
      <c r="A15" s="2" t="s">
        <v>53</v>
      </c>
      <c r="B15" s="2" t="s">
        <v>54</v>
      </c>
      <c r="C15" s="2" t="s">
        <v>50</v>
      </c>
      <c r="D15" s="3">
        <v>1036264.55</v>
      </c>
      <c r="E15" s="2" t="s">
        <v>12</v>
      </c>
      <c r="F15" s="2" t="s">
        <v>51</v>
      </c>
      <c r="G15" s="2" t="s">
        <v>14</v>
      </c>
      <c r="H15" s="2" t="s">
        <v>15</v>
      </c>
      <c r="I15" s="2" t="s">
        <v>55</v>
      </c>
    </row>
    <row r="16" spans="1:9" x14ac:dyDescent="0.3">
      <c r="A16" s="2" t="s">
        <v>56</v>
      </c>
      <c r="B16" s="2" t="s">
        <v>57</v>
      </c>
      <c r="C16" s="2" t="s">
        <v>50</v>
      </c>
      <c r="D16" s="3">
        <v>1138171.1599999999</v>
      </c>
      <c r="E16" s="2" t="s">
        <v>12</v>
      </c>
      <c r="F16" s="2" t="s">
        <v>51</v>
      </c>
      <c r="G16" s="2" t="s">
        <v>14</v>
      </c>
      <c r="H16" s="2" t="s">
        <v>15</v>
      </c>
      <c r="I16" s="2" t="s">
        <v>58</v>
      </c>
    </row>
    <row r="17" spans="1:9" x14ac:dyDescent="0.3">
      <c r="A17" s="2" t="s">
        <v>59</v>
      </c>
      <c r="B17" s="2" t="s">
        <v>60</v>
      </c>
      <c r="C17" s="2" t="s">
        <v>50</v>
      </c>
      <c r="D17" s="3">
        <v>200009.66</v>
      </c>
      <c r="E17" s="2" t="s">
        <v>12</v>
      </c>
      <c r="F17" s="2" t="s">
        <v>51</v>
      </c>
      <c r="G17" s="2" t="s">
        <v>14</v>
      </c>
      <c r="H17" s="2" t="s">
        <v>15</v>
      </c>
      <c r="I17" s="2" t="s">
        <v>61</v>
      </c>
    </row>
    <row r="18" spans="1:9" x14ac:dyDescent="0.3">
      <c r="A18" s="2" t="s">
        <v>62</v>
      </c>
      <c r="B18" s="2" t="s">
        <v>63</v>
      </c>
      <c r="C18" s="2" t="s">
        <v>50</v>
      </c>
      <c r="D18" s="3">
        <v>229923.79</v>
      </c>
      <c r="E18" s="2" t="s">
        <v>12</v>
      </c>
      <c r="F18" s="2" t="s">
        <v>51</v>
      </c>
      <c r="G18" s="2" t="s">
        <v>14</v>
      </c>
      <c r="H18" s="2" t="s">
        <v>15</v>
      </c>
      <c r="I18" s="2" t="s">
        <v>64</v>
      </c>
    </row>
    <row r="19" spans="1:9" x14ac:dyDescent="0.3">
      <c r="A19" s="2" t="s">
        <v>65</v>
      </c>
      <c r="B19" s="2" t="s">
        <v>66</v>
      </c>
      <c r="C19" s="2" t="s">
        <v>11</v>
      </c>
      <c r="D19" s="3">
        <v>297176.92</v>
      </c>
      <c r="E19" s="2" t="s">
        <v>12</v>
      </c>
      <c r="F19" s="2" t="s">
        <v>13</v>
      </c>
      <c r="G19" s="2" t="s">
        <v>14</v>
      </c>
      <c r="H19" s="2" t="s">
        <v>15</v>
      </c>
      <c r="I19" s="2" t="s">
        <v>67</v>
      </c>
    </row>
    <row r="20" spans="1:9" x14ac:dyDescent="0.3">
      <c r="A20" s="2" t="s">
        <v>68</v>
      </c>
      <c r="B20" s="2" t="s">
        <v>69</v>
      </c>
      <c r="C20" s="2" t="s">
        <v>70</v>
      </c>
      <c r="D20" s="3">
        <v>199719.5</v>
      </c>
      <c r="E20" s="2" t="s">
        <v>12</v>
      </c>
      <c r="F20" s="2" t="s">
        <v>71</v>
      </c>
      <c r="G20" s="2" t="s">
        <v>14</v>
      </c>
      <c r="H20" s="2" t="s">
        <v>15</v>
      </c>
      <c r="I20" s="2" t="s">
        <v>72</v>
      </c>
    </row>
    <row r="21" spans="1:9" x14ac:dyDescent="0.3">
      <c r="A21" s="2" t="s">
        <v>73</v>
      </c>
      <c r="B21" s="2" t="s">
        <v>74</v>
      </c>
      <c r="C21" s="2" t="s">
        <v>70</v>
      </c>
      <c r="D21" s="3">
        <v>2012978.39</v>
      </c>
      <c r="E21" s="2" t="s">
        <v>12</v>
      </c>
      <c r="F21" s="2" t="s">
        <v>71</v>
      </c>
      <c r="G21" s="2" t="s">
        <v>14</v>
      </c>
      <c r="H21" s="2" t="s">
        <v>15</v>
      </c>
      <c r="I21" s="2" t="s">
        <v>75</v>
      </c>
    </row>
    <row r="22" spans="1:9" x14ac:dyDescent="0.3">
      <c r="A22" s="2" t="s">
        <v>76</v>
      </c>
      <c r="B22" s="2" t="s">
        <v>77</v>
      </c>
      <c r="C22" s="2" t="s">
        <v>70</v>
      </c>
      <c r="D22" s="3">
        <v>64435.85</v>
      </c>
      <c r="E22" s="2" t="s">
        <v>12</v>
      </c>
      <c r="F22" s="2" t="s">
        <v>71</v>
      </c>
      <c r="G22" s="2" t="s">
        <v>14</v>
      </c>
      <c r="H22" s="2" t="s">
        <v>15</v>
      </c>
      <c r="I22" s="2" t="s">
        <v>78</v>
      </c>
    </row>
    <row r="23" spans="1:9" x14ac:dyDescent="0.3">
      <c r="A23" s="2" t="s">
        <v>79</v>
      </c>
      <c r="B23" s="2" t="s">
        <v>80</v>
      </c>
      <c r="C23" s="2" t="s">
        <v>70</v>
      </c>
      <c r="D23" s="3">
        <v>122111.82</v>
      </c>
      <c r="E23" s="2" t="s">
        <v>12</v>
      </c>
      <c r="F23" s="2" t="s">
        <v>71</v>
      </c>
      <c r="G23" s="2" t="s">
        <v>14</v>
      </c>
      <c r="H23" s="2" t="s">
        <v>15</v>
      </c>
      <c r="I23" s="2" t="s">
        <v>81</v>
      </c>
    </row>
    <row r="24" spans="1:9" x14ac:dyDescent="0.3">
      <c r="A24" s="2" t="s">
        <v>82</v>
      </c>
      <c r="B24" s="2" t="s">
        <v>83</v>
      </c>
      <c r="C24" s="2" t="s">
        <v>70</v>
      </c>
      <c r="D24" s="3">
        <v>203834.09</v>
      </c>
      <c r="E24" s="2" t="s">
        <v>12</v>
      </c>
      <c r="F24" s="2" t="s">
        <v>71</v>
      </c>
      <c r="G24" s="2" t="s">
        <v>14</v>
      </c>
      <c r="H24" s="2" t="s">
        <v>15</v>
      </c>
      <c r="I24" s="2" t="s">
        <v>84</v>
      </c>
    </row>
    <row r="25" spans="1:9" x14ac:dyDescent="0.3">
      <c r="A25" s="2" t="s">
        <v>85</v>
      </c>
      <c r="B25" s="2" t="s">
        <v>86</v>
      </c>
      <c r="C25" s="2" t="s">
        <v>70</v>
      </c>
      <c r="D25" s="3">
        <v>484585.44</v>
      </c>
      <c r="E25" s="2" t="s">
        <v>12</v>
      </c>
      <c r="F25" s="2" t="s">
        <v>71</v>
      </c>
      <c r="G25" s="2" t="s">
        <v>14</v>
      </c>
      <c r="H25" s="2" t="s">
        <v>15</v>
      </c>
      <c r="I25" s="2" t="s">
        <v>87</v>
      </c>
    </row>
    <row r="26" spans="1:9" x14ac:dyDescent="0.3">
      <c r="A26" s="2" t="s">
        <v>88</v>
      </c>
      <c r="B26" s="2" t="s">
        <v>89</v>
      </c>
      <c r="C26" s="2" t="s">
        <v>90</v>
      </c>
      <c r="D26" s="3">
        <v>254891.88</v>
      </c>
      <c r="E26" s="2" t="s">
        <v>12</v>
      </c>
      <c r="F26" s="2" t="s">
        <v>91</v>
      </c>
      <c r="G26" s="2" t="s">
        <v>14</v>
      </c>
      <c r="H26" s="2" t="s">
        <v>15</v>
      </c>
      <c r="I26" s="2" t="s">
        <v>92</v>
      </c>
    </row>
    <row r="27" spans="1:9" x14ac:dyDescent="0.3">
      <c r="A27" s="2" t="s">
        <v>93</v>
      </c>
      <c r="B27" s="2" t="s">
        <v>94</v>
      </c>
      <c r="C27" s="2" t="s">
        <v>90</v>
      </c>
      <c r="D27" s="3">
        <v>4337508.26</v>
      </c>
      <c r="E27" s="2" t="s">
        <v>12</v>
      </c>
      <c r="F27" s="2" t="s">
        <v>91</v>
      </c>
      <c r="G27" s="2" t="s">
        <v>14</v>
      </c>
      <c r="H27" s="2" t="s">
        <v>15</v>
      </c>
      <c r="I27" s="2" t="s">
        <v>95</v>
      </c>
    </row>
    <row r="28" spans="1:9" x14ac:dyDescent="0.3">
      <c r="A28" s="2" t="s">
        <v>96</v>
      </c>
      <c r="B28" s="2" t="s">
        <v>97</v>
      </c>
      <c r="C28" s="2" t="s">
        <v>90</v>
      </c>
      <c r="D28" s="3">
        <v>385970.59</v>
      </c>
      <c r="E28" s="2" t="s">
        <v>12</v>
      </c>
      <c r="F28" s="2" t="s">
        <v>91</v>
      </c>
      <c r="G28" s="2" t="s">
        <v>14</v>
      </c>
      <c r="H28" s="2" t="s">
        <v>15</v>
      </c>
      <c r="I28" s="2" t="s">
        <v>98</v>
      </c>
    </row>
    <row r="29" spans="1:9" x14ac:dyDescent="0.3">
      <c r="A29" s="2" t="s">
        <v>99</v>
      </c>
      <c r="B29" s="2" t="s">
        <v>100</v>
      </c>
      <c r="C29" s="2" t="s">
        <v>90</v>
      </c>
      <c r="D29" s="3">
        <v>413678.99</v>
      </c>
      <c r="E29" s="2" t="s">
        <v>12</v>
      </c>
      <c r="F29" s="2" t="s">
        <v>91</v>
      </c>
      <c r="G29" s="2" t="s">
        <v>14</v>
      </c>
      <c r="H29" s="2" t="s">
        <v>15</v>
      </c>
      <c r="I29" s="2" t="s">
        <v>101</v>
      </c>
    </row>
    <row r="30" spans="1:9" x14ac:dyDescent="0.3">
      <c r="D30" s="6">
        <f>SUM(D2:D29)</f>
        <v>17692385.329999998</v>
      </c>
    </row>
    <row r="31" spans="1:9" x14ac:dyDescent="0.3">
      <c r="D31" s="4">
        <f>D30-D37</f>
        <v>0</v>
      </c>
    </row>
    <row r="32" spans="1:9" x14ac:dyDescent="0.3">
      <c r="C32" t="s">
        <v>102</v>
      </c>
      <c r="D32" s="13">
        <f>D14+D15+D16+D17+D18</f>
        <v>3018091.1100000003</v>
      </c>
    </row>
    <row r="33" spans="1:10" x14ac:dyDescent="0.3">
      <c r="C33" t="s">
        <v>103</v>
      </c>
      <c r="D33" s="13">
        <f>D26+D27+D28+D29</f>
        <v>5392049.7199999997</v>
      </c>
    </row>
    <row r="34" spans="1:10" x14ac:dyDescent="0.3">
      <c r="C34" t="s">
        <v>104</v>
      </c>
      <c r="D34" s="13">
        <f>D2+D6+D10+D19</f>
        <v>2176279.42</v>
      </c>
    </row>
    <row r="35" spans="1:10" x14ac:dyDescent="0.3">
      <c r="C35" t="s">
        <v>105</v>
      </c>
      <c r="D35" s="13">
        <f>D3+D4+D5+D7+D8+D9+D11+D12+D13</f>
        <v>4018299.9899999998</v>
      </c>
    </row>
    <row r="36" spans="1:10" x14ac:dyDescent="0.3">
      <c r="C36" t="s">
        <v>106</v>
      </c>
      <c r="D36" s="13">
        <f>D20+D21+D22+D23+D24+D25</f>
        <v>3087665.0899999994</v>
      </c>
      <c r="F36" s="17">
        <f>D36+D55</f>
        <v>4000662.7099999995</v>
      </c>
      <c r="G36" t="s">
        <v>484</v>
      </c>
    </row>
    <row r="37" spans="1:10" x14ac:dyDescent="0.3">
      <c r="C37" s="5" t="s">
        <v>107</v>
      </c>
      <c r="D37" s="6">
        <f>SUBTOTAL(9,D32:D36)</f>
        <v>17692385.329999998</v>
      </c>
    </row>
    <row r="40" spans="1:10" x14ac:dyDescent="0.3">
      <c r="A40" s="10" t="s">
        <v>0</v>
      </c>
      <c r="B40" s="10" t="s">
        <v>1</v>
      </c>
      <c r="C40" s="10" t="s">
        <v>2</v>
      </c>
      <c r="D40" s="10" t="s">
        <v>3</v>
      </c>
      <c r="E40" s="10" t="s">
        <v>4</v>
      </c>
      <c r="F40" s="10" t="s">
        <v>5</v>
      </c>
      <c r="G40" s="10" t="s">
        <v>6</v>
      </c>
      <c r="H40" s="10" t="s">
        <v>7</v>
      </c>
      <c r="I40" s="10" t="s">
        <v>8</v>
      </c>
    </row>
    <row r="41" spans="1:10" x14ac:dyDescent="0.3">
      <c r="A41" s="11" t="s">
        <v>158</v>
      </c>
      <c r="B41" s="11" t="s">
        <v>159</v>
      </c>
      <c r="C41" s="11" t="s">
        <v>160</v>
      </c>
      <c r="D41" s="12">
        <v>74844.2</v>
      </c>
      <c r="E41" s="11" t="s">
        <v>12</v>
      </c>
      <c r="F41" s="11" t="s">
        <v>161</v>
      </c>
      <c r="G41" s="11" t="s">
        <v>14</v>
      </c>
      <c r="H41" s="11" t="s">
        <v>15</v>
      </c>
      <c r="I41" s="11" t="s">
        <v>162</v>
      </c>
      <c r="J41" t="s">
        <v>238</v>
      </c>
    </row>
    <row r="42" spans="1:10" x14ac:dyDescent="0.3">
      <c r="A42" s="11" t="s">
        <v>163</v>
      </c>
      <c r="B42" s="11" t="s">
        <v>164</v>
      </c>
      <c r="C42" s="11" t="s">
        <v>160</v>
      </c>
      <c r="D42" s="12">
        <v>585276.81999999995</v>
      </c>
      <c r="E42" s="11" t="s">
        <v>12</v>
      </c>
      <c r="F42" s="11" t="s">
        <v>161</v>
      </c>
      <c r="G42" s="11" t="s">
        <v>14</v>
      </c>
      <c r="H42" s="11" t="s">
        <v>15</v>
      </c>
      <c r="I42" s="24" t="s">
        <v>165</v>
      </c>
    </row>
    <row r="43" spans="1:10" x14ac:dyDescent="0.3">
      <c r="A43" s="11" t="s">
        <v>166</v>
      </c>
      <c r="B43" s="11" t="s">
        <v>167</v>
      </c>
      <c r="C43" s="11" t="s">
        <v>160</v>
      </c>
      <c r="D43" s="12">
        <v>585218.81999999995</v>
      </c>
      <c r="E43" s="11" t="s">
        <v>12</v>
      </c>
      <c r="F43" s="11" t="s">
        <v>161</v>
      </c>
      <c r="G43" s="11" t="s">
        <v>14</v>
      </c>
      <c r="H43" s="11" t="s">
        <v>15</v>
      </c>
      <c r="I43" s="24" t="s">
        <v>168</v>
      </c>
    </row>
    <row r="44" spans="1:10" x14ac:dyDescent="0.3">
      <c r="A44" s="11" t="s">
        <v>169</v>
      </c>
      <c r="B44" s="11" t="s">
        <v>170</v>
      </c>
      <c r="C44" s="11" t="s">
        <v>160</v>
      </c>
      <c r="D44" s="12">
        <v>70000</v>
      </c>
      <c r="E44" s="11" t="s">
        <v>12</v>
      </c>
      <c r="F44" s="11" t="s">
        <v>161</v>
      </c>
      <c r="G44" s="11" t="s">
        <v>14</v>
      </c>
      <c r="H44" s="11" t="s">
        <v>15</v>
      </c>
      <c r="I44" s="11" t="s">
        <v>171</v>
      </c>
      <c r="J44" t="s">
        <v>238</v>
      </c>
    </row>
    <row r="45" spans="1:10" x14ac:dyDescent="0.3">
      <c r="A45" s="11" t="s">
        <v>172</v>
      </c>
      <c r="B45" s="11" t="s">
        <v>173</v>
      </c>
      <c r="C45" s="11" t="s">
        <v>160</v>
      </c>
      <c r="D45" s="12">
        <v>92115.83</v>
      </c>
      <c r="E45" s="11" t="s">
        <v>12</v>
      </c>
      <c r="F45" s="11" t="s">
        <v>161</v>
      </c>
      <c r="G45" s="11" t="s">
        <v>14</v>
      </c>
      <c r="H45" s="11" t="s">
        <v>15</v>
      </c>
      <c r="I45" s="11" t="s">
        <v>174</v>
      </c>
      <c r="J45" t="s">
        <v>238</v>
      </c>
    </row>
    <row r="46" spans="1:10" x14ac:dyDescent="0.3">
      <c r="A46" s="11" t="s">
        <v>175</v>
      </c>
      <c r="B46" s="11" t="s">
        <v>176</v>
      </c>
      <c r="C46" s="11" t="s">
        <v>160</v>
      </c>
      <c r="D46" s="12">
        <v>69692.789999999994</v>
      </c>
      <c r="E46" s="11" t="s">
        <v>12</v>
      </c>
      <c r="F46" s="11" t="s">
        <v>161</v>
      </c>
      <c r="G46" s="11" t="s">
        <v>14</v>
      </c>
      <c r="H46" s="11" t="s">
        <v>15</v>
      </c>
      <c r="I46" s="11" t="s">
        <v>177</v>
      </c>
      <c r="J46" t="s">
        <v>238</v>
      </c>
    </row>
    <row r="47" spans="1:10" x14ac:dyDescent="0.3">
      <c r="A47" s="11" t="s">
        <v>178</v>
      </c>
      <c r="B47" s="11" t="s">
        <v>179</v>
      </c>
      <c r="C47" s="11" t="s">
        <v>160</v>
      </c>
      <c r="D47" s="12">
        <v>220420.19</v>
      </c>
      <c r="E47" s="11" t="s">
        <v>12</v>
      </c>
      <c r="F47" s="11" t="s">
        <v>161</v>
      </c>
      <c r="G47" s="11" t="s">
        <v>14</v>
      </c>
      <c r="H47" s="11" t="s">
        <v>15</v>
      </c>
      <c r="I47" s="11" t="s">
        <v>180</v>
      </c>
      <c r="J47" t="s">
        <v>238</v>
      </c>
    </row>
    <row r="48" spans="1:10" x14ac:dyDescent="0.3">
      <c r="A48" s="11" t="s">
        <v>181</v>
      </c>
      <c r="B48" s="11" t="s">
        <v>182</v>
      </c>
      <c r="C48" s="11" t="s">
        <v>160</v>
      </c>
      <c r="D48" s="12">
        <v>19075.72</v>
      </c>
      <c r="E48" s="11" t="s">
        <v>12</v>
      </c>
      <c r="F48" s="11" t="s">
        <v>161</v>
      </c>
      <c r="G48" s="11" t="s">
        <v>14</v>
      </c>
      <c r="H48" s="11" t="s">
        <v>15</v>
      </c>
      <c r="I48" s="11" t="s">
        <v>183</v>
      </c>
      <c r="J48" t="s">
        <v>238</v>
      </c>
    </row>
    <row r="49" spans="1:10" x14ac:dyDescent="0.3">
      <c r="A49" s="11" t="s">
        <v>184</v>
      </c>
      <c r="B49" s="11" t="s">
        <v>185</v>
      </c>
      <c r="C49" s="11" t="s">
        <v>160</v>
      </c>
      <c r="D49" s="12">
        <v>8730</v>
      </c>
      <c r="E49" s="11" t="s">
        <v>12</v>
      </c>
      <c r="F49" s="11" t="s">
        <v>161</v>
      </c>
      <c r="G49" s="11" t="s">
        <v>14</v>
      </c>
      <c r="H49" s="11" t="s">
        <v>15</v>
      </c>
      <c r="I49" s="11" t="s">
        <v>186</v>
      </c>
      <c r="J49" t="s">
        <v>238</v>
      </c>
    </row>
    <row r="50" spans="1:10" x14ac:dyDescent="0.3">
      <c r="D50" s="14">
        <f>SUM(D41:D49)</f>
        <v>1725374.3699999999</v>
      </c>
    </row>
    <row r="52" spans="1:10" x14ac:dyDescent="0.3">
      <c r="A52" s="73" t="s">
        <v>0</v>
      </c>
      <c r="B52" s="73" t="s">
        <v>1</v>
      </c>
      <c r="C52" s="73" t="s">
        <v>108</v>
      </c>
      <c r="D52" s="73" t="s">
        <v>3</v>
      </c>
      <c r="E52" s="73" t="s">
        <v>4</v>
      </c>
      <c r="F52" s="73" t="s">
        <v>2</v>
      </c>
      <c r="G52" s="73" t="s">
        <v>109</v>
      </c>
      <c r="H52" s="73" t="s">
        <v>6</v>
      </c>
      <c r="I52" s="73" t="s">
        <v>7</v>
      </c>
    </row>
    <row r="53" spans="1:10" x14ac:dyDescent="0.3">
      <c r="A53" s="11" t="s">
        <v>479</v>
      </c>
      <c r="B53" s="11" t="s">
        <v>480</v>
      </c>
      <c r="C53" s="11" t="s">
        <v>481</v>
      </c>
      <c r="D53" s="12">
        <v>89232</v>
      </c>
      <c r="E53" s="11" t="s">
        <v>12</v>
      </c>
      <c r="F53" s="11" t="s">
        <v>70</v>
      </c>
      <c r="G53" s="11" t="s">
        <v>306</v>
      </c>
      <c r="H53" s="11" t="s">
        <v>14</v>
      </c>
      <c r="I53" s="11" t="s">
        <v>15</v>
      </c>
    </row>
    <row r="54" spans="1:10" x14ac:dyDescent="0.3">
      <c r="A54" s="11" t="s">
        <v>482</v>
      </c>
      <c r="B54" s="11" t="s">
        <v>483</v>
      </c>
      <c r="C54" s="11" t="s">
        <v>481</v>
      </c>
      <c r="D54" s="12">
        <v>823765.62</v>
      </c>
      <c r="E54" s="11" t="s">
        <v>12</v>
      </c>
      <c r="F54" s="11" t="s">
        <v>70</v>
      </c>
      <c r="G54" s="11" t="s">
        <v>306</v>
      </c>
      <c r="H54" s="11" t="s">
        <v>14</v>
      </c>
      <c r="I54" s="11" t="s">
        <v>15</v>
      </c>
    </row>
    <row r="55" spans="1:10" x14ac:dyDescent="0.3">
      <c r="D55" s="14">
        <f>SUM(D53:D54)</f>
        <v>912997.62</v>
      </c>
    </row>
  </sheetData>
  <autoFilter ref="A1:I36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6"/>
  <sheetViews>
    <sheetView topLeftCell="A88" zoomScale="115" zoomScaleNormal="115" workbookViewId="0">
      <selection activeCell="F105" sqref="F105"/>
    </sheetView>
  </sheetViews>
  <sheetFormatPr defaultRowHeight="14.4" outlineLevelRow="1" x14ac:dyDescent="0.3"/>
  <cols>
    <col min="1" max="1" width="14" bestFit="1" customWidth="1"/>
    <col min="2" max="2" width="8.77734375" bestFit="1" customWidth="1"/>
    <col min="3" max="3" width="25.44140625" bestFit="1" customWidth="1"/>
    <col min="4" max="5" width="16.33203125" customWidth="1"/>
    <col min="6" max="6" width="17.33203125" bestFit="1" customWidth="1"/>
    <col min="7" max="7" width="14.5546875" bestFit="1" customWidth="1"/>
    <col min="8" max="8" width="37.33203125" bestFit="1" customWidth="1"/>
    <col min="9" max="9" width="9.88671875" bestFit="1" customWidth="1"/>
    <col min="10" max="10" width="10.33203125" bestFit="1" customWidth="1"/>
  </cols>
  <sheetData>
    <row r="1" spans="1:8" x14ac:dyDescent="0.3">
      <c r="A1" s="20" t="s">
        <v>0</v>
      </c>
      <c r="B1" s="20" t="s">
        <v>1</v>
      </c>
      <c r="C1" s="20" t="s">
        <v>228</v>
      </c>
      <c r="D1" s="22" t="s">
        <v>236</v>
      </c>
      <c r="E1" s="22" t="s">
        <v>237</v>
      </c>
      <c r="F1" s="20" t="s">
        <v>229</v>
      </c>
      <c r="G1" s="20" t="s">
        <v>7</v>
      </c>
      <c r="H1" s="20" t="s">
        <v>8</v>
      </c>
    </row>
    <row r="2" spans="1:8" x14ac:dyDescent="0.3">
      <c r="A2" s="21" t="s">
        <v>235</v>
      </c>
      <c r="B2" s="21" t="s">
        <v>230</v>
      </c>
      <c r="C2" s="21" t="s">
        <v>125</v>
      </c>
      <c r="D2" s="23">
        <v>198179.48</v>
      </c>
      <c r="E2" s="23">
        <f>D2*1.2</f>
        <v>237815.37599999999</v>
      </c>
      <c r="F2" s="21" t="s">
        <v>231</v>
      </c>
      <c r="G2" s="21" t="s">
        <v>15</v>
      </c>
      <c r="H2" s="21" t="s">
        <v>232</v>
      </c>
    </row>
    <row r="3" spans="1:8" x14ac:dyDescent="0.3">
      <c r="A3" s="21" t="s">
        <v>235</v>
      </c>
      <c r="B3" s="21" t="s">
        <v>233</v>
      </c>
      <c r="C3" s="21" t="s">
        <v>125</v>
      </c>
      <c r="D3" s="23">
        <v>192304.40999999997</v>
      </c>
      <c r="E3" s="23">
        <f>D3*1.2</f>
        <v>230765.29199999996</v>
      </c>
      <c r="F3" s="21" t="s">
        <v>231</v>
      </c>
      <c r="G3" s="21" t="s">
        <v>15</v>
      </c>
      <c r="H3" s="21" t="s">
        <v>234</v>
      </c>
    </row>
    <row r="4" spans="1:8" x14ac:dyDescent="0.3">
      <c r="E4" s="25">
        <f>SUM(E2:E3)</f>
        <v>468580.66799999995</v>
      </c>
    </row>
    <row r="6" spans="1:8" x14ac:dyDescent="0.3">
      <c r="A6" s="20" t="s">
        <v>0</v>
      </c>
      <c r="B6" s="20" t="s">
        <v>1</v>
      </c>
      <c r="C6" s="20" t="s">
        <v>109</v>
      </c>
      <c r="D6" s="22" t="s">
        <v>236</v>
      </c>
      <c r="E6" s="22" t="s">
        <v>237</v>
      </c>
      <c r="F6" s="20" t="s">
        <v>5</v>
      </c>
      <c r="G6" s="20" t="s">
        <v>7</v>
      </c>
      <c r="H6" s="20" t="s">
        <v>8</v>
      </c>
    </row>
    <row r="7" spans="1:8" hidden="1" outlineLevel="1" x14ac:dyDescent="0.3">
      <c r="A7" s="21" t="s">
        <v>239</v>
      </c>
      <c r="B7" s="21" t="s">
        <v>18</v>
      </c>
      <c r="C7" s="21" t="s">
        <v>240</v>
      </c>
      <c r="D7" s="23">
        <v>93928.680000000008</v>
      </c>
      <c r="E7" s="23">
        <f>D7*1.2</f>
        <v>112714.41600000001</v>
      </c>
      <c r="F7" s="21" t="s">
        <v>241</v>
      </c>
      <c r="G7" s="21" t="s">
        <v>139</v>
      </c>
      <c r="H7" s="21" t="s">
        <v>242</v>
      </c>
    </row>
    <row r="8" spans="1:8" hidden="1" outlineLevel="1" x14ac:dyDescent="0.3">
      <c r="A8" s="21" t="s">
        <v>243</v>
      </c>
      <c r="B8" s="21" t="s">
        <v>244</v>
      </c>
      <c r="C8" s="21" t="s">
        <v>240</v>
      </c>
      <c r="D8" s="23">
        <v>12867.9</v>
      </c>
      <c r="E8" s="23">
        <f t="shared" ref="E8:E69" si="0">D8*1.2</f>
        <v>15441.48</v>
      </c>
      <c r="F8" s="21" t="s">
        <v>241</v>
      </c>
      <c r="G8" s="21" t="s">
        <v>139</v>
      </c>
      <c r="H8" s="21" t="s">
        <v>245</v>
      </c>
    </row>
    <row r="9" spans="1:8" hidden="1" outlineLevel="1" x14ac:dyDescent="0.3">
      <c r="A9" s="21" t="s">
        <v>246</v>
      </c>
      <c r="B9" s="21" t="s">
        <v>247</v>
      </c>
      <c r="C9" s="21" t="s">
        <v>240</v>
      </c>
      <c r="D9" s="23">
        <v>91445.24</v>
      </c>
      <c r="E9" s="23">
        <f t="shared" si="0"/>
        <v>109734.288</v>
      </c>
      <c r="F9" s="21" t="s">
        <v>241</v>
      </c>
      <c r="G9" s="21" t="s">
        <v>139</v>
      </c>
      <c r="H9" s="21" t="s">
        <v>248</v>
      </c>
    </row>
    <row r="10" spans="1:8" hidden="1" outlineLevel="1" x14ac:dyDescent="0.3">
      <c r="A10" s="21" t="s">
        <v>249</v>
      </c>
      <c r="B10" s="21" t="s">
        <v>250</v>
      </c>
      <c r="C10" s="21" t="s">
        <v>240</v>
      </c>
      <c r="D10" s="23">
        <v>155580.99</v>
      </c>
      <c r="E10" s="23">
        <f t="shared" si="0"/>
        <v>186697.18799999999</v>
      </c>
      <c r="F10" s="21" t="s">
        <v>241</v>
      </c>
      <c r="G10" s="21" t="s">
        <v>139</v>
      </c>
      <c r="H10" s="21" t="s">
        <v>251</v>
      </c>
    </row>
    <row r="11" spans="1:8" hidden="1" outlineLevel="1" x14ac:dyDescent="0.3">
      <c r="A11" s="21" t="s">
        <v>252</v>
      </c>
      <c r="B11" s="21" t="s">
        <v>253</v>
      </c>
      <c r="C11" s="21" t="s">
        <v>240</v>
      </c>
      <c r="D11" s="23">
        <v>201835.61</v>
      </c>
      <c r="E11" s="23">
        <f t="shared" si="0"/>
        <v>242202.73199999996</v>
      </c>
      <c r="F11" s="21" t="s">
        <v>241</v>
      </c>
      <c r="G11" s="21" t="s">
        <v>139</v>
      </c>
      <c r="H11" s="21" t="s">
        <v>254</v>
      </c>
    </row>
    <row r="12" spans="1:8" hidden="1" outlineLevel="1" x14ac:dyDescent="0.3">
      <c r="A12" s="21" t="s">
        <v>255</v>
      </c>
      <c r="B12" s="21" t="s">
        <v>256</v>
      </c>
      <c r="C12" s="21" t="s">
        <v>240</v>
      </c>
      <c r="D12" s="23">
        <v>166460.38000000003</v>
      </c>
      <c r="E12" s="23">
        <f t="shared" si="0"/>
        <v>199752.45600000003</v>
      </c>
      <c r="F12" s="21" t="s">
        <v>241</v>
      </c>
      <c r="G12" s="21" t="s">
        <v>139</v>
      </c>
      <c r="H12" s="21" t="s">
        <v>257</v>
      </c>
    </row>
    <row r="13" spans="1:8" hidden="1" outlineLevel="1" x14ac:dyDescent="0.3">
      <c r="A13" s="21" t="s">
        <v>258</v>
      </c>
      <c r="B13" s="21" t="s">
        <v>164</v>
      </c>
      <c r="C13" s="21" t="s">
        <v>134</v>
      </c>
      <c r="D13" s="23">
        <v>295104.96999999997</v>
      </c>
      <c r="E13" s="23">
        <f t="shared" si="0"/>
        <v>354125.96399999998</v>
      </c>
      <c r="F13" s="21" t="s">
        <v>20</v>
      </c>
      <c r="G13" s="21" t="s">
        <v>15</v>
      </c>
      <c r="H13" s="21"/>
    </row>
    <row r="14" spans="1:8" hidden="1" outlineLevel="1" x14ac:dyDescent="0.3">
      <c r="A14" s="21" t="s">
        <v>259</v>
      </c>
      <c r="B14" s="21" t="s">
        <v>167</v>
      </c>
      <c r="C14" s="21" t="s">
        <v>134</v>
      </c>
      <c r="D14" s="23">
        <v>48370.67000000002</v>
      </c>
      <c r="E14" s="23">
        <f t="shared" si="0"/>
        <v>58044.804000000026</v>
      </c>
      <c r="F14" s="21" t="s">
        <v>20</v>
      </c>
      <c r="G14" s="21" t="s">
        <v>15</v>
      </c>
      <c r="H14" s="21"/>
    </row>
    <row r="15" spans="1:8" hidden="1" outlineLevel="1" x14ac:dyDescent="0.3">
      <c r="A15" s="21" t="s">
        <v>260</v>
      </c>
      <c r="B15" s="21" t="s">
        <v>170</v>
      </c>
      <c r="C15" s="21" t="s">
        <v>134</v>
      </c>
      <c r="D15" s="23">
        <v>2954.86</v>
      </c>
      <c r="E15" s="23">
        <f t="shared" si="0"/>
        <v>3545.8319999999999</v>
      </c>
      <c r="F15" s="21" t="s">
        <v>20</v>
      </c>
      <c r="G15" s="21" t="s">
        <v>15</v>
      </c>
      <c r="H15" s="21"/>
    </row>
    <row r="16" spans="1:8" hidden="1" outlineLevel="1" x14ac:dyDescent="0.3">
      <c r="A16" s="21" t="s">
        <v>261</v>
      </c>
      <c r="B16" s="21" t="s">
        <v>262</v>
      </c>
      <c r="C16" s="21" t="s">
        <v>263</v>
      </c>
      <c r="D16" s="23">
        <v>282515.47000000003</v>
      </c>
      <c r="E16" s="23">
        <f t="shared" si="0"/>
        <v>339018.56400000001</v>
      </c>
      <c r="F16" s="21" t="s">
        <v>13</v>
      </c>
      <c r="G16" s="21" t="s">
        <v>15</v>
      </c>
      <c r="H16" s="21"/>
    </row>
    <row r="17" spans="1:8" hidden="1" outlineLevel="1" x14ac:dyDescent="0.3">
      <c r="A17" s="21" t="s">
        <v>265</v>
      </c>
      <c r="B17" s="21" t="s">
        <v>30</v>
      </c>
      <c r="C17" s="21" t="s">
        <v>103</v>
      </c>
      <c r="D17" s="23">
        <v>1151680.83</v>
      </c>
      <c r="E17" s="23">
        <f t="shared" si="0"/>
        <v>1382016.996</v>
      </c>
      <c r="F17" s="21" t="s">
        <v>91</v>
      </c>
      <c r="G17" s="21" t="s">
        <v>15</v>
      </c>
      <c r="H17" s="21" t="s">
        <v>266</v>
      </c>
    </row>
    <row r="18" spans="1:8" hidden="1" outlineLevel="1" x14ac:dyDescent="0.3">
      <c r="A18" s="21" t="s">
        <v>267</v>
      </c>
      <c r="B18" s="21" t="s">
        <v>44</v>
      </c>
      <c r="C18" s="21" t="s">
        <v>103</v>
      </c>
      <c r="D18" s="23">
        <v>45007.5</v>
      </c>
      <c r="E18" s="23">
        <f t="shared" si="0"/>
        <v>54009</v>
      </c>
      <c r="F18" s="21" t="s">
        <v>91</v>
      </c>
      <c r="G18" s="21" t="s">
        <v>15</v>
      </c>
      <c r="H18" s="21"/>
    </row>
    <row r="19" spans="1:8" hidden="1" outlineLevel="1" x14ac:dyDescent="0.3">
      <c r="A19" s="21" t="s">
        <v>268</v>
      </c>
      <c r="B19" s="21" t="s">
        <v>269</v>
      </c>
      <c r="C19" s="21" t="s">
        <v>263</v>
      </c>
      <c r="D19" s="23">
        <v>50739.47</v>
      </c>
      <c r="E19" s="23">
        <f t="shared" si="0"/>
        <v>60887.364000000001</v>
      </c>
      <c r="F19" s="21" t="s">
        <v>13</v>
      </c>
      <c r="G19" s="21" t="s">
        <v>15</v>
      </c>
      <c r="H19" s="21"/>
    </row>
    <row r="20" spans="1:8" hidden="1" outlineLevel="1" x14ac:dyDescent="0.3">
      <c r="A20" s="21" t="s">
        <v>270</v>
      </c>
      <c r="B20" s="21" t="s">
        <v>39</v>
      </c>
      <c r="C20" s="21" t="s">
        <v>103</v>
      </c>
      <c r="D20" s="23">
        <v>39514.880000000005</v>
      </c>
      <c r="E20" s="23">
        <f t="shared" si="0"/>
        <v>47417.856000000007</v>
      </c>
      <c r="F20" s="21" t="s">
        <v>91</v>
      </c>
      <c r="G20" s="21" t="s">
        <v>15</v>
      </c>
      <c r="H20" s="21"/>
    </row>
    <row r="21" spans="1:8" hidden="1" outlineLevel="1" x14ac:dyDescent="0.3">
      <c r="A21" s="21" t="s">
        <v>271</v>
      </c>
      <c r="B21" s="21" t="s">
        <v>94</v>
      </c>
      <c r="C21" s="21" t="s">
        <v>134</v>
      </c>
      <c r="D21" s="23">
        <v>217986.45</v>
      </c>
      <c r="E21" s="23">
        <f t="shared" si="0"/>
        <v>261583.74</v>
      </c>
      <c r="F21" s="21" t="s">
        <v>20</v>
      </c>
      <c r="G21" s="21" t="s">
        <v>15</v>
      </c>
      <c r="H21" s="21"/>
    </row>
    <row r="22" spans="1:8" hidden="1" outlineLevel="1" x14ac:dyDescent="0.3">
      <c r="A22" s="21" t="s">
        <v>272</v>
      </c>
      <c r="B22" s="21" t="s">
        <v>97</v>
      </c>
      <c r="C22" s="21" t="s">
        <v>134</v>
      </c>
      <c r="D22" s="23">
        <v>384167.36</v>
      </c>
      <c r="E22" s="23">
        <f t="shared" si="0"/>
        <v>461000.83199999999</v>
      </c>
      <c r="F22" s="21" t="s">
        <v>20</v>
      </c>
      <c r="G22" s="21" t="s">
        <v>15</v>
      </c>
      <c r="H22" s="21"/>
    </row>
    <row r="23" spans="1:8" hidden="1" outlineLevel="1" x14ac:dyDescent="0.3">
      <c r="A23" s="21" t="s">
        <v>273</v>
      </c>
      <c r="B23" s="21" t="s">
        <v>214</v>
      </c>
      <c r="C23" s="21" t="s">
        <v>264</v>
      </c>
      <c r="D23" s="23">
        <v>176132.77</v>
      </c>
      <c r="E23" s="23">
        <f t="shared" si="0"/>
        <v>211359.32399999999</v>
      </c>
      <c r="F23" s="21"/>
      <c r="G23" s="21" t="s">
        <v>15</v>
      </c>
      <c r="H23" s="21" t="s">
        <v>274</v>
      </c>
    </row>
    <row r="24" spans="1:8" hidden="1" outlineLevel="1" x14ac:dyDescent="0.3">
      <c r="A24" s="21" t="s">
        <v>275</v>
      </c>
      <c r="B24" s="21" t="s">
        <v>217</v>
      </c>
      <c r="C24" s="21" t="s">
        <v>264</v>
      </c>
      <c r="D24" s="23">
        <v>86517.119999999995</v>
      </c>
      <c r="E24" s="23">
        <f t="shared" si="0"/>
        <v>103820.54399999999</v>
      </c>
      <c r="F24" s="21"/>
      <c r="G24" s="21" t="s">
        <v>15</v>
      </c>
      <c r="H24" s="21" t="s">
        <v>276</v>
      </c>
    </row>
    <row r="25" spans="1:8" hidden="1" outlineLevel="1" x14ac:dyDescent="0.3">
      <c r="A25" s="21" t="s">
        <v>277</v>
      </c>
      <c r="B25" s="21" t="s">
        <v>220</v>
      </c>
      <c r="C25" s="21" t="s">
        <v>264</v>
      </c>
      <c r="D25" s="23">
        <v>57743.53</v>
      </c>
      <c r="E25" s="23">
        <f t="shared" si="0"/>
        <v>69292.23599999999</v>
      </c>
      <c r="F25" s="21"/>
      <c r="G25" s="21" t="s">
        <v>15</v>
      </c>
      <c r="H25" s="21" t="s">
        <v>278</v>
      </c>
    </row>
    <row r="26" spans="1:8" hidden="1" outlineLevel="1" x14ac:dyDescent="0.3">
      <c r="A26" s="21" t="s">
        <v>279</v>
      </c>
      <c r="B26" s="21" t="s">
        <v>223</v>
      </c>
      <c r="C26" s="21" t="s">
        <v>264</v>
      </c>
      <c r="D26" s="23">
        <v>3820.3300000000004</v>
      </c>
      <c r="E26" s="23">
        <f t="shared" si="0"/>
        <v>4584.3960000000006</v>
      </c>
      <c r="F26" s="21"/>
      <c r="G26" s="21" t="s">
        <v>15</v>
      </c>
      <c r="H26" s="21" t="s">
        <v>280</v>
      </c>
    </row>
    <row r="27" spans="1:8" hidden="1" outlineLevel="1" x14ac:dyDescent="0.3">
      <c r="A27" s="21" t="s">
        <v>281</v>
      </c>
      <c r="B27" s="21" t="s">
        <v>226</v>
      </c>
      <c r="C27" s="21" t="s">
        <v>264</v>
      </c>
      <c r="D27" s="23">
        <v>5607.5599999999995</v>
      </c>
      <c r="E27" s="23">
        <f t="shared" si="0"/>
        <v>6729.0719999999992</v>
      </c>
      <c r="F27" s="21"/>
      <c r="G27" s="21" t="s">
        <v>15</v>
      </c>
      <c r="H27" s="21" t="s">
        <v>282</v>
      </c>
    </row>
    <row r="28" spans="1:8" hidden="1" outlineLevel="1" x14ac:dyDescent="0.3">
      <c r="A28" s="21" t="s">
        <v>283</v>
      </c>
      <c r="B28" s="21" t="s">
        <v>284</v>
      </c>
      <c r="C28" s="21" t="s">
        <v>264</v>
      </c>
      <c r="D28" s="23">
        <v>31887</v>
      </c>
      <c r="E28" s="23">
        <f t="shared" si="0"/>
        <v>38264.400000000001</v>
      </c>
      <c r="F28" s="21"/>
      <c r="G28" s="21" t="s">
        <v>15</v>
      </c>
      <c r="H28" s="21" t="s">
        <v>285</v>
      </c>
    </row>
    <row r="29" spans="1:8" hidden="1" outlineLevel="1" x14ac:dyDescent="0.3">
      <c r="A29" s="21" t="s">
        <v>286</v>
      </c>
      <c r="B29" s="21" t="s">
        <v>287</v>
      </c>
      <c r="C29" s="21" t="s">
        <v>288</v>
      </c>
      <c r="D29" s="23">
        <v>14335</v>
      </c>
      <c r="E29" s="23">
        <f t="shared" si="0"/>
        <v>17202</v>
      </c>
      <c r="F29" s="21"/>
      <c r="G29" s="21" t="s">
        <v>15</v>
      </c>
      <c r="H29" s="21" t="s">
        <v>289</v>
      </c>
    </row>
    <row r="30" spans="1:8" hidden="1" outlineLevel="1" x14ac:dyDescent="0.3">
      <c r="A30" s="21" t="s">
        <v>292</v>
      </c>
      <c r="B30" s="21" t="s">
        <v>293</v>
      </c>
      <c r="C30" s="21" t="s">
        <v>263</v>
      </c>
      <c r="D30" s="23">
        <v>77469.52</v>
      </c>
      <c r="E30" s="23">
        <f t="shared" si="0"/>
        <v>92963.423999999999</v>
      </c>
      <c r="F30" s="21" t="s">
        <v>13</v>
      </c>
      <c r="G30" s="21" t="s">
        <v>15</v>
      </c>
      <c r="H30" s="21"/>
    </row>
    <row r="31" spans="1:8" hidden="1" outlineLevel="1" x14ac:dyDescent="0.3">
      <c r="A31" s="21" t="s">
        <v>294</v>
      </c>
      <c r="B31" s="21" t="s">
        <v>63</v>
      </c>
      <c r="C31" s="21" t="s">
        <v>103</v>
      </c>
      <c r="D31" s="23">
        <v>242162.3</v>
      </c>
      <c r="E31" s="23">
        <f t="shared" si="0"/>
        <v>290594.75999999995</v>
      </c>
      <c r="F31" s="21" t="s">
        <v>91</v>
      </c>
      <c r="G31" s="21" t="s">
        <v>15</v>
      </c>
      <c r="H31" s="21"/>
    </row>
    <row r="32" spans="1:8" hidden="1" outlineLevel="1" x14ac:dyDescent="0.3">
      <c r="A32" s="21" t="s">
        <v>295</v>
      </c>
      <c r="B32" s="21" t="s">
        <v>69</v>
      </c>
      <c r="C32" s="21" t="s">
        <v>103</v>
      </c>
      <c r="D32" s="23">
        <v>376360.5</v>
      </c>
      <c r="E32" s="23">
        <f t="shared" si="0"/>
        <v>451632.6</v>
      </c>
      <c r="F32" s="21" t="s">
        <v>91</v>
      </c>
      <c r="G32" s="21" t="s">
        <v>15</v>
      </c>
      <c r="H32" s="21"/>
    </row>
    <row r="33" spans="1:9" hidden="1" outlineLevel="1" x14ac:dyDescent="0.3">
      <c r="A33" s="21" t="s">
        <v>296</v>
      </c>
      <c r="B33" s="21" t="s">
        <v>83</v>
      </c>
      <c r="C33" s="21" t="s">
        <v>134</v>
      </c>
      <c r="D33" s="23">
        <v>41557.389999999992</v>
      </c>
      <c r="E33" s="23">
        <f t="shared" si="0"/>
        <v>49868.867999999988</v>
      </c>
      <c r="F33" s="21" t="s">
        <v>20</v>
      </c>
      <c r="G33" s="21" t="s">
        <v>15</v>
      </c>
      <c r="H33" s="21"/>
    </row>
    <row r="34" spans="1:9" hidden="1" outlineLevel="1" x14ac:dyDescent="0.3">
      <c r="A34" s="21" t="s">
        <v>297</v>
      </c>
      <c r="B34" s="21" t="s">
        <v>89</v>
      </c>
      <c r="C34" s="21" t="s">
        <v>134</v>
      </c>
      <c r="D34" s="23">
        <v>161.91</v>
      </c>
      <c r="E34" s="23">
        <f t="shared" si="0"/>
        <v>194.292</v>
      </c>
      <c r="F34" s="21" t="s">
        <v>20</v>
      </c>
      <c r="G34" s="21" t="s">
        <v>15</v>
      </c>
      <c r="H34" s="21"/>
    </row>
    <row r="35" spans="1:9" hidden="1" outlineLevel="1" x14ac:dyDescent="0.3">
      <c r="A35" s="21" t="s">
        <v>298</v>
      </c>
      <c r="B35" s="21" t="s">
        <v>299</v>
      </c>
      <c r="C35" s="21" t="s">
        <v>263</v>
      </c>
      <c r="D35" s="23">
        <v>106656.13</v>
      </c>
      <c r="E35" s="23">
        <f t="shared" si="0"/>
        <v>127987.356</v>
      </c>
      <c r="F35" s="21" t="s">
        <v>13</v>
      </c>
      <c r="G35" s="21" t="s">
        <v>15</v>
      </c>
      <c r="H35" s="21"/>
    </row>
    <row r="36" spans="1:9" hidden="1" outlineLevel="1" x14ac:dyDescent="0.3">
      <c r="A36" s="21" t="s">
        <v>300</v>
      </c>
      <c r="B36" s="21" t="s">
        <v>47</v>
      </c>
      <c r="C36" s="21" t="s">
        <v>103</v>
      </c>
      <c r="D36" s="23">
        <v>452853.74</v>
      </c>
      <c r="E36" s="23">
        <f t="shared" si="0"/>
        <v>543424.48800000001</v>
      </c>
      <c r="F36" s="21" t="s">
        <v>91</v>
      </c>
      <c r="G36" s="21" t="s">
        <v>15</v>
      </c>
      <c r="H36" s="21"/>
    </row>
    <row r="37" spans="1:9" hidden="1" outlineLevel="1" x14ac:dyDescent="0.3">
      <c r="A37" s="21" t="s">
        <v>301</v>
      </c>
      <c r="B37" s="21" t="s">
        <v>54</v>
      </c>
      <c r="C37" s="21" t="s">
        <v>134</v>
      </c>
      <c r="D37" s="23">
        <v>233463.09</v>
      </c>
      <c r="E37" s="23">
        <f t="shared" si="0"/>
        <v>280155.70799999998</v>
      </c>
      <c r="F37" s="21" t="s">
        <v>20</v>
      </c>
      <c r="G37" s="21" t="s">
        <v>15</v>
      </c>
      <c r="H37" s="21"/>
    </row>
    <row r="38" spans="1:9" hidden="1" outlineLevel="1" x14ac:dyDescent="0.3">
      <c r="A38" s="21" t="s">
        <v>302</v>
      </c>
      <c r="B38" s="21" t="s">
        <v>57</v>
      </c>
      <c r="C38" s="21" t="s">
        <v>134</v>
      </c>
      <c r="D38" s="23">
        <v>288834.12</v>
      </c>
      <c r="E38" s="23">
        <f t="shared" si="0"/>
        <v>346600.94399999996</v>
      </c>
      <c r="F38" s="21" t="s">
        <v>20</v>
      </c>
      <c r="G38" s="21" t="s">
        <v>15</v>
      </c>
      <c r="H38" s="21"/>
    </row>
    <row r="39" spans="1:9" hidden="1" outlineLevel="1" x14ac:dyDescent="0.3">
      <c r="A39" s="21" t="s">
        <v>303</v>
      </c>
      <c r="B39" s="21" t="s">
        <v>60</v>
      </c>
      <c r="C39" s="21" t="s">
        <v>263</v>
      </c>
      <c r="D39" s="23">
        <v>280831.5</v>
      </c>
      <c r="E39" s="23">
        <f t="shared" si="0"/>
        <v>336997.8</v>
      </c>
      <c r="F39" s="21" t="s">
        <v>13</v>
      </c>
      <c r="G39" s="21" t="s">
        <v>15</v>
      </c>
      <c r="H39" s="21"/>
    </row>
    <row r="40" spans="1:9" collapsed="1" x14ac:dyDescent="0.3">
      <c r="A40" s="30" t="s">
        <v>304</v>
      </c>
      <c r="B40" s="30" t="s">
        <v>305</v>
      </c>
      <c r="C40" s="30" t="s">
        <v>306</v>
      </c>
      <c r="D40" s="31">
        <v>1233803.5</v>
      </c>
      <c r="E40" s="31">
        <f t="shared" si="0"/>
        <v>1480564.2</v>
      </c>
      <c r="F40" s="30" t="s">
        <v>71</v>
      </c>
      <c r="G40" s="30" t="s">
        <v>15</v>
      </c>
      <c r="H40" s="30"/>
      <c r="I40" t="s">
        <v>460</v>
      </c>
    </row>
    <row r="41" spans="1:9" hidden="1" outlineLevel="1" x14ac:dyDescent="0.3">
      <c r="A41" s="21" t="s">
        <v>307</v>
      </c>
      <c r="B41" s="21" t="s">
        <v>36</v>
      </c>
      <c r="C41" s="21" t="s">
        <v>306</v>
      </c>
      <c r="D41" s="23">
        <v>211890.94999999998</v>
      </c>
      <c r="E41" s="23">
        <f t="shared" si="0"/>
        <v>254269.13999999996</v>
      </c>
      <c r="F41" s="21" t="s">
        <v>71</v>
      </c>
      <c r="G41" s="21" t="s">
        <v>15</v>
      </c>
      <c r="H41" s="21"/>
    </row>
    <row r="42" spans="1:9" hidden="1" outlineLevel="1" x14ac:dyDescent="0.3">
      <c r="A42" s="21" t="s">
        <v>308</v>
      </c>
      <c r="B42" s="21" t="s">
        <v>66</v>
      </c>
      <c r="C42" s="21" t="s">
        <v>306</v>
      </c>
      <c r="D42" s="23">
        <v>1087640.31</v>
      </c>
      <c r="E42" s="23">
        <f t="shared" si="0"/>
        <v>1305168.372</v>
      </c>
      <c r="F42" s="21" t="s">
        <v>71</v>
      </c>
      <c r="G42" s="21" t="s">
        <v>15</v>
      </c>
      <c r="H42" s="21"/>
    </row>
    <row r="43" spans="1:9" hidden="1" outlineLevel="1" x14ac:dyDescent="0.3">
      <c r="A43" s="21" t="s">
        <v>309</v>
      </c>
      <c r="B43" s="21" t="s">
        <v>49</v>
      </c>
      <c r="C43" s="21" t="s">
        <v>306</v>
      </c>
      <c r="D43" s="23">
        <v>913164.05</v>
      </c>
      <c r="E43" s="23">
        <f t="shared" si="0"/>
        <v>1095796.8600000001</v>
      </c>
      <c r="F43" s="21" t="s">
        <v>71</v>
      </c>
      <c r="G43" s="21" t="s">
        <v>15</v>
      </c>
      <c r="H43" s="21" t="s">
        <v>310</v>
      </c>
    </row>
    <row r="44" spans="1:9" hidden="1" outlineLevel="1" x14ac:dyDescent="0.3">
      <c r="A44" s="21" t="s">
        <v>311</v>
      </c>
      <c r="B44" s="21" t="s">
        <v>80</v>
      </c>
      <c r="C44" s="21" t="s">
        <v>103</v>
      </c>
      <c r="D44" s="23">
        <v>326450.44</v>
      </c>
      <c r="E44" s="23">
        <f t="shared" si="0"/>
        <v>391740.52799999999</v>
      </c>
      <c r="F44" s="21" t="s">
        <v>91</v>
      </c>
      <c r="G44" s="21" t="s">
        <v>15</v>
      </c>
      <c r="H44" s="21"/>
    </row>
    <row r="45" spans="1:9" hidden="1" outlineLevel="1" x14ac:dyDescent="0.3">
      <c r="A45" s="21" t="s">
        <v>312</v>
      </c>
      <c r="B45" s="21" t="s">
        <v>313</v>
      </c>
      <c r="C45" s="21" t="s">
        <v>240</v>
      </c>
      <c r="D45" s="23">
        <v>2634.59</v>
      </c>
      <c r="E45" s="23">
        <f t="shared" si="0"/>
        <v>3161.5080000000003</v>
      </c>
      <c r="F45" s="21" t="s">
        <v>241</v>
      </c>
      <c r="G45" s="21" t="s">
        <v>15</v>
      </c>
      <c r="H45" s="21" t="s">
        <v>314</v>
      </c>
    </row>
    <row r="46" spans="1:9" hidden="1" outlineLevel="1" x14ac:dyDescent="0.3">
      <c r="A46" s="21" t="s">
        <v>315</v>
      </c>
      <c r="B46" s="21" t="s">
        <v>316</v>
      </c>
      <c r="C46" s="21" t="s">
        <v>240</v>
      </c>
      <c r="D46" s="23">
        <v>2192.5</v>
      </c>
      <c r="E46" s="23">
        <f t="shared" si="0"/>
        <v>2631</v>
      </c>
      <c r="F46" s="21" t="s">
        <v>241</v>
      </c>
      <c r="G46" s="21" t="s">
        <v>15</v>
      </c>
      <c r="H46" s="21" t="s">
        <v>314</v>
      </c>
    </row>
    <row r="47" spans="1:9" hidden="1" outlineLevel="1" x14ac:dyDescent="0.3">
      <c r="A47" s="21" t="s">
        <v>317</v>
      </c>
      <c r="B47" s="21" t="s">
        <v>266</v>
      </c>
      <c r="C47" s="21" t="s">
        <v>240</v>
      </c>
      <c r="D47" s="23">
        <v>168.33</v>
      </c>
      <c r="E47" s="23">
        <f t="shared" si="0"/>
        <v>201.99600000000001</v>
      </c>
      <c r="F47" s="21" t="s">
        <v>241</v>
      </c>
      <c r="G47" s="21" t="s">
        <v>15</v>
      </c>
      <c r="H47" s="21" t="s">
        <v>314</v>
      </c>
    </row>
    <row r="48" spans="1:9" hidden="1" outlineLevel="1" x14ac:dyDescent="0.3">
      <c r="A48" s="21" t="s">
        <v>318</v>
      </c>
      <c r="B48" s="21" t="s">
        <v>319</v>
      </c>
      <c r="C48" s="21" t="s">
        <v>240</v>
      </c>
      <c r="D48" s="23">
        <v>29976.729999999996</v>
      </c>
      <c r="E48" s="23">
        <f t="shared" si="0"/>
        <v>35972.075999999994</v>
      </c>
      <c r="F48" s="21" t="s">
        <v>241</v>
      </c>
      <c r="G48" s="21" t="s">
        <v>15</v>
      </c>
      <c r="H48" s="21" t="s">
        <v>314</v>
      </c>
    </row>
    <row r="49" spans="1:9" hidden="1" outlineLevel="1" x14ac:dyDescent="0.3">
      <c r="A49" s="21" t="s">
        <v>320</v>
      </c>
      <c r="B49" s="21" t="s">
        <v>22</v>
      </c>
      <c r="C49" s="21" t="s">
        <v>240</v>
      </c>
      <c r="D49" s="23">
        <v>6534</v>
      </c>
      <c r="E49" s="23">
        <f t="shared" si="0"/>
        <v>7840.7999999999993</v>
      </c>
      <c r="F49" s="21" t="s">
        <v>241</v>
      </c>
      <c r="G49" s="21" t="s">
        <v>15</v>
      </c>
      <c r="H49" s="21" t="s">
        <v>314</v>
      </c>
    </row>
    <row r="50" spans="1:9" hidden="1" outlineLevel="1" x14ac:dyDescent="0.3">
      <c r="A50" s="21" t="s">
        <v>321</v>
      </c>
      <c r="B50" s="21" t="s">
        <v>24</v>
      </c>
      <c r="C50" s="21" t="s">
        <v>240</v>
      </c>
      <c r="D50" s="23">
        <v>10330.77</v>
      </c>
      <c r="E50" s="23">
        <f t="shared" si="0"/>
        <v>12396.924000000001</v>
      </c>
      <c r="F50" s="21" t="s">
        <v>241</v>
      </c>
      <c r="G50" s="21" t="s">
        <v>15</v>
      </c>
      <c r="H50" s="21" t="s">
        <v>314</v>
      </c>
    </row>
    <row r="51" spans="1:9" hidden="1" outlineLevel="1" x14ac:dyDescent="0.3">
      <c r="A51" s="21" t="s">
        <v>322</v>
      </c>
      <c r="B51" s="21" t="s">
        <v>310</v>
      </c>
      <c r="C51" s="21" t="s">
        <v>240</v>
      </c>
      <c r="D51" s="23">
        <v>12622.5</v>
      </c>
      <c r="E51" s="23">
        <f t="shared" si="0"/>
        <v>15147</v>
      </c>
      <c r="F51" s="21" t="s">
        <v>241</v>
      </c>
      <c r="G51" s="21" t="s">
        <v>15</v>
      </c>
      <c r="H51" s="21" t="s">
        <v>314</v>
      </c>
    </row>
    <row r="52" spans="1:9" hidden="1" outlineLevel="1" x14ac:dyDescent="0.3">
      <c r="A52" s="21" t="s">
        <v>323</v>
      </c>
      <c r="B52" s="21" t="s">
        <v>324</v>
      </c>
      <c r="C52" s="21" t="s">
        <v>240</v>
      </c>
      <c r="D52" s="23">
        <v>741.76</v>
      </c>
      <c r="E52" s="23">
        <f t="shared" si="0"/>
        <v>890.11199999999997</v>
      </c>
      <c r="F52" s="21" t="s">
        <v>241</v>
      </c>
      <c r="G52" s="21" t="s">
        <v>15</v>
      </c>
      <c r="H52" s="21" t="s">
        <v>325</v>
      </c>
    </row>
    <row r="53" spans="1:9" hidden="1" outlineLevel="1" x14ac:dyDescent="0.3">
      <c r="A53" s="21" t="s">
        <v>326</v>
      </c>
      <c r="B53" s="21" t="s">
        <v>327</v>
      </c>
      <c r="C53" s="21" t="s">
        <v>240</v>
      </c>
      <c r="D53" s="23">
        <v>459.8</v>
      </c>
      <c r="E53" s="23">
        <f t="shared" si="0"/>
        <v>551.76</v>
      </c>
      <c r="F53" s="21" t="s">
        <v>241</v>
      </c>
      <c r="G53" s="21" t="s">
        <v>15</v>
      </c>
      <c r="H53" s="21" t="s">
        <v>314</v>
      </c>
    </row>
    <row r="54" spans="1:9" hidden="1" outlineLevel="1" x14ac:dyDescent="0.3">
      <c r="A54" s="21" t="s">
        <v>328</v>
      </c>
      <c r="B54" s="21" t="s">
        <v>329</v>
      </c>
      <c r="C54" s="21" t="s">
        <v>240</v>
      </c>
      <c r="D54" s="23">
        <v>304.54000000000002</v>
      </c>
      <c r="E54" s="23">
        <f t="shared" si="0"/>
        <v>365.44800000000004</v>
      </c>
      <c r="F54" s="21" t="s">
        <v>241</v>
      </c>
      <c r="G54" s="21" t="s">
        <v>15</v>
      </c>
      <c r="H54" s="21" t="s">
        <v>314</v>
      </c>
    </row>
    <row r="55" spans="1:9" hidden="1" outlineLevel="1" x14ac:dyDescent="0.3">
      <c r="A55" s="21" t="s">
        <v>330</v>
      </c>
      <c r="B55" s="21" t="s">
        <v>331</v>
      </c>
      <c r="C55" s="21" t="s">
        <v>240</v>
      </c>
      <c r="D55" s="23">
        <v>3489.75</v>
      </c>
      <c r="E55" s="23">
        <f t="shared" si="0"/>
        <v>4187.7</v>
      </c>
      <c r="F55" s="21" t="s">
        <v>241</v>
      </c>
      <c r="G55" s="21" t="s">
        <v>15</v>
      </c>
      <c r="H55" s="21" t="s">
        <v>314</v>
      </c>
    </row>
    <row r="56" spans="1:9" hidden="1" outlineLevel="1" x14ac:dyDescent="0.3">
      <c r="A56" s="21" t="s">
        <v>332</v>
      </c>
      <c r="B56" s="21" t="s">
        <v>333</v>
      </c>
      <c r="C56" s="21" t="s">
        <v>240</v>
      </c>
      <c r="D56" s="23">
        <v>1633.33</v>
      </c>
      <c r="E56" s="23">
        <f t="shared" si="0"/>
        <v>1959.9959999999999</v>
      </c>
      <c r="F56" s="21" t="s">
        <v>241</v>
      </c>
      <c r="G56" s="21" t="s">
        <v>15</v>
      </c>
      <c r="H56" s="21" t="s">
        <v>314</v>
      </c>
    </row>
    <row r="57" spans="1:9" hidden="1" outlineLevel="1" x14ac:dyDescent="0.3">
      <c r="A57" s="21" t="s">
        <v>334</v>
      </c>
      <c r="B57" s="21" t="s">
        <v>335</v>
      </c>
      <c r="C57" s="21" t="s">
        <v>240</v>
      </c>
      <c r="D57" s="23">
        <v>1445.38</v>
      </c>
      <c r="E57" s="23">
        <f t="shared" si="0"/>
        <v>1734.4560000000001</v>
      </c>
      <c r="F57" s="21" t="s">
        <v>241</v>
      </c>
      <c r="G57" s="21" t="s">
        <v>15</v>
      </c>
      <c r="H57" s="21" t="s">
        <v>314</v>
      </c>
    </row>
    <row r="58" spans="1:9" hidden="1" outlineLevel="1" x14ac:dyDescent="0.3">
      <c r="A58" s="21" t="s">
        <v>336</v>
      </c>
      <c r="B58" s="21" t="s">
        <v>10</v>
      </c>
      <c r="C58" s="21" t="s">
        <v>240</v>
      </c>
      <c r="D58" s="23">
        <v>3341.25</v>
      </c>
      <c r="E58" s="23">
        <f t="shared" si="0"/>
        <v>4009.5</v>
      </c>
      <c r="F58" s="21" t="s">
        <v>241</v>
      </c>
      <c r="G58" s="21" t="s">
        <v>15</v>
      </c>
      <c r="H58" s="21"/>
    </row>
    <row r="59" spans="1:9" hidden="1" outlineLevel="1" x14ac:dyDescent="0.3">
      <c r="A59" s="21" t="s">
        <v>337</v>
      </c>
      <c r="B59" s="21" t="s">
        <v>77</v>
      </c>
      <c r="C59" s="21" t="s">
        <v>103</v>
      </c>
      <c r="D59" s="23">
        <v>2495996.9200000004</v>
      </c>
      <c r="E59" s="23">
        <f t="shared" si="0"/>
        <v>2995196.3040000005</v>
      </c>
      <c r="F59" s="21" t="s">
        <v>91</v>
      </c>
      <c r="G59" s="21" t="s">
        <v>15</v>
      </c>
      <c r="H59" s="21"/>
    </row>
    <row r="60" spans="1:9" hidden="1" outlineLevel="1" x14ac:dyDescent="0.3">
      <c r="A60" s="21" t="s">
        <v>213</v>
      </c>
      <c r="B60" s="21" t="s">
        <v>338</v>
      </c>
      <c r="C60" s="21" t="s">
        <v>152</v>
      </c>
      <c r="D60" s="23">
        <v>35147.06</v>
      </c>
      <c r="E60" s="23">
        <f t="shared" si="0"/>
        <v>42176.471999999994</v>
      </c>
      <c r="F60" s="21" t="s">
        <v>51</v>
      </c>
      <c r="G60" s="21" t="s">
        <v>15</v>
      </c>
      <c r="H60" s="21"/>
    </row>
    <row r="61" spans="1:9" ht="15" collapsed="1" thickBot="1" x14ac:dyDescent="0.35">
      <c r="A61" s="56" t="s">
        <v>213</v>
      </c>
      <c r="B61" s="56" t="s">
        <v>185</v>
      </c>
      <c r="C61" s="56" t="s">
        <v>339</v>
      </c>
      <c r="D61" s="57">
        <v>233657.5</v>
      </c>
      <c r="E61" s="57">
        <f t="shared" si="0"/>
        <v>280389</v>
      </c>
      <c r="F61" s="56" t="s">
        <v>71</v>
      </c>
      <c r="G61" s="56" t="s">
        <v>15</v>
      </c>
      <c r="H61" s="56" t="s">
        <v>306</v>
      </c>
      <c r="I61" t="s">
        <v>460</v>
      </c>
    </row>
    <row r="62" spans="1:9" hidden="1" outlineLevel="1" x14ac:dyDescent="0.3">
      <c r="A62" s="26" t="s">
        <v>340</v>
      </c>
      <c r="B62" s="26" t="s">
        <v>341</v>
      </c>
      <c r="C62" s="26" t="s">
        <v>152</v>
      </c>
      <c r="D62" s="27">
        <v>94701.6</v>
      </c>
      <c r="E62" s="27">
        <f t="shared" si="0"/>
        <v>113641.92</v>
      </c>
      <c r="F62" s="26" t="s">
        <v>51</v>
      </c>
      <c r="G62" s="26" t="s">
        <v>15</v>
      </c>
      <c r="H62" s="26"/>
    </row>
    <row r="63" spans="1:9" hidden="1" outlineLevel="1" x14ac:dyDescent="0.3">
      <c r="A63" s="21" t="s">
        <v>342</v>
      </c>
      <c r="B63" s="21" t="s">
        <v>343</v>
      </c>
      <c r="C63" s="21" t="s">
        <v>152</v>
      </c>
      <c r="D63" s="23">
        <v>6130.8099999999995</v>
      </c>
      <c r="E63" s="23">
        <f t="shared" si="0"/>
        <v>7356.9719999999988</v>
      </c>
      <c r="F63" s="21" t="s">
        <v>51</v>
      </c>
      <c r="G63" s="21" t="s">
        <v>15</v>
      </c>
      <c r="H63" s="21"/>
    </row>
    <row r="64" spans="1:9" hidden="1" outlineLevel="1" x14ac:dyDescent="0.3">
      <c r="A64" s="21" t="s">
        <v>344</v>
      </c>
      <c r="B64" s="21" t="s">
        <v>159</v>
      </c>
      <c r="C64" s="21" t="s">
        <v>152</v>
      </c>
      <c r="D64" s="23">
        <v>51684.55</v>
      </c>
      <c r="E64" s="23">
        <f t="shared" si="0"/>
        <v>62021.46</v>
      </c>
      <c r="F64" s="21" t="s">
        <v>51</v>
      </c>
      <c r="G64" s="21" t="s">
        <v>15</v>
      </c>
      <c r="H64" s="21"/>
    </row>
    <row r="65" spans="1:9" hidden="1" outlineLevel="1" x14ac:dyDescent="0.3">
      <c r="A65" s="21" t="s">
        <v>345</v>
      </c>
      <c r="B65" s="21" t="s">
        <v>74</v>
      </c>
      <c r="C65" s="21" t="s">
        <v>103</v>
      </c>
      <c r="D65" s="23">
        <v>7042440.1999999993</v>
      </c>
      <c r="E65" s="23">
        <f t="shared" si="0"/>
        <v>8450928.2399999984</v>
      </c>
      <c r="F65" s="21" t="s">
        <v>91</v>
      </c>
      <c r="G65" s="21" t="s">
        <v>15</v>
      </c>
      <c r="H65" s="21"/>
    </row>
    <row r="66" spans="1:9" ht="15" hidden="1" outlineLevel="1" thickBot="1" x14ac:dyDescent="0.35">
      <c r="A66" s="28" t="s">
        <v>346</v>
      </c>
      <c r="B66" s="28" t="s">
        <v>347</v>
      </c>
      <c r="C66" s="28" t="s">
        <v>152</v>
      </c>
      <c r="D66" s="29">
        <v>46.24</v>
      </c>
      <c r="E66" s="29">
        <f t="shared" si="0"/>
        <v>55.488</v>
      </c>
      <c r="F66" s="28" t="s">
        <v>51</v>
      </c>
      <c r="G66" s="28" t="s">
        <v>15</v>
      </c>
      <c r="H66" s="28"/>
    </row>
    <row r="67" spans="1:9" collapsed="1" x14ac:dyDescent="0.3">
      <c r="A67" s="26" t="s">
        <v>348</v>
      </c>
      <c r="B67" s="26" t="s">
        <v>349</v>
      </c>
      <c r="C67" s="26" t="s">
        <v>263</v>
      </c>
      <c r="D67" s="27">
        <v>272083.52999999997</v>
      </c>
      <c r="E67" s="27">
        <f t="shared" si="0"/>
        <v>326500.23599999998</v>
      </c>
      <c r="F67" s="26" t="s">
        <v>13</v>
      </c>
      <c r="G67" s="26" t="s">
        <v>15</v>
      </c>
      <c r="H67" s="26"/>
    </row>
    <row r="68" spans="1:9" x14ac:dyDescent="0.3">
      <c r="A68" s="21" t="s">
        <v>17</v>
      </c>
      <c r="B68" s="21" t="s">
        <v>179</v>
      </c>
      <c r="C68" s="21" t="s">
        <v>134</v>
      </c>
      <c r="D68" s="23">
        <v>97644.500000000015</v>
      </c>
      <c r="E68" s="23">
        <f t="shared" si="0"/>
        <v>117173.40000000001</v>
      </c>
      <c r="F68" s="21" t="s">
        <v>20</v>
      </c>
      <c r="G68" s="21" t="s">
        <v>15</v>
      </c>
      <c r="H68" s="21"/>
    </row>
    <row r="69" spans="1:9" x14ac:dyDescent="0.3">
      <c r="A69" s="21" t="s">
        <v>350</v>
      </c>
      <c r="B69" s="21" t="s">
        <v>176</v>
      </c>
      <c r="C69" s="21" t="s">
        <v>134</v>
      </c>
      <c r="D69" s="23">
        <v>497896.51</v>
      </c>
      <c r="E69" s="23">
        <f t="shared" si="0"/>
        <v>597475.81200000003</v>
      </c>
      <c r="F69" s="21" t="s">
        <v>20</v>
      </c>
      <c r="G69" s="21" t="s">
        <v>15</v>
      </c>
      <c r="H69" s="21"/>
    </row>
    <row r="70" spans="1:9" x14ac:dyDescent="0.3">
      <c r="A70" s="21" t="s">
        <v>351</v>
      </c>
      <c r="B70" s="21" t="s">
        <v>352</v>
      </c>
      <c r="C70" s="21" t="s">
        <v>306</v>
      </c>
      <c r="D70" s="23">
        <v>37546.32</v>
      </c>
      <c r="E70" s="23">
        <f t="shared" ref="E70:E97" si="1">D70*1.2</f>
        <v>45055.583999999995</v>
      </c>
      <c r="F70" s="21" t="s">
        <v>71</v>
      </c>
      <c r="G70" s="21" t="s">
        <v>15</v>
      </c>
      <c r="H70" s="21"/>
    </row>
    <row r="71" spans="1:9" x14ac:dyDescent="0.3">
      <c r="A71" s="21" t="s">
        <v>353</v>
      </c>
      <c r="B71" s="21" t="s">
        <v>354</v>
      </c>
      <c r="C71" s="21" t="s">
        <v>263</v>
      </c>
      <c r="D71" s="23">
        <v>273617.68</v>
      </c>
      <c r="E71" s="23">
        <f t="shared" si="1"/>
        <v>328341.21599999996</v>
      </c>
      <c r="F71" s="21" t="s">
        <v>13</v>
      </c>
      <c r="G71" s="21" t="s">
        <v>15</v>
      </c>
      <c r="H71" s="21"/>
    </row>
    <row r="72" spans="1:9" x14ac:dyDescent="0.3">
      <c r="A72" s="30" t="s">
        <v>355</v>
      </c>
      <c r="B72" s="30" t="s">
        <v>86</v>
      </c>
      <c r="C72" s="30" t="s">
        <v>290</v>
      </c>
      <c r="D72" s="31">
        <v>7073.44</v>
      </c>
      <c r="E72" s="31">
        <f t="shared" si="1"/>
        <v>8488.1279999999988</v>
      </c>
      <c r="F72" s="30"/>
      <c r="G72" s="30" t="s">
        <v>291</v>
      </c>
      <c r="H72" s="30" t="s">
        <v>356</v>
      </c>
      <c r="I72" s="32" t="s">
        <v>408</v>
      </c>
    </row>
    <row r="73" spans="1:9" x14ac:dyDescent="0.3">
      <c r="A73" s="21" t="s">
        <v>357</v>
      </c>
      <c r="B73" s="21" t="s">
        <v>173</v>
      </c>
      <c r="C73" s="33" t="s">
        <v>264</v>
      </c>
      <c r="D73" s="34">
        <v>257838.03</v>
      </c>
      <c r="E73" s="23">
        <f t="shared" si="1"/>
        <v>309405.636</v>
      </c>
      <c r="F73" s="21"/>
      <c r="G73" s="21" t="s">
        <v>15</v>
      </c>
      <c r="H73" s="21" t="s">
        <v>358</v>
      </c>
    </row>
    <row r="74" spans="1:9" x14ac:dyDescent="0.3">
      <c r="A74" s="21" t="s">
        <v>359</v>
      </c>
      <c r="B74" s="21" t="s">
        <v>360</v>
      </c>
      <c r="C74" s="21" t="s">
        <v>134</v>
      </c>
      <c r="D74" s="23">
        <v>147015.15000000002</v>
      </c>
      <c r="E74" s="23">
        <f t="shared" si="1"/>
        <v>176418.18000000002</v>
      </c>
      <c r="F74" s="21" t="s">
        <v>20</v>
      </c>
      <c r="G74" s="21" t="s">
        <v>15</v>
      </c>
      <c r="H74" s="21"/>
    </row>
    <row r="75" spans="1:9" x14ac:dyDescent="0.3">
      <c r="A75" s="30" t="s">
        <v>361</v>
      </c>
      <c r="B75" s="30" t="s">
        <v>100</v>
      </c>
      <c r="C75" s="30" t="s">
        <v>290</v>
      </c>
      <c r="D75" s="31">
        <v>4454.46</v>
      </c>
      <c r="E75" s="31">
        <f t="shared" si="1"/>
        <v>5345.3519999999999</v>
      </c>
      <c r="F75" s="30"/>
      <c r="G75" s="30" t="s">
        <v>291</v>
      </c>
      <c r="H75" s="30" t="s">
        <v>362</v>
      </c>
    </row>
    <row r="76" spans="1:9" x14ac:dyDescent="0.3">
      <c r="A76" s="21" t="s">
        <v>363</v>
      </c>
      <c r="B76" s="21" t="s">
        <v>364</v>
      </c>
      <c r="C76" s="33" t="s">
        <v>365</v>
      </c>
      <c r="D76" s="34">
        <v>40913.449999999997</v>
      </c>
      <c r="E76" s="23">
        <f t="shared" si="1"/>
        <v>49096.139999999992</v>
      </c>
      <c r="F76" s="21"/>
      <c r="G76" s="21" t="s">
        <v>15</v>
      </c>
      <c r="H76" s="21" t="s">
        <v>366</v>
      </c>
    </row>
    <row r="77" spans="1:9" x14ac:dyDescent="0.3">
      <c r="A77" s="21" t="s">
        <v>367</v>
      </c>
      <c r="B77" s="21" t="s">
        <v>368</v>
      </c>
      <c r="C77" s="21" t="s">
        <v>134</v>
      </c>
      <c r="D77" s="23">
        <v>399175.44000000006</v>
      </c>
      <c r="E77" s="23">
        <f t="shared" si="1"/>
        <v>479010.52800000005</v>
      </c>
      <c r="F77" s="21" t="s">
        <v>20</v>
      </c>
      <c r="G77" s="21" t="s">
        <v>15</v>
      </c>
      <c r="H77" s="21"/>
    </row>
    <row r="78" spans="1:9" x14ac:dyDescent="0.3">
      <c r="A78" s="21" t="s">
        <v>367</v>
      </c>
      <c r="B78" s="21" t="s">
        <v>369</v>
      </c>
      <c r="C78" s="21" t="s">
        <v>134</v>
      </c>
      <c r="D78" s="23">
        <v>60912.31</v>
      </c>
      <c r="E78" s="23">
        <f t="shared" si="1"/>
        <v>73094.771999999997</v>
      </c>
      <c r="F78" s="21" t="s">
        <v>20</v>
      </c>
      <c r="G78" s="21" t="s">
        <v>15</v>
      </c>
      <c r="H78" s="21"/>
    </row>
    <row r="79" spans="1:9" x14ac:dyDescent="0.3">
      <c r="A79" s="30" t="s">
        <v>370</v>
      </c>
      <c r="B79" s="30" t="s">
        <v>371</v>
      </c>
      <c r="C79" s="30" t="s">
        <v>412</v>
      </c>
      <c r="D79" s="31">
        <v>315.87</v>
      </c>
      <c r="E79" s="31">
        <f t="shared" si="1"/>
        <v>379.04399999999998</v>
      </c>
      <c r="F79" s="30"/>
      <c r="G79" s="30" t="s">
        <v>291</v>
      </c>
      <c r="H79" s="30" t="s">
        <v>372</v>
      </c>
      <c r="I79" s="32" t="s">
        <v>408</v>
      </c>
    </row>
    <row r="80" spans="1:9" x14ac:dyDescent="0.3">
      <c r="A80" s="21" t="s">
        <v>373</v>
      </c>
      <c r="B80" s="21" t="s">
        <v>374</v>
      </c>
      <c r="C80" s="21" t="s">
        <v>263</v>
      </c>
      <c r="D80" s="23">
        <v>152154.19</v>
      </c>
      <c r="E80" s="23">
        <f t="shared" si="1"/>
        <v>182585.02799999999</v>
      </c>
      <c r="F80" s="21" t="s">
        <v>13</v>
      </c>
      <c r="G80" s="21" t="s">
        <v>15</v>
      </c>
      <c r="H80" s="21"/>
    </row>
    <row r="81" spans="1:8" x14ac:dyDescent="0.3">
      <c r="A81" s="21" t="s">
        <v>375</v>
      </c>
      <c r="B81" s="21" t="s">
        <v>376</v>
      </c>
      <c r="C81" s="21" t="s">
        <v>134</v>
      </c>
      <c r="D81" s="23">
        <v>11261.619999999999</v>
      </c>
      <c r="E81" s="23">
        <f t="shared" si="1"/>
        <v>13513.943999999998</v>
      </c>
      <c r="F81" s="21" t="s">
        <v>20</v>
      </c>
      <c r="G81" s="21" t="s">
        <v>15</v>
      </c>
      <c r="H81" s="21"/>
    </row>
    <row r="82" spans="1:8" x14ac:dyDescent="0.3">
      <c r="A82" s="21" t="s">
        <v>377</v>
      </c>
      <c r="B82" s="21" t="s">
        <v>378</v>
      </c>
      <c r="C82" s="21" t="s">
        <v>134</v>
      </c>
      <c r="D82" s="23">
        <v>9939.6200000000008</v>
      </c>
      <c r="E82" s="23">
        <f t="shared" si="1"/>
        <v>11927.544</v>
      </c>
      <c r="F82" s="21" t="s">
        <v>20</v>
      </c>
      <c r="G82" s="21" t="s">
        <v>15</v>
      </c>
      <c r="H82" s="21"/>
    </row>
    <row r="83" spans="1:8" x14ac:dyDescent="0.3">
      <c r="A83" s="21" t="s">
        <v>150</v>
      </c>
      <c r="B83" s="21" t="s">
        <v>379</v>
      </c>
      <c r="C83" s="21" t="s">
        <v>152</v>
      </c>
      <c r="D83" s="23">
        <v>11655.64</v>
      </c>
      <c r="E83" s="23">
        <f t="shared" si="1"/>
        <v>13986.767999999998</v>
      </c>
      <c r="F83" s="21" t="s">
        <v>51</v>
      </c>
      <c r="G83" s="21" t="s">
        <v>15</v>
      </c>
      <c r="H83" s="21"/>
    </row>
    <row r="84" spans="1:8" x14ac:dyDescent="0.3">
      <c r="A84" s="21" t="s">
        <v>380</v>
      </c>
      <c r="B84" s="21" t="s">
        <v>182</v>
      </c>
      <c r="C84" s="21" t="s">
        <v>134</v>
      </c>
      <c r="D84" s="23">
        <v>355801.22</v>
      </c>
      <c r="E84" s="23">
        <f t="shared" si="1"/>
        <v>426961.46399999998</v>
      </c>
      <c r="F84" s="21" t="s">
        <v>20</v>
      </c>
      <c r="G84" s="21" t="s">
        <v>15</v>
      </c>
      <c r="H84" s="21"/>
    </row>
    <row r="85" spans="1:8" x14ac:dyDescent="0.3">
      <c r="A85" s="21" t="s">
        <v>381</v>
      </c>
      <c r="B85" s="21" t="s">
        <v>382</v>
      </c>
      <c r="C85" s="21" t="s">
        <v>263</v>
      </c>
      <c r="D85" s="23">
        <v>60028.63</v>
      </c>
      <c r="E85" s="23">
        <f t="shared" si="1"/>
        <v>72034.356</v>
      </c>
      <c r="F85" s="21" t="s">
        <v>13</v>
      </c>
      <c r="G85" s="21" t="s">
        <v>15</v>
      </c>
      <c r="H85" s="21"/>
    </row>
    <row r="86" spans="1:8" x14ac:dyDescent="0.3">
      <c r="A86" s="21" t="s">
        <v>383</v>
      </c>
      <c r="B86" s="21" t="s">
        <v>384</v>
      </c>
      <c r="C86" s="21" t="s">
        <v>152</v>
      </c>
      <c r="D86" s="23">
        <v>486.76</v>
      </c>
      <c r="E86" s="23">
        <f t="shared" si="1"/>
        <v>584.11199999999997</v>
      </c>
      <c r="F86" s="21" t="s">
        <v>51</v>
      </c>
      <c r="G86" s="21" t="s">
        <v>15</v>
      </c>
      <c r="H86" s="21"/>
    </row>
    <row r="87" spans="1:8" x14ac:dyDescent="0.3">
      <c r="A87" s="21" t="s">
        <v>385</v>
      </c>
      <c r="B87" s="21" t="s">
        <v>386</v>
      </c>
      <c r="C87" s="21" t="s">
        <v>152</v>
      </c>
      <c r="D87" s="23">
        <v>29579.599999999999</v>
      </c>
      <c r="E87" s="23">
        <f t="shared" si="1"/>
        <v>35495.519999999997</v>
      </c>
      <c r="F87" s="21" t="s">
        <v>51</v>
      </c>
      <c r="G87" s="21" t="s">
        <v>15</v>
      </c>
      <c r="H87" s="21"/>
    </row>
    <row r="88" spans="1:8" x14ac:dyDescent="0.3">
      <c r="A88" s="21" t="s">
        <v>387</v>
      </c>
      <c r="B88" s="21" t="s">
        <v>388</v>
      </c>
      <c r="C88" s="21" t="s">
        <v>134</v>
      </c>
      <c r="D88" s="23">
        <v>633.4</v>
      </c>
      <c r="E88" s="23">
        <f t="shared" si="1"/>
        <v>760.07999999999993</v>
      </c>
      <c r="F88" s="21" t="s">
        <v>20</v>
      </c>
      <c r="G88" s="21" t="s">
        <v>15</v>
      </c>
      <c r="H88" s="21"/>
    </row>
    <row r="89" spans="1:8" x14ac:dyDescent="0.3">
      <c r="A89" s="21" t="s">
        <v>389</v>
      </c>
      <c r="B89" s="21" t="s">
        <v>390</v>
      </c>
      <c r="C89" s="21" t="s">
        <v>103</v>
      </c>
      <c r="D89" s="23">
        <v>143482.76</v>
      </c>
      <c r="E89" s="23">
        <f t="shared" si="1"/>
        <v>172179.31200000001</v>
      </c>
      <c r="F89" s="21" t="s">
        <v>91</v>
      </c>
      <c r="G89" s="21" t="s">
        <v>15</v>
      </c>
      <c r="H89" s="21"/>
    </row>
    <row r="90" spans="1:8" x14ac:dyDescent="0.3">
      <c r="A90" s="21" t="s">
        <v>391</v>
      </c>
      <c r="B90" s="21" t="s">
        <v>392</v>
      </c>
      <c r="C90" s="21" t="s">
        <v>306</v>
      </c>
      <c r="D90" s="23">
        <v>71925.83</v>
      </c>
      <c r="E90" s="23">
        <f t="shared" si="1"/>
        <v>86310.995999999999</v>
      </c>
      <c r="F90" s="21" t="s">
        <v>71</v>
      </c>
      <c r="G90" s="21" t="s">
        <v>15</v>
      </c>
      <c r="H90" s="21"/>
    </row>
    <row r="91" spans="1:8" x14ac:dyDescent="0.3">
      <c r="A91" s="21" t="s">
        <v>393</v>
      </c>
      <c r="B91" s="21" t="s">
        <v>394</v>
      </c>
      <c r="C91" s="21" t="s">
        <v>306</v>
      </c>
      <c r="D91" s="23">
        <v>861506.98000000021</v>
      </c>
      <c r="E91" s="23">
        <f t="shared" si="1"/>
        <v>1033808.3760000002</v>
      </c>
      <c r="F91" s="21" t="s">
        <v>71</v>
      </c>
      <c r="G91" s="21" t="s">
        <v>15</v>
      </c>
      <c r="H91" s="21"/>
    </row>
    <row r="92" spans="1:8" x14ac:dyDescent="0.3">
      <c r="A92" s="21" t="s">
        <v>395</v>
      </c>
      <c r="B92" s="21" t="s">
        <v>396</v>
      </c>
      <c r="C92" s="21" t="s">
        <v>103</v>
      </c>
      <c r="D92" s="23">
        <v>150470.36000000002</v>
      </c>
      <c r="E92" s="23">
        <f t="shared" si="1"/>
        <v>180564.432</v>
      </c>
      <c r="F92" s="21" t="s">
        <v>91</v>
      </c>
      <c r="G92" s="21" t="s">
        <v>15</v>
      </c>
      <c r="H92" s="21"/>
    </row>
    <row r="93" spans="1:8" x14ac:dyDescent="0.3">
      <c r="A93" s="21" t="s">
        <v>397</v>
      </c>
      <c r="B93" s="21" t="s">
        <v>398</v>
      </c>
      <c r="C93" s="21" t="s">
        <v>103</v>
      </c>
      <c r="D93" s="23">
        <v>1455105</v>
      </c>
      <c r="E93" s="23">
        <f t="shared" si="1"/>
        <v>1746126</v>
      </c>
      <c r="F93" s="21" t="s">
        <v>91</v>
      </c>
      <c r="G93" s="21" t="s">
        <v>15</v>
      </c>
      <c r="H93" s="21"/>
    </row>
    <row r="94" spans="1:8" x14ac:dyDescent="0.3">
      <c r="A94" s="21" t="s">
        <v>399</v>
      </c>
      <c r="B94" s="21" t="s">
        <v>400</v>
      </c>
      <c r="C94" s="21" t="s">
        <v>152</v>
      </c>
      <c r="D94" s="23">
        <v>6345.73</v>
      </c>
      <c r="E94" s="23">
        <f t="shared" si="1"/>
        <v>7614.8759999999993</v>
      </c>
      <c r="F94" s="21" t="s">
        <v>51</v>
      </c>
      <c r="G94" s="21" t="s">
        <v>15</v>
      </c>
      <c r="H94" s="21" t="s">
        <v>314</v>
      </c>
    </row>
    <row r="95" spans="1:8" x14ac:dyDescent="0.3">
      <c r="A95" s="21" t="s">
        <v>401</v>
      </c>
      <c r="B95" s="21" t="s">
        <v>402</v>
      </c>
      <c r="C95" s="21" t="s">
        <v>152</v>
      </c>
      <c r="D95" s="23">
        <v>7284</v>
      </c>
      <c r="E95" s="23">
        <f t="shared" si="1"/>
        <v>8740.7999999999993</v>
      </c>
      <c r="F95" s="21" t="s">
        <v>51</v>
      </c>
      <c r="G95" s="21" t="s">
        <v>15</v>
      </c>
      <c r="H95" s="21"/>
    </row>
    <row r="96" spans="1:8" x14ac:dyDescent="0.3">
      <c r="A96" s="21" t="s">
        <v>403</v>
      </c>
      <c r="B96" s="21" t="s">
        <v>404</v>
      </c>
      <c r="C96" s="21" t="s">
        <v>152</v>
      </c>
      <c r="D96" s="23">
        <v>2077.0500000000002</v>
      </c>
      <c r="E96" s="23">
        <f t="shared" si="1"/>
        <v>2492.46</v>
      </c>
      <c r="F96" s="21" t="s">
        <v>51</v>
      </c>
      <c r="G96" s="21" t="s">
        <v>15</v>
      </c>
      <c r="H96" s="21" t="s">
        <v>405</v>
      </c>
    </row>
    <row r="97" spans="1:8" x14ac:dyDescent="0.3">
      <c r="A97" s="21" t="s">
        <v>235</v>
      </c>
      <c r="B97" s="21" t="s">
        <v>406</v>
      </c>
      <c r="C97" s="33" t="s">
        <v>365</v>
      </c>
      <c r="D97" s="34">
        <v>304942.95999999996</v>
      </c>
      <c r="E97" s="23">
        <f t="shared" si="1"/>
        <v>365931.55199999997</v>
      </c>
      <c r="F97" s="21"/>
      <c r="G97" s="21" t="s">
        <v>15</v>
      </c>
      <c r="H97" s="21" t="s">
        <v>407</v>
      </c>
    </row>
    <row r="98" spans="1:8" x14ac:dyDescent="0.3">
      <c r="E98" s="25">
        <f>SUM(E67:E97)</f>
        <v>6877401.648000001</v>
      </c>
    </row>
    <row r="99" spans="1:8" x14ac:dyDescent="0.3">
      <c r="A99" s="35" t="s">
        <v>413</v>
      </c>
      <c r="B99" s="36"/>
    </row>
    <row r="100" spans="1:8" x14ac:dyDescent="0.3">
      <c r="A100" s="21" t="s">
        <v>409</v>
      </c>
      <c r="B100" s="21" t="s">
        <v>410</v>
      </c>
      <c r="C100" s="33" t="s">
        <v>365</v>
      </c>
      <c r="D100" s="34">
        <v>82416.400000000009</v>
      </c>
      <c r="E100" s="23">
        <f t="shared" ref="E100" si="2">D100*1.2</f>
        <v>98899.680000000008</v>
      </c>
      <c r="G100" s="21" t="s">
        <v>411</v>
      </c>
      <c r="H100" s="21" t="s">
        <v>139</v>
      </c>
    </row>
    <row r="103" spans="1:8" x14ac:dyDescent="0.3">
      <c r="C103" t="s">
        <v>263</v>
      </c>
      <c r="D103" s="63">
        <f>SUMIF($C$67:$C$97,C103,$E$67:$E$97)</f>
        <v>909460.83600000001</v>
      </c>
    </row>
    <row r="104" spans="1:8" x14ac:dyDescent="0.3">
      <c r="C104" t="s">
        <v>134</v>
      </c>
      <c r="D104" s="63">
        <f t="shared" ref="D104:D109" si="3">SUMIF($C$67:$C$97,C104,$E$67:$E$97)</f>
        <v>1896335.7240000002</v>
      </c>
    </row>
    <row r="105" spans="1:8" x14ac:dyDescent="0.3">
      <c r="C105" t="s">
        <v>306</v>
      </c>
      <c r="D105" s="63">
        <f>SUMIF($C$67:$C$97,C105,$E$67:$E$97)</f>
        <v>1165174.9560000002</v>
      </c>
    </row>
    <row r="106" spans="1:8" x14ac:dyDescent="0.3">
      <c r="C106" t="s">
        <v>264</v>
      </c>
      <c r="D106" s="63">
        <f t="shared" si="3"/>
        <v>309405.636</v>
      </c>
      <c r="E106" t="s">
        <v>462</v>
      </c>
    </row>
    <row r="107" spans="1:8" x14ac:dyDescent="0.3">
      <c r="C107" t="s">
        <v>365</v>
      </c>
      <c r="D107" s="63">
        <f t="shared" si="3"/>
        <v>415027.69199999998</v>
      </c>
      <c r="E107" t="s">
        <v>462</v>
      </c>
    </row>
    <row r="108" spans="1:8" x14ac:dyDescent="0.3">
      <c r="C108" t="s">
        <v>152</v>
      </c>
      <c r="D108" s="63">
        <f t="shared" si="3"/>
        <v>68914.535999999993</v>
      </c>
    </row>
    <row r="109" spans="1:8" x14ac:dyDescent="0.3">
      <c r="C109" t="s">
        <v>103</v>
      </c>
      <c r="D109" s="63">
        <f t="shared" si="3"/>
        <v>2098869.7439999999</v>
      </c>
    </row>
    <row r="110" spans="1:8" x14ac:dyDescent="0.3">
      <c r="C110" s="5" t="s">
        <v>461</v>
      </c>
      <c r="D110" s="58">
        <f>SUM(D103:D109)</f>
        <v>6863189.1240000008</v>
      </c>
    </row>
    <row r="111" spans="1:8" x14ac:dyDescent="0.3">
      <c r="D111" s="59">
        <f>E98-D110-E72-E75-E79</f>
        <v>2.0997958927182481E-10</v>
      </c>
    </row>
    <row r="113" spans="1:7" x14ac:dyDescent="0.3">
      <c r="A113" s="68" t="s">
        <v>0</v>
      </c>
      <c r="B113" s="68" t="s">
        <v>1</v>
      </c>
      <c r="C113" s="68" t="s">
        <v>109</v>
      </c>
      <c r="D113" s="68"/>
      <c r="E113" s="68"/>
      <c r="F113" s="68" t="s">
        <v>5</v>
      </c>
      <c r="G113" s="68" t="s">
        <v>7</v>
      </c>
    </row>
    <row r="114" spans="1:7" x14ac:dyDescent="0.3">
      <c r="A114" s="21" t="s">
        <v>477</v>
      </c>
      <c r="B114" s="21" t="s">
        <v>196</v>
      </c>
      <c r="C114" s="21" t="s">
        <v>306</v>
      </c>
      <c r="D114" s="69">
        <v>106900.52000000002</v>
      </c>
      <c r="E114" s="69">
        <f>D114*1.2</f>
        <v>128280.62400000001</v>
      </c>
      <c r="F114" s="21" t="s">
        <v>71</v>
      </c>
      <c r="G114" s="21" t="s">
        <v>15</v>
      </c>
    </row>
    <row r="115" spans="1:7" x14ac:dyDescent="0.3">
      <c r="A115" s="21" t="s">
        <v>478</v>
      </c>
      <c r="B115" s="21" t="s">
        <v>199</v>
      </c>
      <c r="C115" s="21" t="s">
        <v>306</v>
      </c>
      <c r="D115" s="69">
        <v>149744.09</v>
      </c>
      <c r="E115" s="69">
        <f>D115*1.2</f>
        <v>179692.908</v>
      </c>
      <c r="F115" s="21" t="s">
        <v>71</v>
      </c>
      <c r="G115" s="21" t="s">
        <v>15</v>
      </c>
    </row>
    <row r="116" spans="1:7" x14ac:dyDescent="0.3">
      <c r="E116" s="17">
        <f>SUM(E114:E115)</f>
        <v>307973.53200000001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workbookViewId="0">
      <selection activeCell="G8" sqref="G8"/>
    </sheetView>
  </sheetViews>
  <sheetFormatPr defaultRowHeight="14.4" x14ac:dyDescent="0.3"/>
  <cols>
    <col min="1" max="1" width="64.77734375" customWidth="1"/>
    <col min="2" max="6" width="14.77734375" customWidth="1"/>
    <col min="7" max="7" width="15.109375" style="25" customWidth="1"/>
  </cols>
  <sheetData>
    <row r="1" spans="1:8" ht="14.4" customHeight="1" x14ac:dyDescent="0.3">
      <c r="A1" s="37" t="s">
        <v>2</v>
      </c>
      <c r="B1" s="70" t="s">
        <v>414</v>
      </c>
      <c r="C1" s="70" t="s">
        <v>415</v>
      </c>
      <c r="D1" s="70" t="s">
        <v>416</v>
      </c>
      <c r="E1" s="70" t="s">
        <v>417</v>
      </c>
      <c r="F1" s="70" t="s">
        <v>418</v>
      </c>
    </row>
    <row r="2" spans="1:8" x14ac:dyDescent="0.3">
      <c r="A2" s="37" t="s">
        <v>112</v>
      </c>
      <c r="B2" s="71"/>
      <c r="C2" s="71"/>
      <c r="D2" s="71"/>
      <c r="E2" s="71"/>
      <c r="F2" s="71"/>
    </row>
    <row r="3" spans="1:8" x14ac:dyDescent="0.3">
      <c r="A3" s="37" t="s">
        <v>419</v>
      </c>
      <c r="B3" s="72"/>
      <c r="C3" s="72"/>
      <c r="D3" s="72"/>
      <c r="E3" s="72"/>
      <c r="F3" s="72"/>
    </row>
    <row r="4" spans="1:8" x14ac:dyDescent="0.3">
      <c r="A4" s="38" t="s">
        <v>90</v>
      </c>
      <c r="B4" s="39">
        <v>5392049.7199999997</v>
      </c>
      <c r="C4" s="39">
        <v>898674.95</v>
      </c>
      <c r="D4" s="39">
        <v>1993692.77</v>
      </c>
      <c r="E4" s="39">
        <v>244634.65</v>
      </c>
      <c r="F4" s="39">
        <v>2255047.35</v>
      </c>
    </row>
    <row r="5" spans="1:8" x14ac:dyDescent="0.3">
      <c r="A5" s="41" t="s">
        <v>420</v>
      </c>
      <c r="B5" s="42">
        <v>4723478.8499999996</v>
      </c>
      <c r="C5" s="42">
        <v>787246.47</v>
      </c>
      <c r="D5" s="42">
        <v>1598587.76</v>
      </c>
      <c r="E5" s="43"/>
      <c r="F5" s="42">
        <v>2337644.62</v>
      </c>
      <c r="G5" s="25">
        <f>D5+D8</f>
        <v>1749058.12</v>
      </c>
    </row>
    <row r="6" spans="1:8" x14ac:dyDescent="0.3">
      <c r="A6" s="44" t="s">
        <v>421</v>
      </c>
      <c r="B6" s="45">
        <v>4337508.26</v>
      </c>
      <c r="C6" s="45">
        <v>722918.04</v>
      </c>
      <c r="D6" s="46">
        <v>1455105</v>
      </c>
      <c r="E6" s="47"/>
      <c r="F6" s="45">
        <v>2159485.2200000002</v>
      </c>
      <c r="G6" s="25">
        <f>G5*1.2</f>
        <v>2098869.7439999999</v>
      </c>
    </row>
    <row r="7" spans="1:8" x14ac:dyDescent="0.3">
      <c r="A7" s="44" t="s">
        <v>422</v>
      </c>
      <c r="B7" s="45">
        <v>385970.59</v>
      </c>
      <c r="C7" s="45">
        <v>64328.43</v>
      </c>
      <c r="D7" s="45">
        <v>143482.76</v>
      </c>
      <c r="E7" s="47"/>
      <c r="F7" s="48">
        <v>178159.4</v>
      </c>
      <c r="G7" s="25">
        <f>G6-'Списание стройматериалов'!D109</f>
        <v>0</v>
      </c>
    </row>
    <row r="8" spans="1:8" x14ac:dyDescent="0.3">
      <c r="A8" s="41" t="s">
        <v>423</v>
      </c>
      <c r="B8" s="42">
        <v>254891.88</v>
      </c>
      <c r="C8" s="42">
        <v>42481.98</v>
      </c>
      <c r="D8" s="42">
        <v>150470.35999999999</v>
      </c>
      <c r="E8" s="43"/>
      <c r="F8" s="42">
        <v>61939.54</v>
      </c>
    </row>
    <row r="9" spans="1:8" x14ac:dyDescent="0.3">
      <c r="A9" s="44" t="s">
        <v>424</v>
      </c>
      <c r="B9" s="45">
        <v>254891.88</v>
      </c>
      <c r="C9" s="45">
        <v>42481.98</v>
      </c>
      <c r="D9" s="45">
        <v>150470.35999999999</v>
      </c>
      <c r="E9" s="47"/>
      <c r="F9" s="45">
        <v>61939.54</v>
      </c>
    </row>
    <row r="10" spans="1:8" x14ac:dyDescent="0.3">
      <c r="A10" s="41" t="s">
        <v>425</v>
      </c>
      <c r="B10" s="42">
        <v>413678.99</v>
      </c>
      <c r="C10" s="49">
        <v>68946.5</v>
      </c>
      <c r="D10" s="42">
        <v>244634.65</v>
      </c>
      <c r="E10" s="61">
        <v>244634.65</v>
      </c>
      <c r="F10" s="42">
        <v>-144536.81</v>
      </c>
      <c r="G10" s="25">
        <f>D10*1.2-Услуги_сторонних!D2</f>
        <v>0</v>
      </c>
    </row>
    <row r="11" spans="1:8" x14ac:dyDescent="0.3">
      <c r="A11" s="44" t="s">
        <v>426</v>
      </c>
      <c r="B11" s="45">
        <v>413678.99</v>
      </c>
      <c r="C11" s="48">
        <v>68946.5</v>
      </c>
      <c r="D11" s="45">
        <v>244634.65</v>
      </c>
      <c r="E11" s="60">
        <v>244634.65</v>
      </c>
      <c r="F11" s="45">
        <v>-144536.81</v>
      </c>
    </row>
    <row r="12" spans="1:8" x14ac:dyDescent="0.3">
      <c r="A12" s="38" t="s">
        <v>11</v>
      </c>
      <c r="B12" s="39">
        <v>2176279.42</v>
      </c>
      <c r="C12" s="39">
        <v>362713.24</v>
      </c>
      <c r="D12" s="39">
        <v>769470.88</v>
      </c>
      <c r="E12" s="40"/>
      <c r="F12" s="50">
        <v>1044095.3</v>
      </c>
    </row>
    <row r="13" spans="1:8" x14ac:dyDescent="0.3">
      <c r="A13" s="41" t="s">
        <v>427</v>
      </c>
      <c r="B13" s="42">
        <v>2176279.42</v>
      </c>
      <c r="C13" s="42">
        <v>362713.24</v>
      </c>
      <c r="D13" s="42">
        <v>769470.88</v>
      </c>
      <c r="E13" s="43"/>
      <c r="F13" s="49">
        <v>1044095.3</v>
      </c>
      <c r="H13" s="17"/>
    </row>
    <row r="14" spans="1:8" x14ac:dyDescent="0.3">
      <c r="A14" s="44" t="s">
        <v>428</v>
      </c>
      <c r="B14" s="45">
        <v>799931.26</v>
      </c>
      <c r="C14" s="45">
        <v>133321.88</v>
      </c>
      <c r="D14" s="45">
        <v>276803.53000000003</v>
      </c>
      <c r="E14" s="47"/>
      <c r="F14" s="45">
        <v>389805.85</v>
      </c>
    </row>
    <row r="15" spans="1:8" x14ac:dyDescent="0.3">
      <c r="A15" s="44" t="s">
        <v>429</v>
      </c>
      <c r="B15" s="45">
        <v>624835.32999999996</v>
      </c>
      <c r="C15" s="45">
        <v>104139.22</v>
      </c>
      <c r="D15" s="45">
        <v>278973.18</v>
      </c>
      <c r="E15" s="47"/>
      <c r="F15" s="45">
        <v>241722.93</v>
      </c>
    </row>
    <row r="16" spans="1:8" x14ac:dyDescent="0.3">
      <c r="A16" s="44" t="s">
        <v>430</v>
      </c>
      <c r="B16" s="45">
        <v>454335.91</v>
      </c>
      <c r="C16" s="45">
        <v>75722.649999999994</v>
      </c>
      <c r="D16" s="45">
        <v>153265.54</v>
      </c>
      <c r="E16" s="47"/>
      <c r="F16" s="45">
        <v>225347.72</v>
      </c>
    </row>
    <row r="17" spans="1:7" x14ac:dyDescent="0.3">
      <c r="A17" s="44" t="s">
        <v>431</v>
      </c>
      <c r="B17" s="45">
        <v>297176.92</v>
      </c>
      <c r="C17" s="45">
        <v>49529.49</v>
      </c>
      <c r="D17" s="45">
        <v>60428.63</v>
      </c>
      <c r="E17" s="47"/>
      <c r="F17" s="48">
        <v>187218.8</v>
      </c>
    </row>
    <row r="18" spans="1:7" x14ac:dyDescent="0.3">
      <c r="A18" s="38" t="s">
        <v>50</v>
      </c>
      <c r="B18" s="39">
        <v>3018091.11</v>
      </c>
      <c r="C18" s="39">
        <v>503015.17</v>
      </c>
      <c r="D18" s="39">
        <v>57153.52</v>
      </c>
      <c r="E18" s="39">
        <v>140248.29</v>
      </c>
      <c r="F18" s="39">
        <v>2317674.13</v>
      </c>
    </row>
    <row r="19" spans="1:7" x14ac:dyDescent="0.3">
      <c r="A19" s="41" t="s">
        <v>432</v>
      </c>
      <c r="B19" s="42">
        <v>3018091.11</v>
      </c>
      <c r="C19" s="42">
        <v>503015.17</v>
      </c>
      <c r="D19" s="42">
        <v>57153.52</v>
      </c>
      <c r="E19" s="61">
        <v>140248.29</v>
      </c>
      <c r="F19" s="42">
        <v>2317674.13</v>
      </c>
    </row>
    <row r="20" spans="1:7" x14ac:dyDescent="0.3">
      <c r="A20" s="44" t="s">
        <v>433</v>
      </c>
      <c r="B20" s="45">
        <v>413721.95</v>
      </c>
      <c r="C20" s="45">
        <v>68953.66</v>
      </c>
      <c r="D20" s="51">
        <v>560.92999999999995</v>
      </c>
      <c r="E20" s="47"/>
      <c r="F20" s="45">
        <v>344207.35999999999</v>
      </c>
    </row>
    <row r="21" spans="1:7" x14ac:dyDescent="0.3">
      <c r="A21" s="44" t="s">
        <v>434</v>
      </c>
      <c r="B21" s="45">
        <v>1036264.55</v>
      </c>
      <c r="C21" s="45">
        <v>172710.76</v>
      </c>
      <c r="D21" s="45">
        <v>35913.589999999997</v>
      </c>
      <c r="E21" s="60">
        <v>140248.29</v>
      </c>
      <c r="F21" s="45">
        <v>687391.91</v>
      </c>
      <c r="G21" s="25">
        <f>E21*1.2-Услуги_сторонних!D9</f>
        <v>-2.0000000076834112E-3</v>
      </c>
    </row>
    <row r="22" spans="1:7" x14ac:dyDescent="0.3">
      <c r="A22" s="44" t="s">
        <v>435</v>
      </c>
      <c r="B22" s="45">
        <v>1138171.1599999999</v>
      </c>
      <c r="C22" s="45">
        <v>189695.19</v>
      </c>
      <c r="D22" s="48">
        <v>20520.7</v>
      </c>
      <c r="E22" s="47"/>
      <c r="F22" s="45">
        <v>927955.27</v>
      </c>
    </row>
    <row r="23" spans="1:7" x14ac:dyDescent="0.3">
      <c r="A23" s="44" t="s">
        <v>436</v>
      </c>
      <c r="B23" s="45">
        <v>200009.66</v>
      </c>
      <c r="C23" s="45">
        <v>33334.93</v>
      </c>
      <c r="D23" s="47"/>
      <c r="E23" s="47"/>
      <c r="F23" s="45">
        <v>166674.73000000001</v>
      </c>
    </row>
    <row r="24" spans="1:7" x14ac:dyDescent="0.3">
      <c r="A24" s="44" t="s">
        <v>437</v>
      </c>
      <c r="B24" s="45">
        <v>229923.79</v>
      </c>
      <c r="C24" s="45">
        <v>38320.629999999997</v>
      </c>
      <c r="D24" s="52">
        <v>158.30000000000001</v>
      </c>
      <c r="E24" s="47"/>
      <c r="F24" s="45">
        <v>191444.86</v>
      </c>
    </row>
    <row r="25" spans="1:7" x14ac:dyDescent="0.3">
      <c r="A25" s="38" t="s">
        <v>70</v>
      </c>
      <c r="B25" s="39">
        <v>3087665.09</v>
      </c>
      <c r="C25" s="39">
        <v>514610.85</v>
      </c>
      <c r="D25" s="39">
        <v>933432.81</v>
      </c>
      <c r="E25" s="39">
        <v>150810.48000000001</v>
      </c>
      <c r="F25" s="39">
        <v>1488810.95</v>
      </c>
    </row>
    <row r="26" spans="1:7" x14ac:dyDescent="0.3">
      <c r="A26" s="41" t="s">
        <v>438</v>
      </c>
      <c r="B26" s="42">
        <v>3087665.09</v>
      </c>
      <c r="C26" s="42">
        <v>514610.85</v>
      </c>
      <c r="D26" s="42">
        <v>933432.81</v>
      </c>
      <c r="E26" s="42">
        <v>150810.48000000001</v>
      </c>
      <c r="F26" s="42">
        <v>1488810.95</v>
      </c>
    </row>
    <row r="27" spans="1:7" x14ac:dyDescent="0.3">
      <c r="A27" s="44" t="s">
        <v>439</v>
      </c>
      <c r="B27" s="48">
        <v>199719.5</v>
      </c>
      <c r="C27" s="45">
        <v>33286.58</v>
      </c>
      <c r="D27" s="45">
        <v>71925.83</v>
      </c>
      <c r="E27" s="45">
        <v>27681.34</v>
      </c>
      <c r="F27" s="45">
        <v>66825.75</v>
      </c>
      <c r="G27" s="25">
        <f>E26*1.2-Услуги_сторонних!D15</f>
        <v>-3.999999986262992E-3</v>
      </c>
    </row>
    <row r="28" spans="1:7" x14ac:dyDescent="0.3">
      <c r="A28" s="44" t="s">
        <v>440</v>
      </c>
      <c r="B28" s="45">
        <v>2012978.39</v>
      </c>
      <c r="C28" s="48">
        <v>335496.40000000002</v>
      </c>
      <c r="D28" s="45">
        <v>861506.98</v>
      </c>
      <c r="E28" s="47"/>
      <c r="F28" s="45">
        <v>815975.01</v>
      </c>
    </row>
    <row r="29" spans="1:7" x14ac:dyDescent="0.3">
      <c r="A29" s="44" t="s">
        <v>441</v>
      </c>
      <c r="B29" s="45">
        <v>64435.85</v>
      </c>
      <c r="C29" s="45">
        <v>10739.31</v>
      </c>
      <c r="D29" s="47"/>
      <c r="E29" s="47"/>
      <c r="F29" s="45">
        <v>53696.54</v>
      </c>
    </row>
    <row r="30" spans="1:7" x14ac:dyDescent="0.3">
      <c r="A30" s="44" t="s">
        <v>442</v>
      </c>
      <c r="B30" s="45">
        <v>122111.82</v>
      </c>
      <c r="C30" s="45">
        <v>20351.97</v>
      </c>
      <c r="D30" s="47"/>
      <c r="E30" s="47"/>
      <c r="F30" s="45">
        <v>101759.85</v>
      </c>
    </row>
    <row r="31" spans="1:7" x14ac:dyDescent="0.3">
      <c r="A31" s="64" t="s">
        <v>443</v>
      </c>
      <c r="B31" s="65">
        <v>203834.09</v>
      </c>
      <c r="C31" s="65">
        <v>33972.35</v>
      </c>
      <c r="D31" s="67"/>
      <c r="E31" s="65">
        <v>22572.53</v>
      </c>
      <c r="F31" s="65">
        <v>147289.21</v>
      </c>
      <c r="G31" s="66"/>
    </row>
    <row r="32" spans="1:7" x14ac:dyDescent="0.3">
      <c r="A32" s="64" t="s">
        <v>444</v>
      </c>
      <c r="B32" s="65">
        <v>484585.44</v>
      </c>
      <c r="C32" s="65">
        <v>80764.240000000005</v>
      </c>
      <c r="D32" s="67"/>
      <c r="E32" s="65">
        <v>100556.61</v>
      </c>
      <c r="F32" s="65">
        <v>303264.59000000003</v>
      </c>
      <c r="G32" s="66"/>
    </row>
    <row r="33" spans="1:6" x14ac:dyDescent="0.3">
      <c r="A33" s="38" t="s">
        <v>19</v>
      </c>
      <c r="B33" s="39">
        <v>4018299.99</v>
      </c>
      <c r="C33" s="39">
        <v>669716.66</v>
      </c>
      <c r="D33" s="39">
        <v>1592724.79</v>
      </c>
      <c r="E33" s="40"/>
      <c r="F33" s="39">
        <v>1755858.54</v>
      </c>
    </row>
    <row r="34" spans="1:6" x14ac:dyDescent="0.3">
      <c r="A34" s="41" t="s">
        <v>445</v>
      </c>
      <c r="B34" s="42">
        <v>1354183.89</v>
      </c>
      <c r="C34" s="42">
        <v>225697.31</v>
      </c>
      <c r="D34" s="42">
        <v>512069.26</v>
      </c>
      <c r="E34" s="43"/>
      <c r="F34" s="42">
        <v>616417.31999999995</v>
      </c>
    </row>
    <row r="35" spans="1:6" x14ac:dyDescent="0.3">
      <c r="A35" s="44" t="s">
        <v>446</v>
      </c>
      <c r="B35" s="45">
        <v>1306642.6599999999</v>
      </c>
      <c r="C35" s="45">
        <v>217773.77</v>
      </c>
      <c r="D35" s="45">
        <v>502129.64</v>
      </c>
      <c r="E35" s="47"/>
      <c r="F35" s="45">
        <v>586739.25</v>
      </c>
    </row>
    <row r="36" spans="1:6" x14ac:dyDescent="0.3">
      <c r="A36" s="44" t="s">
        <v>447</v>
      </c>
      <c r="B36" s="45">
        <v>47541.23</v>
      </c>
      <c r="C36" s="45">
        <v>7923.54</v>
      </c>
      <c r="D36" s="45">
        <v>9939.6200000000008</v>
      </c>
      <c r="E36" s="47"/>
      <c r="F36" s="45">
        <v>29678.07</v>
      </c>
    </row>
    <row r="37" spans="1:6" x14ac:dyDescent="0.3">
      <c r="A37" s="41" t="s">
        <v>448</v>
      </c>
      <c r="B37" s="49">
        <v>80944.5</v>
      </c>
      <c r="C37" s="42">
        <v>13490.75</v>
      </c>
      <c r="D37" s="42">
        <v>11261.62</v>
      </c>
      <c r="E37" s="43"/>
      <c r="F37" s="42">
        <v>56192.13</v>
      </c>
    </row>
    <row r="38" spans="1:6" x14ac:dyDescent="0.3">
      <c r="A38" s="44" t="s">
        <v>449</v>
      </c>
      <c r="B38" s="48">
        <v>80944.5</v>
      </c>
      <c r="C38" s="45">
        <v>13490.75</v>
      </c>
      <c r="D38" s="45">
        <v>11261.62</v>
      </c>
      <c r="E38" s="47"/>
      <c r="F38" s="45">
        <v>56192.13</v>
      </c>
    </row>
    <row r="39" spans="1:6" x14ac:dyDescent="0.3">
      <c r="A39" s="41" t="s">
        <v>450</v>
      </c>
      <c r="B39" s="42">
        <v>228576.73</v>
      </c>
      <c r="C39" s="42">
        <v>38096.120000000003</v>
      </c>
      <c r="D39" s="53">
        <v>633.4</v>
      </c>
      <c r="E39" s="43"/>
      <c r="F39" s="42">
        <v>189847.21</v>
      </c>
    </row>
    <row r="40" spans="1:6" x14ac:dyDescent="0.3">
      <c r="A40" s="44" t="s">
        <v>451</v>
      </c>
      <c r="B40" s="45">
        <v>228576.73</v>
      </c>
      <c r="C40" s="45">
        <v>38096.120000000003</v>
      </c>
      <c r="D40" s="52">
        <v>633.4</v>
      </c>
      <c r="E40" s="47"/>
      <c r="F40" s="45">
        <v>189847.21</v>
      </c>
    </row>
    <row r="41" spans="1:6" x14ac:dyDescent="0.3">
      <c r="A41" s="41" t="s">
        <v>452</v>
      </c>
      <c r="B41" s="42">
        <v>794767.32</v>
      </c>
      <c r="C41" s="42">
        <v>132461.22</v>
      </c>
      <c r="D41" s="42">
        <v>306405.58</v>
      </c>
      <c r="E41" s="43"/>
      <c r="F41" s="42">
        <v>355900.52</v>
      </c>
    </row>
    <row r="42" spans="1:6" x14ac:dyDescent="0.3">
      <c r="A42" s="44" t="s">
        <v>453</v>
      </c>
      <c r="B42" s="45">
        <v>236200.08</v>
      </c>
      <c r="C42" s="45">
        <v>39366.68</v>
      </c>
      <c r="D42" s="45">
        <v>97974.25</v>
      </c>
      <c r="E42" s="47"/>
      <c r="F42" s="45">
        <v>98859.15</v>
      </c>
    </row>
    <row r="43" spans="1:6" x14ac:dyDescent="0.3">
      <c r="A43" s="44" t="s">
        <v>454</v>
      </c>
      <c r="B43" s="48">
        <v>347357.4</v>
      </c>
      <c r="C43" s="48">
        <v>57892.9</v>
      </c>
      <c r="D43" s="45">
        <v>147519.01999999999</v>
      </c>
      <c r="E43" s="47"/>
      <c r="F43" s="45">
        <v>141945.48000000001</v>
      </c>
    </row>
    <row r="44" spans="1:6" x14ac:dyDescent="0.3">
      <c r="A44" s="44" t="s">
        <v>455</v>
      </c>
      <c r="B44" s="45">
        <v>211209.84</v>
      </c>
      <c r="C44" s="45">
        <v>35201.64</v>
      </c>
      <c r="D44" s="45">
        <v>60912.31</v>
      </c>
      <c r="E44" s="47"/>
      <c r="F44" s="45">
        <v>115095.89</v>
      </c>
    </row>
    <row r="45" spans="1:6" x14ac:dyDescent="0.3">
      <c r="A45" s="41" t="s">
        <v>456</v>
      </c>
      <c r="B45" s="42">
        <v>1559827.55</v>
      </c>
      <c r="C45" s="42">
        <v>259971.26</v>
      </c>
      <c r="D45" s="42">
        <v>762354.93</v>
      </c>
      <c r="E45" s="43"/>
      <c r="F45" s="42">
        <v>537501.36</v>
      </c>
    </row>
    <row r="46" spans="1:6" x14ac:dyDescent="0.3">
      <c r="A46" s="44" t="s">
        <v>457</v>
      </c>
      <c r="B46" s="45">
        <v>730363.62</v>
      </c>
      <c r="C46" s="45">
        <v>121727.27</v>
      </c>
      <c r="D46" s="45">
        <v>356638.85</v>
      </c>
      <c r="E46" s="47"/>
      <c r="F46" s="48">
        <v>251997.5</v>
      </c>
    </row>
    <row r="47" spans="1:6" x14ac:dyDescent="0.3">
      <c r="A47" s="44" t="s">
        <v>458</v>
      </c>
      <c r="B47" s="45">
        <v>829463.93</v>
      </c>
      <c r="C47" s="45">
        <v>138243.99</v>
      </c>
      <c r="D47" s="45">
        <v>405716.08</v>
      </c>
      <c r="E47" s="47"/>
      <c r="F47" s="45">
        <v>285503.86</v>
      </c>
    </row>
    <row r="48" spans="1:6" x14ac:dyDescent="0.3">
      <c r="A48" s="54" t="s">
        <v>459</v>
      </c>
      <c r="B48" s="55">
        <v>17692385.329999998</v>
      </c>
      <c r="C48" s="55">
        <v>2948730.87</v>
      </c>
      <c r="D48" s="55">
        <v>5346474.7699999996</v>
      </c>
      <c r="E48" s="55">
        <v>535693.42000000004</v>
      </c>
      <c r="F48" s="55">
        <v>8861486.2699999996</v>
      </c>
    </row>
  </sheetData>
  <mergeCells count="5">
    <mergeCell ref="F1:F3"/>
    <mergeCell ref="B1:B3"/>
    <mergeCell ref="C1:C3"/>
    <mergeCell ref="D1:D3"/>
    <mergeCell ref="E1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G12" sqref="G12:G14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12" bestFit="1" customWidth="1"/>
    <col min="4" max="4" width="9.88671875" bestFit="1" customWidth="1"/>
    <col min="5" max="5" width="7.6640625" bestFit="1" customWidth="1"/>
    <col min="6" max="6" width="7.44140625" bestFit="1" customWidth="1"/>
    <col min="7" max="7" width="27.21875" bestFit="1" customWidth="1"/>
    <col min="8" max="8" width="8.109375" bestFit="1" customWidth="1"/>
    <col min="9" max="9" width="9.33203125" bestFit="1" customWidth="1"/>
    <col min="10" max="10" width="35.77734375" bestFit="1" customWidth="1"/>
    <col min="11" max="11" width="48.21875" bestFit="1" customWidth="1"/>
    <col min="12" max="12" width="16.6640625" bestFit="1" customWidth="1"/>
    <col min="13" max="13" width="14.5546875" bestFit="1" customWidth="1"/>
  </cols>
  <sheetData>
    <row r="1" spans="1:14" x14ac:dyDescent="0.3">
      <c r="A1" s="7" t="s">
        <v>0</v>
      </c>
      <c r="B1" s="7" t="s">
        <v>1</v>
      </c>
      <c r="C1" s="7" t="s">
        <v>108</v>
      </c>
      <c r="D1" s="7" t="s">
        <v>3</v>
      </c>
      <c r="E1" s="7" t="s">
        <v>4</v>
      </c>
      <c r="F1" s="7" t="s">
        <v>109</v>
      </c>
      <c r="G1" s="7" t="s">
        <v>2</v>
      </c>
      <c r="H1" s="7" t="s">
        <v>110</v>
      </c>
      <c r="I1" s="7" t="s">
        <v>111</v>
      </c>
      <c r="J1" s="7" t="s">
        <v>112</v>
      </c>
      <c r="K1" s="7" t="s">
        <v>113</v>
      </c>
      <c r="L1" s="7" t="s">
        <v>6</v>
      </c>
      <c r="M1" s="7" t="s">
        <v>7</v>
      </c>
    </row>
    <row r="2" spans="1:14" x14ac:dyDescent="0.3">
      <c r="A2" s="8" t="s">
        <v>114</v>
      </c>
      <c r="B2" s="8" t="s">
        <v>115</v>
      </c>
      <c r="C2" s="8" t="s">
        <v>116</v>
      </c>
      <c r="D2" s="15">
        <v>293561.58</v>
      </c>
      <c r="E2" s="8" t="s">
        <v>12</v>
      </c>
      <c r="F2" s="8" t="s">
        <v>103</v>
      </c>
      <c r="G2" s="8" t="s">
        <v>117</v>
      </c>
      <c r="H2" s="8" t="s">
        <v>118</v>
      </c>
      <c r="I2" s="8" t="s">
        <v>119</v>
      </c>
      <c r="J2" s="8" t="s">
        <v>120</v>
      </c>
      <c r="K2" s="8" t="s">
        <v>121</v>
      </c>
      <c r="L2" s="8" t="s">
        <v>14</v>
      </c>
      <c r="M2" s="8" t="s">
        <v>15</v>
      </c>
    </row>
    <row r="4" spans="1:14" x14ac:dyDescent="0.3">
      <c r="A4" s="8" t="s">
        <v>122</v>
      </c>
      <c r="B4" s="8" t="s">
        <v>123</v>
      </c>
      <c r="C4" s="8" t="s">
        <v>124</v>
      </c>
      <c r="D4" s="16">
        <v>136000</v>
      </c>
      <c r="E4" s="8" t="s">
        <v>12</v>
      </c>
      <c r="F4" s="8" t="s">
        <v>125</v>
      </c>
      <c r="G4" s="8" t="s">
        <v>126</v>
      </c>
      <c r="H4" s="8" t="s">
        <v>127</v>
      </c>
      <c r="I4" s="8" t="s">
        <v>128</v>
      </c>
      <c r="J4" s="8" t="s">
        <v>129</v>
      </c>
      <c r="K4" s="8" t="s">
        <v>130</v>
      </c>
      <c r="L4" s="8" t="s">
        <v>14</v>
      </c>
      <c r="M4" s="8" t="s">
        <v>131</v>
      </c>
    </row>
    <row r="5" spans="1:14" x14ac:dyDescent="0.3">
      <c r="A5" s="8" t="s">
        <v>132</v>
      </c>
      <c r="B5" s="8" t="s">
        <v>133</v>
      </c>
      <c r="C5" s="8" t="s">
        <v>116</v>
      </c>
      <c r="D5" s="16">
        <v>75699.66</v>
      </c>
      <c r="E5" s="8" t="s">
        <v>12</v>
      </c>
      <c r="F5" s="8" t="s">
        <v>134</v>
      </c>
      <c r="G5" s="8" t="s">
        <v>126</v>
      </c>
      <c r="H5" s="8" t="s">
        <v>135</v>
      </c>
      <c r="I5" s="8" t="s">
        <v>136</v>
      </c>
      <c r="J5" s="8" t="s">
        <v>137</v>
      </c>
      <c r="K5" s="8" t="s">
        <v>138</v>
      </c>
      <c r="L5" s="8" t="s">
        <v>14</v>
      </c>
      <c r="M5" s="8" t="s">
        <v>139</v>
      </c>
    </row>
    <row r="6" spans="1:14" x14ac:dyDescent="0.3">
      <c r="A6" s="8" t="s">
        <v>140</v>
      </c>
      <c r="B6" s="8" t="s">
        <v>141</v>
      </c>
      <c r="C6" s="8" t="s">
        <v>116</v>
      </c>
      <c r="D6" s="15">
        <v>18000</v>
      </c>
      <c r="E6" s="8" t="s">
        <v>12</v>
      </c>
      <c r="F6" s="8" t="s">
        <v>134</v>
      </c>
      <c r="G6" s="9" t="s">
        <v>149</v>
      </c>
      <c r="H6" s="8" t="s">
        <v>135</v>
      </c>
      <c r="I6" s="8" t="s">
        <v>142</v>
      </c>
      <c r="J6" s="8" t="s">
        <v>137</v>
      </c>
      <c r="K6" s="8" t="s">
        <v>138</v>
      </c>
      <c r="L6" s="8" t="s">
        <v>14</v>
      </c>
      <c r="M6" s="8" t="s">
        <v>15</v>
      </c>
    </row>
    <row r="7" spans="1:14" x14ac:dyDescent="0.3">
      <c r="A7" s="8" t="s">
        <v>143</v>
      </c>
      <c r="B7" s="8" t="s">
        <v>144</v>
      </c>
      <c r="C7" s="8" t="s">
        <v>116</v>
      </c>
      <c r="D7" s="16">
        <v>10500</v>
      </c>
      <c r="E7" s="8" t="s">
        <v>12</v>
      </c>
      <c r="F7" s="8" t="s">
        <v>125</v>
      </c>
      <c r="G7" s="8" t="s">
        <v>126</v>
      </c>
      <c r="H7" s="8" t="s">
        <v>145</v>
      </c>
      <c r="I7" s="8" t="s">
        <v>146</v>
      </c>
      <c r="J7" s="8" t="s">
        <v>147</v>
      </c>
      <c r="K7" s="8" t="s">
        <v>148</v>
      </c>
      <c r="L7" s="8" t="s">
        <v>14</v>
      </c>
      <c r="M7" s="8" t="s">
        <v>139</v>
      </c>
    </row>
    <row r="9" spans="1:14" x14ac:dyDescent="0.3">
      <c r="A9" s="8" t="s">
        <v>150</v>
      </c>
      <c r="B9" s="8" t="s">
        <v>151</v>
      </c>
      <c r="C9" s="8" t="s">
        <v>116</v>
      </c>
      <c r="D9" s="16">
        <v>168297.95</v>
      </c>
      <c r="E9" s="8" t="s">
        <v>12</v>
      </c>
      <c r="F9" s="8" t="s">
        <v>152</v>
      </c>
      <c r="G9" s="8" t="s">
        <v>153</v>
      </c>
      <c r="H9" s="8" t="s">
        <v>154</v>
      </c>
      <c r="I9" s="8" t="s">
        <v>155</v>
      </c>
      <c r="J9" s="8" t="s">
        <v>156</v>
      </c>
      <c r="K9" s="8" t="s">
        <v>157</v>
      </c>
      <c r="L9" s="8" t="s">
        <v>14</v>
      </c>
      <c r="M9" s="8" t="s">
        <v>139</v>
      </c>
    </row>
    <row r="11" spans="1:14" x14ac:dyDescent="0.3">
      <c r="A11" s="62" t="s">
        <v>0</v>
      </c>
      <c r="B11" s="62" t="s">
        <v>1</v>
      </c>
      <c r="C11" s="62" t="s">
        <v>108</v>
      </c>
      <c r="D11" s="62" t="s">
        <v>3</v>
      </c>
      <c r="E11" s="62" t="s">
        <v>4</v>
      </c>
      <c r="F11" s="62" t="s">
        <v>109</v>
      </c>
      <c r="G11" s="62" t="s">
        <v>2</v>
      </c>
      <c r="H11" s="62" t="s">
        <v>110</v>
      </c>
      <c r="I11" s="62" t="s">
        <v>111</v>
      </c>
      <c r="J11" s="62" t="s">
        <v>112</v>
      </c>
      <c r="K11" s="62" t="s">
        <v>113</v>
      </c>
      <c r="L11" s="62" t="s">
        <v>6</v>
      </c>
      <c r="M11" s="62" t="s">
        <v>7</v>
      </c>
      <c r="N11" s="62" t="s">
        <v>8</v>
      </c>
    </row>
    <row r="12" spans="1:14" x14ac:dyDescent="0.3">
      <c r="A12" s="8" t="s">
        <v>465</v>
      </c>
      <c r="B12" s="8" t="s">
        <v>466</v>
      </c>
      <c r="C12" s="8" t="s">
        <v>116</v>
      </c>
      <c r="D12" s="16">
        <v>33217.61</v>
      </c>
      <c r="E12" s="8" t="s">
        <v>12</v>
      </c>
      <c r="F12" s="8" t="s">
        <v>306</v>
      </c>
      <c r="G12" s="8" t="s">
        <v>463</v>
      </c>
      <c r="H12" s="8" t="s">
        <v>464</v>
      </c>
      <c r="I12" s="8" t="s">
        <v>467</v>
      </c>
      <c r="J12" s="8" t="s">
        <v>468</v>
      </c>
      <c r="K12" s="8" t="s">
        <v>469</v>
      </c>
      <c r="L12" s="8" t="s">
        <v>14</v>
      </c>
      <c r="M12" s="8" t="s">
        <v>15</v>
      </c>
      <c r="N12" s="8" t="s">
        <v>476</v>
      </c>
    </row>
    <row r="13" spans="1:14" x14ac:dyDescent="0.3">
      <c r="A13" s="8" t="s">
        <v>470</v>
      </c>
      <c r="B13" s="8" t="s">
        <v>471</v>
      </c>
      <c r="C13" s="8" t="s">
        <v>116</v>
      </c>
      <c r="D13" s="16">
        <v>120667.93</v>
      </c>
      <c r="E13" s="8" t="s">
        <v>12</v>
      </c>
      <c r="F13" s="8" t="s">
        <v>306</v>
      </c>
      <c r="G13" s="8" t="s">
        <v>463</v>
      </c>
      <c r="H13" s="8" t="s">
        <v>464</v>
      </c>
      <c r="I13" s="8" t="s">
        <v>472</v>
      </c>
      <c r="J13" s="8" t="s">
        <v>468</v>
      </c>
      <c r="K13" s="8" t="s">
        <v>469</v>
      </c>
      <c r="L13" s="8" t="s">
        <v>14</v>
      </c>
      <c r="M13" s="8" t="s">
        <v>15</v>
      </c>
      <c r="N13" s="8" t="s">
        <v>476</v>
      </c>
    </row>
    <row r="14" spans="1:14" x14ac:dyDescent="0.3">
      <c r="A14" s="8" t="s">
        <v>473</v>
      </c>
      <c r="B14" s="8" t="s">
        <v>474</v>
      </c>
      <c r="C14" s="8" t="s">
        <v>116</v>
      </c>
      <c r="D14" s="16">
        <v>27087.040000000001</v>
      </c>
      <c r="E14" s="8" t="s">
        <v>12</v>
      </c>
      <c r="F14" s="8" t="s">
        <v>306</v>
      </c>
      <c r="G14" s="8" t="s">
        <v>463</v>
      </c>
      <c r="H14" s="8" t="s">
        <v>464</v>
      </c>
      <c r="I14" s="8" t="s">
        <v>475</v>
      </c>
      <c r="J14" s="8" t="s">
        <v>468</v>
      </c>
      <c r="K14" s="8" t="s">
        <v>469</v>
      </c>
      <c r="L14" s="8" t="s">
        <v>14</v>
      </c>
      <c r="M14" s="8" t="s">
        <v>15</v>
      </c>
      <c r="N14" s="8" t="s">
        <v>476</v>
      </c>
    </row>
    <row r="15" spans="1:14" x14ac:dyDescent="0.3">
      <c r="D15" s="13">
        <f>SUM(D12:D14)</f>
        <v>180972.58</v>
      </c>
    </row>
    <row r="18" spans="4:4" x14ac:dyDescent="0.3">
      <c r="D18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D21" sqref="D21"/>
    </sheetView>
  </sheetViews>
  <sheetFormatPr defaultRowHeight="14.4" x14ac:dyDescent="0.3"/>
  <cols>
    <col min="1" max="1" width="14" bestFit="1" customWidth="1"/>
    <col min="2" max="2" width="8.77734375" bestFit="1" customWidth="1"/>
    <col min="3" max="3" width="39.6640625" bestFit="1" customWidth="1"/>
    <col min="4" max="4" width="12.33203125" bestFit="1" customWidth="1"/>
    <col min="5" max="5" width="2.88671875" bestFit="1" customWidth="1"/>
    <col min="6" max="6" width="22.33203125" bestFit="1" customWidth="1"/>
    <col min="7" max="7" width="16.6640625" bestFit="1" customWidth="1"/>
    <col min="8" max="8" width="9.21875" bestFit="1" customWidth="1"/>
    <col min="9" max="9" width="19.33203125" bestFit="1" customWidth="1"/>
    <col min="10" max="10" width="11.33203125" bestFit="1" customWidth="1"/>
  </cols>
  <sheetData>
    <row r="1" spans="1:10" x14ac:dyDescent="0.3">
      <c r="A1" s="2" t="s">
        <v>187</v>
      </c>
      <c r="B1" s="2" t="s">
        <v>188</v>
      </c>
      <c r="C1" s="2" t="s">
        <v>50</v>
      </c>
      <c r="D1" s="3">
        <v>1417954.12</v>
      </c>
      <c r="E1" s="2" t="s">
        <v>12</v>
      </c>
      <c r="F1" s="2" t="s">
        <v>51</v>
      </c>
      <c r="G1" s="2" t="s">
        <v>14</v>
      </c>
      <c r="H1" s="2" t="s">
        <v>15</v>
      </c>
      <c r="I1" s="2" t="s">
        <v>189</v>
      </c>
    </row>
    <row r="2" spans="1:10" x14ac:dyDescent="0.3">
      <c r="A2" s="2" t="s">
        <v>190</v>
      </c>
      <c r="B2" s="2" t="s">
        <v>191</v>
      </c>
      <c r="C2" s="2" t="s">
        <v>50</v>
      </c>
      <c r="D2" s="3">
        <v>225001.2</v>
      </c>
      <c r="E2" s="2" t="s">
        <v>12</v>
      </c>
      <c r="F2" s="2" t="s">
        <v>51</v>
      </c>
      <c r="G2" s="2" t="s">
        <v>14</v>
      </c>
      <c r="H2" s="2" t="s">
        <v>15</v>
      </c>
      <c r="I2" s="2" t="s">
        <v>192</v>
      </c>
      <c r="J2" s="17">
        <f>SUM(D1:D2)</f>
        <v>1642955.32</v>
      </c>
    </row>
    <row r="3" spans="1:10" x14ac:dyDescent="0.3">
      <c r="A3" s="2" t="s">
        <v>193</v>
      </c>
      <c r="B3" s="2" t="s">
        <v>194</v>
      </c>
      <c r="C3" s="2" t="s">
        <v>50</v>
      </c>
      <c r="D3" s="3">
        <v>197441.95</v>
      </c>
      <c r="E3" s="2" t="s">
        <v>12</v>
      </c>
      <c r="F3" s="2" t="s">
        <v>51</v>
      </c>
      <c r="G3" s="2" t="s">
        <v>14</v>
      </c>
      <c r="H3" s="2" t="s">
        <v>15</v>
      </c>
      <c r="I3" s="2" t="s">
        <v>195</v>
      </c>
    </row>
    <row r="4" spans="1:10" x14ac:dyDescent="0.3">
      <c r="A4" s="2" t="s">
        <v>193</v>
      </c>
      <c r="B4" s="2" t="s">
        <v>196</v>
      </c>
      <c r="C4" s="2" t="s">
        <v>50</v>
      </c>
      <c r="D4" s="3">
        <v>75009.95</v>
      </c>
      <c r="E4" s="2" t="s">
        <v>12</v>
      </c>
      <c r="F4" s="2" t="s">
        <v>51</v>
      </c>
      <c r="G4" s="2" t="s">
        <v>14</v>
      </c>
      <c r="H4" s="2" t="s">
        <v>15</v>
      </c>
      <c r="I4" s="2" t="s">
        <v>197</v>
      </c>
    </row>
    <row r="5" spans="1:10" x14ac:dyDescent="0.3">
      <c r="A5" s="2" t="s">
        <v>198</v>
      </c>
      <c r="B5" s="2" t="s">
        <v>199</v>
      </c>
      <c r="C5" s="2" t="s">
        <v>50</v>
      </c>
      <c r="D5" s="3">
        <v>671397.53</v>
      </c>
      <c r="E5" s="2" t="s">
        <v>12</v>
      </c>
      <c r="F5" s="2" t="s">
        <v>51</v>
      </c>
      <c r="G5" s="2" t="s">
        <v>14</v>
      </c>
      <c r="H5" s="2" t="s">
        <v>15</v>
      </c>
      <c r="I5" s="2" t="s">
        <v>200</v>
      </c>
      <c r="J5" s="17">
        <f>SUM(D3:D5)</f>
        <v>943849.43</v>
      </c>
    </row>
    <row r="6" spans="1:10" x14ac:dyDescent="0.3">
      <c r="A6" s="2" t="s">
        <v>201</v>
      </c>
      <c r="B6" s="2" t="s">
        <v>202</v>
      </c>
      <c r="C6" s="2" t="s">
        <v>50</v>
      </c>
      <c r="D6" s="3">
        <v>39668.06</v>
      </c>
      <c r="E6" s="2" t="s">
        <v>12</v>
      </c>
      <c r="F6" s="2" t="s">
        <v>51</v>
      </c>
      <c r="G6" s="2" t="s">
        <v>14</v>
      </c>
      <c r="H6" s="2" t="s">
        <v>15</v>
      </c>
      <c r="I6" s="2" t="s">
        <v>203</v>
      </c>
    </row>
    <row r="7" spans="1:10" x14ac:dyDescent="0.3">
      <c r="A7" s="2" t="s">
        <v>204</v>
      </c>
      <c r="B7" s="2" t="s">
        <v>205</v>
      </c>
      <c r="C7" s="2" t="s">
        <v>50</v>
      </c>
      <c r="D7" s="3">
        <v>199279.72</v>
      </c>
      <c r="E7" s="2" t="s">
        <v>12</v>
      </c>
      <c r="F7" s="2" t="s">
        <v>51</v>
      </c>
      <c r="G7" s="2" t="s">
        <v>14</v>
      </c>
      <c r="H7" s="2" t="s">
        <v>15</v>
      </c>
      <c r="I7" s="2" t="s">
        <v>206</v>
      </c>
    </row>
    <row r="8" spans="1:10" x14ac:dyDescent="0.3">
      <c r="A8" s="2" t="s">
        <v>207</v>
      </c>
      <c r="B8" s="2" t="s">
        <v>208</v>
      </c>
      <c r="C8" s="2" t="s">
        <v>50</v>
      </c>
      <c r="D8" s="3">
        <v>1601951.05</v>
      </c>
      <c r="E8" s="2" t="s">
        <v>12</v>
      </c>
      <c r="F8" s="2" t="s">
        <v>51</v>
      </c>
      <c r="G8" s="2" t="s">
        <v>14</v>
      </c>
      <c r="H8" s="2" t="s">
        <v>15</v>
      </c>
      <c r="I8" s="2" t="s">
        <v>209</v>
      </c>
    </row>
    <row r="9" spans="1:10" x14ac:dyDescent="0.3">
      <c r="A9" s="2" t="s">
        <v>210</v>
      </c>
      <c r="B9" s="2" t="s">
        <v>211</v>
      </c>
      <c r="C9" s="2" t="s">
        <v>50</v>
      </c>
      <c r="D9" s="3">
        <v>58415.16</v>
      </c>
      <c r="E9" s="2" t="s">
        <v>12</v>
      </c>
      <c r="F9" s="2" t="s">
        <v>51</v>
      </c>
      <c r="G9" s="2" t="s">
        <v>14</v>
      </c>
      <c r="H9" s="2" t="s">
        <v>15</v>
      </c>
      <c r="I9" s="2" t="s">
        <v>212</v>
      </c>
      <c r="J9" s="17">
        <f>SUM(D6:D9)</f>
        <v>1899313.99</v>
      </c>
    </row>
    <row r="10" spans="1:10" x14ac:dyDescent="0.3">
      <c r="A10" s="2" t="s">
        <v>213</v>
      </c>
      <c r="B10" s="2" t="s">
        <v>214</v>
      </c>
      <c r="C10" s="2" t="s">
        <v>50</v>
      </c>
      <c r="D10" s="18">
        <v>559012.18000000005</v>
      </c>
      <c r="E10" s="2" t="s">
        <v>12</v>
      </c>
      <c r="F10" s="2" t="s">
        <v>51</v>
      </c>
      <c r="G10" s="2" t="s">
        <v>14</v>
      </c>
      <c r="H10" s="2" t="s">
        <v>15</v>
      </c>
      <c r="I10" s="2" t="s">
        <v>215</v>
      </c>
    </row>
    <row r="11" spans="1:10" x14ac:dyDescent="0.3">
      <c r="A11" s="2" t="s">
        <v>216</v>
      </c>
      <c r="B11" s="2" t="s">
        <v>217</v>
      </c>
      <c r="C11" s="2" t="s">
        <v>50</v>
      </c>
      <c r="D11" s="19">
        <v>142189.12</v>
      </c>
      <c r="E11" s="2" t="s">
        <v>12</v>
      </c>
      <c r="F11" s="2" t="s">
        <v>51</v>
      </c>
      <c r="G11" s="2" t="s">
        <v>14</v>
      </c>
      <c r="H11" s="2" t="s">
        <v>15</v>
      </c>
      <c r="I11" s="2" t="s">
        <v>218</v>
      </c>
    </row>
    <row r="12" spans="1:10" x14ac:dyDescent="0.3">
      <c r="A12" s="2" t="s">
        <v>219</v>
      </c>
      <c r="B12" s="2" t="s">
        <v>220</v>
      </c>
      <c r="C12" s="2" t="s">
        <v>50</v>
      </c>
      <c r="D12" s="3">
        <v>10855.73</v>
      </c>
      <c r="E12" s="2" t="s">
        <v>12</v>
      </c>
      <c r="F12" s="2" t="s">
        <v>51</v>
      </c>
      <c r="G12" s="2" t="s">
        <v>14</v>
      </c>
      <c r="H12" s="2" t="s">
        <v>15</v>
      </c>
      <c r="I12" s="2" t="s">
        <v>221</v>
      </c>
    </row>
    <row r="13" spans="1:10" x14ac:dyDescent="0.3">
      <c r="A13" s="2" t="s">
        <v>222</v>
      </c>
      <c r="B13" s="2" t="s">
        <v>223</v>
      </c>
      <c r="C13" s="2" t="s">
        <v>50</v>
      </c>
      <c r="D13" s="3">
        <v>362721.46</v>
      </c>
      <c r="E13" s="2" t="s">
        <v>12</v>
      </c>
      <c r="F13" s="2" t="s">
        <v>51</v>
      </c>
      <c r="G13" s="2" t="s">
        <v>14</v>
      </c>
      <c r="H13" s="2" t="s">
        <v>15</v>
      </c>
      <c r="I13" s="2" t="s">
        <v>224</v>
      </c>
    </row>
    <row r="14" spans="1:10" x14ac:dyDescent="0.3">
      <c r="A14" s="2" t="s">
        <v>225</v>
      </c>
      <c r="B14" s="2" t="s">
        <v>226</v>
      </c>
      <c r="C14" s="2" t="s">
        <v>50</v>
      </c>
      <c r="D14" s="19">
        <v>2429521.66</v>
      </c>
      <c r="E14" s="2" t="s">
        <v>12</v>
      </c>
      <c r="F14" s="2" t="s">
        <v>51</v>
      </c>
      <c r="G14" s="2" t="s">
        <v>14</v>
      </c>
      <c r="H14" s="2" t="s">
        <v>15</v>
      </c>
      <c r="I14" s="2" t="s">
        <v>227</v>
      </c>
      <c r="J14" s="17">
        <f>SUM(D10:D14)</f>
        <v>3504300.1500000004</v>
      </c>
    </row>
    <row r="15" spans="1:10" x14ac:dyDescent="0.3">
      <c r="A15" s="2" t="s">
        <v>48</v>
      </c>
      <c r="B15" s="2" t="s">
        <v>49</v>
      </c>
      <c r="C15" s="2" t="s">
        <v>50</v>
      </c>
      <c r="D15" s="3">
        <v>413721.95</v>
      </c>
      <c r="E15" s="2" t="s">
        <v>12</v>
      </c>
      <c r="F15" s="2" t="s">
        <v>51</v>
      </c>
      <c r="G15" s="2" t="s">
        <v>14</v>
      </c>
      <c r="H15" s="2" t="s">
        <v>15</v>
      </c>
      <c r="I15" s="2" t="s">
        <v>52</v>
      </c>
    </row>
    <row r="16" spans="1:10" x14ac:dyDescent="0.3">
      <c r="A16" s="2" t="s">
        <v>53</v>
      </c>
      <c r="B16" s="2" t="s">
        <v>54</v>
      </c>
      <c r="C16" s="2" t="s">
        <v>50</v>
      </c>
      <c r="D16" s="3">
        <v>1036264.55</v>
      </c>
      <c r="E16" s="2" t="s">
        <v>12</v>
      </c>
      <c r="F16" s="2" t="s">
        <v>51</v>
      </c>
      <c r="G16" s="2" t="s">
        <v>14</v>
      </c>
      <c r="H16" s="2" t="s">
        <v>15</v>
      </c>
      <c r="I16" s="2" t="s">
        <v>55</v>
      </c>
    </row>
    <row r="17" spans="1:10" x14ac:dyDescent="0.3">
      <c r="A17" s="2" t="s">
        <v>56</v>
      </c>
      <c r="B17" s="2" t="s">
        <v>57</v>
      </c>
      <c r="C17" s="2" t="s">
        <v>50</v>
      </c>
      <c r="D17" s="3">
        <v>1138171.1599999999</v>
      </c>
      <c r="E17" s="2" t="s">
        <v>12</v>
      </c>
      <c r="F17" s="2" t="s">
        <v>51</v>
      </c>
      <c r="G17" s="2" t="s">
        <v>14</v>
      </c>
      <c r="H17" s="2" t="s">
        <v>15</v>
      </c>
      <c r="I17" s="2" t="s">
        <v>58</v>
      </c>
    </row>
    <row r="18" spans="1:10" x14ac:dyDescent="0.3">
      <c r="A18" s="2" t="s">
        <v>59</v>
      </c>
      <c r="B18" s="2" t="s">
        <v>60</v>
      </c>
      <c r="C18" s="2" t="s">
        <v>50</v>
      </c>
      <c r="D18" s="3">
        <v>200009.66</v>
      </c>
      <c r="E18" s="2" t="s">
        <v>12</v>
      </c>
      <c r="F18" s="2" t="s">
        <v>51</v>
      </c>
      <c r="G18" s="2" t="s">
        <v>14</v>
      </c>
      <c r="H18" s="2" t="s">
        <v>15</v>
      </c>
      <c r="I18" s="2" t="s">
        <v>61</v>
      </c>
    </row>
    <row r="19" spans="1:10" x14ac:dyDescent="0.3">
      <c r="A19" s="2" t="s">
        <v>62</v>
      </c>
      <c r="B19" s="2" t="s">
        <v>63</v>
      </c>
      <c r="C19" s="2" t="s">
        <v>50</v>
      </c>
      <c r="D19" s="3">
        <v>229923.79</v>
      </c>
      <c r="E19" s="2" t="s">
        <v>12</v>
      </c>
      <c r="F19" s="2" t="s">
        <v>51</v>
      </c>
      <c r="G19" s="2" t="s">
        <v>14</v>
      </c>
      <c r="H19" s="2" t="s">
        <v>15</v>
      </c>
      <c r="I19" s="2" t="s">
        <v>64</v>
      </c>
      <c r="J19" s="17">
        <f>SUM(D15:D19)</f>
        <v>3018091.1100000003</v>
      </c>
    </row>
    <row r="21" spans="1:10" x14ac:dyDescent="0.3">
      <c r="D21" s="17">
        <f>SUM(D1:D19)</f>
        <v>11008510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Акты заказчика</vt:lpstr>
      <vt:lpstr>Списание стройматериалов</vt:lpstr>
      <vt:lpstr>ВаловаяПрибыль</vt:lpstr>
      <vt:lpstr>Услуги_сторонних</vt:lpstr>
      <vt:lpstr>Турбина2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2024-05-16T11:50:07Z</dcterms:modified>
</cp:coreProperties>
</file>
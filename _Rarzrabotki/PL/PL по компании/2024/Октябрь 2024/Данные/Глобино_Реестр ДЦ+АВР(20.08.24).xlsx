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_1\Накопление\"/>
    </mc:Choice>
  </mc:AlternateContent>
  <bookViews>
    <workbookView xWindow="-108" yWindow="-108" windowWidth="23256" windowHeight="1245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2)" sheetId="28" state="hidden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'!$A$8:$H$8</definedName>
    <definedName name="_xlnm._FilterDatabase" localSheetId="4" hidden="1">РеєстрАВР!$A$4:$AP$16</definedName>
    <definedName name="_xlnm._FilterDatabase" localSheetId="5" hidden="1">'РеєстрАВР (2)'!$A$4:$AP$19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'!$A$2:$J$11</definedName>
    <definedName name="_xlnm.Print_Area" localSheetId="4">РеєстрАВР!$A$1:$J$17</definedName>
    <definedName name="_xlnm.Print_Area" localSheetId="5">'РеєстрАВР (2)'!$A$1:$J$20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4" i="27" l="1"/>
  <c r="C5" i="27" l="1"/>
  <c r="G8" i="27"/>
  <c r="E16" i="27" l="1"/>
  <c r="G13" i="27"/>
  <c r="F16" i="27" l="1"/>
  <c r="G16" i="27" l="1"/>
  <c r="C20" i="28" l="1"/>
  <c r="F19" i="28"/>
  <c r="F20" i="28" s="1"/>
  <c r="C19" i="28"/>
  <c r="G18" i="28"/>
  <c r="G17" i="28"/>
  <c r="G16" i="28"/>
  <c r="F15" i="28"/>
  <c r="G15" i="28" s="1"/>
  <c r="S14" i="28"/>
  <c r="G14" i="28"/>
  <c r="G13" i="28"/>
  <c r="G12" i="28"/>
  <c r="F11" i="28"/>
  <c r="G11" i="28" s="1"/>
  <c r="G19" i="28" s="1"/>
  <c r="G20" i="28" s="1"/>
  <c r="G10" i="28"/>
  <c r="F10" i="28"/>
  <c r="E9" i="28"/>
  <c r="E19" i="28" s="1"/>
  <c r="E20" i="28" s="1"/>
  <c r="G8" i="28"/>
  <c r="G7" i="28"/>
  <c r="S6" i="28"/>
  <c r="G6" i="28"/>
  <c r="G5" i="28"/>
  <c r="F5" i="28"/>
  <c r="G15" i="27" l="1"/>
  <c r="E17" i="27"/>
  <c r="C16" i="27"/>
  <c r="C17" i="27" s="1"/>
  <c r="C7" i="22" l="1"/>
  <c r="E11" i="22" l="1"/>
  <c r="D11" i="22"/>
  <c r="C11" i="22"/>
  <c r="G12" i="27" l="1"/>
  <c r="C10" i="22" l="1"/>
  <c r="G11" i="27" l="1"/>
  <c r="S9" i="27" l="1"/>
  <c r="F10" i="27" l="1"/>
  <c r="G10" i="27" s="1"/>
  <c r="C9" i="22" l="1"/>
  <c r="G9" i="27" l="1"/>
  <c r="C6" i="22" l="1"/>
  <c r="S6" i="27" l="1"/>
  <c r="C8" i="22" l="1"/>
  <c r="G6" i="27" l="1"/>
  <c r="G5" i="27" l="1"/>
  <c r="G17" i="27" s="1"/>
  <c r="F5" i="27"/>
  <c r="F17" i="27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<sst xmlns="http://schemas.openxmlformats.org/spreadsheetml/2006/main" count="704" uniqueCount="249">
  <si>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</si>
  <si>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</si>
  <si>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</si>
  <si>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</si>
  <si>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</si>
  <si>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</si>
  <si>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</si>
  <si>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</si>
  <si>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</si>
  <si>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</si>
  <si>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</si>
  <si>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</si>
  <si>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</si>
  <si>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</si>
  <si>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</si>
  <si>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</si>
  <si>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</si>
  <si>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</si>
  <si>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</si>
  <si>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</si>
  <si>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</si>
  <si>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</si>
  <si>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</si>
  <si>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</si>
  <si>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</si>
  <si>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</si>
  <si>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</si>
  <si>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</si>
  <si>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</si>
  <si>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</si>
  <si>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</si>
  <si>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</si>
  <si>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</si>
  <si>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</si>
  <si>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</si>
  <si>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</si>
  <si>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</si>
  <si>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</si>
  <si>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</si>
  <si>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</si>
  <si>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</si>
  <si>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</si>
  <si>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</si>
  <si>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</si>
  <si>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</si>
  <si>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</si>
  <si>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</si>
  <si>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</si>
  <si>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</si>
  <si>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</si>
  <si>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</si>
  <si>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</si>
  <si>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</si>
  <si>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</si>
  <si>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</si>
  <si>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</si>
  <si>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</si>
  <si>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</si>
  <si>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</si>
  <si>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</si>
  <si>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</si>
  <si>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</si>
  <si>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</si>
  <si>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</si>
  <si>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</si>
  <si>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</si>
  <si>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</si>
  <si>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</si>
  <si>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</si>
  <si>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</si>
  <si>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</si>
  <si>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</si>
  <si>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</si>
  <si>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</si>
  <si>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</si>
  <si>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</si>
  <si>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</si>
  <si>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</si>
  <si>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</si>
  <si>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</si>
  <si>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</si>
  <si>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</si>
  <si>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</si>
  <si>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</si>
  <si>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</si>
  <si>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</si>
  <si>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</si>
  <si>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</si>
  <si>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</si>
  <si>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</si>
  <si>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</si>
  <si>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</si>
  <si>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</si>
  <si>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</si>
  <si>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</si>
  <si>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</si>
  <si>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</si>
  <si>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</si>
  <si>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</si>
  <si>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</si>
  <si>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</si>
  <si>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</si>
  <si>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</si>
  <si>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</si>
  <si>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</si>
  <si>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</si>
  <si>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</si>
  <si>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</si>
  <si>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</si>
  <si>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</si>
  <si>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</si>
  <si>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</si>
  <si>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</si>
  <si>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</si>
  <si>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</si>
  <si>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</si>
  <si>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</si>
  <si>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</si>
  <si>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</si>
  <si>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</si>
  <si>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</si>
  <si>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</si>
  <si>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</si>
  <si>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</si>
  <si>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</si>
  <si>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</si>
  <si>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</si>
  <si>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</si>
  <si>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</si>
  <si>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</si>
  <si>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</si>
  <si>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</si>
  <si>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</si>
  <si>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</si>
  <si>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</si>
  <si>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</si>
  <si>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</si>
  <si>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</si>
  <si>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</si>
  <si>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</si>
  <si>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</si>
  <si>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</si>
  <si>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</si>
  <si>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</si>
  <si>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</si>
  <si>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</si>
  <si>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</si>
  <si>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</si>
  <si>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</si>
  <si>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</si>
  <si>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</si>
  <si>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</si>
  <si>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</si>
  <si>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</si>
  <si>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</si>
  <si>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</si>
  <si>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</si>
  <si>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</si>
  <si>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</si>
  <si>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</si>
  <si>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</si>
  <si>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</si>
  <si>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</si>
  <si>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</si>
  <si>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</si>
  <si>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</si>
  <si>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</si>
  <si>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</si>
  <si>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</si>
  <si>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</si>
  <si>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</si>
  <si>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</si>
  <si>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</si>
  <si>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</si>
  <si>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</si>
  <si>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</si>
  <si>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</si>
  <si>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</si>
  <si>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</si>
  <si>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</si>
  <si>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</si>
  <si>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</si>
  <si>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</si>
  <si>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</si>
  <si>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</si>
  <si>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</si>
  <si>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</si>
  <si>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</si>
  <si>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</si>
  <si>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</si>
  <si>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</si>
  <si>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</si>
  <si>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</si>
  <si>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</si>
  <si>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</si>
  <si>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Всього, грн з ПДВ</t>
  </si>
  <si>
    <t>Оригінал</t>
  </si>
  <si>
    <t>Варіанти статусу</t>
  </si>
  <si>
    <t>заповнюємо колонку коментарі з датою коли буде оригінал</t>
  </si>
  <si>
    <t>заповнюємо колонку коли замовник обіцяє погодити, зауваження якщо є</t>
  </si>
  <si>
    <t>Побажання до коментарів (основне)</t>
  </si>
  <si>
    <t>Для заповнення колонки статус</t>
  </si>
  <si>
    <t>Для заповнення колонки коментарі</t>
  </si>
  <si>
    <t>*********Вимоги</t>
  </si>
  <si>
    <t>ДЦ у відділі ВТВ</t>
  </si>
  <si>
    <t>АВР у відділі ВТВ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</si>
  <si>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</si>
  <si>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</si>
  <si>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зауваження до ССДЦ якщо є і на кому затримка в погодженні</t>
  </si>
  <si>
    <t>списання так/ні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</si>
  <si>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</si>
  <si>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 xml:space="preserve"> Реєстр ДЦ  по об'єкту 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</t>
  </si>
  <si>
    <t xml:space="preserve"> Реєстр актів виконаних робіт по об'єкту ""комплекс підготовчих робіт та монтаж пальового поля для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область»""</t>
  </si>
  <si>
    <t>Оригинал в офисе</t>
  </si>
  <si>
    <t>оплачено</t>
  </si>
  <si>
    <t>Демонтажніе работі+разница земляных работ</t>
  </si>
  <si>
    <t>Підготовчі роботи та монтаж пальового поля (Договір № 14/06/2024)</t>
  </si>
  <si>
    <t>Договор будет переподписываться в новой редакции с учетом аванса)</t>
  </si>
  <si>
    <t>(Договір № 14/06/2024)</t>
  </si>
  <si>
    <t>Додаткова угода №1 к договору 14/06/2024</t>
  </si>
  <si>
    <t>Пересчет КП в новой редакции (согласно проекта)</t>
  </si>
  <si>
    <t>Підготовчі роботи та монтаж пальового поля (Договір № 19/07/2024)</t>
  </si>
  <si>
    <t>подписано</t>
  </si>
  <si>
    <t>Договор №19/07/2024</t>
  </si>
  <si>
    <t>Підготовчі роботи та монтаж пальового поля (Договір №14/06/2024)</t>
  </si>
  <si>
    <t>Оригинал в офисе (подписан без даты)</t>
  </si>
  <si>
    <t>+</t>
  </si>
  <si>
    <t>оплата</t>
  </si>
  <si>
    <t>АВР підписаний діректором Індастріалбуд</t>
  </si>
  <si>
    <t>АВР та рахунок відправлений на підпис Астарта</t>
  </si>
  <si>
    <t>Після подачи рахунку до п'ятниці,планується оплата на наступному тижні вівторок,четвер</t>
  </si>
  <si>
    <t>Оплата по авансам согласно договора планируеться в пятницу на слудующую неделю(вт или чт),согласно счета фактуры поданой до четверга</t>
  </si>
  <si>
    <t>Об'єми подані в ВТВ для КБ6</t>
  </si>
  <si>
    <t>Погодження КБ6 технаглядом</t>
  </si>
  <si>
    <t>АВР підписаний технаглядом</t>
  </si>
  <si>
    <t>АВР  підписаний директором замовника</t>
  </si>
  <si>
    <t>Орігінал АВР в офісі</t>
  </si>
  <si>
    <t>Оплата по АВР</t>
  </si>
  <si>
    <t xml:space="preserve"> Списання М29</t>
  </si>
  <si>
    <t>ДУ №1 до № 19/07/2024</t>
  </si>
  <si>
    <t>ДУ №2 до №19/07/2024</t>
  </si>
  <si>
    <t>Планування території (земляні роботи та влаштування паркану)</t>
  </si>
  <si>
    <t>Временные дороги</t>
  </si>
  <si>
    <t>влаштування тимчасових доріг (ДУ №1 до договору 19.07.2024)</t>
  </si>
  <si>
    <t>Додаткова угода №4 к договору 14/06/2024</t>
  </si>
  <si>
    <t>КП на додаткові 2 палі (зміна проекту)</t>
  </si>
  <si>
    <t>Влаштування паркану (ДУ №2 до договору №19.07.2024)</t>
  </si>
  <si>
    <t>Оригинал на подписи у директора.</t>
  </si>
  <si>
    <t>Доп. Соглашение на закрытие договора после подписания будет отправлено на Заказчика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</si>
</sst>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</numFmts>
  <fonts count="6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Arial Cyr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6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  <xf numFmtId="43" fontId="12" fillId="0" borderId="0" applyFont="0" applyFill="0" applyBorder="0" applyAlignment="0" applyProtection="0"/>
  </cellStyleXfs>
  <cellXfs count="803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0" fontId="49" fillId="12" borderId="2" xfId="20" applyFont="1" applyFill="1" applyBorder="1" applyAlignment="1">
      <alignment horizontal="center" vertical="center"/>
    </xf>
    <xf numFmtId="0" fontId="49" fillId="12" borderId="2" xfId="20" applyFont="1" applyFill="1" applyBorder="1" applyAlignment="1">
      <alignment horizontal="left" vertical="center" wrapText="1"/>
    </xf>
    <xf numFmtId="164" fontId="49" fillId="12" borderId="2" xfId="20" applyNumberFormat="1" applyFont="1" applyFill="1" applyBorder="1" applyAlignment="1">
      <alignment horizontal="center" vertical="center"/>
    </xf>
    <xf numFmtId="164" fontId="49" fillId="12" borderId="2" xfId="20" applyNumberFormat="1" applyFont="1" applyFill="1" applyBorder="1" applyAlignment="1">
      <alignment vertical="center"/>
    </xf>
    <xf numFmtId="164" fontId="48" fillId="12" borderId="2" xfId="20" applyNumberFormat="1" applyFont="1" applyFill="1" applyBorder="1" applyAlignment="1">
      <alignment vertical="center" wrapText="1"/>
    </xf>
    <xf numFmtId="0" fontId="49" fillId="0" borderId="2" xfId="20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horizontal="left" vertical="center" wrapText="1"/>
    </xf>
    <xf numFmtId="164" fontId="49" fillId="0" borderId="2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/>
    </xf>
    <xf numFmtId="164" fontId="48" fillId="0" borderId="2" xfId="20" applyNumberFormat="1" applyFont="1" applyFill="1" applyBorder="1" applyAlignment="1">
      <alignment horizontal="center" vertical="center"/>
    </xf>
    <xf numFmtId="164" fontId="49" fillId="0" borderId="6" xfId="20" applyNumberFormat="1" applyFont="1" applyFill="1" applyBorder="1" applyAlignment="1">
      <alignment horizontal="center" vertical="center"/>
    </xf>
    <xf numFmtId="1" fontId="49" fillId="0" borderId="2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0" fontId="49" fillId="0" borderId="2" xfId="20" applyFont="1" applyFill="1" applyBorder="1" applyAlignment="1">
      <alignment vertical="center" wrapText="1"/>
    </xf>
    <xf numFmtId="0" fontId="49" fillId="0" borderId="2" xfId="20" applyNumberFormat="1" applyFont="1" applyFill="1" applyBorder="1" applyAlignment="1">
      <alignment vertical="top" wrapText="1"/>
    </xf>
    <xf numFmtId="0" fontId="46" fillId="5" borderId="2" xfId="20" applyFont="1" applyFill="1" applyBorder="1" applyAlignment="1">
      <alignment horizontal="center" vertical="center"/>
    </xf>
    <xf numFmtId="0" fontId="39" fillId="0" borderId="2" xfId="20" applyFont="1" applyBorder="1" applyAlignment="1">
      <alignment horizontal="center" vertical="center" wrapText="1"/>
    </xf>
    <xf numFmtId="0" fontId="35" fillId="0" borderId="2" xfId="20" applyFont="1" applyBorder="1" applyAlignment="1">
      <alignment horizontal="center" vertical="center"/>
    </xf>
    <xf numFmtId="0" fontId="38" fillId="0" borderId="2" xfId="20" applyFont="1" applyBorder="1" applyAlignment="1">
      <alignment vertical="center"/>
    </xf>
    <xf numFmtId="14" fontId="39" fillId="5" borderId="2" xfId="20" applyNumberFormat="1" applyFont="1" applyFill="1" applyBorder="1" applyAlignment="1">
      <alignment horizontal="center" vertical="center"/>
    </xf>
    <xf numFmtId="0" fontId="42" fillId="0" borderId="0" xfId="20" applyFont="1" applyAlignment="1">
      <alignment vertical="center"/>
    </xf>
    <xf numFmtId="0" fontId="51" fillId="0" borderId="2" xfId="20" applyFont="1" applyBorder="1" applyAlignment="1">
      <alignment horizontal="center" vertical="center"/>
    </xf>
    <xf numFmtId="14" fontId="49" fillId="0" borderId="6" xfId="20" applyNumberFormat="1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center" vertical="center"/>
    </xf>
    <xf numFmtId="0" fontId="48" fillId="0" borderId="2" xfId="20" applyFont="1" applyFill="1" applyBorder="1" applyAlignment="1">
      <alignment horizontal="left" vertical="center" wrapText="1"/>
    </xf>
    <xf numFmtId="164" fontId="49" fillId="0" borderId="6" xfId="20" applyNumberFormat="1" applyFont="1" applyFill="1" applyBorder="1" applyAlignment="1">
      <alignment horizontal="center" vertical="center" wrapText="1"/>
    </xf>
    <xf numFmtId="0" fontId="51" fillId="0" borderId="1" xfId="20" applyFont="1" applyBorder="1" applyAlignment="1">
      <alignment horizontal="center" vertical="center"/>
    </xf>
    <xf numFmtId="0" fontId="37" fillId="0" borderId="2" xfId="20" applyFont="1" applyBorder="1"/>
    <xf numFmtId="14" fontId="49" fillId="0" borderId="2" xfId="20" applyNumberFormat="1" applyFont="1" applyFill="1" applyBorder="1" applyAlignment="1">
      <alignment horizontal="center" vertical="center"/>
    </xf>
    <xf numFmtId="0" fontId="43" fillId="0" borderId="0" xfId="20" applyFont="1" applyAlignment="1">
      <alignment horizontal="center" vertical="center"/>
    </xf>
    <xf numFmtId="0" fontId="43" fillId="10" borderId="0" xfId="20" applyFont="1" applyFill="1" applyAlignment="1">
      <alignment horizontal="center" vertical="center"/>
    </xf>
    <xf numFmtId="0" fontId="55" fillId="0" borderId="19" xfId="20" applyFont="1" applyFill="1" applyBorder="1" applyAlignment="1">
      <alignment horizontal="center" vertical="center" wrapText="1"/>
    </xf>
    <xf numFmtId="0" fontId="55" fillId="0" borderId="19" xfId="20" applyFont="1" applyFill="1" applyBorder="1" applyAlignment="1">
      <alignment horizontal="left" vertical="center" wrapText="1"/>
    </xf>
    <xf numFmtId="164" fontId="55" fillId="0" borderId="19" xfId="20" applyNumberFormat="1" applyFont="1" applyFill="1" applyBorder="1" applyAlignment="1">
      <alignment horizontal="center" vertical="center"/>
    </xf>
    <xf numFmtId="175" fontId="55" fillId="0" borderId="19" xfId="20" applyNumberFormat="1" applyFont="1" applyFill="1" applyBorder="1" applyAlignment="1">
      <alignment horizontal="center" vertical="center"/>
    </xf>
    <xf numFmtId="164" fontId="56" fillId="0" borderId="19" xfId="20" applyNumberFormat="1" applyFont="1" applyFill="1" applyBorder="1" applyAlignment="1">
      <alignment horizontal="center" vertical="center"/>
    </xf>
    <xf numFmtId="164" fontId="55" fillId="0" borderId="14" xfId="20" applyNumberFormat="1" applyFont="1" applyFill="1" applyBorder="1" applyAlignment="1">
      <alignment horizontal="center" vertical="center" wrapText="1"/>
    </xf>
    <xf numFmtId="0" fontId="46" fillId="5" borderId="1" xfId="20" applyFont="1" applyFill="1" applyBorder="1" applyAlignment="1">
      <alignment horizontal="center" vertical="center"/>
    </xf>
    <xf numFmtId="0" fontId="40" fillId="9" borderId="1" xfId="20" applyFont="1" applyFill="1" applyBorder="1" applyAlignment="1">
      <alignment horizontal="center" vertical="center" wrapText="1"/>
    </xf>
    <xf numFmtId="0" fontId="40" fillId="0" borderId="0" xfId="2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39" fillId="9" borderId="2" xfId="20" applyFont="1" applyFill="1" applyBorder="1" applyAlignment="1">
      <alignment horizontal="center" vertical="center" wrapText="1"/>
    </xf>
    <xf numFmtId="0" fontId="44" fillId="0" borderId="2" xfId="20" applyFont="1" applyFill="1" applyBorder="1" applyAlignment="1">
      <alignment vertical="center"/>
    </xf>
    <xf numFmtId="43" fontId="37" fillId="0" borderId="2" xfId="20" applyNumberFormat="1" applyFont="1" applyBorder="1" applyAlignment="1">
      <alignment horizontal="center" vertical="center"/>
    </xf>
    <xf numFmtId="0" fontId="48" fillId="9" borderId="2" xfId="20" applyFont="1" applyFill="1" applyBorder="1" applyAlignment="1">
      <alignment horizontal="center" vertical="center"/>
    </xf>
    <xf numFmtId="0" fontId="57" fillId="5" borderId="1" xfId="20" applyFont="1" applyFill="1" applyBorder="1" applyAlignment="1">
      <alignment horizontal="center" vertical="center"/>
    </xf>
    <xf numFmtId="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/>
    </xf>
    <xf numFmtId="164" fontId="49" fillId="5" borderId="2" xfId="20" applyNumberFormat="1" applyFont="1" applyFill="1" applyBorder="1" applyAlignment="1">
      <alignment horizontal="center" vertical="center"/>
    </xf>
    <xf numFmtId="0" fontId="49" fillId="5" borderId="2" xfId="20" applyFont="1" applyFill="1" applyBorder="1" applyAlignment="1">
      <alignment horizontal="center" vertical="center" wrapText="1"/>
    </xf>
    <xf numFmtId="0" fontId="49" fillId="0" borderId="2" xfId="20" applyNumberFormat="1" applyFont="1" applyFill="1" applyBorder="1" applyAlignment="1">
      <alignment horizontal="center" vertical="center" wrapText="1"/>
    </xf>
    <xf numFmtId="164" fontId="58" fillId="0" borderId="2" xfId="20" applyNumberFormat="1" applyFont="1" applyFill="1" applyBorder="1" applyAlignment="1">
      <alignment horizontal="center" vertical="center" wrapText="1"/>
    </xf>
    <xf numFmtId="0" fontId="59" fillId="0" borderId="2" xfId="20" applyNumberFormat="1" applyFont="1" applyFill="1" applyBorder="1" applyAlignment="1">
      <alignment horizontal="center" vertical="center" wrapText="1"/>
    </xf>
    <xf numFmtId="0" fontId="48" fillId="0" borderId="2" xfId="20" applyFont="1" applyFill="1" applyBorder="1" applyAlignment="1">
      <alignment vertical="center" wrapText="1"/>
    </xf>
    <xf numFmtId="164" fontId="55" fillId="2" borderId="2" xfId="20" applyNumberFormat="1" applyFont="1" applyFill="1" applyBorder="1" applyAlignment="1">
      <alignment horizontal="center" vertical="center" wrapText="1"/>
    </xf>
    <xf numFmtId="0" fontId="55" fillId="2" borderId="2" xfId="20" applyNumberFormat="1" applyFont="1" applyFill="1" applyBorder="1" applyAlignment="1">
      <alignment horizontal="center" vertical="center"/>
    </xf>
    <xf numFmtId="164" fontId="49" fillId="0" borderId="2" xfId="20" applyNumberFormat="1" applyFont="1" applyFill="1" applyBorder="1" applyAlignment="1">
      <alignment vertical="top" wrapText="1"/>
    </xf>
    <xf numFmtId="43" fontId="49" fillId="0" borderId="2" xfId="20" applyNumberFormat="1" applyFont="1" applyFill="1" applyBorder="1" applyAlignment="1">
      <alignment vertical="top" wrapText="1"/>
    </xf>
    <xf numFmtId="165" fontId="48" fillId="4" borderId="6" xfId="21" applyFont="1" applyFill="1" applyBorder="1" applyAlignment="1">
      <alignment horizontal="center" vertical="center" wrapText="1"/>
    </xf>
    <xf numFmtId="164" fontId="49" fillId="0" borderId="2" xfId="20" applyNumberFormat="1" applyFont="1" applyFill="1" applyBorder="1" applyAlignment="1">
      <alignment horizontal="center" vertical="center" wrapText="1"/>
    </xf>
    <xf numFmtId="43" fontId="37" fillId="0" borderId="0" xfId="20" applyNumberFormat="1" applyFont="1" applyAlignment="1">
      <alignment horizontal="center" vertical="center"/>
    </xf>
    <xf numFmtId="0" fontId="53" fillId="7" borderId="19" xfId="20" applyFont="1" applyFill="1" applyBorder="1" applyAlignment="1">
      <alignment horizontal="center" vertical="center" wrapText="1"/>
    </xf>
    <xf numFmtId="0" fontId="53" fillId="7" borderId="19" xfId="20" applyFont="1" applyFill="1" applyBorder="1" applyAlignment="1">
      <alignment horizontal="left" vertical="center" wrapText="1"/>
    </xf>
    <xf numFmtId="164" fontId="53" fillId="7" borderId="19" xfId="20" applyNumberFormat="1" applyFont="1" applyFill="1" applyBorder="1" applyAlignment="1">
      <alignment horizontal="center" vertical="center"/>
    </xf>
    <xf numFmtId="175" fontId="53" fillId="7" borderId="19" xfId="20" applyNumberFormat="1" applyFont="1" applyFill="1" applyBorder="1" applyAlignment="1">
      <alignment horizontal="center" vertical="center"/>
    </xf>
    <xf numFmtId="164" fontId="54" fillId="7" borderId="19" xfId="20" applyNumberFormat="1" applyFont="1" applyFill="1" applyBorder="1" applyAlignment="1">
      <alignment horizontal="center" vertical="center"/>
    </xf>
    <xf numFmtId="164" fontId="59" fillId="7" borderId="2" xfId="20" applyNumberFormat="1" applyFont="1" applyFill="1" applyBorder="1" applyAlignment="1">
      <alignment horizontal="center" vertical="center" wrapText="1"/>
    </xf>
    <xf numFmtId="164" fontId="53" fillId="7" borderId="15" xfId="20" applyNumberFormat="1" applyFont="1" applyFill="1" applyBorder="1" applyAlignment="1">
      <alignment horizontal="center" vertical="center" wrapText="1"/>
    </xf>
    <xf numFmtId="14" fontId="46" fillId="7" borderId="2" xfId="20" applyNumberFormat="1" applyFont="1" applyFill="1" applyBorder="1" applyAlignment="1">
      <alignment horizontal="center" vertical="center"/>
    </xf>
    <xf numFmtId="0" fontId="46" fillId="7" borderId="2" xfId="20" applyFont="1" applyFill="1" applyBorder="1" applyAlignment="1">
      <alignment horizontal="center" vertical="center" wrapText="1"/>
    </xf>
    <xf numFmtId="0" fontId="49" fillId="13" borderId="19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horizontal="left" vertical="center" wrapText="1"/>
    </xf>
    <xf numFmtId="164" fontId="49" fillId="13" borderId="2" xfId="20" applyNumberFormat="1" applyFont="1" applyFill="1" applyBorder="1" applyAlignment="1">
      <alignment horizontal="center" vertical="center"/>
    </xf>
    <xf numFmtId="175" fontId="49" fillId="13" borderId="2" xfId="20" applyNumberFormat="1" applyFont="1" applyFill="1" applyBorder="1" applyAlignment="1">
      <alignment horizontal="center" vertical="center"/>
    </xf>
    <xf numFmtId="164" fontId="48" fillId="13" borderId="19" xfId="20" applyNumberFormat="1" applyFont="1" applyFill="1" applyBorder="1" applyAlignment="1">
      <alignment horizontal="center" vertical="center"/>
    </xf>
    <xf numFmtId="164" fontId="59" fillId="13" borderId="2" xfId="20" applyNumberFormat="1" applyFont="1" applyFill="1" applyBorder="1" applyAlignment="1">
      <alignment horizontal="center" vertical="center" wrapText="1"/>
    </xf>
    <xf numFmtId="14" fontId="53" fillId="13" borderId="2" xfId="20" applyNumberFormat="1" applyFont="1" applyFill="1" applyBorder="1" applyAlignment="1">
      <alignment horizontal="center" vertical="center" wrapText="1"/>
    </xf>
    <xf numFmtId="0" fontId="49" fillId="13" borderId="6" xfId="20" applyNumberFormat="1" applyFont="1" applyFill="1" applyBorder="1" applyAlignment="1">
      <alignment horizontal="center" vertical="center" wrapText="1"/>
    </xf>
    <xf numFmtId="0" fontId="39" fillId="13" borderId="2" xfId="20" applyFont="1" applyFill="1" applyBorder="1" applyAlignment="1">
      <alignment horizontal="center" vertical="center"/>
    </xf>
    <xf numFmtId="0" fontId="39" fillId="13" borderId="2" xfId="20" applyFont="1" applyFill="1" applyBorder="1" applyAlignment="1">
      <alignment horizontal="center" vertical="center" wrapText="1"/>
    </xf>
    <xf numFmtId="43" fontId="48" fillId="13" borderId="2" xfId="25" applyFont="1" applyFill="1" applyBorder="1" applyAlignment="1">
      <alignment horizontal="center" vertical="center"/>
    </xf>
    <xf numFmtId="164" fontId="49" fillId="13" borderId="2" xfId="20" applyNumberFormat="1" applyFont="1" applyFill="1" applyBorder="1" applyAlignment="1">
      <alignment vertical="center"/>
    </xf>
    <xf numFmtId="14" fontId="49" fillId="13" borderId="2" xfId="20" applyNumberFormat="1" applyFont="1" applyFill="1" applyBorder="1" applyAlignment="1">
      <alignment horizontal="center" vertical="center"/>
    </xf>
    <xf numFmtId="14" fontId="39" fillId="13" borderId="2" xfId="20" applyNumberFormat="1" applyFont="1" applyFill="1" applyBorder="1" applyAlignment="1">
      <alignment horizontal="center" vertical="center"/>
    </xf>
    <xf numFmtId="0" fontId="37" fillId="13" borderId="2" xfId="20" applyFont="1" applyFill="1" applyBorder="1" applyAlignment="1">
      <alignment horizontal="center" vertical="center"/>
    </xf>
    <xf numFmtId="0" fontId="49" fillId="13" borderId="2" xfId="20" applyFont="1" applyFill="1" applyBorder="1" applyAlignment="1">
      <alignment vertical="center" wrapText="1"/>
    </xf>
    <xf numFmtId="0" fontId="49" fillId="13" borderId="2" xfId="20" applyNumberFormat="1" applyFont="1" applyFill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43" fontId="54" fillId="7" borderId="6" xfId="25" applyFont="1" applyFill="1" applyBorder="1" applyAlignment="1">
      <alignment horizontal="center" vertical="center"/>
    </xf>
    <xf numFmtId="43" fontId="54" fillId="7" borderId="19" xfId="25" applyFont="1" applyFill="1" applyBorder="1" applyAlignment="1">
      <alignment horizontal="center" vertical="center"/>
    </xf>
    <xf numFmtId="0" fontId="49" fillId="0" borderId="2" xfId="20" applyFont="1" applyBorder="1" applyAlignment="1">
      <alignment horizontal="center" vertical="center"/>
    </xf>
    <xf numFmtId="0" fontId="40" fillId="0" borderId="0" xfId="2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15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4" fontId="53" fillId="7" borderId="6" xfId="20" applyNumberFormat="1" applyFont="1" applyFill="1" applyBorder="1" applyAlignment="1">
      <alignment horizontal="center" vertical="center" wrapText="1"/>
    </xf>
    <xf numFmtId="14" fontId="53" fillId="7" borderId="19" xfId="20" applyNumberFormat="1" applyFont="1" applyFill="1" applyBorder="1" applyAlignment="1">
      <alignment horizontal="center" vertical="center" wrapText="1"/>
    </xf>
    <xf numFmtId="164" fontId="48" fillId="0" borderId="6" xfId="20" applyNumberFormat="1" applyFont="1" applyFill="1" applyBorder="1" applyAlignment="1">
      <alignment horizontal="center" vertical="center"/>
    </xf>
    <xf numFmtId="164" fontId="48" fillId="0" borderId="20" xfId="20" applyNumberFormat="1" applyFont="1" applyFill="1" applyBorder="1" applyAlignment="1">
      <alignment horizontal="center" vertical="center"/>
    </xf>
    <xf numFmtId="164" fontId="48" fillId="0" borderId="19" xfId="20" applyNumberFormat="1" applyFont="1" applyFill="1" applyBorder="1" applyAlignment="1">
      <alignment horizontal="center" vertical="center"/>
    </xf>
    <xf numFmtId="0" fontId="48" fillId="0" borderId="6" xfId="20" applyFont="1" applyFill="1" applyBorder="1" applyAlignment="1">
      <alignment horizontal="left" vertical="center" wrapText="1"/>
    </xf>
    <xf numFmtId="0" fontId="48" fillId="0" borderId="20" xfId="20" applyFont="1" applyFill="1" applyBorder="1" applyAlignment="1">
      <alignment horizontal="left" vertical="center" wrapText="1"/>
    </xf>
    <xf numFmtId="0" fontId="48" fillId="0" borderId="19" xfId="20" applyFont="1" applyFill="1" applyBorder="1" applyAlignment="1">
      <alignment horizontal="left" vertical="center" wrapText="1"/>
    </xf>
    <xf numFmtId="164" fontId="48" fillId="0" borderId="6" xfId="20" applyNumberFormat="1" applyFont="1" applyFill="1" applyBorder="1" applyAlignment="1">
      <alignment horizontal="left" vertical="center"/>
    </xf>
    <xf numFmtId="164" fontId="48" fillId="0" borderId="20" xfId="20" applyNumberFormat="1" applyFont="1" applyFill="1" applyBorder="1" applyAlignment="1">
      <alignment horizontal="left" vertical="center"/>
    </xf>
    <xf numFmtId="164" fontId="48" fillId="0" borderId="19" xfId="20" applyNumberFormat="1" applyFont="1" applyFill="1" applyBorder="1" applyAlignment="1">
      <alignment horizontal="left" vertical="center"/>
    </xf>
    <xf numFmtId="0" fontId="48" fillId="0" borderId="6" xfId="20" applyFont="1" applyFill="1" applyBorder="1" applyAlignment="1">
      <alignment horizontal="center" vertical="center" wrapText="1"/>
    </xf>
    <xf numFmtId="0" fontId="48" fillId="0" borderId="20" xfId="20" applyFont="1" applyFill="1" applyBorder="1" applyAlignment="1">
      <alignment horizontal="center" vertical="center" wrapText="1"/>
    </xf>
    <xf numFmtId="0" fontId="48" fillId="0" borderId="19" xfId="20" applyFont="1" applyFill="1" applyBorder="1" applyAlignment="1">
      <alignment horizontal="center" vertical="center" wrapText="1"/>
    </xf>
    <xf numFmtId="0" fontId="50" fillId="0" borderId="16" xfId="20" applyFont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19" xfId="21" applyFont="1" applyFill="1" applyBorder="1" applyAlignment="1">
      <alignment horizontal="center" vertical="center" wrapText="1"/>
    </xf>
    <xf numFmtId="165" fontId="48" fillId="4" borderId="12" xfId="21" applyFont="1" applyFill="1" applyBorder="1" applyAlignment="1">
      <alignment horizontal="center" vertical="center" wrapText="1"/>
    </xf>
    <xf numFmtId="165" fontId="48" fillId="4" borderId="17" xfId="21" applyFont="1" applyFill="1" applyBorder="1" applyAlignment="1">
      <alignment horizontal="center" vertical="center" wrapText="1"/>
    </xf>
    <xf numFmtId="165" fontId="48" fillId="4" borderId="11" xfId="21" applyFont="1" applyFill="1" applyBorder="1" applyAlignment="1">
      <alignment horizontal="center" vertical="center" wrapText="1"/>
    </xf>
    <xf numFmtId="0" fontId="48" fillId="4" borderId="2" xfId="20" applyFont="1" applyFill="1" applyBorder="1" applyAlignment="1">
      <alignment horizontal="center" vertical="center"/>
    </xf>
    <xf numFmtId="167" fontId="48" fillId="4" borderId="6" xfId="21" applyNumberFormat="1" applyFont="1" applyFill="1" applyBorder="1" applyAlignment="1">
      <alignment horizontal="center" vertical="center" wrapText="1"/>
    </xf>
    <xf numFmtId="167" fontId="48" fillId="4" borderId="19" xfId="21" applyNumberFormat="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6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" xfId="25" builtinId="3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31" t="s">
        <v>37</v>
      </c>
      <c r="B5" s="631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31" t="s">
        <v>24</v>
      </c>
      <c r="B6" s="631"/>
      <c r="C6" s="82"/>
      <c r="D6" s="632"/>
      <c r="E6" s="632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31" t="s">
        <v>38</v>
      </c>
      <c r="B7" s="631"/>
      <c r="C7" s="631"/>
      <c r="D7" s="631"/>
      <c r="E7" s="631"/>
      <c r="F7" s="631"/>
      <c r="G7" s="631"/>
      <c r="H7" s="631"/>
      <c r="I7" s="631"/>
      <c r="J7" s="82"/>
      <c r="L7" s="61"/>
      <c r="V7" s="62"/>
      <c r="W7" s="63"/>
    </row>
    <row r="8" spans="1:23" s="60" customFormat="1" ht="12.75" customHeight="1" x14ac:dyDescent="0.25">
      <c r="A8" s="631" t="s">
        <v>39</v>
      </c>
      <c r="B8" s="631"/>
      <c r="C8" s="631"/>
      <c r="D8" s="631"/>
      <c r="E8" s="631"/>
      <c r="F8" s="631"/>
      <c r="G8" s="631"/>
      <c r="H8" s="631"/>
      <c r="I8" s="631"/>
      <c r="J8" s="82"/>
      <c r="L8" s="61"/>
      <c r="V8" s="62"/>
      <c r="W8" s="63"/>
    </row>
    <row r="9" spans="1:23" s="60" customFormat="1" ht="12.75" customHeight="1" x14ac:dyDescent="0.25">
      <c r="A9" s="630" t="s">
        <v>40</v>
      </c>
      <c r="B9" s="630"/>
      <c r="C9" s="630"/>
      <c r="D9" s="630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24" t="s">
        <v>0</v>
      </c>
      <c r="B11" s="624"/>
      <c r="C11" s="624"/>
      <c r="D11" s="624"/>
      <c r="E11" s="624"/>
      <c r="F11" s="624"/>
      <c r="G11" s="624"/>
      <c r="H11" s="624"/>
      <c r="I11" s="624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25" t="s">
        <v>1</v>
      </c>
      <c r="B13" s="626" t="s">
        <v>2</v>
      </c>
      <c r="C13" s="625" t="s">
        <v>13</v>
      </c>
      <c r="D13" s="627" t="s">
        <v>3</v>
      </c>
      <c r="E13" s="628" t="s">
        <v>14</v>
      </c>
      <c r="F13" s="629" t="s">
        <v>27</v>
      </c>
      <c r="G13" s="629"/>
      <c r="H13" s="627" t="s">
        <v>17</v>
      </c>
      <c r="I13" s="627"/>
      <c r="J13" s="634" t="s">
        <v>30</v>
      </c>
      <c r="K13" s="635"/>
      <c r="L13" s="636"/>
      <c r="M13" s="626" t="s">
        <v>26</v>
      </c>
      <c r="N13" s="626"/>
      <c r="O13" s="626"/>
      <c r="P13" s="626"/>
      <c r="Q13" s="626" t="s">
        <v>29</v>
      </c>
      <c r="R13" s="626"/>
      <c r="S13" s="626"/>
      <c r="T13" s="626"/>
      <c r="U13" s="626"/>
      <c r="V13" s="640" t="s">
        <v>34</v>
      </c>
      <c r="W13" s="641"/>
    </row>
    <row r="14" spans="1:23" s="3" customFormat="1" ht="20.25" customHeight="1" x14ac:dyDescent="0.25">
      <c r="A14" s="625"/>
      <c r="B14" s="626"/>
      <c r="C14" s="625"/>
      <c r="D14" s="627"/>
      <c r="E14" s="628"/>
      <c r="F14" s="627" t="s">
        <v>41</v>
      </c>
      <c r="G14" s="627"/>
      <c r="H14" s="627"/>
      <c r="I14" s="627"/>
      <c r="J14" s="637"/>
      <c r="K14" s="638"/>
      <c r="L14" s="639"/>
      <c r="M14" s="626"/>
      <c r="N14" s="626"/>
      <c r="O14" s="626"/>
      <c r="P14" s="626"/>
      <c r="Q14" s="626"/>
      <c r="R14" s="626"/>
      <c r="S14" s="626"/>
      <c r="T14" s="626"/>
      <c r="U14" s="626"/>
      <c r="V14" s="642"/>
      <c r="W14" s="643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42"/>
      <c r="W15" s="643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33" t="s">
        <v>32</v>
      </c>
      <c r="U16" s="633"/>
      <c r="V16" s="644"/>
      <c r="W16" s="645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55" t="s">
        <v>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</row>
    <row r="2" spans="1:13" ht="16.2" thickBot="1" x14ac:dyDescent="0.3">
      <c r="M2" s="216"/>
    </row>
    <row r="3" spans="1:13" ht="31.5" customHeight="1" x14ac:dyDescent="0.25">
      <c r="A3" s="665" t="s">
        <v>84</v>
      </c>
      <c r="B3" s="667" t="s">
        <v>82</v>
      </c>
      <c r="C3" s="667" t="s">
        <v>86</v>
      </c>
      <c r="D3" s="667" t="s">
        <v>85</v>
      </c>
      <c r="E3" s="656" t="s">
        <v>83</v>
      </c>
      <c r="F3" s="660" t="s">
        <v>90</v>
      </c>
      <c r="G3" s="661"/>
      <c r="H3" s="662"/>
      <c r="I3" s="658" t="s">
        <v>9</v>
      </c>
      <c r="J3" s="663" t="s">
        <v>91</v>
      </c>
      <c r="K3" s="663"/>
      <c r="L3" s="664"/>
      <c r="M3" s="658" t="s">
        <v>50</v>
      </c>
    </row>
    <row r="4" spans="1:13" x14ac:dyDescent="0.25">
      <c r="A4" s="666"/>
      <c r="B4" s="668"/>
      <c r="C4" s="668"/>
      <c r="D4" s="668"/>
      <c r="E4" s="657"/>
      <c r="F4" s="145" t="s">
        <v>87</v>
      </c>
      <c r="G4" s="135" t="s">
        <v>88</v>
      </c>
      <c r="H4" s="135" t="s">
        <v>89</v>
      </c>
      <c r="I4" s="659"/>
      <c r="J4" s="143" t="s">
        <v>87</v>
      </c>
      <c r="K4" s="135" t="s">
        <v>88</v>
      </c>
      <c r="L4" s="135" t="s">
        <v>89</v>
      </c>
      <c r="M4" s="659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49">
        <v>4</v>
      </c>
      <c r="B6" s="646" t="s">
        <v>97</v>
      </c>
      <c r="C6" s="652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50"/>
      <c r="B7" s="647"/>
      <c r="C7" s="653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50"/>
      <c r="B8" s="647"/>
      <c r="C8" s="653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51"/>
      <c r="B9" s="648"/>
      <c r="C9" s="654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80" zoomScaleNormal="80" zoomScaleSheetLayoutView="100" workbookViewId="0">
      <selection activeCell="D15" sqref="D15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84" t="s">
        <v>84</v>
      </c>
      <c r="B2" s="684" t="s">
        <v>99</v>
      </c>
      <c r="C2" s="684" t="s">
        <v>86</v>
      </c>
      <c r="D2" s="684" t="s">
        <v>51</v>
      </c>
      <c r="E2" s="678" t="s">
        <v>100</v>
      </c>
      <c r="F2" s="679"/>
      <c r="G2" s="680"/>
      <c r="H2" s="681" t="s">
        <v>101</v>
      </c>
      <c r="I2" s="682"/>
      <c r="J2" s="682"/>
      <c r="K2" s="682"/>
      <c r="L2" s="682"/>
      <c r="M2" s="683"/>
      <c r="N2" s="678" t="s">
        <v>102</v>
      </c>
      <c r="O2" s="679"/>
      <c r="P2" s="680"/>
    </row>
    <row r="3" spans="1:16" ht="16.2" thickBot="1" x14ac:dyDescent="0.3">
      <c r="A3" s="685"/>
      <c r="B3" s="685"/>
      <c r="C3" s="685"/>
      <c r="D3" s="685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69">
        <v>4</v>
      </c>
      <c r="B4" s="672" t="s">
        <v>109</v>
      </c>
      <c r="C4" s="672" t="s">
        <v>94</v>
      </c>
      <c r="D4" s="672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70"/>
      <c r="B5" s="673"/>
      <c r="C5" s="673"/>
      <c r="D5" s="673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70"/>
      <c r="B6" s="673"/>
      <c r="C6" s="673"/>
      <c r="D6" s="673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70"/>
      <c r="B7" s="673"/>
      <c r="C7" s="673"/>
      <c r="D7" s="673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70"/>
      <c r="B8" s="673"/>
      <c r="C8" s="673"/>
      <c r="D8" s="674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70"/>
      <c r="B9" s="673"/>
      <c r="C9" s="673"/>
      <c r="D9" s="675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70"/>
      <c r="B10" s="673"/>
      <c r="C10" s="673"/>
      <c r="D10" s="676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70"/>
      <c r="B11" s="673"/>
      <c r="C11" s="673"/>
      <c r="D11" s="677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70"/>
      <c r="B12" s="673"/>
      <c r="C12" s="673"/>
      <c r="D12" s="672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70"/>
      <c r="B13" s="673"/>
      <c r="C13" s="673"/>
      <c r="D13" s="673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70"/>
      <c r="B14" s="673"/>
      <c r="C14" s="673"/>
      <c r="D14" s="674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70"/>
      <c r="B15" s="673"/>
      <c r="C15" s="673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71"/>
      <c r="B16" s="674"/>
      <c r="C16" s="674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I15"/>
  <sheetViews>
    <sheetView showWhiteSpace="0" zoomScale="60" zoomScaleNormal="60" zoomScaleSheetLayoutView="76" workbookViewId="0">
      <pane ySplit="4" topLeftCell="A5" activePane="bottomLeft" state="frozen"/>
      <selection pane="bottomLeft" activeCell="Q38" sqref="Q38"/>
    </sheetView>
  </sheetViews>
  <sheetFormatPr defaultColWidth="9.109375" defaultRowHeight="12" x14ac:dyDescent="0.25"/>
  <cols>
    <col min="1" max="1" width="39.33203125" style="308" customWidth="1"/>
    <col min="2" max="2" width="67.88671875" style="308" customWidth="1"/>
    <col min="3" max="3" width="29" style="342" customWidth="1"/>
    <col min="4" max="4" width="28.5546875" style="342" customWidth="1"/>
    <col min="5" max="5" width="30.5546875" style="342" customWidth="1"/>
    <col min="6" max="6" width="38.21875" style="342" customWidth="1"/>
    <col min="7" max="7" width="32.21875" style="342" customWidth="1"/>
    <col min="8" max="8" width="41.77734375" style="342" hidden="1" customWidth="1"/>
    <col min="9" max="9" width="29.77734375" style="308" hidden="1" customWidth="1"/>
    <col min="10" max="10" width="45.33203125" style="308" hidden="1" customWidth="1"/>
    <col min="11" max="11" width="25.5546875" style="308" customWidth="1"/>
    <col min="12" max="16384" width="9.109375" style="308"/>
  </cols>
  <sheetData>
    <row r="1" spans="1:35" ht="16.95" customHeight="1" x14ac:dyDescent="0.25">
      <c r="A1" s="691" t="s">
        <v>211</v>
      </c>
      <c r="B1" s="691"/>
      <c r="C1" s="691"/>
      <c r="D1" s="691"/>
      <c r="E1" s="691"/>
      <c r="F1" s="691"/>
      <c r="G1" s="691"/>
      <c r="H1" s="691"/>
    </row>
    <row r="2" spans="1:35" ht="59.4" customHeight="1" thickBot="1" x14ac:dyDescent="0.3">
      <c r="A2" s="691"/>
      <c r="B2" s="691"/>
      <c r="C2" s="691"/>
      <c r="D2" s="691"/>
      <c r="E2" s="691"/>
      <c r="F2" s="691"/>
      <c r="G2" s="691"/>
      <c r="H2" s="691"/>
      <c r="I2" s="689" t="s">
        <v>203</v>
      </c>
      <c r="J2" s="690"/>
    </row>
    <row r="3" spans="1:35" ht="31.8" customHeight="1" x14ac:dyDescent="0.25">
      <c r="A3" s="692" t="s">
        <v>124</v>
      </c>
      <c r="B3" s="698" t="s">
        <v>185</v>
      </c>
      <c r="C3" s="694" t="s">
        <v>190</v>
      </c>
      <c r="D3" s="694" t="s">
        <v>191</v>
      </c>
      <c r="E3" s="694" t="s">
        <v>193</v>
      </c>
      <c r="F3" s="700" t="s">
        <v>9</v>
      </c>
      <c r="G3" s="700" t="s">
        <v>188</v>
      </c>
      <c r="H3" s="696" t="s">
        <v>189</v>
      </c>
      <c r="I3" s="558" t="s">
        <v>201</v>
      </c>
      <c r="J3" s="558" t="s">
        <v>202</v>
      </c>
      <c r="K3" s="688" t="s">
        <v>227</v>
      </c>
    </row>
    <row r="4" spans="1:35" ht="30.6" customHeight="1" x14ac:dyDescent="0.25">
      <c r="A4" s="693"/>
      <c r="B4" s="699"/>
      <c r="C4" s="695"/>
      <c r="D4" s="695"/>
      <c r="E4" s="695"/>
      <c r="F4" s="701"/>
      <c r="G4" s="701"/>
      <c r="H4" s="697"/>
      <c r="I4" s="554" t="s">
        <v>197</v>
      </c>
      <c r="J4" s="554" t="s">
        <v>200</v>
      </c>
      <c r="K4" s="688"/>
    </row>
    <row r="5" spans="1:35" s="323" customFormat="1" ht="64.8" customHeight="1" x14ac:dyDescent="0.25">
      <c r="A5" s="568" t="s">
        <v>218</v>
      </c>
      <c r="B5" s="569" t="s">
        <v>216</v>
      </c>
      <c r="C5" s="570"/>
      <c r="D5" s="571"/>
      <c r="E5" s="572"/>
      <c r="F5" s="591"/>
      <c r="G5" s="592"/>
      <c r="H5" s="573" t="s">
        <v>217</v>
      </c>
      <c r="I5" s="556" t="s">
        <v>204</v>
      </c>
      <c r="J5" s="553" t="s">
        <v>206</v>
      </c>
      <c r="K5" s="49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</row>
    <row r="6" spans="1:35" s="567" customFormat="1" ht="63.6" customHeight="1" x14ac:dyDescent="0.25">
      <c r="A6" s="598" t="s">
        <v>219</v>
      </c>
      <c r="B6" s="599" t="s">
        <v>220</v>
      </c>
      <c r="C6" s="600">
        <f>E6-D6</f>
        <v>7142088.0039999988</v>
      </c>
      <c r="D6" s="601">
        <v>11448535.256000003</v>
      </c>
      <c r="E6" s="602">
        <v>18590623.260000002</v>
      </c>
      <c r="F6" s="603" t="s">
        <v>222</v>
      </c>
      <c r="G6" s="702" t="s">
        <v>248</v>
      </c>
      <c r="H6" s="604"/>
      <c r="I6" s="605"/>
      <c r="J6" s="606"/>
      <c r="K6" s="686">
        <v>18547559.219999999</v>
      </c>
      <c r="L6" s="566"/>
      <c r="M6" s="566"/>
      <c r="N6" s="566"/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566"/>
      <c r="AB6" s="566"/>
      <c r="AC6" s="566"/>
      <c r="AD6" s="566"/>
      <c r="AE6" s="566"/>
      <c r="AF6" s="566"/>
      <c r="AG6" s="566"/>
      <c r="AH6" s="566"/>
      <c r="AI6" s="566"/>
    </row>
    <row r="7" spans="1:35" s="567" customFormat="1" ht="63.6" customHeight="1" x14ac:dyDescent="0.25">
      <c r="A7" s="598" t="s">
        <v>244</v>
      </c>
      <c r="B7" s="599" t="s">
        <v>245</v>
      </c>
      <c r="C7" s="600">
        <f>E7-D7</f>
        <v>8208</v>
      </c>
      <c r="D7" s="601">
        <v>28312.22</v>
      </c>
      <c r="E7" s="602">
        <v>36520.22</v>
      </c>
      <c r="F7" s="603" t="s">
        <v>222</v>
      </c>
      <c r="G7" s="703"/>
      <c r="H7" s="604"/>
      <c r="I7" s="605"/>
      <c r="J7" s="606"/>
      <c r="K7" s="687"/>
      <c r="L7" s="566"/>
      <c r="M7" s="566"/>
      <c r="N7" s="566"/>
      <c r="O7" s="566"/>
      <c r="P7" s="566"/>
      <c r="Q7" s="566"/>
      <c r="R7" s="566"/>
      <c r="S7" s="566"/>
      <c r="T7" s="566"/>
      <c r="U7" s="566"/>
      <c r="V7" s="566"/>
      <c r="W7" s="566"/>
      <c r="X7" s="566"/>
      <c r="Y7" s="566"/>
      <c r="Z7" s="566"/>
      <c r="AA7" s="566"/>
      <c r="AB7" s="566"/>
      <c r="AC7" s="566"/>
      <c r="AD7" s="566"/>
      <c r="AE7" s="566"/>
      <c r="AF7" s="566"/>
      <c r="AG7" s="566"/>
      <c r="AH7" s="566"/>
      <c r="AI7" s="566"/>
    </row>
    <row r="8" spans="1:35" s="323" customFormat="1" ht="47.4" customHeight="1" x14ac:dyDescent="0.25">
      <c r="A8" s="607" t="s">
        <v>223</v>
      </c>
      <c r="B8" s="608" t="s">
        <v>215</v>
      </c>
      <c r="C8" s="609">
        <f>E8-D8</f>
        <v>698867.58</v>
      </c>
      <c r="D8" s="610">
        <v>6410.8800000000019</v>
      </c>
      <c r="E8" s="611">
        <v>705278.46</v>
      </c>
      <c r="F8" s="612" t="s">
        <v>222</v>
      </c>
      <c r="G8" s="613"/>
      <c r="H8" s="614"/>
      <c r="I8" s="615" t="s">
        <v>187</v>
      </c>
      <c r="J8" s="616" t="s">
        <v>208</v>
      </c>
      <c r="K8" s="617">
        <v>702272.6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</row>
    <row r="9" spans="1:35" s="323" customFormat="1" ht="50.4" customHeight="1" x14ac:dyDescent="0.25">
      <c r="A9" s="607" t="s">
        <v>239</v>
      </c>
      <c r="B9" s="608" t="s">
        <v>242</v>
      </c>
      <c r="C9" s="618">
        <f>E9-D9</f>
        <v>1349448.1494431999</v>
      </c>
      <c r="D9" s="609">
        <v>1422704.4605568</v>
      </c>
      <c r="E9" s="611">
        <v>2772152.61</v>
      </c>
      <c r="F9" s="612" t="s">
        <v>222</v>
      </c>
      <c r="G9" s="619"/>
      <c r="H9" s="614"/>
      <c r="I9" s="620" t="s">
        <v>192</v>
      </c>
      <c r="J9" s="616" t="s">
        <v>199</v>
      </c>
      <c r="K9" s="621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</row>
    <row r="10" spans="1:35" s="323" customFormat="1" ht="66.599999999999994" customHeight="1" x14ac:dyDescent="0.25">
      <c r="A10" s="607" t="s">
        <v>240</v>
      </c>
      <c r="B10" s="622" t="s">
        <v>241</v>
      </c>
      <c r="C10" s="618">
        <f>E10-D10</f>
        <v>165933.79999999999</v>
      </c>
      <c r="D10" s="609">
        <v>110802.61</v>
      </c>
      <c r="E10" s="611">
        <v>276736.40999999997</v>
      </c>
      <c r="F10" s="612" t="s">
        <v>222</v>
      </c>
      <c r="G10" s="619"/>
      <c r="H10" s="623" t="s">
        <v>231</v>
      </c>
      <c r="I10" s="615" t="s">
        <v>186</v>
      </c>
      <c r="J10" s="616" t="s">
        <v>198</v>
      </c>
      <c r="K10" s="621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</row>
    <row r="11" spans="1:35" s="324" customFormat="1" ht="22.8" customHeight="1" x14ac:dyDescent="0.25">
      <c r="A11" s="533"/>
      <c r="B11" s="533" t="s">
        <v>47</v>
      </c>
      <c r="C11" s="534">
        <f>SUM(C5:C10)</f>
        <v>9364545.5334431995</v>
      </c>
      <c r="D11" s="534">
        <f>SUM(D5:D10)</f>
        <v>13016765.426556803</v>
      </c>
      <c r="E11" s="534">
        <f>SUM(E5:E10)</f>
        <v>22381310.960000001</v>
      </c>
      <c r="F11" s="534"/>
      <c r="G11" s="534"/>
      <c r="H11" s="534"/>
      <c r="I11" s="555"/>
      <c r="J11" s="498"/>
      <c r="K11" s="555"/>
    </row>
    <row r="12" spans="1:35" ht="19.8" customHeight="1" x14ac:dyDescent="0.25">
      <c r="C12" s="339"/>
      <c r="D12" s="339"/>
      <c r="E12" s="339"/>
      <c r="F12" s="339"/>
      <c r="G12" s="339"/>
      <c r="H12" s="339"/>
    </row>
    <row r="13" spans="1:35" x14ac:dyDescent="0.25">
      <c r="C13" s="339"/>
      <c r="D13" s="339"/>
      <c r="E13" s="339"/>
      <c r="F13" s="339"/>
      <c r="G13" s="339"/>
      <c r="H13" s="339"/>
    </row>
    <row r="14" spans="1:35" x14ac:dyDescent="0.25">
      <c r="C14" s="339"/>
      <c r="D14" s="339"/>
      <c r="E14" s="339"/>
      <c r="F14" s="339"/>
      <c r="G14" s="339"/>
      <c r="H14" s="339"/>
    </row>
    <row r="15" spans="1:35" x14ac:dyDescent="0.25">
      <c r="C15" s="339"/>
      <c r="D15" s="339"/>
      <c r="E15" s="339"/>
      <c r="F15" s="339"/>
      <c r="G15" s="339"/>
      <c r="H15" s="339"/>
    </row>
  </sheetData>
  <mergeCells count="13">
    <mergeCell ref="K6:K7"/>
    <mergeCell ref="K3:K4"/>
    <mergeCell ref="I2:J2"/>
    <mergeCell ref="A1:H2"/>
    <mergeCell ref="A3:A4"/>
    <mergeCell ref="C3:C4"/>
    <mergeCell ref="H3:H4"/>
    <mergeCell ref="B3:B4"/>
    <mergeCell ref="E3:E4"/>
    <mergeCell ref="D3:D4"/>
    <mergeCell ref="F3:F4"/>
    <mergeCell ref="G3:G4"/>
    <mergeCell ref="G6:G7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49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0"/>
  <sheetViews>
    <sheetView tabSelected="1" showWhiteSpace="0" view="pageBreakPreview" zoomScale="50" zoomScaleNormal="50" zoomScaleSheetLayoutView="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X27" sqref="X26:X27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8.2187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8.44140625" style="308" hidden="1" customWidth="1"/>
    <col min="20" max="20" width="21.33203125" style="308" customWidth="1"/>
    <col min="21" max="21" width="51.88671875" style="308" hidden="1" customWidth="1"/>
    <col min="22" max="22" width="28.44140625" style="308" customWidth="1"/>
    <col min="23" max="16384" width="9.109375" style="308"/>
  </cols>
  <sheetData>
    <row r="1" spans="1:42" ht="16.95" customHeight="1" x14ac:dyDescent="0.25">
      <c r="A1" s="691" t="s">
        <v>212</v>
      </c>
      <c r="B1" s="691"/>
      <c r="C1" s="691"/>
      <c r="D1" s="691"/>
      <c r="E1" s="691"/>
      <c r="F1" s="691"/>
      <c r="G1" s="691"/>
      <c r="H1" s="691"/>
      <c r="I1" s="691"/>
      <c r="J1" s="691"/>
    </row>
    <row r="2" spans="1:42" ht="59.4" customHeight="1" x14ac:dyDescent="0.2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576" t="s">
        <v>203</v>
      </c>
      <c r="L2" s="576"/>
      <c r="M2" s="576"/>
      <c r="N2" s="576"/>
      <c r="O2" s="576"/>
      <c r="P2" s="576"/>
      <c r="Q2" s="576"/>
      <c r="R2" s="576"/>
      <c r="U2" s="577"/>
    </row>
    <row r="3" spans="1:42" ht="24" customHeight="1" x14ac:dyDescent="0.25">
      <c r="A3" s="717" t="s">
        <v>124</v>
      </c>
      <c r="B3" s="722" t="s">
        <v>185</v>
      </c>
      <c r="C3" s="723" t="s">
        <v>193</v>
      </c>
      <c r="D3" s="719" t="s">
        <v>194</v>
      </c>
      <c r="E3" s="720"/>
      <c r="F3" s="720"/>
      <c r="G3" s="720"/>
      <c r="H3" s="720"/>
      <c r="I3" s="721"/>
      <c r="J3" s="717" t="s">
        <v>189</v>
      </c>
      <c r="K3" s="558" t="s">
        <v>201</v>
      </c>
      <c r="L3" s="563"/>
      <c r="M3" s="563"/>
      <c r="N3" s="563"/>
      <c r="O3" s="563"/>
      <c r="P3" s="563"/>
      <c r="Q3" s="563"/>
      <c r="R3" s="563"/>
      <c r="S3" s="564"/>
      <c r="T3" s="564"/>
      <c r="U3" s="558" t="s">
        <v>202</v>
      </c>
    </row>
    <row r="4" spans="1:42" ht="40.799999999999997" customHeight="1" x14ac:dyDescent="0.25">
      <c r="A4" s="718"/>
      <c r="B4" s="722"/>
      <c r="C4" s="724"/>
      <c r="D4" s="535" t="s">
        <v>126</v>
      </c>
      <c r="E4" s="535" t="s">
        <v>195</v>
      </c>
      <c r="F4" s="536" t="s">
        <v>191</v>
      </c>
      <c r="G4" s="536" t="s">
        <v>190</v>
      </c>
      <c r="H4" s="535" t="s">
        <v>9</v>
      </c>
      <c r="I4" s="535" t="s">
        <v>188</v>
      </c>
      <c r="J4" s="718"/>
      <c r="K4" s="554" t="s">
        <v>197</v>
      </c>
      <c r="L4" s="575" t="s">
        <v>232</v>
      </c>
      <c r="M4" s="575" t="s">
        <v>233</v>
      </c>
      <c r="N4" s="575" t="s">
        <v>228</v>
      </c>
      <c r="O4" s="575" t="s">
        <v>229</v>
      </c>
      <c r="P4" s="575" t="s">
        <v>234</v>
      </c>
      <c r="Q4" s="575" t="s">
        <v>235</v>
      </c>
      <c r="R4" s="575" t="s">
        <v>236</v>
      </c>
      <c r="S4" s="581" t="s">
        <v>237</v>
      </c>
      <c r="T4" s="581" t="s">
        <v>238</v>
      </c>
      <c r="U4" s="554" t="s">
        <v>200</v>
      </c>
    </row>
    <row r="5" spans="1:42" s="323" customFormat="1" ht="57.6" customHeight="1" x14ac:dyDescent="0.25">
      <c r="A5" s="560" t="s">
        <v>53</v>
      </c>
      <c r="B5" s="707" t="s">
        <v>224</v>
      </c>
      <c r="C5" s="710">
        <f>'Реєстр ДЦ '!E6+'Реєстр ДЦ '!E7</f>
        <v>18627143.48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588" t="s">
        <v>213</v>
      </c>
      <c r="I5" s="559"/>
      <c r="J5" s="562" t="s">
        <v>214</v>
      </c>
      <c r="K5" s="552" t="s">
        <v>205</v>
      </c>
      <c r="L5" s="574" t="s">
        <v>226</v>
      </c>
      <c r="M5" s="574" t="s">
        <v>226</v>
      </c>
      <c r="N5" s="574" t="s">
        <v>226</v>
      </c>
      <c r="O5" s="574" t="s">
        <v>226</v>
      </c>
      <c r="P5" s="574" t="s">
        <v>226</v>
      </c>
      <c r="Q5" s="574" t="s">
        <v>226</v>
      </c>
      <c r="R5" s="574" t="s">
        <v>226</v>
      </c>
      <c r="S5" s="583">
        <v>727783.74</v>
      </c>
      <c r="T5" s="584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708"/>
      <c r="C6" s="711"/>
      <c r="D6" s="548" t="s">
        <v>69</v>
      </c>
      <c r="E6" s="549">
        <v>1941984</v>
      </c>
      <c r="F6" s="544">
        <v>0</v>
      </c>
      <c r="G6" s="547">
        <f>E6</f>
        <v>1941984</v>
      </c>
      <c r="H6" s="588" t="s">
        <v>213</v>
      </c>
      <c r="I6" s="559"/>
      <c r="J6" s="562" t="s">
        <v>214</v>
      </c>
      <c r="K6" s="552" t="s">
        <v>192</v>
      </c>
      <c r="L6" s="574" t="s">
        <v>226</v>
      </c>
      <c r="M6" s="574" t="s">
        <v>226</v>
      </c>
      <c r="N6" s="574" t="s">
        <v>226</v>
      </c>
      <c r="O6" s="574" t="s">
        <v>226</v>
      </c>
      <c r="P6" s="574" t="s">
        <v>226</v>
      </c>
      <c r="Q6" s="574" t="s">
        <v>226</v>
      </c>
      <c r="R6" s="574" t="s">
        <v>226</v>
      </c>
      <c r="S6" s="585">
        <f>E6</f>
        <v>1941984</v>
      </c>
      <c r="T6" s="584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708"/>
      <c r="C7" s="711"/>
      <c r="D7" s="545" t="s">
        <v>70</v>
      </c>
      <c r="E7" s="546">
        <v>15320431.27</v>
      </c>
      <c r="F7" s="544">
        <v>11148487.272</v>
      </c>
      <c r="G7" s="544">
        <v>4171944</v>
      </c>
      <c r="H7" s="588" t="s">
        <v>213</v>
      </c>
      <c r="I7" s="565"/>
      <c r="J7" s="562" t="s">
        <v>214</v>
      </c>
      <c r="K7" s="552" t="s">
        <v>186</v>
      </c>
      <c r="L7" s="574" t="s">
        <v>226</v>
      </c>
      <c r="M7" s="574" t="s">
        <v>226</v>
      </c>
      <c r="N7" s="574" t="s">
        <v>226</v>
      </c>
      <c r="O7" s="574" t="s">
        <v>226</v>
      </c>
      <c r="P7" s="574" t="s">
        <v>226</v>
      </c>
      <c r="Q7" s="574" t="s">
        <v>226</v>
      </c>
      <c r="R7" s="574" t="s">
        <v>226</v>
      </c>
      <c r="S7" s="584"/>
      <c r="T7" s="586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709"/>
      <c r="C8" s="712"/>
      <c r="D8" s="545" t="s">
        <v>71</v>
      </c>
      <c r="E8" s="546">
        <v>556360.21</v>
      </c>
      <c r="F8" s="544">
        <v>28312.211999999996</v>
      </c>
      <c r="G8" s="544">
        <f>E8-F8</f>
        <v>528047.99800000002</v>
      </c>
      <c r="H8" s="588" t="s">
        <v>213</v>
      </c>
      <c r="I8" s="565"/>
      <c r="J8" s="562" t="s">
        <v>214</v>
      </c>
      <c r="K8" s="552"/>
      <c r="L8" s="574"/>
      <c r="M8" s="574"/>
      <c r="N8" s="574"/>
      <c r="O8" s="574"/>
      <c r="P8" s="574"/>
      <c r="Q8" s="574"/>
      <c r="R8" s="574"/>
      <c r="S8" s="584"/>
      <c r="T8" s="586" t="s">
        <v>226</v>
      </c>
      <c r="U8" s="553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61.8" customHeight="1" x14ac:dyDescent="0.25">
      <c r="A9" s="560" t="s">
        <v>69</v>
      </c>
      <c r="B9" s="707" t="s">
        <v>221</v>
      </c>
      <c r="C9" s="704">
        <v>705278.46</v>
      </c>
      <c r="D9" s="545" t="s">
        <v>53</v>
      </c>
      <c r="E9" s="546">
        <v>500621.1</v>
      </c>
      <c r="F9" s="544">
        <v>0</v>
      </c>
      <c r="G9" s="544">
        <f>E9</f>
        <v>500621.1</v>
      </c>
      <c r="H9" s="588" t="s">
        <v>213</v>
      </c>
      <c r="I9" s="544"/>
      <c r="J9" s="587" t="s">
        <v>214</v>
      </c>
      <c r="K9" s="552" t="s">
        <v>196</v>
      </c>
      <c r="L9" s="574" t="s">
        <v>226</v>
      </c>
      <c r="M9" s="574" t="s">
        <v>226</v>
      </c>
      <c r="N9" s="574" t="s">
        <v>226</v>
      </c>
      <c r="O9" s="574" t="s">
        <v>226</v>
      </c>
      <c r="P9" s="574" t="s">
        <v>226</v>
      </c>
      <c r="Q9" s="574" t="s">
        <v>226</v>
      </c>
      <c r="R9" s="574" t="s">
        <v>226</v>
      </c>
      <c r="S9" s="585">
        <f>E9</f>
        <v>500621.1</v>
      </c>
      <c r="T9" s="584" t="s">
        <v>226</v>
      </c>
      <c r="U9" s="553" t="s">
        <v>209</v>
      </c>
      <c r="V9" s="597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61.8" customHeight="1" x14ac:dyDescent="0.25">
      <c r="A10" s="542"/>
      <c r="B10" s="708"/>
      <c r="C10" s="705"/>
      <c r="D10" s="545" t="s">
        <v>69</v>
      </c>
      <c r="E10" s="546">
        <v>166743.25</v>
      </c>
      <c r="F10" s="544">
        <f>4712.4*1.2</f>
        <v>5654.8799999999992</v>
      </c>
      <c r="G10" s="544">
        <f>E10-F10</f>
        <v>161088.37</v>
      </c>
      <c r="H10" s="588" t="s">
        <v>213</v>
      </c>
      <c r="I10" s="544"/>
      <c r="J10" s="587" t="s">
        <v>214</v>
      </c>
      <c r="K10" s="552"/>
      <c r="L10" s="574" t="s">
        <v>226</v>
      </c>
      <c r="M10" s="574" t="s">
        <v>226</v>
      </c>
      <c r="N10" s="574" t="s">
        <v>226</v>
      </c>
      <c r="O10" s="574" t="s">
        <v>226</v>
      </c>
      <c r="P10" s="574" t="s">
        <v>226</v>
      </c>
      <c r="Q10" s="574" t="s">
        <v>226</v>
      </c>
      <c r="R10" s="574" t="s">
        <v>226</v>
      </c>
      <c r="S10" s="584"/>
      <c r="T10" s="584" t="s">
        <v>226</v>
      </c>
      <c r="U10" s="553"/>
      <c r="V10" s="597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61.8" customHeight="1" x14ac:dyDescent="0.25">
      <c r="A11" s="542"/>
      <c r="B11" s="709"/>
      <c r="C11" s="706"/>
      <c r="D11" s="545" t="s">
        <v>70</v>
      </c>
      <c r="E11" s="546">
        <v>34908.25</v>
      </c>
      <c r="F11" s="544"/>
      <c r="G11" s="544">
        <f>E11</f>
        <v>34908.25</v>
      </c>
      <c r="H11" s="588" t="s">
        <v>213</v>
      </c>
      <c r="I11" s="544"/>
      <c r="J11" s="587" t="s">
        <v>214</v>
      </c>
      <c r="K11" s="552"/>
      <c r="L11" s="574"/>
      <c r="M11" s="574"/>
      <c r="N11" s="574"/>
      <c r="O11" s="574"/>
      <c r="P11" s="574"/>
      <c r="Q11" s="574"/>
      <c r="R11" s="574"/>
      <c r="S11" s="584"/>
      <c r="T11" s="584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61.8" customHeight="1" x14ac:dyDescent="0.25">
      <c r="A12" s="542"/>
      <c r="B12" s="713" t="s">
        <v>243</v>
      </c>
      <c r="C12" s="704">
        <v>2772152.37</v>
      </c>
      <c r="D12" s="545" t="s">
        <v>71</v>
      </c>
      <c r="E12" s="546">
        <v>1266401.57</v>
      </c>
      <c r="F12" s="544">
        <v>639618.87600000005</v>
      </c>
      <c r="G12" s="544">
        <f>E12-F12</f>
        <v>626782.69400000002</v>
      </c>
      <c r="H12" s="588" t="s">
        <v>213</v>
      </c>
      <c r="I12" s="544"/>
      <c r="J12" s="587" t="s">
        <v>214</v>
      </c>
      <c r="K12" s="552"/>
      <c r="L12" s="574"/>
      <c r="M12" s="574"/>
      <c r="N12" s="574"/>
      <c r="O12" s="574"/>
      <c r="P12" s="574"/>
      <c r="Q12" s="574"/>
      <c r="R12" s="574"/>
      <c r="S12" s="584"/>
      <c r="T12" s="584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61.8" customHeight="1" x14ac:dyDescent="0.25">
      <c r="A13" s="542"/>
      <c r="B13" s="714"/>
      <c r="C13" s="705"/>
      <c r="D13" s="545" t="s">
        <v>73</v>
      </c>
      <c r="E13" s="546">
        <v>838006.75</v>
      </c>
      <c r="F13" s="544">
        <v>631084.86</v>
      </c>
      <c r="G13" s="544">
        <f>E13-F13</f>
        <v>206921.89</v>
      </c>
      <c r="H13" s="588" t="s">
        <v>213</v>
      </c>
      <c r="I13" s="544"/>
      <c r="J13" s="587" t="s">
        <v>214</v>
      </c>
      <c r="K13" s="552"/>
      <c r="L13" s="574"/>
      <c r="M13" s="574"/>
      <c r="N13" s="574"/>
      <c r="O13" s="574"/>
      <c r="P13" s="574"/>
      <c r="Q13" s="574"/>
      <c r="R13" s="574"/>
      <c r="S13" s="584"/>
      <c r="T13" s="584" t="s">
        <v>226</v>
      </c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42"/>
      <c r="B14" s="715"/>
      <c r="C14" s="706"/>
      <c r="D14" s="545" t="s">
        <v>74</v>
      </c>
      <c r="E14" s="546">
        <v>156523.13</v>
      </c>
      <c r="F14" s="544">
        <v>126329.70600000001</v>
      </c>
      <c r="G14" s="544">
        <f>E14-F14</f>
        <v>30193.423999999999</v>
      </c>
      <c r="H14" s="588" t="s">
        <v>213</v>
      </c>
      <c r="I14" s="544"/>
      <c r="J14" s="587" t="s">
        <v>214</v>
      </c>
      <c r="K14" s="552"/>
      <c r="L14" s="574"/>
      <c r="M14" s="574"/>
      <c r="N14" s="574"/>
      <c r="O14" s="574"/>
      <c r="P14" s="574"/>
      <c r="Q14" s="574"/>
      <c r="R14" s="574"/>
      <c r="S14" s="584"/>
      <c r="T14" s="584"/>
      <c r="U14" s="553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590" t="s">
        <v>246</v>
      </c>
      <c r="C15" s="546">
        <v>276736.40999999997</v>
      </c>
      <c r="D15" s="545" t="s">
        <v>72</v>
      </c>
      <c r="E15" s="546">
        <v>244076.33</v>
      </c>
      <c r="F15" s="544">
        <v>110176.06</v>
      </c>
      <c r="G15" s="544">
        <f>E15-F15</f>
        <v>133900.26999999999</v>
      </c>
      <c r="H15" s="588" t="s">
        <v>213</v>
      </c>
      <c r="I15" s="544"/>
      <c r="J15" s="587" t="s">
        <v>214</v>
      </c>
      <c r="K15" s="552"/>
      <c r="L15" s="574"/>
      <c r="M15" s="574"/>
      <c r="N15" s="574"/>
      <c r="O15" s="574"/>
      <c r="P15" s="574"/>
      <c r="Q15" s="574"/>
      <c r="R15" s="574"/>
      <c r="S15" s="584"/>
      <c r="T15" s="584" t="s">
        <v>226</v>
      </c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4" customFormat="1" ht="32.4" customHeight="1" x14ac:dyDescent="0.25">
      <c r="A16" s="533"/>
      <c r="B16" s="533" t="s">
        <v>47</v>
      </c>
      <c r="C16" s="534">
        <f>SUM(C5:C15)</f>
        <v>22381310.720000003</v>
      </c>
      <c r="D16" s="534"/>
      <c r="E16" s="534">
        <f>SUM(E5:E15)</f>
        <v>21754839.599999998</v>
      </c>
      <c r="F16" s="534">
        <f>SUM(F5:F15)</f>
        <v>12913547.602</v>
      </c>
      <c r="G16" s="534">
        <f>SUM(G5:G15)</f>
        <v>8841291.9959999993</v>
      </c>
      <c r="H16" s="534"/>
      <c r="I16" s="534"/>
      <c r="J16" s="534"/>
      <c r="K16" s="579"/>
      <c r="L16" s="579"/>
      <c r="M16" s="579"/>
      <c r="N16" s="579"/>
      <c r="O16" s="579"/>
      <c r="P16" s="579"/>
      <c r="Q16" s="579"/>
      <c r="R16" s="579"/>
      <c r="S16" s="555"/>
      <c r="T16" s="555"/>
      <c r="U16" s="555"/>
    </row>
    <row r="17" spans="1:42" s="323" customFormat="1" ht="25.8" customHeight="1" x14ac:dyDescent="0.25">
      <c r="A17" s="537"/>
      <c r="B17" s="538"/>
      <c r="C17" s="541">
        <f>C16</f>
        <v>22381310.720000003</v>
      </c>
      <c r="D17" s="540"/>
      <c r="E17" s="541">
        <f>E16</f>
        <v>21754839.599999998</v>
      </c>
      <c r="F17" s="541">
        <f>F16</f>
        <v>12913547.602</v>
      </c>
      <c r="G17" s="541">
        <f>G16</f>
        <v>8841291.9959999993</v>
      </c>
      <c r="H17" s="539"/>
      <c r="I17" s="539"/>
      <c r="J17" s="539"/>
      <c r="K17" s="498"/>
      <c r="L17" s="498"/>
      <c r="M17" s="498"/>
      <c r="N17" s="498"/>
      <c r="O17" s="498"/>
      <c r="P17" s="498"/>
      <c r="Q17" s="498"/>
      <c r="R17" s="498"/>
      <c r="S17" s="498"/>
      <c r="T17" s="498"/>
      <c r="U17" s="580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</row>
    <row r="18" spans="1:42" x14ac:dyDescent="0.25">
      <c r="C18" s="339"/>
      <c r="D18" s="339"/>
      <c r="E18" s="339"/>
      <c r="F18" s="339"/>
      <c r="G18" s="339"/>
      <c r="H18" s="339"/>
      <c r="I18" s="339"/>
      <c r="J18" s="339"/>
    </row>
    <row r="19" spans="1:42" x14ac:dyDescent="0.25">
      <c r="C19" s="339"/>
      <c r="D19" s="339"/>
      <c r="E19" s="339"/>
      <c r="F19" s="339"/>
      <c r="G19" s="339"/>
      <c r="H19" s="339"/>
      <c r="I19" s="339"/>
      <c r="J19" s="339"/>
    </row>
    <row r="20" spans="1:42" ht="19.2" customHeight="1" x14ac:dyDescent="0.25">
      <c r="B20" s="557"/>
      <c r="C20" s="339"/>
      <c r="D20" s="339"/>
      <c r="E20" s="339"/>
      <c r="F20" s="339"/>
      <c r="G20" s="339"/>
      <c r="H20" s="339"/>
      <c r="I20" s="339"/>
      <c r="J20" s="339"/>
    </row>
    <row r="21" spans="1:42" x14ac:dyDescent="0.25"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x14ac:dyDescent="0.25"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ht="30" customHeight="1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</sheetData>
  <autoFilter ref="A4:AP16"/>
  <mergeCells count="12">
    <mergeCell ref="A1:J2"/>
    <mergeCell ref="J3:J4"/>
    <mergeCell ref="D3:I3"/>
    <mergeCell ref="A3:A4"/>
    <mergeCell ref="B3:B4"/>
    <mergeCell ref="C3:C4"/>
    <mergeCell ref="C9:C11"/>
    <mergeCell ref="B9:B11"/>
    <mergeCell ref="B5:B8"/>
    <mergeCell ref="C5:C8"/>
    <mergeCell ref="C12:C14"/>
    <mergeCell ref="B12:B14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0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P43"/>
  <sheetViews>
    <sheetView showWhiteSpace="0" view="pageBreakPreview" zoomScale="50" zoomScaleNormal="50" zoomScaleSheetLayoutView="50"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5.44140625" style="342" customWidth="1"/>
    <col min="4" max="4" width="18.21875" style="342" customWidth="1"/>
    <col min="5" max="5" width="25.77734375" style="342" customWidth="1"/>
    <col min="6" max="7" width="25.109375" style="342" customWidth="1"/>
    <col min="8" max="8" width="40" style="342" customWidth="1"/>
    <col min="9" max="9" width="26.88671875" style="342" customWidth="1"/>
    <col min="10" max="10" width="30.6640625" style="342" customWidth="1"/>
    <col min="11" max="14" width="31.33203125" style="308" hidden="1" customWidth="1"/>
    <col min="15" max="15" width="33.5546875" style="308" hidden="1" customWidth="1"/>
    <col min="16" max="18" width="31.33203125" style="308" hidden="1" customWidth="1"/>
    <col min="19" max="19" width="24.44140625" style="308" hidden="1" customWidth="1"/>
    <col min="20" max="20" width="21.33203125" style="308" customWidth="1"/>
    <col min="21" max="21" width="51.88671875" style="308" hidden="1" customWidth="1"/>
    <col min="22" max="16384" width="9.109375" style="308"/>
  </cols>
  <sheetData>
    <row r="1" spans="1:42" ht="16.95" customHeight="1" x14ac:dyDescent="0.25">
      <c r="A1" s="691" t="s">
        <v>212</v>
      </c>
      <c r="B1" s="691"/>
      <c r="C1" s="691"/>
      <c r="D1" s="691"/>
      <c r="E1" s="691"/>
      <c r="F1" s="691"/>
      <c r="G1" s="691"/>
      <c r="H1" s="691"/>
      <c r="I1" s="691"/>
      <c r="J1" s="691"/>
    </row>
    <row r="2" spans="1:42" ht="59.4" customHeight="1" x14ac:dyDescent="0.2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576" t="s">
        <v>203</v>
      </c>
      <c r="L2" s="576"/>
      <c r="M2" s="576"/>
      <c r="N2" s="576"/>
      <c r="O2" s="576"/>
      <c r="P2" s="576"/>
      <c r="Q2" s="576"/>
      <c r="R2" s="576"/>
      <c r="U2" s="577"/>
    </row>
    <row r="3" spans="1:42" ht="24" customHeight="1" x14ac:dyDescent="0.25">
      <c r="A3" s="717" t="s">
        <v>124</v>
      </c>
      <c r="B3" s="722" t="s">
        <v>185</v>
      </c>
      <c r="C3" s="723" t="s">
        <v>193</v>
      </c>
      <c r="D3" s="719" t="s">
        <v>194</v>
      </c>
      <c r="E3" s="720"/>
      <c r="F3" s="720"/>
      <c r="G3" s="720"/>
      <c r="H3" s="720"/>
      <c r="I3" s="721"/>
      <c r="J3" s="717" t="s">
        <v>189</v>
      </c>
      <c r="K3" s="558" t="s">
        <v>201</v>
      </c>
      <c r="L3" s="563"/>
      <c r="M3" s="563"/>
      <c r="N3" s="563"/>
      <c r="O3" s="563"/>
      <c r="P3" s="563"/>
      <c r="Q3" s="563"/>
      <c r="R3" s="563"/>
      <c r="S3" s="564"/>
      <c r="T3" s="564"/>
      <c r="U3" s="558" t="s">
        <v>202</v>
      </c>
    </row>
    <row r="4" spans="1:42" ht="40.799999999999997" customHeight="1" x14ac:dyDescent="0.25">
      <c r="A4" s="718"/>
      <c r="B4" s="722"/>
      <c r="C4" s="724"/>
      <c r="D4" s="595" t="s">
        <v>126</v>
      </c>
      <c r="E4" s="595" t="s">
        <v>195</v>
      </c>
      <c r="F4" s="595" t="s">
        <v>191</v>
      </c>
      <c r="G4" s="595" t="s">
        <v>190</v>
      </c>
      <c r="H4" s="595" t="s">
        <v>9</v>
      </c>
      <c r="I4" s="595" t="s">
        <v>188</v>
      </c>
      <c r="J4" s="718"/>
      <c r="K4" s="554" t="s">
        <v>197</v>
      </c>
      <c r="L4" s="575" t="s">
        <v>232</v>
      </c>
      <c r="M4" s="575" t="s">
        <v>233</v>
      </c>
      <c r="N4" s="575" t="s">
        <v>228</v>
      </c>
      <c r="O4" s="575" t="s">
        <v>229</v>
      </c>
      <c r="P4" s="575" t="s">
        <v>234</v>
      </c>
      <c r="Q4" s="575" t="s">
        <v>235</v>
      </c>
      <c r="R4" s="575" t="s">
        <v>236</v>
      </c>
      <c r="S4" s="581" t="s">
        <v>237</v>
      </c>
      <c r="T4" s="581" t="s">
        <v>238</v>
      </c>
      <c r="U4" s="554" t="s">
        <v>200</v>
      </c>
    </row>
    <row r="5" spans="1:42" s="323" customFormat="1" ht="57.6" customHeight="1" x14ac:dyDescent="0.25">
      <c r="A5" s="560" t="s">
        <v>53</v>
      </c>
      <c r="B5" s="561" t="s">
        <v>224</v>
      </c>
      <c r="C5" s="546">
        <v>18590623.260000002</v>
      </c>
      <c r="D5" s="545" t="s">
        <v>53</v>
      </c>
      <c r="E5" s="546">
        <v>728783.74</v>
      </c>
      <c r="F5" s="544">
        <f>186569.78*1.2</f>
        <v>223883.736</v>
      </c>
      <c r="G5" s="544">
        <f>420750*1.2</f>
        <v>504900</v>
      </c>
      <c r="H5" s="588" t="s">
        <v>213</v>
      </c>
      <c r="I5" s="559"/>
      <c r="J5" s="562" t="s">
        <v>214</v>
      </c>
      <c r="K5" s="552" t="s">
        <v>205</v>
      </c>
      <c r="L5" s="574" t="s">
        <v>226</v>
      </c>
      <c r="M5" s="574" t="s">
        <v>226</v>
      </c>
      <c r="N5" s="574" t="s">
        <v>226</v>
      </c>
      <c r="O5" s="574" t="s">
        <v>226</v>
      </c>
      <c r="P5" s="574" t="s">
        <v>226</v>
      </c>
      <c r="Q5" s="574" t="s">
        <v>226</v>
      </c>
      <c r="R5" s="574" t="s">
        <v>226</v>
      </c>
      <c r="S5" s="583">
        <v>727783.74</v>
      </c>
      <c r="T5" s="584" t="s">
        <v>226</v>
      </c>
      <c r="U5" s="553" t="s">
        <v>207</v>
      </c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</row>
    <row r="6" spans="1:42" s="323" customFormat="1" ht="72.599999999999994" customHeight="1" x14ac:dyDescent="0.25">
      <c r="A6" s="542"/>
      <c r="B6" s="543"/>
      <c r="C6" s="547"/>
      <c r="D6" s="548" t="s">
        <v>69</v>
      </c>
      <c r="E6" s="549">
        <v>1941984</v>
      </c>
      <c r="F6" s="544">
        <v>0</v>
      </c>
      <c r="G6" s="547">
        <f>E6</f>
        <v>1941984</v>
      </c>
      <c r="H6" s="588" t="s">
        <v>213</v>
      </c>
      <c r="I6" s="559"/>
      <c r="J6" s="562" t="s">
        <v>214</v>
      </c>
      <c r="K6" s="552" t="s">
        <v>192</v>
      </c>
      <c r="L6" s="574" t="s">
        <v>226</v>
      </c>
      <c r="M6" s="574" t="s">
        <v>226</v>
      </c>
      <c r="N6" s="574" t="s">
        <v>226</v>
      </c>
      <c r="O6" s="574" t="s">
        <v>226</v>
      </c>
      <c r="P6" s="574" t="s">
        <v>226</v>
      </c>
      <c r="Q6" s="574" t="s">
        <v>226</v>
      </c>
      <c r="R6" s="574" t="s">
        <v>226</v>
      </c>
      <c r="S6" s="585">
        <f>E6</f>
        <v>1941984</v>
      </c>
      <c r="T6" s="584" t="s">
        <v>226</v>
      </c>
      <c r="U6" s="553" t="s">
        <v>210</v>
      </c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  <c r="AN6" s="318"/>
      <c r="AO6" s="318"/>
      <c r="AP6" s="318"/>
    </row>
    <row r="7" spans="1:42" s="323" customFormat="1" ht="71.400000000000006" customHeight="1" x14ac:dyDescent="0.25">
      <c r="A7" s="542"/>
      <c r="B7" s="550"/>
      <c r="C7" s="544"/>
      <c r="D7" s="545" t="s">
        <v>70</v>
      </c>
      <c r="E7" s="546">
        <v>1131739.1200000001</v>
      </c>
      <c r="F7" s="544">
        <v>997219.1</v>
      </c>
      <c r="G7" s="544">
        <f>E7-F7</f>
        <v>134520.02000000014</v>
      </c>
      <c r="H7" s="589" t="s">
        <v>225</v>
      </c>
      <c r="I7" s="565"/>
      <c r="J7" s="551"/>
      <c r="K7" s="552" t="s">
        <v>186</v>
      </c>
      <c r="L7" s="574" t="s">
        <v>226</v>
      </c>
      <c r="M7" s="574" t="s">
        <v>226</v>
      </c>
      <c r="N7" s="574" t="s">
        <v>226</v>
      </c>
      <c r="O7" s="574" t="s">
        <v>226</v>
      </c>
      <c r="P7" s="574" t="s">
        <v>226</v>
      </c>
      <c r="Q7" s="574" t="s">
        <v>226</v>
      </c>
      <c r="R7" s="574" t="s">
        <v>226</v>
      </c>
      <c r="S7" s="584"/>
      <c r="T7" s="586" t="s">
        <v>226</v>
      </c>
      <c r="U7" s="553" t="s">
        <v>198</v>
      </c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</row>
    <row r="8" spans="1:42" s="323" customFormat="1" ht="71.400000000000006" customHeight="1" x14ac:dyDescent="0.25">
      <c r="A8" s="542"/>
      <c r="B8" s="550"/>
      <c r="C8" s="544"/>
      <c r="D8" s="545" t="s">
        <v>71</v>
      </c>
      <c r="E8" s="546">
        <v>2437104.3199999998</v>
      </c>
      <c r="F8" s="544">
        <v>1992504.3240000003</v>
      </c>
      <c r="G8" s="544">
        <f>E8-F8</f>
        <v>444599.99599999958</v>
      </c>
      <c r="H8" s="589" t="s">
        <v>225</v>
      </c>
      <c r="I8" s="565"/>
      <c r="J8" s="593"/>
      <c r="K8" s="552"/>
      <c r="L8" s="574" t="s">
        <v>226</v>
      </c>
      <c r="M8" s="574" t="s">
        <v>226</v>
      </c>
      <c r="N8" s="574" t="s">
        <v>226</v>
      </c>
      <c r="O8" s="574" t="s">
        <v>226</v>
      </c>
      <c r="P8" s="574" t="s">
        <v>226</v>
      </c>
      <c r="Q8" s="574" t="s">
        <v>226</v>
      </c>
      <c r="R8" s="582" t="s">
        <v>226</v>
      </c>
      <c r="S8" s="584"/>
      <c r="T8" s="584" t="s">
        <v>226</v>
      </c>
      <c r="U8" s="578" t="s">
        <v>230</v>
      </c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</row>
    <row r="9" spans="1:42" s="323" customFormat="1" ht="71.400000000000006" customHeight="1" x14ac:dyDescent="0.25">
      <c r="A9" s="542"/>
      <c r="B9" s="550"/>
      <c r="C9" s="544"/>
      <c r="D9" s="545" t="s">
        <v>72</v>
      </c>
      <c r="E9" s="546">
        <f>F9+G9</f>
        <v>2917817</v>
      </c>
      <c r="F9" s="544">
        <v>2747273</v>
      </c>
      <c r="G9" s="544">
        <v>170544</v>
      </c>
      <c r="H9" s="589" t="s">
        <v>225</v>
      </c>
      <c r="I9" s="565"/>
      <c r="J9" s="594"/>
      <c r="K9" s="552"/>
      <c r="L9" s="574" t="s">
        <v>226</v>
      </c>
      <c r="M9" s="574" t="s">
        <v>226</v>
      </c>
      <c r="N9" s="574" t="s">
        <v>226</v>
      </c>
      <c r="O9" s="574" t="s">
        <v>226</v>
      </c>
      <c r="P9" s="574" t="s">
        <v>226</v>
      </c>
      <c r="Q9" s="574" t="s">
        <v>226</v>
      </c>
      <c r="R9" s="574" t="s">
        <v>226</v>
      </c>
      <c r="S9" s="584"/>
      <c r="T9" s="584" t="s">
        <v>226</v>
      </c>
      <c r="U9" s="553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</row>
    <row r="10" spans="1:42" s="323" customFormat="1" ht="71.400000000000006" customHeight="1" x14ac:dyDescent="0.25">
      <c r="A10" s="542"/>
      <c r="B10" s="550"/>
      <c r="C10" s="544"/>
      <c r="D10" s="545" t="s">
        <v>73</v>
      </c>
      <c r="E10" s="546">
        <v>2603926.91</v>
      </c>
      <c r="F10" s="544">
        <f>943299.09*1.2</f>
        <v>1131958.9079999998</v>
      </c>
      <c r="G10" s="544">
        <f>1226640*1.2</f>
        <v>1471968</v>
      </c>
      <c r="H10" s="589" t="s">
        <v>225</v>
      </c>
      <c r="I10" s="565"/>
      <c r="J10" s="551"/>
      <c r="K10" s="552"/>
      <c r="L10" s="574" t="s">
        <v>226</v>
      </c>
      <c r="M10" s="574" t="s">
        <v>226</v>
      </c>
      <c r="N10" s="574" t="s">
        <v>226</v>
      </c>
      <c r="O10" s="574" t="s">
        <v>226</v>
      </c>
      <c r="P10" s="574" t="s">
        <v>226</v>
      </c>
      <c r="Q10" s="574" t="s">
        <v>226</v>
      </c>
      <c r="R10" s="574" t="s">
        <v>226</v>
      </c>
      <c r="S10" s="584"/>
      <c r="T10" s="584" t="s">
        <v>226</v>
      </c>
      <c r="U10" s="553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</row>
    <row r="11" spans="1:42" s="323" customFormat="1" ht="71.400000000000006" customHeight="1" x14ac:dyDescent="0.25">
      <c r="A11" s="542"/>
      <c r="B11" s="550"/>
      <c r="C11" s="544"/>
      <c r="D11" s="545" t="s">
        <v>74</v>
      </c>
      <c r="E11" s="546">
        <v>2571099.5499999998</v>
      </c>
      <c r="F11" s="544">
        <f>1733322.96*1.2</f>
        <v>2079987.5519999999</v>
      </c>
      <c r="G11" s="544">
        <f>E11-F11</f>
        <v>491111.99799999991</v>
      </c>
      <c r="H11" s="589" t="s">
        <v>225</v>
      </c>
      <c r="I11" s="565"/>
      <c r="J11" s="551"/>
      <c r="K11" s="552"/>
      <c r="L11" s="574" t="s">
        <v>226</v>
      </c>
      <c r="M11" s="574" t="s">
        <v>226</v>
      </c>
      <c r="N11" s="574" t="s">
        <v>226</v>
      </c>
      <c r="O11" s="574" t="s">
        <v>226</v>
      </c>
      <c r="P11" s="574" t="s">
        <v>226</v>
      </c>
      <c r="Q11" s="574" t="s">
        <v>226</v>
      </c>
      <c r="R11" s="574" t="s">
        <v>226</v>
      </c>
      <c r="S11" s="584"/>
      <c r="T11" s="584" t="s">
        <v>226</v>
      </c>
      <c r="U11" s="553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</row>
    <row r="12" spans="1:42" s="323" customFormat="1" ht="71.400000000000006" customHeight="1" x14ac:dyDescent="0.25">
      <c r="A12" s="542"/>
      <c r="B12" s="550"/>
      <c r="C12" s="544"/>
      <c r="D12" s="545" t="s">
        <v>77</v>
      </c>
      <c r="E12" s="546">
        <v>3356872.5240000002</v>
      </c>
      <c r="F12" s="544">
        <v>2199544.5239999997</v>
      </c>
      <c r="G12" s="544">
        <f>E12-F12</f>
        <v>1157328.0000000005</v>
      </c>
      <c r="H12" s="589" t="s">
        <v>225</v>
      </c>
      <c r="I12" s="565"/>
      <c r="J12" s="551"/>
      <c r="K12" s="552"/>
      <c r="L12" s="574" t="s">
        <v>226</v>
      </c>
      <c r="M12" s="574" t="s">
        <v>226</v>
      </c>
      <c r="N12" s="574" t="s">
        <v>226</v>
      </c>
      <c r="O12" s="574" t="s">
        <v>226</v>
      </c>
      <c r="P12" s="574" t="s">
        <v>226</v>
      </c>
      <c r="Q12" s="574" t="s">
        <v>226</v>
      </c>
      <c r="R12" s="574" t="s">
        <v>226</v>
      </c>
      <c r="S12" s="584"/>
      <c r="T12" s="584" t="s">
        <v>226</v>
      </c>
      <c r="U12" s="553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</row>
    <row r="13" spans="1:42" s="323" customFormat="1" ht="71.400000000000006" customHeight="1" x14ac:dyDescent="0.25">
      <c r="A13" s="542"/>
      <c r="B13" s="550"/>
      <c r="C13" s="544"/>
      <c r="D13" s="545" t="s">
        <v>78</v>
      </c>
      <c r="E13" s="546">
        <v>291840</v>
      </c>
      <c r="F13" s="544"/>
      <c r="G13" s="544">
        <f>E13</f>
        <v>291840</v>
      </c>
      <c r="H13" s="589" t="s">
        <v>213</v>
      </c>
      <c r="I13" s="565"/>
      <c r="J13" s="551"/>
      <c r="K13" s="552"/>
      <c r="L13" s="574"/>
      <c r="M13" s="574"/>
      <c r="N13" s="574"/>
      <c r="O13" s="574"/>
      <c r="P13" s="574"/>
      <c r="Q13" s="574"/>
      <c r="R13" s="574"/>
      <c r="S13" s="584"/>
      <c r="T13" s="584" t="s">
        <v>226</v>
      </c>
      <c r="U13" s="553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</row>
    <row r="14" spans="1:42" s="323" customFormat="1" ht="61.8" customHeight="1" x14ac:dyDescent="0.25">
      <c r="A14" s="560"/>
      <c r="B14" s="590" t="s">
        <v>221</v>
      </c>
      <c r="C14" s="546">
        <v>705278.46</v>
      </c>
      <c r="D14" s="545" t="s">
        <v>53</v>
      </c>
      <c r="E14" s="546">
        <v>500621.1</v>
      </c>
      <c r="F14" s="544">
        <v>0</v>
      </c>
      <c r="G14" s="544">
        <f>E14</f>
        <v>500621.1</v>
      </c>
      <c r="H14" s="588" t="s">
        <v>213</v>
      </c>
      <c r="I14" s="544"/>
      <c r="J14" s="587" t="s">
        <v>214</v>
      </c>
      <c r="K14" s="552" t="s">
        <v>196</v>
      </c>
      <c r="L14" s="574" t="s">
        <v>226</v>
      </c>
      <c r="M14" s="574" t="s">
        <v>226</v>
      </c>
      <c r="N14" s="574" t="s">
        <v>226</v>
      </c>
      <c r="O14" s="574" t="s">
        <v>226</v>
      </c>
      <c r="P14" s="574" t="s">
        <v>226</v>
      </c>
      <c r="Q14" s="574" t="s">
        <v>226</v>
      </c>
      <c r="R14" s="574" t="s">
        <v>226</v>
      </c>
      <c r="S14" s="585">
        <f>E14</f>
        <v>500621.1</v>
      </c>
      <c r="T14" s="584" t="s">
        <v>226</v>
      </c>
      <c r="U14" s="553" t="s">
        <v>209</v>
      </c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</row>
    <row r="15" spans="1:42" s="323" customFormat="1" ht="61.8" customHeight="1" x14ac:dyDescent="0.25">
      <c r="A15" s="542"/>
      <c r="B15" s="550"/>
      <c r="C15" s="544"/>
      <c r="D15" s="545" t="s">
        <v>69</v>
      </c>
      <c r="E15" s="546">
        <v>166743.25</v>
      </c>
      <c r="F15" s="544">
        <f>4712.4*1.2</f>
        <v>5654.8799999999992</v>
      </c>
      <c r="G15" s="544">
        <f>E15-F15</f>
        <v>161088.37</v>
      </c>
      <c r="H15" s="588" t="s">
        <v>213</v>
      </c>
      <c r="I15" s="544"/>
      <c r="J15" s="587" t="s">
        <v>214</v>
      </c>
      <c r="K15" s="552"/>
      <c r="L15" s="574" t="s">
        <v>226</v>
      </c>
      <c r="M15" s="574" t="s">
        <v>226</v>
      </c>
      <c r="N15" s="574" t="s">
        <v>226</v>
      </c>
      <c r="O15" s="574" t="s">
        <v>226</v>
      </c>
      <c r="P15" s="574" t="s">
        <v>226</v>
      </c>
      <c r="Q15" s="574" t="s">
        <v>226</v>
      </c>
      <c r="R15" s="574" t="s">
        <v>226</v>
      </c>
      <c r="S15" s="584"/>
      <c r="T15" s="584" t="s">
        <v>226</v>
      </c>
      <c r="U15" s="553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</row>
    <row r="16" spans="1:42" s="323" customFormat="1" ht="61.8" customHeight="1" x14ac:dyDescent="0.25">
      <c r="A16" s="542"/>
      <c r="B16" s="550"/>
      <c r="C16" s="544"/>
      <c r="D16" s="545" t="s">
        <v>70</v>
      </c>
      <c r="E16" s="546">
        <v>34908.25</v>
      </c>
      <c r="F16" s="544"/>
      <c r="G16" s="544">
        <f>E16</f>
        <v>34908.25</v>
      </c>
      <c r="H16" s="588" t="s">
        <v>213</v>
      </c>
      <c r="I16" s="544"/>
      <c r="J16" s="587" t="s">
        <v>214</v>
      </c>
      <c r="K16" s="552"/>
      <c r="L16" s="574"/>
      <c r="M16" s="574"/>
      <c r="N16" s="574"/>
      <c r="O16" s="574"/>
      <c r="P16" s="574"/>
      <c r="Q16" s="574"/>
      <c r="R16" s="574"/>
      <c r="S16" s="584"/>
      <c r="T16" s="584" t="s">
        <v>226</v>
      </c>
      <c r="U16" s="553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</row>
    <row r="17" spans="1:42" s="323" customFormat="1" ht="61.8" customHeight="1" x14ac:dyDescent="0.25">
      <c r="A17" s="542"/>
      <c r="B17" s="590" t="s">
        <v>243</v>
      </c>
      <c r="C17" s="546">
        <v>2772152.37</v>
      </c>
      <c r="D17" s="545" t="s">
        <v>53</v>
      </c>
      <c r="E17" s="546">
        <v>1266401.57</v>
      </c>
      <c r="F17" s="544">
        <v>639618.87600000005</v>
      </c>
      <c r="G17" s="544">
        <f>E17-F17</f>
        <v>626782.69400000002</v>
      </c>
      <c r="H17" s="588" t="s">
        <v>213</v>
      </c>
      <c r="I17" s="544"/>
      <c r="J17" s="587" t="s">
        <v>214</v>
      </c>
      <c r="K17" s="552"/>
      <c r="L17" s="574"/>
      <c r="M17" s="574"/>
      <c r="N17" s="574"/>
      <c r="O17" s="574"/>
      <c r="P17" s="574"/>
      <c r="Q17" s="574"/>
      <c r="R17" s="574"/>
      <c r="S17" s="584"/>
      <c r="T17" s="584"/>
      <c r="U17" s="553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</row>
    <row r="18" spans="1:42" s="323" customFormat="1" ht="61.8" customHeight="1" x14ac:dyDescent="0.25">
      <c r="A18" s="542"/>
      <c r="B18" s="590" t="s">
        <v>246</v>
      </c>
      <c r="C18" s="546">
        <v>276736.40999999997</v>
      </c>
      <c r="D18" s="545" t="s">
        <v>53</v>
      </c>
      <c r="E18" s="546">
        <v>244076.33</v>
      </c>
      <c r="F18" s="544">
        <v>110176.06</v>
      </c>
      <c r="G18" s="544">
        <f>E18-F18</f>
        <v>133900.26999999999</v>
      </c>
      <c r="H18" s="596" t="s">
        <v>247</v>
      </c>
      <c r="I18" s="544"/>
      <c r="J18" s="587"/>
      <c r="K18" s="552"/>
      <c r="L18" s="574"/>
      <c r="M18" s="574"/>
      <c r="N18" s="574"/>
      <c r="O18" s="574"/>
      <c r="P18" s="574"/>
      <c r="Q18" s="574"/>
      <c r="R18" s="574"/>
      <c r="S18" s="584"/>
      <c r="T18" s="584"/>
      <c r="U18" s="553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</row>
    <row r="19" spans="1:42" s="324" customFormat="1" ht="22.95" customHeight="1" x14ac:dyDescent="0.25">
      <c r="A19" s="533"/>
      <c r="B19" s="533" t="s">
        <v>47</v>
      </c>
      <c r="C19" s="534">
        <f>SUM(C5:C18)</f>
        <v>22344790.500000004</v>
      </c>
      <c r="D19" s="534"/>
      <c r="E19" s="534">
        <f>SUM(E5:E18)</f>
        <v>20193917.664000001</v>
      </c>
      <c r="F19" s="534">
        <f>SUM(F5:F18)</f>
        <v>12127820.960000001</v>
      </c>
      <c r="G19" s="534">
        <f>SUM(G5:G18)</f>
        <v>8066096.6979999999</v>
      </c>
      <c r="H19" s="534"/>
      <c r="I19" s="534"/>
      <c r="J19" s="534"/>
      <c r="K19" s="579"/>
      <c r="L19" s="579"/>
      <c r="M19" s="579"/>
      <c r="N19" s="579"/>
      <c r="O19" s="579"/>
      <c r="P19" s="579"/>
      <c r="Q19" s="579"/>
      <c r="R19" s="579"/>
      <c r="S19" s="555"/>
      <c r="T19" s="555"/>
      <c r="U19" s="555"/>
    </row>
    <row r="20" spans="1:42" s="323" customFormat="1" ht="25.8" customHeight="1" x14ac:dyDescent="0.25">
      <c r="A20" s="537"/>
      <c r="B20" s="538"/>
      <c r="C20" s="541">
        <f>C19</f>
        <v>22344790.500000004</v>
      </c>
      <c r="D20" s="540"/>
      <c r="E20" s="541">
        <f>E19</f>
        <v>20193917.664000001</v>
      </c>
      <c r="F20" s="541">
        <f>F19</f>
        <v>12127820.960000001</v>
      </c>
      <c r="G20" s="541">
        <f>G19</f>
        <v>8066096.6979999999</v>
      </c>
      <c r="H20" s="539"/>
      <c r="I20" s="539"/>
      <c r="J20" s="539"/>
      <c r="K20" s="498"/>
      <c r="L20" s="498"/>
      <c r="M20" s="498"/>
      <c r="N20" s="498"/>
      <c r="O20" s="498"/>
      <c r="P20" s="498"/>
      <c r="Q20" s="498"/>
      <c r="R20" s="498"/>
      <c r="S20" s="498"/>
      <c r="T20" s="498"/>
      <c r="U20" s="580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</row>
    <row r="21" spans="1:42" x14ac:dyDescent="0.25">
      <c r="C21" s="339"/>
      <c r="D21" s="339"/>
      <c r="E21" s="339"/>
      <c r="F21" s="339"/>
      <c r="G21" s="339"/>
      <c r="H21" s="339"/>
      <c r="I21" s="339"/>
      <c r="J21" s="339"/>
    </row>
    <row r="22" spans="1:42" x14ac:dyDescent="0.25">
      <c r="C22" s="339"/>
      <c r="D22" s="339"/>
      <c r="E22" s="339"/>
      <c r="F22" s="339"/>
      <c r="G22" s="339"/>
      <c r="H22" s="339"/>
      <c r="I22" s="339"/>
      <c r="J22" s="339"/>
    </row>
    <row r="23" spans="1:42" ht="19.2" customHeight="1" x14ac:dyDescent="0.25">
      <c r="B23" s="557"/>
      <c r="C23" s="339"/>
      <c r="D23" s="339"/>
      <c r="E23" s="339"/>
      <c r="F23" s="339"/>
      <c r="G23" s="339"/>
      <c r="H23" s="339"/>
      <c r="I23" s="339"/>
      <c r="J23" s="339"/>
    </row>
    <row r="24" spans="1:42" x14ac:dyDescent="0.25">
      <c r="C24" s="339"/>
      <c r="D24" s="339"/>
      <c r="E24" s="339"/>
      <c r="F24" s="339"/>
      <c r="G24" s="339"/>
      <c r="H24" s="339"/>
      <c r="I24" s="339"/>
      <c r="J24" s="339"/>
    </row>
    <row r="25" spans="1:42" x14ac:dyDescent="0.25">
      <c r="C25" s="339"/>
      <c r="D25" s="339"/>
      <c r="E25" s="339"/>
      <c r="F25" s="339"/>
      <c r="G25" s="339"/>
      <c r="H25" s="339"/>
      <c r="I25" s="339"/>
      <c r="J25" s="339"/>
    </row>
    <row r="26" spans="1:42" x14ac:dyDescent="0.25">
      <c r="C26" s="339"/>
      <c r="D26" s="339"/>
      <c r="E26" s="339"/>
      <c r="F26" s="339"/>
      <c r="G26" s="339"/>
      <c r="H26" s="339"/>
      <c r="I26" s="339"/>
      <c r="J26" s="339"/>
    </row>
    <row r="27" spans="1:42" x14ac:dyDescent="0.25">
      <c r="C27" s="339"/>
      <c r="D27" s="339"/>
      <c r="E27" s="339"/>
      <c r="F27" s="339"/>
      <c r="G27" s="339"/>
      <c r="H27" s="339"/>
      <c r="I27" s="339"/>
      <c r="J27" s="339"/>
    </row>
    <row r="28" spans="1:42" x14ac:dyDescent="0.25">
      <c r="C28" s="339"/>
      <c r="D28" s="339"/>
      <c r="E28" s="339"/>
      <c r="F28" s="339"/>
      <c r="G28" s="339"/>
      <c r="H28" s="339"/>
      <c r="I28" s="339"/>
      <c r="J28" s="339"/>
    </row>
    <row r="29" spans="1:42" x14ac:dyDescent="0.25">
      <c r="C29" s="339"/>
      <c r="D29" s="339"/>
      <c r="E29" s="339"/>
      <c r="F29" s="339"/>
      <c r="G29" s="339"/>
      <c r="H29" s="339"/>
      <c r="I29" s="339"/>
      <c r="J29" s="339"/>
    </row>
    <row r="30" spans="1:42" x14ac:dyDescent="0.25">
      <c r="C30" s="339"/>
      <c r="D30" s="339"/>
      <c r="E30" s="339"/>
      <c r="F30" s="339"/>
      <c r="G30" s="339"/>
      <c r="H30" s="339"/>
      <c r="I30" s="339"/>
      <c r="J30" s="339"/>
    </row>
    <row r="31" spans="1:42" x14ac:dyDescent="0.25">
      <c r="C31" s="339"/>
      <c r="D31" s="339"/>
      <c r="E31" s="339"/>
      <c r="F31" s="339"/>
      <c r="G31" s="339"/>
      <c r="H31" s="339"/>
      <c r="I31" s="339"/>
      <c r="J31" s="339"/>
    </row>
    <row r="32" spans="1:42" x14ac:dyDescent="0.25">
      <c r="C32" s="339"/>
      <c r="D32" s="339"/>
      <c r="E32" s="339"/>
      <c r="F32" s="339"/>
      <c r="G32" s="339"/>
      <c r="H32" s="339"/>
      <c r="I32" s="339"/>
      <c r="J32" s="339"/>
    </row>
    <row r="33" spans="3:10" x14ac:dyDescent="0.25">
      <c r="C33" s="339"/>
      <c r="D33" s="339"/>
      <c r="E33" s="339"/>
      <c r="F33" s="339"/>
      <c r="G33" s="339"/>
      <c r="H33" s="339"/>
      <c r="I33" s="339"/>
      <c r="J33" s="339"/>
    </row>
    <row r="34" spans="3:10" x14ac:dyDescent="0.25">
      <c r="C34" s="339"/>
      <c r="D34" s="339"/>
      <c r="E34" s="339"/>
      <c r="F34" s="339"/>
      <c r="G34" s="339"/>
      <c r="H34" s="339"/>
      <c r="I34" s="339"/>
      <c r="J34" s="339"/>
    </row>
    <row r="35" spans="3:10" x14ac:dyDescent="0.25">
      <c r="C35" s="339"/>
      <c r="D35" s="339"/>
      <c r="E35" s="339"/>
      <c r="F35" s="339"/>
      <c r="G35" s="339"/>
      <c r="H35" s="339"/>
      <c r="I35" s="339"/>
      <c r="J35" s="339"/>
    </row>
    <row r="36" spans="3:10" x14ac:dyDescent="0.25">
      <c r="C36" s="339"/>
      <c r="D36" s="339"/>
      <c r="E36" s="339"/>
      <c r="F36" s="339"/>
      <c r="G36" s="339"/>
      <c r="H36" s="339"/>
      <c r="I36" s="339"/>
      <c r="J36" s="339"/>
    </row>
    <row r="37" spans="3:10" x14ac:dyDescent="0.25">
      <c r="C37" s="339"/>
      <c r="D37" s="339"/>
      <c r="E37" s="339"/>
      <c r="F37" s="339"/>
      <c r="G37" s="339"/>
      <c r="H37" s="339"/>
      <c r="I37" s="339"/>
      <c r="J37" s="339"/>
    </row>
    <row r="38" spans="3:10" x14ac:dyDescent="0.25">
      <c r="C38" s="339"/>
      <c r="D38" s="339"/>
      <c r="E38" s="339"/>
      <c r="F38" s="339"/>
      <c r="G38" s="339"/>
      <c r="H38" s="339"/>
      <c r="I38" s="339"/>
      <c r="J38" s="339"/>
    </row>
    <row r="39" spans="3:10" x14ac:dyDescent="0.25">
      <c r="C39" s="339"/>
      <c r="D39" s="339"/>
      <c r="E39" s="339"/>
      <c r="F39" s="339"/>
      <c r="G39" s="339"/>
      <c r="H39" s="339"/>
      <c r="I39" s="339"/>
      <c r="J39" s="339"/>
    </row>
    <row r="40" spans="3:10" x14ac:dyDescent="0.25">
      <c r="C40" s="339"/>
      <c r="D40" s="339"/>
      <c r="E40" s="339"/>
      <c r="F40" s="339"/>
      <c r="G40" s="339"/>
      <c r="H40" s="339"/>
      <c r="I40" s="339"/>
      <c r="J40" s="339"/>
    </row>
    <row r="41" spans="3:10" x14ac:dyDescent="0.25">
      <c r="C41" s="339"/>
      <c r="D41" s="339"/>
      <c r="E41" s="339"/>
      <c r="F41" s="339"/>
      <c r="G41" s="339"/>
      <c r="H41" s="339"/>
      <c r="I41" s="339"/>
      <c r="J41" s="339"/>
    </row>
    <row r="42" spans="3:10" x14ac:dyDescent="0.25">
      <c r="C42" s="339"/>
      <c r="D42" s="339"/>
      <c r="E42" s="339"/>
      <c r="F42" s="339"/>
      <c r="G42" s="339"/>
      <c r="H42" s="339"/>
      <c r="I42" s="339"/>
      <c r="J42" s="339"/>
    </row>
    <row r="43" spans="3:10" x14ac:dyDescent="0.25">
      <c r="C43" s="339"/>
      <c r="D43" s="339"/>
      <c r="E43" s="339"/>
      <c r="F43" s="339"/>
      <c r="G43" s="339"/>
      <c r="H43" s="339"/>
      <c r="I43" s="339"/>
      <c r="J43" s="339"/>
    </row>
  </sheetData>
  <autoFilter ref="A4:AP19"/>
  <mergeCells count="6">
    <mergeCell ref="A1:J2"/>
    <mergeCell ref="A3:A4"/>
    <mergeCell ref="B3:B4"/>
    <mergeCell ref="C3:C4"/>
    <mergeCell ref="D3:I3"/>
    <mergeCell ref="J3:J4"/>
  </mergeCells>
  <pageMargins left="3.937007874015748E-2" right="0.23622047244094491" top="0.74803149606299213" bottom="0.74803149606299213" header="0.31496062992125984" footer="0.31496062992125984"/>
  <pageSetup paperSize="9" scale="51" fitToHeight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zoomScale="99" zoomScaleNormal="99" zoomScaleSheetLayoutView="80" workbookViewId="0">
      <pane xSplit="2" topLeftCell="S1" activePane="topRight" state="frozen"/>
      <selection activeCell="B1" sqref="B1"/>
      <selection pane="topRight" activeCell="B8" sqref="B8:B22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25" t="s">
        <v>149</v>
      </c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725"/>
      <c r="R2" s="725"/>
      <c r="S2" s="725"/>
      <c r="T2" s="725"/>
      <c r="U2" s="725"/>
      <c r="V2" s="725"/>
      <c r="W2" s="725"/>
      <c r="X2" s="725"/>
      <c r="Y2" s="725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26" t="s">
        <v>118</v>
      </c>
      <c r="B4" s="729" t="s">
        <v>2</v>
      </c>
      <c r="C4" s="732" t="s">
        <v>119</v>
      </c>
      <c r="D4" s="733"/>
      <c r="E4" s="736" t="s">
        <v>120</v>
      </c>
      <c r="F4" s="739" t="s">
        <v>121</v>
      </c>
      <c r="G4" s="740"/>
      <c r="H4" s="740"/>
      <c r="I4" s="740"/>
      <c r="J4" s="740"/>
      <c r="K4" s="740"/>
      <c r="L4" s="740"/>
      <c r="M4" s="740"/>
      <c r="N4" s="740"/>
      <c r="O4" s="740"/>
      <c r="P4" s="740"/>
      <c r="Q4" s="740"/>
      <c r="R4" s="740"/>
      <c r="S4" s="740"/>
      <c r="T4" s="740"/>
      <c r="U4" s="740"/>
      <c r="V4" s="740"/>
      <c r="W4" s="741"/>
      <c r="X4" s="512"/>
      <c r="Y4" s="732" t="s">
        <v>122</v>
      </c>
      <c r="Z4" s="742"/>
      <c r="AA4" s="733"/>
      <c r="AB4" s="744" t="s">
        <v>123</v>
      </c>
      <c r="AC4" s="745"/>
      <c r="AD4" s="746"/>
    </row>
    <row r="5" spans="1:30" ht="15.45" customHeight="1" x14ac:dyDescent="0.25">
      <c r="A5" s="727"/>
      <c r="B5" s="730"/>
      <c r="C5" s="734"/>
      <c r="D5" s="735"/>
      <c r="E5" s="737"/>
      <c r="F5" s="739" t="s">
        <v>143</v>
      </c>
      <c r="G5" s="741"/>
      <c r="H5" s="739" t="s">
        <v>144</v>
      </c>
      <c r="I5" s="741"/>
      <c r="J5" s="739" t="s">
        <v>145</v>
      </c>
      <c r="K5" s="741"/>
      <c r="L5" s="739" t="s">
        <v>156</v>
      </c>
      <c r="M5" s="741"/>
      <c r="N5" s="739" t="s">
        <v>155</v>
      </c>
      <c r="O5" s="741"/>
      <c r="P5" s="739" t="s">
        <v>159</v>
      </c>
      <c r="Q5" s="741"/>
      <c r="R5" s="739" t="s">
        <v>166</v>
      </c>
      <c r="S5" s="741"/>
      <c r="T5" s="739"/>
      <c r="U5" s="741"/>
      <c r="V5" s="739"/>
      <c r="W5" s="741"/>
      <c r="X5" s="513"/>
      <c r="Y5" s="734"/>
      <c r="Z5" s="743"/>
      <c r="AA5" s="735"/>
      <c r="AB5" s="747"/>
      <c r="AC5" s="748"/>
      <c r="AD5" s="749"/>
    </row>
    <row r="6" spans="1:30" ht="27.75" customHeight="1" x14ac:dyDescent="0.25">
      <c r="A6" s="728"/>
      <c r="B6" s="731"/>
      <c r="C6" s="314" t="s">
        <v>124</v>
      </c>
      <c r="D6" s="315" t="s">
        <v>125</v>
      </c>
      <c r="E6" s="738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60">
        <v>1</v>
      </c>
      <c r="B8" s="776" t="s">
        <v>95</v>
      </c>
      <c r="C8" s="750" t="s">
        <v>53</v>
      </c>
      <c r="D8" s="754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57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74"/>
      <c r="B9" s="777"/>
      <c r="C9" s="751"/>
      <c r="D9" s="755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58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74"/>
      <c r="B10" s="777"/>
      <c r="C10" s="751"/>
      <c r="D10" s="755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58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74"/>
      <c r="B11" s="777"/>
      <c r="C11" s="751"/>
      <c r="D11" s="755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58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74"/>
      <c r="B12" s="777"/>
      <c r="C12" s="751"/>
      <c r="D12" s="755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58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74"/>
      <c r="B13" s="777"/>
      <c r="C13" s="751"/>
      <c r="D13" s="755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58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74"/>
      <c r="B14" s="777"/>
      <c r="C14" s="751"/>
      <c r="D14" s="755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58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74"/>
      <c r="B15" s="777"/>
      <c r="C15" s="751"/>
      <c r="D15" s="755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58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74"/>
      <c r="B16" s="777"/>
      <c r="C16" s="751"/>
      <c r="D16" s="755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58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74"/>
      <c r="B17" s="777"/>
      <c r="C17" s="751"/>
      <c r="D17" s="755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58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74"/>
      <c r="B18" s="777"/>
      <c r="C18" s="751"/>
      <c r="D18" s="755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58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74"/>
      <c r="B19" s="777"/>
      <c r="C19" s="751"/>
      <c r="D19" s="755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58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74"/>
      <c r="B20" s="777"/>
      <c r="C20" s="751"/>
      <c r="D20" s="755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58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74"/>
      <c r="B21" s="777"/>
      <c r="C21" s="752"/>
      <c r="D21" s="755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58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75"/>
      <c r="B22" s="778"/>
      <c r="C22" s="753"/>
      <c r="D22" s="756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59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69">
        <v>2</v>
      </c>
      <c r="B25" s="770" t="s">
        <v>157</v>
      </c>
      <c r="C25" s="730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72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62"/>
      <c r="B26" s="771"/>
      <c r="C26" s="753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73"/>
      <c r="AB26" s="418"/>
      <c r="AC26" s="418"/>
      <c r="AD26" s="419"/>
    </row>
    <row r="27" spans="1:30" s="323" customFormat="1" ht="12" customHeight="1" x14ac:dyDescent="0.25">
      <c r="A27" s="760">
        <v>3</v>
      </c>
      <c r="B27" s="763" t="s">
        <v>98</v>
      </c>
      <c r="C27" s="510"/>
      <c r="D27" s="766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61"/>
      <c r="B28" s="764"/>
      <c r="C28" s="511"/>
      <c r="D28" s="767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62"/>
      <c r="B29" s="765"/>
      <c r="C29" s="397"/>
      <c r="D29" s="768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79">
        <f>A8+1</f>
        <v>2</v>
      </c>
      <c r="B30" s="780" t="s">
        <v>152</v>
      </c>
      <c r="C30" s="783" t="s">
        <v>69</v>
      </c>
      <c r="D30" s="784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87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88"/>
      <c r="B31" s="790"/>
      <c r="C31" s="792"/>
      <c r="D31" s="794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52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88"/>
      <c r="B32" s="790"/>
      <c r="C32" s="752"/>
      <c r="D32" s="794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52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88"/>
      <c r="B33" s="790"/>
      <c r="C33" s="752"/>
      <c r="D33" s="794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52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88"/>
      <c r="B34" s="790"/>
      <c r="C34" s="752"/>
      <c r="D34" s="794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52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88"/>
      <c r="B35" s="790"/>
      <c r="C35" s="752"/>
      <c r="D35" s="794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52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88"/>
      <c r="B36" s="790"/>
      <c r="C36" s="752"/>
      <c r="D36" s="794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52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88"/>
      <c r="B37" s="790"/>
      <c r="C37" s="752"/>
      <c r="D37" s="794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52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88"/>
      <c r="B38" s="790"/>
      <c r="C38" s="752"/>
      <c r="D38" s="794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52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88"/>
      <c r="B39" s="790"/>
      <c r="C39" s="752"/>
      <c r="D39" s="794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52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88"/>
      <c r="B40" s="790"/>
      <c r="C40" s="752"/>
      <c r="D40" s="794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52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88"/>
      <c r="B41" s="790"/>
      <c r="C41" s="752"/>
      <c r="D41" s="794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52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88"/>
      <c r="B42" s="790"/>
      <c r="C42" s="752"/>
      <c r="D42" s="794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52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88"/>
      <c r="B43" s="790"/>
      <c r="C43" s="752"/>
      <c r="D43" s="794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52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88"/>
      <c r="B44" s="790"/>
      <c r="C44" s="752"/>
      <c r="D44" s="794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52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89"/>
      <c r="B45" s="791"/>
      <c r="C45" s="753"/>
      <c r="D45" s="795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79">
        <v>3</v>
      </c>
      <c r="B47" s="780" t="s">
        <v>146</v>
      </c>
      <c r="C47" s="783" t="s">
        <v>70</v>
      </c>
      <c r="D47" s="784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96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88"/>
      <c r="B48" s="790"/>
      <c r="C48" s="792"/>
      <c r="D48" s="794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97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88"/>
      <c r="B49" s="790"/>
      <c r="C49" s="792"/>
      <c r="D49" s="794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97"/>
      <c r="AB49" s="415">
        <f>Z49</f>
        <v>197627.09</v>
      </c>
      <c r="AC49" s="415"/>
      <c r="AD49" s="443"/>
    </row>
    <row r="50" spans="1:30" s="323" customFormat="1" ht="12" customHeight="1" x14ac:dyDescent="0.25">
      <c r="A50" s="788"/>
      <c r="B50" s="790"/>
      <c r="C50" s="792"/>
      <c r="D50" s="794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97"/>
      <c r="AB50" s="415"/>
      <c r="AC50" s="415"/>
      <c r="AD50" s="443"/>
    </row>
    <row r="51" spans="1:30" s="323" customFormat="1" ht="12" customHeight="1" thickBot="1" x14ac:dyDescent="0.3">
      <c r="A51" s="788"/>
      <c r="B51" s="790"/>
      <c r="C51" s="792"/>
      <c r="D51" s="794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98"/>
      <c r="AB51" s="415"/>
      <c r="AC51" s="415"/>
      <c r="AD51" s="444"/>
    </row>
    <row r="52" spans="1:30" s="323" customFormat="1" ht="12.6" customHeight="1" thickBot="1" x14ac:dyDescent="0.3">
      <c r="A52" s="789"/>
      <c r="B52" s="791"/>
      <c r="C52" s="793"/>
      <c r="D52" s="795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79">
        <v>4</v>
      </c>
      <c r="B53" s="780" t="s">
        <v>151</v>
      </c>
      <c r="C53" s="783" t="s">
        <v>71</v>
      </c>
      <c r="D53" s="784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85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61"/>
      <c r="B54" s="781"/>
      <c r="C54" s="752"/>
      <c r="D54" s="752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86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61"/>
      <c r="B55" s="781"/>
      <c r="C55" s="752"/>
      <c r="D55" s="752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86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61"/>
      <c r="B56" s="781"/>
      <c r="C56" s="752"/>
      <c r="D56" s="752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86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61"/>
      <c r="B57" s="781"/>
      <c r="C57" s="752"/>
      <c r="D57" s="752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86"/>
      <c r="AB57" s="370"/>
      <c r="AC57" s="370"/>
      <c r="AD57" s="446"/>
    </row>
    <row r="58" spans="1:30" s="323" customFormat="1" ht="13.2" customHeight="1" thickBot="1" x14ac:dyDescent="0.3">
      <c r="A58" s="762"/>
      <c r="B58" s="782"/>
      <c r="C58" s="753"/>
      <c r="D58" s="753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79">
        <v>5</v>
      </c>
      <c r="B59" s="780" t="s">
        <v>154</v>
      </c>
      <c r="C59" s="783" t="s">
        <v>72</v>
      </c>
      <c r="D59" s="784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61"/>
      <c r="B60" s="781"/>
      <c r="C60" s="752"/>
      <c r="D60" s="752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61"/>
      <c r="B61" s="781"/>
      <c r="C61" s="752"/>
      <c r="D61" s="752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61"/>
      <c r="B62" s="781"/>
      <c r="C62" s="752"/>
      <c r="D62" s="752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61"/>
      <c r="B63" s="781"/>
      <c r="C63" s="752"/>
      <c r="D63" s="752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62"/>
      <c r="B64" s="782"/>
      <c r="C64" s="753"/>
      <c r="D64" s="753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99" t="s">
        <v>181</v>
      </c>
      <c r="B2" s="799"/>
      <c r="C2" s="799"/>
      <c r="D2" s="800"/>
      <c r="E2" s="800"/>
    </row>
    <row r="3" spans="1:5" ht="15" customHeight="1" x14ac:dyDescent="0.25">
      <c r="A3" s="309"/>
      <c r="B3" s="309"/>
      <c r="C3" s="309"/>
      <c r="D3" s="748" t="s">
        <v>182</v>
      </c>
      <c r="E3" s="748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74">
        <v>1</v>
      </c>
      <c r="B5" s="777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74"/>
      <c r="B6" s="777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74"/>
      <c r="B7" s="777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74"/>
      <c r="B8" s="777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74"/>
      <c r="B9" s="777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74"/>
      <c r="B10" s="777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74"/>
      <c r="B11" s="777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74"/>
      <c r="B12" s="777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74"/>
      <c r="B13" s="777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74"/>
      <c r="B14" s="777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74"/>
      <c r="B15" s="777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74"/>
      <c r="B16" s="777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74"/>
      <c r="B17" s="777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74"/>
      <c r="B18" s="777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74"/>
      <c r="B19" s="777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88">
        <f>A5+1</f>
        <v>2</v>
      </c>
      <c r="B23" s="790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88"/>
      <c r="B24" s="790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88"/>
      <c r="B25" s="790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88"/>
      <c r="B26" s="790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88"/>
      <c r="B27" s="790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88"/>
      <c r="B28" s="790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88"/>
      <c r="B29" s="790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88"/>
      <c r="B30" s="790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88"/>
      <c r="B31" s="790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88"/>
      <c r="B32" s="790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88"/>
      <c r="B33" s="790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88"/>
      <c r="B34" s="790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88"/>
      <c r="B35" s="790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88"/>
      <c r="B36" s="790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88"/>
      <c r="B37" s="790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88"/>
      <c r="B38" s="790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88"/>
      <c r="B39" s="790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88"/>
      <c r="B40" s="790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88"/>
      <c r="B41" s="790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88"/>
      <c r="B42" s="790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79">
        <v>3</v>
      </c>
      <c r="B43" s="780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88"/>
      <c r="B44" s="790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88"/>
      <c r="B45" s="790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88"/>
      <c r="B46" s="790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89"/>
      <c r="B47" s="791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79">
        <v>4</v>
      </c>
      <c r="B48" s="780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61"/>
      <c r="B49" s="781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61"/>
      <c r="B50" s="781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61"/>
      <c r="B51" s="781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01" t="s">
        <v>6</v>
      </c>
      <c r="B1" s="801"/>
      <c r="C1" s="801"/>
      <c r="D1" s="801"/>
      <c r="E1" s="801"/>
      <c r="F1" s="801"/>
    </row>
    <row r="2" spans="1:8" s="91" customFormat="1" ht="12.75" customHeight="1" x14ac:dyDescent="0.25">
      <c r="A2" s="802"/>
      <c r="B2" s="802"/>
      <c r="C2" s="802"/>
      <c r="D2" s="802"/>
      <c r="E2" s="802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2024-10-28T10:59:14Z</cp:lastPrinted>
  <dcterms:created xsi:type="dcterms:W3CDTF">2016-07-15T13:11:41Z</dcterms:created>
  <dcterms:modified xsi:type="dcterms:W3CDTF">2024-11-20T09:52:08Z</dcterms:modified>
</cp:coreProperties>
</file>
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024"/>
  </bookViews>
  <sheets>
    <sheet name="Акты" sheetId="1" r:id="rId1"/>
    <sheet name="Лист2" sheetId="2" r:id="rId2"/>
    <sheet name="Астарта" sheetId="3" r:id="rId3"/>
    <sheet name="Глобино_Списания" sheetId="4" r:id="rId4"/>
    <sheet name="Глобино_склад для списания" sheetId="5" r:id="rId5"/>
  </sheets>
  <definedNames>
    <definedName name="_xlnm._FilterDatabase" localSheetId="0" hidden="1">Акты!$A$1:$I$73</definedName>
    <definedName name="_xlnm._FilterDatabase" localSheetId="4" hidden="1">'Глобино_склад для списания'!$A$1:$L$530</definedName>
    <definedName name="_xlnm._FilterDatabase" localSheetId="3" hidden="1">Глобино_Списания!$A$1:$L$583</definedName>
  </definedNames>
  <calcPr calcId="145621"/>
</workbook>
</file>

<file path=xl/calcChain.xml><?xml version="1.0" encoding="utf-8"?>
<calcChain xmlns="http://schemas.openxmlformats.org/spreadsheetml/2006/main">
  <c r="D88" i="1" l="1"/>
  <c r="D84" i="1"/>
  <c r="F84" i="1"/>
  <c r="F87" i="1"/>
  <c r="D87" i="1"/>
  <c r="D86" i="1"/>
  <c r="D82" i="1"/>
  <c r="D68" i="1" l="1"/>
  <c r="K539" i="5"/>
  <c r="K535" i="5"/>
  <c r="K532" i="5"/>
  <c r="J532" i="5"/>
  <c r="K586" i="4"/>
  <c r="K585" i="4"/>
  <c r="J586" i="4"/>
  <c r="J585" i="4"/>
  <c r="G16" i="3" l="1"/>
  <c r="D15" i="3"/>
  <c r="D14" i="3"/>
  <c r="F43" i="3" l="1"/>
  <c r="F32" i="3"/>
  <c r="D16" i="3"/>
  <c r="D12" i="3"/>
  <c r="D17" i="3" l="1"/>
  <c r="D3" i="1"/>
  <c r="D67" i="1" s="1"/>
  <c r="D65" i="1" l="1"/>
  <c r="D69" i="1"/>
  <c r="D72" i="1"/>
  <c r="D66" i="1"/>
  <c r="D70" i="1"/>
  <c r="D71" i="1"/>
  <c r="D62" i="1"/>
  <c r="D73" i="1" l="1"/>
  <c r="D63" i="1" s="1"/>
</calcChain>
</file>

<file path=xl/sharedStrings.xml><?xml version="1.0" encoding="utf-8"?>
<sst xmlns="http://schemas.openxmlformats.org/spreadsheetml/2006/main" count="9646" uniqueCount="1035">
  <si>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</si>
  <si>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</si>
  <si>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</si>
  <si>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</si>
  <si>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</si>
  <si>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</si>
  <si>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</si>
  <si>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</si>
  <si>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</si>
  <si>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01.10.2024 00:00:00</t>
  </si>
  <si>
    <t>ІБ00-000361</t>
  </si>
  <si>
    <t xml:space="preserve">Старокостянтинівський олійноекстраційний завод ТОВ </t>
  </si>
  <si>
    <t>грн</t>
  </si>
  <si>
    <t>Виробничий (Старокостянтинів)</t>
  </si>
  <si>
    <t>ТОВ "ІНДАСТРІАЛБУД"</t>
  </si>
  <si>
    <t>Хлань Елена</t>
  </si>
  <si>
    <t>Акт № 11 ДОГОВІР ПІДРЯДУ № 18/12/23-3.3.3-АР-СтОЕЗ від 18.1</t>
  </si>
  <si>
    <t>Аулова Маргарита</t>
  </si>
  <si>
    <t>07.10.2024 12:00:00</t>
  </si>
  <si>
    <t>ІБ00-000382</t>
  </si>
  <si>
    <t>АСТАРТА АГРО ПРОТЕЇН ТОВ</t>
  </si>
  <si>
    <t>Виробничий (Глобино)</t>
  </si>
  <si>
    <t>Акт 3 (об'єднали акти 3-9)</t>
  </si>
  <si>
    <t>07.10.2024 13:02:48</t>
  </si>
  <si>
    <t>ІБ00-000412</t>
  </si>
  <si>
    <t>НІЖИНСЬКИЙ ЖИРКОМБІНАТ ПрАТ</t>
  </si>
  <si>
    <t>Виробничий (Ніжин-3)</t>
  </si>
  <si>
    <t>Акт № 106</t>
  </si>
  <si>
    <t>07.10.2024 13:03:53</t>
  </si>
  <si>
    <t>ІБ00-000413</t>
  </si>
  <si>
    <t>Акт № 105</t>
  </si>
  <si>
    <t>07.10.2024 13:06:17</t>
  </si>
  <si>
    <t>ІБ00-000414</t>
  </si>
  <si>
    <t>Акт № 104</t>
  </si>
  <si>
    <t>07.10.2024 13:06:55</t>
  </si>
  <si>
    <t>ІБ00-000415</t>
  </si>
  <si>
    <t>Акт № 103</t>
  </si>
  <si>
    <t>07.10.2024 13:07:24</t>
  </si>
  <si>
    <t>ІБ00-000416</t>
  </si>
  <si>
    <t>Акт № 102</t>
  </si>
  <si>
    <t>07.10.2024 13:07:54</t>
  </si>
  <si>
    <t>ІБ00-000417</t>
  </si>
  <si>
    <t>Акт № 98</t>
  </si>
  <si>
    <t>07.10.2024 13:09:36</t>
  </si>
  <si>
    <t>ІБ00-000418</t>
  </si>
  <si>
    <t>Акт № 97</t>
  </si>
  <si>
    <t>07.10.2024 13:10:09</t>
  </si>
  <si>
    <t>ІБ00-000419</t>
  </si>
  <si>
    <t>Акт № 99</t>
  </si>
  <si>
    <t>08.10.2024 13:19:00</t>
  </si>
  <si>
    <t>ІБ00-000420</t>
  </si>
  <si>
    <t>Виробничий (Глобине-2)</t>
  </si>
  <si>
    <t>Акт 1/1.3-КБ Цех екстракції</t>
  </si>
  <si>
    <t>08.10.2024 13:20:28</t>
  </si>
  <si>
    <t>ІБ00-000421</t>
  </si>
  <si>
    <t>Акт 5</t>
  </si>
  <si>
    <t>08.10.2024 13:23:05</t>
  </si>
  <si>
    <t>ІБ00-000422</t>
  </si>
  <si>
    <t>Акт 1/1.14-КБ Котельня</t>
  </si>
  <si>
    <t>08.10.2024 15:14:21</t>
  </si>
  <si>
    <t>ІБ00-000423</t>
  </si>
  <si>
    <t>Акт 1/1.5-КБ (насосна,градирня)</t>
  </si>
  <si>
    <t>08.10.2024 15:29:38</t>
  </si>
  <si>
    <t>ІБ00-000424</t>
  </si>
  <si>
    <t>Акт 1/1.4-КБ</t>
  </si>
  <si>
    <t>16.10.2024 18:37:42</t>
  </si>
  <si>
    <t>ІБ00-000443</t>
  </si>
  <si>
    <t>МОЛОКО ВІТЧИЗНИ ТОВ</t>
  </si>
  <si>
    <t>Виробничий (Молоко Вітчизни)</t>
  </si>
  <si>
    <t>17.10.2024 00:00:00</t>
  </si>
  <si>
    <t>ІБ00-000385</t>
  </si>
  <si>
    <t>ЗАПОРІЗЬКИЙ ОЛІЙНОЕКСТРАКЦІЙНИЙ ЗАВОД  ПРАТ</t>
  </si>
  <si>
    <t>Виробничий (Запоріж_Турбіна 3)</t>
  </si>
  <si>
    <t>акт 7/15</t>
  </si>
  <si>
    <t>ІБ00-000386</t>
  </si>
  <si>
    <t>акт 7/14</t>
  </si>
  <si>
    <t>ІБ00-000391</t>
  </si>
  <si>
    <t>акт 7/9</t>
  </si>
  <si>
    <t>ІБ00-000392</t>
  </si>
  <si>
    <t>акт 7/8</t>
  </si>
  <si>
    <t>ІБ00-000393</t>
  </si>
  <si>
    <t>акт 7/7</t>
  </si>
  <si>
    <t>ІБ00-000394</t>
  </si>
  <si>
    <t>акт 7/6</t>
  </si>
  <si>
    <t>ІБ00-000395</t>
  </si>
  <si>
    <t>акт 7/5</t>
  </si>
  <si>
    <t>ІБ00-000396</t>
  </si>
  <si>
    <t>акт 7/4</t>
  </si>
  <si>
    <t>ІБ00-000397</t>
  </si>
  <si>
    <t>акт 7/2</t>
  </si>
  <si>
    <t>ІБ00-000398</t>
  </si>
  <si>
    <t>акт 7/1</t>
  </si>
  <si>
    <t>ІБ00-000399</t>
  </si>
  <si>
    <t>акт 7/10</t>
  </si>
  <si>
    <t>ІБ00-000403</t>
  </si>
  <si>
    <t>акт 7/13</t>
  </si>
  <si>
    <t>ІБ00-000404</t>
  </si>
  <si>
    <t>акт 7/12</t>
  </si>
  <si>
    <t>ІБ00-000405</t>
  </si>
  <si>
    <t>акт 7/11</t>
  </si>
  <si>
    <t>ІБ00-000411</t>
  </si>
  <si>
    <t>акт 7/3</t>
  </si>
  <si>
    <t>21.10.2024 00:00:00</t>
  </si>
  <si>
    <t>ІБ00-000206</t>
  </si>
  <si>
    <t>Придніпровський олійноекстракційний завод ТОВ</t>
  </si>
  <si>
    <t>Виробничий (Придніпрвський ОЕЗ</t>
  </si>
  <si>
    <t>Акт №13( копія) Договор №09-12/21</t>
  </si>
  <si>
    <t>ІБ00-000428</t>
  </si>
  <si>
    <t>Рахунок</t>
  </si>
  <si>
    <t>ІБ00-000429</t>
  </si>
  <si>
    <t xml:space="preserve"> Акт № 4 (не підписаний)  ДОГОВІР ПІДРЯДУ № 19/12/23-3.5.2-АР-СтОЕЗ</t>
  </si>
  <si>
    <t>22.10.2024 13:57:51</t>
  </si>
  <si>
    <t>ІБ00-000449</t>
  </si>
  <si>
    <t>Акт № 112</t>
  </si>
  <si>
    <t>23.10.2024 00:00:00</t>
  </si>
  <si>
    <t>ІБ00-000444</t>
  </si>
  <si>
    <t>ІБ00-000445</t>
  </si>
  <si>
    <t>Акт 6</t>
  </si>
  <si>
    <t>24.10.2024 00:00:00</t>
  </si>
  <si>
    <t>ІБ00-000425</t>
  </si>
  <si>
    <t>Акт 2/1.3-КБ(Цех екстракції поз. 3 ГБ)</t>
  </si>
  <si>
    <t>ІБ00-000426</t>
  </si>
  <si>
    <t>Акт 2/1.14-КБ (Котельня)</t>
  </si>
  <si>
    <t>ІБ00-000441</t>
  </si>
  <si>
    <t>Акт 3/1.3-КБ(Цех екстракції поз. 3 ГБ)</t>
  </si>
  <si>
    <t>ІБ00-000442</t>
  </si>
  <si>
    <t>Акт 3/1.14-КБ (Котельня)</t>
  </si>
  <si>
    <t>ІБ00-000446</t>
  </si>
  <si>
    <t>Акт 10</t>
  </si>
  <si>
    <t>24.10.2024 14:29:34</t>
  </si>
  <si>
    <t>ІБ00-000450</t>
  </si>
  <si>
    <t>Акт № 113</t>
  </si>
  <si>
    <t>28.10.2024 09:59:44</t>
  </si>
  <si>
    <t>ІБ00-000451</t>
  </si>
  <si>
    <t>Акт № 114</t>
  </si>
  <si>
    <t>28.10.2024 11:56:58</t>
  </si>
  <si>
    <t>ІБ00-000455</t>
  </si>
  <si>
    <t>Акт 4/1.3-КБ(Цех екстракції поз. 3 ГБ)</t>
  </si>
  <si>
    <t>29.10.2024 00:00:00</t>
  </si>
  <si>
    <t>ІБ00-000452</t>
  </si>
  <si>
    <t xml:space="preserve">КОМРАД ТРЕЙД  ТОВ </t>
  </si>
  <si>
    <t>Виробничий (Путрівка КМД)</t>
  </si>
  <si>
    <t>Акт 1</t>
  </si>
  <si>
    <t>ІБ00-000453</t>
  </si>
  <si>
    <t>Акт 2</t>
  </si>
  <si>
    <t>31.10.2024 20:00:00</t>
  </si>
  <si>
    <t>ІБ00-000460</t>
  </si>
  <si>
    <t>акт 8/1</t>
  </si>
  <si>
    <t>ІБ00-000461</t>
  </si>
  <si>
    <t>акт 8/2</t>
  </si>
  <si>
    <t>ІБ00-000462</t>
  </si>
  <si>
    <t>акт 8/3</t>
  </si>
  <si>
    <t>ІБ00-000463</t>
  </si>
  <si>
    <t>акт 8/4</t>
  </si>
  <si>
    <t>ІБ00-000464</t>
  </si>
  <si>
    <t>акт 8/5</t>
  </si>
  <si>
    <t>ІБ00-000465</t>
  </si>
  <si>
    <t>акт 8/6</t>
  </si>
  <si>
    <t>ІБ00-000466</t>
  </si>
  <si>
    <t>акт 8/7</t>
  </si>
  <si>
    <t>ІБ00-000467</t>
  </si>
  <si>
    <t>акт 8/8</t>
  </si>
  <si>
    <t>ІБ00-000468</t>
  </si>
  <si>
    <t>акт 8/9</t>
  </si>
  <si>
    <t>ІБ00-000469</t>
  </si>
  <si>
    <t>акт 8/10</t>
  </si>
  <si>
    <t>ІБ00-000470</t>
  </si>
  <si>
    <t>акт 8/11</t>
  </si>
  <si>
    <t>ІБ00-000471</t>
  </si>
  <si>
    <t>акт 8/12</t>
  </si>
  <si>
    <t>ІБ00-000472</t>
  </si>
  <si>
    <t>акт 8/13</t>
  </si>
  <si>
    <t>Староконстантинов</t>
  </si>
  <si>
    <t>Нежин-3</t>
  </si>
  <si>
    <t>Глобино</t>
  </si>
  <si>
    <t>Глобино-2</t>
  </si>
  <si>
    <t>КМД Путровка</t>
  </si>
  <si>
    <t>Турбина-3</t>
  </si>
  <si>
    <t>Приднепровский металл</t>
  </si>
  <si>
    <t>Молоко Вітчизни</t>
  </si>
  <si>
    <t>Акт 3</t>
  </si>
  <si>
    <t>Акт 4</t>
  </si>
  <si>
    <t>Акт 7 ду2</t>
  </si>
  <si>
    <t>Акт 8 ду2</t>
  </si>
  <si>
    <t>Акт 9 ду2</t>
  </si>
  <si>
    <t>Приднепровский металл (претензия)</t>
  </si>
  <si>
    <t>09.07.2024 11:16:44</t>
  </si>
  <si>
    <t>ІБ00-000230</t>
  </si>
  <si>
    <t>15.07.2024 00:00:00</t>
  </si>
  <si>
    <t>ІБ00-000237</t>
  </si>
  <si>
    <t>15.08.2024 16:50:04</t>
  </si>
  <si>
    <t>ІБ00-000310</t>
  </si>
  <si>
    <t>26.08.2024 00:00:00</t>
  </si>
  <si>
    <t>ІБ00-000315</t>
  </si>
  <si>
    <t>20.09.2024 11:51:52</t>
  </si>
  <si>
    <t>ІБ00-000365</t>
  </si>
  <si>
    <t>Акт 4 (ДУ 1 сума 2 897 859,22 без ПДВ)</t>
  </si>
  <si>
    <t>23.09.2024 00:00:00</t>
  </si>
  <si>
    <t>ІБ00-000358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</si>
  <si>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</si>
  <si>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</si>
  <si>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</si>
  <si>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</si>
  <si>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</si>
  <si>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</si>
  <si>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</si>
  <si>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Сальдо на початок</t>
  </si>
  <si>
    <t>09.07.2024</t>
  </si>
  <si>
    <t>Надання виробничих послуг ІБ00-000230 від 09.07.2024 11:16:44
Реализация товаров</t>
  </si>
  <si>
    <t>АСТАРТА АГРО ПРОТЕЇН ТОВ
Глобине 1 ДУ № 1 до 14/06/2024 від 14.06.2024р.
Надання виробничих послуг ІБ00-000230 від 09.07.2024 11:16:44</t>
  </si>
  <si>
    <t>&lt;...&gt;
Доход операционной деятельности (от реализации товаров, работ, услуг)
//Глобине-1</t>
  </si>
  <si>
    <t>361</t>
  </si>
  <si>
    <t>703</t>
  </si>
  <si>
    <t xml:space="preserve"> </t>
  </si>
  <si>
    <t>Д</t>
  </si>
  <si>
    <t>15.07.2024</t>
  </si>
  <si>
    <t>Надання виробничих послуг ІБ00-000237 від 15.07.2024 00:00:00
Реализация товаров</t>
  </si>
  <si>
    <t>АСТАРТА АГРО ПРОТЕЇН ТОВ
Глобине 1 ДУ № 1 до 14/06/2024 від 14.06.2024р.
Надання виробничих послуг ІБ00-000237 від 15.07.2024 00:00:00</t>
  </si>
  <si>
    <t>23.07.2024</t>
  </si>
  <si>
    <t>07.08.2024</t>
  </si>
  <si>
    <t>АСТАРТА АГРО ПРОТЕЇН ТОВ
Глобине 1 ДУ № 1 до 14/06/2024 від 14.06.2024р.
Надходження на банківський рахунок 00000008798 від 07.08.2024 00:00:00</t>
  </si>
  <si>
    <t>К</t>
  </si>
  <si>
    <t>09.08.2024</t>
  </si>
  <si>
    <t>АСТАРТА АГРО ПРОТЕЇН ТОВ
Глобине 1 ДУ № 1 до 14/06/2024 від 14.06.2024р.
Надходження на банківський рахунок 00000008819 від 09.08.2024 00:00:00</t>
  </si>
  <si>
    <t>13.08.2024</t>
  </si>
  <si>
    <t>АСТАРТА АГРО ПРОТЕЇН ТОВ
Глобине 1 ДУ № 1 до 14/06/2024 від 14.06.2024р.
Надходження на банківський рахунок 00000008850 від 13.08.2024 00:00:00</t>
  </si>
  <si>
    <t>20.08.2024</t>
  </si>
  <si>
    <t>АСТАРТА АГРО ПРОТЕЇН ТОВ
Глобине 1 ДУ № 1 до 14/06/2024 від 14.06.2024р.
Надходження на банківський рахунок 00000008930 від 20.08.2024 00:00:00</t>
  </si>
  <si>
    <t>24.09.2024</t>
  </si>
  <si>
    <t>АСТАРТА АГРО ПРОТЕЇН ТОВ
Глобине 1 ДУ № 1 до 14/06/2024 від 14.06.2024р.
Надходження на банківський рахунок 00000009407 від 24.09.2024 00:00:00</t>
  </si>
  <si>
    <t>07.10.2024</t>
  </si>
  <si>
    <t>Надання виробничих послуг ІБ00-000382 від 07.10.2024 12:00:00
Реализация товаров</t>
  </si>
  <si>
    <t>АСТАРТА АГРО ПРОТЕЇН ТОВ
Глобине 1 ДУ № 1 до 14/06/2024 від 14.06.2024р.
Надання виробничих послуг ІБ00-000382 від 07.10.2024 12:00:00</t>
  </si>
  <si>
    <t>Надання виробничих послуг ІБ00-000382 від 07.10.2024 12:00:00
Реализация товаров (Зачет аванса покупателя)</t>
  </si>
  <si>
    <t>10.10.2024</t>
  </si>
  <si>
    <t>24.10.2024</t>
  </si>
  <si>
    <t>Надання виробничих послуг ІБ00-000446 від 24.10.2024 00:00:00
Реализация товаров</t>
  </si>
  <si>
    <t>АСТАРТА АГРО ПРОТЕЇН ТОВ
Глобине 1 ДУ № 1 до 14/06/2024 від 14.06.2024р.
Надання виробничих послуг ІБ00-000446 від 24.10.2024 00:00:00</t>
  </si>
  <si>
    <t>Обороти за період та сальдо на кінець</t>
  </si>
  <si>
    <t>15.08.2024</t>
  </si>
  <si>
    <t>Надання виробничих послуг ІБ00-000310 від 15.08.2024 16:50:04
Реализация товаров</t>
  </si>
  <si>
    <t>АСТАРТА АГРО ПРОТЕЇН ТОВ
ДОГОВІР Глобине 1 № 19/07/2024 від 19.07.2024
Надання виробничих послуг ІБ00-000310 від 15.08.2024 16:50:04</t>
  </si>
  <si>
    <t>22.08.2024</t>
  </si>
  <si>
    <t>26.08.2024</t>
  </si>
  <si>
    <t>Надання виробничих послуг ІБ00-000315 від 26.08.2024 00:00:00
Реализация товаров</t>
  </si>
  <si>
    <t>АСТАРТА АГРО ПРОТЕЇН ТОВ
ДОГОВІР Глобине 1 № 19/07/2024 від 19.07.2024
Надання виробничих послуг ІБ00-000315 від 26.08.2024 00:00:00</t>
  </si>
  <si>
    <t>30.08.2024</t>
  </si>
  <si>
    <t>20.09.2024</t>
  </si>
  <si>
    <t>Надання виробничих послуг ІБ00-000365 від 20.09.2024 11:51:52
Реализация товаров</t>
  </si>
  <si>
    <t>АСТАРТА АГРО ПРОТЕЇН ТОВ
ДОГОВІР Глобине 1 № 19/07/2024 від 19.07.2024
Надання виробничих послуг ІБ00-000365 від 20.09.2024 11:51:52</t>
  </si>
  <si>
    <t>23.09.2024</t>
  </si>
  <si>
    <t>Надання виробничих послуг ІБ00-000358 від 23.09.2024 00:00:00
Реализация товаров</t>
  </si>
  <si>
    <t>АСТАРТА АГРО ПРОТЕЇН ТОВ
ДОГОВІР Глобине 1 № 19/07/2024 від 19.07.2024
Надання виробничих послуг ІБ00-000358 від 23.09.2024 00:00:00</t>
  </si>
  <si>
    <t>01.10.2024</t>
  </si>
  <si>
    <t>08.10.2024</t>
  </si>
  <si>
    <t>Надання виробничих послуг ІБ00-000421 від 08.10.2024 13:20:28
Реализация товаров</t>
  </si>
  <si>
    <t>АСТАРТА АГРО ПРОТЕЇН ТОВ
ДОГОВІР Глобине 1 № 19/07/2024 від 19.07.2024
Надання виробничих послуг ІБ00-000421 від 08.10.2024 13:20:28</t>
  </si>
  <si>
    <t>17.10.2024</t>
  </si>
  <si>
    <t>23.10.2024</t>
  </si>
  <si>
    <t>Надання виробничих послуг ІБ00-000445 від 23.10.2024 00:00:00
Реализация товаров</t>
  </si>
  <si>
    <t>АСТАРТА АГРО ПРОТЕЇН ТОВ
ДОГОВІР Глобине 1 № 19/07/2024 від 19.07.2024
Надання виробничих послуг ІБ00-000445 від 23.10.2024 00:00:00</t>
  </si>
  <si>
    <t>14.06.2024</t>
  </si>
  <si>
    <t>Надходження товарів і послуг ІБ00-002413 від 14.06.2024 19:04:05
Оприходованы ТМЦ (Зачет аванса поставщику)</t>
  </si>
  <si>
    <t>Обл. НДС
Двері 2050х950 економ металеві  
Надходження товарів і послуг ІБ00-002413 від 14.06.2024 19:04:05
Глобине-1</t>
  </si>
  <si>
    <t>Дудкін О.В. ФОП
РАХУНКИ_Глобине-1
Рахунок на оплату постачальника ІБ00-001585 від 14.06.2024 19:03:14</t>
  </si>
  <si>
    <t>205</t>
  </si>
  <si>
    <t>631</t>
  </si>
  <si>
    <t>17.06.2024</t>
  </si>
  <si>
    <t>Авансовий звіт ІБ00-000108 від 17.06.2024 00:00:00
Оприходованы ТМЦ</t>
  </si>
  <si>
    <t>Обл. НДС
Плінтус підлоговий дуб альпійський 60*250см
Авансовий звіт ІБ00-000108 від 17.06.2024 00:00:00
Глобине-1</t>
  </si>
  <si>
    <t>Хомич Олександр Віталійович</t>
  </si>
  <si>
    <t>3721</t>
  </si>
  <si>
    <t>Обл. НДС
Фурнітура для плінтуса
Авансовий звіт ІБ00-000108 від 17.06.2024 00:00:00
Глобине-1</t>
  </si>
  <si>
    <t>Обл. НДС
Лінолеум ПВХ 6Х2,5
Авансовий звіт ІБ00-000108 від 17.06.2024 00:00:00
Глобине-1</t>
  </si>
  <si>
    <t>18.06.2024</t>
  </si>
  <si>
    <t>Переміщення товарів ІБ00-000036 від 18.06.2024 13:46:22
Перемещение ТМЦ</t>
  </si>
  <si>
    <t>Обл. НДС
ВВГнгд 3х1,5 кабель
Надходження товарів і послуг ІБ00-000467 від 09.02.2024 17:52:06
Глобине-1</t>
  </si>
  <si>
    <t>Обл. НДС
ВВГнгд 3х1,5 кабель
Надходження товарів і послуг ІБ00-000467 від 09.02.2024 17:52:06
Ладижин-3</t>
  </si>
  <si>
    <t>Обл. НДС
ВВГнгд 3х2,5 кабель
Надходження товарів і послуг ІБ00-000467 від 09.02.2024 17:52:06
Глобине-1</t>
  </si>
  <si>
    <t>Обл. НДС
ВВГнгд 3х2,5 кабель
Надходження товарів і послуг ІБ00-000467 від 09.02.2024 17:52:06
Ладижин-3</t>
  </si>
  <si>
    <t>24.06.2024</t>
  </si>
  <si>
    <t>Надходження товарів і послуг ІБ00-002287 від 24.06.2024 17:40:35
Оприходованы ТМЦ (Зачет аванса поставщику)</t>
  </si>
  <si>
    <t>Обл. НДС
Паля С110.35-8
Надходження товарів і послуг ІБ00-002287 від 24.06.2024 17:40:35
Глобине-1</t>
  </si>
  <si>
    <t>ОБ’ЄДНАННЯ ДНІПРОЕНЕРГОБУДПРОМ ТДВ
Договір № 513/06-24 від 03.06.2024_Глобине-1
Рахунок на оплату постачальника ІБ00-001528 від 11.06.2024 18:31:10</t>
  </si>
  <si>
    <t>Надходження товарів і послуг ІБ00-002288 від 24.06.2024 17:40:36
Оприходованы ТМЦ</t>
  </si>
  <si>
    <t>Обл. НДС
Паля С110.35-8
Надходження товарів і послуг ІБ00-002288 від 24.06.2024 17:40:36
Глобине-1</t>
  </si>
  <si>
    <t>Надходження товарів і послуг ІБ00-002288 від 24.06.2024 17:40:36
Оприходованы ТМЦ (Зачет аванса поставщику)</t>
  </si>
  <si>
    <t>Надходження товарів і послуг ІБ00-002289 від 24.06.2024 17:40:37
Оприходованы ТМЦ</t>
  </si>
  <si>
    <t>Обл. НДС
Паля С110.35-8
Надходження товарів і послуг ІБ00-002289 від 24.06.2024 17:40:37
Глобине-1</t>
  </si>
  <si>
    <t>28.06.2024</t>
  </si>
  <si>
    <t>Списання товарів ІБ00-000336 від 28.06.2024 18:16:34
Списаны ТМЦ</t>
  </si>
  <si>
    <t>Обл. НДС
Виробничий (Глобине-1)
Глобине-1
Прямі материальні виробничі витрати крім зворотніх відходів</t>
  </si>
  <si>
    <t>231</t>
  </si>
  <si>
    <t>10.07.2024</t>
  </si>
  <si>
    <t>Вимога-накладна ІБ00-000305 від 10.07.2024 09:26:38
Списаны ТМЦ</t>
  </si>
  <si>
    <t>Обл. НДС
Виробничий (Глобине-1)
Глобине-1
Прямі матеріальні виробничі витрати крім зворотних відходів</t>
  </si>
  <si>
    <t>Списання товарів ІБ00-000392 від 15.07.2024 00:00:00
Списаны ТМЦ</t>
  </si>
  <si>
    <t>22.07.2024</t>
  </si>
  <si>
    <t>Надходження товарів і послуг ІБ00-002757 від 22.07.2024 15:31:48
Оприходованы ТМЦ (Зачет аванса поставщику)</t>
  </si>
  <si>
    <t>Обл. НДС
Паля С100.35-8
Надходження товарів і послуг ІБ00-002757 від 22.07.2024 15:31:48
Глобине-1</t>
  </si>
  <si>
    <t>ОБ’ЄДНАННЯ ДНІПРОЕНЕРГОБУДПРОМ ТДВ
Дого № 513/06-24 від 03.06.2024_Глобине-1 (цілому
Списання з банківського рахунку 00000006493 від 11.07.2024 17:36:42</t>
  </si>
  <si>
    <t>Надходження товарів і послуг ІБ00-002758 від 22.07.2024 15:32:47
Оприходованы ТМЦ (Зачет аванса поставщику)</t>
  </si>
  <si>
    <t>Обл. НДС
Паля С100.35-8
Надходження товарів і послуг ІБ00-002758 від 22.07.2024 15:32:47
Глобине-1</t>
  </si>
  <si>
    <t>Обл. НДС
Паля С110.35-8
Надходження товарів і послуг ІБ00-002758 від 22.07.2024 15:32:47
Глобине-1</t>
  </si>
  <si>
    <t>Надходження товарів і послуг ІБ00-002826 від 22.07.2024 18:00:30
Оприходованы ТМЦ (Зачет аванса поставщику)</t>
  </si>
  <si>
    <t>Обл. НДС
Паля С100.35-8
Надходження товарів і послуг ІБ00-002826 від 22.07.2024 18:00:30
Глобине-1</t>
  </si>
  <si>
    <t>Надходження товарів і послуг ІБ00-002825 від 23.07.2024 18:11:04
Оприходованы ТМЦ (Зачет аванса поставщику)</t>
  </si>
  <si>
    <t>Обл. НДС
Паля С100.35-8
Надходження товарів і послуг ІБ00-002825 від 23.07.2024 18:11:04
Глобине-1</t>
  </si>
  <si>
    <t>Надходження товарів і послуг ІБ00-002828 від 23.07.2024 18:11:05
Оприходованы ТМЦ (Зачет аванса поставщику)</t>
  </si>
  <si>
    <t>Обл. НДС
Паля С100.35-8
Надходження товарів і послуг ІБ00-002828 від 23.07.2024 18:11:05
Глобине-1</t>
  </si>
  <si>
    <t>Надходження товарів і послуг ІБ00-002829 від 23.07.2024 18:11:06
Оприходованы ТМЦ (Зачет аванса поставщику)</t>
  </si>
  <si>
    <t>Обл. НДС
Паля С100.35-8
Надходження товарів і послуг ІБ00-002829 від 23.07.2024 18:11:06
Глобине-1</t>
  </si>
  <si>
    <t>Надходження товарів і послуг ІБ00-002830 від 23.07.2024 18:11:07
Оприходованы ТМЦ (Зачет аванса поставщику)</t>
  </si>
  <si>
    <t>Обл. НДС
Паля С100.35-8
Надходження товарів і послуг ІБ00-002830 від 23.07.2024 18:11:07
Глобине-1</t>
  </si>
  <si>
    <t>Надходження товарів і послуг ІБ00-002831 від 23.07.2024 18:11:08
Оприходованы ТМЦ (Зачет аванса поставщику)</t>
  </si>
  <si>
    <t>Обл. НДС
Паля С100.35-8
Надходження товарів і послуг ІБ00-002831 від 23.07.2024 18:11:08
Глобине-1</t>
  </si>
  <si>
    <t>24.07.2024</t>
  </si>
  <si>
    <t>Надходження товарів і послуг ІБ00-002823 від 24.07.2024 17:52:39
Оприходованы ТМЦ (Зачет аванса поставщику)</t>
  </si>
  <si>
    <t>Обл. НДС
Паля С100.35-8
Надходження товарів і послуг ІБ00-002823 від 24.07.2024 17:52:39
Глобине-1</t>
  </si>
  <si>
    <t>Надходження товарів і послуг ІБ00-002824 від 24.07.2024 17:52:40
Оприходованы ТМЦ (Зачет аванса поставщику)</t>
  </si>
  <si>
    <t>Обл. НДС
Паля С100.35-8
Надходження товарів і послуг ІБ00-002824 від 24.07.2024 17:52:40
Глобине-1</t>
  </si>
  <si>
    <t>ОБ’ЄДНАННЯ ДНІПРОЕНЕРГОБУДПРОМ ТДВ
Дого № 513/06-24 від 03.06.2024_Глобине-1 (цілому
Списання з банківського рахунку 00000006700 від 16.07.2024 16:24:01</t>
  </si>
  <si>
    <t>Надходження товарів і послуг ІБ00-002827 від 24.07.2024 17:52:42
Оприходованы ТМЦ (Зачет аванса поставщику)</t>
  </si>
  <si>
    <t>Обл. НДС
Паля С100.35-8
Надходження товарів і послуг ІБ00-002827 від 24.07.2024 17:52:42
Глобине-1</t>
  </si>
  <si>
    <t>Надходження товарів і послуг ІБ00-002873 від 24.07.2024 23:42:57
Оприходованы ТМЦ (Зачет аванса поставщику)</t>
  </si>
  <si>
    <t>Обл. НДС
Сітка рабиця д=1,5мм яч 55*55мм оц 2,0*10м
Надходження товарів і послуг ІБ00-002873 від 24.07.2024 23:42:57
Глобине-1</t>
  </si>
  <si>
    <t>Будівельна Компанія Домовой ТОВ
РАХУНКИ_Глобине-1
Рахунок на оплату постачальника ІБ00-002207 від 19.07.2024 20:00:07</t>
  </si>
  <si>
    <t>25.07.2024</t>
  </si>
  <si>
    <t>Надходження товарів і послуг ІБ00-002876 від 25.07.2024 17:56:41
Оприходованы ТМЦ (Зачет аванса поставщику)</t>
  </si>
  <si>
    <t>Обл. НДС
Паля С100.35-8
Надходження товарів і послуг ІБ00-002876 від 25.07.2024 17:56:41
Глобине-1</t>
  </si>
  <si>
    <t>Надходження товарів і послуг ІБ00-002877 від 25.07.2024 17:56:42
Оприходованы ТМЦ (Зачет аванса поставщику)</t>
  </si>
  <si>
    <t>Обл. НДС
Паля С100.35-8
Надходження товарів і послуг ІБ00-002877 від 25.07.2024 17:56:42
Глобине-1</t>
  </si>
  <si>
    <t>Надходження товарів і послуг ІБ00-002878 від 25.07.2024 17:56:43
Оприходованы ТМЦ (Зачет аванса поставщику)</t>
  </si>
  <si>
    <t>Обл. НДС
Паля С100.35-8
Надходження товарів і послуг ІБ00-002878 від 25.07.2024 17:56:43
Глобине-1</t>
  </si>
  <si>
    <t>26.07.2024</t>
  </si>
  <si>
    <t>Надходження товарів і послуг ІБ00-002910 від 26.07.2024 18:32:09
Оприходованы ТМЦ (Зачет аванса поставщику)</t>
  </si>
  <si>
    <t>Обл. НДС
Паля С100.35-8
Надходження товарів і послуг ІБ00-002910 від 26.07.2024 18:32:09
Глобине-1</t>
  </si>
  <si>
    <t>Надходження товарів і послуг ІБ00-002911 від 26.07.2024 18:32:10
Оприходованы ТМЦ (Зачет аванса поставщику)</t>
  </si>
  <si>
    <t>Обл. НДС
Паля С100.35-8
Надходження товарів і послуг ІБ00-002911 від 26.07.2024 18:32:10
Глобине-1</t>
  </si>
  <si>
    <t>ОБ’ЄДНАННЯ ДНІПРОЕНЕРГОБУДПРОМ ТДВ
Дого № 513/06-24 від 03.06.2024_Глобине-1 (цілому
Списання з банківського рахунку 00000007117 від 24.07.2024 15:40:12</t>
  </si>
  <si>
    <t>Надходження товарів і послуг ІБ00-002912 від 26.07.2024 18:32:11
Оприходованы ТМЦ (Зачет аванса поставщику)</t>
  </si>
  <si>
    <t>Обл. НДС
Паля С100.35-8
Надходження товарів і послуг ІБ00-002912 від 26.07.2024 18:32:11
Глобине-1</t>
  </si>
  <si>
    <t>Надходження товарів і послуг ІБ00-002913 від 26.07.2024 18:32:12
Оприходованы ТМЦ (Зачет аванса поставщику)</t>
  </si>
  <si>
    <t>Обл. НДС
Паля С100.35-8
Надходження товарів і послуг ІБ00-002913 від 26.07.2024 18:32:12
Глобине-1</t>
  </si>
  <si>
    <t>Надходження товарів і послуг ІБ00-002916 від 26.07.2024 18:32:14
Оприходованы ТМЦ (Зачет аванса поставщику)</t>
  </si>
  <si>
    <t>Обл. НДС
Паля С90.35-8
Надходження товарів і послуг ІБ00-002916 від 26.07.2024 18:32:14
Глобине-1</t>
  </si>
  <si>
    <t>Надходження товарів і послуг ІБ00-002917 від 26.07.2024 18:32:15
Оприходованы ТМЦ (Зачет аванса поставщику)</t>
  </si>
  <si>
    <t>Обл. НДС
Паля С100.35-8
Надходження товарів і послуг ІБ00-002917 від 26.07.2024 18:32:15
Глобине-1</t>
  </si>
  <si>
    <t>Надходження товарів і послуг ІБ00-002918 від 26.07.2024 18:32:16
Оприходованы ТМЦ (Зачет аванса поставщику)</t>
  </si>
  <si>
    <t>Обл. НДС
Паля С100.35-8
Надходження товарів і послуг ІБ00-002918 від 26.07.2024 18:32:16
Глобине-1</t>
  </si>
  <si>
    <t>Надходження товарів і послуг ІБ00-002919 від 26.07.2024 18:32:17
Оприходованы ТМЦ (Зачет аванса поставщику)</t>
  </si>
  <si>
    <t>Обл. НДС
Паля С100.35-8
Надходження товарів і послуг ІБ00-002919 від 26.07.2024 18:32:17
Глобине-1</t>
  </si>
  <si>
    <t>29.07.2024</t>
  </si>
  <si>
    <t>Надходження товарів і послуг ІБ00-002985 від 29.07.2024 15:08:31
Оприходованы ТМЦ</t>
  </si>
  <si>
    <t>Обл. НДС
Паля С90.35-8
Надходження товарів і послуг ІБ00-002985 від 29.07.2024 15:08:31
Глобине-1</t>
  </si>
  <si>
    <t>ОБ’ЄДНАННЯ ДНІПРОЕНЕРГОБУДПРОМ ТДВ
Дого № 513/06-24 від 03.06.2024_Глобине-1 (цілому
Надходження товарів і послуг ІБ00-002985 від 29.07.2024 15:08:31</t>
  </si>
  <si>
    <t>Надходження товарів і послуг ІБ00-002985 від 29.07.2024 15:08:31
Оприходованы ТМЦ (Зачет аванса поставщику)</t>
  </si>
  <si>
    <t>Надходження товарів і послуг ІБ00-002986 від 29.07.2024 15:08:32
Оприходованы ТМЦ</t>
  </si>
  <si>
    <t>Обл. НДС
Паля С90.35-8
Надходження товарів і послуг ІБ00-002986 від 29.07.2024 15:08:32
Глобине-1</t>
  </si>
  <si>
    <t>ОБ’ЄДНАННЯ ДНІПРОЕНЕРГОБУДПРОМ ТДВ
Дого № 513/06-24 від 03.06.2024_Глобине-1 (цілому
Надходження товарів і послуг ІБ00-002986 від 29.07.2024 15:08:32</t>
  </si>
  <si>
    <t>Надходження товарів і послуг ІБ00-002987 від 29.07.2024 15:08:33
Оприходованы ТМЦ</t>
  </si>
  <si>
    <t>Обл. НДС
Паля С90.35-8
Надходження товарів і послуг ІБ00-002987 від 29.07.2024 15:08:33
Глобине-1</t>
  </si>
  <si>
    <t>ОБ’ЄДНАННЯ ДНІПРОЕНЕРГОБУДПРОМ ТДВ
Дого № 513/06-24 від 03.06.2024_Глобине-1 (цілому
Надходження товарів і послуг ІБ00-002987 від 29.07.2024 15:08:33</t>
  </si>
  <si>
    <t>30.07.2024</t>
  </si>
  <si>
    <t>Надходження товарів і послуг ІБ00-002968 від 30.07.2024 18:16:20
Оприходованы ТМЦ</t>
  </si>
  <si>
    <t>Обл. НДС
Паля С90.35-8
Надходження товарів і послуг ІБ00-002968 від 30.07.2024 18:16:20
Глобине-1</t>
  </si>
  <si>
    <t>ОБ’ЄДНАННЯ ДНІПРОЕНЕРГОБУДПРОМ ТДВ
Дого № 513/06-24 від 03.06.2024_Глобине-1 (цілому
Надходження товарів і послуг ІБ00-002968 від 30.07.2024 18:16:20</t>
  </si>
  <si>
    <t>Надходження товарів і послуг ІБ00-002969 від 30.07.2024 18:16:21
Оприходованы ТМЦ (Зачет аванса поставщику)</t>
  </si>
  <si>
    <t>Обл. НДС
Паля С90.35-8
Надходження товарів і послуг ІБ00-002969 від 30.07.2024 18:16:21
Глобине-1</t>
  </si>
  <si>
    <t>Надходження товарів і послуг ІБ00-002970 від 30.07.2024 18:16:22
Оприходованы ТМЦ (Зачет аванса поставщику)</t>
  </si>
  <si>
    <t>Обл. НДС
Паля С90.35-8
Надходження товарів і послуг ІБ00-002970 від 30.07.2024 18:16:22
Глобине-1</t>
  </si>
  <si>
    <t>31.07.2024</t>
  </si>
  <si>
    <t>Надходження товарів і послуг ІБ00-003003 від 31.07.2024 16:23:49
Оприходованы ТМЦ (Зачет аванса поставщику)</t>
  </si>
  <si>
    <t>Обл. НДС
Паля С90.35-8
Надходження товарів і послуг ІБ00-003003 від 31.07.2024 16:23:49
Глобине-1</t>
  </si>
  <si>
    <t>Надходження товарів і послуг ІБ00-003004 від 31.07.2024 16:24:06
Оприходованы ТМЦ (Зачет аванса поставщику)</t>
  </si>
  <si>
    <t>Обл. НДС
Паля С90.35-8
Надходження товарів і послуг ІБ00-003004 від 31.07.2024 16:24:06
Глобине-1</t>
  </si>
  <si>
    <t>01.08.2024</t>
  </si>
  <si>
    <t>Надходження товарів і послуг ІБ00-003042 від 01.08.2024 16:52:53
Оприходованы ТМЦ (Зачет аванса поставщику)</t>
  </si>
  <si>
    <t>Обл. НДС
Паля С100.35-8
Надходження товарів і послуг ІБ00-003042 від 01.08.2024 16:52:53
Глобине-1</t>
  </si>
  <si>
    <t>ОБ’ЄДНАННЯ ДНІПРОЕНЕРГОБУДПРОМ ТДВ
Дого № 513/06-24 від 03.06.2024_Глобине-1 (цілому
Списання з банківського рахунку 00000007357 від 30.07.2024 19:27:18</t>
  </si>
  <si>
    <t>Обл. НДС
Паля С90.35-8
Надходження товарів і послуг ІБ00-003042 від 01.08.2024 16:52:53
Глобине-1</t>
  </si>
  <si>
    <t>05.08.2024</t>
  </si>
  <si>
    <t>Надходження товарів і послуг ІБ00-003094 від 05.08.2024 20:00:02
Оприходованы ТМЦ (Зачет аванса поставщику)</t>
  </si>
  <si>
    <t>Обл. НДС
Паля С100.35-8
Надходження товарів і послуг ІБ00-003094 від 05.08.2024 20:00:02
Глобине-1</t>
  </si>
  <si>
    <t>Надходження товарів і послуг ІБ00-003095 від 05.08.2024 20:00:03
Оприходованы ТМЦ (Зачет аванса поставщику)</t>
  </si>
  <si>
    <t>Обл. НДС
Паля С100.35-8
Надходження товарів і послуг ІБ00-003095 від 05.08.2024 20:00:03
Глобине-1</t>
  </si>
  <si>
    <t>ОБ’ЄДНАННЯ ДНІПРОЕНЕРГОБУДПРОМ ТДВ
Дого № 513/06-24 від 03.06.2024_Глобине-1 (цілому
Списання з банківського рахунку 00000007427 від 31.07.2024 17:22:56</t>
  </si>
  <si>
    <t>Надходження товарів і послуг ІБ00-003096 від 05.08.2024 20:00:05
Оприходованы ТМЦ (Зачет аванса поставщику)</t>
  </si>
  <si>
    <t>Обл. НДС
Паля С100.35-8
Надходження товарів і послуг ІБ00-003096 від 05.08.2024 20:00:05
Глобине-1</t>
  </si>
  <si>
    <t>06.08.2024</t>
  </si>
  <si>
    <t>Переміщення товарів ІБ00-000051 від 06.08.2024 00:00:00
Перемещение ТМЦ</t>
  </si>
  <si>
    <t>Обл. НДС
Паля С100.35-8
Надходження товарів і послуг ІБ00-002757 від 22.07.2024 15:31:48
Глобине-1 для списання</t>
  </si>
  <si>
    <t>Обл. НДС
Паля С100.35-8
Надходження товарів і послуг ІБ00-002758 від 22.07.2024 15:32:47
Глобине-1 для списання</t>
  </si>
  <si>
    <t>Обл. НДС
Паля С100.35-8
Надходження товарів і послуг ІБ00-002826 від 22.07.2024 18:00:30
Глобине-1 для списання</t>
  </si>
  <si>
    <t>Обл. НДС
Паля С100.35-8
Надходження товарів і послуг ІБ00-002825 від 23.07.2024 18:11:04
Глобине-1 для списання</t>
  </si>
  <si>
    <t>Обл. НДС
Паля С100.35-8
Надходження товарів і послуг ІБ00-002828 від 23.07.2024 18:11:05
Глобине-1 для списання</t>
  </si>
  <si>
    <t>Обл. НДС
Паля С100.35-8
Надходження товарів і послуг ІБ00-002829 від 23.07.2024 18:11:06
Глобине-1 для списання</t>
  </si>
  <si>
    <t>Обл. НДС
Паля С100.35-8
Надходження товарів і послуг ІБ00-002830 від 23.07.2024 18:11:07
Глобине-1 для списання</t>
  </si>
  <si>
    <t>Обл. НДС
Паля С100.35-8
Надходження товарів і послуг ІБ00-002831 від 23.07.2024 18:11:08
Глобине-1 для списання</t>
  </si>
  <si>
    <t>Обл. НДС
Паля С100.35-8
Надходження товарів і послуг ІБ00-002823 від 24.07.2024 17:52:39
Глобине-1 для списання</t>
  </si>
  <si>
    <t>Обл. НДС
Паля С100.35-8
Надходження товарів і послуг ІБ00-002824 від 24.07.2024 17:52:40
Глобине-1 для списання</t>
  </si>
  <si>
    <t>Обл. НДС
Паля С100.35-8
Надходження товарів і послуг ІБ00-002827 від 24.07.2024 17:52:42
Глобине-1 для списання</t>
  </si>
  <si>
    <t>Обл. НДС
Паля С110.35-8
Надходження товарів і послуг ІБ00-002758 від 22.07.2024 15:32:47
Глобине-1 для списання</t>
  </si>
  <si>
    <t>Надходження товарів і послуг ІБ00-003311 від 06.08.2024 18:28:46
Оприходованы ТМЦ (Зачет аванса поставщику)</t>
  </si>
  <si>
    <t>Обл. НДС
Паля С100.35-8
Надходження товарів і послуг ІБ00-003311 від 06.08.2024 18:28:46
Глобине-1</t>
  </si>
  <si>
    <t>Надходження товарів і послуг ІБ00-003312 від 06.08.2024 18:28:47
Оприходованы ТМЦ (Зачет аванса поставщику)</t>
  </si>
  <si>
    <t>Обл. НДС
Паля С100.35-8
Надходження товарів і послуг ІБ00-003312 від 06.08.2024 18:28:47
Глобине-1</t>
  </si>
  <si>
    <t>Надходження товарів і послуг ІБ00-003313 від 06.08.2024 18:28:48
Оприходованы ТМЦ (Зачет аванса поставщику)</t>
  </si>
  <si>
    <t>Обл. НДС
Паля С100.35-8
Надходження товарів і послуг ІБ00-003313 від 06.08.2024 18:28:48
Глобине-1</t>
  </si>
  <si>
    <t>ОБ’ЄДНАННЯ ДНІПРОЕНЕРГОБУДПРОМ ТДВ
Дого № 513/06-24 від 03.06.2024_Глобине-1 (цілому
Списання з банківського рахунку 00000007428 від 31.07.2024 17:24:00</t>
  </si>
  <si>
    <t>Надходження товарів і послуг ІБ00-003316 від 06.08.2024 18:28:49
Оприходованы ТМЦ (Зачет аванса поставщику)</t>
  </si>
  <si>
    <t>Обл. НДС
Паля С100.35-8
Надходження товарів і послуг ІБ00-003316 від 06.08.2024 18:28:49
Глобине-1</t>
  </si>
  <si>
    <t>Надходження товарів і послуг ІБ00-003317 від 07.08.2024 20:00:29
Оприходованы ТМЦ (Зачет аванса поставщику)</t>
  </si>
  <si>
    <t>Обл. НДС
Паля С110.35-8
Надходження товарів і послуг ІБ00-003317 від 07.08.2024 20:00:29
Глобине-1</t>
  </si>
  <si>
    <t>Надходження товарів і послуг ІБ00-003318 від 07.08.2024 20:00:30
Оприходованы ТМЦ (Зачет аванса поставщику)</t>
  </si>
  <si>
    <t>Обл. НДС
Паля С110.35-8
Надходження товарів і послуг ІБ00-003318 від 07.08.2024 20:00:30
Глобине-1</t>
  </si>
  <si>
    <t>ОБ’ЄДНАННЯ ДНІПРОЕНЕРГОБУДПРОМ ТДВ
Дого № 513/06-24 від 03.06.2024_Глобине-1 (цілому
Списання з банківського рахунку 00000007693 від 07.08.2024 16:18:48</t>
  </si>
  <si>
    <t>Надходження товарів і послуг ІБ00-003319 від 07.08.2024 20:00:31
Оприходованы ТМЦ (Зачет аванса поставщику)</t>
  </si>
  <si>
    <t>Обл. НДС
Паля С110.35-8
Надходження товарів і послуг ІБ00-003319 від 07.08.2024 20:00:31
Глобине-1</t>
  </si>
  <si>
    <t>Обл. НДС
Паля С100.35-8
Надходження товарів і послуг ІБ00-003319 від 07.08.2024 20:00:31
Глобине-1</t>
  </si>
  <si>
    <t>Надходження товарів і послуг ІБ00-003320 від 07.08.2024 20:00:32
Оприходованы ТМЦ (Зачет аванса поставщику)</t>
  </si>
  <si>
    <t>Обл. НДС
Паля С100.35-8
Надходження товарів і послуг ІБ00-003320 від 07.08.2024 20:00:32
Глобине-1</t>
  </si>
  <si>
    <t>08.08.2024</t>
  </si>
  <si>
    <t>Надходження товарів і послуг ІБ00-003228 від 08.08.2024 17:57:28
Оприходованы ТМЦ (Зачет аванса поставщику)</t>
  </si>
  <si>
    <t>Обл. НДС
Паля С110.35-8
Надходження товарів і послуг ІБ00-003228 від 08.08.2024 17:57:28
Глобине-1</t>
  </si>
  <si>
    <t>Надходження товарів і послуг ІБ00-003314 від 08.08.2024 17:57:47
Оприходованы ТМЦ (Зачет аванса поставщику)</t>
  </si>
  <si>
    <t>Обл. НДС
Паля С110.35-8
Надходження товарів і послуг ІБ00-003314 від 08.08.2024 17:57:47
Глобине-1</t>
  </si>
  <si>
    <t>Надходження товарів і послуг ІБ00-003315 від 08.08.2024 17:57:48
Оприходованы ТМЦ (Зачет аванса поставщику)</t>
  </si>
  <si>
    <t>Обл. НДС
Паля С110.35-8
Надходження товарів і послуг ІБ00-003315 від 08.08.2024 17:57:48
Глобине-1</t>
  </si>
  <si>
    <t>Надходження товарів і послуг ІБ00-003308 від 09.08.2024 14:17:32
Оприходованы ТМЦ (Зачет аванса поставщику)</t>
  </si>
  <si>
    <t>Обл. НДС
Паля С110.35-8
Надходження товарів і послуг ІБ00-003308 від 09.08.2024 14:17:32
Глобине-1</t>
  </si>
  <si>
    <t>Надходження товарів і послуг ІБ00-003309 від 09.08.2024 14:17:33
Оприходованы ТМЦ (Зачет аванса поставщику)</t>
  </si>
  <si>
    <t>Обл. НДС
Паля С110.35-8
Надходження товарів і послуг ІБ00-003309 від 09.08.2024 14:17:33
Глобине-1</t>
  </si>
  <si>
    <t>Надходження товарів і послуг ІБ00-003310 від 09.08.2024 14:17:34
Оприходованы ТМЦ (Зачет аванса поставщику)</t>
  </si>
  <si>
    <t>Обл. НДС
Паля С110.35-8
Надходження товарів і послуг ІБ00-003310 від 09.08.2024 14:17:34
Глобине-1</t>
  </si>
  <si>
    <t>12.08.2024</t>
  </si>
  <si>
    <t>Надходження товарів і послуг ІБ00-003200 від 12.08.2024 20:00:25
Оприходованы ТМЦ (Зачет аванса поставщику)</t>
  </si>
  <si>
    <t>Обл. НДС
Паля С110.35-8
Надходження товарів і послуг ІБ00-003200 від 12.08.2024 20:00:25
Глобине-1</t>
  </si>
  <si>
    <t>Надходження товарів і послуг ІБ00-003201 від 12.08.2024 20:00:26
Оприходованы ТМЦ (Зачет аванса поставщику)</t>
  </si>
  <si>
    <t>Обл. НДС
Паля С110.35-8
Надходження товарів і послуг ІБ00-003201 від 12.08.2024 20:00:26
Глобине-1</t>
  </si>
  <si>
    <t>Надходження товарів і послуг ІБ00-003202 від 12.08.2024 20:00:27
Оприходованы ТМЦ (Зачет аванса поставщику)</t>
  </si>
  <si>
    <t>Обл. НДС
Паля С110.35-8
Надходження товарів і послуг ІБ00-003202 від 12.08.2024 20:00:27
Глобине-1</t>
  </si>
  <si>
    <t>Надходження товарів і послуг ІБ00-003203 від 12.08.2024 20:00:28
Оприходованы ТМЦ (Зачет аванса поставщику)</t>
  </si>
  <si>
    <t>Обл. НДС
Паля С110.35-8
Надходження товарів і послуг ІБ00-003203 від 12.08.2024 20:00:28
Глобине-1</t>
  </si>
  <si>
    <t>Надходження товарів і послуг ІБ00-003204 від 12.08.2024 20:00:29
Оприходованы ТМЦ (Зачет аванса поставщику)</t>
  </si>
  <si>
    <t>Обл. НДС
Паля С110.35-8
Надходження товарів і послуг ІБ00-003204 від 12.08.2024 20:00:29
Глобине-1</t>
  </si>
  <si>
    <t>Надходження товарів і послуг ІБ00-003224 від 13.08.2024 18:18:28
Оприходованы ТМЦ (Зачет аванса поставщику)</t>
  </si>
  <si>
    <t>Обл. НДС
Паля С90.35-8
Надходження товарів і послуг ІБ00-003224 від 13.08.2024 18:18:28
Глобине-1</t>
  </si>
  <si>
    <t>ОБ’ЄДНАННЯ ДНІПРОЕНЕРГОБУДПРОМ ТДВ
Дого № 513/06-24 від 03.06.2024_Глобине-1 (цілому
Списання з банківського рахунку 00000008005 від 13.08.2024 14:40:39</t>
  </si>
  <si>
    <t>Надходження товарів і послуг ІБ00-003225 від 13.08.2024 18:18:29
Оприходованы ТМЦ (Зачет аванса поставщику)</t>
  </si>
  <si>
    <t>Обл. НДС
Паля С90.35-8
Надходження товарів і послуг ІБ00-003225 від 13.08.2024 18:18:29
Глобине-1</t>
  </si>
  <si>
    <t>Надходження товарів і послуг ІБ00-003226 від 13.08.2024 18:18:30
Оприходованы ТМЦ (Зачет аванса поставщику)</t>
  </si>
  <si>
    <t>Обл. НДС
Паля С110.35-8
Надходження товарів і послуг ІБ00-003226 від 13.08.2024 18:18:30
Глобине-1</t>
  </si>
  <si>
    <t>Надходження товарів і послуг ІБ00-003227 від 13.08.2024 18:18:31
Оприходованы ТМЦ (Зачет аванса поставщику)</t>
  </si>
  <si>
    <t>Обл. НДС
Паля С110.35-8
Надходження товарів і послуг ІБ00-003227 від 13.08.2024 18:18:31
Глобине-1</t>
  </si>
  <si>
    <t>14.08.2024</t>
  </si>
  <si>
    <t>Надходження товарів і послуг ІБ00-003276 від 14.08.2024 17:38:31
Оприходованы ТМЦ (Зачет аванса поставщику)</t>
  </si>
  <si>
    <t>Обл. НДС
Паля С90.35-8
Надходження товарів і послуг ІБ00-003276 від 14.08.2024 17:38:31
Глобине-1</t>
  </si>
  <si>
    <t>Надходження товарів і послуг ІБ00-003277 від 14.08.2024 17:38:32
Оприходованы ТМЦ (Зачет аванса поставщику)</t>
  </si>
  <si>
    <t>Обл. НДС
Паля С90.35-8
Надходження товарів і послуг ІБ00-003277 від 14.08.2024 17:38:32
Глобине-1</t>
  </si>
  <si>
    <t>Надходження товарів і послуг ІБ00-003278 від 14.08.2024 17:38:33
Оприходованы ТМЦ (Зачет аванса поставщику)</t>
  </si>
  <si>
    <t>Обл. НДС
Паля С90.35-8
Надходження товарів і послуг ІБ00-003278 від 14.08.2024 17:38:33
Глобине-1</t>
  </si>
  <si>
    <t>Надходження товарів і послуг ІБ00-003279 від 14.08.2024 17:38:34
Оприходованы ТМЦ (Зачет аванса поставщику)</t>
  </si>
  <si>
    <t>Обл. НДС
Паля С90.35-8
Надходження товарів і послуг ІБ00-003279 від 14.08.2024 17:38:34
Глобине-1</t>
  </si>
  <si>
    <t>Обл. НДС
Паля С110.35-8
Надходження товарів і послуг ІБ00-003279 від 14.08.2024 17:38:34
Глобине-1</t>
  </si>
  <si>
    <t>Надходження товарів і послуг ІБ00-003292 від 14.08.2024 17:38:40
Оприходованы ТМЦ (Зачет аванса поставщику)</t>
  </si>
  <si>
    <t>Обл. НДС
Паля С90.35-8
Надходження товарів і послуг ІБ00-003292 від 14.08.2024 17:38:40
Глобине-1</t>
  </si>
  <si>
    <t>ОБ’ЄДНАННЯ ДНІПРОЕНЕРГОБУДПРОМ ТДВ
Дого № 513/06-24 від 03.06.2024_Глобине-1 (цілому
Списання з банківського рахунку 00000007971 від 12.08.2024 16:52:51</t>
  </si>
  <si>
    <t>Надходження товарів і послуг ІБ00-003293 від 14.08.2024 17:38:41
Оприходованы ТМЦ (Зачет аванса поставщику)</t>
  </si>
  <si>
    <t>Обл. НДС
Паля С90.35-8
Надходження товарів і послуг ІБ00-003293 від 14.08.2024 17:38:41
Глобине-1</t>
  </si>
  <si>
    <t>Надходження товарів і послуг ІБ00-003294 від 14.08.2024 17:38:42
Оприходованы ТМЦ (Зачет аванса поставщику)</t>
  </si>
  <si>
    <t>Обл. НДС
Паля С90.35-8
Надходження товарів і послуг ІБ00-003294 від 14.08.2024 17:38:42
Глобине-1</t>
  </si>
  <si>
    <t>Надходження товарів і послуг ІБ00-003295 від 15.08.2024 00:00:00
Оприходованы ТМЦ (Зачет аванса поставщику)</t>
  </si>
  <si>
    <t>Обл. НДС
Паля С90.35-8
Надходження товарів і послуг ІБ00-003295 від 15.08.2024 00:00:00
Глобине-1</t>
  </si>
  <si>
    <t>19.08.2024</t>
  </si>
  <si>
    <t>Надходження товарів і послуг ІБ00-003344 від 19.08.2024 20:00:28
Оприходованы ТМЦ (Зачет аванса поставщику)</t>
  </si>
  <si>
    <t>Обл. НДС
Паля С90.35-8
Надходження товарів і послуг ІБ00-003344 від 19.08.2024 20:00:28
Глобине-1</t>
  </si>
  <si>
    <t>Надходження товарів і послуг ІБ00-003345 від 19.08.2024 20:00:29
Оприходованы ТМЦ (Зачет аванса поставщику)</t>
  </si>
  <si>
    <t>Обл. НДС
Паля С90.35-8
Надходження товарів і послуг ІБ00-003345 від 19.08.2024 20:00:29
Глобине-1</t>
  </si>
  <si>
    <t>Надходження товарів і послуг ІБ00-003346 від 19.08.2024 20:00:30
Оприходованы ТМЦ (Зачет аванса поставщику)</t>
  </si>
  <si>
    <t>Обл. НДС
Паля С90.35-8
Надходження товарів і послуг ІБ00-003346 від 19.08.2024 20:00:30
Глобине-1</t>
  </si>
  <si>
    <t>Надходження товарів і послуг ІБ00-003382 від 20.08.2024 16:49:20
Оприходованы ТМЦ (Зачет аванса поставщику)</t>
  </si>
  <si>
    <t>Обл. НДС
Паля С90.35-8
Надходження товарів і послуг ІБ00-003382 від 20.08.2024 16:49:20
Глобине-1</t>
  </si>
  <si>
    <t>Надходження товарів і послуг ІБ00-003383 від 20.08.2024 16:49:43
Оприходованы ТМЦ (Зачет аванса поставщику)</t>
  </si>
  <si>
    <t>Обл. НДС
Паля С90.35-8
Надходження товарів і послуг ІБ00-003383 від 20.08.2024 16:49:43
Глобине-1</t>
  </si>
  <si>
    <t>Надходження товарів і послуг ІБ00-003384 від 20.08.2024 16:50:00
Оприходованы ТМЦ (Зачет аванса поставщику)</t>
  </si>
  <si>
    <t>Обл. НДС
Паля С90.35-8
Надходження товарів і послуг ІБ00-003384 від 20.08.2024 16:50:00
Глобине-1</t>
  </si>
  <si>
    <t>ОБ’ЄДНАННЯ ДНІПРОЕНЕРГОБУДПРОМ ТДВ
Дого № 513/06-24 від 03.06.2024_Глобине-1 (цілому
Списання з банківського рахунку 00000008188 від 15.08.2024 12:57:11</t>
  </si>
  <si>
    <t>Надходження товарів і послуг ІБ00-003385 від 20.08.2024 16:50:22
Оприходованы ТМЦ (Зачет аванса поставщику)</t>
  </si>
  <si>
    <t>Обл. НДС
Паля С90.35-8
Надходження товарів і послуг ІБ00-003385 від 20.08.2024 16:50:22
Глобине-1</t>
  </si>
  <si>
    <t>21.08.2024</t>
  </si>
  <si>
    <t>Надходження товарів і послуг ІБ00-003431 від 21.08.2024 17:57:18
Оприходованы ТМЦ (Зачет аванса поставщику)</t>
  </si>
  <si>
    <t>Обл. НДС
Паля С90.35-8
Надходження товарів і послуг ІБ00-003431 від 21.08.2024 17:57:18
Глобине-1</t>
  </si>
  <si>
    <t>Надходження товарів і послуг ІБ00-003432 від 21.08.2024 17:57:19
Оприходованы ТМЦ (Зачет аванса поставщику)</t>
  </si>
  <si>
    <t>Обл. НДС
Паля С90.35-8
Надходження товарів і послуг ІБ00-003432 від 21.08.2024 17:57:19
Глобине-1</t>
  </si>
  <si>
    <t>Надходження товарів і послуг ІБ00-003433 від 21.08.2024 17:57:20
Оприходованы ТМЦ (Зачет аванса поставщику)</t>
  </si>
  <si>
    <t>Обл. НДС
Паля С90.35-8
Надходження товарів і послуг ІБ00-003433 від 21.08.2024 17:57:20
Глобине-1</t>
  </si>
  <si>
    <t>Надходження товарів і послуг ІБ00-003434 від 21.08.2024 17:57:21
Оприходованы ТМЦ (Зачет аванса поставщику)</t>
  </si>
  <si>
    <t>Обл. НДС
Паля С90.35-8
Надходження товарів і послуг ІБ00-003434 від 21.08.2024 17:57:21
Глобине-1</t>
  </si>
  <si>
    <t>Переміщення товарів ІБ00-000055 від 22.08.2024 14:03:47
Перемещение ТМЦ</t>
  </si>
  <si>
    <t>Обл. НДС
Паля С100.35-8
Надходження товарів і послуг ІБ00-002876 від 25.07.2024 17:56:41
Глобине-1 для списання</t>
  </si>
  <si>
    <t>Обл. НДС
Паля С100.35-8
Надходження товарів і послуг ІБ00-002877 від 25.07.2024 17:56:42
Глобине-1 для списання</t>
  </si>
  <si>
    <t>Обл. НДС
Паля С100.35-8
Надходження товарів і послуг ІБ00-002878 від 25.07.2024 17:56:43
Глобине-1 для списання</t>
  </si>
  <si>
    <t>Обл. НДС
Паля С100.35-8
Надходження товарів і послуг ІБ00-002910 від 26.07.2024 18:32:09
Глобине-1 для списання</t>
  </si>
  <si>
    <t>Обл. НДС
Паля С100.35-8
Надходження товарів і послуг ІБ00-002911 від 26.07.2024 18:32:10
Глобине-1 для списання</t>
  </si>
  <si>
    <t>Обл. НДС
Паля С100.35-8
Надходження товарів і послуг ІБ00-002912 від 26.07.2024 18:32:11
Глобине-1 для списання</t>
  </si>
  <si>
    <t>Обл. НДС
Паля С100.35-8
Надходження товарів і послуг ІБ00-002913 від 26.07.2024 18:32:12
Глобине-1 для списання</t>
  </si>
  <si>
    <t>Обл. НДС
Паля С100.35-8
Надходження товарів і послуг ІБ00-002917 від 26.07.2024 18:32:15
Глобине-1 для списання</t>
  </si>
  <si>
    <t>Обл. НДС
Паля С100.35-8
Надходження товарів і послуг ІБ00-002918 від 26.07.2024 18:32:16
Глобине-1 для списання</t>
  </si>
  <si>
    <t>Обл. НДС
Паля С100.35-8
Надходження товарів і послуг ІБ00-002919 від 26.07.2024 18:32:17
Глобине-1 для списання</t>
  </si>
  <si>
    <t>Обл. НДС
Паля С100.35-8
Надходження товарів і послуг ІБ00-003042 від 01.08.2024 16:52:53
Глобине-1 для списання</t>
  </si>
  <si>
    <t>Обл. НДС
Паля С90.35-8
Надходження товарів і послуг ІБ00-002916 від 26.07.2024 18:32:14
Глобине-1 для списання</t>
  </si>
  <si>
    <t>Обл. НДС
Паля С90.35-8
Надходження товарів і послуг ІБ00-002985 від 29.07.2024 15:08:31
Глобине-1 для списання</t>
  </si>
  <si>
    <t>Обл. НДС
Паля С90.35-8
Надходження товарів і послуг ІБ00-002986 від 29.07.2024 15:08:32
Глобине-1 для списання</t>
  </si>
  <si>
    <t>Обл. НДС
Паля С90.35-8
Надходження товарів і послуг ІБ00-002987 від 29.07.2024 15:08:33
Глобине-1 для списання</t>
  </si>
  <si>
    <t>Обл. НДС
Паля С90.35-8
Надходження товарів і послуг ІБ00-002968 від 30.07.2024 18:16:20
Глобине-1 для списання</t>
  </si>
  <si>
    <t>Обл. НДС
Паля С90.35-8
Надходження товарів і послуг ІБ00-002969 від 30.07.2024 18:16:21
Глобине-1 для списання</t>
  </si>
  <si>
    <t>Обл. НДС
Паля С90.35-8
Надходження товарів і послуг ІБ00-002970 від 30.07.2024 18:16:22
Глобине-1 для списання</t>
  </si>
  <si>
    <t>Обл. НДС
Паля С90.35-8
Надходження товарів і послуг ІБ00-003003 від 31.07.2024 16:23:49
Глобине-1 для списання</t>
  </si>
  <si>
    <t>Обл. НДС
Паля С90.35-8
Надходження товарів і послуг ІБ00-003004 від 31.07.2024 16:24:06
Глобине-1 для списання</t>
  </si>
  <si>
    <t>Обл. НДС
Паля С90.35-8
Надходження товарів і послуг ІБ00-003042 від 01.08.2024 16:52:53
Глобине-1 для списання</t>
  </si>
  <si>
    <t>Надходження товарів і послуг ІБ00-003673 від 22.08.2024 19:01:02
Оприходованы ТМЦ (Зачет аванса поставщику)</t>
  </si>
  <si>
    <t>Обл. НДС
Паля С110.35-8
Надходження товарів і послуг ІБ00-003673 від 22.08.2024 19:01:02
Глобине-1</t>
  </si>
  <si>
    <t>ОБ’ЄДНАННЯ ДНІПРОЕНЕРГОБУДПРОМ ТДВ
Дого № 513/06-24 від 03.06.2024_Глобине-1 (цілому
Списання з банківського рахунку 00000008189 від 15.08.2024 12:58:57</t>
  </si>
  <si>
    <t>Надходження товарів і послуг ІБ00-003674 від 22.08.2024 19:01:03
Оприходованы ТМЦ (Зачет аванса поставщику)</t>
  </si>
  <si>
    <t>Обл. НДС
Паля С110.35-8
Надходження товарів і послуг ІБ00-003674 від 22.08.2024 19:01:03
Глобине-1</t>
  </si>
  <si>
    <t>Надходження товарів і послуг ІБ00-003676 від 22.08.2024 19:01:04
Оприходованы ТМЦ (Зачет аванса поставщику)</t>
  </si>
  <si>
    <t>Обл. НДС
Паля С90.35-8
Надходження товарів і послуг ІБ00-003676 від 22.08.2024 19:01:04
Глобине-1</t>
  </si>
  <si>
    <t>23.08.2024</t>
  </si>
  <si>
    <t>Надходження товарів і послуг ІБ00-003525 від 23.08.2024 18:30:50
Оприходованы ТМЦ (Зачет аванса поставщику)</t>
  </si>
  <si>
    <t>Обл. НДС
Паля С100.35-8
Надходження товарів і послуг ІБ00-003525 від 23.08.2024 18:30:50
Глобине-1</t>
  </si>
  <si>
    <t>Надходження товарів і послуг ІБ00-003526 від 23.08.2024 18:30:51
Оприходованы ТМЦ (Зачет аванса поставщику)</t>
  </si>
  <si>
    <t>Обл. НДС
Паля С100.35-8
Надходження товарів і послуг ІБ00-003526 від 23.08.2024 18:30:51
Глобине-1</t>
  </si>
  <si>
    <t>Надходження товарів і послуг ІБ00-003527 від 23.08.2024 18:30:52
Оприходованы ТМЦ (Зачет аванса поставщику)</t>
  </si>
  <si>
    <t>Обл. НДС
Паля С100.35-8
Надходження товарів і послуг ІБ00-003527 від 23.08.2024 18:30:52
Глобине-1</t>
  </si>
  <si>
    <t>Надходження товарів і послуг ІБ00-003528 від 23.08.2024 18:30:53
Оприходованы ТМЦ (Зачет аванса поставщику)</t>
  </si>
  <si>
    <t>Обл. НДС
Паля С100.35-8
Надходження товарів і послуг ІБ00-003528 від 23.08.2024 18:30:53
Глобине-1</t>
  </si>
  <si>
    <t>Надходження товарів і послуг ІБ00-003529 від 23.08.2024 18:30:54
Оприходованы ТМЦ (Зачет аванса поставщику)</t>
  </si>
  <si>
    <t>Обл. НДС
Паля С100.35-8
Надходження товарів і послуг ІБ00-003529 від 23.08.2024 18:30:54
Глобине-1</t>
  </si>
  <si>
    <t>Надходження товарів і послуг ІБ00-003530 від 23.08.2024 18:30:55
Оприходованы ТМЦ (Зачет аванса поставщику)</t>
  </si>
  <si>
    <t>Обл. НДС
Паля С100.35-8
Надходження товарів і послуг ІБ00-003530 від 23.08.2024 18:30:55
Глобине-1</t>
  </si>
  <si>
    <t>Надходження товарів і послуг ІБ00-003531 від 23.08.2024 18:30:56
Оприходованы ТМЦ (Зачет аванса поставщику)</t>
  </si>
  <si>
    <t>Обл. НДС
Паля С100.35-8
Надходження товарів і послуг ІБ00-003531 від 23.08.2024 18:30:56
Глобине-1</t>
  </si>
  <si>
    <t>Обл. НДС
Паля С90.35-8
Надходження товарів і послуг ІБ00-003531 від 23.08.2024 18:30:56
Глобине-1</t>
  </si>
  <si>
    <t>Переміщення товарів ІБ00-000057 від 26.08.2024 10:16:06
Перемещение ТМЦ</t>
  </si>
  <si>
    <t>Обл. НДС
Паля С90.35-8
Надходження товарів і послуг ІБ00-003224 від 13.08.2024 18:18:28
Глобине-1 для списання</t>
  </si>
  <si>
    <t>Обл. НДС
Паля С90.35-8
Надходження товарів і послуг ІБ00-003225 від 13.08.2024 18:18:29
Глобине-1 для списання</t>
  </si>
  <si>
    <t>Обл. НДС
Паля С90.35-8
Надходження товарів і послуг ІБ00-003276 від 14.08.2024 17:38:31
Глобине-1 для списання</t>
  </si>
  <si>
    <t>Обл. НДС
Паля С90.35-8
Надходження товарів і послуг ІБ00-003277 від 14.08.2024 17:38:32
Глобине-1 для списання</t>
  </si>
  <si>
    <t>Обл. НДС
Паля С90.35-8
Надходження товарів і послуг ІБ00-003278 від 14.08.2024 17:38:33
Глобине-1 для списання</t>
  </si>
  <si>
    <t>Обл. НДС
Паля С90.35-8
Надходження товарів і послуг ІБ00-003279 від 14.08.2024 17:38:34
Глобине-1 для списання</t>
  </si>
  <si>
    <t>Обл. НДС
Паля С90.35-8
Надходження товарів і послуг ІБ00-003292 від 14.08.2024 17:38:40
Глобине-1 для списання</t>
  </si>
  <si>
    <t>Обл. НДС
Паля С90.35-8
Надходження товарів і послуг ІБ00-003293 від 14.08.2024 17:38:41
Глобине-1 для списання</t>
  </si>
  <si>
    <t>Обл. НДС
Паля С90.35-8
Надходження товарів і послуг ІБ00-003294 від 14.08.2024 17:38:42
Глобине-1 для списання</t>
  </si>
  <si>
    <t>Обл. НДС
Паля С90.35-8
Надходження товарів і послуг ІБ00-003295 від 15.08.2024 00:00:00
Глобине-1 для списання</t>
  </si>
  <si>
    <t>Обл. НДС
Паля С90.35-8
Надходження товарів і послуг ІБ00-003344 від 19.08.2024 20:00:28
Глобине-1 для списання</t>
  </si>
  <si>
    <t>Переміщення товарів ІБ00-000056 від 26.08.2024 17:18:53
Перемещение ТМЦ</t>
  </si>
  <si>
    <t>Обл. НДС
Паля С100.35-8
Надходження товарів і послуг ІБ00-003094 від 05.08.2024 20:00:02
Глобине-1 для списання</t>
  </si>
  <si>
    <t>Обл. НДС
Паля С100.35-8
Надходження товарів і послуг ІБ00-003095 від 05.08.2024 20:00:03
Глобине-1 для списання</t>
  </si>
  <si>
    <t>Обл. НДС
Паля С100.35-8
Надходження товарів і послуг ІБ00-003096 від 05.08.2024 20:00:05
Глобине-1 для списання</t>
  </si>
  <si>
    <t>Обл. НДС
Паля С100.35-8
Надходження товарів і послуг ІБ00-003311 від 06.08.2024 18:28:46
Глобине-1 для списання</t>
  </si>
  <si>
    <t>Обл. НДС
Паля С100.35-8
Надходження товарів і послуг ІБ00-003312 від 06.08.2024 18:28:47
Глобине-1 для списання</t>
  </si>
  <si>
    <t>Обл. НДС
Паля С100.35-8
Надходження товарів і послуг ІБ00-003313 від 06.08.2024 18:28:48
Глобине-1 для списання</t>
  </si>
  <si>
    <t>Обл. НДС
Паля С100.35-8
Надходження товарів і послуг ІБ00-003316 від 06.08.2024 18:28:49
Глобине-1 для списання</t>
  </si>
  <si>
    <t>Обл. НДС
Паля С100.35-8
Надходження товарів і послуг ІБ00-003319 від 07.08.2024 20:00:31
Глобине-1 для списання</t>
  </si>
  <si>
    <t>Обл. НДС
Паля С100.35-8
Надходження товарів і послуг ІБ00-003320 від 07.08.2024 20:00:32
Глобине-1 для списання</t>
  </si>
  <si>
    <t>Обл. НДС
Паля С110.35-8
Надходження товарів і послуг ІБ00-003317 від 07.08.2024 20:00:29
Глобине-1 для списання</t>
  </si>
  <si>
    <t>Обл. НДС
Паля С110.35-8
Надходження товарів і послуг ІБ00-003318 від 07.08.2024 20:00:30
Глобине-1 для списання</t>
  </si>
  <si>
    <t>Обл. НДС
Паля С110.35-8
Надходження товарів і послуг ІБ00-003319 від 07.08.2024 20:00:31
Глобине-1 для списання</t>
  </si>
  <si>
    <t>Обл. НДС
Паля С110.35-8
Надходження товарів і послуг ІБ00-003228 від 08.08.2024 17:57:28
Глобине-1 для списання</t>
  </si>
  <si>
    <t>Обл. НДС
Паля С110.35-8
Надходження товарів і послуг ІБ00-003314 від 08.08.2024 17:57:47
Глобине-1 для списання</t>
  </si>
  <si>
    <t>Обл. НДС
Паля С110.35-8
Надходження товарів і послуг ІБ00-003315 від 08.08.2024 17:57:48
Глобине-1 для списання</t>
  </si>
  <si>
    <t>Обл. НДС
Паля С110.35-8
Надходження товарів і послуг ІБ00-003308 від 09.08.2024 14:17:32
Глобине-1 для списання</t>
  </si>
  <si>
    <t>Обл. НДС
Паля С110.35-8
Надходження товарів і послуг ІБ00-003309 від 09.08.2024 14:17:33
Глобине-1 для списання</t>
  </si>
  <si>
    <t>Обл. НДС
Паля С110.35-8
Надходження товарів і послуг ІБ00-003310 від 09.08.2024 14:17:34
Глобине-1 для списання</t>
  </si>
  <si>
    <t>Обл. НДС
Паля С110.35-8
Надходження товарів і послуг ІБ00-003200 від 12.08.2024 20:00:25
Глобине-1 для списання</t>
  </si>
  <si>
    <t>Обл. НДС
Паля С110.35-8
Надходження товарів і послуг ІБ00-003201 від 12.08.2024 20:00:26
Глобине-1 для списання</t>
  </si>
  <si>
    <t>Обл. НДС
Паля С110.35-8
Надходження товарів і послуг ІБ00-003202 від 12.08.2024 20:00:27
Глобине-1 для списання</t>
  </si>
  <si>
    <t>Обл. НДС
Паля С110.35-8
Надходження товарів і послуг ІБ00-003203 від 12.08.2024 20:00:28
Глобине-1 для списання</t>
  </si>
  <si>
    <t>Обл. НДС
Паля С110.35-8
Надходження товарів і послуг ІБ00-003204 від 12.08.2024 20:00:29
Глобине-1 для списання</t>
  </si>
  <si>
    <t>Обл. НДС
Паля С110.35-8
Надходження товарів і послуг ІБ00-003226 від 13.08.2024 18:18:30
Глобине-1 для списання</t>
  </si>
  <si>
    <t>Обл. НДС
Паля С110.35-8
Надходження товарів і послуг ІБ00-003227 від 13.08.2024 18:18:31
Глобине-1 для списання</t>
  </si>
  <si>
    <t>Обл. НДС
Паля С110.35-8
Надходження товарів і послуг ІБ00-003279 від 14.08.2024 17:38:34
Глобине-1 для списання</t>
  </si>
  <si>
    <t>Обл. НДС
Паля С90.35-8
Надходження товарів і послуг ІБ00-003345 від 19.08.2024 20:00:29
Глобине-1 для списання</t>
  </si>
  <si>
    <t>Обл. НДС
Паля С90.35-8
Надходження товарів і послуг ІБ00-003346 від 19.08.2024 20:00:30
Глобине-1 для списання</t>
  </si>
  <si>
    <t>Обл. НДС
Паля С90.35-8
Надходження товарів і послуг ІБ00-003382 від 20.08.2024 16:49:20
Глобине-1 для списання</t>
  </si>
  <si>
    <t>Обл. НДС
Паля С90.35-8
Надходження товарів і послуг ІБ00-003383 від 20.08.2024 16:49:43
Глобине-1 для списання</t>
  </si>
  <si>
    <t>Обл. НДС
Паля С90.35-8
Надходження товарів і послуг ІБ00-003384 від 20.08.2024 16:50:00
Глобине-1 для списання</t>
  </si>
  <si>
    <t>Обл. НДС
Паля С90.35-8
Надходження товарів і послуг ІБ00-003385 від 20.08.2024 16:50:22
Глобине-1 для списання</t>
  </si>
  <si>
    <t>Надходження товарів і послуг ІБ00-003599 від 26.08.2024 17:19:20
Оприходованы ТМЦ (Зачет аванса поставщику)</t>
  </si>
  <si>
    <t>Обл. НДС
Паля С100.35-8
Надходження товарів і послуг ІБ00-003599 від 26.08.2024 17:19:20
Глобине-1</t>
  </si>
  <si>
    <t>Надходження товарів і послуг ІБ00-003600 від 26.08.2024 17:19:21
Оприходованы ТМЦ</t>
  </si>
  <si>
    <t>Обл. НДС
Паля С100.35-8
Надходження товарів і послуг ІБ00-003600 від 26.08.2024 17:19:21
Глобине-1</t>
  </si>
  <si>
    <t>ОБ’ЄДНАННЯ ДНІПРОЕНЕРГОБУДПРОМ ТДВ
Дого № 513/06-24 від 03.06.2024_Глобине-1 (цілому
Надходження товарів і послуг ІБ00-003600 від 26.08.2024 17:19:21</t>
  </si>
  <si>
    <t>Надходження товарів і послуг ІБ00-003600 від 26.08.2024 17:19:21
Оприходованы ТМЦ (Зачет аванса поставщику)</t>
  </si>
  <si>
    <t>Надходження товарів і послуг ІБ00-003601 від 26.08.2024 17:19:22
Оприходованы ТМЦ</t>
  </si>
  <si>
    <t>Обл. НДС
Паля С100.35-8
Надходження товарів і послуг ІБ00-003601 від 26.08.2024 17:19:22
Глобине-1</t>
  </si>
  <si>
    <t>ОБ’ЄДНАННЯ ДНІПРОЕНЕРГОБУДПРОМ ТДВ
Дого № 513/06-24 від 03.06.2024_Глобине-1 (цілому
Надходження товарів і послуг ІБ00-003601 від 26.08.2024 17:19:22</t>
  </si>
  <si>
    <t>27.08.2024</t>
  </si>
  <si>
    <t>Вимога-накладна ІБ00-000381 від 27.08.2024 10:20:58
Списаны ТМЦ</t>
  </si>
  <si>
    <t>Надходження товарів і послуг ІБ00-003602 від 27.08.2024 18:10:58
Оприходованы ТМЦ (Зачет аванса поставщику)</t>
  </si>
  <si>
    <t>Обл. НДС
Паля С100.35-8
Надходження товарів і послуг ІБ00-003602 від 27.08.2024 18:10:58
Глобине-1</t>
  </si>
  <si>
    <t>ОБ’ЄДНАННЯ ДНІПРОЕНЕРГОБУДПРОМ ТДВ
Дого № 513/06-24 від 03.06.2024_Глобине-1 (цілому
Списання з банківського рахунку 00000008817 від 27.08.2024 14:54:06</t>
  </si>
  <si>
    <t>Надходження товарів і послуг ІБ00-003603 від 27.08.2024 18:10:59
Оприходованы ТМЦ (Зачет аванса поставщику)</t>
  </si>
  <si>
    <t>Обл. НДС
Паля С100.35-8
Надходження товарів і послуг ІБ00-003603 від 27.08.2024 18:10:59
Глобине-1</t>
  </si>
  <si>
    <t>Надходження товарів і послуг ІБ00-003604 від 27.08.2024 18:11:00
Оприходованы ТМЦ (Зачет аванса поставщику)</t>
  </si>
  <si>
    <t>Обл. НДС
Паля С100.35-8
Надходження товарів і послуг ІБ00-003604 від 27.08.2024 18:11:00
Глобине-1</t>
  </si>
  <si>
    <t>28.08.2024</t>
  </si>
  <si>
    <t>Надходження товарів і послуг ІБ00-003693 від 28.08.2024 17:38:27
Оприходованы ТМЦ (Зачет аванса поставщику)</t>
  </si>
  <si>
    <t>Обл. НДС
Паля С100.35-8
Надходження товарів і послуг ІБ00-003693 від 28.08.2024 17:38:27
Глобине-1</t>
  </si>
  <si>
    <t>Надходження товарів і послуг ІБ00-003694 від 28.08.2024 17:38:28
Оприходованы ТМЦ (Зачет аванса поставщику)</t>
  </si>
  <si>
    <t>Обл. НДС
Паля С100.35-8
Надходження товарів і послуг ІБ00-003694 від 28.08.2024 17:38:28
Глобине-1</t>
  </si>
  <si>
    <t>29.08.2024</t>
  </si>
  <si>
    <t>Надходження товарів і послуг ІБ00-003692 від 29.08.2024 17:24:04
Оприходованы ТМЦ (Зачет аванса поставщику)</t>
  </si>
  <si>
    <t>Обл. НДС
Паля С100.35-8
Надходження товарів і послуг ІБ00-003692 від 29.08.2024 17:24:04
Глобине-1</t>
  </si>
  <si>
    <t>ОБ’ЄДНАННЯ ДНІПРОЕНЕРГОБУДПРОМ ТДВ
Дого № 513/06-24 від 03.06.2024_Глобине-1 (цілому
Списання з банківського рахунку 00000009034 від 29.08.2024 16:47:25</t>
  </si>
  <si>
    <t>Надходження товарів і послуг ІБ00-003747 від 29.08.2024 17:24:38
Оприходованы ТМЦ (Зачет аванса поставщику)</t>
  </si>
  <si>
    <t>Обл. НДС
Паля С100.35-8
Надходження товарів і послуг ІБ00-003747 від 29.08.2024 17:24:38
Глобине-1</t>
  </si>
  <si>
    <t>Надходження товарів і послуг ІБ00-003749 від 29.08.2024 17:24:39
Оприходованы ТМЦ (Зачет аванса поставщику)</t>
  </si>
  <si>
    <t>Обл. НДС
Паля С100.35-8
Надходження товарів і послуг ІБ00-003749 від 29.08.2024 17:24:39
Глобине-1</t>
  </si>
  <si>
    <t>Надходження товарів і послуг ІБ00-003750 від 29.08.2024 17:24:40
Оприходованы ТМЦ (Зачет аванса поставщику)</t>
  </si>
  <si>
    <t>Обл. НДС
Паля С100.35-8
Надходження товарів і послуг ІБ00-003750 від 29.08.2024 17:24:40
Глобине-1</t>
  </si>
  <si>
    <t>Надходження товарів і послуг ІБ00-003695 від 30.08.2024 18:46:17
Оприходованы ТМЦ (Зачет аванса поставщику)</t>
  </si>
  <si>
    <t>Обл. НДС
Паля С100.35-8
Надходження товарів і послуг ІБ00-003695 від 30.08.2024 18:46:17
Глобине-1</t>
  </si>
  <si>
    <t>Надходження товарів і послуг ІБ00-003696 від 30.08.2024 18:46:18
Оприходованы ТМЦ (Зачет аванса поставщику)</t>
  </si>
  <si>
    <t>Обл. НДС
Паля С100.35-8
Надходження товарів і послуг ІБ00-003696 від 30.08.2024 18:46:18
Глобине-1</t>
  </si>
  <si>
    <t>Надходження товарів і послуг ІБ00-003697 від 30.08.2024 18:46:19
Оприходованы ТМЦ (Зачет аванса поставщику)</t>
  </si>
  <si>
    <t>Обл. НДС
Паля С100.35-8
Надходження товарів і послуг ІБ00-003697 від 30.08.2024 18:46:19
Глобине-1</t>
  </si>
  <si>
    <t>Надходження товарів і послуг ІБ00-003698 від 30.08.2024 18:46:20
Оприходованы ТМЦ (Зачет аванса поставщику)</t>
  </si>
  <si>
    <t>Обл. НДС
Паля С100.35-8
Надходження товарів і послуг ІБ00-003698 від 30.08.2024 18:46:20
Глобине-1</t>
  </si>
  <si>
    <t>Надходження товарів і послуг ІБ00-003699 від 30.08.2024 18:46:21
Оприходованы ТМЦ (Зачет аванса поставщику)</t>
  </si>
  <si>
    <t>Обл. НДС
Паля С100.35-8
Надходження товарів і послуг ІБ00-003699 від 30.08.2024 18:46:21
Глобине-1</t>
  </si>
  <si>
    <t>Надходження товарів і послуг ІБ00-003700 від 30.08.2024 18:46:22
Оприходованы ТМЦ (Зачет аванса поставщику)</t>
  </si>
  <si>
    <t>Обл. НДС
Паля С100.35-8
Надходження товарів і послуг ІБ00-003700 від 30.08.2024 18:46:22
Глобине-1</t>
  </si>
  <si>
    <t>Надходження товарів і послуг ІБ00-003701 від 30.08.2024 18:46:23
Оприходованы ТМЦ (Зачет аванса поставщику)</t>
  </si>
  <si>
    <t>Обл. НДС
Паля С100.35-8
Надходження товарів і послуг ІБ00-003701 від 30.08.2024 18:46:23
Глобине-1</t>
  </si>
  <si>
    <t>Надходження товарів і послуг ІБ00-003702 від 30.08.2024 18:46:24
Оприходованы ТМЦ (Зачет аванса поставщику)</t>
  </si>
  <si>
    <t>Обл. НДС
Паля С100.35-8
Надходження товарів і послуг ІБ00-003702 від 30.08.2024 18:46:24
Глобине-1</t>
  </si>
  <si>
    <t>01.09.2024</t>
  </si>
  <si>
    <t>Надходження товарів і послуг ІБ00-004350 від 01.09.2024 14:00:35
Оприходованы ТМЦ (Зачет аванса поставщику)</t>
  </si>
  <si>
    <t>Обл. НДС
Брус 100х100х6000
Надходження товарів і послуг ІБ00-004350 від 01.09.2024 14:00:35
Глобине-1</t>
  </si>
  <si>
    <t>Мошинець Ю.П. ФОП
Рахунки_Глобине-1
Рахунок на оплату постачальника ІБ00-002664 від 15.08.2024 17:51:17</t>
  </si>
  <si>
    <t>02.09.2024</t>
  </si>
  <si>
    <t>Надходження товарів і послуг ІБ00-003751 від 02.09.2024 16:23:33
Оприходованы ТМЦ (Зачет аванса поставщику)</t>
  </si>
  <si>
    <t>Обл. НДС
Паля С100.35-8
Надходження товарів і послуг ІБ00-003751 від 02.09.2024 16:23:33
Глобине-1</t>
  </si>
  <si>
    <t>Надходження товарів і послуг ІБ00-003752 від 02.09.2024 16:23:51
Оприходованы ТМЦ (Зачет аванса поставщику)</t>
  </si>
  <si>
    <t>Обл. НДС
Паля С100.35-8
Надходження товарів і послуг ІБ00-003752 від 02.09.2024 16:23:51
Глобине-1</t>
  </si>
  <si>
    <t>Надходження товарів і послуг ІБ00-003753 від 02.09.2024 16:24:12
Оприходованы ТМЦ (Зачет аванса поставщику)</t>
  </si>
  <si>
    <t>Обл. НДС
Паля С100.35-8
Надходження товарів і послуг ІБ00-003753 від 02.09.2024 16:24:12
Глобине-1</t>
  </si>
  <si>
    <t>Надходження товарів і послуг ІБ00-003754 від 02.09.2024 16:24:27
Оприходованы ТМЦ (Зачет аванса поставщику)</t>
  </si>
  <si>
    <t>Обл. НДС
Паля С100.35-8
Надходження товарів і послуг ІБ00-003754 від 02.09.2024 16:24:27
Глобине-1</t>
  </si>
  <si>
    <t>Надходження товарів і послуг ІБ00-003755 від 02.09.2024 16:24:43
Оприходованы ТМЦ (Зачет аванса поставщику)</t>
  </si>
  <si>
    <t>Обл. НДС
Паля С100.35-8
Надходження товарів і послуг ІБ00-003755 від 02.09.2024 16:24:43
Глобине-1</t>
  </si>
  <si>
    <t>Надходження товарів і послуг ІБ00-003757 від 02.09.2024 16:25:03
Оприходованы ТМЦ (Зачет аванса поставщику)</t>
  </si>
  <si>
    <t>Обл. НДС
Паля С100.35-8
Надходження товарів і послуг ІБ00-003757 від 02.09.2024 16:25:03
Глобине-1</t>
  </si>
  <si>
    <t>Надходження товарів і послуг ІБ00-003918 від 02.09.2024 18:02:36
Оприходованы ТМЦ (Зачет аванса поставщику)</t>
  </si>
  <si>
    <t>Обл. НДС
Паля С100.35-8
Надходження товарів і послуг ІБ00-003918 від 02.09.2024 18:02:36
Глобине-1</t>
  </si>
  <si>
    <t>Надходження товарів і послуг ІБ00-003919 від 02.09.2024 18:02:37
Оприходованы ТМЦ (Зачет аванса поставщику)</t>
  </si>
  <si>
    <t>Обл. НДС
Паля С100.35-8
Надходження товарів і послуг ІБ00-003919 від 02.09.2024 18:02:37
Глобине-1</t>
  </si>
  <si>
    <t>03.09.2024</t>
  </si>
  <si>
    <t>Надходження товарів і послуг ІБ00-003895 від 03.09.2024 17:42:55
Оприходованы ТМЦ (Зачет аванса поставщику)</t>
  </si>
  <si>
    <t>Обл. НДС
Паля С100.35-8
Надходження товарів і послуг ІБ00-003895 від 03.09.2024 17:42:55
Глобине-1</t>
  </si>
  <si>
    <t>Надходження товарів і послуг ІБ00-003896 від 03.09.2024 17:42:56
Оприходованы ТМЦ (Зачет аванса поставщику)</t>
  </si>
  <si>
    <t>Обл. НДС
Паля С100.35-8
Надходження товарів і послуг ІБ00-003896 від 03.09.2024 17:42:56
Глобине-1</t>
  </si>
  <si>
    <t>Надходження товарів і послуг ІБ00-003897 від 03.09.2024 17:42:57
Оприходованы ТМЦ</t>
  </si>
  <si>
    <t>Обл. НДС
Паля С100.35-8
Надходження товарів і послуг ІБ00-003897 від 03.09.2024 17:42:57
Глобине-1</t>
  </si>
  <si>
    <t>ОБ’ЄДНАННЯ ДНІПРОЕНЕРГОБУДПРОМ ТДВ
Дого № 513/06-24 від 03.06.2024_Глобине-1 (цілому
Надходження товарів і послуг ІБ00-003897 від 03.09.2024 17:42:57</t>
  </si>
  <si>
    <t>Надходження товарів і послуг ІБ00-003897 від 03.09.2024 17:42:57
Оприходованы ТМЦ (Зачет аванса поставщику)</t>
  </si>
  <si>
    <t>Надходження товарів і послуг ІБ00-003898 від 03.09.2024 17:42:58
Оприходованы ТМЦ</t>
  </si>
  <si>
    <t>Обл. НДС
Паля С100.35-8
Надходження товарів і послуг ІБ00-003898 від 03.09.2024 17:42:58
Глобине-1</t>
  </si>
  <si>
    <t>ОБ’ЄДНАННЯ ДНІПРОЕНЕРГОБУДПРОМ ТДВ
Дого № 513/06-24 від 03.06.2024_Глобине-1 (цілому
Надходження товарів і послуг ІБ00-003898 від 03.09.2024 17:42:58</t>
  </si>
  <si>
    <t>Надходження товарів і послуг ІБ00-003899 від 03.09.2024 17:42:59
Оприходованы ТМЦ</t>
  </si>
  <si>
    <t>Обл. НДС
Паля С100.35-8
Надходження товарів і послуг ІБ00-003899 від 03.09.2024 17:42:59
Глобине-1</t>
  </si>
  <si>
    <t>ОБ’ЄДНАННЯ ДНІПРОЕНЕРГОБУДПРОМ ТДВ
Дого № 513/06-24 від 03.06.2024_Глобине-1 (цілому
Надходження товарів і послуг ІБ00-003899 від 03.09.2024 17:42:59</t>
  </si>
  <si>
    <t>Надходження товарів і послуг ІБ00-003900 від 03.09.2024 17:43:00
Оприходованы ТМЦ</t>
  </si>
  <si>
    <t>Обл. НДС
Паля С100.35-8
Надходження товарів і послуг ІБ00-003900 від 03.09.2024 17:43:00
Глобине-1</t>
  </si>
  <si>
    <t>ОБ’ЄДНАННЯ ДНІПРОЕНЕРГОБУДПРОМ ТДВ
Дого № 513/06-24 від 03.06.2024_Глобине-1 (цілому
Надходження товарів і послуг ІБ00-003900 від 03.09.2024 17:43:00</t>
  </si>
  <si>
    <t>Надходження товарів і послуг ІБ00-003901 від 03.09.2024 17:43:01
Оприходованы ТМЦ</t>
  </si>
  <si>
    <t>Обл. НДС
Паля С100.35-8
Надходження товарів і послуг ІБ00-003901 від 03.09.2024 17:43:01
Глобине-1</t>
  </si>
  <si>
    <t>ОБ’ЄДНАННЯ ДНІПРОЕНЕРГОБУДПРОМ ТДВ
Дого № 513/06-24 від 03.06.2024_Глобине-1 (цілому
Надходження товарів і послуг ІБ00-003901 від 03.09.2024 17:43:01</t>
  </si>
  <si>
    <t>Надходження товарів і послуг ІБ00-003902 від 03.09.2024 17:43:02
Оприходованы ТМЦ</t>
  </si>
  <si>
    <t>Обл. НДС
Паля С100.35-8
Надходження товарів і послуг ІБ00-003902 від 03.09.2024 17:43:02
Глобине-1</t>
  </si>
  <si>
    <t>ОБ’ЄДНАННЯ ДНІПРОЕНЕРГОБУДПРОМ ТДВ
Дого № 513/06-24 від 03.06.2024_Глобине-1 (цілому
Надходження товарів і послуг ІБ00-003902 від 03.09.2024 17:43:02</t>
  </si>
  <si>
    <t>Надходження товарів і послуг ІБ00-003903 від 03.09.2024 17:43:03
Оприходованы ТМЦ</t>
  </si>
  <si>
    <t>Обл. НДС
Паля С100.35-8
Надходження товарів і послуг ІБ00-003903 від 03.09.2024 17:43:03
Глобине-1</t>
  </si>
  <si>
    <t>ОБ’ЄДНАННЯ ДНІПРОЕНЕРГОБУДПРОМ ТДВ
Дого № 513/06-24 від 03.06.2024_Глобине-1 (цілому
Надходження товарів і послуг ІБ00-003903 від 03.09.2024 17:43:03</t>
  </si>
  <si>
    <t>Надходження товарів і послуг ІБ00-003915 від 03.09.2024 17:43:04
Оприходованы ТМЦ</t>
  </si>
  <si>
    <t>Обл. НДС
Паля С100.35-8
Надходження товарів і послуг ІБ00-003915 від 03.09.2024 17:43:04
Глобине-1</t>
  </si>
  <si>
    <t>ОБ’ЄДНАННЯ ДНІПРОЕНЕРГОБУДПРОМ ТДВ
Дого № 513/06-24 від 03.06.2024_Глобине-1 (цілому
Надходження товарів і послуг ІБ00-003915 від 03.09.2024 17:43:04</t>
  </si>
  <si>
    <t>Надходження товарів і послуг ІБ00-003916 від 03.09.2024 17:43:05
Оприходованы ТМЦ</t>
  </si>
  <si>
    <t>Обл. НДС
Паля С100.35-8
Надходження товарів і послуг ІБ00-003916 від 03.09.2024 17:43:05
Глобине-1</t>
  </si>
  <si>
    <t>ОБ’ЄДНАННЯ ДНІПРОЕНЕРГОБУДПРОМ ТДВ
Дого № 513/06-24 від 03.06.2024_Глобине-1 (цілому
Надходження товарів і послуг ІБ00-003916 від 03.09.2024 17:43:05</t>
  </si>
  <si>
    <t>Надходження товарів і послуг ІБ00-003917 від 03.09.2024 17:43:06
Оприходованы ТМЦ</t>
  </si>
  <si>
    <t>Обл. НДС
Паля С100.35-8
Надходження товарів і послуг ІБ00-003917 від 03.09.2024 17:43:06
Глобине-1</t>
  </si>
  <si>
    <t>ОБ’ЄДНАННЯ ДНІПРОЕНЕРГОБУДПРОМ ТДВ
Дого № 513/06-24 від 03.06.2024_Глобине-1 (цілому
Надходження товарів і послуг ІБ00-003917 від 03.09.2024 17:43:06</t>
  </si>
  <si>
    <t>04.09.2024</t>
  </si>
  <si>
    <t>Надходження товарів і послуг ІБ00-003890 від 04.09.2024 18:05:18
Оприходованы ТМЦ (Зачет аванса поставщику)</t>
  </si>
  <si>
    <t>Обл. НДС
Паля С100.35-8
Надходження товарів і послуг ІБ00-003890 від 04.09.2024 18:05:18
Глобине-1</t>
  </si>
  <si>
    <t>Надходження товарів і послуг ІБ00-003891 від 04.09.2024 18:05:19
Оприходованы ТМЦ (Зачет аванса поставщику)</t>
  </si>
  <si>
    <t>Обл. НДС
Паля С100.35-8
Надходження товарів і послуг ІБ00-003891 від 04.09.2024 18:05:19
Глобине-1</t>
  </si>
  <si>
    <t>Надходження товарів і послуг ІБ00-003892 від 04.09.2024 18:05:20
Оприходованы ТМЦ</t>
  </si>
  <si>
    <t>Обл. НДС
Паля С100.35-8
Надходження товарів і послуг ІБ00-003892 від 04.09.2024 18:05:20
Глобине-1</t>
  </si>
  <si>
    <t>ОБ’ЄДНАННЯ ДНІПРОЕНЕРГОБУДПРОМ ТДВ
Дого № 513/06-24 від 03.06.2024_Глобине-1 (цілому
Надходження товарів і послуг ІБ00-003892 від 04.09.2024 18:05:20</t>
  </si>
  <si>
    <t>Надходження товарів і послуг ІБ00-003892 від 04.09.2024 18:05:20
Оприходованы ТМЦ (Зачет аванса поставщику)</t>
  </si>
  <si>
    <t>Надходження товарів і послуг ІБ00-003893 від 04.09.2024 18:05:21
Оприходованы ТМЦ</t>
  </si>
  <si>
    <t>Обл. НДС
Паля С100.35-8
Надходження товарів і послуг ІБ00-003893 від 04.09.2024 18:05:21
Глобине-1</t>
  </si>
  <si>
    <t>ОБ’ЄДНАННЯ ДНІПРОЕНЕРГОБУДПРОМ ТДВ
Дого № 513/06-24 від 03.06.2024_Глобине-1 (цілому
Надходження товарів і послуг ІБ00-003893 від 04.09.2024 18:05:21</t>
  </si>
  <si>
    <t>Надходження товарів і послуг ІБ00-003894 від 04.09.2024 18:05:22
Оприходованы ТМЦ</t>
  </si>
  <si>
    <t>Обл. НДС
Паля С100.35-8
Надходження товарів і послуг ІБ00-003894 від 04.09.2024 18:05:22
Глобине-1</t>
  </si>
  <si>
    <t>ОБ’ЄДНАННЯ ДНІПРОЕНЕРГОБУДПРОМ ТДВ
Дого № 513/06-24 від 03.06.2024_Глобине-1 (цілому
Надходження товарів і послуг ІБ00-003894 від 04.09.2024 18:05:22</t>
  </si>
  <si>
    <t>Надходження товарів і послуг ІБ00-003914 від 04.09.2024 18:05:23
Оприходованы ТМЦ</t>
  </si>
  <si>
    <t>Обл. НДС
Паля С100.35-8
Надходження товарів і послуг ІБ00-003914 від 04.09.2024 18:05:23
Глобине-1</t>
  </si>
  <si>
    <t>ОБ’ЄДНАННЯ ДНІПРОЕНЕРГОБУДПРОМ ТДВ
Дого № 513/06-24 від 03.06.2024_Глобине-1 (цілому
Надходження товарів і послуг ІБ00-003914 від 04.09.2024 18:05:23</t>
  </si>
  <si>
    <t>05.09.2024</t>
  </si>
  <si>
    <t>Надходження товарів і послуг ІБ00-003906 від 05.09.2024 17:48:30
Оприходованы ТМЦ</t>
  </si>
  <si>
    <t>Обл. НДС
Паля С100.35-8
Надходження товарів і послуг ІБ00-003906 від 05.09.2024 17:48:30
Глобине-1</t>
  </si>
  <si>
    <t>ОБ’ЄДНАННЯ ДНІПРОЕНЕРГОБУДПРОМ ТДВ
Дого № 513/06-24 від 03.06.2024_Глобине-1 (цілому
Надходження товарів і послуг ІБ00-003906 від 05.09.2024 17:48:30</t>
  </si>
  <si>
    <t>Надходження товарів і послуг ІБ00-003907 від 05.09.2024 17:48:31
Оприходованы ТМЦ</t>
  </si>
  <si>
    <t>Обл. НДС
Паля С100.35-8
Надходження товарів і послуг ІБ00-003907 від 05.09.2024 17:48:31
Глобине-1</t>
  </si>
  <si>
    <t>ОБ’ЄДНАННЯ ДНІПРОЕНЕРГОБУДПРОМ ТДВ
Дого № 513/06-24 від 03.06.2024_Глобине-1 (цілому
Надходження товарів і послуг ІБ00-003907 від 05.09.2024 17:48:31</t>
  </si>
  <si>
    <t>Надходження товарів і послуг ІБ00-003908 від 05.09.2024 17:48:32
Оприходованы ТМЦ</t>
  </si>
  <si>
    <t>Обл. НДС
Паля С100.35-8
Надходження товарів і послуг ІБ00-003908 від 05.09.2024 17:48:32
Глобине-1</t>
  </si>
  <si>
    <t>ОБ’ЄДНАННЯ ДНІПРОЕНЕРГОБУДПРОМ ТДВ
Дого № 513/06-24 від 03.06.2024_Глобине-1 (цілому
Надходження товарів і послуг ІБ00-003908 від 05.09.2024 17:48:32</t>
  </si>
  <si>
    <t>Надходження товарів і послуг ІБ00-003909 від 05.09.2024 17:48:33
Оприходованы ТМЦ</t>
  </si>
  <si>
    <t>Обл. НДС
Паля С100.35-8
Надходження товарів і послуг ІБ00-003909 від 05.09.2024 17:48:33
Глобине-1</t>
  </si>
  <si>
    <t>ОБ’ЄДНАННЯ ДНІПРОЕНЕРГОБУДПРОМ ТДВ
Дого № 513/06-24 від 03.06.2024_Глобине-1 (цілому
Надходження товарів і послуг ІБ00-003909 від 05.09.2024 17:48:33</t>
  </si>
  <si>
    <t>Надходження товарів і послуг ІБ00-003910 від 05.09.2024 17:48:34
Оприходованы ТМЦ</t>
  </si>
  <si>
    <t>Обл. НДС
Паля С100.35-8
Надходження товарів і послуг ІБ00-003910 від 05.09.2024 17:48:34
Глобине-1</t>
  </si>
  <si>
    <t>ОБ’ЄДНАННЯ ДНІПРОЕНЕРГОБУДПРОМ ТДВ
Дого № 513/06-24 від 03.06.2024_Глобине-1 (цілому
Надходження товарів і послуг ІБ00-003910 від 05.09.2024 17:48:34</t>
  </si>
  <si>
    <t>Надходження товарів і послуг ІБ00-003911 від 05.09.2024 17:48:35
Оприходованы ТМЦ</t>
  </si>
  <si>
    <t>Обл. НДС
Паля С100.35-8
Надходження товарів і послуг ІБ00-003911 від 05.09.2024 17:48:35
Глобине-1</t>
  </si>
  <si>
    <t>ОБ’ЄДНАННЯ ДНІПРОЕНЕРГОБУДПРОМ ТДВ
Дого № 513/06-24 від 03.06.2024_Глобине-1 (цілому
Надходження товарів і послуг ІБ00-003911 від 05.09.2024 17:48:35</t>
  </si>
  <si>
    <t>Надходження товарів і послуг ІБ00-003912 від 05.09.2024 17:48:36
Оприходованы ТМЦ</t>
  </si>
  <si>
    <t>Обл. НДС
Паля С100.35-8
Надходження товарів і послуг ІБ00-003912 від 05.09.2024 17:48:36
Глобине-1</t>
  </si>
  <si>
    <t>ОБ’ЄДНАННЯ ДНІПРОЕНЕРГОБУДПРОМ ТДВ
Дого № 513/06-24 від 03.06.2024_Глобине-1 (цілому
Надходження товарів і послуг ІБ00-003912 від 05.09.2024 17:48:36</t>
  </si>
  <si>
    <t>Надходження товарів і послуг ІБ00-003913 від 05.09.2024 17:48:37
Оприходованы ТМЦ</t>
  </si>
  <si>
    <t>Обл. НДС
Паля С100.35-8
Надходження товарів і послуг ІБ00-003913 від 05.09.2024 17:48:37
Глобине-1</t>
  </si>
  <si>
    <t>ОБ’ЄДНАННЯ ДНІПРОЕНЕРГОБУДПРОМ ТДВ
Дого № 513/06-24 від 03.06.2024_Глобине-1 (цілому
Надходження товарів і послуг ІБ00-003913 від 05.09.2024 17:48:37</t>
  </si>
  <si>
    <t>06.09.2024</t>
  </si>
  <si>
    <t>Надходження товарів і послуг ІБ00-003904 від 06.09.2024 17:44:53
Оприходованы ТМЦ</t>
  </si>
  <si>
    <t>Обл. НДС
Паля С100.35-8
Надходження товарів і послуг ІБ00-003904 від 06.09.2024 17:44:53
Глобине-1</t>
  </si>
  <si>
    <t>ОБ’ЄДНАННЯ ДНІПРОЕНЕРГОБУДПРОМ ТДВ
Дого № 513/06-24 від 03.06.2024_Глобине-1 (цілому
Надходження товарів і послуг ІБ00-003904 від 06.09.2024 17:44:53</t>
  </si>
  <si>
    <t>Надходження товарів і послуг ІБ00-003905 від 06.09.2024 17:44:54
Оприходованы ТМЦ</t>
  </si>
  <si>
    <t>Обл. НДС
Паля С100.35-8
Надходження товарів і послуг ІБ00-003905 від 06.09.2024 17:44:54
Глобине-1</t>
  </si>
  <si>
    <t>ОБ’ЄДНАННЯ ДНІПРОЕНЕРГОБУДПРОМ ТДВ
Дого № 513/06-24 від 03.06.2024_Глобине-1 (цілому
Надходження товарів і послуг ІБ00-003905 від 06.09.2024 17:44:54</t>
  </si>
  <si>
    <t>Надходження товарів і послуг ІБ00-004119 від 06.09.2024 17:45:49
Оприходованы ТМЦ</t>
  </si>
  <si>
    <t>Обл. НДС
Щебінь 40-70
Надходження товарів і послуг ІБ00-004119 від 06.09.2024 17:45:49
Глобине-1</t>
  </si>
  <si>
    <t>Венкрас Авто ПП
Договір 05/09/2024 від 05.09.2024_Глобине-1
Рахунок на оплату постачальника ІБ00-003274 від 06.09.2024 17:45:46</t>
  </si>
  <si>
    <t>Надходження дод. витрат ІБ00-000300 від 06.09.2024 17:45:50
Доп. расходы при поступлении товаров</t>
  </si>
  <si>
    <t>Надходження товарів і послуг ІБ00-004722 від 06.09.2024 17:46:28
Оприходованы ТМЦ</t>
  </si>
  <si>
    <t>Обл. НДС
Щебінь 40-70
Надходження товарів і послуг ІБ00-004722 від 06.09.2024 17:46:28
Глобине-1</t>
  </si>
  <si>
    <t>Інгулецька Транспортно-Зернова компанія ТОВ
Договір 06/09/20204 від 06.09.2024_Глобине-1
Рахунок на оплату постачальника ІБ00-003277 від 06.09.2024 17:45:47</t>
  </si>
  <si>
    <t>07.09.2024</t>
  </si>
  <si>
    <t>Надходження товарів і послуг ІБ00-004120 від 07.09.2024 14:00:04
Оприходованы ТМЦ</t>
  </si>
  <si>
    <t>Обл. НДС
Щебінь 40-70
Надходження товарів і послуг ІБ00-004120 від 07.09.2024 14:00:04
Глобине-1</t>
  </si>
  <si>
    <t>Венкрас Авто ПП
Договір 05/09/2024 від 05.09.2024_Глобине-1
Рахунок на оплату постачальника ІБ00-003275 від 07.09.2024 14:00:02</t>
  </si>
  <si>
    <t>Надходження товарів і послуг ІБ00-004121 від 07.09.2024 14:00:05
Оприходованы ТМЦ</t>
  </si>
  <si>
    <t>Обл. НДС
Щебінь 40-70
Надходження товарів і послуг ІБ00-004121 від 07.09.2024 14:00:05
Глобине-1</t>
  </si>
  <si>
    <t>Венкрас Авто ПП
Договір 05/09/2024 від 05.09.2024_Глобине-1
Рахунок на оплату постачальника ІБ00-003273 від 07.09.2024 14:00:01</t>
  </si>
  <si>
    <t>Надходження дод. витрат ІБ00-000301 від 07.09.2024 14:00:06
Доп. расходы при поступлении товаров</t>
  </si>
  <si>
    <t>Надходження товарів і послуг ІБ00-004723 від 07.09.2024 15:00:01
Оприходованы ТМЦ</t>
  </si>
  <si>
    <t>Обл. НДС
Щебінь 40-70
Надходження товарів і послуг ІБ00-004723 від 07.09.2024 15:00:01
Глобине-1</t>
  </si>
  <si>
    <t>Інгулецька Транспортно-Зернова компанія ТОВ
Договір 06/09/20204 від 06.09.2024_Глобине-1
Рахунок на оплату постачальника ІБ00-003276 від 07.09.2024 14:00:03</t>
  </si>
  <si>
    <t>10.09.2024</t>
  </si>
  <si>
    <t>Надходження товарів і послуг ІБ00-004233 від 10.09.2024 18:45:16
Оприходованы ТМЦ</t>
  </si>
  <si>
    <t>Обл. НДС
Щебінь 40-70
Надходження товарів і послуг ІБ00-004233 від 10.09.2024 18:45:16
Глобине-1</t>
  </si>
  <si>
    <t>Венкрас Авто ПП
Договір 05/09/2024 від 05.09.2024_Глобине-1
Рахунок на оплату постачальника ІБ00-003424 від 10.09.2024 18:45:15</t>
  </si>
  <si>
    <t>Надходження товарів і послуг ІБ00-004724 від 10.09.2024 21:00:19
Оприходованы ТМЦ</t>
  </si>
  <si>
    <t>Обл. НДС
Щебінь 40-70
Надходження товарів і послуг ІБ00-004724 від 10.09.2024 21:00:19
Глобине-1</t>
  </si>
  <si>
    <t>Інгулецька Транспортно-Зернова компанія ТОВ
Договір 06/09/20204 від 06.09.2024_Глобине-1
Рахунок на оплату постачальника ІБ00-003888 від 10.09.2024 21:00:18</t>
  </si>
  <si>
    <t>11.09.2024</t>
  </si>
  <si>
    <t>Надходження товарів і послуг ІБ00-004726 від 11.09.2024 23:00:43
Оприходованы ТМЦ</t>
  </si>
  <si>
    <t>Обл. НДС
Щебінь 40-70
Надходження товарів і послуг ІБ00-004726 від 11.09.2024 23:00:43
Глобине-1</t>
  </si>
  <si>
    <t>Інгулецька Транспортно-Зернова компанія ТОВ
Договір 06/09/20204 від 06.09.2024_Глобине-1
Рахунок на оплату постачальника ІБ00-003890 від 11.09.2024 23:00:42</t>
  </si>
  <si>
    <t>12.09.2024</t>
  </si>
  <si>
    <t>Надходження товарів і послуг ІБ00-004725 від 12.09.2024 18:41:54
Оприходованы ТМЦ</t>
  </si>
  <si>
    <t>Обл. НДС
Щебінь 40-70
Надходження товарів і послуг ІБ00-004725 від 12.09.2024 18:41:54
Глобине-1</t>
  </si>
  <si>
    <t>Інгулецька Транспортно-Зернова компанія ТОВ
Договір 06/09/20204 від 06.09.2024_Глобине-1
Рахунок на оплату постачальника ІБ00-003889 від 12.09.2024 18:41:53</t>
  </si>
  <si>
    <t>13.09.2024</t>
  </si>
  <si>
    <t>Надходження товарів і послуг ІБ00-004731 від 13.09.2024 18:23:44
Оприходованы ТМЦ</t>
  </si>
  <si>
    <t>Обл. НДС
Щебінь 40-70
Надходження товарів і послуг ІБ00-004731 від 13.09.2024 18:23:44
Глобине-1</t>
  </si>
  <si>
    <t>Інгулецька Транспортно-Зернова компанія ТОВ
Договір 06/09/20204 від 06.09.2024_Глобине-1
Рахунок на оплату постачальника ІБ00-003893 від 13.09.2024 18:23:43</t>
  </si>
  <si>
    <t>Надходження товарів і послуг ІБ00-004745 від 13.09.2024 18:23:45
Оприходованы ТМЦ (Зачет аванса поставщику)</t>
  </si>
  <si>
    <t>Обл. НДС
Щебінь 40-70
Надходження товарів і послуг ІБ00-004745 від 13.09.2024 18:23:45
Глобине-1</t>
  </si>
  <si>
    <t>Венкрас Авто ПП
Договір 05/09/2024 від 05.09.2024_Глобине-1
Рахунок на оплату постачальника ІБ00-003294 від 13.09.2024 18:22:08</t>
  </si>
  <si>
    <t>14.09.2024</t>
  </si>
  <si>
    <t>Надходження товарів і послуг ІБ00-004727 від 14.09.2024 14:00:06
Оприходованы ТМЦ</t>
  </si>
  <si>
    <t>Обл. НДС
Щебінь 20-40
Надходження товарів і послуг ІБ00-004727 від 14.09.2024 14:00:06
Глобине-1</t>
  </si>
  <si>
    <t>Інгулецька Транспортно-Зернова компанія ТОВ
Договір 06/09/20204 від 06.09.2024_Глобине-1
Рахунок на оплату постачальника ІБ00-003891 від 14.09.2024 14:00:05</t>
  </si>
  <si>
    <t>16.09.2024</t>
  </si>
  <si>
    <t>Надходження товарів і послуг ІБ00-004753 від 16.09.2024 22:21:24
Оприходованы ТМЦ</t>
  </si>
  <si>
    <t>Обл. НДС
Щебінь 20-40
Надходження товарів і послуг ІБ00-004753 від 16.09.2024 22:21:24
Глобине-1</t>
  </si>
  <si>
    <t>Венкрас Авто ПП
Договір 05/09/2024 від 05.09.2024_Глобине-1
Рахунок на оплату постачальника ІБ00-003920 від 16.09.2024 22:21:23</t>
  </si>
  <si>
    <t>Надходження дод. витрат ІБ00-000396 від 16.09.2024 22:21:25
Доп. расходы при поступлении товаров</t>
  </si>
  <si>
    <t>Надходження товарів і послуг ІБ00-004754 від 16.09.2024 22:21:27
Оприходованы ТМЦ</t>
  </si>
  <si>
    <t>Обл. НДС
Щебінь 40-70
Надходження товарів і послуг ІБ00-004754 від 16.09.2024 22:21:27
Глобине-1</t>
  </si>
  <si>
    <t>Венкрас Авто ПП
Договір 05/09/2024 від 05.09.2024_Глобине-1
Рахунок на оплату постачальника ІБ00-003921 від 16.09.2024 22:21:26</t>
  </si>
  <si>
    <t>Надходження товарів і послуг ІБ00-004755 від 16.09.2024 22:21:29
Оприходованы ТМЦ</t>
  </si>
  <si>
    <t>Обл. НДС
Щебінь 20-40
Надходження товарів і послуг ІБ00-004755 від 16.09.2024 22:21:29
Глобине-1</t>
  </si>
  <si>
    <t>Венкрас Авто ПП
Договір 05/09/2024 від 05.09.2024_Глобине-1
Рахунок на оплату постачальника ІБ00-003922 від 16.09.2024 22:21:28</t>
  </si>
  <si>
    <t>Надходження дод. витрат ІБ00-000397 від 16.09.2024 22:21:30
Доп. расходы при поступлении товаров</t>
  </si>
  <si>
    <t>17.09.2024</t>
  </si>
  <si>
    <t>Надходження товарів і послуг ІБ00-004207 від 17.09.2024 18:15:08
Оприходованы ТМЦ</t>
  </si>
  <si>
    <t>Обл. НДС
Паля С100.35-8
Надходження товарів і послуг ІБ00-004207 від 17.09.2024 18:15:08
Глобине-1</t>
  </si>
  <si>
    <t>ОБ’ЄДНАННЯ ДНІПРОЕНЕРГОБУДПРОМ ТДВ
Дого № 513/06-24 від 03.06.2024_Глобине-1 (цілому
Надходження товарів і послуг ІБ00-004207 від 17.09.2024 18:15:08</t>
  </si>
  <si>
    <t>Надходження товарів і послуг ІБ00-004208 від 17.09.2024 18:15:09
Оприходованы ТМЦ</t>
  </si>
  <si>
    <t>Обл. НДС
Паля С100.35-8
Надходження товарів і послуг ІБ00-004208 від 17.09.2024 18:15:09
Глобине-1</t>
  </si>
  <si>
    <t>ОБ’ЄДНАННЯ ДНІПРОЕНЕРГОБУДПРОМ ТДВ
Дого № 513/06-24 від 03.06.2024_Глобине-1 (цілому
Надходження товарів і послуг ІБ00-004208 від 17.09.2024 18:15:09</t>
  </si>
  <si>
    <t>Надходження товарів і послуг ІБ00-004752 від 17.09.2024 20:00:02
Оприходованы ТМЦ</t>
  </si>
  <si>
    <t>Обл. НДС
Щебінь 40-70
Надходження товарів і послуг ІБ00-004752 від 17.09.2024 20:00:02
Глобине-1</t>
  </si>
  <si>
    <t>Венкрас Авто ПП
Договір 05/09/2024 від 05.09.2024_Глобине-1
Рахунок на оплату постачальника ІБ00-003919 від 17.09.2024 20:00:01</t>
  </si>
  <si>
    <t>18.09.2024</t>
  </si>
  <si>
    <t>Надходження товарів і послуг ІБ00-004481 від 18.09.2024 17:54:46
Оприходованы ТМЦ (Зачет аванса поставщику)</t>
  </si>
  <si>
    <t>Обл. НДС
Саморізи
Надходження товарів і послуг ІБ00-004481 від 18.09.2024 17:54:46
Глобине-1</t>
  </si>
  <si>
    <t>Дудкін О.В. ФОП
РАХУНКИ_Глобине-1
Рахунок на оплату постачальника ІБ00-001586 від 14.06.2024 19:03:15</t>
  </si>
  <si>
    <t>Обл. НДС
Фарба балончик червона
Надходження товарів і послуг ІБ00-004481 від 18.09.2024 17:54:46
Глобине-1</t>
  </si>
  <si>
    <t>Обл. НДС
Саморіз 35 
Надходження товарів і послуг ІБ00-004481 від 18.09.2024 17:54:46
Глобине-1</t>
  </si>
  <si>
    <t>Обл. НДС
Кабель-канал 
Надходження товарів і послуг ІБ00-004481 від 18.09.2024 17:54:46
Глобине-1</t>
  </si>
  <si>
    <t>Обл. НДС
Цвяхи 200гр
Надходження товарів і послуг ІБ00-004481 від 18.09.2024 17:54:46
Глобине-1</t>
  </si>
  <si>
    <t>Обл. НДС
Саморіз покрівельний 
Надходження товарів і послуг ІБ00-004481 від 18.09.2024 17:54:46
Глобине-1</t>
  </si>
  <si>
    <t>Обл. НДС
Цемент М500 
Надходження товарів і послуг ІБ00-004481 від 18.09.2024 17:54:46
Глобине-1</t>
  </si>
  <si>
    <t>19.09.2024</t>
  </si>
  <si>
    <t>Надходження товарів і послуг ІБ00-004750 від 19.09.2024 19:00:06
Оприходованы ТМЦ</t>
  </si>
  <si>
    <t>Обл. НДС
Щебінь 20-40
Надходження товарів і послуг ІБ00-004750 від 19.09.2024 19:00:06
Глобине-1</t>
  </si>
  <si>
    <t>Венкрас Авто ПП
Договір 05/09/2024 від 05.09.2024_Глобине-1
Рахунок на оплату постачальника ІБ00-003917 від 19.09.2024 19:00:05</t>
  </si>
  <si>
    <t>Надходження дод. витрат ІБ00-000395 від 19.09.2024 19:00:07
Доп. расходы при поступлении товаров</t>
  </si>
  <si>
    <t>Надходження товарів і послуг ІБ00-004751 від 19.09.2024 19:00:09
Оприходованы ТМЦ</t>
  </si>
  <si>
    <t>Обл. НДС
Щебінь 40-70
Надходження товарів і послуг ІБ00-004751 від 19.09.2024 19:00:09
Глобине-1</t>
  </si>
  <si>
    <t>Венкрас Авто ПП
Договір 05/09/2024 від 05.09.2024_Глобине-1
Рахунок на оплату постачальника ІБ00-003918 від 19.09.2024 19:00:08</t>
  </si>
  <si>
    <t>Переміщення товарів ІБ00-000062 від 20.09.2024 11:21:18
Перемещение ТМЦ</t>
  </si>
  <si>
    <t>Обл. НДС
Паля С90.35-8
Надходження товарів і послуг ІБ00-003431 від 21.08.2024 17:57:18
Глобине-1 для списання</t>
  </si>
  <si>
    <t>Обл. НДС
Паля С90.35-8
Надходження товарів і послуг ІБ00-003432 від 21.08.2024 17:57:19
Глобине-1 для списання</t>
  </si>
  <si>
    <t>Обл. НДС
Паля С90.35-8
Надходження товарів і послуг ІБ00-003433 від 21.08.2024 17:57:20
Глобине-1 для списання</t>
  </si>
  <si>
    <t>Обл. НДС
Паля С90.35-8
Надходження товарів і послуг ІБ00-003434 від 21.08.2024 17:57:21
Глобине-1 для списання</t>
  </si>
  <si>
    <t>Обл. НДС
Паля С90.35-8
Надходження товарів і послуг ІБ00-003676 від 22.08.2024 19:01:04
Глобине-1 для списання</t>
  </si>
  <si>
    <t>Обл. НДС
Паля С90.35-8
Надходження товарів і послуг ІБ00-003531 від 23.08.2024 18:30:56
Глобине-1 для списання</t>
  </si>
  <si>
    <t>Обл. НДС
Паля С110.35-8
Надходження товарів і послуг ІБ00-003673 від 22.08.2024 19:01:02
Глобине-1 для списання</t>
  </si>
  <si>
    <t>Обл. НДС
Паля С110.35-8
Надходження товарів і послуг ІБ00-003674 від 22.08.2024 19:01:03
Глобине-1 для списання</t>
  </si>
  <si>
    <t>Обл. НДС
Паля С100.35-8
Надходження товарів і послуг ІБ00-003525 від 23.08.2024 18:30:50
Глобине-1 для списання</t>
  </si>
  <si>
    <t>Обл. НДС
Паля С100.35-8
Надходження товарів і послуг ІБ00-003526 від 23.08.2024 18:30:51
Глобине-1 для списання</t>
  </si>
  <si>
    <t>Обл. НДС
Паля С100.35-8
Надходження товарів і послуг ІБ00-003527 від 23.08.2024 18:30:52
Глобине-1 для списання</t>
  </si>
  <si>
    <t>Обл. НДС
Паля С100.35-8
Надходження товарів і послуг ІБ00-003528 від 23.08.2024 18:30:53
Глобине-1 для списання</t>
  </si>
  <si>
    <t>Обл. НДС
Паля С100.35-8
Надходження товарів і послуг ІБ00-003529 від 23.08.2024 18:30:54
Глобине-1 для списання</t>
  </si>
  <si>
    <t>Обл. НДС
Паля С100.35-8
Надходження товарів і послуг ІБ00-003530 від 23.08.2024 18:30:55
Глобине-1 для списання</t>
  </si>
  <si>
    <t>Обл. НДС
Паля С100.35-8
Надходження товарів і послуг ІБ00-003531 від 23.08.2024 18:30:56
Глобине-1 для списання</t>
  </si>
  <si>
    <t>Обл. НДС
Паля С100.35-8
Надходження товарів і послуг ІБ00-003599 від 26.08.2024 17:19:20
Глобине-1 для списання</t>
  </si>
  <si>
    <t>Обл. НДС
Паля С100.35-8
Надходження товарів і послуг ІБ00-003600 від 26.08.2024 17:19:21
Глобине-1 для списання</t>
  </si>
  <si>
    <t>Обл. НДС
Паля С100.35-8
Надходження товарів і послуг ІБ00-003601 від 26.08.2024 17:19:22
Глобине-1 для списання</t>
  </si>
  <si>
    <t>Обл. НДС
Паля С100.35-8
Надходження товарів і послуг ІБ00-003602 від 27.08.2024 18:10:58
Глобине-1 для списання</t>
  </si>
  <si>
    <t>Обл. НДС
Паля С100.35-8
Надходження товарів і послуг ІБ00-003603 від 27.08.2024 18:10:59
Глобине-1 для списання</t>
  </si>
  <si>
    <t>Обл. НДС
Паля С100.35-8
Надходження товарів і послуг ІБ00-003604 від 27.08.2024 18:11:00
Глобине-1 для списання</t>
  </si>
  <si>
    <t>Обл. НДС
Паля С100.35-8
Надходження товарів і послуг ІБ00-003693 від 28.08.2024 17:38:27
Глобине-1 для списання</t>
  </si>
  <si>
    <t>Обл. НДС
Паля С100.35-8
Надходження товарів і послуг ІБ00-003694 від 28.08.2024 17:38:28
Глобине-1 для списання</t>
  </si>
  <si>
    <t>Обл. НДС
Паля С100.35-8
Надходження товарів і послуг ІБ00-003692 від 29.08.2024 17:24:04
Глобине-1 для списання</t>
  </si>
  <si>
    <t>Обл. НДС
Паля С100.35-8
Надходження товарів і послуг ІБ00-003747 від 29.08.2024 17:24:38
Глобине-1 для списання</t>
  </si>
  <si>
    <t>Обл. НДС
Паля С100.35-8
Надходження товарів і послуг ІБ00-003749 від 29.08.2024 17:24:39
Глобине-1 для списання</t>
  </si>
  <si>
    <t>Обл. НДС
Паля С100.35-8
Надходження товарів і послуг ІБ00-003750 від 29.08.2024 17:24:40
Глобине-1 для списання</t>
  </si>
  <si>
    <t>Переміщення товарів ІБ00-000063 від 20.09.2024 11:37:40
Перемещение ТМЦ</t>
  </si>
  <si>
    <t>Обл. НДС
Паля С100.35-8
Надходження товарів і послуг ІБ00-003695 від 30.08.2024 18:46:17
Глобине-1 для списання</t>
  </si>
  <si>
    <t>Обл. НДС
Паля С100.35-8
Надходження товарів і послуг ІБ00-003696 від 30.08.2024 18:46:18
Глобине-1 для списання</t>
  </si>
  <si>
    <t>Обл. НДС
Паля С100.35-8
Надходження товарів і послуг ІБ00-003697 від 30.08.2024 18:46:19
Глобине-1 для списання</t>
  </si>
  <si>
    <t>Обл. НДС
Паля С100.35-8
Надходження товарів і послуг ІБ00-003698 від 30.08.2024 18:46:20
Глобине-1 для списання</t>
  </si>
  <si>
    <t>Обл. НДС
Паля С100.35-8
Надходження товарів і послуг ІБ00-003699 від 30.08.2024 18:46:21
Глобине-1 для списання</t>
  </si>
  <si>
    <t>Обл. НДС
Паля С100.35-8
Надходження товарів і послуг ІБ00-003700 від 30.08.2024 18:46:22
Глобине-1 для списання</t>
  </si>
  <si>
    <t>Обл. НДС
Паля С100.35-8
Надходження товарів і послуг ІБ00-003701 від 30.08.2024 18:46:23
Глобине-1 для списання</t>
  </si>
  <si>
    <t>Обл. НДС
Паля С100.35-8
Надходження товарів і послуг ІБ00-003702 від 30.08.2024 18:46:24
Глобине-1 для списання</t>
  </si>
  <si>
    <t>Обл. НДС
Паля С100.35-8
Надходження товарів і послуг ІБ00-003751 від 02.09.2024 16:23:33
Глобине-1 для списання</t>
  </si>
  <si>
    <t>Обл. НДС
Паля С100.35-8
Надходження товарів і послуг ІБ00-003752 від 02.09.2024 16:23:51
Глобине-1 для списання</t>
  </si>
  <si>
    <t>Обл. НДС
Паля С100.35-8
Надходження товарів і послуг ІБ00-003753 від 02.09.2024 16:24:12
Глобине-1 для списання</t>
  </si>
  <si>
    <t>Обл. НДС
Паля С100.35-8
Надходження товарів і послуг ІБ00-003754 від 02.09.2024 16:24:27
Глобине-1 для списання</t>
  </si>
  <si>
    <t>Обл. НДС
Паля С100.35-8
Надходження товарів і послуг ІБ00-003755 від 02.09.2024 16:24:43
Глобине-1 для списання</t>
  </si>
  <si>
    <t>Обл. НДС
Паля С100.35-8
Надходження товарів і послуг ІБ00-003757 від 02.09.2024 16:25:03
Глобине-1 для списання</t>
  </si>
  <si>
    <t>Обл. НДС
Паля С100.35-8
Надходження товарів і послуг ІБ00-003918 від 02.09.2024 18:02:36
Глобине-1 для списання</t>
  </si>
  <si>
    <t>Обл. НДС
Паля С100.35-8
Надходження товарів і послуг ІБ00-003919 від 02.09.2024 18:02:37
Глобине-1 для списання</t>
  </si>
  <si>
    <t>Обл. НДС
Паля С100.35-8
Надходження товарів і послуг ІБ00-003895 від 03.09.2024 17:42:55
Глобине-1 для списання</t>
  </si>
  <si>
    <t>Обл. НДС
Паля С100.35-8
Надходження товарів і послуг ІБ00-003896 від 03.09.2024 17:42:56
Глобине-1 для списання</t>
  </si>
  <si>
    <t>Обл. НДС
Паля С100.35-8
Надходження товарів і послуг ІБ00-003897 від 03.09.2024 17:42:57
Глобине-1 для списання</t>
  </si>
  <si>
    <t>Обл. НДС
Паля С100.35-8
Надходження товарів і послуг ІБ00-003898 від 03.09.2024 17:42:58
Глобине-1 для списання</t>
  </si>
  <si>
    <t>Обл. НДС
Паля С100.35-8
Надходження товарів і послуг ІБ00-003899 від 03.09.2024 17:42:59
Глобине-1 для списання</t>
  </si>
  <si>
    <t>Обл. НДС
Паля С100.35-8
Надходження товарів і послуг ІБ00-003900 від 03.09.2024 17:43:00
Глобине-1 для списання</t>
  </si>
  <si>
    <t>Обл. НДС
Паля С100.35-8
Надходження товарів і послуг ІБ00-003901 від 03.09.2024 17:43:01
Глобине-1 для списання</t>
  </si>
  <si>
    <t>Обл. НДС
Паля С100.35-8
Надходження товарів і послуг ІБ00-003902 від 03.09.2024 17:43:02
Глобине-1 для списання</t>
  </si>
  <si>
    <t>Обл. НДС
Паля С100.35-8
Надходження товарів і послуг ІБ00-003903 від 03.09.2024 17:43:03
Глобине-1 для списання</t>
  </si>
  <si>
    <t>Обл. НДС
Паля С100.35-8
Надходження товарів і послуг ІБ00-003915 від 03.09.2024 17:43:04
Глобине-1 для списання</t>
  </si>
  <si>
    <t>Обл. НДС
Паля С100.35-8
Надходження товарів і послуг ІБ00-003916 від 03.09.2024 17:43:05
Глобине-1 для списання</t>
  </si>
  <si>
    <t>Обл. НДС
Паля С100.35-8
Надходження товарів і послуг ІБ00-003917 від 03.09.2024 17:43:06
Глобине-1 для списання</t>
  </si>
  <si>
    <t>Обл. НДС
Паля С100.35-8
Надходження товарів і послуг ІБ00-003890 від 04.09.2024 18:05:18
Глобине-1 для списання</t>
  </si>
  <si>
    <t>Обл. НДС
Паля С100.35-8
Надходження товарів і послуг ІБ00-003891 від 04.09.2024 18:05:19
Глобине-1 для списання</t>
  </si>
  <si>
    <t>Обл. НДС
Паля С100.35-8
Надходження товарів і послуг ІБ00-003892 від 04.09.2024 18:05:20
Глобине-1 для списання</t>
  </si>
  <si>
    <t>Обл. НДС
Паля С100.35-8
Надходження товарів і послуг ІБ00-003893 від 04.09.2024 18:05:21
Глобине-1 для списання</t>
  </si>
  <si>
    <t>Обл. НДС
Паля С100.35-8
Надходження товарів і послуг ІБ00-003894 від 04.09.2024 18:05:22
Глобине-1 для списання</t>
  </si>
  <si>
    <t>Обл. НДС
Паля С100.35-8
Надходження товарів і послуг ІБ00-003914 від 04.09.2024 18:05:23
Глобине-1 для списання</t>
  </si>
  <si>
    <t>Обл. НДС
Паля С100.35-8
Надходження товарів і послуг ІБ00-003906 від 05.09.2024 17:48:30
Глобине-1 для списання</t>
  </si>
  <si>
    <t>Обл. НДС
Паля С100.35-8
Надходження товарів і послуг ІБ00-003907 від 05.09.2024 17:48:31
Глобине-1 для списання</t>
  </si>
  <si>
    <t>Обл. НДС
Паля С100.35-8
Надходження товарів і послуг ІБ00-003908 від 05.09.2024 17:48:32
Глобине-1 для списання</t>
  </si>
  <si>
    <t>Обл. НДС
Паля С100.35-8
Надходження товарів і послуг ІБ00-003909 від 05.09.2024 17:48:33
Глобине-1 для списання</t>
  </si>
  <si>
    <t>Обл. НДС
Паля С100.35-8
Надходження товарів і послуг ІБ00-003910 від 05.09.2024 17:48:34
Глобине-1 для списання</t>
  </si>
  <si>
    <t>Обл. НДС
Паля С100.35-8
Надходження товарів і послуг ІБ00-003911 від 05.09.2024 17:48:35
Глобине-1 для списання</t>
  </si>
  <si>
    <t>Обл. НДС
Паля С100.35-8
Надходження товарів і послуг ІБ00-003912 від 05.09.2024 17:48:36
Глобине-1 для списання</t>
  </si>
  <si>
    <t>Обл. НДС
Паля С100.35-8
Надходження товарів і послуг ІБ00-003913 від 05.09.2024 17:48:37
Глобине-1 для списання</t>
  </si>
  <si>
    <t>Обл. НДС
Паля С100.35-8
Надходження товарів і послуг ІБ00-003904 від 06.09.2024 17:44:53
Глобине-1 для списання</t>
  </si>
  <si>
    <t>Обл. НДС
Паля С100.35-8
Надходження товарів і послуг ІБ00-003905 від 06.09.2024 17:44:54
Глобине-1 для списання</t>
  </si>
  <si>
    <t>Надходження товарів і послуг ІБ00-004379 від 20.09.2024 18:19:29
Оприходованы ТМЦ</t>
  </si>
  <si>
    <t>Обл. НДС
Лист гофрований 7-хв. НС-20
Надходження товарів і послуг ІБ00-004379 від 20.09.2024 18:19:29
Глобине-1</t>
  </si>
  <si>
    <t>АСТРА БФ ТОВ
Рахунки_Глобине-2
Рахунок на оплату постачальника ІБ00-003427 від 19.09.2024 18:08:13</t>
  </si>
  <si>
    <t>Надходження товарів і послуг ІБ00-004379 від 20.09.2024 18:19:29
Оприходованы ТМЦ (Зачет аванса поставщику)</t>
  </si>
  <si>
    <t>Надходження товарів і послуг ІБ00-004749 від 20.09.2024 18:20:09
Оприходованы ТМЦ</t>
  </si>
  <si>
    <t>Обл. НДС
Щебінь 20-40
Надходження товарів і послуг ІБ00-004749 від 20.09.2024 18:20:09
Глобине-1</t>
  </si>
  <si>
    <t>Венкрас Авто ПП
Договір 05/09/2024 від 05.09.2024_Глобине-1
Рахунок на оплату постачальника ІБ00-003916 від 20.09.2024 18:20:08</t>
  </si>
  <si>
    <t>Надходження дод. витрат ІБ00-000394 від 20.09.2024 18:20:10
Доп. расходы при поступлении товаров</t>
  </si>
  <si>
    <t>Надходження товарів і послуг ІБ00-004908 від 20.09.2024 18:20:16
Оприходованы ТМЦ</t>
  </si>
  <si>
    <t>Обл. НДС
Щебінь 40-70
Надходження товарів і послуг ІБ00-004908 від 20.09.2024 18:20:16
Глобине-1</t>
  </si>
  <si>
    <t>Венкрас Авто ПП
Договір 05/09/2024 від 05.09.2024_Глобине-1
Рахунок на оплату постачальника ІБ00-004079 від 20.09.2024 18:20:15</t>
  </si>
  <si>
    <t>21.09.2024</t>
  </si>
  <si>
    <t>Надходження товарів і послуг ІБ00-004729 від 21.09.2024 23:45:43
Оприходованы ТМЦ</t>
  </si>
  <si>
    <t>Обл. НДС
Щебінь 20-40
Надходження товарів і послуг ІБ00-004729 від 21.09.2024 23:45:43
Глобине-1</t>
  </si>
  <si>
    <t>Венкрас Авто ПП
Договір 05/09/2024 від 05.09.2024_Глобине-1
Рахунок на оплату постачальника ІБ00-003892 від 21.09.2024 23:45:42</t>
  </si>
  <si>
    <t>Надходження дод. витрат ІБ00-000389 від 21.09.2024 23:45:44
Доп. расходы при поступлении товаров</t>
  </si>
  <si>
    <t>Надходження товарів і послуг ІБ00-004747 від 21.09.2024 23:45:46
Оприходованы ТМЦ</t>
  </si>
  <si>
    <t>Обл. НДС
Щебінь 20-40
Надходження товарів і послуг ІБ00-004747 від 21.09.2024 23:45:46
Глобине-1</t>
  </si>
  <si>
    <t>Венкрас Авто ПП
Договір 05/09/2024 від 05.09.2024_Глобине-1
Рахунок на оплату постачальника ІБ00-003914 від 21.09.2024 23:45:45</t>
  </si>
  <si>
    <t>Надходження дод. витрат ІБ00-000393 від 21.09.2024 23:45:47
Доп. расходы при поступлении товаров</t>
  </si>
  <si>
    <t>Надходження товарів і послуг ІБ00-004748 від 21.09.2024 23:45:49
Оприходованы ТМЦ</t>
  </si>
  <si>
    <t>Обл. НДС
Щебінь 40-70
Надходження товарів і послуг ІБ00-004748 від 21.09.2024 23:45:49
Глобине-1</t>
  </si>
  <si>
    <t>Венкрас Авто ПП
Договір 05/09/2024 від 05.09.2024_Глобине-1
Рахунок на оплату постачальника ІБ00-003915 від 21.09.2024 23:45:48</t>
  </si>
  <si>
    <t>Надходження товарів і послуг ІБ00-004746 від 24.09.2024 23:00:04
Оприходованы ТМЦ</t>
  </si>
  <si>
    <t>Обл. НДС
Щебінь 40-70
Надходження товарів і послуг ІБ00-004746 від 24.09.2024 23:00:04
Глобине-1</t>
  </si>
  <si>
    <t>Венкрас Авто ПП
Договір 05/09/2024 від 05.09.2024_Глобине-1
Рахунок на оплату постачальника ІБ00-003913 від 24.09.2024 23:00:03</t>
  </si>
  <si>
    <t>Надходження товарів і послуг ІБ00-004988 від 24.09.2024 23:00:17
Оприходованы ТМЦ (Зачет аванса поставщику)</t>
  </si>
  <si>
    <t>Обл. НДС
Труба профільна 40х20 мм 3,0 мм, 6 м (7306)
Надходження товарів і послуг ІБ00-004988 від 24.09.2024 23:00:17
Глобине-1</t>
  </si>
  <si>
    <t>АВ МЕТАЛ ГРУП ТОВ
№6234/Р от 05.09.2024_Глобине-2
Рахунок на оплату постачальника ІБ00-003432 від 10.09.2024 21:00:07</t>
  </si>
  <si>
    <t>Обл. НДС
Кутник 40х40х3 L= 6000 мм
Надходження товарів і послуг ІБ00-004988 від 24.09.2024 23:00:17
Глобине-1</t>
  </si>
  <si>
    <t>Обл. НДС
Труба профільна 80*80*4 L=12 м
Надходження товарів і послуг ІБ00-004988 від 24.09.2024 23:00:17
Глобине-1</t>
  </si>
  <si>
    <t>30.09.2024</t>
  </si>
  <si>
    <t>Надходження товарів і послуг ІБ00-004383 від 30.09.2024 00:00:00
Оприходованы ТМЦ (Зачет аванса поставщику)</t>
  </si>
  <si>
    <t>Обл. НДС
Саморіз  4,8*19 (з шайбою)
Надходження товарів і послуг ІБ00-004383 від 30.09.2024 00:00:00
Глобине-1</t>
  </si>
  <si>
    <t>АСТРА БФ ТОВ
Рахунки_Глобине-2
Рахунок на оплату постачальника ІБ00-003545 від 19.09.2024 00:00:00</t>
  </si>
  <si>
    <t>Вимога-накладна ІБ00-000467 від 30.09.2024 10:00:00
Списаны ТМЦ</t>
  </si>
  <si>
    <t>Списання товарів ІБ00-000513 від 30.09.2024 20:00:00
Списаны ТМЦ</t>
  </si>
  <si>
    <t>Списання товарів ІБ00-000514 від 30.09.2024 20:00:00
Списаны ТМЦ</t>
  </si>
  <si>
    <t>Надходження товарів і послуг ІБ00-004987 від 01.10.2024 10:00:00
Оприходованы ТМЦ</t>
  </si>
  <si>
    <t>Обл. НДС
Труба профільна 40х20 мм 3,0 мм, 6 м (7306)
Надходження товарів і послуг ІБ00-004987 від 01.10.2024 10:00:00
Глобине-1</t>
  </si>
  <si>
    <t>Надходження товарів і послуг ІБ00-004987 від 01.10.2024 10:00:00
Оприходованы ТМЦ (Зачет аванса поставщику)</t>
  </si>
  <si>
    <t>Обл. НДС
Труба  40*40*3 мм  08кп/1-3 пс, L=6 м
Надходження товарів і послуг ІБ00-004987 від 01.10.2024 10:00:00
Глобине-1</t>
  </si>
  <si>
    <t>Надходження товарів і послуг ІБ00-005095 від 08.10.2024 18:04:01
Оприходованы ТМЦ</t>
  </si>
  <si>
    <t>Обл. НДС
Суміш С-7 фр.0-40 мм 
Надходження товарів і послуг ІБ00-005095 від 08.10.2024 18:04:01
Глобине-1</t>
  </si>
  <si>
    <t>Інгулецька Транспортно-Зернова компанія ТОВ
Договір 06/09/20204 від 06.09.2024_Глобине-1
Рахунок на оплату постачальника ІБ00-004221 від 08.10.2024 18:04:00</t>
  </si>
  <si>
    <t>Надходження товарів і послуг ІБ00-005100 від 08.10.2024 18:04:03
Оприходованы ТМЦ</t>
  </si>
  <si>
    <t>Обл. НДС
Суміш С-7 фр.0-40 мм 
Надходження товарів і послуг ІБ00-005100 від 08.10.2024 18:04:03
Глобине-1</t>
  </si>
  <si>
    <t>Інгулецька Транспортно-Зернова компанія ТОВ
Договір 06/09/20204 від 06.09.2024_Глобине-1
Рахунок на оплату постачальника ІБ00-004227 від 08.10.2024 18:04:02</t>
  </si>
  <si>
    <t>Списання товарів ІБ00-000587 від 08.10.2024 22:00:03
Списаны ТМЦ</t>
  </si>
  <si>
    <t>09.10.2024</t>
  </si>
  <si>
    <t>Надходження товарів і послуг ІБ00-005096 від 09.10.2024 18:37:46
Оприходованы ТМЦ</t>
  </si>
  <si>
    <t>Обл. НДС
Суміш С-7 фр.0-40 мм 
Надходження товарів і послуг ІБ00-005096 від 09.10.2024 18:37:46
Глобине-1</t>
  </si>
  <si>
    <t>Інгулецька Транспортно-Зернова компанія ТОВ
Договір 06/09/20204 від 06.09.2024_Глобине-1
Рахунок на оплату постачальника ІБ00-004223 від 09.10.2024 18:37:45</t>
  </si>
  <si>
    <t>Надходження товарів і послуг ІБ00-005099 від 09.10.2024 18:37:48
Оприходованы ТМЦ</t>
  </si>
  <si>
    <t>Обл. НДС
Суміш С-7 фр.0-40 мм 
Надходження товарів і послуг ІБ00-005099 від 09.10.2024 18:37:48
Глобине-1</t>
  </si>
  <si>
    <t>Інгулецька Транспортно-Зернова компанія ТОВ
Договір 06/09/20204 від 06.09.2024_Глобине-1
Рахунок на оплату постачальника ІБ00-004226 від 09.10.2024 18:37:47</t>
  </si>
  <si>
    <t>Надходження товарів і послуг ІБ00-005097 від 10.10.2024 18:58:19
Оприходованы ТМЦ</t>
  </si>
  <si>
    <t>Обл. НДС
Суміш С-7 фр.0-40 мм 
Надходження товарів і послуг ІБ00-005097 від 10.10.2024 18:58:19
Глобине-1</t>
  </si>
  <si>
    <t>Інгулецька Транспортно-Зернова компанія ТОВ
Договір 06/09/20204 від 06.09.2024_Глобине-1
Рахунок на оплату постачальника ІБ00-004224 від 10.10.2024 18:58:18</t>
  </si>
  <si>
    <t>Надходження товарів і послуг ІБ00-005098 від 10.10.2024 18:58:21
Оприходованы ТМЦ</t>
  </si>
  <si>
    <t>Обл. НДС
Суміш С-7 фр.0-40 мм 
Надходження товарів і послуг ІБ00-005098 від 10.10.2024 18:58:21
Глобине-1</t>
  </si>
  <si>
    <t>Інгулецька Транспортно-Зернова компанія ТОВ
Договір 06/09/20204 від 06.09.2024_Глобине-1
Рахунок на оплату постачальника ІБ00-004225 від 10.10.2024 18:58:20</t>
  </si>
  <si>
    <t>11.10.2024</t>
  </si>
  <si>
    <t>Надходження товарів і послуг ІБ00-005011 від 11.10.2024 18:06:35
Оприходованы ТМЦ</t>
  </si>
  <si>
    <t>Обл. НДС
Паля забивна залізобетонна С140.35-10
Надходження товарів і послуг ІБ00-005011 від 11.10.2024 18:06:35
Глобине-1</t>
  </si>
  <si>
    <t>ОБ’ЄДНАННЯ ДНІПРОЕНЕРГОБУДПРОМ ТДВ
Дого № 513/06-24 від 03.06.2024_Глобине-1 (цілому
Надходження товарів і послуг ІБ00-005011 від 11.10.2024 18:06:35</t>
  </si>
  <si>
    <t>Надходження товарів і послуг ІБ00-005011 від 11.10.2024 18:06:35
Оприходованы ТМЦ (Зачет аванса поставщику)</t>
  </si>
  <si>
    <t>ОБ’ЄДНАННЯ ДНІПРОЕНЕРГОБУДПРОМ ТДВ
Дого № 513/06-24 від 03.06.2024_Глобине-1 (цілому
Списання з банківського рахунку 00000018553 від 10.10.2024 15:03:33</t>
  </si>
  <si>
    <t>Надходження товарів і послуг ІБ00-005563 від 11.10.2024 18:07:11
Оприходованы ТМЦ</t>
  </si>
  <si>
    <t>Обл. НДС
Щебінь 40-70
Надходження товарів і послуг ІБ00-005563 від 11.10.2024 18:07:11
Глобине-1</t>
  </si>
  <si>
    <t>Венкрас Авто ПП
Договір 05/09/2024 від 05.09.2024_Глобине-1
Рахунок на оплату постачальника ІБ00-004519 від 11.10.2024 18:07:10</t>
  </si>
  <si>
    <t>12.10.2024</t>
  </si>
  <si>
    <t>Надходження товарів і послуг ІБ00-005554 від 12.10.2024 14:00:08
Оприходованы ТМЦ</t>
  </si>
  <si>
    <t>Обл. НДС
Щебінь 40-70
Надходження товарів і послуг ІБ00-005554 від 12.10.2024 14:00:08
Глобине-1</t>
  </si>
  <si>
    <t>Венкрас Авто ПП
Договір 05/09/2024 від 05.09.2024_Глобине-1
Рахунок на оплату постачальника ІБ00-004510 від 12.10.2024 14:00:07</t>
  </si>
  <si>
    <t>13.10.2024</t>
  </si>
  <si>
    <t>Надходження товарів і послуг ІБ00-005555 від 13.10.2024 14:00:03
Оприходованы ТМЦ</t>
  </si>
  <si>
    <t>Обл. НДС
Щебінь 40-70
Надходження товарів і послуг ІБ00-005555 від 13.10.2024 14:00:03
Глобине-1</t>
  </si>
  <si>
    <t>Венкрас Авто ПП
Договір 05/09/2024 від 05.09.2024_Глобине-1
Рахунок на оплату постачальника ІБ00-004511 від 13.10.2024 14:00:02</t>
  </si>
  <si>
    <t>14.10.2024</t>
  </si>
  <si>
    <t>Надходження товарів і послуг ІБ00-005556 від 14.10.2024 18:19:40
Оприходованы ТМЦ</t>
  </si>
  <si>
    <t>Обл. НДС
Щебінь 40-70
Надходження товарів і послуг ІБ00-005556 від 14.10.2024 18:19:40
Глобине-1</t>
  </si>
  <si>
    <t>Венкрас Авто ПП
Договір 05/09/2024 від 05.09.2024_Глобине-1
Рахунок на оплату постачальника ІБ00-004512 від 14.10.2024 18:19:39</t>
  </si>
  <si>
    <t>15.10.2024</t>
  </si>
  <si>
    <t>Вимога-накладна ІБ00-000525 від 15.10.2024 22:00:02
Списаны ТМЦ</t>
  </si>
  <si>
    <t>Обл. НДС
Виробничий (Глобино)
//Глобине-1
Прямі материальні виробничі витрати крім зворотніх відходів</t>
  </si>
  <si>
    <t>Надходження товарів і послуг ІБ00-005557 від 15.10.2024 22:00:11
Оприходованы ТМЦ</t>
  </si>
  <si>
    <t>Обл. НДС
Щебінь 40-70
Надходження товарів і послуг ІБ00-005557 від 15.10.2024 22:00:11
Глобине-1</t>
  </si>
  <si>
    <t>Венкрас Авто ПП
Договір 05/09/2024 від 05.09.2024_Глобине-1
Рахунок на оплату постачальника ІБ00-004513 від 15.10.2024 22:00:10</t>
  </si>
  <si>
    <t>16.10.2024</t>
  </si>
  <si>
    <t>Надходження товарів і послуг ІБ00-005558 від 16.10.2024 18:38:47
Оприходованы ТМЦ</t>
  </si>
  <si>
    <t>Обл. НДС
Щебінь 40-70
Надходження товарів і послуг ІБ00-005558 від 16.10.2024 18:38:47
Глобине-1</t>
  </si>
  <si>
    <t>Венкрас Авто ПП
Договір 05/09/2024 від 05.09.2024_Глобине-1
Рахунок на оплату постачальника ІБ00-004514 від 16.10.2024 18:38:46</t>
  </si>
  <si>
    <t>Надходження товарів і послуг ІБ00-005559 від 17.10.2024 19:38:53
Оприходованы ТМЦ</t>
  </si>
  <si>
    <t>Обл. НДС
Щебінь 40-70
Надходження товарів і послуг ІБ00-005559 від 17.10.2024 19:38:53
Глобине-1</t>
  </si>
  <si>
    <t>Венкрас Авто ПП
Договір 05/09/2024 від 05.09.2024_Глобине-1
Рахунок на оплату постачальника ІБ00-004515 від 17.10.2024 19:38:52</t>
  </si>
  <si>
    <t>18.10.2024</t>
  </si>
  <si>
    <t>Надходження товарів і послуг ІБ00-005560 від 18.10.2024 23:31:05
Оприходованы ТМЦ</t>
  </si>
  <si>
    <t>Обл. НДС
Щебінь 40-70
Надходження товарів і послуг ІБ00-005560 від 18.10.2024 23:31:05
Глобине-1</t>
  </si>
  <si>
    <t>Венкрас Авто ПП
Договір 05/09/2024 від 05.09.2024_Глобине-1
Рахунок на оплату постачальника ІБ00-004516 від 18.10.2024 23:31:04</t>
  </si>
  <si>
    <t>19.10.2024</t>
  </si>
  <si>
    <t>Надходження товарів і послуг ІБ00-005561 від 19.10.2024 14:00:12
Оприходованы ТМЦ</t>
  </si>
  <si>
    <t>Обл. НДС
Щебінь 40-70
Надходження товарів і послуг ІБ00-005561 від 19.10.2024 14:00:12
Глобине-1</t>
  </si>
  <si>
    <t>Венкрас Авто ПП
Договір 05/09/2024 від 05.09.2024_Глобине-1
Рахунок на оплату постачальника ІБ00-004517 від 19.10.2024 14:00:11</t>
  </si>
  <si>
    <t>21.10.2024</t>
  </si>
  <si>
    <t>Надходження товарів і послуг ІБ00-005562 від 21.10.2024 17:44:33
Оприходованы ТМЦ</t>
  </si>
  <si>
    <t>Обл. НДС
Щебінь 40-70
Надходження товарів і послуг ІБ00-005562 від 21.10.2024 17:44:33
Глобине-1</t>
  </si>
  <si>
    <t>Венкрас Авто ПП
Договір 05/09/2024 від 05.09.2024_Глобине-1
Рахунок на оплату постачальника ІБ00-004518 від 21.10.2024 17:44:32</t>
  </si>
  <si>
    <t>Вимога-накладна ІБ00-000527 від 23.10.2024 18:16:44
Списаны ТМЦ</t>
  </si>
  <si>
    <t>Вимога-накладна ІБ00-000528 від 24.10.2024 17:54:41
Списаны ТМЦ</t>
  </si>
  <si>
    <t>25.10.2024</t>
  </si>
  <si>
    <t>Списання товарів ІБ00-000588 від 25.10.2024 18:28:00
Списаны ТМЦ</t>
  </si>
  <si>
    <t>Списание</t>
  </si>
  <si>
    <t>Вымога</t>
  </si>
  <si>
    <t>Вимога-накладна ІБ00-000377 від 07.10.2024 10:00:00
Списаны ТМЦ</t>
  </si>
  <si>
    <t>Вимога-накладна ІБ00-000379 від 07.10.2024 10:00:00
Списаны ТМЦ</t>
  </si>
  <si>
    <t>Вимога-накладна ІБ00-000380 від 07.10.2024 10:00:00
Списаны ТМЦ</t>
  </si>
  <si>
    <t>Вимога-накладна ІБ00-000406 від 07.10.2024 10:00:00
Списаны ТМЦ</t>
  </si>
  <si>
    <t>Вимога-накладна ІБ00-000407 від 07.10.2024 10:00:00
Списаны ТМЦ</t>
  </si>
  <si>
    <t>Вимога-накладна ІБ00-000470 від 07.10.2024 10:00:00
Списаны ТМЦ</t>
  </si>
  <si>
    <t>Обл. НДС
Виробничий (Глобино)
//Глобине-1
Прямі матеріальні виробничі витрати крім зворотних відходів</t>
  </si>
  <si>
    <t>ВСЕГО</t>
  </si>
  <si>
    <t>Берем с PL</t>
  </si>
  <si>
    <t>02.10.2024 12:25:41</t>
  </si>
  <si>
    <t>ІБ00-000048</t>
  </si>
  <si>
    <t>Продаж, комісія</t>
  </si>
  <si>
    <t>АВІА ВЕНЧУРС ТОВ</t>
  </si>
  <si>
    <t>Крушинка</t>
  </si>
  <si>
    <t>16.10.2024 10:36:48</t>
  </si>
  <si>
    <t>ІБ00-000049</t>
  </si>
  <si>
    <t>23.10.2024 14:13:57</t>
  </si>
  <si>
    <t>ІБ00-000060</t>
  </si>
  <si>
    <t>* ССть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</si>
</sst>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charset val="204"/>
      <scheme val="minor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08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5" fillId="0" borderId="0" xfId="0" applyNumberFormat="1" applyFont="1" applyFill="1"/>
    <xf numFmtId="4" fontId="1" fillId="0" borderId="0" xfId="0" applyNumberFormat="1" applyFont="1"/>
    <xf numFmtId="4" fontId="4" fillId="3" borderId="1" xfId="1" applyNumberFormat="1" applyFont="1" applyFill="1" applyBorder="1" applyAlignment="1">
      <alignment horizontal="right" vertical="top"/>
    </xf>
    <xf numFmtId="0" fontId="4" fillId="4" borderId="1" xfId="1" applyNumberFormat="1" applyFont="1" applyFill="1" applyBorder="1" applyAlignment="1">
      <alignment horizontal="left" vertical="top"/>
    </xf>
    <xf numFmtId="4" fontId="4" fillId="4" borderId="1" xfId="1" applyNumberFormat="1" applyFont="1" applyFill="1" applyBorder="1" applyAlignment="1">
      <alignment horizontal="right" vertical="top"/>
    </xf>
    <xf numFmtId="0" fontId="3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2" fillId="0" borderId="2" xfId="2" applyNumberFormat="1" applyFont="1" applyBorder="1" applyAlignment="1">
      <alignment horizontal="right" vertical="top" wrapText="1"/>
    </xf>
    <xf numFmtId="0" fontId="6" fillId="2" borderId="3" xfId="2" applyNumberFormat="1" applyFont="1" applyFill="1" applyBorder="1" applyAlignment="1">
      <alignment vertical="top"/>
    </xf>
    <xf numFmtId="0" fontId="6" fillId="2" borderId="4" xfId="2" applyNumberFormat="1" applyFont="1" applyFill="1" applyBorder="1" applyAlignment="1">
      <alignment vertical="top"/>
    </xf>
    <xf numFmtId="0" fontId="6" fillId="2" borderId="5" xfId="2" applyNumberFormat="1" applyFont="1" applyFill="1" applyBorder="1" applyAlignment="1">
      <alignment vertical="top"/>
    </xf>
    <xf numFmtId="0" fontId="6" fillId="2" borderId="4" xfId="2" applyNumberFormat="1" applyFont="1" applyFill="1" applyBorder="1" applyAlignment="1">
      <alignment horizontal="center" vertical="top"/>
    </xf>
    <xf numFmtId="0" fontId="6" fillId="2" borderId="6" xfId="2" applyNumberFormat="1" applyFont="1" applyFill="1" applyBorder="1" applyAlignment="1">
      <alignment horizontal="center" vertical="top"/>
    </xf>
    <xf numFmtId="0" fontId="6" fillId="2" borderId="7" xfId="2" applyNumberFormat="1" applyFont="1" applyFill="1" applyBorder="1" applyAlignment="1">
      <alignment vertical="top"/>
    </xf>
    <xf numFmtId="0" fontId="6" fillId="2" borderId="8" xfId="2" applyNumberFormat="1" applyFont="1" applyFill="1" applyBorder="1" applyAlignment="1">
      <alignment vertical="top"/>
    </xf>
    <xf numFmtId="0" fontId="6" fillId="2" borderId="9" xfId="2" applyNumberFormat="1" applyFont="1" applyFill="1" applyBorder="1" applyAlignment="1">
      <alignment vertical="top"/>
    </xf>
    <xf numFmtId="0" fontId="6" fillId="2" borderId="6" xfId="2" applyNumberFormat="1" applyFont="1" applyFill="1" applyBorder="1" applyAlignment="1">
      <alignment vertical="top"/>
    </xf>
    <xf numFmtId="0" fontId="6" fillId="2" borderId="10" xfId="2" applyNumberFormat="1" applyFont="1" applyFill="1" applyBorder="1" applyAlignment="1">
      <alignment vertical="top"/>
    </xf>
    <xf numFmtId="0" fontId="6" fillId="2" borderId="10" xfId="2" applyNumberFormat="1" applyFont="1" applyFill="1" applyBorder="1" applyAlignment="1">
      <alignment vertical="top"/>
    </xf>
    <xf numFmtId="0" fontId="6" fillId="2" borderId="11" xfId="2" applyNumberFormat="1" applyFont="1" applyFill="1" applyBorder="1" applyAlignment="1">
      <alignment vertical="top"/>
    </xf>
    <xf numFmtId="0" fontId="6" fillId="2" borderId="12" xfId="2" applyNumberFormat="1" applyFont="1" applyFill="1" applyBorder="1" applyAlignment="1">
      <alignment vertical="top"/>
    </xf>
    <xf numFmtId="0" fontId="6" fillId="2" borderId="2" xfId="2" applyNumberFormat="1" applyFont="1" applyFill="1" applyBorder="1" applyAlignment="1">
      <alignment vertical="top"/>
    </xf>
    <xf numFmtId="0" fontId="6" fillId="2" borderId="2" xfId="2" applyNumberFormat="1" applyFont="1" applyFill="1" applyBorder="1" applyAlignment="1">
      <alignment horizontal="right" vertical="top"/>
    </xf>
    <xf numFmtId="0" fontId="6" fillId="2" borderId="13" xfId="2" applyNumberFormat="1" applyFont="1" applyFill="1" applyBorder="1" applyAlignment="1">
      <alignment horizontal="center" vertical="top"/>
    </xf>
    <xf numFmtId="2" fontId="6" fillId="2" borderId="14" xfId="2" applyNumberFormat="1" applyFont="1" applyFill="1" applyBorder="1" applyAlignment="1">
      <alignment horizontal="right" vertical="top" wrapText="1"/>
    </xf>
    <xf numFmtId="0" fontId="7" fillId="0" borderId="2" xfId="2" applyNumberFormat="1" applyFont="1" applyBorder="1" applyAlignment="1">
      <alignment vertical="top"/>
    </xf>
    <xf numFmtId="0" fontId="7" fillId="0" borderId="2" xfId="2" applyNumberFormat="1" applyFont="1" applyBorder="1" applyAlignment="1">
      <alignment vertical="top" wrapText="1"/>
    </xf>
    <xf numFmtId="0" fontId="7" fillId="0" borderId="2" xfId="2" applyNumberFormat="1" applyFont="1" applyBorder="1" applyAlignment="1">
      <alignment horizontal="left" vertical="top"/>
    </xf>
    <xf numFmtId="0" fontId="7" fillId="0" borderId="14" xfId="2" applyNumberFormat="1" applyFont="1" applyBorder="1" applyAlignment="1">
      <alignment horizontal="right" vertical="top" wrapText="1"/>
    </xf>
    <xf numFmtId="0" fontId="7" fillId="0" borderId="13" xfId="2" applyNumberFormat="1" applyFont="1" applyBorder="1" applyAlignment="1">
      <alignment horizontal="center" vertical="top"/>
    </xf>
    <xf numFmtId="4" fontId="7" fillId="0" borderId="14" xfId="2" applyNumberFormat="1" applyFont="1" applyBorder="1" applyAlignment="1">
      <alignment horizontal="right" vertical="top" wrapText="1"/>
    </xf>
    <xf numFmtId="0" fontId="8" fillId="2" borderId="2" xfId="2" applyNumberFormat="1" applyFont="1" applyFill="1" applyBorder="1" applyAlignment="1">
      <alignment vertical="top"/>
    </xf>
    <xf numFmtId="4" fontId="8" fillId="2" borderId="2" xfId="2" applyNumberFormat="1" applyFont="1" applyFill="1" applyBorder="1" applyAlignment="1">
      <alignment horizontal="right" vertical="top" wrapText="1"/>
    </xf>
    <xf numFmtId="0" fontId="8" fillId="2" borderId="13" xfId="2" applyNumberFormat="1" applyFont="1" applyFill="1" applyBorder="1" applyAlignment="1">
      <alignment horizontal="center" vertical="top"/>
    </xf>
    <xf numFmtId="2" fontId="8" fillId="2" borderId="14" xfId="2" applyNumberFormat="1" applyFont="1" applyFill="1" applyBorder="1" applyAlignment="1">
      <alignment horizontal="right" vertical="top" wrapText="1"/>
    </xf>
    <xf numFmtId="4" fontId="8" fillId="2" borderId="14" xfId="2" applyNumberFormat="1" applyFont="1" applyFill="1" applyBorder="1" applyAlignment="1">
      <alignment horizontal="right" vertical="top" wrapText="1"/>
    </xf>
    <xf numFmtId="4" fontId="7" fillId="0" borderId="14" xfId="2" applyNumberFormat="1" applyFont="1" applyBorder="1" applyAlignment="1">
      <alignment vertical="top" wrapText="1"/>
    </xf>
    <xf numFmtId="4" fontId="8" fillId="2" borderId="13" xfId="2" applyNumberFormat="1" applyFont="1" applyFill="1" applyBorder="1" applyAlignment="1">
      <alignment vertical="top" wrapText="1"/>
    </xf>
    <xf numFmtId="4" fontId="8" fillId="2" borderId="15" xfId="2" applyNumberFormat="1" applyFont="1" applyFill="1" applyBorder="1" applyAlignment="1">
      <alignment vertical="top" wrapText="1"/>
    </xf>
    <xf numFmtId="4" fontId="8" fillId="2" borderId="14" xfId="2" applyNumberFormat="1" applyFont="1" applyFill="1" applyBorder="1" applyAlignment="1">
      <alignment vertical="top" wrapText="1"/>
    </xf>
    <xf numFmtId="4" fontId="7" fillId="5" borderId="13" xfId="2" applyNumberFormat="1" applyFont="1" applyFill="1" applyBorder="1" applyAlignment="1">
      <alignment vertical="top" wrapText="1"/>
    </xf>
    <xf numFmtId="4" fontId="4" fillId="5" borderId="1" xfId="2" applyNumberFormat="1" applyFont="1" applyFill="1" applyBorder="1" applyAlignment="1">
      <alignment horizontal="right" vertical="top"/>
    </xf>
    <xf numFmtId="0" fontId="4" fillId="5" borderId="1" xfId="2" applyNumberFormat="1" applyFont="1" applyFill="1" applyBorder="1" applyAlignment="1">
      <alignment horizontal="left" vertical="top"/>
    </xf>
    <xf numFmtId="0" fontId="6" fillId="2" borderId="3" xfId="3" applyNumberFormat="1" applyFont="1" applyFill="1" applyBorder="1" applyAlignment="1">
      <alignment vertical="top"/>
    </xf>
    <xf numFmtId="0" fontId="6" fillId="2" borderId="4" xfId="3" applyNumberFormat="1" applyFont="1" applyFill="1" applyBorder="1" applyAlignment="1">
      <alignment vertical="top"/>
    </xf>
    <xf numFmtId="0" fontId="6" fillId="2" borderId="5" xfId="3" applyNumberFormat="1" applyFont="1" applyFill="1" applyBorder="1" applyAlignment="1">
      <alignment vertical="top"/>
    </xf>
    <xf numFmtId="0" fontId="6" fillId="2" borderId="4" xfId="3" applyNumberFormat="1" applyFont="1" applyFill="1" applyBorder="1" applyAlignment="1">
      <alignment horizontal="center" vertical="top"/>
    </xf>
    <xf numFmtId="0" fontId="6" fillId="2" borderId="6" xfId="3" applyNumberFormat="1" applyFont="1" applyFill="1" applyBorder="1" applyAlignment="1">
      <alignment horizontal="center" vertical="top"/>
    </xf>
    <xf numFmtId="0" fontId="6" fillId="2" borderId="7" xfId="3" applyNumberFormat="1" applyFont="1" applyFill="1" applyBorder="1" applyAlignment="1">
      <alignment vertical="top"/>
    </xf>
    <xf numFmtId="0" fontId="6" fillId="2" borderId="8" xfId="3" applyNumberFormat="1" applyFont="1" applyFill="1" applyBorder="1" applyAlignment="1">
      <alignment vertical="top"/>
    </xf>
    <xf numFmtId="0" fontId="6" fillId="2" borderId="9" xfId="3" applyNumberFormat="1" applyFont="1" applyFill="1" applyBorder="1" applyAlignment="1">
      <alignment vertical="top"/>
    </xf>
    <xf numFmtId="0" fontId="6" fillId="2" borderId="6" xfId="3" applyNumberFormat="1" applyFont="1" applyFill="1" applyBorder="1" applyAlignment="1">
      <alignment vertical="top"/>
    </xf>
    <xf numFmtId="0" fontId="6" fillId="2" borderId="10" xfId="3" applyNumberFormat="1" applyFont="1" applyFill="1" applyBorder="1" applyAlignment="1">
      <alignment vertical="top"/>
    </xf>
    <xf numFmtId="0" fontId="6" fillId="2" borderId="10" xfId="3" applyNumberFormat="1" applyFont="1" applyFill="1" applyBorder="1" applyAlignment="1">
      <alignment vertical="top"/>
    </xf>
    <xf numFmtId="0" fontId="6" fillId="2" borderId="11" xfId="3" applyNumberFormat="1" applyFont="1" applyFill="1" applyBorder="1" applyAlignment="1">
      <alignment vertical="top"/>
    </xf>
    <xf numFmtId="0" fontId="6" fillId="2" borderId="12" xfId="3" applyNumberFormat="1" applyFont="1" applyFill="1" applyBorder="1" applyAlignment="1">
      <alignment vertical="top"/>
    </xf>
    <xf numFmtId="0" fontId="7" fillId="0" borderId="2" xfId="3" applyNumberFormat="1" applyFont="1" applyBorder="1" applyAlignment="1">
      <alignment vertical="top"/>
    </xf>
    <xf numFmtId="0" fontId="7" fillId="0" borderId="2" xfId="3" applyNumberFormat="1" applyFont="1" applyBorder="1" applyAlignment="1">
      <alignment vertical="top" wrapText="1"/>
    </xf>
    <xf numFmtId="0" fontId="7" fillId="0" borderId="2" xfId="3" applyNumberFormat="1" applyFont="1" applyBorder="1" applyAlignment="1">
      <alignment horizontal="left" vertical="top"/>
    </xf>
    <xf numFmtId="4" fontId="7" fillId="0" borderId="2" xfId="3" applyNumberFormat="1" applyFont="1" applyBorder="1" applyAlignment="1">
      <alignment horizontal="right" vertical="top" wrapText="1"/>
    </xf>
    <xf numFmtId="0" fontId="7" fillId="0" borderId="14" xfId="3" applyNumberFormat="1" applyFont="1" applyBorder="1" applyAlignment="1">
      <alignment horizontal="right" vertical="top" wrapText="1"/>
    </xf>
    <xf numFmtId="0" fontId="7" fillId="0" borderId="13" xfId="3" applyNumberFormat="1" applyFont="1" applyBorder="1" applyAlignment="1">
      <alignment horizontal="center" vertical="top"/>
    </xf>
    <xf numFmtId="4" fontId="7" fillId="0" borderId="14" xfId="3" applyNumberFormat="1" applyFont="1" applyBorder="1" applyAlignment="1">
      <alignment horizontal="right" vertical="top" wrapText="1"/>
    </xf>
    <xf numFmtId="2" fontId="7" fillId="0" borderId="2" xfId="3" applyNumberFormat="1" applyFont="1" applyBorder="1" applyAlignment="1">
      <alignment horizontal="right" vertical="top" wrapText="1"/>
    </xf>
    <xf numFmtId="0" fontId="7" fillId="0" borderId="2" xfId="3" applyNumberFormat="1" applyFont="1" applyBorder="1" applyAlignment="1">
      <alignment horizontal="right" vertical="top" wrapText="1"/>
    </xf>
    <xf numFmtId="2" fontId="7" fillId="0" borderId="14" xfId="3" applyNumberFormat="1" applyFont="1" applyBorder="1" applyAlignment="1">
      <alignment horizontal="right" vertical="top" wrapText="1"/>
    </xf>
    <xf numFmtId="4" fontId="7" fillId="0" borderId="14" xfId="3" applyNumberFormat="1" applyFont="1" applyBorder="1" applyAlignment="1">
      <alignment horizontal="right" vertical="top" wrapText="1"/>
    </xf>
    <xf numFmtId="0" fontId="7" fillId="0" borderId="14" xfId="3" applyNumberFormat="1" applyFont="1" applyBorder="1" applyAlignment="1">
      <alignment horizontal="right" vertical="top" wrapText="1"/>
    </xf>
    <xf numFmtId="0" fontId="8" fillId="2" borderId="2" xfId="3" applyNumberFormat="1" applyFont="1" applyFill="1" applyBorder="1" applyAlignment="1">
      <alignment vertical="top"/>
    </xf>
    <xf numFmtId="4" fontId="8" fillId="2" borderId="2" xfId="3" applyNumberFormat="1" applyFont="1" applyFill="1" applyBorder="1" applyAlignment="1">
      <alignment horizontal="right" vertical="top" wrapText="1"/>
    </xf>
    <xf numFmtId="0" fontId="8" fillId="2" borderId="13" xfId="3" applyNumberFormat="1" applyFont="1" applyFill="1" applyBorder="1" applyAlignment="1">
      <alignment horizontal="center" vertical="top"/>
    </xf>
    <xf numFmtId="4" fontId="8" fillId="2" borderId="14" xfId="3" applyNumberFormat="1" applyFont="1" applyFill="1" applyBorder="1" applyAlignment="1">
      <alignment horizontal="right" vertical="top" wrapText="1"/>
    </xf>
    <xf numFmtId="0" fontId="6" fillId="2" borderId="3" xfId="4" applyNumberFormat="1" applyFont="1" applyFill="1" applyBorder="1" applyAlignment="1">
      <alignment vertical="top"/>
    </xf>
    <xf numFmtId="0" fontId="6" fillId="2" borderId="4" xfId="4" applyNumberFormat="1" applyFont="1" applyFill="1" applyBorder="1" applyAlignment="1">
      <alignment vertical="top"/>
    </xf>
    <xf numFmtId="0" fontId="6" fillId="2" borderId="5" xfId="4" applyNumberFormat="1" applyFont="1" applyFill="1" applyBorder="1" applyAlignment="1">
      <alignment vertical="top"/>
    </xf>
    <xf numFmtId="0" fontId="6" fillId="2" borderId="4" xfId="4" applyNumberFormat="1" applyFont="1" applyFill="1" applyBorder="1" applyAlignment="1">
      <alignment horizontal="center" vertical="top"/>
    </xf>
    <xf numFmtId="0" fontId="6" fillId="2" borderId="6" xfId="4" applyNumberFormat="1" applyFont="1" applyFill="1" applyBorder="1" applyAlignment="1">
      <alignment horizontal="center" vertical="top"/>
    </xf>
    <xf numFmtId="0" fontId="6" fillId="2" borderId="7" xfId="4" applyNumberFormat="1" applyFont="1" applyFill="1" applyBorder="1" applyAlignment="1">
      <alignment vertical="top"/>
    </xf>
    <xf numFmtId="0" fontId="6" fillId="2" borderId="8" xfId="4" applyNumberFormat="1" applyFont="1" applyFill="1" applyBorder="1" applyAlignment="1">
      <alignment vertical="top"/>
    </xf>
    <xf numFmtId="0" fontId="6" fillId="2" borderId="9" xfId="4" applyNumberFormat="1" applyFont="1" applyFill="1" applyBorder="1" applyAlignment="1">
      <alignment vertical="top"/>
    </xf>
    <xf numFmtId="0" fontId="6" fillId="2" borderId="6" xfId="4" applyNumberFormat="1" applyFont="1" applyFill="1" applyBorder="1" applyAlignment="1">
      <alignment vertical="top"/>
    </xf>
    <xf numFmtId="0" fontId="6" fillId="2" borderId="10" xfId="4" applyNumberFormat="1" applyFont="1" applyFill="1" applyBorder="1" applyAlignment="1">
      <alignment vertical="top"/>
    </xf>
    <xf numFmtId="0" fontId="6" fillId="2" borderId="10" xfId="4" applyNumberFormat="1" applyFont="1" applyFill="1" applyBorder="1" applyAlignment="1">
      <alignment vertical="top"/>
    </xf>
    <xf numFmtId="0" fontId="6" fillId="2" borderId="11" xfId="4" applyNumberFormat="1" applyFont="1" applyFill="1" applyBorder="1" applyAlignment="1">
      <alignment vertical="top"/>
    </xf>
    <xf numFmtId="0" fontId="6" fillId="2" borderId="12" xfId="4" applyNumberFormat="1" applyFont="1" applyFill="1" applyBorder="1" applyAlignment="1">
      <alignment vertical="top"/>
    </xf>
    <xf numFmtId="0" fontId="7" fillId="0" borderId="2" xfId="4" applyNumberFormat="1" applyFont="1" applyBorder="1" applyAlignment="1">
      <alignment vertical="top"/>
    </xf>
    <xf numFmtId="0" fontId="7" fillId="0" borderId="2" xfId="4" applyNumberFormat="1" applyFont="1" applyBorder="1" applyAlignment="1">
      <alignment vertical="top" wrapText="1"/>
    </xf>
    <xf numFmtId="0" fontId="7" fillId="0" borderId="2" xfId="4" applyNumberFormat="1" applyFont="1" applyBorder="1" applyAlignment="1">
      <alignment horizontal="left" vertical="top"/>
    </xf>
    <xf numFmtId="4" fontId="7" fillId="0" borderId="2" xfId="4" applyNumberFormat="1" applyFont="1" applyBorder="1" applyAlignment="1">
      <alignment horizontal="right" vertical="top" wrapText="1"/>
    </xf>
    <xf numFmtId="0" fontId="7" fillId="0" borderId="14" xfId="4" applyNumberFormat="1" applyFont="1" applyBorder="1" applyAlignment="1">
      <alignment horizontal="right" vertical="top" wrapText="1"/>
    </xf>
    <xf numFmtId="0" fontId="7" fillId="0" borderId="13" xfId="4" applyNumberFormat="1" applyFont="1" applyBorder="1" applyAlignment="1">
      <alignment horizontal="center" vertical="top"/>
    </xf>
    <xf numFmtId="4" fontId="7" fillId="0" borderId="14" xfId="4" applyNumberFormat="1" applyFont="1" applyBorder="1" applyAlignment="1">
      <alignment horizontal="right" vertical="top" wrapText="1"/>
    </xf>
    <xf numFmtId="0" fontId="7" fillId="0" borderId="2" xfId="4" applyNumberFormat="1" applyFont="1" applyBorder="1" applyAlignment="1">
      <alignment horizontal="right" vertical="top" wrapText="1"/>
    </xf>
    <xf numFmtId="4" fontId="7" fillId="0" borderId="14" xfId="4" applyNumberFormat="1" applyFont="1" applyBorder="1" applyAlignment="1">
      <alignment horizontal="right" vertical="top" wrapText="1"/>
    </xf>
    <xf numFmtId="0" fontId="7" fillId="0" borderId="14" xfId="4" applyNumberFormat="1" applyFont="1" applyBorder="1" applyAlignment="1">
      <alignment horizontal="right" vertical="top" wrapText="1"/>
    </xf>
    <xf numFmtId="0" fontId="8" fillId="2" borderId="2" xfId="4" applyNumberFormat="1" applyFont="1" applyFill="1" applyBorder="1" applyAlignment="1">
      <alignment vertical="top"/>
    </xf>
    <xf numFmtId="4" fontId="8" fillId="2" borderId="2" xfId="4" applyNumberFormat="1" applyFont="1" applyFill="1" applyBorder="1" applyAlignment="1">
      <alignment horizontal="right" vertical="top" wrapText="1"/>
    </xf>
    <xf numFmtId="0" fontId="8" fillId="2" borderId="13" xfId="4" applyNumberFormat="1" applyFont="1" applyFill="1" applyBorder="1" applyAlignment="1">
      <alignment horizontal="center" vertical="top"/>
    </xf>
    <xf numFmtId="2" fontId="8" fillId="2" borderId="14" xfId="4" applyNumberFormat="1" applyFont="1" applyFill="1" applyBorder="1" applyAlignment="1">
      <alignment horizontal="right" vertical="top" wrapText="1"/>
    </xf>
    <xf numFmtId="4" fontId="0" fillId="5" borderId="0" xfId="0" applyNumberFormat="1" applyFill="1"/>
    <xf numFmtId="0" fontId="4" fillId="2" borderId="1" xfId="5" applyNumberFormat="1" applyFont="1" applyFill="1" applyBorder="1" applyAlignment="1">
      <alignment horizontal="left" vertical="top"/>
    </xf>
    <xf numFmtId="4" fontId="4" fillId="2" borderId="1" xfId="5" applyNumberFormat="1" applyFont="1" applyFill="1" applyBorder="1" applyAlignment="1">
      <alignment horizontal="right" vertical="top"/>
    </xf>
    <xf numFmtId="4" fontId="1" fillId="5" borderId="0" xfId="0" applyNumberFormat="1" applyFont="1" applyFill="1"/>
  </cellXfs>
  <cellStyles count="6">
    <cellStyle name="Обычный" xfId="0" builtinId="0"/>
    <cellStyle name="Обычный_Акты" xfId="5"/>
    <cellStyle name="Обычный_Астарта" xfId="2"/>
    <cellStyle name="Обычный_Астарта Списания" xfId="3"/>
    <cellStyle name="Обычный_Глобино_склад для списания" xfId="4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abSelected="1" topLeftCell="A67" workbookViewId="0">
      <selection activeCell="F92" sqref="F92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50.5546875" bestFit="1" customWidth="1"/>
    <col min="4" max="4" width="12.33203125" bestFit="1" customWidth="1"/>
    <col min="5" max="5" width="7.6640625" bestFit="1" customWidth="1"/>
    <col min="6" max="6" width="24.109375" bestFit="1" customWidth="1"/>
    <col min="7" max="7" width="16.6640625" bestFit="1" customWidth="1"/>
    <col min="8" max="8" width="14.5546875" bestFit="1" customWidth="1"/>
    <col min="9" max="9" width="5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148496.69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18</v>
      </c>
      <c r="B3" s="2" t="s">
        <v>19</v>
      </c>
      <c r="C3" s="2" t="s">
        <v>20</v>
      </c>
      <c r="D3" s="9">
        <f>15320431.27-H65-H66-H68-H67-H69-H70-H71</f>
        <v>10031.999999998603</v>
      </c>
      <c r="E3" s="2" t="s">
        <v>12</v>
      </c>
      <c r="F3" s="2" t="s">
        <v>21</v>
      </c>
      <c r="G3" s="2" t="s">
        <v>14</v>
      </c>
      <c r="H3" s="2" t="s">
        <v>17</v>
      </c>
      <c r="I3" s="2" t="s">
        <v>22</v>
      </c>
    </row>
    <row r="4" spans="1:9" x14ac:dyDescent="0.3">
      <c r="A4" s="2" t="s">
        <v>23</v>
      </c>
      <c r="B4" s="2" t="s">
        <v>24</v>
      </c>
      <c r="C4" s="2" t="s">
        <v>25</v>
      </c>
      <c r="D4" s="3">
        <v>163000</v>
      </c>
      <c r="E4" s="2" t="s">
        <v>12</v>
      </c>
      <c r="F4" s="2" t="s">
        <v>26</v>
      </c>
      <c r="G4" s="2" t="s">
        <v>14</v>
      </c>
      <c r="H4" s="2" t="s">
        <v>17</v>
      </c>
      <c r="I4" s="2" t="s">
        <v>27</v>
      </c>
    </row>
    <row r="5" spans="1:9" x14ac:dyDescent="0.3">
      <c r="A5" s="2" t="s">
        <v>28</v>
      </c>
      <c r="B5" s="2" t="s">
        <v>29</v>
      </c>
      <c r="C5" s="2" t="s">
        <v>25</v>
      </c>
      <c r="D5" s="3">
        <v>23023.89</v>
      </c>
      <c r="E5" s="2" t="s">
        <v>12</v>
      </c>
      <c r="F5" s="2" t="s">
        <v>26</v>
      </c>
      <c r="G5" s="2" t="s">
        <v>14</v>
      </c>
      <c r="H5" s="2" t="s">
        <v>17</v>
      </c>
      <c r="I5" s="2" t="s">
        <v>30</v>
      </c>
    </row>
    <row r="6" spans="1:9" x14ac:dyDescent="0.3">
      <c r="A6" s="2" t="s">
        <v>31</v>
      </c>
      <c r="B6" s="2" t="s">
        <v>32</v>
      </c>
      <c r="C6" s="2" t="s">
        <v>25</v>
      </c>
      <c r="D6" s="3">
        <v>86210</v>
      </c>
      <c r="E6" s="2" t="s">
        <v>12</v>
      </c>
      <c r="F6" s="2" t="s">
        <v>26</v>
      </c>
      <c r="G6" s="2" t="s">
        <v>14</v>
      </c>
      <c r="H6" s="2" t="s">
        <v>17</v>
      </c>
      <c r="I6" s="2" t="s">
        <v>33</v>
      </c>
    </row>
    <row r="7" spans="1:9" x14ac:dyDescent="0.3">
      <c r="A7" s="2" t="s">
        <v>34</v>
      </c>
      <c r="B7" s="2" t="s">
        <v>35</v>
      </c>
      <c r="C7" s="2" t="s">
        <v>25</v>
      </c>
      <c r="D7" s="3">
        <v>15762.6</v>
      </c>
      <c r="E7" s="2" t="s">
        <v>12</v>
      </c>
      <c r="F7" s="2" t="s">
        <v>26</v>
      </c>
      <c r="G7" s="2" t="s">
        <v>14</v>
      </c>
      <c r="H7" s="2" t="s">
        <v>17</v>
      </c>
      <c r="I7" s="2" t="s">
        <v>36</v>
      </c>
    </row>
    <row r="8" spans="1:9" x14ac:dyDescent="0.3">
      <c r="A8" s="2" t="s">
        <v>37</v>
      </c>
      <c r="B8" s="2" t="s">
        <v>38</v>
      </c>
      <c r="C8" s="2" t="s">
        <v>25</v>
      </c>
      <c r="D8" s="3">
        <v>44001.440000000002</v>
      </c>
      <c r="E8" s="2" t="s">
        <v>12</v>
      </c>
      <c r="F8" s="2" t="s">
        <v>26</v>
      </c>
      <c r="G8" s="2" t="s">
        <v>14</v>
      </c>
      <c r="H8" s="2" t="s">
        <v>17</v>
      </c>
      <c r="I8" s="2" t="s">
        <v>39</v>
      </c>
    </row>
    <row r="9" spans="1:9" x14ac:dyDescent="0.3">
      <c r="A9" s="2" t="s">
        <v>40</v>
      </c>
      <c r="B9" s="2" t="s">
        <v>41</v>
      </c>
      <c r="C9" s="2" t="s">
        <v>25</v>
      </c>
      <c r="D9" s="3">
        <v>57640.08</v>
      </c>
      <c r="E9" s="2" t="s">
        <v>12</v>
      </c>
      <c r="F9" s="2" t="s">
        <v>26</v>
      </c>
      <c r="G9" s="2" t="s">
        <v>14</v>
      </c>
      <c r="H9" s="2" t="s">
        <v>17</v>
      </c>
      <c r="I9" s="2" t="s">
        <v>42</v>
      </c>
    </row>
    <row r="10" spans="1:9" x14ac:dyDescent="0.3">
      <c r="A10" s="2" t="s">
        <v>43</v>
      </c>
      <c r="B10" s="2" t="s">
        <v>44</v>
      </c>
      <c r="C10" s="2" t="s">
        <v>25</v>
      </c>
      <c r="D10" s="3">
        <v>51616.44</v>
      </c>
      <c r="E10" s="2" t="s">
        <v>12</v>
      </c>
      <c r="F10" s="2" t="s">
        <v>26</v>
      </c>
      <c r="G10" s="2" t="s">
        <v>14</v>
      </c>
      <c r="H10" s="2" t="s">
        <v>17</v>
      </c>
      <c r="I10" s="2" t="s">
        <v>45</v>
      </c>
    </row>
    <row r="11" spans="1:9" x14ac:dyDescent="0.3">
      <c r="A11" s="2" t="s">
        <v>46</v>
      </c>
      <c r="B11" s="2" t="s">
        <v>47</v>
      </c>
      <c r="C11" s="2" t="s">
        <v>25</v>
      </c>
      <c r="D11" s="3">
        <v>63889.68</v>
      </c>
      <c r="E11" s="2" t="s">
        <v>12</v>
      </c>
      <c r="F11" s="2" t="s">
        <v>26</v>
      </c>
      <c r="G11" s="2" t="s">
        <v>14</v>
      </c>
      <c r="H11" s="2" t="s">
        <v>17</v>
      </c>
      <c r="I11" s="2" t="s">
        <v>48</v>
      </c>
    </row>
    <row r="12" spans="1:9" x14ac:dyDescent="0.3">
      <c r="A12" s="2" t="s">
        <v>49</v>
      </c>
      <c r="B12" s="2" t="s">
        <v>50</v>
      </c>
      <c r="C12" s="2" t="s">
        <v>20</v>
      </c>
      <c r="D12" s="3">
        <v>2150496</v>
      </c>
      <c r="E12" s="2" t="s">
        <v>12</v>
      </c>
      <c r="F12" s="2" t="s">
        <v>51</v>
      </c>
      <c r="G12" s="2" t="s">
        <v>14</v>
      </c>
      <c r="H12" s="2" t="s">
        <v>15</v>
      </c>
      <c r="I12" s="2" t="s">
        <v>52</v>
      </c>
    </row>
    <row r="13" spans="1:9" x14ac:dyDescent="0.3">
      <c r="A13" s="2" t="s">
        <v>53</v>
      </c>
      <c r="B13" s="2" t="s">
        <v>54</v>
      </c>
      <c r="C13" s="2" t="s">
        <v>20</v>
      </c>
      <c r="D13" s="3">
        <v>244076.33</v>
      </c>
      <c r="E13" s="2" t="s">
        <v>12</v>
      </c>
      <c r="F13" s="2" t="s">
        <v>21</v>
      </c>
      <c r="G13" s="2" t="s">
        <v>14</v>
      </c>
      <c r="H13" s="2" t="s">
        <v>15</v>
      </c>
      <c r="I13" s="2" t="s">
        <v>55</v>
      </c>
    </row>
    <row r="14" spans="1:9" x14ac:dyDescent="0.3">
      <c r="A14" s="2" t="s">
        <v>56</v>
      </c>
      <c r="B14" s="2" t="s">
        <v>57</v>
      </c>
      <c r="C14" s="2" t="s">
        <v>20</v>
      </c>
      <c r="D14" s="3">
        <v>690300.6</v>
      </c>
      <c r="E14" s="2" t="s">
        <v>12</v>
      </c>
      <c r="F14" s="2" t="s">
        <v>51</v>
      </c>
      <c r="G14" s="2" t="s">
        <v>14</v>
      </c>
      <c r="H14" s="2" t="s">
        <v>15</v>
      </c>
      <c r="I14" s="2" t="s">
        <v>58</v>
      </c>
    </row>
    <row r="15" spans="1:9" x14ac:dyDescent="0.3">
      <c r="A15" s="2" t="s">
        <v>59</v>
      </c>
      <c r="B15" s="2" t="s">
        <v>60</v>
      </c>
      <c r="C15" s="2" t="s">
        <v>20</v>
      </c>
      <c r="D15" s="3">
        <v>293650.2</v>
      </c>
      <c r="E15" s="2" t="s">
        <v>12</v>
      </c>
      <c r="F15" s="2" t="s">
        <v>51</v>
      </c>
      <c r="G15" s="2" t="s">
        <v>14</v>
      </c>
      <c r="H15" s="2" t="s">
        <v>15</v>
      </c>
      <c r="I15" s="2" t="s">
        <v>61</v>
      </c>
    </row>
    <row r="16" spans="1:9" x14ac:dyDescent="0.3">
      <c r="A16" s="2" t="s">
        <v>62</v>
      </c>
      <c r="B16" s="2" t="s">
        <v>63</v>
      </c>
      <c r="C16" s="2" t="s">
        <v>20</v>
      </c>
      <c r="D16" s="3">
        <v>879777.9</v>
      </c>
      <c r="E16" s="2" t="s">
        <v>12</v>
      </c>
      <c r="F16" s="2" t="s">
        <v>51</v>
      </c>
      <c r="G16" s="2" t="s">
        <v>14</v>
      </c>
      <c r="H16" s="2" t="s">
        <v>15</v>
      </c>
      <c r="I16" s="2" t="s">
        <v>64</v>
      </c>
    </row>
    <row r="17" spans="1:9" x14ac:dyDescent="0.3">
      <c r="A17" s="2" t="s">
        <v>65</v>
      </c>
      <c r="B17" s="2" t="s">
        <v>66</v>
      </c>
      <c r="C17" s="2" t="s">
        <v>67</v>
      </c>
      <c r="D17" s="3">
        <v>1626467.6</v>
      </c>
      <c r="E17" s="2" t="s">
        <v>12</v>
      </c>
      <c r="F17" s="2" t="s">
        <v>68</v>
      </c>
      <c r="G17" s="2" t="s">
        <v>14</v>
      </c>
      <c r="H17" s="2" t="s">
        <v>15</v>
      </c>
      <c r="I17" s="2"/>
    </row>
    <row r="18" spans="1:9" x14ac:dyDescent="0.3">
      <c r="A18" s="2" t="s">
        <v>69</v>
      </c>
      <c r="B18" s="2" t="s">
        <v>70</v>
      </c>
      <c r="C18" s="2" t="s">
        <v>71</v>
      </c>
      <c r="D18" s="3">
        <v>194460.72</v>
      </c>
      <c r="E18" s="2" t="s">
        <v>12</v>
      </c>
      <c r="F18" s="2" t="s">
        <v>72</v>
      </c>
      <c r="G18" s="2" t="s">
        <v>14</v>
      </c>
      <c r="H18" s="2" t="s">
        <v>17</v>
      </c>
      <c r="I18" s="2" t="s">
        <v>73</v>
      </c>
    </row>
    <row r="19" spans="1:9" x14ac:dyDescent="0.3">
      <c r="A19" s="2" t="s">
        <v>69</v>
      </c>
      <c r="B19" s="2" t="s">
        <v>74</v>
      </c>
      <c r="C19" s="2" t="s">
        <v>71</v>
      </c>
      <c r="D19" s="3">
        <v>186593.22</v>
      </c>
      <c r="E19" s="2" t="s">
        <v>12</v>
      </c>
      <c r="F19" s="2" t="s">
        <v>72</v>
      </c>
      <c r="G19" s="2" t="s">
        <v>14</v>
      </c>
      <c r="H19" s="2" t="s">
        <v>17</v>
      </c>
      <c r="I19" s="2" t="s">
        <v>75</v>
      </c>
    </row>
    <row r="20" spans="1:9" x14ac:dyDescent="0.3">
      <c r="A20" s="2" t="s">
        <v>69</v>
      </c>
      <c r="B20" s="2" t="s">
        <v>76</v>
      </c>
      <c r="C20" s="2" t="s">
        <v>71</v>
      </c>
      <c r="D20" s="3">
        <v>339252.92</v>
      </c>
      <c r="E20" s="2" t="s">
        <v>12</v>
      </c>
      <c r="F20" s="2" t="s">
        <v>72</v>
      </c>
      <c r="G20" s="2" t="s">
        <v>14</v>
      </c>
      <c r="H20" s="2" t="s">
        <v>17</v>
      </c>
      <c r="I20" s="2" t="s">
        <v>77</v>
      </c>
    </row>
    <row r="21" spans="1:9" x14ac:dyDescent="0.3">
      <c r="A21" s="2" t="s">
        <v>69</v>
      </c>
      <c r="B21" s="2" t="s">
        <v>78</v>
      </c>
      <c r="C21" s="2" t="s">
        <v>71</v>
      </c>
      <c r="D21" s="3">
        <v>1169842.44</v>
      </c>
      <c r="E21" s="2" t="s">
        <v>12</v>
      </c>
      <c r="F21" s="2" t="s">
        <v>72</v>
      </c>
      <c r="G21" s="2" t="s">
        <v>14</v>
      </c>
      <c r="H21" s="2" t="s">
        <v>17</v>
      </c>
      <c r="I21" s="2" t="s">
        <v>79</v>
      </c>
    </row>
    <row r="22" spans="1:9" x14ac:dyDescent="0.3">
      <c r="A22" s="2" t="s">
        <v>69</v>
      </c>
      <c r="B22" s="2" t="s">
        <v>80</v>
      </c>
      <c r="C22" s="2" t="s">
        <v>71</v>
      </c>
      <c r="D22" s="3">
        <v>512689.22</v>
      </c>
      <c r="E22" s="2" t="s">
        <v>12</v>
      </c>
      <c r="F22" s="2" t="s">
        <v>72</v>
      </c>
      <c r="G22" s="2" t="s">
        <v>14</v>
      </c>
      <c r="H22" s="2" t="s">
        <v>17</v>
      </c>
      <c r="I22" s="2" t="s">
        <v>81</v>
      </c>
    </row>
    <row r="23" spans="1:9" x14ac:dyDescent="0.3">
      <c r="A23" s="2" t="s">
        <v>69</v>
      </c>
      <c r="B23" s="2" t="s">
        <v>82</v>
      </c>
      <c r="C23" s="2" t="s">
        <v>71</v>
      </c>
      <c r="D23" s="3">
        <v>40987.85</v>
      </c>
      <c r="E23" s="2" t="s">
        <v>12</v>
      </c>
      <c r="F23" s="2" t="s">
        <v>72</v>
      </c>
      <c r="G23" s="2" t="s">
        <v>14</v>
      </c>
      <c r="H23" s="2" t="s">
        <v>17</v>
      </c>
      <c r="I23" s="2" t="s">
        <v>83</v>
      </c>
    </row>
    <row r="24" spans="1:9" x14ac:dyDescent="0.3">
      <c r="A24" s="2" t="s">
        <v>69</v>
      </c>
      <c r="B24" s="2" t="s">
        <v>84</v>
      </c>
      <c r="C24" s="2" t="s">
        <v>71</v>
      </c>
      <c r="D24" s="3">
        <v>313602.15999999997</v>
      </c>
      <c r="E24" s="2" t="s">
        <v>12</v>
      </c>
      <c r="F24" s="2" t="s">
        <v>72</v>
      </c>
      <c r="G24" s="2" t="s">
        <v>14</v>
      </c>
      <c r="H24" s="2" t="s">
        <v>17</v>
      </c>
      <c r="I24" s="2" t="s">
        <v>85</v>
      </c>
    </row>
    <row r="25" spans="1:9" x14ac:dyDescent="0.3">
      <c r="A25" s="2" t="s">
        <v>69</v>
      </c>
      <c r="B25" s="2" t="s">
        <v>86</v>
      </c>
      <c r="C25" s="2" t="s">
        <v>71</v>
      </c>
      <c r="D25" s="3">
        <v>2113506.4</v>
      </c>
      <c r="E25" s="2" t="s">
        <v>12</v>
      </c>
      <c r="F25" s="2" t="s">
        <v>72</v>
      </c>
      <c r="G25" s="2" t="s">
        <v>14</v>
      </c>
      <c r="H25" s="2" t="s">
        <v>17</v>
      </c>
      <c r="I25" s="2" t="s">
        <v>87</v>
      </c>
    </row>
    <row r="26" spans="1:9" x14ac:dyDescent="0.3">
      <c r="A26" s="2" t="s">
        <v>69</v>
      </c>
      <c r="B26" s="2" t="s">
        <v>88</v>
      </c>
      <c r="C26" s="2" t="s">
        <v>71</v>
      </c>
      <c r="D26" s="3">
        <v>37302.28</v>
      </c>
      <c r="E26" s="2" t="s">
        <v>12</v>
      </c>
      <c r="F26" s="2" t="s">
        <v>72</v>
      </c>
      <c r="G26" s="2" t="s">
        <v>14</v>
      </c>
      <c r="H26" s="2" t="s">
        <v>17</v>
      </c>
      <c r="I26" s="2" t="s">
        <v>89</v>
      </c>
    </row>
    <row r="27" spans="1:9" x14ac:dyDescent="0.3">
      <c r="A27" s="2" t="s">
        <v>69</v>
      </c>
      <c r="B27" s="2" t="s">
        <v>90</v>
      </c>
      <c r="C27" s="2" t="s">
        <v>71</v>
      </c>
      <c r="D27" s="3">
        <v>633942.19999999995</v>
      </c>
      <c r="E27" s="2" t="s">
        <v>12</v>
      </c>
      <c r="F27" s="2" t="s">
        <v>72</v>
      </c>
      <c r="G27" s="2" t="s">
        <v>14</v>
      </c>
      <c r="H27" s="2" t="s">
        <v>17</v>
      </c>
      <c r="I27" s="2" t="s">
        <v>91</v>
      </c>
    </row>
    <row r="28" spans="1:9" x14ac:dyDescent="0.3">
      <c r="A28" s="2" t="s">
        <v>69</v>
      </c>
      <c r="B28" s="2" t="s">
        <v>92</v>
      </c>
      <c r="C28" s="2" t="s">
        <v>71</v>
      </c>
      <c r="D28" s="3">
        <v>1118415.18</v>
      </c>
      <c r="E28" s="2" t="s">
        <v>12</v>
      </c>
      <c r="F28" s="2" t="s">
        <v>72</v>
      </c>
      <c r="G28" s="2" t="s">
        <v>14</v>
      </c>
      <c r="H28" s="2" t="s">
        <v>17</v>
      </c>
      <c r="I28" s="2" t="s">
        <v>93</v>
      </c>
    </row>
    <row r="29" spans="1:9" x14ac:dyDescent="0.3">
      <c r="A29" s="2" t="s">
        <v>69</v>
      </c>
      <c r="B29" s="2" t="s">
        <v>94</v>
      </c>
      <c r="C29" s="2" t="s">
        <v>71</v>
      </c>
      <c r="D29" s="3">
        <v>61366.12</v>
      </c>
      <c r="E29" s="2" t="s">
        <v>12</v>
      </c>
      <c r="F29" s="2" t="s">
        <v>72</v>
      </c>
      <c r="G29" s="2" t="s">
        <v>14</v>
      </c>
      <c r="H29" s="2" t="s">
        <v>17</v>
      </c>
      <c r="I29" s="2" t="s">
        <v>95</v>
      </c>
    </row>
    <row r="30" spans="1:9" x14ac:dyDescent="0.3">
      <c r="A30" s="2" t="s">
        <v>69</v>
      </c>
      <c r="B30" s="2" t="s">
        <v>96</v>
      </c>
      <c r="C30" s="2" t="s">
        <v>71</v>
      </c>
      <c r="D30" s="3">
        <v>496446.41</v>
      </c>
      <c r="E30" s="2" t="s">
        <v>12</v>
      </c>
      <c r="F30" s="2" t="s">
        <v>72</v>
      </c>
      <c r="G30" s="2" t="s">
        <v>14</v>
      </c>
      <c r="H30" s="2" t="s">
        <v>17</v>
      </c>
      <c r="I30" s="2" t="s">
        <v>97</v>
      </c>
    </row>
    <row r="31" spans="1:9" x14ac:dyDescent="0.3">
      <c r="A31" s="2" t="s">
        <v>69</v>
      </c>
      <c r="B31" s="2" t="s">
        <v>98</v>
      </c>
      <c r="C31" s="2" t="s">
        <v>71</v>
      </c>
      <c r="D31" s="3">
        <v>759081.32</v>
      </c>
      <c r="E31" s="2" t="s">
        <v>12</v>
      </c>
      <c r="F31" s="2" t="s">
        <v>72</v>
      </c>
      <c r="G31" s="2" t="s">
        <v>14</v>
      </c>
      <c r="H31" s="2" t="s">
        <v>17</v>
      </c>
      <c r="I31" s="2" t="s">
        <v>99</v>
      </c>
    </row>
    <row r="32" spans="1:9" x14ac:dyDescent="0.3">
      <c r="A32" s="2" t="s">
        <v>69</v>
      </c>
      <c r="B32" s="2" t="s">
        <v>100</v>
      </c>
      <c r="C32" s="2" t="s">
        <v>71</v>
      </c>
      <c r="D32" s="3">
        <v>296982.08</v>
      </c>
      <c r="E32" s="2" t="s">
        <v>12</v>
      </c>
      <c r="F32" s="2" t="s">
        <v>72</v>
      </c>
      <c r="G32" s="2" t="s">
        <v>14</v>
      </c>
      <c r="H32" s="2" t="s">
        <v>17</v>
      </c>
      <c r="I32" s="2" t="s">
        <v>101</v>
      </c>
    </row>
    <row r="33" spans="1:9" x14ac:dyDescent="0.3">
      <c r="A33" s="2" t="s">
        <v>102</v>
      </c>
      <c r="B33" s="2" t="s">
        <v>103</v>
      </c>
      <c r="C33" s="2" t="s">
        <v>104</v>
      </c>
      <c r="D33" s="3">
        <v>760078.67</v>
      </c>
      <c r="E33" s="2" t="s">
        <v>12</v>
      </c>
      <c r="F33" s="2" t="s">
        <v>105</v>
      </c>
      <c r="G33" s="2" t="s">
        <v>14</v>
      </c>
      <c r="H33" s="2" t="s">
        <v>15</v>
      </c>
      <c r="I33" s="2" t="s">
        <v>106</v>
      </c>
    </row>
    <row r="34" spans="1:9" x14ac:dyDescent="0.3">
      <c r="A34" s="2" t="s">
        <v>102</v>
      </c>
      <c r="B34" s="2" t="s">
        <v>107</v>
      </c>
      <c r="C34" s="2" t="s">
        <v>11</v>
      </c>
      <c r="D34" s="3">
        <v>39729.65</v>
      </c>
      <c r="E34" s="2" t="s">
        <v>12</v>
      </c>
      <c r="F34" s="2" t="s">
        <v>13</v>
      </c>
      <c r="G34" s="2" t="s">
        <v>14</v>
      </c>
      <c r="H34" s="2" t="s">
        <v>15</v>
      </c>
      <c r="I34" s="2" t="s">
        <v>108</v>
      </c>
    </row>
    <row r="35" spans="1:9" x14ac:dyDescent="0.3">
      <c r="A35" s="2" t="s">
        <v>102</v>
      </c>
      <c r="B35" s="2" t="s">
        <v>109</v>
      </c>
      <c r="C35" s="2" t="s">
        <v>11</v>
      </c>
      <c r="D35" s="3">
        <v>678739.98</v>
      </c>
      <c r="E35" s="2" t="s">
        <v>12</v>
      </c>
      <c r="F35" s="2" t="s">
        <v>13</v>
      </c>
      <c r="G35" s="2" t="s">
        <v>14</v>
      </c>
      <c r="H35" s="2" t="s">
        <v>15</v>
      </c>
      <c r="I35" s="2" t="s">
        <v>110</v>
      </c>
    </row>
    <row r="36" spans="1:9" x14ac:dyDescent="0.3">
      <c r="A36" s="2" t="s">
        <v>111</v>
      </c>
      <c r="B36" s="2" t="s">
        <v>112</v>
      </c>
      <c r="C36" s="2" t="s">
        <v>25</v>
      </c>
      <c r="D36" s="3">
        <v>262930</v>
      </c>
      <c r="E36" s="2" t="s">
        <v>12</v>
      </c>
      <c r="F36" s="2" t="s">
        <v>26</v>
      </c>
      <c r="G36" s="2" t="s">
        <v>14</v>
      </c>
      <c r="H36" s="2" t="s">
        <v>17</v>
      </c>
      <c r="I36" s="2" t="s">
        <v>113</v>
      </c>
    </row>
    <row r="37" spans="1:9" x14ac:dyDescent="0.3">
      <c r="A37" s="2" t="s">
        <v>114</v>
      </c>
      <c r="B37" s="2" t="s">
        <v>115</v>
      </c>
      <c r="C37" s="2" t="s">
        <v>11</v>
      </c>
      <c r="D37" s="3">
        <v>48027.42</v>
      </c>
      <c r="E37" s="2" t="s">
        <v>12</v>
      </c>
      <c r="F37" s="2" t="s">
        <v>13</v>
      </c>
      <c r="G37" s="2" t="s">
        <v>14</v>
      </c>
      <c r="H37" s="2" t="s">
        <v>15</v>
      </c>
      <c r="I37" s="2" t="s">
        <v>108</v>
      </c>
    </row>
    <row r="38" spans="1:9" x14ac:dyDescent="0.3">
      <c r="A38" s="2" t="s">
        <v>114</v>
      </c>
      <c r="B38" s="2" t="s">
        <v>116</v>
      </c>
      <c r="C38" s="2" t="s">
        <v>20</v>
      </c>
      <c r="D38" s="3">
        <v>838006.75</v>
      </c>
      <c r="E38" s="2" t="s">
        <v>12</v>
      </c>
      <c r="F38" s="2" t="s">
        <v>21</v>
      </c>
      <c r="G38" s="2" t="s">
        <v>14</v>
      </c>
      <c r="H38" s="2" t="s">
        <v>15</v>
      </c>
      <c r="I38" s="2" t="s">
        <v>117</v>
      </c>
    </row>
    <row r="39" spans="1:9" x14ac:dyDescent="0.3">
      <c r="A39" s="2" t="s">
        <v>118</v>
      </c>
      <c r="B39" s="2" t="s">
        <v>119</v>
      </c>
      <c r="C39" s="2" t="s">
        <v>20</v>
      </c>
      <c r="D39" s="3">
        <v>1208467.1599999999</v>
      </c>
      <c r="E39" s="2" t="s">
        <v>12</v>
      </c>
      <c r="F39" s="2" t="s">
        <v>51</v>
      </c>
      <c r="G39" s="2" t="s">
        <v>14</v>
      </c>
      <c r="H39" s="2" t="s">
        <v>15</v>
      </c>
      <c r="I39" s="2" t="s">
        <v>120</v>
      </c>
    </row>
    <row r="40" spans="1:9" x14ac:dyDescent="0.3">
      <c r="A40" s="2" t="s">
        <v>118</v>
      </c>
      <c r="B40" s="2" t="s">
        <v>121</v>
      </c>
      <c r="C40" s="2" t="s">
        <v>20</v>
      </c>
      <c r="D40" s="3">
        <v>676459.44</v>
      </c>
      <c r="E40" s="2" t="s">
        <v>12</v>
      </c>
      <c r="F40" s="2" t="s">
        <v>51</v>
      </c>
      <c r="G40" s="2" t="s">
        <v>14</v>
      </c>
      <c r="H40" s="2" t="s">
        <v>15</v>
      </c>
      <c r="I40" s="2" t="s">
        <v>122</v>
      </c>
    </row>
    <row r="41" spans="1:9" x14ac:dyDescent="0.3">
      <c r="A41" s="2" t="s">
        <v>118</v>
      </c>
      <c r="B41" s="2" t="s">
        <v>123</v>
      </c>
      <c r="C41" s="2" t="s">
        <v>20</v>
      </c>
      <c r="D41" s="3">
        <v>1573765.6</v>
      </c>
      <c r="E41" s="2" t="s">
        <v>12</v>
      </c>
      <c r="F41" s="2" t="s">
        <v>51</v>
      </c>
      <c r="G41" s="2" t="s">
        <v>14</v>
      </c>
      <c r="H41" s="2" t="s">
        <v>15</v>
      </c>
      <c r="I41" s="2" t="s">
        <v>124</v>
      </c>
    </row>
    <row r="42" spans="1:9" x14ac:dyDescent="0.3">
      <c r="A42" s="2" t="s">
        <v>118</v>
      </c>
      <c r="B42" s="2" t="s">
        <v>125</v>
      </c>
      <c r="C42" s="2" t="s">
        <v>20</v>
      </c>
      <c r="D42" s="3">
        <v>400634.29</v>
      </c>
      <c r="E42" s="2" t="s">
        <v>12</v>
      </c>
      <c r="F42" s="2" t="s">
        <v>51</v>
      </c>
      <c r="G42" s="2" t="s">
        <v>14</v>
      </c>
      <c r="H42" s="2" t="s">
        <v>15</v>
      </c>
      <c r="I42" s="2" t="s">
        <v>126</v>
      </c>
    </row>
    <row r="43" spans="1:9" x14ac:dyDescent="0.3">
      <c r="A43" s="2" t="s">
        <v>118</v>
      </c>
      <c r="B43" s="2" t="s">
        <v>127</v>
      </c>
      <c r="C43" s="2" t="s">
        <v>20</v>
      </c>
      <c r="D43" s="3">
        <v>556360.21</v>
      </c>
      <c r="E43" s="2" t="s">
        <v>12</v>
      </c>
      <c r="F43" s="2" t="s">
        <v>21</v>
      </c>
      <c r="G43" s="2" t="s">
        <v>14</v>
      </c>
      <c r="H43" s="2" t="s">
        <v>15</v>
      </c>
      <c r="I43" s="2" t="s">
        <v>128</v>
      </c>
    </row>
    <row r="44" spans="1:9" x14ac:dyDescent="0.3">
      <c r="A44" s="2" t="s">
        <v>129</v>
      </c>
      <c r="B44" s="2" t="s">
        <v>130</v>
      </c>
      <c r="C44" s="2" t="s">
        <v>25</v>
      </c>
      <c r="D44" s="3">
        <v>110477.48</v>
      </c>
      <c r="E44" s="2" t="s">
        <v>12</v>
      </c>
      <c r="F44" s="2" t="s">
        <v>26</v>
      </c>
      <c r="G44" s="2" t="s">
        <v>14</v>
      </c>
      <c r="H44" s="2" t="s">
        <v>17</v>
      </c>
      <c r="I44" s="2" t="s">
        <v>131</v>
      </c>
    </row>
    <row r="45" spans="1:9" x14ac:dyDescent="0.3">
      <c r="A45" s="2" t="s">
        <v>132</v>
      </c>
      <c r="B45" s="2" t="s">
        <v>133</v>
      </c>
      <c r="C45" s="2" t="s">
        <v>25</v>
      </c>
      <c r="D45" s="3">
        <v>267630</v>
      </c>
      <c r="E45" s="2" t="s">
        <v>12</v>
      </c>
      <c r="F45" s="2" t="s">
        <v>26</v>
      </c>
      <c r="G45" s="2" t="s">
        <v>14</v>
      </c>
      <c r="H45" s="2" t="s">
        <v>15</v>
      </c>
      <c r="I45" s="2" t="s">
        <v>134</v>
      </c>
    </row>
    <row r="46" spans="1:9" x14ac:dyDescent="0.3">
      <c r="A46" s="2" t="s">
        <v>135</v>
      </c>
      <c r="B46" s="2" t="s">
        <v>136</v>
      </c>
      <c r="C46" s="2" t="s">
        <v>20</v>
      </c>
      <c r="D46" s="3">
        <v>1019637.38</v>
      </c>
      <c r="E46" s="2" t="s">
        <v>12</v>
      </c>
      <c r="F46" s="2" t="s">
        <v>51</v>
      </c>
      <c r="G46" s="2" t="s">
        <v>14</v>
      </c>
      <c r="H46" s="2" t="s">
        <v>15</v>
      </c>
      <c r="I46" s="2" t="s">
        <v>137</v>
      </c>
    </row>
    <row r="47" spans="1:9" x14ac:dyDescent="0.3">
      <c r="A47" s="2" t="s">
        <v>138</v>
      </c>
      <c r="B47" s="2" t="s">
        <v>139</v>
      </c>
      <c r="C47" s="2" t="s">
        <v>140</v>
      </c>
      <c r="D47" s="3">
        <v>984600.24</v>
      </c>
      <c r="E47" s="2" t="s">
        <v>12</v>
      </c>
      <c r="F47" s="2" t="s">
        <v>141</v>
      </c>
      <c r="G47" s="2" t="s">
        <v>14</v>
      </c>
      <c r="H47" s="2" t="s">
        <v>15</v>
      </c>
      <c r="I47" s="2" t="s">
        <v>142</v>
      </c>
    </row>
    <row r="48" spans="1:9" x14ac:dyDescent="0.3">
      <c r="A48" s="2" t="s">
        <v>138</v>
      </c>
      <c r="B48" s="2" t="s">
        <v>143</v>
      </c>
      <c r="C48" s="2" t="s">
        <v>140</v>
      </c>
      <c r="D48" s="3">
        <v>1252857.3600000001</v>
      </c>
      <c r="E48" s="2" t="s">
        <v>12</v>
      </c>
      <c r="F48" s="2" t="s">
        <v>141</v>
      </c>
      <c r="G48" s="2" t="s">
        <v>14</v>
      </c>
      <c r="H48" s="2" t="s">
        <v>15</v>
      </c>
      <c r="I48" s="2" t="s">
        <v>144</v>
      </c>
    </row>
    <row r="49" spans="1:9" x14ac:dyDescent="0.3">
      <c r="A49" s="2" t="s">
        <v>145</v>
      </c>
      <c r="B49" s="2" t="s">
        <v>146</v>
      </c>
      <c r="C49" s="2" t="s">
        <v>71</v>
      </c>
      <c r="D49" s="3">
        <v>398311.36</v>
      </c>
      <c r="E49" s="2" t="s">
        <v>12</v>
      </c>
      <c r="F49" s="2" t="s">
        <v>72</v>
      </c>
      <c r="G49" s="2" t="s">
        <v>14</v>
      </c>
      <c r="H49" s="2" t="s">
        <v>15</v>
      </c>
      <c r="I49" s="2" t="s">
        <v>147</v>
      </c>
    </row>
    <row r="50" spans="1:9" x14ac:dyDescent="0.3">
      <c r="A50" s="2" t="s">
        <v>145</v>
      </c>
      <c r="B50" s="2" t="s">
        <v>148</v>
      </c>
      <c r="C50" s="2" t="s">
        <v>71</v>
      </c>
      <c r="D50" s="3">
        <v>94069.87</v>
      </c>
      <c r="E50" s="2" t="s">
        <v>12</v>
      </c>
      <c r="F50" s="2" t="s">
        <v>72</v>
      </c>
      <c r="G50" s="2" t="s">
        <v>14</v>
      </c>
      <c r="H50" s="2" t="s">
        <v>15</v>
      </c>
      <c r="I50" s="2" t="s">
        <v>149</v>
      </c>
    </row>
    <row r="51" spans="1:9" x14ac:dyDescent="0.3">
      <c r="A51" s="2" t="s">
        <v>145</v>
      </c>
      <c r="B51" s="2" t="s">
        <v>150</v>
      </c>
      <c r="C51" s="2" t="s">
        <v>71</v>
      </c>
      <c r="D51" s="3">
        <v>534342.43999999994</v>
      </c>
      <c r="E51" s="2" t="s">
        <v>12</v>
      </c>
      <c r="F51" s="2" t="s">
        <v>72</v>
      </c>
      <c r="G51" s="2" t="s">
        <v>14</v>
      </c>
      <c r="H51" s="2" t="s">
        <v>15</v>
      </c>
      <c r="I51" s="2" t="s">
        <v>151</v>
      </c>
    </row>
    <row r="52" spans="1:9" x14ac:dyDescent="0.3">
      <c r="A52" s="2" t="s">
        <v>145</v>
      </c>
      <c r="B52" s="2" t="s">
        <v>152</v>
      </c>
      <c r="C52" s="2" t="s">
        <v>71</v>
      </c>
      <c r="D52" s="3">
        <v>368527.66</v>
      </c>
      <c r="E52" s="2" t="s">
        <v>12</v>
      </c>
      <c r="F52" s="2" t="s">
        <v>72</v>
      </c>
      <c r="G52" s="2" t="s">
        <v>14</v>
      </c>
      <c r="H52" s="2" t="s">
        <v>15</v>
      </c>
      <c r="I52" s="2" t="s">
        <v>153</v>
      </c>
    </row>
    <row r="53" spans="1:9" x14ac:dyDescent="0.3">
      <c r="A53" s="2" t="s">
        <v>145</v>
      </c>
      <c r="B53" s="2" t="s">
        <v>154</v>
      </c>
      <c r="C53" s="2" t="s">
        <v>71</v>
      </c>
      <c r="D53" s="3">
        <v>29337.119999999999</v>
      </c>
      <c r="E53" s="2" t="s">
        <v>12</v>
      </c>
      <c r="F53" s="2" t="s">
        <v>72</v>
      </c>
      <c r="G53" s="2" t="s">
        <v>14</v>
      </c>
      <c r="H53" s="2" t="s">
        <v>15</v>
      </c>
      <c r="I53" s="2" t="s">
        <v>155</v>
      </c>
    </row>
    <row r="54" spans="1:9" x14ac:dyDescent="0.3">
      <c r="A54" s="2" t="s">
        <v>145</v>
      </c>
      <c r="B54" s="2" t="s">
        <v>156</v>
      </c>
      <c r="C54" s="2" t="s">
        <v>71</v>
      </c>
      <c r="D54" s="3">
        <v>33365.29</v>
      </c>
      <c r="E54" s="2" t="s">
        <v>12</v>
      </c>
      <c r="F54" s="2" t="s">
        <v>72</v>
      </c>
      <c r="G54" s="2" t="s">
        <v>14</v>
      </c>
      <c r="H54" s="2" t="s">
        <v>15</v>
      </c>
      <c r="I54" s="2" t="s">
        <v>157</v>
      </c>
    </row>
    <row r="55" spans="1:9" x14ac:dyDescent="0.3">
      <c r="A55" s="2" t="s">
        <v>145</v>
      </c>
      <c r="B55" s="2" t="s">
        <v>158</v>
      </c>
      <c r="C55" s="2" t="s">
        <v>71</v>
      </c>
      <c r="D55" s="3">
        <v>100172.22</v>
      </c>
      <c r="E55" s="2" t="s">
        <v>12</v>
      </c>
      <c r="F55" s="2" t="s">
        <v>72</v>
      </c>
      <c r="G55" s="2" t="s">
        <v>14</v>
      </c>
      <c r="H55" s="2" t="s">
        <v>15</v>
      </c>
      <c r="I55" s="2" t="s">
        <v>159</v>
      </c>
    </row>
    <row r="56" spans="1:9" x14ac:dyDescent="0.3">
      <c r="A56" s="2" t="s">
        <v>145</v>
      </c>
      <c r="B56" s="2" t="s">
        <v>160</v>
      </c>
      <c r="C56" s="2" t="s">
        <v>71</v>
      </c>
      <c r="D56" s="3">
        <v>156062.88</v>
      </c>
      <c r="E56" s="2" t="s">
        <v>12</v>
      </c>
      <c r="F56" s="2" t="s">
        <v>72</v>
      </c>
      <c r="G56" s="2" t="s">
        <v>14</v>
      </c>
      <c r="H56" s="2" t="s">
        <v>15</v>
      </c>
      <c r="I56" s="2" t="s">
        <v>161</v>
      </c>
    </row>
    <row r="57" spans="1:9" x14ac:dyDescent="0.3">
      <c r="A57" s="2" t="s">
        <v>145</v>
      </c>
      <c r="B57" s="2" t="s">
        <v>162</v>
      </c>
      <c r="C57" s="2" t="s">
        <v>71</v>
      </c>
      <c r="D57" s="3">
        <v>215752.97</v>
      </c>
      <c r="E57" s="2" t="s">
        <v>12</v>
      </c>
      <c r="F57" s="2" t="s">
        <v>72</v>
      </c>
      <c r="G57" s="2" t="s">
        <v>14</v>
      </c>
      <c r="H57" s="2" t="s">
        <v>15</v>
      </c>
      <c r="I57" s="2" t="s">
        <v>163</v>
      </c>
    </row>
    <row r="58" spans="1:9" x14ac:dyDescent="0.3">
      <c r="A58" s="2" t="s">
        <v>145</v>
      </c>
      <c r="B58" s="2" t="s">
        <v>164</v>
      </c>
      <c r="C58" s="2" t="s">
        <v>71</v>
      </c>
      <c r="D58" s="3">
        <v>234906.16</v>
      </c>
      <c r="E58" s="2" t="s">
        <v>12</v>
      </c>
      <c r="F58" s="2" t="s">
        <v>72</v>
      </c>
      <c r="G58" s="2" t="s">
        <v>14</v>
      </c>
      <c r="H58" s="2" t="s">
        <v>15</v>
      </c>
      <c r="I58" s="2" t="s">
        <v>165</v>
      </c>
    </row>
    <row r="59" spans="1:9" x14ac:dyDescent="0.3">
      <c r="A59" s="2" t="s">
        <v>145</v>
      </c>
      <c r="B59" s="2" t="s">
        <v>166</v>
      </c>
      <c r="C59" s="2" t="s">
        <v>71</v>
      </c>
      <c r="D59" s="3">
        <v>232646.11</v>
      </c>
      <c r="E59" s="2" t="s">
        <v>12</v>
      </c>
      <c r="F59" s="2" t="s">
        <v>72</v>
      </c>
      <c r="G59" s="2" t="s">
        <v>14</v>
      </c>
      <c r="H59" s="2" t="s">
        <v>15</v>
      </c>
      <c r="I59" s="2" t="s">
        <v>167</v>
      </c>
    </row>
    <row r="60" spans="1:9" x14ac:dyDescent="0.3">
      <c r="A60" s="2" t="s">
        <v>145</v>
      </c>
      <c r="B60" s="2" t="s">
        <v>168</v>
      </c>
      <c r="C60" s="2" t="s">
        <v>71</v>
      </c>
      <c r="D60" s="3">
        <v>143222.04</v>
      </c>
      <c r="E60" s="2" t="s">
        <v>12</v>
      </c>
      <c r="F60" s="2" t="s">
        <v>72</v>
      </c>
      <c r="G60" s="2" t="s">
        <v>14</v>
      </c>
      <c r="H60" s="2" t="s">
        <v>15</v>
      </c>
      <c r="I60" s="2" t="s">
        <v>169</v>
      </c>
    </row>
    <row r="61" spans="1:9" x14ac:dyDescent="0.3">
      <c r="A61" s="2" t="s">
        <v>145</v>
      </c>
      <c r="B61" s="2" t="s">
        <v>170</v>
      </c>
      <c r="C61" s="2" t="s">
        <v>71</v>
      </c>
      <c r="D61" s="3">
        <v>112823.74</v>
      </c>
      <c r="E61" s="2" t="s">
        <v>12</v>
      </c>
      <c r="F61" s="2" t="s">
        <v>72</v>
      </c>
      <c r="G61" s="2" t="s">
        <v>14</v>
      </c>
      <c r="H61" s="2" t="s">
        <v>15</v>
      </c>
      <c r="I61" s="2" t="s">
        <v>171</v>
      </c>
    </row>
    <row r="62" spans="1:9" x14ac:dyDescent="0.3">
      <c r="D62" s="6">
        <f>SUM(D2:D61)</f>
        <v>28154853.459999993</v>
      </c>
    </row>
    <row r="63" spans="1:9" x14ac:dyDescent="0.3">
      <c r="D63" s="5">
        <f>D62-D73</f>
        <v>0</v>
      </c>
    </row>
    <row r="64" spans="1:9" x14ac:dyDescent="0.3">
      <c r="D64" s="5"/>
    </row>
    <row r="65" spans="1:10" x14ac:dyDescent="0.3">
      <c r="D65" s="104">
        <f>D2+D34+D35+D37</f>
        <v>914993.74</v>
      </c>
      <c r="F65" t="s">
        <v>172</v>
      </c>
      <c r="H65" s="7">
        <v>1131739.1200000001</v>
      </c>
      <c r="I65" s="8" t="s">
        <v>180</v>
      </c>
    </row>
    <row r="66" spans="1:10" x14ac:dyDescent="0.3">
      <c r="D66" s="104">
        <f>D4+D5+D6+D8+D7+D9+D10+D11+D36+D44+D45</f>
        <v>1146181.6099999999</v>
      </c>
      <c r="F66" t="s">
        <v>173</v>
      </c>
      <c r="H66" s="7">
        <v>2437104.3199999998</v>
      </c>
      <c r="I66" s="8" t="s">
        <v>181</v>
      </c>
    </row>
    <row r="67" spans="1:10" x14ac:dyDescent="0.3">
      <c r="D67" s="104">
        <f>D3+D13+D38+D43</f>
        <v>1648475.2899999986</v>
      </c>
      <c r="F67" t="s">
        <v>174</v>
      </c>
      <c r="H67" s="7">
        <v>2917816.85</v>
      </c>
      <c r="I67" s="8" t="s">
        <v>55</v>
      </c>
    </row>
    <row r="68" spans="1:10" x14ac:dyDescent="0.3">
      <c r="D68" s="104">
        <f>D12+D14+D15+D16+D39+D40+D41+D42+D46</f>
        <v>8893188.5700000003</v>
      </c>
      <c r="F68" t="s">
        <v>175</v>
      </c>
      <c r="H68" s="7">
        <v>2603926.91</v>
      </c>
      <c r="I68" s="8" t="s">
        <v>117</v>
      </c>
    </row>
    <row r="69" spans="1:10" x14ac:dyDescent="0.3">
      <c r="D69" s="104">
        <f>D47+D48</f>
        <v>2237457.6</v>
      </c>
      <c r="F69" t="s">
        <v>176</v>
      </c>
      <c r="H69" s="7">
        <v>2571099.5499999998</v>
      </c>
      <c r="I69" s="8" t="s">
        <v>182</v>
      </c>
    </row>
    <row r="70" spans="1:10" x14ac:dyDescent="0.3">
      <c r="D70" s="104">
        <f>D18+D19+D20+D21+D22+D23+D24+D25+D26+D27+D28+D29+D30+D31+D49+D32+D50+D52+D51+D53+D54+D55+D56+D57+D58+D59+D60+D61</f>
        <v>10928010.379999999</v>
      </c>
      <c r="F70" t="s">
        <v>177</v>
      </c>
      <c r="H70" s="7">
        <v>3356872.52</v>
      </c>
      <c r="I70" s="8" t="s">
        <v>183</v>
      </c>
    </row>
    <row r="71" spans="1:10" x14ac:dyDescent="0.3">
      <c r="D71" s="104">
        <f>D17</f>
        <v>1626467.6</v>
      </c>
      <c r="F71" t="s">
        <v>179</v>
      </c>
      <c r="H71" s="7">
        <v>291840</v>
      </c>
      <c r="I71" s="8" t="s">
        <v>184</v>
      </c>
    </row>
    <row r="72" spans="1:10" x14ac:dyDescent="0.3">
      <c r="D72" s="104">
        <f>D33</f>
        <v>760078.67</v>
      </c>
      <c r="F72" t="s">
        <v>178</v>
      </c>
    </row>
    <row r="73" spans="1:10" x14ac:dyDescent="0.3">
      <c r="D73" s="6">
        <f>SUM(D65:D72)</f>
        <v>28154853.460000001</v>
      </c>
    </row>
    <row r="74" spans="1:10" x14ac:dyDescent="0.3">
      <c r="D74" s="4"/>
    </row>
    <row r="75" spans="1:10" x14ac:dyDescent="0.3">
      <c r="D75" s="104">
        <v>-151920</v>
      </c>
      <c r="F75" t="s">
        <v>185</v>
      </c>
    </row>
    <row r="76" spans="1:10" x14ac:dyDescent="0.3">
      <c r="D76" s="4"/>
    </row>
    <row r="77" spans="1:10" x14ac:dyDescent="0.3">
      <c r="D77" s="4"/>
    </row>
    <row r="78" spans="1:10" x14ac:dyDescent="0.3">
      <c r="A78" s="105" t="s">
        <v>1025</v>
      </c>
      <c r="B78" s="105" t="s">
        <v>1026</v>
      </c>
      <c r="C78" s="105" t="s">
        <v>1027</v>
      </c>
      <c r="D78" s="106">
        <v>8646983.4100000001</v>
      </c>
      <c r="E78" s="105" t="s">
        <v>12</v>
      </c>
      <c r="F78" s="105" t="s">
        <v>1028</v>
      </c>
      <c r="G78" s="105" t="s">
        <v>1029</v>
      </c>
      <c r="H78" s="105" t="s">
        <v>14</v>
      </c>
      <c r="I78" s="105" t="s">
        <v>17</v>
      </c>
      <c r="J78" s="105"/>
    </row>
    <row r="80" spans="1:10" x14ac:dyDescent="0.3">
      <c r="A80" s="105" t="s">
        <v>1030</v>
      </c>
      <c r="B80" s="105" t="s">
        <v>1031</v>
      </c>
      <c r="C80" s="105" t="s">
        <v>1027</v>
      </c>
      <c r="D80" s="106">
        <v>3249214.15</v>
      </c>
      <c r="E80" s="105" t="s">
        <v>12</v>
      </c>
      <c r="F80" s="105" t="s">
        <v>67</v>
      </c>
      <c r="G80" s="105" t="s">
        <v>179</v>
      </c>
      <c r="H80" s="105" t="s">
        <v>14</v>
      </c>
      <c r="I80" s="105" t="s">
        <v>15</v>
      </c>
      <c r="J80" s="105"/>
    </row>
    <row r="81" spans="1:10" x14ac:dyDescent="0.3">
      <c r="A81" s="105" t="s">
        <v>1032</v>
      </c>
      <c r="B81" s="105" t="s">
        <v>1033</v>
      </c>
      <c r="C81" s="105" t="s">
        <v>1027</v>
      </c>
      <c r="D81" s="106">
        <v>2874278.99</v>
      </c>
      <c r="E81" s="105" t="s">
        <v>12</v>
      </c>
      <c r="F81" s="105" t="s">
        <v>67</v>
      </c>
      <c r="G81" s="105" t="s">
        <v>179</v>
      </c>
      <c r="H81" s="105" t="s">
        <v>14</v>
      </c>
      <c r="I81" s="105" t="s">
        <v>15</v>
      </c>
      <c r="J81" s="105"/>
    </row>
    <row r="82" spans="1:10" x14ac:dyDescent="0.3">
      <c r="D82" s="107">
        <f>SUM(D80:D81)</f>
        <v>6123493.1400000006</v>
      </c>
    </row>
    <row r="84" spans="1:10" x14ac:dyDescent="0.3">
      <c r="C84" s="105" t="s">
        <v>1028</v>
      </c>
      <c r="D84" s="107">
        <f>5853065.72*1.2</f>
        <v>7023678.8639999991</v>
      </c>
      <c r="E84" t="s">
        <v>1034</v>
      </c>
      <c r="F84" s="4">
        <f>D78-D84</f>
        <v>1623304.546000001</v>
      </c>
    </row>
    <row r="85" spans="1:10" x14ac:dyDescent="0.3">
      <c r="D85" s="4"/>
    </row>
    <row r="86" spans="1:10" x14ac:dyDescent="0.3">
      <c r="C86" s="105" t="s">
        <v>67</v>
      </c>
      <c r="D86" s="4">
        <f>2392081.37*1.2</f>
        <v>2870497.6439999999</v>
      </c>
      <c r="E86" t="s">
        <v>1034</v>
      </c>
    </row>
    <row r="87" spans="1:10" x14ac:dyDescent="0.3">
      <c r="C87" s="105" t="s">
        <v>67</v>
      </c>
      <c r="D87" s="4">
        <f>1816998*1.2</f>
        <v>2180397.6</v>
      </c>
      <c r="E87" t="s">
        <v>1034</v>
      </c>
      <c r="F87" s="4">
        <f>D82-D86-D87</f>
        <v>1072597.8960000006</v>
      </c>
    </row>
    <row r="88" spans="1:10" x14ac:dyDescent="0.3">
      <c r="D88" s="107">
        <f>SUM(D86:D87)</f>
        <v>5050895.2439999999</v>
      </c>
    </row>
    <row r="89" spans="1:10" x14ac:dyDescent="0.3">
      <c r="D89" s="4"/>
    </row>
    <row r="90" spans="1:10" x14ac:dyDescent="0.3">
      <c r="D90" s="4"/>
    </row>
    <row r="91" spans="1:10" x14ac:dyDescent="0.3">
      <c r="D91" s="4"/>
    </row>
    <row r="92" spans="1:10" x14ac:dyDescent="0.3">
      <c r="D92" s="4"/>
    </row>
    <row r="93" spans="1:10" x14ac:dyDescent="0.3">
      <c r="D93" s="4"/>
    </row>
    <row r="94" spans="1:10" x14ac:dyDescent="0.3">
      <c r="D94" s="4"/>
    </row>
    <row r="95" spans="1:10" x14ac:dyDescent="0.3">
      <c r="D95" s="4"/>
    </row>
    <row r="96" spans="1:10" x14ac:dyDescent="0.3">
      <c r="D96" s="4"/>
    </row>
    <row r="97" spans="4:4" x14ac:dyDescent="0.3">
      <c r="D97" s="4"/>
    </row>
    <row r="98" spans="4:4" x14ac:dyDescent="0.3">
      <c r="D98" s="4"/>
    </row>
    <row r="99" spans="4:4" x14ac:dyDescent="0.3">
      <c r="D99" s="4"/>
    </row>
    <row r="100" spans="4:4" x14ac:dyDescent="0.3">
      <c r="D100" s="4"/>
    </row>
    <row r="101" spans="4:4" x14ac:dyDescent="0.3">
      <c r="D101" s="4"/>
    </row>
    <row r="102" spans="4:4" x14ac:dyDescent="0.3">
      <c r="D102" s="4"/>
    </row>
    <row r="103" spans="4:4" x14ac:dyDescent="0.3">
      <c r="D103" s="4"/>
    </row>
    <row r="104" spans="4:4" x14ac:dyDescent="0.3">
      <c r="D104" s="4"/>
    </row>
    <row r="105" spans="4:4" x14ac:dyDescent="0.3">
      <c r="D105" s="4"/>
    </row>
    <row r="106" spans="4:4" x14ac:dyDescent="0.3">
      <c r="D106" s="4"/>
    </row>
    <row r="107" spans="4:4" x14ac:dyDescent="0.3">
      <c r="D107" s="4"/>
    </row>
    <row r="108" spans="4:4" x14ac:dyDescent="0.3">
      <c r="D108" s="4"/>
    </row>
    <row r="109" spans="4:4" x14ac:dyDescent="0.3">
      <c r="D109" s="4"/>
    </row>
    <row r="110" spans="4:4" x14ac:dyDescent="0.3">
      <c r="D110" s="4"/>
    </row>
    <row r="111" spans="4:4" x14ac:dyDescent="0.3">
      <c r="D111" s="4"/>
    </row>
    <row r="112" spans="4:4" x14ac:dyDescent="0.3">
      <c r="D112" s="4"/>
    </row>
    <row r="113" spans="4:4" x14ac:dyDescent="0.3">
      <c r="D113" s="4"/>
    </row>
    <row r="114" spans="4:4" x14ac:dyDescent="0.3">
      <c r="D114" s="4"/>
    </row>
    <row r="115" spans="4:4" x14ac:dyDescent="0.3">
      <c r="D115" s="4"/>
    </row>
  </sheetData>
  <autoFilter ref="A1:I73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F18" sqref="F18"/>
    </sheetView>
  </sheetViews>
  <sheetFormatPr defaultRowHeight="14.4" x14ac:dyDescent="0.3"/>
  <cols>
    <col min="1" max="1" width="14" bestFit="1" customWidth="1"/>
    <col min="2" max="2" width="25.44140625" customWidth="1"/>
    <col min="3" max="3" width="22" bestFit="1" customWidth="1"/>
    <col min="4" max="4" width="27.109375" customWidth="1"/>
    <col min="5" max="5" width="7.6640625" bestFit="1" customWidth="1"/>
    <col min="6" max="6" width="15.6640625" bestFit="1" customWidth="1"/>
    <col min="7" max="7" width="16.6640625" bestFit="1" customWidth="1"/>
    <col min="8" max="8" width="14.5546875" bestFit="1" customWidth="1"/>
    <col min="9" max="9" width="27.77734375" bestFit="1" customWidth="1"/>
    <col min="12" max="12" width="10.109375" bestFit="1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11" t="s">
        <v>186</v>
      </c>
      <c r="B2" s="11" t="s">
        <v>187</v>
      </c>
      <c r="C2" s="11" t="s">
        <v>20</v>
      </c>
      <c r="D2" s="46">
        <v>728783.74</v>
      </c>
      <c r="E2" s="47" t="s">
        <v>12</v>
      </c>
      <c r="F2" s="11" t="s">
        <v>21</v>
      </c>
      <c r="G2" s="11" t="s">
        <v>14</v>
      </c>
      <c r="H2" s="11" t="s">
        <v>17</v>
      </c>
      <c r="I2" s="11" t="s">
        <v>142</v>
      </c>
    </row>
    <row r="3" spans="1:9" x14ac:dyDescent="0.3">
      <c r="A3" s="11" t="s">
        <v>188</v>
      </c>
      <c r="B3" s="11" t="s">
        <v>189</v>
      </c>
      <c r="C3" s="11" t="s">
        <v>20</v>
      </c>
      <c r="D3" s="46">
        <v>1941984</v>
      </c>
      <c r="E3" s="47" t="s">
        <v>12</v>
      </c>
      <c r="F3" s="11" t="s">
        <v>21</v>
      </c>
      <c r="G3" s="11" t="s">
        <v>14</v>
      </c>
      <c r="H3" s="11" t="s">
        <v>15</v>
      </c>
      <c r="I3" s="11" t="s">
        <v>144</v>
      </c>
    </row>
    <row r="4" spans="1:9" x14ac:dyDescent="0.3">
      <c r="A4" s="11" t="s">
        <v>190</v>
      </c>
      <c r="B4" s="11" t="s">
        <v>191</v>
      </c>
      <c r="C4" s="11" t="s">
        <v>20</v>
      </c>
      <c r="D4" s="46">
        <v>500621.1</v>
      </c>
      <c r="E4" s="47" t="s">
        <v>12</v>
      </c>
      <c r="F4" s="11" t="s">
        <v>21</v>
      </c>
      <c r="G4" s="11" t="s">
        <v>14</v>
      </c>
      <c r="H4" s="11" t="s">
        <v>15</v>
      </c>
      <c r="I4" s="11" t="s">
        <v>142</v>
      </c>
    </row>
    <row r="5" spans="1:9" x14ac:dyDescent="0.3">
      <c r="A5" s="11" t="s">
        <v>192</v>
      </c>
      <c r="B5" s="11" t="s">
        <v>193</v>
      </c>
      <c r="C5" s="11" t="s">
        <v>20</v>
      </c>
      <c r="D5" s="46">
        <v>166743.25</v>
      </c>
      <c r="E5" s="47" t="s">
        <v>12</v>
      </c>
      <c r="F5" s="11" t="s">
        <v>21</v>
      </c>
      <c r="G5" s="11" t="s">
        <v>14</v>
      </c>
      <c r="H5" s="11" t="s">
        <v>15</v>
      </c>
      <c r="I5" s="11" t="s">
        <v>144</v>
      </c>
    </row>
    <row r="6" spans="1:9" x14ac:dyDescent="0.3">
      <c r="A6" s="11" t="s">
        <v>194</v>
      </c>
      <c r="B6" s="11" t="s">
        <v>195</v>
      </c>
      <c r="C6" s="11" t="s">
        <v>20</v>
      </c>
      <c r="D6" s="46">
        <v>1266401.57</v>
      </c>
      <c r="E6" s="47" t="s">
        <v>12</v>
      </c>
      <c r="F6" s="11" t="s">
        <v>21</v>
      </c>
      <c r="G6" s="11" t="s">
        <v>14</v>
      </c>
      <c r="H6" s="11" t="s">
        <v>15</v>
      </c>
      <c r="I6" s="11" t="s">
        <v>196</v>
      </c>
    </row>
    <row r="7" spans="1:9" x14ac:dyDescent="0.3">
      <c r="A7" s="11" t="s">
        <v>197</v>
      </c>
      <c r="B7" s="11" t="s">
        <v>198</v>
      </c>
      <c r="C7" s="11" t="s">
        <v>20</v>
      </c>
      <c r="D7" s="46">
        <v>34908.25</v>
      </c>
      <c r="E7" s="47" t="s">
        <v>12</v>
      </c>
      <c r="F7" s="11" t="s">
        <v>21</v>
      </c>
      <c r="G7" s="11" t="s">
        <v>14</v>
      </c>
      <c r="H7" s="11" t="s">
        <v>17</v>
      </c>
      <c r="I7" s="11" t="s">
        <v>180</v>
      </c>
    </row>
    <row r="8" spans="1:9" x14ac:dyDescent="0.3">
      <c r="A8" s="11" t="s">
        <v>18</v>
      </c>
      <c r="B8" s="11" t="s">
        <v>19</v>
      </c>
      <c r="C8" s="11" t="s">
        <v>20</v>
      </c>
      <c r="D8" s="46">
        <v>15320431.27</v>
      </c>
      <c r="E8" s="47" t="s">
        <v>12</v>
      </c>
      <c r="F8" s="11" t="s">
        <v>21</v>
      </c>
      <c r="G8" s="11" t="s">
        <v>14</v>
      </c>
      <c r="H8" s="11" t="s">
        <v>17</v>
      </c>
      <c r="I8" s="11" t="s">
        <v>22</v>
      </c>
    </row>
    <row r="9" spans="1:9" x14ac:dyDescent="0.3">
      <c r="A9" s="11" t="s">
        <v>53</v>
      </c>
      <c r="B9" s="11" t="s">
        <v>54</v>
      </c>
      <c r="C9" s="11" t="s">
        <v>20</v>
      </c>
      <c r="D9" s="46">
        <v>244076.33</v>
      </c>
      <c r="E9" s="47" t="s">
        <v>12</v>
      </c>
      <c r="F9" s="11" t="s">
        <v>21</v>
      </c>
      <c r="G9" s="11" t="s">
        <v>14</v>
      </c>
      <c r="H9" s="11" t="s">
        <v>15</v>
      </c>
      <c r="I9" s="11" t="s">
        <v>55</v>
      </c>
    </row>
    <row r="10" spans="1:9" x14ac:dyDescent="0.3">
      <c r="A10" s="11" t="s">
        <v>114</v>
      </c>
      <c r="B10" s="11" t="s">
        <v>116</v>
      </c>
      <c r="C10" s="11" t="s">
        <v>20</v>
      </c>
      <c r="D10" s="46">
        <v>838006.75</v>
      </c>
      <c r="E10" s="47" t="s">
        <v>12</v>
      </c>
      <c r="F10" s="11" t="s">
        <v>21</v>
      </c>
      <c r="G10" s="11" t="s">
        <v>14</v>
      </c>
      <c r="H10" s="11" t="s">
        <v>15</v>
      </c>
      <c r="I10" s="11" t="s">
        <v>117</v>
      </c>
    </row>
    <row r="11" spans="1:9" x14ac:dyDescent="0.3">
      <c r="A11" s="11" t="s">
        <v>118</v>
      </c>
      <c r="B11" s="11" t="s">
        <v>127</v>
      </c>
      <c r="C11" s="11" t="s">
        <v>20</v>
      </c>
      <c r="D11" s="46">
        <v>556360.21</v>
      </c>
      <c r="E11" s="47" t="s">
        <v>12</v>
      </c>
      <c r="F11" s="11" t="s">
        <v>21</v>
      </c>
      <c r="G11" s="11" t="s">
        <v>14</v>
      </c>
      <c r="H11" s="11" t="s">
        <v>15</v>
      </c>
      <c r="I11" s="11" t="s">
        <v>128</v>
      </c>
    </row>
    <row r="12" spans="1:9" x14ac:dyDescent="0.3">
      <c r="D12" s="4">
        <f>SUM(D2:D11)</f>
        <v>21598316.469999999</v>
      </c>
    </row>
    <row r="14" spans="1:9" x14ac:dyDescent="0.3">
      <c r="D14" s="12">
        <f>F32</f>
        <v>18547559.220000003</v>
      </c>
    </row>
    <row r="15" spans="1:9" x14ac:dyDescent="0.3">
      <c r="D15" s="12">
        <f>F43</f>
        <v>3050757.25</v>
      </c>
    </row>
    <row r="16" spans="1:9" x14ac:dyDescent="0.3">
      <c r="D16" s="4">
        <f>SUM(D14:D15)</f>
        <v>21598316.470000003</v>
      </c>
      <c r="F16" s="4">
        <v>21598316.469999999</v>
      </c>
      <c r="G16" s="4">
        <f>D16-F16</f>
        <v>0</v>
      </c>
    </row>
    <row r="17" spans="1:12" x14ac:dyDescent="0.3">
      <c r="D17" s="4">
        <f>D16-D12</f>
        <v>0</v>
      </c>
    </row>
    <row r="20" spans="1:12" x14ac:dyDescent="0.3">
      <c r="A20" s="13" t="s">
        <v>199</v>
      </c>
      <c r="B20" s="14" t="s">
        <v>200</v>
      </c>
      <c r="C20" s="14" t="s">
        <v>201</v>
      </c>
      <c r="D20" s="15" t="s">
        <v>202</v>
      </c>
      <c r="E20" s="16" t="s">
        <v>203</v>
      </c>
      <c r="F20" s="16"/>
      <c r="G20" s="16"/>
      <c r="H20" s="17" t="s">
        <v>204</v>
      </c>
      <c r="I20" s="17"/>
      <c r="J20" s="17"/>
      <c r="K20" s="14" t="s">
        <v>205</v>
      </c>
      <c r="L20" s="14"/>
    </row>
    <row r="21" spans="1:12" x14ac:dyDescent="0.3">
      <c r="A21" s="18"/>
      <c r="B21" s="19"/>
      <c r="C21" s="19"/>
      <c r="D21" s="20"/>
      <c r="E21" s="21" t="s">
        <v>108</v>
      </c>
      <c r="F21" s="22"/>
      <c r="G21" s="22"/>
      <c r="H21" s="23" t="s">
        <v>108</v>
      </c>
      <c r="I21" s="24"/>
      <c r="J21" s="24"/>
      <c r="K21" s="18"/>
      <c r="L21" s="25"/>
    </row>
    <row r="22" spans="1:12" x14ac:dyDescent="0.3">
      <c r="A22" s="26" t="s">
        <v>206</v>
      </c>
      <c r="B22" s="26"/>
      <c r="C22" s="26"/>
      <c r="D22" s="26"/>
      <c r="E22" s="27"/>
      <c r="F22" s="27"/>
      <c r="G22" s="27"/>
      <c r="H22" s="27"/>
      <c r="I22" s="27"/>
      <c r="J22" s="27"/>
      <c r="K22" s="28"/>
      <c r="L22" s="29">
        <v>0</v>
      </c>
    </row>
    <row r="23" spans="1:12" ht="61.2" x14ac:dyDescent="0.3">
      <c r="A23" s="30" t="s">
        <v>207</v>
      </c>
      <c r="B23" s="31" t="s">
        <v>208</v>
      </c>
      <c r="C23" s="31" t="s">
        <v>209</v>
      </c>
      <c r="D23" s="31" t="s">
        <v>210</v>
      </c>
      <c r="E23" s="32" t="s">
        <v>211</v>
      </c>
      <c r="F23" s="45">
        <v>728783.74</v>
      </c>
      <c r="G23" s="41"/>
      <c r="H23" s="32" t="s">
        <v>212</v>
      </c>
      <c r="I23" s="33" t="s">
        <v>213</v>
      </c>
      <c r="J23" s="33"/>
      <c r="K23" s="34" t="s">
        <v>214</v>
      </c>
      <c r="L23" s="35">
        <v>728783.74</v>
      </c>
    </row>
    <row r="24" spans="1:12" ht="61.2" x14ac:dyDescent="0.3">
      <c r="A24" s="30" t="s">
        <v>215</v>
      </c>
      <c r="B24" s="31" t="s">
        <v>216</v>
      </c>
      <c r="C24" s="31" t="s">
        <v>217</v>
      </c>
      <c r="D24" s="31" t="s">
        <v>210</v>
      </c>
      <c r="E24" s="32" t="s">
        <v>211</v>
      </c>
      <c r="F24" s="45">
        <v>1941984</v>
      </c>
      <c r="G24" s="41"/>
      <c r="H24" s="32" t="s">
        <v>212</v>
      </c>
      <c r="I24" s="33" t="s">
        <v>213</v>
      </c>
      <c r="J24" s="33"/>
      <c r="K24" s="34" t="s">
        <v>214</v>
      </c>
      <c r="L24" s="35">
        <v>1942984</v>
      </c>
    </row>
    <row r="25" spans="1:12" ht="61.2" x14ac:dyDescent="0.3">
      <c r="A25" s="30" t="s">
        <v>230</v>
      </c>
      <c r="B25" s="31" t="s">
        <v>231</v>
      </c>
      <c r="C25" s="31" t="s">
        <v>232</v>
      </c>
      <c r="D25" s="31" t="s">
        <v>210</v>
      </c>
      <c r="E25" s="32" t="s">
        <v>211</v>
      </c>
      <c r="F25" s="45">
        <v>331106.90999999997</v>
      </c>
      <c r="G25" s="41"/>
      <c r="H25" s="32" t="s">
        <v>212</v>
      </c>
      <c r="I25" s="33" t="s">
        <v>213</v>
      </c>
      <c r="J25" s="33"/>
      <c r="K25" s="34" t="s">
        <v>221</v>
      </c>
      <c r="L25" s="35">
        <v>14658217.449999999</v>
      </c>
    </row>
    <row r="26" spans="1:12" ht="61.2" x14ac:dyDescent="0.3">
      <c r="A26" s="30" t="s">
        <v>230</v>
      </c>
      <c r="B26" s="31" t="s">
        <v>233</v>
      </c>
      <c r="C26" s="31" t="s">
        <v>229</v>
      </c>
      <c r="D26" s="31" t="s">
        <v>210</v>
      </c>
      <c r="E26" s="32" t="s">
        <v>211</v>
      </c>
      <c r="F26" s="45">
        <v>3541789.1</v>
      </c>
      <c r="G26" s="41"/>
      <c r="H26" s="32" t="s">
        <v>212</v>
      </c>
      <c r="I26" s="33" t="s">
        <v>213</v>
      </c>
      <c r="J26" s="33"/>
      <c r="K26" s="34" t="s">
        <v>221</v>
      </c>
      <c r="L26" s="35">
        <v>11116428.35</v>
      </c>
    </row>
    <row r="27" spans="1:12" ht="61.2" x14ac:dyDescent="0.3">
      <c r="A27" s="30" t="s">
        <v>230</v>
      </c>
      <c r="B27" s="31" t="s">
        <v>233</v>
      </c>
      <c r="C27" s="31" t="s">
        <v>227</v>
      </c>
      <c r="D27" s="31" t="s">
        <v>210</v>
      </c>
      <c r="E27" s="32" t="s">
        <v>211</v>
      </c>
      <c r="F27" s="45">
        <v>2619730.2999999998</v>
      </c>
      <c r="G27" s="41"/>
      <c r="H27" s="32" t="s">
        <v>212</v>
      </c>
      <c r="I27" s="33" t="s">
        <v>213</v>
      </c>
      <c r="J27" s="33"/>
      <c r="K27" s="34" t="s">
        <v>221</v>
      </c>
      <c r="L27" s="35">
        <v>8496698.0500000007</v>
      </c>
    </row>
    <row r="28" spans="1:12" ht="61.2" x14ac:dyDescent="0.3">
      <c r="A28" s="30" t="s">
        <v>230</v>
      </c>
      <c r="B28" s="31" t="s">
        <v>233</v>
      </c>
      <c r="C28" s="31" t="s">
        <v>225</v>
      </c>
      <c r="D28" s="31" t="s">
        <v>210</v>
      </c>
      <c r="E28" s="32" t="s">
        <v>211</v>
      </c>
      <c r="F28" s="45">
        <v>4030999.51</v>
      </c>
      <c r="G28" s="41"/>
      <c r="H28" s="32" t="s">
        <v>212</v>
      </c>
      <c r="I28" s="33" t="s">
        <v>213</v>
      </c>
      <c r="J28" s="33"/>
      <c r="K28" s="34" t="s">
        <v>221</v>
      </c>
      <c r="L28" s="35">
        <v>4465698.54</v>
      </c>
    </row>
    <row r="29" spans="1:12" ht="61.2" x14ac:dyDescent="0.3">
      <c r="A29" s="30" t="s">
        <v>230</v>
      </c>
      <c r="B29" s="31" t="s">
        <v>233</v>
      </c>
      <c r="C29" s="31" t="s">
        <v>223</v>
      </c>
      <c r="D29" s="31" t="s">
        <v>210</v>
      </c>
      <c r="E29" s="32" t="s">
        <v>211</v>
      </c>
      <c r="F29" s="45">
        <v>3797805.45</v>
      </c>
      <c r="G29" s="41"/>
      <c r="H29" s="32" t="s">
        <v>212</v>
      </c>
      <c r="I29" s="33" t="s">
        <v>213</v>
      </c>
      <c r="J29" s="33"/>
      <c r="K29" s="34" t="s">
        <v>221</v>
      </c>
      <c r="L29" s="35">
        <v>667893.09</v>
      </c>
    </row>
    <row r="30" spans="1:12" ht="61.2" x14ac:dyDescent="0.3">
      <c r="A30" s="30" t="s">
        <v>230</v>
      </c>
      <c r="B30" s="31" t="s">
        <v>233</v>
      </c>
      <c r="C30" s="31" t="s">
        <v>220</v>
      </c>
      <c r="D30" s="31" t="s">
        <v>210</v>
      </c>
      <c r="E30" s="32" t="s">
        <v>211</v>
      </c>
      <c r="F30" s="45">
        <v>999000</v>
      </c>
      <c r="G30" s="41"/>
      <c r="H30" s="32" t="s">
        <v>212</v>
      </c>
      <c r="I30" s="33" t="s">
        <v>213</v>
      </c>
      <c r="J30" s="33"/>
      <c r="K30" s="34" t="s">
        <v>214</v>
      </c>
      <c r="L30" s="35">
        <v>331106.90999999997</v>
      </c>
    </row>
    <row r="31" spans="1:12" ht="61.2" x14ac:dyDescent="0.3">
      <c r="A31" s="30" t="s">
        <v>235</v>
      </c>
      <c r="B31" s="31" t="s">
        <v>236</v>
      </c>
      <c r="C31" s="31" t="s">
        <v>237</v>
      </c>
      <c r="D31" s="31" t="s">
        <v>210</v>
      </c>
      <c r="E31" s="32" t="s">
        <v>211</v>
      </c>
      <c r="F31" s="45">
        <v>556360.21</v>
      </c>
      <c r="G31" s="41"/>
      <c r="H31" s="32" t="s">
        <v>212</v>
      </c>
      <c r="I31" s="33" t="s">
        <v>213</v>
      </c>
      <c r="J31" s="33"/>
      <c r="K31" s="34" t="s">
        <v>214</v>
      </c>
      <c r="L31" s="35">
        <v>556360.21</v>
      </c>
    </row>
    <row r="32" spans="1:12" x14ac:dyDescent="0.3">
      <c r="A32" s="36" t="s">
        <v>238</v>
      </c>
      <c r="B32" s="36"/>
      <c r="C32" s="36"/>
      <c r="D32" s="36"/>
      <c r="E32" s="42">
        <v>18547559.219999999</v>
      </c>
      <c r="F32" s="43">
        <f>SUM(F23:F31)</f>
        <v>18547559.220000003</v>
      </c>
      <c r="G32" s="44"/>
      <c r="H32" s="37">
        <v>18547559.219999999</v>
      </c>
      <c r="I32" s="37"/>
      <c r="J32" s="37"/>
      <c r="K32" s="38"/>
      <c r="L32" s="39">
        <v>0</v>
      </c>
    </row>
    <row r="34" spans="1:12" x14ac:dyDescent="0.3">
      <c r="A34" s="13" t="s">
        <v>199</v>
      </c>
      <c r="B34" s="14" t="s">
        <v>200</v>
      </c>
      <c r="C34" s="14" t="s">
        <v>201</v>
      </c>
      <c r="D34" s="15" t="s">
        <v>202</v>
      </c>
      <c r="E34" s="16" t="s">
        <v>203</v>
      </c>
      <c r="F34" s="16"/>
      <c r="G34" s="16"/>
      <c r="H34" s="17" t="s">
        <v>204</v>
      </c>
      <c r="I34" s="17"/>
      <c r="J34" s="17"/>
      <c r="K34" s="14" t="s">
        <v>205</v>
      </c>
      <c r="L34" s="14"/>
    </row>
    <row r="35" spans="1:12" x14ac:dyDescent="0.3">
      <c r="A35" s="18"/>
      <c r="B35" s="19"/>
      <c r="C35" s="19"/>
      <c r="D35" s="20"/>
      <c r="E35" s="21" t="s">
        <v>108</v>
      </c>
      <c r="F35" s="22"/>
      <c r="G35" s="22"/>
      <c r="H35" s="23" t="s">
        <v>108</v>
      </c>
      <c r="I35" s="24"/>
      <c r="J35" s="24"/>
      <c r="K35" s="18"/>
      <c r="L35" s="25"/>
    </row>
    <row r="36" spans="1:12" x14ac:dyDescent="0.3">
      <c r="A36" s="26" t="s">
        <v>206</v>
      </c>
      <c r="B36" s="26"/>
      <c r="C36" s="26"/>
      <c r="D36" s="26"/>
      <c r="E36" s="27"/>
      <c r="F36" s="27"/>
      <c r="G36" s="27"/>
      <c r="H36" s="27"/>
      <c r="I36" s="27"/>
      <c r="J36" s="27"/>
      <c r="K36" s="28"/>
      <c r="L36" s="29">
        <v>0</v>
      </c>
    </row>
    <row r="37" spans="1:12" ht="61.2" x14ac:dyDescent="0.3">
      <c r="A37" s="30" t="s">
        <v>239</v>
      </c>
      <c r="B37" s="31" t="s">
        <v>240</v>
      </c>
      <c r="C37" s="31" t="s">
        <v>241</v>
      </c>
      <c r="D37" s="31" t="s">
        <v>210</v>
      </c>
      <c r="E37" s="32" t="s">
        <v>211</v>
      </c>
      <c r="F37" s="45">
        <v>500621.1</v>
      </c>
      <c r="G37" s="41"/>
      <c r="H37" s="32" t="s">
        <v>212</v>
      </c>
      <c r="I37" s="33" t="s">
        <v>213</v>
      </c>
      <c r="J37" s="33"/>
      <c r="K37" s="34" t="s">
        <v>214</v>
      </c>
      <c r="L37" s="35">
        <v>500621.1</v>
      </c>
    </row>
    <row r="38" spans="1:12" ht="61.2" x14ac:dyDescent="0.3">
      <c r="A38" s="30" t="s">
        <v>243</v>
      </c>
      <c r="B38" s="31" t="s">
        <v>244</v>
      </c>
      <c r="C38" s="31" t="s">
        <v>245</v>
      </c>
      <c r="D38" s="31" t="s">
        <v>210</v>
      </c>
      <c r="E38" s="32" t="s">
        <v>211</v>
      </c>
      <c r="F38" s="45">
        <v>166743.25</v>
      </c>
      <c r="G38" s="41"/>
      <c r="H38" s="32" t="s">
        <v>212</v>
      </c>
      <c r="I38" s="33" t="s">
        <v>213</v>
      </c>
      <c r="J38" s="33"/>
      <c r="K38" s="34" t="s">
        <v>214</v>
      </c>
      <c r="L38" s="35">
        <v>166743.25</v>
      </c>
    </row>
    <row r="39" spans="1:12" ht="61.2" x14ac:dyDescent="0.3">
      <c r="A39" s="30" t="s">
        <v>247</v>
      </c>
      <c r="B39" s="31" t="s">
        <v>248</v>
      </c>
      <c r="C39" s="31" t="s">
        <v>249</v>
      </c>
      <c r="D39" s="31" t="s">
        <v>210</v>
      </c>
      <c r="E39" s="32" t="s">
        <v>211</v>
      </c>
      <c r="F39" s="45">
        <v>1266401.57</v>
      </c>
      <c r="G39" s="41"/>
      <c r="H39" s="32" t="s">
        <v>212</v>
      </c>
      <c r="I39" s="33" t="s">
        <v>213</v>
      </c>
      <c r="J39" s="33"/>
      <c r="K39" s="34" t="s">
        <v>214</v>
      </c>
      <c r="L39" s="35">
        <v>1266401.57</v>
      </c>
    </row>
    <row r="40" spans="1:12" ht="61.2" x14ac:dyDescent="0.3">
      <c r="A40" s="30" t="s">
        <v>250</v>
      </c>
      <c r="B40" s="31" t="s">
        <v>251</v>
      </c>
      <c r="C40" s="31" t="s">
        <v>252</v>
      </c>
      <c r="D40" s="31" t="s">
        <v>210</v>
      </c>
      <c r="E40" s="32" t="s">
        <v>211</v>
      </c>
      <c r="F40" s="45">
        <v>34908.25</v>
      </c>
      <c r="G40" s="41"/>
      <c r="H40" s="32" t="s">
        <v>212</v>
      </c>
      <c r="I40" s="33" t="s">
        <v>213</v>
      </c>
      <c r="J40" s="33"/>
      <c r="K40" s="34" t="s">
        <v>214</v>
      </c>
      <c r="L40" s="35">
        <v>1301309.82</v>
      </c>
    </row>
    <row r="41" spans="1:12" ht="61.2" x14ac:dyDescent="0.3">
      <c r="A41" s="30" t="s">
        <v>254</v>
      </c>
      <c r="B41" s="31" t="s">
        <v>255</v>
      </c>
      <c r="C41" s="31" t="s">
        <v>256</v>
      </c>
      <c r="D41" s="31" t="s">
        <v>210</v>
      </c>
      <c r="E41" s="32" t="s">
        <v>211</v>
      </c>
      <c r="F41" s="45">
        <v>244076.33</v>
      </c>
      <c r="G41" s="41"/>
      <c r="H41" s="32" t="s">
        <v>212</v>
      </c>
      <c r="I41" s="33" t="s">
        <v>213</v>
      </c>
      <c r="J41" s="33"/>
      <c r="K41" s="34" t="s">
        <v>214</v>
      </c>
      <c r="L41" s="35">
        <v>244076.33</v>
      </c>
    </row>
    <row r="42" spans="1:12" ht="61.2" x14ac:dyDescent="0.3">
      <c r="A42" s="30" t="s">
        <v>258</v>
      </c>
      <c r="B42" s="31" t="s">
        <v>259</v>
      </c>
      <c r="C42" s="31" t="s">
        <v>260</v>
      </c>
      <c r="D42" s="31" t="s">
        <v>210</v>
      </c>
      <c r="E42" s="32" t="s">
        <v>211</v>
      </c>
      <c r="F42" s="45">
        <v>838006.75</v>
      </c>
      <c r="G42" s="41"/>
      <c r="H42" s="32" t="s">
        <v>212</v>
      </c>
      <c r="I42" s="33" t="s">
        <v>213</v>
      </c>
      <c r="J42" s="33"/>
      <c r="K42" s="34" t="s">
        <v>214</v>
      </c>
      <c r="L42" s="35">
        <v>838006.75</v>
      </c>
    </row>
    <row r="43" spans="1:12" x14ac:dyDescent="0.3">
      <c r="A43" s="36" t="s">
        <v>238</v>
      </c>
      <c r="B43" s="36"/>
      <c r="C43" s="36"/>
      <c r="D43" s="36"/>
      <c r="E43" s="42">
        <v>3050757.25</v>
      </c>
      <c r="F43" s="43">
        <f>SUM(F37:F42)</f>
        <v>3050757.25</v>
      </c>
      <c r="G43" s="44"/>
      <c r="H43" s="37">
        <v>2659343.14</v>
      </c>
      <c r="I43" s="37"/>
      <c r="J43" s="37"/>
      <c r="K43" s="38" t="s">
        <v>214</v>
      </c>
      <c r="L43" s="40">
        <v>391414.11</v>
      </c>
    </row>
  </sheetData>
  <mergeCells count="41">
    <mergeCell ref="A43:D43"/>
    <mergeCell ref="H43:J43"/>
    <mergeCell ref="I42:J42"/>
    <mergeCell ref="I41:J41"/>
    <mergeCell ref="I39:J39"/>
    <mergeCell ref="I40:J40"/>
    <mergeCell ref="I37:J37"/>
    <mergeCell ref="I38:J38"/>
    <mergeCell ref="H34:J34"/>
    <mergeCell ref="K34:L35"/>
    <mergeCell ref="F35:G35"/>
    <mergeCell ref="I35:J35"/>
    <mergeCell ref="A36:D36"/>
    <mergeCell ref="E36:J36"/>
    <mergeCell ref="A32:D32"/>
    <mergeCell ref="H32:J32"/>
    <mergeCell ref="A34:A35"/>
    <mergeCell ref="B34:B35"/>
    <mergeCell ref="C34:C35"/>
    <mergeCell ref="D34:D35"/>
    <mergeCell ref="E34:G34"/>
    <mergeCell ref="I30:J30"/>
    <mergeCell ref="I31:J31"/>
    <mergeCell ref="I27:J27"/>
    <mergeCell ref="I28:J28"/>
    <mergeCell ref="I29:J29"/>
    <mergeCell ref="I25:J25"/>
    <mergeCell ref="I26:J26"/>
    <mergeCell ref="I24:J24"/>
    <mergeCell ref="K20:L21"/>
    <mergeCell ref="F21:G21"/>
    <mergeCell ref="I21:J21"/>
    <mergeCell ref="A22:D22"/>
    <mergeCell ref="E22:J22"/>
    <mergeCell ref="I23:J23"/>
    <mergeCell ref="A20:A21"/>
    <mergeCell ref="B20:B21"/>
    <mergeCell ref="C20:C21"/>
    <mergeCell ref="D20:D21"/>
    <mergeCell ref="E20:G20"/>
    <mergeCell ref="H20:J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86"/>
  <sheetViews>
    <sheetView topLeftCell="A582" workbookViewId="0">
      <selection activeCell="C600" sqref="C600"/>
    </sheetView>
  </sheetViews>
  <sheetFormatPr defaultRowHeight="14.4" x14ac:dyDescent="0.3"/>
  <cols>
    <col min="2" max="4" width="41.33203125" customWidth="1"/>
    <col min="10" max="10" width="9.88671875" bestFit="1" customWidth="1"/>
    <col min="11" max="11" width="11.33203125" bestFit="1" customWidth="1"/>
  </cols>
  <sheetData>
    <row r="1" spans="1:12" x14ac:dyDescent="0.3">
      <c r="A1" s="48" t="s">
        <v>199</v>
      </c>
      <c r="B1" s="49" t="s">
        <v>200</v>
      </c>
      <c r="C1" s="49" t="s">
        <v>201</v>
      </c>
      <c r="D1" s="50" t="s">
        <v>202</v>
      </c>
      <c r="E1" s="51" t="s">
        <v>203</v>
      </c>
      <c r="F1" s="51"/>
      <c r="G1" s="51"/>
      <c r="H1" s="52" t="s">
        <v>204</v>
      </c>
      <c r="I1" s="52"/>
      <c r="J1" s="52"/>
      <c r="K1" s="49" t="s">
        <v>205</v>
      </c>
      <c r="L1" s="49"/>
    </row>
    <row r="2" spans="1:12" hidden="1" x14ac:dyDescent="0.3">
      <c r="A2" s="53"/>
      <c r="B2" s="54"/>
      <c r="C2" s="54"/>
      <c r="D2" s="55"/>
      <c r="E2" s="56" t="s">
        <v>108</v>
      </c>
      <c r="F2" s="57"/>
      <c r="G2" s="57"/>
      <c r="H2" s="58" t="s">
        <v>108</v>
      </c>
      <c r="I2" s="59"/>
      <c r="J2" s="59"/>
      <c r="K2" s="53"/>
      <c r="L2" s="60"/>
    </row>
    <row r="3" spans="1:12" ht="51" hidden="1" x14ac:dyDescent="0.3">
      <c r="A3" s="61" t="s">
        <v>261</v>
      </c>
      <c r="B3" s="62" t="s">
        <v>262</v>
      </c>
      <c r="C3" s="62" t="s">
        <v>263</v>
      </c>
      <c r="D3" s="62" t="s">
        <v>264</v>
      </c>
      <c r="E3" s="63" t="s">
        <v>265</v>
      </c>
      <c r="F3" s="64">
        <v>6900</v>
      </c>
      <c r="G3" s="64"/>
      <c r="H3" s="63" t="s">
        <v>266</v>
      </c>
      <c r="I3" s="65" t="s">
        <v>213</v>
      </c>
      <c r="J3" s="65"/>
      <c r="K3" s="66" t="s">
        <v>214</v>
      </c>
      <c r="L3" s="67">
        <v>6900</v>
      </c>
    </row>
    <row r="4" spans="1:12" ht="40.799999999999997" hidden="1" x14ac:dyDescent="0.3">
      <c r="A4" s="61" t="s">
        <v>267</v>
      </c>
      <c r="B4" s="62" t="s">
        <v>268</v>
      </c>
      <c r="C4" s="62" t="s">
        <v>269</v>
      </c>
      <c r="D4" s="62" t="s">
        <v>270</v>
      </c>
      <c r="E4" s="63" t="s">
        <v>265</v>
      </c>
      <c r="F4" s="68">
        <v>560</v>
      </c>
      <c r="G4" s="68"/>
      <c r="H4" s="63" t="s">
        <v>271</v>
      </c>
      <c r="I4" s="65" t="s">
        <v>213</v>
      </c>
      <c r="J4" s="65"/>
      <c r="K4" s="66" t="s">
        <v>214</v>
      </c>
      <c r="L4" s="67">
        <v>7460</v>
      </c>
    </row>
    <row r="5" spans="1:12" ht="40.799999999999997" hidden="1" x14ac:dyDescent="0.3">
      <c r="A5" s="61" t="s">
        <v>267</v>
      </c>
      <c r="B5" s="62" t="s">
        <v>268</v>
      </c>
      <c r="C5" s="62" t="s">
        <v>272</v>
      </c>
      <c r="D5" s="62" t="s">
        <v>270</v>
      </c>
      <c r="E5" s="63" t="s">
        <v>265</v>
      </c>
      <c r="F5" s="68">
        <v>120</v>
      </c>
      <c r="G5" s="68"/>
      <c r="H5" s="63" t="s">
        <v>271</v>
      </c>
      <c r="I5" s="65" t="s">
        <v>213</v>
      </c>
      <c r="J5" s="65"/>
      <c r="K5" s="66" t="s">
        <v>214</v>
      </c>
      <c r="L5" s="67">
        <v>7580</v>
      </c>
    </row>
    <row r="6" spans="1:12" ht="40.799999999999997" hidden="1" x14ac:dyDescent="0.3">
      <c r="A6" s="61" t="s">
        <v>267</v>
      </c>
      <c r="B6" s="62" t="s">
        <v>268</v>
      </c>
      <c r="C6" s="62" t="s">
        <v>273</v>
      </c>
      <c r="D6" s="62" t="s">
        <v>270</v>
      </c>
      <c r="E6" s="63" t="s">
        <v>265</v>
      </c>
      <c r="F6" s="64">
        <v>5175</v>
      </c>
      <c r="G6" s="64"/>
      <c r="H6" s="63" t="s">
        <v>271</v>
      </c>
      <c r="I6" s="65" t="s">
        <v>213</v>
      </c>
      <c r="J6" s="65"/>
      <c r="K6" s="66" t="s">
        <v>214</v>
      </c>
      <c r="L6" s="67">
        <v>12755</v>
      </c>
    </row>
    <row r="7" spans="1:12" ht="51" hidden="1" x14ac:dyDescent="0.3">
      <c r="A7" s="61" t="s">
        <v>274</v>
      </c>
      <c r="B7" s="62" t="s">
        <v>275</v>
      </c>
      <c r="C7" s="62" t="s">
        <v>276</v>
      </c>
      <c r="D7" s="62" t="s">
        <v>277</v>
      </c>
      <c r="E7" s="63" t="s">
        <v>265</v>
      </c>
      <c r="F7" s="64">
        <v>1141.46</v>
      </c>
      <c r="G7" s="64"/>
      <c r="H7" s="63" t="s">
        <v>265</v>
      </c>
      <c r="I7" s="65" t="s">
        <v>213</v>
      </c>
      <c r="J7" s="65"/>
      <c r="K7" s="66" t="s">
        <v>214</v>
      </c>
      <c r="L7" s="67">
        <v>13896.46</v>
      </c>
    </row>
    <row r="8" spans="1:12" ht="51" hidden="1" x14ac:dyDescent="0.3">
      <c r="A8" s="61" t="s">
        <v>274</v>
      </c>
      <c r="B8" s="62" t="s">
        <v>275</v>
      </c>
      <c r="C8" s="62" t="s">
        <v>278</v>
      </c>
      <c r="D8" s="62" t="s">
        <v>279</v>
      </c>
      <c r="E8" s="63" t="s">
        <v>265</v>
      </c>
      <c r="F8" s="64">
        <v>1107.23</v>
      </c>
      <c r="G8" s="64"/>
      <c r="H8" s="63" t="s">
        <v>265</v>
      </c>
      <c r="I8" s="65" t="s">
        <v>213</v>
      </c>
      <c r="J8" s="65"/>
      <c r="K8" s="66" t="s">
        <v>214</v>
      </c>
      <c r="L8" s="67">
        <v>15003.69</v>
      </c>
    </row>
    <row r="9" spans="1:12" ht="51" hidden="1" x14ac:dyDescent="0.3">
      <c r="A9" s="61" t="s">
        <v>280</v>
      </c>
      <c r="B9" s="62" t="s">
        <v>281</v>
      </c>
      <c r="C9" s="62" t="s">
        <v>282</v>
      </c>
      <c r="D9" s="62" t="s">
        <v>283</v>
      </c>
      <c r="E9" s="63" t="s">
        <v>265</v>
      </c>
      <c r="F9" s="64">
        <v>66500</v>
      </c>
      <c r="G9" s="64"/>
      <c r="H9" s="63" t="s">
        <v>266</v>
      </c>
      <c r="I9" s="65" t="s">
        <v>213</v>
      </c>
      <c r="J9" s="65"/>
      <c r="K9" s="66" t="s">
        <v>214</v>
      </c>
      <c r="L9" s="67">
        <v>81503.69</v>
      </c>
    </row>
    <row r="10" spans="1:12" ht="51" hidden="1" x14ac:dyDescent="0.3">
      <c r="A10" s="61" t="s">
        <v>280</v>
      </c>
      <c r="B10" s="62" t="s">
        <v>284</v>
      </c>
      <c r="C10" s="62" t="s">
        <v>285</v>
      </c>
      <c r="D10" s="62" t="s">
        <v>283</v>
      </c>
      <c r="E10" s="63" t="s">
        <v>265</v>
      </c>
      <c r="F10" s="64">
        <v>22800</v>
      </c>
      <c r="G10" s="64"/>
      <c r="H10" s="63" t="s">
        <v>266</v>
      </c>
      <c r="I10" s="65" t="s">
        <v>213</v>
      </c>
      <c r="J10" s="65"/>
      <c r="K10" s="66" t="s">
        <v>214</v>
      </c>
      <c r="L10" s="67">
        <v>104303.69</v>
      </c>
    </row>
    <row r="11" spans="1:12" ht="51" hidden="1" x14ac:dyDescent="0.3">
      <c r="A11" s="61" t="s">
        <v>280</v>
      </c>
      <c r="B11" s="62" t="s">
        <v>286</v>
      </c>
      <c r="C11" s="62" t="s">
        <v>285</v>
      </c>
      <c r="D11" s="62" t="s">
        <v>283</v>
      </c>
      <c r="E11" s="63" t="s">
        <v>265</v>
      </c>
      <c r="F11" s="64">
        <v>34200</v>
      </c>
      <c r="G11" s="64"/>
      <c r="H11" s="63" t="s">
        <v>266</v>
      </c>
      <c r="I11" s="65" t="s">
        <v>213</v>
      </c>
      <c r="J11" s="65"/>
      <c r="K11" s="66" t="s">
        <v>214</v>
      </c>
      <c r="L11" s="67">
        <v>138503.69</v>
      </c>
    </row>
    <row r="12" spans="1:12" ht="51" hidden="1" x14ac:dyDescent="0.3">
      <c r="A12" s="61" t="s">
        <v>280</v>
      </c>
      <c r="B12" s="62" t="s">
        <v>287</v>
      </c>
      <c r="C12" s="62" t="s">
        <v>288</v>
      </c>
      <c r="D12" s="62" t="s">
        <v>283</v>
      </c>
      <c r="E12" s="63" t="s">
        <v>265</v>
      </c>
      <c r="F12" s="64">
        <v>66500</v>
      </c>
      <c r="G12" s="64"/>
      <c r="H12" s="63" t="s">
        <v>266</v>
      </c>
      <c r="I12" s="65" t="s">
        <v>213</v>
      </c>
      <c r="J12" s="65"/>
      <c r="K12" s="66" t="s">
        <v>214</v>
      </c>
      <c r="L12" s="67">
        <v>205003.69</v>
      </c>
    </row>
    <row r="13" spans="1:12" ht="51" x14ac:dyDescent="0.3">
      <c r="A13" s="61" t="s">
        <v>289</v>
      </c>
      <c r="B13" s="62" t="s">
        <v>290</v>
      </c>
      <c r="C13" s="62" t="s">
        <v>291</v>
      </c>
      <c r="D13" s="62" t="s">
        <v>269</v>
      </c>
      <c r="E13" s="63" t="s">
        <v>292</v>
      </c>
      <c r="F13" s="69" t="s">
        <v>213</v>
      </c>
      <c r="G13" s="69"/>
      <c r="H13" s="63" t="s">
        <v>265</v>
      </c>
      <c r="I13" s="70">
        <v>560</v>
      </c>
      <c r="J13" s="70"/>
      <c r="K13" s="66" t="s">
        <v>214</v>
      </c>
      <c r="L13" s="67">
        <v>204443.69</v>
      </c>
    </row>
    <row r="14" spans="1:12" ht="51" x14ac:dyDescent="0.3">
      <c r="A14" s="61" t="s">
        <v>289</v>
      </c>
      <c r="B14" s="62" t="s">
        <v>290</v>
      </c>
      <c r="C14" s="62" t="s">
        <v>291</v>
      </c>
      <c r="D14" s="62" t="s">
        <v>272</v>
      </c>
      <c r="E14" s="63" t="s">
        <v>292</v>
      </c>
      <c r="F14" s="69" t="s">
        <v>213</v>
      </c>
      <c r="G14" s="69"/>
      <c r="H14" s="63" t="s">
        <v>265</v>
      </c>
      <c r="I14" s="70">
        <v>120</v>
      </c>
      <c r="J14" s="70"/>
      <c r="K14" s="66" t="s">
        <v>214</v>
      </c>
      <c r="L14" s="67">
        <v>204323.69</v>
      </c>
    </row>
    <row r="15" spans="1:12" ht="51" x14ac:dyDescent="0.3">
      <c r="A15" s="61" t="s">
        <v>289</v>
      </c>
      <c r="B15" s="62" t="s">
        <v>290</v>
      </c>
      <c r="C15" s="62" t="s">
        <v>291</v>
      </c>
      <c r="D15" s="62" t="s">
        <v>273</v>
      </c>
      <c r="E15" s="63" t="s">
        <v>292</v>
      </c>
      <c r="F15" s="69" t="s">
        <v>213</v>
      </c>
      <c r="G15" s="69"/>
      <c r="H15" s="63" t="s">
        <v>265</v>
      </c>
      <c r="I15" s="71">
        <v>5175</v>
      </c>
      <c r="J15" s="71"/>
      <c r="K15" s="66" t="s">
        <v>214</v>
      </c>
      <c r="L15" s="67">
        <v>199148.69</v>
      </c>
    </row>
    <row r="16" spans="1:12" ht="51" hidden="1" x14ac:dyDescent="0.3">
      <c r="A16" s="61" t="s">
        <v>293</v>
      </c>
      <c r="B16" s="62" t="s">
        <v>294</v>
      </c>
      <c r="C16" s="62" t="s">
        <v>295</v>
      </c>
      <c r="D16" s="62" t="s">
        <v>282</v>
      </c>
      <c r="E16" s="63" t="s">
        <v>292</v>
      </c>
      <c r="F16" s="69" t="s">
        <v>213</v>
      </c>
      <c r="G16" s="69"/>
      <c r="H16" s="63" t="s">
        <v>265</v>
      </c>
      <c r="I16" s="71">
        <v>66500</v>
      </c>
      <c r="J16" s="71"/>
      <c r="K16" s="66" t="s">
        <v>214</v>
      </c>
      <c r="L16" s="67">
        <v>132648.69</v>
      </c>
    </row>
    <row r="17" spans="1:12" ht="51" hidden="1" x14ac:dyDescent="0.3">
      <c r="A17" s="61" t="s">
        <v>293</v>
      </c>
      <c r="B17" s="62" t="s">
        <v>294</v>
      </c>
      <c r="C17" s="62" t="s">
        <v>295</v>
      </c>
      <c r="D17" s="62" t="s">
        <v>285</v>
      </c>
      <c r="E17" s="63" t="s">
        <v>292</v>
      </c>
      <c r="F17" s="69" t="s">
        <v>213</v>
      </c>
      <c r="G17" s="69"/>
      <c r="H17" s="63" t="s">
        <v>265</v>
      </c>
      <c r="I17" s="71">
        <v>57000</v>
      </c>
      <c r="J17" s="71"/>
      <c r="K17" s="66" t="s">
        <v>214</v>
      </c>
      <c r="L17" s="67">
        <v>75648.69</v>
      </c>
    </row>
    <row r="18" spans="1:12" ht="51" hidden="1" x14ac:dyDescent="0.3">
      <c r="A18" s="61" t="s">
        <v>293</v>
      </c>
      <c r="B18" s="62" t="s">
        <v>294</v>
      </c>
      <c r="C18" s="62" t="s">
        <v>295</v>
      </c>
      <c r="D18" s="62" t="s">
        <v>288</v>
      </c>
      <c r="E18" s="63" t="s">
        <v>292</v>
      </c>
      <c r="F18" s="69" t="s">
        <v>213</v>
      </c>
      <c r="G18" s="69"/>
      <c r="H18" s="63" t="s">
        <v>265</v>
      </c>
      <c r="I18" s="71">
        <v>66500</v>
      </c>
      <c r="J18" s="71"/>
      <c r="K18" s="66" t="s">
        <v>214</v>
      </c>
      <c r="L18" s="67">
        <v>9148.69</v>
      </c>
    </row>
    <row r="19" spans="1:12" ht="51" x14ac:dyDescent="0.3">
      <c r="A19" s="61" t="s">
        <v>215</v>
      </c>
      <c r="B19" s="62" t="s">
        <v>296</v>
      </c>
      <c r="C19" s="62" t="s">
        <v>291</v>
      </c>
      <c r="D19" s="62" t="s">
        <v>276</v>
      </c>
      <c r="E19" s="63" t="s">
        <v>292</v>
      </c>
      <c r="F19" s="69" t="s">
        <v>213</v>
      </c>
      <c r="G19" s="69"/>
      <c r="H19" s="63" t="s">
        <v>265</v>
      </c>
      <c r="I19" s="71">
        <v>1141.46</v>
      </c>
      <c r="J19" s="71"/>
      <c r="K19" s="66" t="s">
        <v>214</v>
      </c>
      <c r="L19" s="67">
        <v>8007.23</v>
      </c>
    </row>
    <row r="20" spans="1:12" ht="51" x14ac:dyDescent="0.3">
      <c r="A20" s="61" t="s">
        <v>215</v>
      </c>
      <c r="B20" s="62" t="s">
        <v>296</v>
      </c>
      <c r="C20" s="62" t="s">
        <v>291</v>
      </c>
      <c r="D20" s="62" t="s">
        <v>278</v>
      </c>
      <c r="E20" s="63" t="s">
        <v>292</v>
      </c>
      <c r="F20" s="69" t="s">
        <v>213</v>
      </c>
      <c r="G20" s="69"/>
      <c r="H20" s="63" t="s">
        <v>265</v>
      </c>
      <c r="I20" s="71">
        <v>1107.23</v>
      </c>
      <c r="J20" s="71"/>
      <c r="K20" s="66" t="s">
        <v>214</v>
      </c>
      <c r="L20" s="67">
        <v>6900</v>
      </c>
    </row>
    <row r="21" spans="1:12" ht="51" x14ac:dyDescent="0.3">
      <c r="A21" s="61" t="s">
        <v>215</v>
      </c>
      <c r="B21" s="62" t="s">
        <v>296</v>
      </c>
      <c r="C21" s="62" t="s">
        <v>291</v>
      </c>
      <c r="D21" s="62" t="s">
        <v>263</v>
      </c>
      <c r="E21" s="63" t="s">
        <v>292</v>
      </c>
      <c r="F21" s="69" t="s">
        <v>213</v>
      </c>
      <c r="G21" s="69"/>
      <c r="H21" s="63" t="s">
        <v>265</v>
      </c>
      <c r="I21" s="71">
        <v>6900</v>
      </c>
      <c r="J21" s="71"/>
      <c r="K21" s="66"/>
      <c r="L21" s="72"/>
    </row>
    <row r="22" spans="1:12" ht="51" hidden="1" x14ac:dyDescent="0.3">
      <c r="A22" s="61" t="s">
        <v>297</v>
      </c>
      <c r="B22" s="62" t="s">
        <v>298</v>
      </c>
      <c r="C22" s="62" t="s">
        <v>299</v>
      </c>
      <c r="D22" s="62" t="s">
        <v>300</v>
      </c>
      <c r="E22" s="63" t="s">
        <v>265</v>
      </c>
      <c r="F22" s="64">
        <v>74782.350000000006</v>
      </c>
      <c r="G22" s="64"/>
      <c r="H22" s="63" t="s">
        <v>266</v>
      </c>
      <c r="I22" s="65" t="s">
        <v>213</v>
      </c>
      <c r="J22" s="65"/>
      <c r="K22" s="66" t="s">
        <v>214</v>
      </c>
      <c r="L22" s="67">
        <v>74782.350000000006</v>
      </c>
    </row>
    <row r="23" spans="1:12" ht="51" hidden="1" x14ac:dyDescent="0.3">
      <c r="A23" s="61" t="s">
        <v>297</v>
      </c>
      <c r="B23" s="62" t="s">
        <v>301</v>
      </c>
      <c r="C23" s="62" t="s">
        <v>302</v>
      </c>
      <c r="D23" s="62" t="s">
        <v>300</v>
      </c>
      <c r="E23" s="63" t="s">
        <v>265</v>
      </c>
      <c r="F23" s="64">
        <v>33236.6</v>
      </c>
      <c r="G23" s="64"/>
      <c r="H23" s="63" t="s">
        <v>266</v>
      </c>
      <c r="I23" s="65" t="s">
        <v>213</v>
      </c>
      <c r="J23" s="65"/>
      <c r="K23" s="66" t="s">
        <v>214</v>
      </c>
      <c r="L23" s="67">
        <v>108018.95</v>
      </c>
    </row>
    <row r="24" spans="1:12" ht="51" hidden="1" x14ac:dyDescent="0.3">
      <c r="A24" s="61" t="s">
        <v>297</v>
      </c>
      <c r="B24" s="62" t="s">
        <v>301</v>
      </c>
      <c r="C24" s="62" t="s">
        <v>303</v>
      </c>
      <c r="D24" s="62" t="s">
        <v>300</v>
      </c>
      <c r="E24" s="63" t="s">
        <v>265</v>
      </c>
      <c r="F24" s="64">
        <v>45337.5</v>
      </c>
      <c r="G24" s="64"/>
      <c r="H24" s="63" t="s">
        <v>266</v>
      </c>
      <c r="I24" s="65" t="s">
        <v>213</v>
      </c>
      <c r="J24" s="65"/>
      <c r="K24" s="66" t="s">
        <v>214</v>
      </c>
      <c r="L24" s="67">
        <v>153356.45000000001</v>
      </c>
    </row>
    <row r="25" spans="1:12" ht="51" hidden="1" x14ac:dyDescent="0.3">
      <c r="A25" s="61" t="s">
        <v>297</v>
      </c>
      <c r="B25" s="62" t="s">
        <v>304</v>
      </c>
      <c r="C25" s="62" t="s">
        <v>305</v>
      </c>
      <c r="D25" s="62" t="s">
        <v>300</v>
      </c>
      <c r="E25" s="63" t="s">
        <v>265</v>
      </c>
      <c r="F25" s="64">
        <v>74782.350000000006</v>
      </c>
      <c r="G25" s="64"/>
      <c r="H25" s="63" t="s">
        <v>266</v>
      </c>
      <c r="I25" s="65" t="s">
        <v>213</v>
      </c>
      <c r="J25" s="65"/>
      <c r="K25" s="66" t="s">
        <v>214</v>
      </c>
      <c r="L25" s="67">
        <v>228138.8</v>
      </c>
    </row>
    <row r="26" spans="1:12" ht="51" hidden="1" x14ac:dyDescent="0.3">
      <c r="A26" s="61" t="s">
        <v>218</v>
      </c>
      <c r="B26" s="62" t="s">
        <v>306</v>
      </c>
      <c r="C26" s="62" t="s">
        <v>307</v>
      </c>
      <c r="D26" s="62" t="s">
        <v>300</v>
      </c>
      <c r="E26" s="63" t="s">
        <v>265</v>
      </c>
      <c r="F26" s="64">
        <v>74782.350000000006</v>
      </c>
      <c r="G26" s="64"/>
      <c r="H26" s="63" t="s">
        <v>266</v>
      </c>
      <c r="I26" s="65" t="s">
        <v>213</v>
      </c>
      <c r="J26" s="65"/>
      <c r="K26" s="66" t="s">
        <v>214</v>
      </c>
      <c r="L26" s="67">
        <v>302921.15000000002</v>
      </c>
    </row>
    <row r="27" spans="1:12" ht="51" hidden="1" x14ac:dyDescent="0.3">
      <c r="A27" s="61" t="s">
        <v>218</v>
      </c>
      <c r="B27" s="62" t="s">
        <v>308</v>
      </c>
      <c r="C27" s="62" t="s">
        <v>309</v>
      </c>
      <c r="D27" s="62" t="s">
        <v>300</v>
      </c>
      <c r="E27" s="63" t="s">
        <v>265</v>
      </c>
      <c r="F27" s="64">
        <v>74782.350000000006</v>
      </c>
      <c r="G27" s="64"/>
      <c r="H27" s="63" t="s">
        <v>266</v>
      </c>
      <c r="I27" s="65" t="s">
        <v>213</v>
      </c>
      <c r="J27" s="65"/>
      <c r="K27" s="66" t="s">
        <v>214</v>
      </c>
      <c r="L27" s="67">
        <v>377703.5</v>
      </c>
    </row>
    <row r="28" spans="1:12" ht="51" hidden="1" x14ac:dyDescent="0.3">
      <c r="A28" s="61" t="s">
        <v>218</v>
      </c>
      <c r="B28" s="62" t="s">
        <v>310</v>
      </c>
      <c r="C28" s="62" t="s">
        <v>311</v>
      </c>
      <c r="D28" s="62" t="s">
        <v>300</v>
      </c>
      <c r="E28" s="63" t="s">
        <v>265</v>
      </c>
      <c r="F28" s="64">
        <v>74782.350000000006</v>
      </c>
      <c r="G28" s="64"/>
      <c r="H28" s="63" t="s">
        <v>266</v>
      </c>
      <c r="I28" s="65" t="s">
        <v>213</v>
      </c>
      <c r="J28" s="65"/>
      <c r="K28" s="66" t="s">
        <v>214</v>
      </c>
      <c r="L28" s="67">
        <v>452485.85</v>
      </c>
    </row>
    <row r="29" spans="1:12" ht="51" hidden="1" x14ac:dyDescent="0.3">
      <c r="A29" s="61" t="s">
        <v>218</v>
      </c>
      <c r="B29" s="62" t="s">
        <v>312</v>
      </c>
      <c r="C29" s="62" t="s">
        <v>313</v>
      </c>
      <c r="D29" s="62" t="s">
        <v>300</v>
      </c>
      <c r="E29" s="63" t="s">
        <v>265</v>
      </c>
      <c r="F29" s="64">
        <v>74782.350000000006</v>
      </c>
      <c r="G29" s="64"/>
      <c r="H29" s="63" t="s">
        <v>266</v>
      </c>
      <c r="I29" s="65" t="s">
        <v>213</v>
      </c>
      <c r="J29" s="65"/>
      <c r="K29" s="66" t="s">
        <v>214</v>
      </c>
      <c r="L29" s="67">
        <v>527268.19999999995</v>
      </c>
    </row>
    <row r="30" spans="1:12" ht="51" hidden="1" x14ac:dyDescent="0.3">
      <c r="A30" s="61" t="s">
        <v>218</v>
      </c>
      <c r="B30" s="62" t="s">
        <v>314</v>
      </c>
      <c r="C30" s="62" t="s">
        <v>315</v>
      </c>
      <c r="D30" s="62" t="s">
        <v>300</v>
      </c>
      <c r="E30" s="63" t="s">
        <v>265</v>
      </c>
      <c r="F30" s="64">
        <v>74782.350000000006</v>
      </c>
      <c r="G30" s="64"/>
      <c r="H30" s="63" t="s">
        <v>266</v>
      </c>
      <c r="I30" s="65" t="s">
        <v>213</v>
      </c>
      <c r="J30" s="65"/>
      <c r="K30" s="66" t="s">
        <v>214</v>
      </c>
      <c r="L30" s="67">
        <v>602050.55000000005</v>
      </c>
    </row>
    <row r="31" spans="1:12" ht="51" hidden="1" x14ac:dyDescent="0.3">
      <c r="A31" s="61" t="s">
        <v>316</v>
      </c>
      <c r="B31" s="62" t="s">
        <v>317</v>
      </c>
      <c r="C31" s="62" t="s">
        <v>318</v>
      </c>
      <c r="D31" s="62" t="s">
        <v>300</v>
      </c>
      <c r="E31" s="63" t="s">
        <v>265</v>
      </c>
      <c r="F31" s="64">
        <v>74782.350000000006</v>
      </c>
      <c r="G31" s="64"/>
      <c r="H31" s="63" t="s">
        <v>266</v>
      </c>
      <c r="I31" s="65" t="s">
        <v>213</v>
      </c>
      <c r="J31" s="65"/>
      <c r="K31" s="66" t="s">
        <v>214</v>
      </c>
      <c r="L31" s="67">
        <v>676832.9</v>
      </c>
    </row>
    <row r="32" spans="1:12" ht="51" hidden="1" x14ac:dyDescent="0.3">
      <c r="A32" s="61" t="s">
        <v>316</v>
      </c>
      <c r="B32" s="62" t="s">
        <v>319</v>
      </c>
      <c r="C32" s="62" t="s">
        <v>320</v>
      </c>
      <c r="D32" s="62" t="s">
        <v>321</v>
      </c>
      <c r="E32" s="63" t="s">
        <v>265</v>
      </c>
      <c r="F32" s="64">
        <v>74782.350000000006</v>
      </c>
      <c r="G32" s="64"/>
      <c r="H32" s="63" t="s">
        <v>266</v>
      </c>
      <c r="I32" s="65" t="s">
        <v>213</v>
      </c>
      <c r="J32" s="65"/>
      <c r="K32" s="66" t="s">
        <v>214</v>
      </c>
      <c r="L32" s="67">
        <v>751615.25</v>
      </c>
    </row>
    <row r="33" spans="1:12" ht="51" hidden="1" x14ac:dyDescent="0.3">
      <c r="A33" s="61" t="s">
        <v>316</v>
      </c>
      <c r="B33" s="62" t="s">
        <v>322</v>
      </c>
      <c r="C33" s="62" t="s">
        <v>323</v>
      </c>
      <c r="D33" s="62" t="s">
        <v>321</v>
      </c>
      <c r="E33" s="63" t="s">
        <v>265</v>
      </c>
      <c r="F33" s="64">
        <v>74782.350000000006</v>
      </c>
      <c r="G33" s="64"/>
      <c r="H33" s="63" t="s">
        <v>266</v>
      </c>
      <c r="I33" s="65" t="s">
        <v>213</v>
      </c>
      <c r="J33" s="65"/>
      <c r="K33" s="66" t="s">
        <v>214</v>
      </c>
      <c r="L33" s="67">
        <v>826397.6</v>
      </c>
    </row>
    <row r="34" spans="1:12" ht="51" hidden="1" x14ac:dyDescent="0.3">
      <c r="A34" s="61" t="s">
        <v>316</v>
      </c>
      <c r="B34" s="62" t="s">
        <v>324</v>
      </c>
      <c r="C34" s="62" t="s">
        <v>325</v>
      </c>
      <c r="D34" s="62" t="s">
        <v>326</v>
      </c>
      <c r="E34" s="63" t="s">
        <v>265</v>
      </c>
      <c r="F34" s="64">
        <v>1550</v>
      </c>
      <c r="G34" s="64"/>
      <c r="H34" s="63" t="s">
        <v>266</v>
      </c>
      <c r="I34" s="65" t="s">
        <v>213</v>
      </c>
      <c r="J34" s="65"/>
      <c r="K34" s="66" t="s">
        <v>214</v>
      </c>
      <c r="L34" s="67">
        <v>827947.6</v>
      </c>
    </row>
    <row r="35" spans="1:12" ht="51" hidden="1" x14ac:dyDescent="0.3">
      <c r="A35" s="61" t="s">
        <v>327</v>
      </c>
      <c r="B35" s="62" t="s">
        <v>328</v>
      </c>
      <c r="C35" s="62" t="s">
        <v>329</v>
      </c>
      <c r="D35" s="62" t="s">
        <v>321</v>
      </c>
      <c r="E35" s="63" t="s">
        <v>265</v>
      </c>
      <c r="F35" s="64">
        <v>74782.350000000006</v>
      </c>
      <c r="G35" s="64"/>
      <c r="H35" s="63" t="s">
        <v>266</v>
      </c>
      <c r="I35" s="65" t="s">
        <v>213</v>
      </c>
      <c r="J35" s="65"/>
      <c r="K35" s="66" t="s">
        <v>214</v>
      </c>
      <c r="L35" s="67">
        <v>902729.95</v>
      </c>
    </row>
    <row r="36" spans="1:12" ht="51" hidden="1" x14ac:dyDescent="0.3">
      <c r="A36" s="61" t="s">
        <v>327</v>
      </c>
      <c r="B36" s="62" t="s">
        <v>330</v>
      </c>
      <c r="C36" s="62" t="s">
        <v>331</v>
      </c>
      <c r="D36" s="62" t="s">
        <v>321</v>
      </c>
      <c r="E36" s="63" t="s">
        <v>265</v>
      </c>
      <c r="F36" s="64">
        <v>74782.350000000006</v>
      </c>
      <c r="G36" s="64"/>
      <c r="H36" s="63" t="s">
        <v>266</v>
      </c>
      <c r="I36" s="65" t="s">
        <v>213</v>
      </c>
      <c r="J36" s="65"/>
      <c r="K36" s="66" t="s">
        <v>214</v>
      </c>
      <c r="L36" s="67">
        <v>977512.3</v>
      </c>
    </row>
    <row r="37" spans="1:12" ht="51" hidden="1" x14ac:dyDescent="0.3">
      <c r="A37" s="61" t="s">
        <v>327</v>
      </c>
      <c r="B37" s="62" t="s">
        <v>332</v>
      </c>
      <c r="C37" s="62" t="s">
        <v>333</v>
      </c>
      <c r="D37" s="62" t="s">
        <v>321</v>
      </c>
      <c r="E37" s="63" t="s">
        <v>265</v>
      </c>
      <c r="F37" s="64">
        <v>74782.350000000006</v>
      </c>
      <c r="G37" s="64"/>
      <c r="H37" s="63" t="s">
        <v>266</v>
      </c>
      <c r="I37" s="65" t="s">
        <v>213</v>
      </c>
      <c r="J37" s="65"/>
      <c r="K37" s="66" t="s">
        <v>214</v>
      </c>
      <c r="L37" s="67">
        <v>1052294.6499999999</v>
      </c>
    </row>
    <row r="38" spans="1:12" ht="51" hidden="1" x14ac:dyDescent="0.3">
      <c r="A38" s="61" t="s">
        <v>334</v>
      </c>
      <c r="B38" s="62" t="s">
        <v>335</v>
      </c>
      <c r="C38" s="62" t="s">
        <v>336</v>
      </c>
      <c r="D38" s="62" t="s">
        <v>321</v>
      </c>
      <c r="E38" s="63" t="s">
        <v>265</v>
      </c>
      <c r="F38" s="64">
        <v>74782.350000000006</v>
      </c>
      <c r="G38" s="64"/>
      <c r="H38" s="63" t="s">
        <v>266</v>
      </c>
      <c r="I38" s="65" t="s">
        <v>213</v>
      </c>
      <c r="J38" s="65"/>
      <c r="K38" s="66" t="s">
        <v>214</v>
      </c>
      <c r="L38" s="67">
        <v>1127077</v>
      </c>
    </row>
    <row r="39" spans="1:12" ht="51" hidden="1" x14ac:dyDescent="0.3">
      <c r="A39" s="61" t="s">
        <v>334</v>
      </c>
      <c r="B39" s="62" t="s">
        <v>337</v>
      </c>
      <c r="C39" s="62" t="s">
        <v>338</v>
      </c>
      <c r="D39" s="62" t="s">
        <v>339</v>
      </c>
      <c r="E39" s="63" t="s">
        <v>265</v>
      </c>
      <c r="F39" s="64">
        <v>47053.82</v>
      </c>
      <c r="G39" s="64"/>
      <c r="H39" s="63" t="s">
        <v>266</v>
      </c>
      <c r="I39" s="65" t="s">
        <v>213</v>
      </c>
      <c r="J39" s="65"/>
      <c r="K39" s="66" t="s">
        <v>214</v>
      </c>
      <c r="L39" s="67">
        <v>1174130.82</v>
      </c>
    </row>
    <row r="40" spans="1:12" ht="51" hidden="1" x14ac:dyDescent="0.3">
      <c r="A40" s="61" t="s">
        <v>334</v>
      </c>
      <c r="B40" s="62" t="s">
        <v>337</v>
      </c>
      <c r="C40" s="62" t="s">
        <v>338</v>
      </c>
      <c r="D40" s="62" t="s">
        <v>321</v>
      </c>
      <c r="E40" s="63" t="s">
        <v>265</v>
      </c>
      <c r="F40" s="64">
        <v>27728.53</v>
      </c>
      <c r="G40" s="64"/>
      <c r="H40" s="63" t="s">
        <v>266</v>
      </c>
      <c r="I40" s="65" t="s">
        <v>213</v>
      </c>
      <c r="J40" s="65"/>
      <c r="K40" s="66" t="s">
        <v>214</v>
      </c>
      <c r="L40" s="67">
        <v>1201859.3500000001</v>
      </c>
    </row>
    <row r="41" spans="1:12" ht="51" hidden="1" x14ac:dyDescent="0.3">
      <c r="A41" s="61" t="s">
        <v>334</v>
      </c>
      <c r="B41" s="62" t="s">
        <v>340</v>
      </c>
      <c r="C41" s="62" t="s">
        <v>341</v>
      </c>
      <c r="D41" s="62" t="s">
        <v>339</v>
      </c>
      <c r="E41" s="63" t="s">
        <v>265</v>
      </c>
      <c r="F41" s="64">
        <v>74782.350000000006</v>
      </c>
      <c r="G41" s="64"/>
      <c r="H41" s="63" t="s">
        <v>266</v>
      </c>
      <c r="I41" s="65" t="s">
        <v>213</v>
      </c>
      <c r="J41" s="65"/>
      <c r="K41" s="66" t="s">
        <v>214</v>
      </c>
      <c r="L41" s="67">
        <v>1276641.7</v>
      </c>
    </row>
    <row r="42" spans="1:12" ht="51" hidden="1" x14ac:dyDescent="0.3">
      <c r="A42" s="61" t="s">
        <v>334</v>
      </c>
      <c r="B42" s="62" t="s">
        <v>342</v>
      </c>
      <c r="C42" s="62" t="s">
        <v>343</v>
      </c>
      <c r="D42" s="62" t="s">
        <v>339</v>
      </c>
      <c r="E42" s="63" t="s">
        <v>265</v>
      </c>
      <c r="F42" s="64">
        <v>74782.350000000006</v>
      </c>
      <c r="G42" s="64"/>
      <c r="H42" s="63" t="s">
        <v>266</v>
      </c>
      <c r="I42" s="65" t="s">
        <v>213</v>
      </c>
      <c r="J42" s="65"/>
      <c r="K42" s="66" t="s">
        <v>214</v>
      </c>
      <c r="L42" s="67">
        <v>1351424.05</v>
      </c>
    </row>
    <row r="43" spans="1:12" ht="51" hidden="1" x14ac:dyDescent="0.3">
      <c r="A43" s="61" t="s">
        <v>334</v>
      </c>
      <c r="B43" s="62" t="s">
        <v>344</v>
      </c>
      <c r="C43" s="62" t="s">
        <v>345</v>
      </c>
      <c r="D43" s="62" t="s">
        <v>339</v>
      </c>
      <c r="E43" s="63" t="s">
        <v>265</v>
      </c>
      <c r="F43" s="64">
        <v>75100</v>
      </c>
      <c r="G43" s="64"/>
      <c r="H43" s="63" t="s">
        <v>266</v>
      </c>
      <c r="I43" s="65" t="s">
        <v>213</v>
      </c>
      <c r="J43" s="65"/>
      <c r="K43" s="66" t="s">
        <v>214</v>
      </c>
      <c r="L43" s="67">
        <v>1426524.05</v>
      </c>
    </row>
    <row r="44" spans="1:12" ht="51" hidden="1" x14ac:dyDescent="0.3">
      <c r="A44" s="61" t="s">
        <v>334</v>
      </c>
      <c r="B44" s="62" t="s">
        <v>346</v>
      </c>
      <c r="C44" s="62" t="s">
        <v>347</v>
      </c>
      <c r="D44" s="62" t="s">
        <v>339</v>
      </c>
      <c r="E44" s="63" t="s">
        <v>265</v>
      </c>
      <c r="F44" s="64">
        <v>74782.350000000006</v>
      </c>
      <c r="G44" s="64"/>
      <c r="H44" s="63" t="s">
        <v>266</v>
      </c>
      <c r="I44" s="65" t="s">
        <v>213</v>
      </c>
      <c r="J44" s="65"/>
      <c r="K44" s="66" t="s">
        <v>214</v>
      </c>
      <c r="L44" s="67">
        <v>1501306.4</v>
      </c>
    </row>
    <row r="45" spans="1:12" ht="51" hidden="1" x14ac:dyDescent="0.3">
      <c r="A45" s="61" t="s">
        <v>334</v>
      </c>
      <c r="B45" s="62" t="s">
        <v>348</v>
      </c>
      <c r="C45" s="62" t="s">
        <v>349</v>
      </c>
      <c r="D45" s="62" t="s">
        <v>339</v>
      </c>
      <c r="E45" s="63" t="s">
        <v>265</v>
      </c>
      <c r="F45" s="64">
        <v>74782.350000000006</v>
      </c>
      <c r="G45" s="64"/>
      <c r="H45" s="63" t="s">
        <v>266</v>
      </c>
      <c r="I45" s="65" t="s">
        <v>213</v>
      </c>
      <c r="J45" s="65"/>
      <c r="K45" s="66" t="s">
        <v>214</v>
      </c>
      <c r="L45" s="67">
        <v>1576088.75</v>
      </c>
    </row>
    <row r="46" spans="1:12" ht="51" hidden="1" x14ac:dyDescent="0.3">
      <c r="A46" s="61" t="s">
        <v>334</v>
      </c>
      <c r="B46" s="62" t="s">
        <v>350</v>
      </c>
      <c r="C46" s="62" t="s">
        <v>351</v>
      </c>
      <c r="D46" s="62" t="s">
        <v>339</v>
      </c>
      <c r="E46" s="63" t="s">
        <v>265</v>
      </c>
      <c r="F46" s="64">
        <v>74782.350000000006</v>
      </c>
      <c r="G46" s="64"/>
      <c r="H46" s="63" t="s">
        <v>266</v>
      </c>
      <c r="I46" s="65" t="s">
        <v>213</v>
      </c>
      <c r="J46" s="65"/>
      <c r="K46" s="66" t="s">
        <v>214</v>
      </c>
      <c r="L46" s="67">
        <v>1650871.1</v>
      </c>
    </row>
    <row r="47" spans="1:12" ht="51" hidden="1" x14ac:dyDescent="0.3">
      <c r="A47" s="61" t="s">
        <v>352</v>
      </c>
      <c r="B47" s="62" t="s">
        <v>353</v>
      </c>
      <c r="C47" s="62" t="s">
        <v>354</v>
      </c>
      <c r="D47" s="62" t="s">
        <v>355</v>
      </c>
      <c r="E47" s="63" t="s">
        <v>265</v>
      </c>
      <c r="F47" s="64">
        <v>46764.39</v>
      </c>
      <c r="G47" s="64"/>
      <c r="H47" s="63" t="s">
        <v>266</v>
      </c>
      <c r="I47" s="65" t="s">
        <v>213</v>
      </c>
      <c r="J47" s="65"/>
      <c r="K47" s="66" t="s">
        <v>214</v>
      </c>
      <c r="L47" s="67">
        <v>1697635.49</v>
      </c>
    </row>
    <row r="48" spans="1:12" ht="51" hidden="1" x14ac:dyDescent="0.3">
      <c r="A48" s="61" t="s">
        <v>352</v>
      </c>
      <c r="B48" s="62" t="s">
        <v>356</v>
      </c>
      <c r="C48" s="62" t="s">
        <v>354</v>
      </c>
      <c r="D48" s="62" t="s">
        <v>339</v>
      </c>
      <c r="E48" s="63" t="s">
        <v>265</v>
      </c>
      <c r="F48" s="64">
        <v>28335.61</v>
      </c>
      <c r="G48" s="64"/>
      <c r="H48" s="63" t="s">
        <v>266</v>
      </c>
      <c r="I48" s="65" t="s">
        <v>213</v>
      </c>
      <c r="J48" s="65"/>
      <c r="K48" s="66" t="s">
        <v>214</v>
      </c>
      <c r="L48" s="67">
        <v>1725971.1</v>
      </c>
    </row>
    <row r="49" spans="1:12" ht="51" hidden="1" x14ac:dyDescent="0.3">
      <c r="A49" s="61" t="s">
        <v>352</v>
      </c>
      <c r="B49" s="62" t="s">
        <v>357</v>
      </c>
      <c r="C49" s="62" t="s">
        <v>358</v>
      </c>
      <c r="D49" s="62" t="s">
        <v>359</v>
      </c>
      <c r="E49" s="63" t="s">
        <v>265</v>
      </c>
      <c r="F49" s="64">
        <v>75100</v>
      </c>
      <c r="G49" s="64"/>
      <c r="H49" s="63" t="s">
        <v>266</v>
      </c>
      <c r="I49" s="65" t="s">
        <v>213</v>
      </c>
      <c r="J49" s="65"/>
      <c r="K49" s="66" t="s">
        <v>214</v>
      </c>
      <c r="L49" s="67">
        <v>1801071.1</v>
      </c>
    </row>
    <row r="50" spans="1:12" ht="51" hidden="1" x14ac:dyDescent="0.3">
      <c r="A50" s="61" t="s">
        <v>352</v>
      </c>
      <c r="B50" s="62" t="s">
        <v>360</v>
      </c>
      <c r="C50" s="62" t="s">
        <v>361</v>
      </c>
      <c r="D50" s="62" t="s">
        <v>362</v>
      </c>
      <c r="E50" s="63" t="s">
        <v>265</v>
      </c>
      <c r="F50" s="64">
        <v>75100</v>
      </c>
      <c r="G50" s="64"/>
      <c r="H50" s="63" t="s">
        <v>266</v>
      </c>
      <c r="I50" s="65" t="s">
        <v>213</v>
      </c>
      <c r="J50" s="65"/>
      <c r="K50" s="66" t="s">
        <v>214</v>
      </c>
      <c r="L50" s="67">
        <v>1876171.1</v>
      </c>
    </row>
    <row r="51" spans="1:12" ht="51" hidden="1" x14ac:dyDescent="0.3">
      <c r="A51" s="61" t="s">
        <v>363</v>
      </c>
      <c r="B51" s="62" t="s">
        <v>364</v>
      </c>
      <c r="C51" s="62" t="s">
        <v>365</v>
      </c>
      <c r="D51" s="62" t="s">
        <v>366</v>
      </c>
      <c r="E51" s="63" t="s">
        <v>265</v>
      </c>
      <c r="F51" s="64">
        <v>75100</v>
      </c>
      <c r="G51" s="64"/>
      <c r="H51" s="63" t="s">
        <v>266</v>
      </c>
      <c r="I51" s="65" t="s">
        <v>213</v>
      </c>
      <c r="J51" s="65"/>
      <c r="K51" s="66" t="s">
        <v>214</v>
      </c>
      <c r="L51" s="67">
        <v>1951271.1</v>
      </c>
    </row>
    <row r="52" spans="1:12" ht="51" hidden="1" x14ac:dyDescent="0.3">
      <c r="A52" s="61" t="s">
        <v>363</v>
      </c>
      <c r="B52" s="62" t="s">
        <v>367</v>
      </c>
      <c r="C52" s="62" t="s">
        <v>368</v>
      </c>
      <c r="D52" s="62" t="s">
        <v>339</v>
      </c>
      <c r="E52" s="63" t="s">
        <v>265</v>
      </c>
      <c r="F52" s="64">
        <v>75100</v>
      </c>
      <c r="G52" s="64"/>
      <c r="H52" s="63" t="s">
        <v>266</v>
      </c>
      <c r="I52" s="65" t="s">
        <v>213</v>
      </c>
      <c r="J52" s="65"/>
      <c r="K52" s="66" t="s">
        <v>214</v>
      </c>
      <c r="L52" s="67">
        <v>2026371.1</v>
      </c>
    </row>
    <row r="53" spans="1:12" ht="51" hidden="1" x14ac:dyDescent="0.3">
      <c r="A53" s="61" t="s">
        <v>363</v>
      </c>
      <c r="B53" s="62" t="s">
        <v>369</v>
      </c>
      <c r="C53" s="62" t="s">
        <v>370</v>
      </c>
      <c r="D53" s="62" t="s">
        <v>339</v>
      </c>
      <c r="E53" s="63" t="s">
        <v>265</v>
      </c>
      <c r="F53" s="64">
        <v>52570</v>
      </c>
      <c r="G53" s="64"/>
      <c r="H53" s="63" t="s">
        <v>266</v>
      </c>
      <c r="I53" s="65" t="s">
        <v>213</v>
      </c>
      <c r="J53" s="65"/>
      <c r="K53" s="66" t="s">
        <v>214</v>
      </c>
      <c r="L53" s="67">
        <v>2078941.1</v>
      </c>
    </row>
    <row r="54" spans="1:12" ht="51" hidden="1" x14ac:dyDescent="0.3">
      <c r="A54" s="61" t="s">
        <v>371</v>
      </c>
      <c r="B54" s="62" t="s">
        <v>372</v>
      </c>
      <c r="C54" s="62" t="s">
        <v>373</v>
      </c>
      <c r="D54" s="62" t="s">
        <v>339</v>
      </c>
      <c r="E54" s="63" t="s">
        <v>265</v>
      </c>
      <c r="F54" s="64">
        <v>75100</v>
      </c>
      <c r="G54" s="64"/>
      <c r="H54" s="63" t="s">
        <v>266</v>
      </c>
      <c r="I54" s="65" t="s">
        <v>213</v>
      </c>
      <c r="J54" s="65"/>
      <c r="K54" s="66" t="s">
        <v>214</v>
      </c>
      <c r="L54" s="67">
        <v>2154041.1</v>
      </c>
    </row>
    <row r="55" spans="1:12" ht="51" hidden="1" x14ac:dyDescent="0.3">
      <c r="A55" s="61" t="s">
        <v>371</v>
      </c>
      <c r="B55" s="62" t="s">
        <v>374</v>
      </c>
      <c r="C55" s="62" t="s">
        <v>375</v>
      </c>
      <c r="D55" s="62" t="s">
        <v>339</v>
      </c>
      <c r="E55" s="63" t="s">
        <v>265</v>
      </c>
      <c r="F55" s="64">
        <v>75100</v>
      </c>
      <c r="G55" s="64"/>
      <c r="H55" s="63" t="s">
        <v>266</v>
      </c>
      <c r="I55" s="65" t="s">
        <v>213</v>
      </c>
      <c r="J55" s="65"/>
      <c r="K55" s="66" t="s">
        <v>214</v>
      </c>
      <c r="L55" s="67">
        <v>2229141.1</v>
      </c>
    </row>
    <row r="56" spans="1:12" ht="51" hidden="1" x14ac:dyDescent="0.3">
      <c r="A56" s="61" t="s">
        <v>376</v>
      </c>
      <c r="B56" s="62" t="s">
        <v>377</v>
      </c>
      <c r="C56" s="62" t="s">
        <v>378</v>
      </c>
      <c r="D56" s="62" t="s">
        <v>379</v>
      </c>
      <c r="E56" s="63" t="s">
        <v>265</v>
      </c>
      <c r="F56" s="64">
        <v>16618.3</v>
      </c>
      <c r="G56" s="64"/>
      <c r="H56" s="63" t="s">
        <v>266</v>
      </c>
      <c r="I56" s="65" t="s">
        <v>213</v>
      </c>
      <c r="J56" s="65"/>
      <c r="K56" s="66" t="s">
        <v>214</v>
      </c>
      <c r="L56" s="67">
        <v>2245759.4</v>
      </c>
    </row>
    <row r="57" spans="1:12" ht="51" hidden="1" x14ac:dyDescent="0.3">
      <c r="A57" s="61" t="s">
        <v>376</v>
      </c>
      <c r="B57" s="62" t="s">
        <v>377</v>
      </c>
      <c r="C57" s="62" t="s">
        <v>380</v>
      </c>
      <c r="D57" s="62" t="s">
        <v>379</v>
      </c>
      <c r="E57" s="63" t="s">
        <v>265</v>
      </c>
      <c r="F57" s="64">
        <v>60080</v>
      </c>
      <c r="G57" s="64"/>
      <c r="H57" s="63" t="s">
        <v>266</v>
      </c>
      <c r="I57" s="65" t="s">
        <v>213</v>
      </c>
      <c r="J57" s="65"/>
      <c r="K57" s="66" t="s">
        <v>214</v>
      </c>
      <c r="L57" s="67">
        <v>2305839.4</v>
      </c>
    </row>
    <row r="58" spans="1:12" ht="51" hidden="1" x14ac:dyDescent="0.3">
      <c r="A58" s="61" t="s">
        <v>381</v>
      </c>
      <c r="B58" s="62" t="s">
        <v>382</v>
      </c>
      <c r="C58" s="62" t="s">
        <v>383</v>
      </c>
      <c r="D58" s="62" t="s">
        <v>379</v>
      </c>
      <c r="E58" s="63" t="s">
        <v>265</v>
      </c>
      <c r="F58" s="64">
        <v>74782.350000000006</v>
      </c>
      <c r="G58" s="64"/>
      <c r="H58" s="63" t="s">
        <v>266</v>
      </c>
      <c r="I58" s="65" t="s">
        <v>213</v>
      </c>
      <c r="J58" s="65"/>
      <c r="K58" s="66" t="s">
        <v>214</v>
      </c>
      <c r="L58" s="67">
        <v>2380621.75</v>
      </c>
    </row>
    <row r="59" spans="1:12" ht="51" hidden="1" x14ac:dyDescent="0.3">
      <c r="A59" s="61" t="s">
        <v>381</v>
      </c>
      <c r="B59" s="62" t="s">
        <v>384</v>
      </c>
      <c r="C59" s="62" t="s">
        <v>385</v>
      </c>
      <c r="D59" s="62" t="s">
        <v>386</v>
      </c>
      <c r="E59" s="63" t="s">
        <v>265</v>
      </c>
      <c r="F59" s="64">
        <v>74782.350000000006</v>
      </c>
      <c r="G59" s="64"/>
      <c r="H59" s="63" t="s">
        <v>266</v>
      </c>
      <c r="I59" s="65" t="s">
        <v>213</v>
      </c>
      <c r="J59" s="65"/>
      <c r="K59" s="66" t="s">
        <v>214</v>
      </c>
      <c r="L59" s="67">
        <v>2455404.1</v>
      </c>
    </row>
    <row r="60" spans="1:12" ht="51" hidden="1" x14ac:dyDescent="0.3">
      <c r="A60" s="61" t="s">
        <v>381</v>
      </c>
      <c r="B60" s="62" t="s">
        <v>387</v>
      </c>
      <c r="C60" s="62" t="s">
        <v>388</v>
      </c>
      <c r="D60" s="62" t="s">
        <v>386</v>
      </c>
      <c r="E60" s="63" t="s">
        <v>265</v>
      </c>
      <c r="F60" s="64">
        <v>74782.350000000006</v>
      </c>
      <c r="G60" s="64"/>
      <c r="H60" s="63" t="s">
        <v>266</v>
      </c>
      <c r="I60" s="65" t="s">
        <v>213</v>
      </c>
      <c r="J60" s="65"/>
      <c r="K60" s="66" t="s">
        <v>214</v>
      </c>
      <c r="L60" s="67">
        <v>2530186.4500000002</v>
      </c>
    </row>
    <row r="61" spans="1:12" ht="51" hidden="1" x14ac:dyDescent="0.3">
      <c r="A61" s="61" t="s">
        <v>389</v>
      </c>
      <c r="B61" s="62" t="s">
        <v>390</v>
      </c>
      <c r="C61" s="62" t="s">
        <v>391</v>
      </c>
      <c r="D61" s="62" t="s">
        <v>299</v>
      </c>
      <c r="E61" s="63" t="s">
        <v>265</v>
      </c>
      <c r="F61" s="69" t="s">
        <v>213</v>
      </c>
      <c r="G61" s="69"/>
      <c r="H61" s="63" t="s">
        <v>265</v>
      </c>
      <c r="I61" s="71">
        <v>74782.350000000006</v>
      </c>
      <c r="J61" s="71"/>
      <c r="K61" s="66" t="s">
        <v>214</v>
      </c>
      <c r="L61" s="67">
        <v>2455404.1</v>
      </c>
    </row>
    <row r="62" spans="1:12" ht="51" hidden="1" x14ac:dyDescent="0.3">
      <c r="A62" s="61" t="s">
        <v>389</v>
      </c>
      <c r="B62" s="62" t="s">
        <v>390</v>
      </c>
      <c r="C62" s="62" t="s">
        <v>392</v>
      </c>
      <c r="D62" s="62" t="s">
        <v>302</v>
      </c>
      <c r="E62" s="63" t="s">
        <v>265</v>
      </c>
      <c r="F62" s="69" t="s">
        <v>213</v>
      </c>
      <c r="G62" s="69"/>
      <c r="H62" s="63" t="s">
        <v>265</v>
      </c>
      <c r="I62" s="71">
        <v>33236.6</v>
      </c>
      <c r="J62" s="71"/>
      <c r="K62" s="66" t="s">
        <v>214</v>
      </c>
      <c r="L62" s="67">
        <v>2422167.5</v>
      </c>
    </row>
    <row r="63" spans="1:12" ht="51" hidden="1" x14ac:dyDescent="0.3">
      <c r="A63" s="61" t="s">
        <v>389</v>
      </c>
      <c r="B63" s="62" t="s">
        <v>390</v>
      </c>
      <c r="C63" s="62" t="s">
        <v>393</v>
      </c>
      <c r="D63" s="62" t="s">
        <v>305</v>
      </c>
      <c r="E63" s="63" t="s">
        <v>265</v>
      </c>
      <c r="F63" s="69" t="s">
        <v>213</v>
      </c>
      <c r="G63" s="69"/>
      <c r="H63" s="63" t="s">
        <v>265</v>
      </c>
      <c r="I63" s="71">
        <v>41545.75</v>
      </c>
      <c r="J63" s="71"/>
      <c r="K63" s="66" t="s">
        <v>214</v>
      </c>
      <c r="L63" s="67">
        <v>2380621.75</v>
      </c>
    </row>
    <row r="64" spans="1:12" ht="51" hidden="1" x14ac:dyDescent="0.3">
      <c r="A64" s="61" t="s">
        <v>389</v>
      </c>
      <c r="B64" s="62" t="s">
        <v>390</v>
      </c>
      <c r="C64" s="62" t="s">
        <v>393</v>
      </c>
      <c r="D64" s="62" t="s">
        <v>305</v>
      </c>
      <c r="E64" s="63" t="s">
        <v>265</v>
      </c>
      <c r="F64" s="69" t="s">
        <v>213</v>
      </c>
      <c r="G64" s="69"/>
      <c r="H64" s="63" t="s">
        <v>265</v>
      </c>
      <c r="I64" s="71">
        <v>33236.6</v>
      </c>
      <c r="J64" s="71"/>
      <c r="K64" s="66" t="s">
        <v>214</v>
      </c>
      <c r="L64" s="67">
        <v>2347385.15</v>
      </c>
    </row>
    <row r="65" spans="1:12" ht="51" hidden="1" x14ac:dyDescent="0.3">
      <c r="A65" s="61" t="s">
        <v>389</v>
      </c>
      <c r="B65" s="62" t="s">
        <v>390</v>
      </c>
      <c r="C65" s="62" t="s">
        <v>394</v>
      </c>
      <c r="D65" s="62" t="s">
        <v>307</v>
      </c>
      <c r="E65" s="63" t="s">
        <v>265</v>
      </c>
      <c r="F65" s="69" t="s">
        <v>213</v>
      </c>
      <c r="G65" s="69"/>
      <c r="H65" s="63" t="s">
        <v>265</v>
      </c>
      <c r="I65" s="71">
        <v>41545.75</v>
      </c>
      <c r="J65" s="71"/>
      <c r="K65" s="66" t="s">
        <v>214</v>
      </c>
      <c r="L65" s="67">
        <v>2305839.4</v>
      </c>
    </row>
    <row r="66" spans="1:12" ht="51" hidden="1" x14ac:dyDescent="0.3">
      <c r="A66" s="61" t="s">
        <v>389</v>
      </c>
      <c r="B66" s="62" t="s">
        <v>390</v>
      </c>
      <c r="C66" s="62" t="s">
        <v>394</v>
      </c>
      <c r="D66" s="62" t="s">
        <v>307</v>
      </c>
      <c r="E66" s="63" t="s">
        <v>265</v>
      </c>
      <c r="F66" s="69" t="s">
        <v>213</v>
      </c>
      <c r="G66" s="69"/>
      <c r="H66" s="63" t="s">
        <v>265</v>
      </c>
      <c r="I66" s="71">
        <v>33236.6</v>
      </c>
      <c r="J66" s="71"/>
      <c r="K66" s="66" t="s">
        <v>214</v>
      </c>
      <c r="L66" s="67">
        <v>2272602.7999999998</v>
      </c>
    </row>
    <row r="67" spans="1:12" ht="51" hidden="1" x14ac:dyDescent="0.3">
      <c r="A67" s="61" t="s">
        <v>389</v>
      </c>
      <c r="B67" s="62" t="s">
        <v>390</v>
      </c>
      <c r="C67" s="62" t="s">
        <v>395</v>
      </c>
      <c r="D67" s="62" t="s">
        <v>309</v>
      </c>
      <c r="E67" s="63" t="s">
        <v>265</v>
      </c>
      <c r="F67" s="69" t="s">
        <v>213</v>
      </c>
      <c r="G67" s="69"/>
      <c r="H67" s="63" t="s">
        <v>265</v>
      </c>
      <c r="I67" s="71">
        <v>41545.75</v>
      </c>
      <c r="J67" s="71"/>
      <c r="K67" s="66" t="s">
        <v>214</v>
      </c>
      <c r="L67" s="67">
        <v>2231057.0499999998</v>
      </c>
    </row>
    <row r="68" spans="1:12" ht="51" hidden="1" x14ac:dyDescent="0.3">
      <c r="A68" s="61" t="s">
        <v>389</v>
      </c>
      <c r="B68" s="62" t="s">
        <v>390</v>
      </c>
      <c r="C68" s="62" t="s">
        <v>395</v>
      </c>
      <c r="D68" s="62" t="s">
        <v>309</v>
      </c>
      <c r="E68" s="63" t="s">
        <v>265</v>
      </c>
      <c r="F68" s="69" t="s">
        <v>213</v>
      </c>
      <c r="G68" s="69"/>
      <c r="H68" s="63" t="s">
        <v>265</v>
      </c>
      <c r="I68" s="71">
        <v>33236.6</v>
      </c>
      <c r="J68" s="71"/>
      <c r="K68" s="66" t="s">
        <v>214</v>
      </c>
      <c r="L68" s="67">
        <v>2197820.4500000002</v>
      </c>
    </row>
    <row r="69" spans="1:12" ht="51" hidden="1" x14ac:dyDescent="0.3">
      <c r="A69" s="61" t="s">
        <v>389</v>
      </c>
      <c r="B69" s="62" t="s">
        <v>390</v>
      </c>
      <c r="C69" s="62" t="s">
        <v>396</v>
      </c>
      <c r="D69" s="62" t="s">
        <v>311</v>
      </c>
      <c r="E69" s="63" t="s">
        <v>265</v>
      </c>
      <c r="F69" s="69" t="s">
        <v>213</v>
      </c>
      <c r="G69" s="69"/>
      <c r="H69" s="63" t="s">
        <v>265</v>
      </c>
      <c r="I69" s="71">
        <v>41545.75</v>
      </c>
      <c r="J69" s="71"/>
      <c r="K69" s="66" t="s">
        <v>214</v>
      </c>
      <c r="L69" s="67">
        <v>2156274.7000000002</v>
      </c>
    </row>
    <row r="70" spans="1:12" ht="51" hidden="1" x14ac:dyDescent="0.3">
      <c r="A70" s="61" t="s">
        <v>389</v>
      </c>
      <c r="B70" s="62" t="s">
        <v>390</v>
      </c>
      <c r="C70" s="62" t="s">
        <v>396</v>
      </c>
      <c r="D70" s="62" t="s">
        <v>311</v>
      </c>
      <c r="E70" s="63" t="s">
        <v>265</v>
      </c>
      <c r="F70" s="69" t="s">
        <v>213</v>
      </c>
      <c r="G70" s="69"/>
      <c r="H70" s="63" t="s">
        <v>265</v>
      </c>
      <c r="I70" s="71">
        <v>33236.6</v>
      </c>
      <c r="J70" s="71"/>
      <c r="K70" s="66" t="s">
        <v>214</v>
      </c>
      <c r="L70" s="67">
        <v>2123038.1</v>
      </c>
    </row>
    <row r="71" spans="1:12" ht="51" hidden="1" x14ac:dyDescent="0.3">
      <c r="A71" s="61" t="s">
        <v>389</v>
      </c>
      <c r="B71" s="62" t="s">
        <v>390</v>
      </c>
      <c r="C71" s="62" t="s">
        <v>397</v>
      </c>
      <c r="D71" s="62" t="s">
        <v>313</v>
      </c>
      <c r="E71" s="63" t="s">
        <v>265</v>
      </c>
      <c r="F71" s="69" t="s">
        <v>213</v>
      </c>
      <c r="G71" s="69"/>
      <c r="H71" s="63" t="s">
        <v>265</v>
      </c>
      <c r="I71" s="71">
        <v>41545.75</v>
      </c>
      <c r="J71" s="71"/>
      <c r="K71" s="66" t="s">
        <v>214</v>
      </c>
      <c r="L71" s="67">
        <v>2081492.35</v>
      </c>
    </row>
    <row r="72" spans="1:12" ht="51" hidden="1" x14ac:dyDescent="0.3">
      <c r="A72" s="61" t="s">
        <v>389</v>
      </c>
      <c r="B72" s="62" t="s">
        <v>390</v>
      </c>
      <c r="C72" s="62" t="s">
        <v>397</v>
      </c>
      <c r="D72" s="62" t="s">
        <v>313</v>
      </c>
      <c r="E72" s="63" t="s">
        <v>265</v>
      </c>
      <c r="F72" s="69" t="s">
        <v>213</v>
      </c>
      <c r="G72" s="69"/>
      <c r="H72" s="63" t="s">
        <v>265</v>
      </c>
      <c r="I72" s="71">
        <v>33236.6</v>
      </c>
      <c r="J72" s="71"/>
      <c r="K72" s="66" t="s">
        <v>214</v>
      </c>
      <c r="L72" s="67">
        <v>2048255.75</v>
      </c>
    </row>
    <row r="73" spans="1:12" ht="51" hidden="1" x14ac:dyDescent="0.3">
      <c r="A73" s="61" t="s">
        <v>389</v>
      </c>
      <c r="B73" s="62" t="s">
        <v>390</v>
      </c>
      <c r="C73" s="62" t="s">
        <v>398</v>
      </c>
      <c r="D73" s="62" t="s">
        <v>315</v>
      </c>
      <c r="E73" s="63" t="s">
        <v>265</v>
      </c>
      <c r="F73" s="69" t="s">
        <v>213</v>
      </c>
      <c r="G73" s="69"/>
      <c r="H73" s="63" t="s">
        <v>265</v>
      </c>
      <c r="I73" s="71">
        <v>41545.75</v>
      </c>
      <c r="J73" s="71"/>
      <c r="K73" s="66" t="s">
        <v>214</v>
      </c>
      <c r="L73" s="67">
        <v>2006710</v>
      </c>
    </row>
    <row r="74" spans="1:12" ht="51" hidden="1" x14ac:dyDescent="0.3">
      <c r="A74" s="61" t="s">
        <v>389</v>
      </c>
      <c r="B74" s="62" t="s">
        <v>390</v>
      </c>
      <c r="C74" s="62" t="s">
        <v>398</v>
      </c>
      <c r="D74" s="62" t="s">
        <v>315</v>
      </c>
      <c r="E74" s="63" t="s">
        <v>265</v>
      </c>
      <c r="F74" s="69" t="s">
        <v>213</v>
      </c>
      <c r="G74" s="69"/>
      <c r="H74" s="63" t="s">
        <v>265</v>
      </c>
      <c r="I74" s="71">
        <v>33236.6</v>
      </c>
      <c r="J74" s="71"/>
      <c r="K74" s="66" t="s">
        <v>214</v>
      </c>
      <c r="L74" s="67">
        <v>1973473.4</v>
      </c>
    </row>
    <row r="75" spans="1:12" ht="51" hidden="1" x14ac:dyDescent="0.3">
      <c r="A75" s="61" t="s">
        <v>389</v>
      </c>
      <c r="B75" s="62" t="s">
        <v>390</v>
      </c>
      <c r="C75" s="62" t="s">
        <v>399</v>
      </c>
      <c r="D75" s="62" t="s">
        <v>318</v>
      </c>
      <c r="E75" s="63" t="s">
        <v>265</v>
      </c>
      <c r="F75" s="69" t="s">
        <v>213</v>
      </c>
      <c r="G75" s="69"/>
      <c r="H75" s="63" t="s">
        <v>265</v>
      </c>
      <c r="I75" s="71">
        <v>41545.75</v>
      </c>
      <c r="J75" s="71"/>
      <c r="K75" s="66" t="s">
        <v>214</v>
      </c>
      <c r="L75" s="67">
        <v>1931927.65</v>
      </c>
    </row>
    <row r="76" spans="1:12" ht="51" hidden="1" x14ac:dyDescent="0.3">
      <c r="A76" s="61" t="s">
        <v>389</v>
      </c>
      <c r="B76" s="62" t="s">
        <v>390</v>
      </c>
      <c r="C76" s="62" t="s">
        <v>399</v>
      </c>
      <c r="D76" s="62" t="s">
        <v>318</v>
      </c>
      <c r="E76" s="63" t="s">
        <v>265</v>
      </c>
      <c r="F76" s="69" t="s">
        <v>213</v>
      </c>
      <c r="G76" s="69"/>
      <c r="H76" s="63" t="s">
        <v>265</v>
      </c>
      <c r="I76" s="71">
        <v>33236.6</v>
      </c>
      <c r="J76" s="71"/>
      <c r="K76" s="66" t="s">
        <v>214</v>
      </c>
      <c r="L76" s="67">
        <v>1898691.05</v>
      </c>
    </row>
    <row r="77" spans="1:12" ht="51" hidden="1" x14ac:dyDescent="0.3">
      <c r="A77" s="61" t="s">
        <v>389</v>
      </c>
      <c r="B77" s="62" t="s">
        <v>390</v>
      </c>
      <c r="C77" s="62" t="s">
        <v>400</v>
      </c>
      <c r="D77" s="62" t="s">
        <v>320</v>
      </c>
      <c r="E77" s="63" t="s">
        <v>265</v>
      </c>
      <c r="F77" s="69" t="s">
        <v>213</v>
      </c>
      <c r="G77" s="69"/>
      <c r="H77" s="63" t="s">
        <v>265</v>
      </c>
      <c r="I77" s="71">
        <v>41545.75</v>
      </c>
      <c r="J77" s="71"/>
      <c r="K77" s="66" t="s">
        <v>214</v>
      </c>
      <c r="L77" s="67">
        <v>1857145.3</v>
      </c>
    </row>
    <row r="78" spans="1:12" ht="51" hidden="1" x14ac:dyDescent="0.3">
      <c r="A78" s="61" t="s">
        <v>389</v>
      </c>
      <c r="B78" s="62" t="s">
        <v>390</v>
      </c>
      <c r="C78" s="62" t="s">
        <v>400</v>
      </c>
      <c r="D78" s="62" t="s">
        <v>320</v>
      </c>
      <c r="E78" s="63" t="s">
        <v>265</v>
      </c>
      <c r="F78" s="69" t="s">
        <v>213</v>
      </c>
      <c r="G78" s="69"/>
      <c r="H78" s="63" t="s">
        <v>265</v>
      </c>
      <c r="I78" s="71">
        <v>33236.6</v>
      </c>
      <c r="J78" s="71"/>
      <c r="K78" s="66" t="s">
        <v>214</v>
      </c>
      <c r="L78" s="67">
        <v>1823908.7</v>
      </c>
    </row>
    <row r="79" spans="1:12" ht="51" hidden="1" x14ac:dyDescent="0.3">
      <c r="A79" s="61" t="s">
        <v>389</v>
      </c>
      <c r="B79" s="62" t="s">
        <v>390</v>
      </c>
      <c r="C79" s="62" t="s">
        <v>401</v>
      </c>
      <c r="D79" s="62" t="s">
        <v>323</v>
      </c>
      <c r="E79" s="63" t="s">
        <v>265</v>
      </c>
      <c r="F79" s="69" t="s">
        <v>213</v>
      </c>
      <c r="G79" s="69"/>
      <c r="H79" s="63" t="s">
        <v>265</v>
      </c>
      <c r="I79" s="71">
        <v>41545.75</v>
      </c>
      <c r="J79" s="71"/>
      <c r="K79" s="66" t="s">
        <v>214</v>
      </c>
      <c r="L79" s="67">
        <v>1782362.95</v>
      </c>
    </row>
    <row r="80" spans="1:12" ht="51" hidden="1" x14ac:dyDescent="0.3">
      <c r="A80" s="61" t="s">
        <v>389</v>
      </c>
      <c r="B80" s="62" t="s">
        <v>390</v>
      </c>
      <c r="C80" s="62" t="s">
        <v>401</v>
      </c>
      <c r="D80" s="62" t="s">
        <v>323</v>
      </c>
      <c r="E80" s="63" t="s">
        <v>265</v>
      </c>
      <c r="F80" s="69" t="s">
        <v>213</v>
      </c>
      <c r="G80" s="69"/>
      <c r="H80" s="63" t="s">
        <v>265</v>
      </c>
      <c r="I80" s="71">
        <v>33236.6</v>
      </c>
      <c r="J80" s="71"/>
      <c r="K80" s="66" t="s">
        <v>214</v>
      </c>
      <c r="L80" s="67">
        <v>1749126.35</v>
      </c>
    </row>
    <row r="81" spans="1:12" ht="51" hidden="1" x14ac:dyDescent="0.3">
      <c r="A81" s="61" t="s">
        <v>389</v>
      </c>
      <c r="B81" s="62" t="s">
        <v>390</v>
      </c>
      <c r="C81" s="62" t="s">
        <v>402</v>
      </c>
      <c r="D81" s="62" t="s">
        <v>303</v>
      </c>
      <c r="E81" s="63" t="s">
        <v>265</v>
      </c>
      <c r="F81" s="69" t="s">
        <v>213</v>
      </c>
      <c r="G81" s="69"/>
      <c r="H81" s="63" t="s">
        <v>265</v>
      </c>
      <c r="I81" s="71">
        <v>45337.5</v>
      </c>
      <c r="J81" s="71"/>
      <c r="K81" s="66" t="s">
        <v>214</v>
      </c>
      <c r="L81" s="67">
        <v>1703788.85</v>
      </c>
    </row>
    <row r="82" spans="1:12" ht="51" hidden="1" x14ac:dyDescent="0.3">
      <c r="A82" s="61" t="s">
        <v>389</v>
      </c>
      <c r="B82" s="62" t="s">
        <v>403</v>
      </c>
      <c r="C82" s="62" t="s">
        <v>404</v>
      </c>
      <c r="D82" s="62" t="s">
        <v>386</v>
      </c>
      <c r="E82" s="63" t="s">
        <v>265</v>
      </c>
      <c r="F82" s="64">
        <v>74782.350000000006</v>
      </c>
      <c r="G82" s="64"/>
      <c r="H82" s="63" t="s">
        <v>266</v>
      </c>
      <c r="I82" s="65" t="s">
        <v>213</v>
      </c>
      <c r="J82" s="65"/>
      <c r="K82" s="66" t="s">
        <v>214</v>
      </c>
      <c r="L82" s="67">
        <v>1778571.2</v>
      </c>
    </row>
    <row r="83" spans="1:12" ht="51" hidden="1" x14ac:dyDescent="0.3">
      <c r="A83" s="61" t="s">
        <v>389</v>
      </c>
      <c r="B83" s="62" t="s">
        <v>405</v>
      </c>
      <c r="C83" s="62" t="s">
        <v>406</v>
      </c>
      <c r="D83" s="62" t="s">
        <v>386</v>
      </c>
      <c r="E83" s="63" t="s">
        <v>265</v>
      </c>
      <c r="F83" s="64">
        <v>74782.350000000006</v>
      </c>
      <c r="G83" s="64"/>
      <c r="H83" s="63" t="s">
        <v>266</v>
      </c>
      <c r="I83" s="65" t="s">
        <v>213</v>
      </c>
      <c r="J83" s="65"/>
      <c r="K83" s="66" t="s">
        <v>214</v>
      </c>
      <c r="L83" s="67">
        <v>1853353.55</v>
      </c>
    </row>
    <row r="84" spans="1:12" ht="51" hidden="1" x14ac:dyDescent="0.3">
      <c r="A84" s="61" t="s">
        <v>389</v>
      </c>
      <c r="B84" s="62" t="s">
        <v>407</v>
      </c>
      <c r="C84" s="62" t="s">
        <v>408</v>
      </c>
      <c r="D84" s="62" t="s">
        <v>409</v>
      </c>
      <c r="E84" s="63" t="s">
        <v>265</v>
      </c>
      <c r="F84" s="64">
        <v>35226.370000000003</v>
      </c>
      <c r="G84" s="64"/>
      <c r="H84" s="63" t="s">
        <v>266</v>
      </c>
      <c r="I84" s="65" t="s">
        <v>213</v>
      </c>
      <c r="J84" s="65"/>
      <c r="K84" s="66" t="s">
        <v>214</v>
      </c>
      <c r="L84" s="67">
        <v>1888579.92</v>
      </c>
    </row>
    <row r="85" spans="1:12" ht="51" hidden="1" x14ac:dyDescent="0.3">
      <c r="A85" s="61" t="s">
        <v>389</v>
      </c>
      <c r="B85" s="62" t="s">
        <v>407</v>
      </c>
      <c r="C85" s="62" t="s">
        <v>408</v>
      </c>
      <c r="D85" s="62" t="s">
        <v>386</v>
      </c>
      <c r="E85" s="63" t="s">
        <v>265</v>
      </c>
      <c r="F85" s="64">
        <v>39555.980000000003</v>
      </c>
      <c r="G85" s="64"/>
      <c r="H85" s="63" t="s">
        <v>266</v>
      </c>
      <c r="I85" s="65" t="s">
        <v>213</v>
      </c>
      <c r="J85" s="65"/>
      <c r="K85" s="66" t="s">
        <v>214</v>
      </c>
      <c r="L85" s="67">
        <v>1928135.9</v>
      </c>
    </row>
    <row r="86" spans="1:12" ht="51" hidden="1" x14ac:dyDescent="0.3">
      <c r="A86" s="61" t="s">
        <v>389</v>
      </c>
      <c r="B86" s="62" t="s">
        <v>410</v>
      </c>
      <c r="C86" s="62" t="s">
        <v>411</v>
      </c>
      <c r="D86" s="62" t="s">
        <v>409</v>
      </c>
      <c r="E86" s="63" t="s">
        <v>265</v>
      </c>
      <c r="F86" s="64">
        <v>74782.350000000006</v>
      </c>
      <c r="G86" s="64"/>
      <c r="H86" s="63" t="s">
        <v>266</v>
      </c>
      <c r="I86" s="65" t="s">
        <v>213</v>
      </c>
      <c r="J86" s="65"/>
      <c r="K86" s="66" t="s">
        <v>214</v>
      </c>
      <c r="L86" s="67">
        <v>2002918.25</v>
      </c>
    </row>
    <row r="87" spans="1:12" ht="51" hidden="1" x14ac:dyDescent="0.3">
      <c r="A87" s="61" t="s">
        <v>219</v>
      </c>
      <c r="B87" s="62" t="s">
        <v>412</v>
      </c>
      <c r="C87" s="62" t="s">
        <v>413</v>
      </c>
      <c r="D87" s="62" t="s">
        <v>409</v>
      </c>
      <c r="E87" s="63" t="s">
        <v>265</v>
      </c>
      <c r="F87" s="64">
        <v>72540</v>
      </c>
      <c r="G87" s="64"/>
      <c r="H87" s="63" t="s">
        <v>266</v>
      </c>
      <c r="I87" s="65" t="s">
        <v>213</v>
      </c>
      <c r="J87" s="65"/>
      <c r="K87" s="66" t="s">
        <v>214</v>
      </c>
      <c r="L87" s="67">
        <v>2075458.25</v>
      </c>
    </row>
    <row r="88" spans="1:12" ht="51" hidden="1" x14ac:dyDescent="0.3">
      <c r="A88" s="61" t="s">
        <v>219</v>
      </c>
      <c r="B88" s="62" t="s">
        <v>414</v>
      </c>
      <c r="C88" s="62" t="s">
        <v>415</v>
      </c>
      <c r="D88" s="62" t="s">
        <v>416</v>
      </c>
      <c r="E88" s="63" t="s">
        <v>265</v>
      </c>
      <c r="F88" s="64">
        <v>52697.919999999998</v>
      </c>
      <c r="G88" s="64"/>
      <c r="H88" s="63" t="s">
        <v>266</v>
      </c>
      <c r="I88" s="65" t="s">
        <v>213</v>
      </c>
      <c r="J88" s="65"/>
      <c r="K88" s="66" t="s">
        <v>214</v>
      </c>
      <c r="L88" s="67">
        <v>2128156.17</v>
      </c>
    </row>
    <row r="89" spans="1:12" ht="51" hidden="1" x14ac:dyDescent="0.3">
      <c r="A89" s="61" t="s">
        <v>219</v>
      </c>
      <c r="B89" s="62" t="s">
        <v>414</v>
      </c>
      <c r="C89" s="62" t="s">
        <v>415</v>
      </c>
      <c r="D89" s="62" t="s">
        <v>409</v>
      </c>
      <c r="E89" s="63" t="s">
        <v>265</v>
      </c>
      <c r="F89" s="64">
        <v>19842.080000000002</v>
      </c>
      <c r="G89" s="64"/>
      <c r="H89" s="63" t="s">
        <v>266</v>
      </c>
      <c r="I89" s="65" t="s">
        <v>213</v>
      </c>
      <c r="J89" s="65"/>
      <c r="K89" s="66" t="s">
        <v>214</v>
      </c>
      <c r="L89" s="67">
        <v>2147998.25</v>
      </c>
    </row>
    <row r="90" spans="1:12" ht="51" hidden="1" x14ac:dyDescent="0.3">
      <c r="A90" s="61" t="s">
        <v>219</v>
      </c>
      <c r="B90" s="62" t="s">
        <v>417</v>
      </c>
      <c r="C90" s="62" t="s">
        <v>418</v>
      </c>
      <c r="D90" s="62" t="s">
        <v>416</v>
      </c>
      <c r="E90" s="63" t="s">
        <v>265</v>
      </c>
      <c r="F90" s="64">
        <v>45337.5</v>
      </c>
      <c r="G90" s="64"/>
      <c r="H90" s="63" t="s">
        <v>266</v>
      </c>
      <c r="I90" s="65" t="s">
        <v>213</v>
      </c>
      <c r="J90" s="65"/>
      <c r="K90" s="66" t="s">
        <v>214</v>
      </c>
      <c r="L90" s="67">
        <v>2193335.75</v>
      </c>
    </row>
    <row r="91" spans="1:12" ht="51" hidden="1" x14ac:dyDescent="0.3">
      <c r="A91" s="61" t="s">
        <v>219</v>
      </c>
      <c r="B91" s="62" t="s">
        <v>417</v>
      </c>
      <c r="C91" s="62" t="s">
        <v>419</v>
      </c>
      <c r="D91" s="62" t="s">
        <v>416</v>
      </c>
      <c r="E91" s="63" t="s">
        <v>265</v>
      </c>
      <c r="F91" s="64">
        <v>33236.6</v>
      </c>
      <c r="G91" s="64"/>
      <c r="H91" s="63" t="s">
        <v>266</v>
      </c>
      <c r="I91" s="65" t="s">
        <v>213</v>
      </c>
      <c r="J91" s="65"/>
      <c r="K91" s="66" t="s">
        <v>214</v>
      </c>
      <c r="L91" s="67">
        <v>2226572.35</v>
      </c>
    </row>
    <row r="92" spans="1:12" ht="51" hidden="1" x14ac:dyDescent="0.3">
      <c r="A92" s="61" t="s">
        <v>219</v>
      </c>
      <c r="B92" s="62" t="s">
        <v>420</v>
      </c>
      <c r="C92" s="62" t="s">
        <v>421</v>
      </c>
      <c r="D92" s="62" t="s">
        <v>416</v>
      </c>
      <c r="E92" s="63" t="s">
        <v>265</v>
      </c>
      <c r="F92" s="64">
        <v>74782.350000000006</v>
      </c>
      <c r="G92" s="64"/>
      <c r="H92" s="63" t="s">
        <v>266</v>
      </c>
      <c r="I92" s="65" t="s">
        <v>213</v>
      </c>
      <c r="J92" s="65"/>
      <c r="K92" s="66" t="s">
        <v>214</v>
      </c>
      <c r="L92" s="67">
        <v>2301354.7000000002</v>
      </c>
    </row>
    <row r="93" spans="1:12" ht="51" hidden="1" x14ac:dyDescent="0.3">
      <c r="A93" s="61" t="s">
        <v>422</v>
      </c>
      <c r="B93" s="62" t="s">
        <v>423</v>
      </c>
      <c r="C93" s="62" t="s">
        <v>424</v>
      </c>
      <c r="D93" s="62" t="s">
        <v>416</v>
      </c>
      <c r="E93" s="63" t="s">
        <v>265</v>
      </c>
      <c r="F93" s="64">
        <v>72540</v>
      </c>
      <c r="G93" s="64"/>
      <c r="H93" s="63" t="s">
        <v>266</v>
      </c>
      <c r="I93" s="65" t="s">
        <v>213</v>
      </c>
      <c r="J93" s="65"/>
      <c r="K93" s="66" t="s">
        <v>214</v>
      </c>
      <c r="L93" s="67">
        <v>2373894.7000000002</v>
      </c>
    </row>
    <row r="94" spans="1:12" ht="51" hidden="1" x14ac:dyDescent="0.3">
      <c r="A94" s="61" t="s">
        <v>422</v>
      </c>
      <c r="B94" s="62" t="s">
        <v>425</v>
      </c>
      <c r="C94" s="62" t="s">
        <v>426</v>
      </c>
      <c r="D94" s="62" t="s">
        <v>409</v>
      </c>
      <c r="E94" s="63" t="s">
        <v>265</v>
      </c>
      <c r="F94" s="64">
        <v>72540</v>
      </c>
      <c r="G94" s="64"/>
      <c r="H94" s="63" t="s">
        <v>266</v>
      </c>
      <c r="I94" s="65" t="s">
        <v>213</v>
      </c>
      <c r="J94" s="65"/>
      <c r="K94" s="66" t="s">
        <v>214</v>
      </c>
      <c r="L94" s="67">
        <v>2446434.7000000002</v>
      </c>
    </row>
    <row r="95" spans="1:12" ht="51" hidden="1" x14ac:dyDescent="0.3">
      <c r="A95" s="61" t="s">
        <v>422</v>
      </c>
      <c r="B95" s="62" t="s">
        <v>427</v>
      </c>
      <c r="C95" s="62" t="s">
        <v>428</v>
      </c>
      <c r="D95" s="62" t="s">
        <v>416</v>
      </c>
      <c r="E95" s="63" t="s">
        <v>265</v>
      </c>
      <c r="F95" s="64">
        <v>72540</v>
      </c>
      <c r="G95" s="64"/>
      <c r="H95" s="63" t="s">
        <v>266</v>
      </c>
      <c r="I95" s="65" t="s">
        <v>213</v>
      </c>
      <c r="J95" s="65"/>
      <c r="K95" s="66" t="s">
        <v>214</v>
      </c>
      <c r="L95" s="67">
        <v>2518974.7000000002</v>
      </c>
    </row>
    <row r="96" spans="1:12" ht="51" hidden="1" x14ac:dyDescent="0.3">
      <c r="A96" s="61" t="s">
        <v>222</v>
      </c>
      <c r="B96" s="62" t="s">
        <v>429</v>
      </c>
      <c r="C96" s="62" t="s">
        <v>430</v>
      </c>
      <c r="D96" s="62" t="s">
        <v>386</v>
      </c>
      <c r="E96" s="63" t="s">
        <v>265</v>
      </c>
      <c r="F96" s="64">
        <v>72540</v>
      </c>
      <c r="G96" s="64"/>
      <c r="H96" s="63" t="s">
        <v>266</v>
      </c>
      <c r="I96" s="65" t="s">
        <v>213</v>
      </c>
      <c r="J96" s="65"/>
      <c r="K96" s="66" t="s">
        <v>214</v>
      </c>
      <c r="L96" s="67">
        <v>2591514.7000000002</v>
      </c>
    </row>
    <row r="97" spans="1:12" ht="51" hidden="1" x14ac:dyDescent="0.3">
      <c r="A97" s="61" t="s">
        <v>222</v>
      </c>
      <c r="B97" s="62" t="s">
        <v>431</v>
      </c>
      <c r="C97" s="62" t="s">
        <v>432</v>
      </c>
      <c r="D97" s="62" t="s">
        <v>409</v>
      </c>
      <c r="E97" s="63" t="s">
        <v>265</v>
      </c>
      <c r="F97" s="64">
        <v>27602.38</v>
      </c>
      <c r="G97" s="64"/>
      <c r="H97" s="63" t="s">
        <v>266</v>
      </c>
      <c r="I97" s="65" t="s">
        <v>213</v>
      </c>
      <c r="J97" s="65"/>
      <c r="K97" s="66" t="s">
        <v>214</v>
      </c>
      <c r="L97" s="67">
        <v>2619117.08</v>
      </c>
    </row>
    <row r="98" spans="1:12" ht="51" hidden="1" x14ac:dyDescent="0.3">
      <c r="A98" s="61" t="s">
        <v>222</v>
      </c>
      <c r="B98" s="62" t="s">
        <v>431</v>
      </c>
      <c r="C98" s="62" t="s">
        <v>432</v>
      </c>
      <c r="D98" s="62" t="s">
        <v>386</v>
      </c>
      <c r="E98" s="63" t="s">
        <v>265</v>
      </c>
      <c r="F98" s="64">
        <v>44937.62</v>
      </c>
      <c r="G98" s="64"/>
      <c r="H98" s="63" t="s">
        <v>266</v>
      </c>
      <c r="I98" s="65" t="s">
        <v>213</v>
      </c>
      <c r="J98" s="65"/>
      <c r="K98" s="66" t="s">
        <v>214</v>
      </c>
      <c r="L98" s="67">
        <v>2664054.7000000002</v>
      </c>
    </row>
    <row r="99" spans="1:12" ht="51" hidden="1" x14ac:dyDescent="0.3">
      <c r="A99" s="61" t="s">
        <v>222</v>
      </c>
      <c r="B99" s="62" t="s">
        <v>433</v>
      </c>
      <c r="C99" s="62" t="s">
        <v>434</v>
      </c>
      <c r="D99" s="62" t="s">
        <v>409</v>
      </c>
      <c r="E99" s="63" t="s">
        <v>265</v>
      </c>
      <c r="F99" s="64">
        <v>72540</v>
      </c>
      <c r="G99" s="64"/>
      <c r="H99" s="63" t="s">
        <v>266</v>
      </c>
      <c r="I99" s="65" t="s">
        <v>213</v>
      </c>
      <c r="J99" s="65"/>
      <c r="K99" s="66" t="s">
        <v>214</v>
      </c>
      <c r="L99" s="67">
        <v>2736594.7</v>
      </c>
    </row>
    <row r="100" spans="1:12" ht="51" hidden="1" x14ac:dyDescent="0.3">
      <c r="A100" s="61" t="s">
        <v>435</v>
      </c>
      <c r="B100" s="62" t="s">
        <v>436</v>
      </c>
      <c r="C100" s="62" t="s">
        <v>437</v>
      </c>
      <c r="D100" s="62" t="s">
        <v>386</v>
      </c>
      <c r="E100" s="63" t="s">
        <v>265</v>
      </c>
      <c r="F100" s="64">
        <v>72540</v>
      </c>
      <c r="G100" s="64"/>
      <c r="H100" s="63" t="s">
        <v>266</v>
      </c>
      <c r="I100" s="65" t="s">
        <v>213</v>
      </c>
      <c r="J100" s="65"/>
      <c r="K100" s="66" t="s">
        <v>214</v>
      </c>
      <c r="L100" s="67">
        <v>2809134.7</v>
      </c>
    </row>
    <row r="101" spans="1:12" ht="51" hidden="1" x14ac:dyDescent="0.3">
      <c r="A101" s="61" t="s">
        <v>435</v>
      </c>
      <c r="B101" s="62" t="s">
        <v>438</v>
      </c>
      <c r="C101" s="62" t="s">
        <v>439</v>
      </c>
      <c r="D101" s="62" t="s">
        <v>409</v>
      </c>
      <c r="E101" s="63" t="s">
        <v>265</v>
      </c>
      <c r="F101" s="64">
        <v>27602.38</v>
      </c>
      <c r="G101" s="64"/>
      <c r="H101" s="63" t="s">
        <v>266</v>
      </c>
      <c r="I101" s="65" t="s">
        <v>213</v>
      </c>
      <c r="J101" s="65"/>
      <c r="K101" s="66" t="s">
        <v>214</v>
      </c>
      <c r="L101" s="67">
        <v>2836737.08</v>
      </c>
    </row>
    <row r="102" spans="1:12" ht="51" hidden="1" x14ac:dyDescent="0.3">
      <c r="A102" s="61" t="s">
        <v>435</v>
      </c>
      <c r="B102" s="62" t="s">
        <v>438</v>
      </c>
      <c r="C102" s="62" t="s">
        <v>439</v>
      </c>
      <c r="D102" s="62" t="s">
        <v>386</v>
      </c>
      <c r="E102" s="63" t="s">
        <v>265</v>
      </c>
      <c r="F102" s="64">
        <v>44937.62</v>
      </c>
      <c r="G102" s="64"/>
      <c r="H102" s="63" t="s">
        <v>266</v>
      </c>
      <c r="I102" s="65" t="s">
        <v>213</v>
      </c>
      <c r="J102" s="65"/>
      <c r="K102" s="66" t="s">
        <v>214</v>
      </c>
      <c r="L102" s="67">
        <v>2881674.7</v>
      </c>
    </row>
    <row r="103" spans="1:12" ht="51" hidden="1" x14ac:dyDescent="0.3">
      <c r="A103" s="61" t="s">
        <v>435</v>
      </c>
      <c r="B103" s="62" t="s">
        <v>440</v>
      </c>
      <c r="C103" s="62" t="s">
        <v>441</v>
      </c>
      <c r="D103" s="62" t="s">
        <v>409</v>
      </c>
      <c r="E103" s="63" t="s">
        <v>265</v>
      </c>
      <c r="F103" s="64">
        <v>72540</v>
      </c>
      <c r="G103" s="64"/>
      <c r="H103" s="63" t="s">
        <v>266</v>
      </c>
      <c r="I103" s="65" t="s">
        <v>213</v>
      </c>
      <c r="J103" s="65"/>
      <c r="K103" s="66" t="s">
        <v>214</v>
      </c>
      <c r="L103" s="67">
        <v>2954214.7</v>
      </c>
    </row>
    <row r="104" spans="1:12" ht="51" hidden="1" x14ac:dyDescent="0.3">
      <c r="A104" s="61" t="s">
        <v>435</v>
      </c>
      <c r="B104" s="62" t="s">
        <v>442</v>
      </c>
      <c r="C104" s="62" t="s">
        <v>443</v>
      </c>
      <c r="D104" s="62" t="s">
        <v>409</v>
      </c>
      <c r="E104" s="63" t="s">
        <v>265</v>
      </c>
      <c r="F104" s="64">
        <v>72540</v>
      </c>
      <c r="G104" s="64"/>
      <c r="H104" s="63" t="s">
        <v>266</v>
      </c>
      <c r="I104" s="65" t="s">
        <v>213</v>
      </c>
      <c r="J104" s="65"/>
      <c r="K104" s="66" t="s">
        <v>214</v>
      </c>
      <c r="L104" s="67">
        <v>3026754.7</v>
      </c>
    </row>
    <row r="105" spans="1:12" ht="51" hidden="1" x14ac:dyDescent="0.3">
      <c r="A105" s="61" t="s">
        <v>435</v>
      </c>
      <c r="B105" s="62" t="s">
        <v>444</v>
      </c>
      <c r="C105" s="62" t="s">
        <v>445</v>
      </c>
      <c r="D105" s="62" t="s">
        <v>416</v>
      </c>
      <c r="E105" s="63" t="s">
        <v>265</v>
      </c>
      <c r="F105" s="64">
        <v>72540</v>
      </c>
      <c r="G105" s="64"/>
      <c r="H105" s="63" t="s">
        <v>266</v>
      </c>
      <c r="I105" s="65" t="s">
        <v>213</v>
      </c>
      <c r="J105" s="65"/>
      <c r="K105" s="66" t="s">
        <v>214</v>
      </c>
      <c r="L105" s="67">
        <v>3099294.7</v>
      </c>
    </row>
    <row r="106" spans="1:12" ht="51" hidden="1" x14ac:dyDescent="0.3">
      <c r="A106" s="61" t="s">
        <v>224</v>
      </c>
      <c r="B106" s="62" t="s">
        <v>446</v>
      </c>
      <c r="C106" s="62" t="s">
        <v>447</v>
      </c>
      <c r="D106" s="62" t="s">
        <v>448</v>
      </c>
      <c r="E106" s="63" t="s">
        <v>265</v>
      </c>
      <c r="F106" s="64">
        <v>75100</v>
      </c>
      <c r="G106" s="64"/>
      <c r="H106" s="63" t="s">
        <v>266</v>
      </c>
      <c r="I106" s="65" t="s">
        <v>213</v>
      </c>
      <c r="J106" s="65"/>
      <c r="K106" s="66" t="s">
        <v>214</v>
      </c>
      <c r="L106" s="67">
        <v>3174394.7</v>
      </c>
    </row>
    <row r="107" spans="1:12" ht="51" hidden="1" x14ac:dyDescent="0.3">
      <c r="A107" s="61" t="s">
        <v>224</v>
      </c>
      <c r="B107" s="62" t="s">
        <v>449</v>
      </c>
      <c r="C107" s="62" t="s">
        <v>450</v>
      </c>
      <c r="D107" s="62" t="s">
        <v>448</v>
      </c>
      <c r="E107" s="63" t="s">
        <v>265</v>
      </c>
      <c r="F107" s="64">
        <v>75100</v>
      </c>
      <c r="G107" s="64"/>
      <c r="H107" s="63" t="s">
        <v>266</v>
      </c>
      <c r="I107" s="65" t="s">
        <v>213</v>
      </c>
      <c r="J107" s="65"/>
      <c r="K107" s="66" t="s">
        <v>214</v>
      </c>
      <c r="L107" s="67">
        <v>3249494.7</v>
      </c>
    </row>
    <row r="108" spans="1:12" ht="51" hidden="1" x14ac:dyDescent="0.3">
      <c r="A108" s="61" t="s">
        <v>224</v>
      </c>
      <c r="B108" s="62" t="s">
        <v>451</v>
      </c>
      <c r="C108" s="62" t="s">
        <v>452</v>
      </c>
      <c r="D108" s="62" t="s">
        <v>416</v>
      </c>
      <c r="E108" s="63" t="s">
        <v>265</v>
      </c>
      <c r="F108" s="64">
        <v>27202.5</v>
      </c>
      <c r="G108" s="64"/>
      <c r="H108" s="63" t="s">
        <v>266</v>
      </c>
      <c r="I108" s="65" t="s">
        <v>213</v>
      </c>
      <c r="J108" s="65"/>
      <c r="K108" s="66" t="s">
        <v>214</v>
      </c>
      <c r="L108" s="67">
        <v>3276697.2</v>
      </c>
    </row>
    <row r="109" spans="1:12" ht="51" hidden="1" x14ac:dyDescent="0.3">
      <c r="A109" s="61" t="s">
        <v>224</v>
      </c>
      <c r="B109" s="62" t="s">
        <v>453</v>
      </c>
      <c r="C109" s="62" t="s">
        <v>454</v>
      </c>
      <c r="D109" s="62" t="s">
        <v>416</v>
      </c>
      <c r="E109" s="63" t="s">
        <v>265</v>
      </c>
      <c r="F109" s="64">
        <v>72540</v>
      </c>
      <c r="G109" s="64"/>
      <c r="H109" s="63" t="s">
        <v>266</v>
      </c>
      <c r="I109" s="65" t="s">
        <v>213</v>
      </c>
      <c r="J109" s="65"/>
      <c r="K109" s="66" t="s">
        <v>214</v>
      </c>
      <c r="L109" s="67">
        <v>3349237.2</v>
      </c>
    </row>
    <row r="110" spans="1:12" ht="51" hidden="1" x14ac:dyDescent="0.3">
      <c r="A110" s="61" t="s">
        <v>455</v>
      </c>
      <c r="B110" s="62" t="s">
        <v>456</v>
      </c>
      <c r="C110" s="62" t="s">
        <v>457</v>
      </c>
      <c r="D110" s="62" t="s">
        <v>416</v>
      </c>
      <c r="E110" s="63" t="s">
        <v>265</v>
      </c>
      <c r="F110" s="64">
        <v>75100</v>
      </c>
      <c r="G110" s="64"/>
      <c r="H110" s="63" t="s">
        <v>266</v>
      </c>
      <c r="I110" s="65" t="s">
        <v>213</v>
      </c>
      <c r="J110" s="65"/>
      <c r="K110" s="66" t="s">
        <v>214</v>
      </c>
      <c r="L110" s="67">
        <v>3424337.2</v>
      </c>
    </row>
    <row r="111" spans="1:12" ht="51" hidden="1" x14ac:dyDescent="0.3">
      <c r="A111" s="61" t="s">
        <v>455</v>
      </c>
      <c r="B111" s="62" t="s">
        <v>458</v>
      </c>
      <c r="C111" s="62" t="s">
        <v>459</v>
      </c>
      <c r="D111" s="62" t="s">
        <v>416</v>
      </c>
      <c r="E111" s="63" t="s">
        <v>265</v>
      </c>
      <c r="F111" s="64">
        <v>75100</v>
      </c>
      <c r="G111" s="64"/>
      <c r="H111" s="63" t="s">
        <v>266</v>
      </c>
      <c r="I111" s="65" t="s">
        <v>213</v>
      </c>
      <c r="J111" s="65"/>
      <c r="K111" s="66" t="s">
        <v>214</v>
      </c>
      <c r="L111" s="67">
        <v>3499437.2</v>
      </c>
    </row>
    <row r="112" spans="1:12" ht="51" hidden="1" x14ac:dyDescent="0.3">
      <c r="A112" s="61" t="s">
        <v>455</v>
      </c>
      <c r="B112" s="62" t="s">
        <v>460</v>
      </c>
      <c r="C112" s="62" t="s">
        <v>461</v>
      </c>
      <c r="D112" s="62" t="s">
        <v>416</v>
      </c>
      <c r="E112" s="63" t="s">
        <v>265</v>
      </c>
      <c r="F112" s="64">
        <v>75100</v>
      </c>
      <c r="G112" s="64"/>
      <c r="H112" s="63" t="s">
        <v>266</v>
      </c>
      <c r="I112" s="65" t="s">
        <v>213</v>
      </c>
      <c r="J112" s="65"/>
      <c r="K112" s="66" t="s">
        <v>214</v>
      </c>
      <c r="L112" s="67">
        <v>3574537.2</v>
      </c>
    </row>
    <row r="113" spans="1:12" ht="51" hidden="1" x14ac:dyDescent="0.3">
      <c r="A113" s="61" t="s">
        <v>455</v>
      </c>
      <c r="B113" s="62" t="s">
        <v>462</v>
      </c>
      <c r="C113" s="62" t="s">
        <v>463</v>
      </c>
      <c r="D113" s="62" t="s">
        <v>416</v>
      </c>
      <c r="E113" s="63" t="s">
        <v>265</v>
      </c>
      <c r="F113" s="64">
        <v>45060</v>
      </c>
      <c r="G113" s="64"/>
      <c r="H113" s="63" t="s">
        <v>266</v>
      </c>
      <c r="I113" s="65" t="s">
        <v>213</v>
      </c>
      <c r="J113" s="65"/>
      <c r="K113" s="66" t="s">
        <v>214</v>
      </c>
      <c r="L113" s="67">
        <v>3619597.2</v>
      </c>
    </row>
    <row r="114" spans="1:12" ht="51" hidden="1" x14ac:dyDescent="0.3">
      <c r="A114" s="61" t="s">
        <v>455</v>
      </c>
      <c r="B114" s="62" t="s">
        <v>462</v>
      </c>
      <c r="C114" s="62" t="s">
        <v>464</v>
      </c>
      <c r="D114" s="62" t="s">
        <v>416</v>
      </c>
      <c r="E114" s="63" t="s">
        <v>265</v>
      </c>
      <c r="F114" s="64">
        <v>27202.5</v>
      </c>
      <c r="G114" s="64"/>
      <c r="H114" s="63" t="s">
        <v>266</v>
      </c>
      <c r="I114" s="65" t="s">
        <v>213</v>
      </c>
      <c r="J114" s="65"/>
      <c r="K114" s="66" t="s">
        <v>214</v>
      </c>
      <c r="L114" s="67">
        <v>3646799.7</v>
      </c>
    </row>
    <row r="115" spans="1:12" ht="51" hidden="1" x14ac:dyDescent="0.3">
      <c r="A115" s="61" t="s">
        <v>455</v>
      </c>
      <c r="B115" s="62" t="s">
        <v>465</v>
      </c>
      <c r="C115" s="62" t="s">
        <v>466</v>
      </c>
      <c r="D115" s="62" t="s">
        <v>467</v>
      </c>
      <c r="E115" s="63" t="s">
        <v>265</v>
      </c>
      <c r="F115" s="64">
        <v>64243.66</v>
      </c>
      <c r="G115" s="64"/>
      <c r="H115" s="63" t="s">
        <v>266</v>
      </c>
      <c r="I115" s="65" t="s">
        <v>213</v>
      </c>
      <c r="J115" s="65"/>
      <c r="K115" s="66" t="s">
        <v>214</v>
      </c>
      <c r="L115" s="67">
        <v>3711043.36</v>
      </c>
    </row>
    <row r="116" spans="1:12" ht="51" hidden="1" x14ac:dyDescent="0.3">
      <c r="A116" s="61" t="s">
        <v>455</v>
      </c>
      <c r="B116" s="62" t="s">
        <v>465</v>
      </c>
      <c r="C116" s="62" t="s">
        <v>466</v>
      </c>
      <c r="D116" s="62" t="s">
        <v>416</v>
      </c>
      <c r="E116" s="63" t="s">
        <v>265</v>
      </c>
      <c r="F116" s="64">
        <v>10856.34</v>
      </c>
      <c r="G116" s="64"/>
      <c r="H116" s="63" t="s">
        <v>266</v>
      </c>
      <c r="I116" s="65" t="s">
        <v>213</v>
      </c>
      <c r="J116" s="65"/>
      <c r="K116" s="66" t="s">
        <v>214</v>
      </c>
      <c r="L116" s="67">
        <v>3721899.7</v>
      </c>
    </row>
    <row r="117" spans="1:12" ht="51" hidden="1" x14ac:dyDescent="0.3">
      <c r="A117" s="61" t="s">
        <v>455</v>
      </c>
      <c r="B117" s="62" t="s">
        <v>468</v>
      </c>
      <c r="C117" s="62" t="s">
        <v>469</v>
      </c>
      <c r="D117" s="62" t="s">
        <v>467</v>
      </c>
      <c r="E117" s="63" t="s">
        <v>265</v>
      </c>
      <c r="F117" s="64">
        <v>75100</v>
      </c>
      <c r="G117" s="64"/>
      <c r="H117" s="63" t="s">
        <v>266</v>
      </c>
      <c r="I117" s="65" t="s">
        <v>213</v>
      </c>
      <c r="J117" s="65"/>
      <c r="K117" s="66" t="s">
        <v>214</v>
      </c>
      <c r="L117" s="67">
        <v>3796999.7</v>
      </c>
    </row>
    <row r="118" spans="1:12" ht="51" hidden="1" x14ac:dyDescent="0.3">
      <c r="A118" s="61" t="s">
        <v>455</v>
      </c>
      <c r="B118" s="62" t="s">
        <v>470</v>
      </c>
      <c r="C118" s="62" t="s">
        <v>471</v>
      </c>
      <c r="D118" s="62" t="s">
        <v>467</v>
      </c>
      <c r="E118" s="63" t="s">
        <v>265</v>
      </c>
      <c r="F118" s="64">
        <v>75100</v>
      </c>
      <c r="G118" s="64"/>
      <c r="H118" s="63" t="s">
        <v>266</v>
      </c>
      <c r="I118" s="65" t="s">
        <v>213</v>
      </c>
      <c r="J118" s="65"/>
      <c r="K118" s="66" t="s">
        <v>214</v>
      </c>
      <c r="L118" s="67">
        <v>3872099.7</v>
      </c>
    </row>
    <row r="119" spans="1:12" ht="51" hidden="1" x14ac:dyDescent="0.3">
      <c r="A119" s="61" t="s">
        <v>239</v>
      </c>
      <c r="B119" s="62" t="s">
        <v>472</v>
      </c>
      <c r="C119" s="62" t="s">
        <v>473</v>
      </c>
      <c r="D119" s="62" t="s">
        <v>467</v>
      </c>
      <c r="E119" s="63" t="s">
        <v>265</v>
      </c>
      <c r="F119" s="64">
        <v>75100</v>
      </c>
      <c r="G119" s="64"/>
      <c r="H119" s="63" t="s">
        <v>266</v>
      </c>
      <c r="I119" s="65" t="s">
        <v>213</v>
      </c>
      <c r="J119" s="65"/>
      <c r="K119" s="66" t="s">
        <v>214</v>
      </c>
      <c r="L119" s="67">
        <v>3947199.7</v>
      </c>
    </row>
    <row r="120" spans="1:12" ht="51" hidden="1" x14ac:dyDescent="0.3">
      <c r="A120" s="61" t="s">
        <v>474</v>
      </c>
      <c r="B120" s="62" t="s">
        <v>475</v>
      </c>
      <c r="C120" s="62" t="s">
        <v>476</v>
      </c>
      <c r="D120" s="62" t="s">
        <v>467</v>
      </c>
      <c r="E120" s="63" t="s">
        <v>265</v>
      </c>
      <c r="F120" s="64">
        <v>75100</v>
      </c>
      <c r="G120" s="64"/>
      <c r="H120" s="63" t="s">
        <v>266</v>
      </c>
      <c r="I120" s="65" t="s">
        <v>213</v>
      </c>
      <c r="J120" s="65"/>
      <c r="K120" s="66" t="s">
        <v>214</v>
      </c>
      <c r="L120" s="67">
        <v>4022299.7</v>
      </c>
    </row>
    <row r="121" spans="1:12" ht="51" hidden="1" x14ac:dyDescent="0.3">
      <c r="A121" s="61" t="s">
        <v>474</v>
      </c>
      <c r="B121" s="62" t="s">
        <v>477</v>
      </c>
      <c r="C121" s="62" t="s">
        <v>478</v>
      </c>
      <c r="D121" s="62" t="s">
        <v>467</v>
      </c>
      <c r="E121" s="63" t="s">
        <v>265</v>
      </c>
      <c r="F121" s="64">
        <v>67590</v>
      </c>
      <c r="G121" s="64"/>
      <c r="H121" s="63" t="s">
        <v>266</v>
      </c>
      <c r="I121" s="65" t="s">
        <v>213</v>
      </c>
      <c r="J121" s="65"/>
      <c r="K121" s="66" t="s">
        <v>214</v>
      </c>
      <c r="L121" s="67">
        <v>4089889.7</v>
      </c>
    </row>
    <row r="122" spans="1:12" ht="51" hidden="1" x14ac:dyDescent="0.3">
      <c r="A122" s="61" t="s">
        <v>474</v>
      </c>
      <c r="B122" s="62" t="s">
        <v>479</v>
      </c>
      <c r="C122" s="62" t="s">
        <v>480</v>
      </c>
      <c r="D122" s="62" t="s">
        <v>467</v>
      </c>
      <c r="E122" s="63" t="s">
        <v>265</v>
      </c>
      <c r="F122" s="64">
        <v>7510</v>
      </c>
      <c r="G122" s="64"/>
      <c r="H122" s="63" t="s">
        <v>266</v>
      </c>
      <c r="I122" s="65" t="s">
        <v>213</v>
      </c>
      <c r="J122" s="65"/>
      <c r="K122" s="66" t="s">
        <v>214</v>
      </c>
      <c r="L122" s="67">
        <v>4097399.7</v>
      </c>
    </row>
    <row r="123" spans="1:12" ht="51" hidden="1" x14ac:dyDescent="0.3">
      <c r="A123" s="61" t="s">
        <v>226</v>
      </c>
      <c r="B123" s="62" t="s">
        <v>481</v>
      </c>
      <c r="C123" s="62" t="s">
        <v>482</v>
      </c>
      <c r="D123" s="62" t="s">
        <v>467</v>
      </c>
      <c r="E123" s="63" t="s">
        <v>265</v>
      </c>
      <c r="F123" s="64">
        <v>75100</v>
      </c>
      <c r="G123" s="64"/>
      <c r="H123" s="63" t="s">
        <v>266</v>
      </c>
      <c r="I123" s="65" t="s">
        <v>213</v>
      </c>
      <c r="J123" s="65"/>
      <c r="K123" s="66" t="s">
        <v>214</v>
      </c>
      <c r="L123" s="67">
        <v>4172499.7</v>
      </c>
    </row>
    <row r="124" spans="1:12" ht="51" hidden="1" x14ac:dyDescent="0.3">
      <c r="A124" s="61" t="s">
        <v>226</v>
      </c>
      <c r="B124" s="62" t="s">
        <v>483</v>
      </c>
      <c r="C124" s="62" t="s">
        <v>484</v>
      </c>
      <c r="D124" s="62" t="s">
        <v>467</v>
      </c>
      <c r="E124" s="63" t="s">
        <v>265</v>
      </c>
      <c r="F124" s="64">
        <v>75100</v>
      </c>
      <c r="G124" s="64"/>
      <c r="H124" s="63" t="s">
        <v>266</v>
      </c>
      <c r="I124" s="65" t="s">
        <v>213</v>
      </c>
      <c r="J124" s="65"/>
      <c r="K124" s="66" t="s">
        <v>214</v>
      </c>
      <c r="L124" s="67">
        <v>4247599.7</v>
      </c>
    </row>
    <row r="125" spans="1:12" ht="51" hidden="1" x14ac:dyDescent="0.3">
      <c r="A125" s="61" t="s">
        <v>226</v>
      </c>
      <c r="B125" s="62" t="s">
        <v>485</v>
      </c>
      <c r="C125" s="62" t="s">
        <v>486</v>
      </c>
      <c r="D125" s="62" t="s">
        <v>487</v>
      </c>
      <c r="E125" s="63" t="s">
        <v>265</v>
      </c>
      <c r="F125" s="64">
        <v>9970.16</v>
      </c>
      <c r="G125" s="64"/>
      <c r="H125" s="63" t="s">
        <v>266</v>
      </c>
      <c r="I125" s="65" t="s">
        <v>213</v>
      </c>
      <c r="J125" s="65"/>
      <c r="K125" s="66" t="s">
        <v>214</v>
      </c>
      <c r="L125" s="67">
        <v>4257569.8600000003</v>
      </c>
    </row>
    <row r="126" spans="1:12" ht="51" hidden="1" x14ac:dyDescent="0.3">
      <c r="A126" s="61" t="s">
        <v>226</v>
      </c>
      <c r="B126" s="62" t="s">
        <v>485</v>
      </c>
      <c r="C126" s="62" t="s">
        <v>486</v>
      </c>
      <c r="D126" s="62" t="s">
        <v>467</v>
      </c>
      <c r="E126" s="63" t="s">
        <v>265</v>
      </c>
      <c r="F126" s="64">
        <v>65129.84</v>
      </c>
      <c r="G126" s="64"/>
      <c r="H126" s="63" t="s">
        <v>266</v>
      </c>
      <c r="I126" s="65" t="s">
        <v>213</v>
      </c>
      <c r="J126" s="65"/>
      <c r="K126" s="66" t="s">
        <v>214</v>
      </c>
      <c r="L126" s="67">
        <v>4322699.7</v>
      </c>
    </row>
    <row r="127" spans="1:12" ht="51" hidden="1" x14ac:dyDescent="0.3">
      <c r="A127" s="61" t="s">
        <v>226</v>
      </c>
      <c r="B127" s="62" t="s">
        <v>488</v>
      </c>
      <c r="C127" s="62" t="s">
        <v>489</v>
      </c>
      <c r="D127" s="62" t="s">
        <v>487</v>
      </c>
      <c r="E127" s="63" t="s">
        <v>265</v>
      </c>
      <c r="F127" s="64">
        <v>75100</v>
      </c>
      <c r="G127" s="64"/>
      <c r="H127" s="63" t="s">
        <v>266</v>
      </c>
      <c r="I127" s="65" t="s">
        <v>213</v>
      </c>
      <c r="J127" s="65"/>
      <c r="K127" s="66" t="s">
        <v>214</v>
      </c>
      <c r="L127" s="67">
        <v>4397799.7</v>
      </c>
    </row>
    <row r="128" spans="1:12" ht="51" hidden="1" x14ac:dyDescent="0.3">
      <c r="A128" s="61" t="s">
        <v>490</v>
      </c>
      <c r="B128" s="62" t="s">
        <v>491</v>
      </c>
      <c r="C128" s="62" t="s">
        <v>492</v>
      </c>
      <c r="D128" s="62" t="s">
        <v>487</v>
      </c>
      <c r="E128" s="63" t="s">
        <v>265</v>
      </c>
      <c r="F128" s="64">
        <v>37550</v>
      </c>
      <c r="G128" s="64"/>
      <c r="H128" s="63" t="s">
        <v>266</v>
      </c>
      <c r="I128" s="65" t="s">
        <v>213</v>
      </c>
      <c r="J128" s="65"/>
      <c r="K128" s="66" t="s">
        <v>214</v>
      </c>
      <c r="L128" s="67">
        <v>4435349.7</v>
      </c>
    </row>
    <row r="129" spans="1:12" ht="51" hidden="1" x14ac:dyDescent="0.3">
      <c r="A129" s="61" t="s">
        <v>490</v>
      </c>
      <c r="B129" s="62" t="s">
        <v>493</v>
      </c>
      <c r="C129" s="62" t="s">
        <v>494</v>
      </c>
      <c r="D129" s="62" t="s">
        <v>487</v>
      </c>
      <c r="E129" s="63" t="s">
        <v>265</v>
      </c>
      <c r="F129" s="64">
        <v>37550</v>
      </c>
      <c r="G129" s="64"/>
      <c r="H129" s="63" t="s">
        <v>266</v>
      </c>
      <c r="I129" s="65" t="s">
        <v>213</v>
      </c>
      <c r="J129" s="65"/>
      <c r="K129" s="66" t="s">
        <v>214</v>
      </c>
      <c r="L129" s="67">
        <v>4472899.7</v>
      </c>
    </row>
    <row r="130" spans="1:12" ht="51" hidden="1" x14ac:dyDescent="0.3">
      <c r="A130" s="61" t="s">
        <v>490</v>
      </c>
      <c r="B130" s="62" t="s">
        <v>495</v>
      </c>
      <c r="C130" s="62" t="s">
        <v>496</v>
      </c>
      <c r="D130" s="62" t="s">
        <v>487</v>
      </c>
      <c r="E130" s="63" t="s">
        <v>265</v>
      </c>
      <c r="F130" s="64">
        <v>37550</v>
      </c>
      <c r="G130" s="64"/>
      <c r="H130" s="63" t="s">
        <v>266</v>
      </c>
      <c r="I130" s="65" t="s">
        <v>213</v>
      </c>
      <c r="J130" s="65"/>
      <c r="K130" s="66" t="s">
        <v>214</v>
      </c>
      <c r="L130" s="67">
        <v>4510449.7</v>
      </c>
    </row>
    <row r="131" spans="1:12" ht="51" hidden="1" x14ac:dyDescent="0.3">
      <c r="A131" s="61" t="s">
        <v>490</v>
      </c>
      <c r="B131" s="62" t="s">
        <v>497</v>
      </c>
      <c r="C131" s="62" t="s">
        <v>498</v>
      </c>
      <c r="D131" s="62" t="s">
        <v>487</v>
      </c>
      <c r="E131" s="63" t="s">
        <v>265</v>
      </c>
      <c r="F131" s="64">
        <v>37550</v>
      </c>
      <c r="G131" s="64"/>
      <c r="H131" s="63" t="s">
        <v>266</v>
      </c>
      <c r="I131" s="65" t="s">
        <v>213</v>
      </c>
      <c r="J131" s="65"/>
      <c r="K131" s="66" t="s">
        <v>214</v>
      </c>
      <c r="L131" s="67">
        <v>4547999.7</v>
      </c>
    </row>
    <row r="132" spans="1:12" ht="51" hidden="1" x14ac:dyDescent="0.3">
      <c r="A132" s="61" t="s">
        <v>242</v>
      </c>
      <c r="B132" s="62" t="s">
        <v>499</v>
      </c>
      <c r="C132" s="62" t="s">
        <v>500</v>
      </c>
      <c r="D132" s="62" t="s">
        <v>329</v>
      </c>
      <c r="E132" s="63" t="s">
        <v>265</v>
      </c>
      <c r="F132" s="69" t="s">
        <v>213</v>
      </c>
      <c r="G132" s="69"/>
      <c r="H132" s="63" t="s">
        <v>265</v>
      </c>
      <c r="I132" s="71">
        <v>74782.350000000006</v>
      </c>
      <c r="J132" s="71"/>
      <c r="K132" s="66" t="s">
        <v>214</v>
      </c>
      <c r="L132" s="67">
        <v>4473217.3499999996</v>
      </c>
    </row>
    <row r="133" spans="1:12" ht="51" hidden="1" x14ac:dyDescent="0.3">
      <c r="A133" s="61" t="s">
        <v>242</v>
      </c>
      <c r="B133" s="62" t="s">
        <v>499</v>
      </c>
      <c r="C133" s="62" t="s">
        <v>501</v>
      </c>
      <c r="D133" s="62" t="s">
        <v>331</v>
      </c>
      <c r="E133" s="63" t="s">
        <v>265</v>
      </c>
      <c r="F133" s="69" t="s">
        <v>213</v>
      </c>
      <c r="G133" s="69"/>
      <c r="H133" s="63" t="s">
        <v>265</v>
      </c>
      <c r="I133" s="71">
        <v>74782.350000000006</v>
      </c>
      <c r="J133" s="71"/>
      <c r="K133" s="66" t="s">
        <v>214</v>
      </c>
      <c r="L133" s="67">
        <v>4398435</v>
      </c>
    </row>
    <row r="134" spans="1:12" ht="51" hidden="1" x14ac:dyDescent="0.3">
      <c r="A134" s="61" t="s">
        <v>242</v>
      </c>
      <c r="B134" s="62" t="s">
        <v>499</v>
      </c>
      <c r="C134" s="62" t="s">
        <v>502</v>
      </c>
      <c r="D134" s="62" t="s">
        <v>333</v>
      </c>
      <c r="E134" s="63" t="s">
        <v>265</v>
      </c>
      <c r="F134" s="69" t="s">
        <v>213</v>
      </c>
      <c r="G134" s="69"/>
      <c r="H134" s="63" t="s">
        <v>265</v>
      </c>
      <c r="I134" s="71">
        <v>33236.6</v>
      </c>
      <c r="J134" s="71"/>
      <c r="K134" s="66" t="s">
        <v>214</v>
      </c>
      <c r="L134" s="67">
        <v>4365198.4000000004</v>
      </c>
    </row>
    <row r="135" spans="1:12" ht="51" hidden="1" x14ac:dyDescent="0.3">
      <c r="A135" s="61" t="s">
        <v>242</v>
      </c>
      <c r="B135" s="62" t="s">
        <v>499</v>
      </c>
      <c r="C135" s="62" t="s">
        <v>502</v>
      </c>
      <c r="D135" s="62" t="s">
        <v>333</v>
      </c>
      <c r="E135" s="63" t="s">
        <v>265</v>
      </c>
      <c r="F135" s="69" t="s">
        <v>213</v>
      </c>
      <c r="G135" s="69"/>
      <c r="H135" s="63" t="s">
        <v>265</v>
      </c>
      <c r="I135" s="71">
        <v>41545.75</v>
      </c>
      <c r="J135" s="71"/>
      <c r="K135" s="66" t="s">
        <v>214</v>
      </c>
      <c r="L135" s="67">
        <v>4323652.6500000004</v>
      </c>
    </row>
    <row r="136" spans="1:12" ht="51" hidden="1" x14ac:dyDescent="0.3">
      <c r="A136" s="61" t="s">
        <v>242</v>
      </c>
      <c r="B136" s="62" t="s">
        <v>499</v>
      </c>
      <c r="C136" s="62" t="s">
        <v>503</v>
      </c>
      <c r="D136" s="62" t="s">
        <v>336</v>
      </c>
      <c r="E136" s="63" t="s">
        <v>265</v>
      </c>
      <c r="F136" s="69" t="s">
        <v>213</v>
      </c>
      <c r="G136" s="69"/>
      <c r="H136" s="63" t="s">
        <v>265</v>
      </c>
      <c r="I136" s="71">
        <v>33236.6</v>
      </c>
      <c r="J136" s="71"/>
      <c r="K136" s="66" t="s">
        <v>214</v>
      </c>
      <c r="L136" s="67">
        <v>4290416.05</v>
      </c>
    </row>
    <row r="137" spans="1:12" ht="51" hidden="1" x14ac:dyDescent="0.3">
      <c r="A137" s="61" t="s">
        <v>242</v>
      </c>
      <c r="B137" s="62" t="s">
        <v>499</v>
      </c>
      <c r="C137" s="62" t="s">
        <v>503</v>
      </c>
      <c r="D137" s="62" t="s">
        <v>336</v>
      </c>
      <c r="E137" s="63" t="s">
        <v>265</v>
      </c>
      <c r="F137" s="69" t="s">
        <v>213</v>
      </c>
      <c r="G137" s="69"/>
      <c r="H137" s="63" t="s">
        <v>265</v>
      </c>
      <c r="I137" s="71">
        <v>41545.75</v>
      </c>
      <c r="J137" s="71"/>
      <c r="K137" s="66" t="s">
        <v>214</v>
      </c>
      <c r="L137" s="67">
        <v>4248870.3</v>
      </c>
    </row>
    <row r="138" spans="1:12" ht="51" hidden="1" x14ac:dyDescent="0.3">
      <c r="A138" s="61" t="s">
        <v>242</v>
      </c>
      <c r="B138" s="62" t="s">
        <v>499</v>
      </c>
      <c r="C138" s="62" t="s">
        <v>504</v>
      </c>
      <c r="D138" s="62" t="s">
        <v>338</v>
      </c>
      <c r="E138" s="63" t="s">
        <v>265</v>
      </c>
      <c r="F138" s="69" t="s">
        <v>213</v>
      </c>
      <c r="G138" s="69"/>
      <c r="H138" s="63" t="s">
        <v>265</v>
      </c>
      <c r="I138" s="71">
        <v>33236.6</v>
      </c>
      <c r="J138" s="71"/>
      <c r="K138" s="66" t="s">
        <v>214</v>
      </c>
      <c r="L138" s="67">
        <v>4215633.7</v>
      </c>
    </row>
    <row r="139" spans="1:12" ht="51" hidden="1" x14ac:dyDescent="0.3">
      <c r="A139" s="61" t="s">
        <v>242</v>
      </c>
      <c r="B139" s="62" t="s">
        <v>499</v>
      </c>
      <c r="C139" s="62" t="s">
        <v>504</v>
      </c>
      <c r="D139" s="62" t="s">
        <v>338</v>
      </c>
      <c r="E139" s="63" t="s">
        <v>265</v>
      </c>
      <c r="F139" s="69" t="s">
        <v>213</v>
      </c>
      <c r="G139" s="69"/>
      <c r="H139" s="63" t="s">
        <v>265</v>
      </c>
      <c r="I139" s="71">
        <v>41545.75</v>
      </c>
      <c r="J139" s="71"/>
      <c r="K139" s="66" t="s">
        <v>214</v>
      </c>
      <c r="L139" s="67">
        <v>4174087.95</v>
      </c>
    </row>
    <row r="140" spans="1:12" ht="51" hidden="1" x14ac:dyDescent="0.3">
      <c r="A140" s="61" t="s">
        <v>242</v>
      </c>
      <c r="B140" s="62" t="s">
        <v>499</v>
      </c>
      <c r="C140" s="62" t="s">
        <v>505</v>
      </c>
      <c r="D140" s="62" t="s">
        <v>341</v>
      </c>
      <c r="E140" s="63" t="s">
        <v>265</v>
      </c>
      <c r="F140" s="69" t="s">
        <v>213</v>
      </c>
      <c r="G140" s="69"/>
      <c r="H140" s="63" t="s">
        <v>265</v>
      </c>
      <c r="I140" s="71">
        <v>33236.6</v>
      </c>
      <c r="J140" s="71"/>
      <c r="K140" s="66" t="s">
        <v>214</v>
      </c>
      <c r="L140" s="67">
        <v>4140851.35</v>
      </c>
    </row>
    <row r="141" spans="1:12" ht="51" hidden="1" x14ac:dyDescent="0.3">
      <c r="A141" s="61" t="s">
        <v>242</v>
      </c>
      <c r="B141" s="62" t="s">
        <v>499</v>
      </c>
      <c r="C141" s="62" t="s">
        <v>505</v>
      </c>
      <c r="D141" s="62" t="s">
        <v>341</v>
      </c>
      <c r="E141" s="63" t="s">
        <v>265</v>
      </c>
      <c r="F141" s="69" t="s">
        <v>213</v>
      </c>
      <c r="G141" s="69"/>
      <c r="H141" s="63" t="s">
        <v>265</v>
      </c>
      <c r="I141" s="71">
        <v>41545.75</v>
      </c>
      <c r="J141" s="71"/>
      <c r="K141" s="66" t="s">
        <v>214</v>
      </c>
      <c r="L141" s="67">
        <v>4099305.6</v>
      </c>
    </row>
    <row r="142" spans="1:12" ht="51" hidden="1" x14ac:dyDescent="0.3">
      <c r="A142" s="61" t="s">
        <v>242</v>
      </c>
      <c r="B142" s="62" t="s">
        <v>499</v>
      </c>
      <c r="C142" s="62" t="s">
        <v>506</v>
      </c>
      <c r="D142" s="62" t="s">
        <v>343</v>
      </c>
      <c r="E142" s="63" t="s">
        <v>265</v>
      </c>
      <c r="F142" s="69" t="s">
        <v>213</v>
      </c>
      <c r="G142" s="69"/>
      <c r="H142" s="63" t="s">
        <v>265</v>
      </c>
      <c r="I142" s="71">
        <v>33236.6</v>
      </c>
      <c r="J142" s="71"/>
      <c r="K142" s="66" t="s">
        <v>214</v>
      </c>
      <c r="L142" s="67">
        <v>4066069</v>
      </c>
    </row>
    <row r="143" spans="1:12" ht="51" hidden="1" x14ac:dyDescent="0.3">
      <c r="A143" s="61" t="s">
        <v>242</v>
      </c>
      <c r="B143" s="62" t="s">
        <v>499</v>
      </c>
      <c r="C143" s="62" t="s">
        <v>506</v>
      </c>
      <c r="D143" s="62" t="s">
        <v>343</v>
      </c>
      <c r="E143" s="63" t="s">
        <v>265</v>
      </c>
      <c r="F143" s="69" t="s">
        <v>213</v>
      </c>
      <c r="G143" s="69"/>
      <c r="H143" s="63" t="s">
        <v>265</v>
      </c>
      <c r="I143" s="71">
        <v>41545.75</v>
      </c>
      <c r="J143" s="71"/>
      <c r="K143" s="66" t="s">
        <v>214</v>
      </c>
      <c r="L143" s="67">
        <v>4024523.25</v>
      </c>
    </row>
    <row r="144" spans="1:12" ht="51" hidden="1" x14ac:dyDescent="0.3">
      <c r="A144" s="61" t="s">
        <v>242</v>
      </c>
      <c r="B144" s="62" t="s">
        <v>499</v>
      </c>
      <c r="C144" s="62" t="s">
        <v>507</v>
      </c>
      <c r="D144" s="62" t="s">
        <v>347</v>
      </c>
      <c r="E144" s="63" t="s">
        <v>265</v>
      </c>
      <c r="F144" s="69" t="s">
        <v>213</v>
      </c>
      <c r="G144" s="69"/>
      <c r="H144" s="63" t="s">
        <v>265</v>
      </c>
      <c r="I144" s="71">
        <v>33236.6</v>
      </c>
      <c r="J144" s="71"/>
      <c r="K144" s="66" t="s">
        <v>214</v>
      </c>
      <c r="L144" s="67">
        <v>3991286.65</v>
      </c>
    </row>
    <row r="145" spans="1:12" ht="51" hidden="1" x14ac:dyDescent="0.3">
      <c r="A145" s="61" t="s">
        <v>242</v>
      </c>
      <c r="B145" s="62" t="s">
        <v>499</v>
      </c>
      <c r="C145" s="62" t="s">
        <v>507</v>
      </c>
      <c r="D145" s="62" t="s">
        <v>347</v>
      </c>
      <c r="E145" s="63" t="s">
        <v>265</v>
      </c>
      <c r="F145" s="69" t="s">
        <v>213</v>
      </c>
      <c r="G145" s="69"/>
      <c r="H145" s="63" t="s">
        <v>265</v>
      </c>
      <c r="I145" s="71">
        <v>41545.75</v>
      </c>
      <c r="J145" s="71"/>
      <c r="K145" s="66" t="s">
        <v>214</v>
      </c>
      <c r="L145" s="67">
        <v>3949740.9</v>
      </c>
    </row>
    <row r="146" spans="1:12" ht="51" hidden="1" x14ac:dyDescent="0.3">
      <c r="A146" s="61" t="s">
        <v>242</v>
      </c>
      <c r="B146" s="62" t="s">
        <v>499</v>
      </c>
      <c r="C146" s="62" t="s">
        <v>508</v>
      </c>
      <c r="D146" s="62" t="s">
        <v>349</v>
      </c>
      <c r="E146" s="63" t="s">
        <v>265</v>
      </c>
      <c r="F146" s="69" t="s">
        <v>213</v>
      </c>
      <c r="G146" s="69"/>
      <c r="H146" s="63" t="s">
        <v>265</v>
      </c>
      <c r="I146" s="71">
        <v>33236.6</v>
      </c>
      <c r="J146" s="71"/>
      <c r="K146" s="66" t="s">
        <v>214</v>
      </c>
      <c r="L146" s="67">
        <v>3916504.3</v>
      </c>
    </row>
    <row r="147" spans="1:12" ht="51" hidden="1" x14ac:dyDescent="0.3">
      <c r="A147" s="61" t="s">
        <v>242</v>
      </c>
      <c r="B147" s="62" t="s">
        <v>499</v>
      </c>
      <c r="C147" s="62" t="s">
        <v>508</v>
      </c>
      <c r="D147" s="62" t="s">
        <v>349</v>
      </c>
      <c r="E147" s="63" t="s">
        <v>265</v>
      </c>
      <c r="F147" s="69" t="s">
        <v>213</v>
      </c>
      <c r="G147" s="69"/>
      <c r="H147" s="63" t="s">
        <v>265</v>
      </c>
      <c r="I147" s="71">
        <v>33236.6</v>
      </c>
      <c r="J147" s="71"/>
      <c r="K147" s="66" t="s">
        <v>214</v>
      </c>
      <c r="L147" s="67">
        <v>3883267.7</v>
      </c>
    </row>
    <row r="148" spans="1:12" ht="51" hidden="1" x14ac:dyDescent="0.3">
      <c r="A148" s="61" t="s">
        <v>242</v>
      </c>
      <c r="B148" s="62" t="s">
        <v>499</v>
      </c>
      <c r="C148" s="62" t="s">
        <v>508</v>
      </c>
      <c r="D148" s="62" t="s">
        <v>349</v>
      </c>
      <c r="E148" s="63" t="s">
        <v>265</v>
      </c>
      <c r="F148" s="69" t="s">
        <v>213</v>
      </c>
      <c r="G148" s="69"/>
      <c r="H148" s="63" t="s">
        <v>265</v>
      </c>
      <c r="I148" s="71">
        <v>8309.15</v>
      </c>
      <c r="J148" s="71"/>
      <c r="K148" s="66" t="s">
        <v>214</v>
      </c>
      <c r="L148" s="67">
        <v>3874958.55</v>
      </c>
    </row>
    <row r="149" spans="1:12" ht="51" hidden="1" x14ac:dyDescent="0.3">
      <c r="A149" s="61" t="s">
        <v>242</v>
      </c>
      <c r="B149" s="62" t="s">
        <v>499</v>
      </c>
      <c r="C149" s="62" t="s">
        <v>509</v>
      </c>
      <c r="D149" s="62" t="s">
        <v>351</v>
      </c>
      <c r="E149" s="63" t="s">
        <v>265</v>
      </c>
      <c r="F149" s="69" t="s">
        <v>213</v>
      </c>
      <c r="G149" s="69"/>
      <c r="H149" s="63" t="s">
        <v>265</v>
      </c>
      <c r="I149" s="71">
        <v>66473.2</v>
      </c>
      <c r="J149" s="71"/>
      <c r="K149" s="66" t="s">
        <v>214</v>
      </c>
      <c r="L149" s="67">
        <v>3808485.35</v>
      </c>
    </row>
    <row r="150" spans="1:12" ht="51" hidden="1" x14ac:dyDescent="0.3">
      <c r="A150" s="61" t="s">
        <v>242</v>
      </c>
      <c r="B150" s="62" t="s">
        <v>499</v>
      </c>
      <c r="C150" s="62" t="s">
        <v>509</v>
      </c>
      <c r="D150" s="62" t="s">
        <v>351</v>
      </c>
      <c r="E150" s="63" t="s">
        <v>265</v>
      </c>
      <c r="F150" s="69" t="s">
        <v>213</v>
      </c>
      <c r="G150" s="69"/>
      <c r="H150" s="63" t="s">
        <v>265</v>
      </c>
      <c r="I150" s="71">
        <v>8309.15</v>
      </c>
      <c r="J150" s="71"/>
      <c r="K150" s="66" t="s">
        <v>214</v>
      </c>
      <c r="L150" s="67">
        <v>3800176.2</v>
      </c>
    </row>
    <row r="151" spans="1:12" ht="51" hidden="1" x14ac:dyDescent="0.3">
      <c r="A151" s="61" t="s">
        <v>242</v>
      </c>
      <c r="B151" s="62" t="s">
        <v>499</v>
      </c>
      <c r="C151" s="62" t="s">
        <v>510</v>
      </c>
      <c r="D151" s="62" t="s">
        <v>378</v>
      </c>
      <c r="E151" s="63" t="s">
        <v>265</v>
      </c>
      <c r="F151" s="69" t="s">
        <v>213</v>
      </c>
      <c r="G151" s="69"/>
      <c r="H151" s="63" t="s">
        <v>265</v>
      </c>
      <c r="I151" s="71">
        <v>16618.3</v>
      </c>
      <c r="J151" s="71"/>
      <c r="K151" s="66" t="s">
        <v>214</v>
      </c>
      <c r="L151" s="67">
        <v>3783557.9</v>
      </c>
    </row>
    <row r="152" spans="1:12" ht="51" hidden="1" x14ac:dyDescent="0.3">
      <c r="A152" s="61" t="s">
        <v>242</v>
      </c>
      <c r="B152" s="62" t="s">
        <v>499</v>
      </c>
      <c r="C152" s="62" t="s">
        <v>511</v>
      </c>
      <c r="D152" s="62" t="s">
        <v>345</v>
      </c>
      <c r="E152" s="63" t="s">
        <v>265</v>
      </c>
      <c r="F152" s="69" t="s">
        <v>213</v>
      </c>
      <c r="G152" s="69"/>
      <c r="H152" s="63" t="s">
        <v>265</v>
      </c>
      <c r="I152" s="71">
        <v>75100</v>
      </c>
      <c r="J152" s="71"/>
      <c r="K152" s="66" t="s">
        <v>214</v>
      </c>
      <c r="L152" s="67">
        <v>3708457.9</v>
      </c>
    </row>
    <row r="153" spans="1:12" ht="51" hidden="1" x14ac:dyDescent="0.3">
      <c r="A153" s="61" t="s">
        <v>242</v>
      </c>
      <c r="B153" s="62" t="s">
        <v>499</v>
      </c>
      <c r="C153" s="62" t="s">
        <v>512</v>
      </c>
      <c r="D153" s="62" t="s">
        <v>354</v>
      </c>
      <c r="E153" s="63" t="s">
        <v>265</v>
      </c>
      <c r="F153" s="69" t="s">
        <v>213</v>
      </c>
      <c r="G153" s="69"/>
      <c r="H153" s="63" t="s">
        <v>265</v>
      </c>
      <c r="I153" s="71">
        <v>75100</v>
      </c>
      <c r="J153" s="71"/>
      <c r="K153" s="66" t="s">
        <v>214</v>
      </c>
      <c r="L153" s="67">
        <v>3633357.9</v>
      </c>
    </row>
    <row r="154" spans="1:12" ht="51" hidden="1" x14ac:dyDescent="0.3">
      <c r="A154" s="61" t="s">
        <v>242</v>
      </c>
      <c r="B154" s="62" t="s">
        <v>499</v>
      </c>
      <c r="C154" s="62" t="s">
        <v>513</v>
      </c>
      <c r="D154" s="62" t="s">
        <v>358</v>
      </c>
      <c r="E154" s="63" t="s">
        <v>265</v>
      </c>
      <c r="F154" s="69" t="s">
        <v>213</v>
      </c>
      <c r="G154" s="69"/>
      <c r="H154" s="63" t="s">
        <v>265</v>
      </c>
      <c r="I154" s="71">
        <v>75100</v>
      </c>
      <c r="J154" s="71"/>
      <c r="K154" s="66" t="s">
        <v>214</v>
      </c>
      <c r="L154" s="67">
        <v>3558257.9</v>
      </c>
    </row>
    <row r="155" spans="1:12" ht="51" hidden="1" x14ac:dyDescent="0.3">
      <c r="A155" s="61" t="s">
        <v>242</v>
      </c>
      <c r="B155" s="62" t="s">
        <v>499</v>
      </c>
      <c r="C155" s="62" t="s">
        <v>514</v>
      </c>
      <c r="D155" s="62" t="s">
        <v>361</v>
      </c>
      <c r="E155" s="63" t="s">
        <v>265</v>
      </c>
      <c r="F155" s="69" t="s">
        <v>213</v>
      </c>
      <c r="G155" s="69"/>
      <c r="H155" s="63" t="s">
        <v>265</v>
      </c>
      <c r="I155" s="71">
        <v>75100</v>
      </c>
      <c r="J155" s="71"/>
      <c r="K155" s="66" t="s">
        <v>214</v>
      </c>
      <c r="L155" s="67">
        <v>3483157.9</v>
      </c>
    </row>
    <row r="156" spans="1:12" ht="51" hidden="1" x14ac:dyDescent="0.3">
      <c r="A156" s="61" t="s">
        <v>242</v>
      </c>
      <c r="B156" s="62" t="s">
        <v>499</v>
      </c>
      <c r="C156" s="62" t="s">
        <v>515</v>
      </c>
      <c r="D156" s="62" t="s">
        <v>365</v>
      </c>
      <c r="E156" s="63" t="s">
        <v>265</v>
      </c>
      <c r="F156" s="69" t="s">
        <v>213</v>
      </c>
      <c r="G156" s="69"/>
      <c r="H156" s="63" t="s">
        <v>265</v>
      </c>
      <c r="I156" s="71">
        <v>75100</v>
      </c>
      <c r="J156" s="71"/>
      <c r="K156" s="66" t="s">
        <v>214</v>
      </c>
      <c r="L156" s="67">
        <v>3408057.9</v>
      </c>
    </row>
    <row r="157" spans="1:12" ht="51" hidden="1" x14ac:dyDescent="0.3">
      <c r="A157" s="61" t="s">
        <v>242</v>
      </c>
      <c r="B157" s="62" t="s">
        <v>499</v>
      </c>
      <c r="C157" s="62" t="s">
        <v>516</v>
      </c>
      <c r="D157" s="62" t="s">
        <v>368</v>
      </c>
      <c r="E157" s="63" t="s">
        <v>265</v>
      </c>
      <c r="F157" s="69" t="s">
        <v>213</v>
      </c>
      <c r="G157" s="69"/>
      <c r="H157" s="63" t="s">
        <v>265</v>
      </c>
      <c r="I157" s="71">
        <v>75100</v>
      </c>
      <c r="J157" s="71"/>
      <c r="K157" s="66" t="s">
        <v>214</v>
      </c>
      <c r="L157" s="67">
        <v>3332957.9</v>
      </c>
    </row>
    <row r="158" spans="1:12" ht="51" hidden="1" x14ac:dyDescent="0.3">
      <c r="A158" s="61" t="s">
        <v>242</v>
      </c>
      <c r="B158" s="62" t="s">
        <v>499</v>
      </c>
      <c r="C158" s="62" t="s">
        <v>517</v>
      </c>
      <c r="D158" s="62" t="s">
        <v>370</v>
      </c>
      <c r="E158" s="63" t="s">
        <v>265</v>
      </c>
      <c r="F158" s="69" t="s">
        <v>213</v>
      </c>
      <c r="G158" s="69"/>
      <c r="H158" s="63" t="s">
        <v>265</v>
      </c>
      <c r="I158" s="71">
        <v>52570</v>
      </c>
      <c r="J158" s="71"/>
      <c r="K158" s="66" t="s">
        <v>214</v>
      </c>
      <c r="L158" s="67">
        <v>3280387.9</v>
      </c>
    </row>
    <row r="159" spans="1:12" ht="51" hidden="1" x14ac:dyDescent="0.3">
      <c r="A159" s="61" t="s">
        <v>242</v>
      </c>
      <c r="B159" s="62" t="s">
        <v>499</v>
      </c>
      <c r="C159" s="62" t="s">
        <v>518</v>
      </c>
      <c r="D159" s="62" t="s">
        <v>373</v>
      </c>
      <c r="E159" s="63" t="s">
        <v>265</v>
      </c>
      <c r="F159" s="69" t="s">
        <v>213</v>
      </c>
      <c r="G159" s="69"/>
      <c r="H159" s="63" t="s">
        <v>265</v>
      </c>
      <c r="I159" s="71">
        <v>22530</v>
      </c>
      <c r="J159" s="71"/>
      <c r="K159" s="66" t="s">
        <v>214</v>
      </c>
      <c r="L159" s="67">
        <v>3257857.9</v>
      </c>
    </row>
    <row r="160" spans="1:12" ht="51" hidden="1" x14ac:dyDescent="0.3">
      <c r="A160" s="61" t="s">
        <v>242</v>
      </c>
      <c r="B160" s="62" t="s">
        <v>499</v>
      </c>
      <c r="C160" s="62" t="s">
        <v>518</v>
      </c>
      <c r="D160" s="62" t="s">
        <v>373</v>
      </c>
      <c r="E160" s="63" t="s">
        <v>265</v>
      </c>
      <c r="F160" s="69" t="s">
        <v>213</v>
      </c>
      <c r="G160" s="69"/>
      <c r="H160" s="63" t="s">
        <v>265</v>
      </c>
      <c r="I160" s="71">
        <v>52570</v>
      </c>
      <c r="J160" s="71"/>
      <c r="K160" s="66" t="s">
        <v>214</v>
      </c>
      <c r="L160" s="67">
        <v>3205287.9</v>
      </c>
    </row>
    <row r="161" spans="1:12" ht="51" hidden="1" x14ac:dyDescent="0.3">
      <c r="A161" s="61" t="s">
        <v>242</v>
      </c>
      <c r="B161" s="62" t="s">
        <v>499</v>
      </c>
      <c r="C161" s="62" t="s">
        <v>519</v>
      </c>
      <c r="D161" s="62" t="s">
        <v>375</v>
      </c>
      <c r="E161" s="63" t="s">
        <v>265</v>
      </c>
      <c r="F161" s="69" t="s">
        <v>213</v>
      </c>
      <c r="G161" s="69"/>
      <c r="H161" s="63" t="s">
        <v>265</v>
      </c>
      <c r="I161" s="71">
        <v>22530</v>
      </c>
      <c r="J161" s="71"/>
      <c r="K161" s="66" t="s">
        <v>214</v>
      </c>
      <c r="L161" s="67">
        <v>3182757.9</v>
      </c>
    </row>
    <row r="162" spans="1:12" ht="51" hidden="1" x14ac:dyDescent="0.3">
      <c r="A162" s="61" t="s">
        <v>242</v>
      </c>
      <c r="B162" s="62" t="s">
        <v>499</v>
      </c>
      <c r="C162" s="62" t="s">
        <v>519</v>
      </c>
      <c r="D162" s="62" t="s">
        <v>375</v>
      </c>
      <c r="E162" s="63" t="s">
        <v>265</v>
      </c>
      <c r="F162" s="69" t="s">
        <v>213</v>
      </c>
      <c r="G162" s="69"/>
      <c r="H162" s="63" t="s">
        <v>265</v>
      </c>
      <c r="I162" s="71">
        <v>52570</v>
      </c>
      <c r="J162" s="71"/>
      <c r="K162" s="66" t="s">
        <v>214</v>
      </c>
      <c r="L162" s="67">
        <v>3130187.9</v>
      </c>
    </row>
    <row r="163" spans="1:12" ht="51" hidden="1" x14ac:dyDescent="0.3">
      <c r="A163" s="61" t="s">
        <v>242</v>
      </c>
      <c r="B163" s="62" t="s">
        <v>499</v>
      </c>
      <c r="C163" s="62" t="s">
        <v>520</v>
      </c>
      <c r="D163" s="62" t="s">
        <v>380</v>
      </c>
      <c r="E163" s="63" t="s">
        <v>265</v>
      </c>
      <c r="F163" s="69" t="s">
        <v>213</v>
      </c>
      <c r="G163" s="69"/>
      <c r="H163" s="63" t="s">
        <v>265</v>
      </c>
      <c r="I163" s="71">
        <v>22530</v>
      </c>
      <c r="J163" s="71"/>
      <c r="K163" s="66" t="s">
        <v>214</v>
      </c>
      <c r="L163" s="67">
        <v>3107657.9</v>
      </c>
    </row>
    <row r="164" spans="1:12" ht="51" hidden="1" x14ac:dyDescent="0.3">
      <c r="A164" s="61" t="s">
        <v>242</v>
      </c>
      <c r="B164" s="62" t="s">
        <v>499</v>
      </c>
      <c r="C164" s="62" t="s">
        <v>520</v>
      </c>
      <c r="D164" s="62" t="s">
        <v>380</v>
      </c>
      <c r="E164" s="63" t="s">
        <v>265</v>
      </c>
      <c r="F164" s="69" t="s">
        <v>213</v>
      </c>
      <c r="G164" s="69"/>
      <c r="H164" s="63" t="s">
        <v>265</v>
      </c>
      <c r="I164" s="71">
        <v>37550</v>
      </c>
      <c r="J164" s="71"/>
      <c r="K164" s="66" t="s">
        <v>214</v>
      </c>
      <c r="L164" s="67">
        <v>3070107.9</v>
      </c>
    </row>
    <row r="165" spans="1:12" ht="51" hidden="1" x14ac:dyDescent="0.3">
      <c r="A165" s="61" t="s">
        <v>242</v>
      </c>
      <c r="B165" s="62" t="s">
        <v>521</v>
      </c>
      <c r="C165" s="62" t="s">
        <v>522</v>
      </c>
      <c r="D165" s="62" t="s">
        <v>523</v>
      </c>
      <c r="E165" s="63" t="s">
        <v>265</v>
      </c>
      <c r="F165" s="64">
        <v>14115.24</v>
      </c>
      <c r="G165" s="64"/>
      <c r="H165" s="63" t="s">
        <v>266</v>
      </c>
      <c r="I165" s="65" t="s">
        <v>213</v>
      </c>
      <c r="J165" s="65"/>
      <c r="K165" s="66" t="s">
        <v>214</v>
      </c>
      <c r="L165" s="67">
        <v>3084223.14</v>
      </c>
    </row>
    <row r="166" spans="1:12" ht="51" hidden="1" x14ac:dyDescent="0.3">
      <c r="A166" s="61" t="s">
        <v>242</v>
      </c>
      <c r="B166" s="62" t="s">
        <v>521</v>
      </c>
      <c r="C166" s="62" t="s">
        <v>522</v>
      </c>
      <c r="D166" s="62" t="s">
        <v>487</v>
      </c>
      <c r="E166" s="63" t="s">
        <v>265</v>
      </c>
      <c r="F166" s="64">
        <v>58424.76</v>
      </c>
      <c r="G166" s="64"/>
      <c r="H166" s="63" t="s">
        <v>266</v>
      </c>
      <c r="I166" s="65" t="s">
        <v>213</v>
      </c>
      <c r="J166" s="65"/>
      <c r="K166" s="66" t="s">
        <v>214</v>
      </c>
      <c r="L166" s="67">
        <v>3142647.9</v>
      </c>
    </row>
    <row r="167" spans="1:12" ht="51" hidden="1" x14ac:dyDescent="0.3">
      <c r="A167" s="61" t="s">
        <v>242</v>
      </c>
      <c r="B167" s="62" t="s">
        <v>524</v>
      </c>
      <c r="C167" s="62" t="s">
        <v>525</v>
      </c>
      <c r="D167" s="62" t="s">
        <v>523</v>
      </c>
      <c r="E167" s="63" t="s">
        <v>265</v>
      </c>
      <c r="F167" s="64">
        <v>72540</v>
      </c>
      <c r="G167" s="64"/>
      <c r="H167" s="63" t="s">
        <v>266</v>
      </c>
      <c r="I167" s="65" t="s">
        <v>213</v>
      </c>
      <c r="J167" s="65"/>
      <c r="K167" s="66" t="s">
        <v>214</v>
      </c>
      <c r="L167" s="67">
        <v>3215187.9</v>
      </c>
    </row>
    <row r="168" spans="1:12" ht="51" hidden="1" x14ac:dyDescent="0.3">
      <c r="A168" s="61" t="s">
        <v>242</v>
      </c>
      <c r="B168" s="62" t="s">
        <v>526</v>
      </c>
      <c r="C168" s="62" t="s">
        <v>527</v>
      </c>
      <c r="D168" s="62" t="s">
        <v>523</v>
      </c>
      <c r="E168" s="63" t="s">
        <v>265</v>
      </c>
      <c r="F168" s="64">
        <v>75100</v>
      </c>
      <c r="G168" s="64"/>
      <c r="H168" s="63" t="s">
        <v>266</v>
      </c>
      <c r="I168" s="65" t="s">
        <v>213</v>
      </c>
      <c r="J168" s="65"/>
      <c r="K168" s="66" t="s">
        <v>214</v>
      </c>
      <c r="L168" s="67">
        <v>3290287.9</v>
      </c>
    </row>
    <row r="169" spans="1:12" ht="51" hidden="1" x14ac:dyDescent="0.3">
      <c r="A169" s="61" t="s">
        <v>528</v>
      </c>
      <c r="B169" s="62" t="s">
        <v>529</v>
      </c>
      <c r="C169" s="62" t="s">
        <v>530</v>
      </c>
      <c r="D169" s="62" t="s">
        <v>523</v>
      </c>
      <c r="E169" s="63" t="s">
        <v>265</v>
      </c>
      <c r="F169" s="64">
        <v>74782.350000000006</v>
      </c>
      <c r="G169" s="64"/>
      <c r="H169" s="63" t="s">
        <v>266</v>
      </c>
      <c r="I169" s="65" t="s">
        <v>213</v>
      </c>
      <c r="J169" s="65"/>
      <c r="K169" s="66" t="s">
        <v>214</v>
      </c>
      <c r="L169" s="67">
        <v>3365070.25</v>
      </c>
    </row>
    <row r="170" spans="1:12" ht="51" hidden="1" x14ac:dyDescent="0.3">
      <c r="A170" s="61" t="s">
        <v>528</v>
      </c>
      <c r="B170" s="62" t="s">
        <v>531</v>
      </c>
      <c r="C170" s="62" t="s">
        <v>532</v>
      </c>
      <c r="D170" s="62" t="s">
        <v>523</v>
      </c>
      <c r="E170" s="63" t="s">
        <v>265</v>
      </c>
      <c r="F170" s="64">
        <v>74782.350000000006</v>
      </c>
      <c r="G170" s="64"/>
      <c r="H170" s="63" t="s">
        <v>266</v>
      </c>
      <c r="I170" s="65" t="s">
        <v>213</v>
      </c>
      <c r="J170" s="65"/>
      <c r="K170" s="66" t="s">
        <v>214</v>
      </c>
      <c r="L170" s="67">
        <v>3439852.6</v>
      </c>
    </row>
    <row r="171" spans="1:12" ht="51" hidden="1" x14ac:dyDescent="0.3">
      <c r="A171" s="61" t="s">
        <v>528</v>
      </c>
      <c r="B171" s="62" t="s">
        <v>533</v>
      </c>
      <c r="C171" s="62" t="s">
        <v>534</v>
      </c>
      <c r="D171" s="62" t="s">
        <v>523</v>
      </c>
      <c r="E171" s="63" t="s">
        <v>265</v>
      </c>
      <c r="F171" s="64">
        <v>74782.350000000006</v>
      </c>
      <c r="G171" s="64"/>
      <c r="H171" s="63" t="s">
        <v>266</v>
      </c>
      <c r="I171" s="65" t="s">
        <v>213</v>
      </c>
      <c r="J171" s="65"/>
      <c r="K171" s="66" t="s">
        <v>214</v>
      </c>
      <c r="L171" s="67">
        <v>3514634.95</v>
      </c>
    </row>
    <row r="172" spans="1:12" ht="51" hidden="1" x14ac:dyDescent="0.3">
      <c r="A172" s="61" t="s">
        <v>528</v>
      </c>
      <c r="B172" s="62" t="s">
        <v>535</v>
      </c>
      <c r="C172" s="62" t="s">
        <v>536</v>
      </c>
      <c r="D172" s="62" t="s">
        <v>523</v>
      </c>
      <c r="E172" s="63" t="s">
        <v>265</v>
      </c>
      <c r="F172" s="64">
        <v>74782.350000000006</v>
      </c>
      <c r="G172" s="64"/>
      <c r="H172" s="63" t="s">
        <v>266</v>
      </c>
      <c r="I172" s="65" t="s">
        <v>213</v>
      </c>
      <c r="J172" s="65"/>
      <c r="K172" s="66" t="s">
        <v>214</v>
      </c>
      <c r="L172" s="67">
        <v>3589417.3</v>
      </c>
    </row>
    <row r="173" spans="1:12" ht="51" hidden="1" x14ac:dyDescent="0.3">
      <c r="A173" s="61" t="s">
        <v>528</v>
      </c>
      <c r="B173" s="62" t="s">
        <v>537</v>
      </c>
      <c r="C173" s="62" t="s">
        <v>538</v>
      </c>
      <c r="D173" s="62" t="s">
        <v>523</v>
      </c>
      <c r="E173" s="63" t="s">
        <v>265</v>
      </c>
      <c r="F173" s="64">
        <v>74782.350000000006</v>
      </c>
      <c r="G173" s="64"/>
      <c r="H173" s="63" t="s">
        <v>266</v>
      </c>
      <c r="I173" s="65" t="s">
        <v>213</v>
      </c>
      <c r="J173" s="65"/>
      <c r="K173" s="66" t="s">
        <v>214</v>
      </c>
      <c r="L173" s="67">
        <v>3664199.65</v>
      </c>
    </row>
    <row r="174" spans="1:12" ht="51" hidden="1" x14ac:dyDescent="0.3">
      <c r="A174" s="61" t="s">
        <v>528</v>
      </c>
      <c r="B174" s="62" t="s">
        <v>539</v>
      </c>
      <c r="C174" s="62" t="s">
        <v>540</v>
      </c>
      <c r="D174" s="62" t="s">
        <v>523</v>
      </c>
      <c r="E174" s="63" t="s">
        <v>265</v>
      </c>
      <c r="F174" s="64">
        <v>74782.350000000006</v>
      </c>
      <c r="G174" s="64"/>
      <c r="H174" s="63" t="s">
        <v>266</v>
      </c>
      <c r="I174" s="65" t="s">
        <v>213</v>
      </c>
      <c r="J174" s="65"/>
      <c r="K174" s="66" t="s">
        <v>214</v>
      </c>
      <c r="L174" s="67">
        <v>3738982</v>
      </c>
    </row>
    <row r="175" spans="1:12" ht="51" hidden="1" x14ac:dyDescent="0.3">
      <c r="A175" s="61" t="s">
        <v>528</v>
      </c>
      <c r="B175" s="62" t="s">
        <v>541</v>
      </c>
      <c r="C175" s="62" t="s">
        <v>542</v>
      </c>
      <c r="D175" s="62" t="s">
        <v>523</v>
      </c>
      <c r="E175" s="63" t="s">
        <v>265</v>
      </c>
      <c r="F175" s="64">
        <v>41545.75</v>
      </c>
      <c r="G175" s="64"/>
      <c r="H175" s="63" t="s">
        <v>266</v>
      </c>
      <c r="I175" s="65" t="s">
        <v>213</v>
      </c>
      <c r="J175" s="65"/>
      <c r="K175" s="66" t="s">
        <v>214</v>
      </c>
      <c r="L175" s="67">
        <v>3780527.75</v>
      </c>
    </row>
    <row r="176" spans="1:12" ht="51" hidden="1" x14ac:dyDescent="0.3">
      <c r="A176" s="61" t="s">
        <v>528</v>
      </c>
      <c r="B176" s="62" t="s">
        <v>541</v>
      </c>
      <c r="C176" s="62" t="s">
        <v>543</v>
      </c>
      <c r="D176" s="62" t="s">
        <v>523</v>
      </c>
      <c r="E176" s="63" t="s">
        <v>265</v>
      </c>
      <c r="F176" s="64">
        <v>37550</v>
      </c>
      <c r="G176" s="64"/>
      <c r="H176" s="63" t="s">
        <v>266</v>
      </c>
      <c r="I176" s="65" t="s">
        <v>213</v>
      </c>
      <c r="J176" s="65"/>
      <c r="K176" s="66" t="s">
        <v>214</v>
      </c>
      <c r="L176" s="67">
        <v>3818077.75</v>
      </c>
    </row>
    <row r="177" spans="1:12" ht="51" hidden="1" x14ac:dyDescent="0.3">
      <c r="A177" s="61" t="s">
        <v>243</v>
      </c>
      <c r="B177" s="62" t="s">
        <v>544</v>
      </c>
      <c r="C177" s="62" t="s">
        <v>545</v>
      </c>
      <c r="D177" s="62" t="s">
        <v>447</v>
      </c>
      <c r="E177" s="63" t="s">
        <v>265</v>
      </c>
      <c r="F177" s="69" t="s">
        <v>213</v>
      </c>
      <c r="G177" s="69"/>
      <c r="H177" s="63" t="s">
        <v>265</v>
      </c>
      <c r="I177" s="71">
        <v>37550</v>
      </c>
      <c r="J177" s="71"/>
      <c r="K177" s="66" t="s">
        <v>214</v>
      </c>
      <c r="L177" s="67">
        <v>3780527.75</v>
      </c>
    </row>
    <row r="178" spans="1:12" ht="51" hidden="1" x14ac:dyDescent="0.3">
      <c r="A178" s="61" t="s">
        <v>243</v>
      </c>
      <c r="B178" s="62" t="s">
        <v>544</v>
      </c>
      <c r="C178" s="62" t="s">
        <v>545</v>
      </c>
      <c r="D178" s="62" t="s">
        <v>447</v>
      </c>
      <c r="E178" s="63" t="s">
        <v>265</v>
      </c>
      <c r="F178" s="69" t="s">
        <v>213</v>
      </c>
      <c r="G178" s="69"/>
      <c r="H178" s="63" t="s">
        <v>265</v>
      </c>
      <c r="I178" s="71">
        <v>37550</v>
      </c>
      <c r="J178" s="71"/>
      <c r="K178" s="66" t="s">
        <v>214</v>
      </c>
      <c r="L178" s="67">
        <v>3742977.75</v>
      </c>
    </row>
    <row r="179" spans="1:12" ht="51" hidden="1" x14ac:dyDescent="0.3">
      <c r="A179" s="61" t="s">
        <v>243</v>
      </c>
      <c r="B179" s="62" t="s">
        <v>544</v>
      </c>
      <c r="C179" s="62" t="s">
        <v>546</v>
      </c>
      <c r="D179" s="62" t="s">
        <v>450</v>
      </c>
      <c r="E179" s="63" t="s">
        <v>265</v>
      </c>
      <c r="F179" s="69" t="s">
        <v>213</v>
      </c>
      <c r="G179" s="69"/>
      <c r="H179" s="63" t="s">
        <v>265</v>
      </c>
      <c r="I179" s="71">
        <v>37550</v>
      </c>
      <c r="J179" s="71"/>
      <c r="K179" s="66" t="s">
        <v>214</v>
      </c>
      <c r="L179" s="67">
        <v>3705427.75</v>
      </c>
    </row>
    <row r="180" spans="1:12" ht="51" hidden="1" x14ac:dyDescent="0.3">
      <c r="A180" s="61" t="s">
        <v>243</v>
      </c>
      <c r="B180" s="62" t="s">
        <v>544</v>
      </c>
      <c r="C180" s="62" t="s">
        <v>546</v>
      </c>
      <c r="D180" s="62" t="s">
        <v>450</v>
      </c>
      <c r="E180" s="63" t="s">
        <v>265</v>
      </c>
      <c r="F180" s="69" t="s">
        <v>213</v>
      </c>
      <c r="G180" s="69"/>
      <c r="H180" s="63" t="s">
        <v>265</v>
      </c>
      <c r="I180" s="71">
        <v>37550</v>
      </c>
      <c r="J180" s="71"/>
      <c r="K180" s="66" t="s">
        <v>214</v>
      </c>
      <c r="L180" s="67">
        <v>3667877.75</v>
      </c>
    </row>
    <row r="181" spans="1:12" ht="51" hidden="1" x14ac:dyDescent="0.3">
      <c r="A181" s="61" t="s">
        <v>243</v>
      </c>
      <c r="B181" s="62" t="s">
        <v>544</v>
      </c>
      <c r="C181" s="62" t="s">
        <v>547</v>
      </c>
      <c r="D181" s="62" t="s">
        <v>457</v>
      </c>
      <c r="E181" s="63" t="s">
        <v>265</v>
      </c>
      <c r="F181" s="69" t="s">
        <v>213</v>
      </c>
      <c r="G181" s="69"/>
      <c r="H181" s="63" t="s">
        <v>265</v>
      </c>
      <c r="I181" s="71">
        <v>37550</v>
      </c>
      <c r="J181" s="71"/>
      <c r="K181" s="66" t="s">
        <v>214</v>
      </c>
      <c r="L181" s="67">
        <v>3630327.75</v>
      </c>
    </row>
    <row r="182" spans="1:12" ht="51" hidden="1" x14ac:dyDescent="0.3">
      <c r="A182" s="61" t="s">
        <v>243</v>
      </c>
      <c r="B182" s="62" t="s">
        <v>544</v>
      </c>
      <c r="C182" s="62" t="s">
        <v>547</v>
      </c>
      <c r="D182" s="62" t="s">
        <v>457</v>
      </c>
      <c r="E182" s="63" t="s">
        <v>265</v>
      </c>
      <c r="F182" s="69" t="s">
        <v>213</v>
      </c>
      <c r="G182" s="69"/>
      <c r="H182" s="63" t="s">
        <v>265</v>
      </c>
      <c r="I182" s="71">
        <v>37550</v>
      </c>
      <c r="J182" s="71"/>
      <c r="K182" s="66" t="s">
        <v>214</v>
      </c>
      <c r="L182" s="67">
        <v>3592777.75</v>
      </c>
    </row>
    <row r="183" spans="1:12" ht="51" hidden="1" x14ac:dyDescent="0.3">
      <c r="A183" s="61" t="s">
        <v>243</v>
      </c>
      <c r="B183" s="62" t="s">
        <v>544</v>
      </c>
      <c r="C183" s="62" t="s">
        <v>548</v>
      </c>
      <c r="D183" s="62" t="s">
        <v>459</v>
      </c>
      <c r="E183" s="63" t="s">
        <v>265</v>
      </c>
      <c r="F183" s="69" t="s">
        <v>213</v>
      </c>
      <c r="G183" s="69"/>
      <c r="H183" s="63" t="s">
        <v>265</v>
      </c>
      <c r="I183" s="71">
        <v>37550</v>
      </c>
      <c r="J183" s="71"/>
      <c r="K183" s="66" t="s">
        <v>214</v>
      </c>
      <c r="L183" s="67">
        <v>3555227.75</v>
      </c>
    </row>
    <row r="184" spans="1:12" ht="51" hidden="1" x14ac:dyDescent="0.3">
      <c r="A184" s="61" t="s">
        <v>243</v>
      </c>
      <c r="B184" s="62" t="s">
        <v>544</v>
      </c>
      <c r="C184" s="62" t="s">
        <v>548</v>
      </c>
      <c r="D184" s="62" t="s">
        <v>459</v>
      </c>
      <c r="E184" s="63" t="s">
        <v>265</v>
      </c>
      <c r="F184" s="69" t="s">
        <v>213</v>
      </c>
      <c r="G184" s="69"/>
      <c r="H184" s="63" t="s">
        <v>265</v>
      </c>
      <c r="I184" s="71">
        <v>37550</v>
      </c>
      <c r="J184" s="71"/>
      <c r="K184" s="66" t="s">
        <v>214</v>
      </c>
      <c r="L184" s="67">
        <v>3517677.75</v>
      </c>
    </row>
    <row r="185" spans="1:12" ht="51" hidden="1" x14ac:dyDescent="0.3">
      <c r="A185" s="61" t="s">
        <v>243</v>
      </c>
      <c r="B185" s="62" t="s">
        <v>544</v>
      </c>
      <c r="C185" s="62" t="s">
        <v>549</v>
      </c>
      <c r="D185" s="62" t="s">
        <v>461</v>
      </c>
      <c r="E185" s="63" t="s">
        <v>265</v>
      </c>
      <c r="F185" s="69" t="s">
        <v>213</v>
      </c>
      <c r="G185" s="69"/>
      <c r="H185" s="63" t="s">
        <v>265</v>
      </c>
      <c r="I185" s="71">
        <v>37550</v>
      </c>
      <c r="J185" s="71"/>
      <c r="K185" s="66" t="s">
        <v>214</v>
      </c>
      <c r="L185" s="67">
        <v>3480127.75</v>
      </c>
    </row>
    <row r="186" spans="1:12" ht="51" hidden="1" x14ac:dyDescent="0.3">
      <c r="A186" s="61" t="s">
        <v>243</v>
      </c>
      <c r="B186" s="62" t="s">
        <v>544</v>
      </c>
      <c r="C186" s="62" t="s">
        <v>549</v>
      </c>
      <c r="D186" s="62" t="s">
        <v>461</v>
      </c>
      <c r="E186" s="63" t="s">
        <v>265</v>
      </c>
      <c r="F186" s="69" t="s">
        <v>213</v>
      </c>
      <c r="G186" s="69"/>
      <c r="H186" s="63" t="s">
        <v>265</v>
      </c>
      <c r="I186" s="71">
        <v>37550</v>
      </c>
      <c r="J186" s="71"/>
      <c r="K186" s="66" t="s">
        <v>214</v>
      </c>
      <c r="L186" s="67">
        <v>3442577.75</v>
      </c>
    </row>
    <row r="187" spans="1:12" ht="51" hidden="1" x14ac:dyDescent="0.3">
      <c r="A187" s="61" t="s">
        <v>243</v>
      </c>
      <c r="B187" s="62" t="s">
        <v>544</v>
      </c>
      <c r="C187" s="62" t="s">
        <v>550</v>
      </c>
      <c r="D187" s="62" t="s">
        <v>463</v>
      </c>
      <c r="E187" s="63" t="s">
        <v>265</v>
      </c>
      <c r="F187" s="69" t="s">
        <v>213</v>
      </c>
      <c r="G187" s="69"/>
      <c r="H187" s="63" t="s">
        <v>265</v>
      </c>
      <c r="I187" s="71">
        <v>37550</v>
      </c>
      <c r="J187" s="71"/>
      <c r="K187" s="66" t="s">
        <v>214</v>
      </c>
      <c r="L187" s="67">
        <v>3405027.75</v>
      </c>
    </row>
    <row r="188" spans="1:12" ht="51" hidden="1" x14ac:dyDescent="0.3">
      <c r="A188" s="61" t="s">
        <v>243</v>
      </c>
      <c r="B188" s="62" t="s">
        <v>544</v>
      </c>
      <c r="C188" s="62" t="s">
        <v>550</v>
      </c>
      <c r="D188" s="62" t="s">
        <v>463</v>
      </c>
      <c r="E188" s="63" t="s">
        <v>265</v>
      </c>
      <c r="F188" s="69" t="s">
        <v>213</v>
      </c>
      <c r="G188" s="69"/>
      <c r="H188" s="63" t="s">
        <v>265</v>
      </c>
      <c r="I188" s="71">
        <v>7510</v>
      </c>
      <c r="J188" s="71"/>
      <c r="K188" s="66" t="s">
        <v>214</v>
      </c>
      <c r="L188" s="67">
        <v>3397517.75</v>
      </c>
    </row>
    <row r="189" spans="1:12" ht="51" hidden="1" x14ac:dyDescent="0.3">
      <c r="A189" s="61" t="s">
        <v>243</v>
      </c>
      <c r="B189" s="62" t="s">
        <v>544</v>
      </c>
      <c r="C189" s="62" t="s">
        <v>551</v>
      </c>
      <c r="D189" s="62" t="s">
        <v>466</v>
      </c>
      <c r="E189" s="63" t="s">
        <v>265</v>
      </c>
      <c r="F189" s="69" t="s">
        <v>213</v>
      </c>
      <c r="G189" s="69"/>
      <c r="H189" s="63" t="s">
        <v>265</v>
      </c>
      <c r="I189" s="71">
        <v>67590</v>
      </c>
      <c r="J189" s="71"/>
      <c r="K189" s="66" t="s">
        <v>214</v>
      </c>
      <c r="L189" s="67">
        <v>3329927.75</v>
      </c>
    </row>
    <row r="190" spans="1:12" ht="51" hidden="1" x14ac:dyDescent="0.3">
      <c r="A190" s="61" t="s">
        <v>243</v>
      </c>
      <c r="B190" s="62" t="s">
        <v>544</v>
      </c>
      <c r="C190" s="62" t="s">
        <v>551</v>
      </c>
      <c r="D190" s="62" t="s">
        <v>466</v>
      </c>
      <c r="E190" s="63" t="s">
        <v>265</v>
      </c>
      <c r="F190" s="69" t="s">
        <v>213</v>
      </c>
      <c r="G190" s="69"/>
      <c r="H190" s="63" t="s">
        <v>265</v>
      </c>
      <c r="I190" s="71">
        <v>7510</v>
      </c>
      <c r="J190" s="71"/>
      <c r="K190" s="66" t="s">
        <v>214</v>
      </c>
      <c r="L190" s="67">
        <v>3322417.75</v>
      </c>
    </row>
    <row r="191" spans="1:12" ht="51" hidden="1" x14ac:dyDescent="0.3">
      <c r="A191" s="61" t="s">
        <v>243</v>
      </c>
      <c r="B191" s="62" t="s">
        <v>544</v>
      </c>
      <c r="C191" s="62" t="s">
        <v>552</v>
      </c>
      <c r="D191" s="62" t="s">
        <v>469</v>
      </c>
      <c r="E191" s="63" t="s">
        <v>265</v>
      </c>
      <c r="F191" s="69" t="s">
        <v>213</v>
      </c>
      <c r="G191" s="69"/>
      <c r="H191" s="63" t="s">
        <v>265</v>
      </c>
      <c r="I191" s="71">
        <v>67590</v>
      </c>
      <c r="J191" s="71"/>
      <c r="K191" s="66" t="s">
        <v>214</v>
      </c>
      <c r="L191" s="67">
        <v>3254827.75</v>
      </c>
    </row>
    <row r="192" spans="1:12" ht="51" hidden="1" x14ac:dyDescent="0.3">
      <c r="A192" s="61" t="s">
        <v>243</v>
      </c>
      <c r="B192" s="62" t="s">
        <v>544</v>
      </c>
      <c r="C192" s="62" t="s">
        <v>552</v>
      </c>
      <c r="D192" s="62" t="s">
        <v>469</v>
      </c>
      <c r="E192" s="63" t="s">
        <v>265</v>
      </c>
      <c r="F192" s="69" t="s">
        <v>213</v>
      </c>
      <c r="G192" s="69"/>
      <c r="H192" s="63" t="s">
        <v>265</v>
      </c>
      <c r="I192" s="71">
        <v>7510</v>
      </c>
      <c r="J192" s="71"/>
      <c r="K192" s="66" t="s">
        <v>214</v>
      </c>
      <c r="L192" s="67">
        <v>3247317.75</v>
      </c>
    </row>
    <row r="193" spans="1:12" ht="51" hidden="1" x14ac:dyDescent="0.3">
      <c r="A193" s="61" t="s">
        <v>243</v>
      </c>
      <c r="B193" s="62" t="s">
        <v>544</v>
      </c>
      <c r="C193" s="62" t="s">
        <v>553</v>
      </c>
      <c r="D193" s="62" t="s">
        <v>471</v>
      </c>
      <c r="E193" s="63" t="s">
        <v>265</v>
      </c>
      <c r="F193" s="69" t="s">
        <v>213</v>
      </c>
      <c r="G193" s="69"/>
      <c r="H193" s="63" t="s">
        <v>265</v>
      </c>
      <c r="I193" s="71">
        <v>67590</v>
      </c>
      <c r="J193" s="71"/>
      <c r="K193" s="66" t="s">
        <v>214</v>
      </c>
      <c r="L193" s="67">
        <v>3179727.75</v>
      </c>
    </row>
    <row r="194" spans="1:12" ht="51" hidden="1" x14ac:dyDescent="0.3">
      <c r="A194" s="61" t="s">
        <v>243</v>
      </c>
      <c r="B194" s="62" t="s">
        <v>544</v>
      </c>
      <c r="C194" s="62" t="s">
        <v>553</v>
      </c>
      <c r="D194" s="62" t="s">
        <v>471</v>
      </c>
      <c r="E194" s="63" t="s">
        <v>265</v>
      </c>
      <c r="F194" s="69" t="s">
        <v>213</v>
      </c>
      <c r="G194" s="69"/>
      <c r="H194" s="63" t="s">
        <v>265</v>
      </c>
      <c r="I194" s="71">
        <v>7510</v>
      </c>
      <c r="J194" s="71"/>
      <c r="K194" s="66" t="s">
        <v>214</v>
      </c>
      <c r="L194" s="67">
        <v>3172217.75</v>
      </c>
    </row>
    <row r="195" spans="1:12" ht="51" hidden="1" x14ac:dyDescent="0.3">
      <c r="A195" s="61" t="s">
        <v>243</v>
      </c>
      <c r="B195" s="62" t="s">
        <v>544</v>
      </c>
      <c r="C195" s="62" t="s">
        <v>554</v>
      </c>
      <c r="D195" s="62" t="s">
        <v>473</v>
      </c>
      <c r="E195" s="63" t="s">
        <v>265</v>
      </c>
      <c r="F195" s="69" t="s">
        <v>213</v>
      </c>
      <c r="G195" s="69"/>
      <c r="H195" s="63" t="s">
        <v>265</v>
      </c>
      <c r="I195" s="71">
        <v>60080</v>
      </c>
      <c r="J195" s="71"/>
      <c r="K195" s="66" t="s">
        <v>214</v>
      </c>
      <c r="L195" s="67">
        <v>3112137.75</v>
      </c>
    </row>
    <row r="196" spans="1:12" ht="51" hidden="1" x14ac:dyDescent="0.3">
      <c r="A196" s="61" t="s">
        <v>243</v>
      </c>
      <c r="B196" s="62" t="s">
        <v>544</v>
      </c>
      <c r="C196" s="62" t="s">
        <v>554</v>
      </c>
      <c r="D196" s="62" t="s">
        <v>473</v>
      </c>
      <c r="E196" s="63" t="s">
        <v>265</v>
      </c>
      <c r="F196" s="69" t="s">
        <v>213</v>
      </c>
      <c r="G196" s="69"/>
      <c r="H196" s="63" t="s">
        <v>265</v>
      </c>
      <c r="I196" s="71">
        <v>15020</v>
      </c>
      <c r="J196" s="71"/>
      <c r="K196" s="66" t="s">
        <v>214</v>
      </c>
      <c r="L196" s="67">
        <v>3097117.75</v>
      </c>
    </row>
    <row r="197" spans="1:12" ht="51" hidden="1" x14ac:dyDescent="0.3">
      <c r="A197" s="61" t="s">
        <v>243</v>
      </c>
      <c r="B197" s="62" t="s">
        <v>544</v>
      </c>
      <c r="C197" s="62" t="s">
        <v>555</v>
      </c>
      <c r="D197" s="62" t="s">
        <v>476</v>
      </c>
      <c r="E197" s="63" t="s">
        <v>265</v>
      </c>
      <c r="F197" s="69" t="s">
        <v>213</v>
      </c>
      <c r="G197" s="69"/>
      <c r="H197" s="63" t="s">
        <v>265</v>
      </c>
      <c r="I197" s="71">
        <v>22530</v>
      </c>
      <c r="J197" s="71"/>
      <c r="K197" s="66" t="s">
        <v>214</v>
      </c>
      <c r="L197" s="67">
        <v>3074587.75</v>
      </c>
    </row>
    <row r="198" spans="1:12" ht="51" hidden="1" x14ac:dyDescent="0.3">
      <c r="A198" s="61" t="s">
        <v>243</v>
      </c>
      <c r="B198" s="62" t="s">
        <v>544</v>
      </c>
      <c r="C198" s="62" t="s">
        <v>555</v>
      </c>
      <c r="D198" s="62" t="s">
        <v>476</v>
      </c>
      <c r="E198" s="63" t="s">
        <v>265</v>
      </c>
      <c r="F198" s="69" t="s">
        <v>213</v>
      </c>
      <c r="G198" s="69"/>
      <c r="H198" s="63" t="s">
        <v>265</v>
      </c>
      <c r="I198" s="71">
        <v>7510</v>
      </c>
      <c r="J198" s="71"/>
      <c r="K198" s="66" t="s">
        <v>214</v>
      </c>
      <c r="L198" s="67">
        <v>3067077.75</v>
      </c>
    </row>
    <row r="199" spans="1:12" ht="51" hidden="1" x14ac:dyDescent="0.3">
      <c r="A199" s="61" t="s">
        <v>243</v>
      </c>
      <c r="B199" s="62" t="s">
        <v>556</v>
      </c>
      <c r="C199" s="62" t="s">
        <v>557</v>
      </c>
      <c r="D199" s="62" t="s">
        <v>383</v>
      </c>
      <c r="E199" s="63" t="s">
        <v>265</v>
      </c>
      <c r="F199" s="69" t="s">
        <v>213</v>
      </c>
      <c r="G199" s="69"/>
      <c r="H199" s="63" t="s">
        <v>265</v>
      </c>
      <c r="I199" s="71">
        <v>41545.75</v>
      </c>
      <c r="J199" s="71"/>
      <c r="K199" s="66" t="s">
        <v>214</v>
      </c>
      <c r="L199" s="67">
        <v>3025532</v>
      </c>
    </row>
    <row r="200" spans="1:12" ht="51" hidden="1" x14ac:dyDescent="0.3">
      <c r="A200" s="61" t="s">
        <v>243</v>
      </c>
      <c r="B200" s="62" t="s">
        <v>556</v>
      </c>
      <c r="C200" s="62" t="s">
        <v>557</v>
      </c>
      <c r="D200" s="62" t="s">
        <v>383</v>
      </c>
      <c r="E200" s="63" t="s">
        <v>265</v>
      </c>
      <c r="F200" s="69" t="s">
        <v>213</v>
      </c>
      <c r="G200" s="69"/>
      <c r="H200" s="63" t="s">
        <v>265</v>
      </c>
      <c r="I200" s="71">
        <v>33236.6</v>
      </c>
      <c r="J200" s="71"/>
      <c r="K200" s="66" t="s">
        <v>214</v>
      </c>
      <c r="L200" s="67">
        <v>2992295.4</v>
      </c>
    </row>
    <row r="201" spans="1:12" ht="51" hidden="1" x14ac:dyDescent="0.3">
      <c r="A201" s="61" t="s">
        <v>243</v>
      </c>
      <c r="B201" s="62" t="s">
        <v>556</v>
      </c>
      <c r="C201" s="62" t="s">
        <v>558</v>
      </c>
      <c r="D201" s="62" t="s">
        <v>385</v>
      </c>
      <c r="E201" s="63" t="s">
        <v>265</v>
      </c>
      <c r="F201" s="69" t="s">
        <v>213</v>
      </c>
      <c r="G201" s="69"/>
      <c r="H201" s="63" t="s">
        <v>265</v>
      </c>
      <c r="I201" s="71">
        <v>41545.75</v>
      </c>
      <c r="J201" s="71"/>
      <c r="K201" s="66" t="s">
        <v>214</v>
      </c>
      <c r="L201" s="67">
        <v>2950749.65</v>
      </c>
    </row>
    <row r="202" spans="1:12" ht="51" hidden="1" x14ac:dyDescent="0.3">
      <c r="A202" s="61" t="s">
        <v>243</v>
      </c>
      <c r="B202" s="62" t="s">
        <v>556</v>
      </c>
      <c r="C202" s="62" t="s">
        <v>558</v>
      </c>
      <c r="D202" s="62" t="s">
        <v>385</v>
      </c>
      <c r="E202" s="63" t="s">
        <v>265</v>
      </c>
      <c r="F202" s="69" t="s">
        <v>213</v>
      </c>
      <c r="G202" s="69"/>
      <c r="H202" s="63" t="s">
        <v>265</v>
      </c>
      <c r="I202" s="71">
        <v>33236.6</v>
      </c>
      <c r="J202" s="71"/>
      <c r="K202" s="66" t="s">
        <v>214</v>
      </c>
      <c r="L202" s="67">
        <v>2917513.05</v>
      </c>
    </row>
    <row r="203" spans="1:12" ht="51" hidden="1" x14ac:dyDescent="0.3">
      <c r="A203" s="61" t="s">
        <v>243</v>
      </c>
      <c r="B203" s="62" t="s">
        <v>556</v>
      </c>
      <c r="C203" s="62" t="s">
        <v>559</v>
      </c>
      <c r="D203" s="62" t="s">
        <v>388</v>
      </c>
      <c r="E203" s="63" t="s">
        <v>265</v>
      </c>
      <c r="F203" s="69" t="s">
        <v>213</v>
      </c>
      <c r="G203" s="69"/>
      <c r="H203" s="63" t="s">
        <v>265</v>
      </c>
      <c r="I203" s="71">
        <v>41545.75</v>
      </c>
      <c r="J203" s="71"/>
      <c r="K203" s="66" t="s">
        <v>214</v>
      </c>
      <c r="L203" s="67">
        <v>2875967.3</v>
      </c>
    </row>
    <row r="204" spans="1:12" ht="51" hidden="1" x14ac:dyDescent="0.3">
      <c r="A204" s="61" t="s">
        <v>243</v>
      </c>
      <c r="B204" s="62" t="s">
        <v>556</v>
      </c>
      <c r="C204" s="62" t="s">
        <v>559</v>
      </c>
      <c r="D204" s="62" t="s">
        <v>388</v>
      </c>
      <c r="E204" s="63" t="s">
        <v>265</v>
      </c>
      <c r="F204" s="69" t="s">
        <v>213</v>
      </c>
      <c r="G204" s="69"/>
      <c r="H204" s="63" t="s">
        <v>265</v>
      </c>
      <c r="I204" s="71">
        <v>33236.6</v>
      </c>
      <c r="J204" s="71"/>
      <c r="K204" s="66" t="s">
        <v>214</v>
      </c>
      <c r="L204" s="67">
        <v>2842730.7</v>
      </c>
    </row>
    <row r="205" spans="1:12" ht="51" hidden="1" x14ac:dyDescent="0.3">
      <c r="A205" s="61" t="s">
        <v>243</v>
      </c>
      <c r="B205" s="62" t="s">
        <v>556</v>
      </c>
      <c r="C205" s="62" t="s">
        <v>560</v>
      </c>
      <c r="D205" s="62" t="s">
        <v>404</v>
      </c>
      <c r="E205" s="63" t="s">
        <v>265</v>
      </c>
      <c r="F205" s="69" t="s">
        <v>213</v>
      </c>
      <c r="G205" s="69"/>
      <c r="H205" s="63" t="s">
        <v>265</v>
      </c>
      <c r="I205" s="71">
        <v>41545.75</v>
      </c>
      <c r="J205" s="71"/>
      <c r="K205" s="66" t="s">
        <v>214</v>
      </c>
      <c r="L205" s="67">
        <v>2801184.95</v>
      </c>
    </row>
    <row r="206" spans="1:12" ht="51" hidden="1" x14ac:dyDescent="0.3">
      <c r="A206" s="61" t="s">
        <v>243</v>
      </c>
      <c r="B206" s="62" t="s">
        <v>556</v>
      </c>
      <c r="C206" s="62" t="s">
        <v>560</v>
      </c>
      <c r="D206" s="62" t="s">
        <v>404</v>
      </c>
      <c r="E206" s="63" t="s">
        <v>265</v>
      </c>
      <c r="F206" s="69" t="s">
        <v>213</v>
      </c>
      <c r="G206" s="69"/>
      <c r="H206" s="63" t="s">
        <v>265</v>
      </c>
      <c r="I206" s="71">
        <v>33236.6</v>
      </c>
      <c r="J206" s="71"/>
      <c r="K206" s="66" t="s">
        <v>214</v>
      </c>
      <c r="L206" s="67">
        <v>2767948.35</v>
      </c>
    </row>
    <row r="207" spans="1:12" ht="51" hidden="1" x14ac:dyDescent="0.3">
      <c r="A207" s="61" t="s">
        <v>243</v>
      </c>
      <c r="B207" s="62" t="s">
        <v>556</v>
      </c>
      <c r="C207" s="62" t="s">
        <v>561</v>
      </c>
      <c r="D207" s="62" t="s">
        <v>406</v>
      </c>
      <c r="E207" s="63" t="s">
        <v>265</v>
      </c>
      <c r="F207" s="69" t="s">
        <v>213</v>
      </c>
      <c r="G207" s="69"/>
      <c r="H207" s="63" t="s">
        <v>265</v>
      </c>
      <c r="I207" s="71">
        <v>41545.75</v>
      </c>
      <c r="J207" s="71"/>
      <c r="K207" s="66" t="s">
        <v>214</v>
      </c>
      <c r="L207" s="67">
        <v>2726402.6</v>
      </c>
    </row>
    <row r="208" spans="1:12" ht="51" hidden="1" x14ac:dyDescent="0.3">
      <c r="A208" s="61" t="s">
        <v>243</v>
      </c>
      <c r="B208" s="62" t="s">
        <v>556</v>
      </c>
      <c r="C208" s="62" t="s">
        <v>561</v>
      </c>
      <c r="D208" s="62" t="s">
        <v>406</v>
      </c>
      <c r="E208" s="63" t="s">
        <v>265</v>
      </c>
      <c r="F208" s="69" t="s">
        <v>213</v>
      </c>
      <c r="G208" s="69"/>
      <c r="H208" s="63" t="s">
        <v>265</v>
      </c>
      <c r="I208" s="71">
        <v>33236.6</v>
      </c>
      <c r="J208" s="71"/>
      <c r="K208" s="66" t="s">
        <v>214</v>
      </c>
      <c r="L208" s="67">
        <v>2693166</v>
      </c>
    </row>
    <row r="209" spans="1:12" ht="51" hidden="1" x14ac:dyDescent="0.3">
      <c r="A209" s="61" t="s">
        <v>243</v>
      </c>
      <c r="B209" s="62" t="s">
        <v>556</v>
      </c>
      <c r="C209" s="62" t="s">
        <v>562</v>
      </c>
      <c r="D209" s="62" t="s">
        <v>408</v>
      </c>
      <c r="E209" s="63" t="s">
        <v>265</v>
      </c>
      <c r="F209" s="69" t="s">
        <v>213</v>
      </c>
      <c r="G209" s="69"/>
      <c r="H209" s="63" t="s">
        <v>265</v>
      </c>
      <c r="I209" s="71">
        <v>41545.75</v>
      </c>
      <c r="J209" s="71"/>
      <c r="K209" s="66" t="s">
        <v>214</v>
      </c>
      <c r="L209" s="67">
        <v>2651620.25</v>
      </c>
    </row>
    <row r="210" spans="1:12" ht="51" hidden="1" x14ac:dyDescent="0.3">
      <c r="A210" s="61" t="s">
        <v>243</v>
      </c>
      <c r="B210" s="62" t="s">
        <v>556</v>
      </c>
      <c r="C210" s="62" t="s">
        <v>562</v>
      </c>
      <c r="D210" s="62" t="s">
        <v>408</v>
      </c>
      <c r="E210" s="63" t="s">
        <v>265</v>
      </c>
      <c r="F210" s="69" t="s">
        <v>213</v>
      </c>
      <c r="G210" s="69"/>
      <c r="H210" s="63" t="s">
        <v>265</v>
      </c>
      <c r="I210" s="71">
        <v>33236.6</v>
      </c>
      <c r="J210" s="71"/>
      <c r="K210" s="66" t="s">
        <v>214</v>
      </c>
      <c r="L210" s="67">
        <v>2618383.65</v>
      </c>
    </row>
    <row r="211" spans="1:12" ht="51" hidden="1" x14ac:dyDescent="0.3">
      <c r="A211" s="61" t="s">
        <v>243</v>
      </c>
      <c r="B211" s="62" t="s">
        <v>556</v>
      </c>
      <c r="C211" s="62" t="s">
        <v>563</v>
      </c>
      <c r="D211" s="62" t="s">
        <v>411</v>
      </c>
      <c r="E211" s="63" t="s">
        <v>265</v>
      </c>
      <c r="F211" s="69" t="s">
        <v>213</v>
      </c>
      <c r="G211" s="69"/>
      <c r="H211" s="63" t="s">
        <v>265</v>
      </c>
      <c r="I211" s="71">
        <v>41545.75</v>
      </c>
      <c r="J211" s="71"/>
      <c r="K211" s="66" t="s">
        <v>214</v>
      </c>
      <c r="L211" s="67">
        <v>2576837.9</v>
      </c>
    </row>
    <row r="212" spans="1:12" ht="51" hidden="1" x14ac:dyDescent="0.3">
      <c r="A212" s="61" t="s">
        <v>243</v>
      </c>
      <c r="B212" s="62" t="s">
        <v>556</v>
      </c>
      <c r="C212" s="62" t="s">
        <v>563</v>
      </c>
      <c r="D212" s="62" t="s">
        <v>411</v>
      </c>
      <c r="E212" s="63" t="s">
        <v>265</v>
      </c>
      <c r="F212" s="69" t="s">
        <v>213</v>
      </c>
      <c r="G212" s="69"/>
      <c r="H212" s="63" t="s">
        <v>265</v>
      </c>
      <c r="I212" s="71">
        <v>33236.6</v>
      </c>
      <c r="J212" s="71"/>
      <c r="K212" s="66" t="s">
        <v>214</v>
      </c>
      <c r="L212" s="67">
        <v>2543601.2999999998</v>
      </c>
    </row>
    <row r="213" spans="1:12" ht="51" hidden="1" x14ac:dyDescent="0.3">
      <c r="A213" s="61" t="s">
        <v>243</v>
      </c>
      <c r="B213" s="62" t="s">
        <v>556</v>
      </c>
      <c r="C213" s="62" t="s">
        <v>564</v>
      </c>
      <c r="D213" s="62" t="s">
        <v>419</v>
      </c>
      <c r="E213" s="63" t="s">
        <v>265</v>
      </c>
      <c r="F213" s="69" t="s">
        <v>213</v>
      </c>
      <c r="G213" s="69"/>
      <c r="H213" s="63" t="s">
        <v>265</v>
      </c>
      <c r="I213" s="71">
        <v>33236.6</v>
      </c>
      <c r="J213" s="71"/>
      <c r="K213" s="66" t="s">
        <v>214</v>
      </c>
      <c r="L213" s="67">
        <v>2510364.7000000002</v>
      </c>
    </row>
    <row r="214" spans="1:12" ht="51" hidden="1" x14ac:dyDescent="0.3">
      <c r="A214" s="61" t="s">
        <v>243</v>
      </c>
      <c r="B214" s="62" t="s">
        <v>556</v>
      </c>
      <c r="C214" s="62" t="s">
        <v>565</v>
      </c>
      <c r="D214" s="62" t="s">
        <v>421</v>
      </c>
      <c r="E214" s="63" t="s">
        <v>265</v>
      </c>
      <c r="F214" s="69" t="s">
        <v>213</v>
      </c>
      <c r="G214" s="69"/>
      <c r="H214" s="63" t="s">
        <v>265</v>
      </c>
      <c r="I214" s="71">
        <v>8309.15</v>
      </c>
      <c r="J214" s="71"/>
      <c r="K214" s="66" t="s">
        <v>214</v>
      </c>
      <c r="L214" s="67">
        <v>2502055.5499999998</v>
      </c>
    </row>
    <row r="215" spans="1:12" ht="51" hidden="1" x14ac:dyDescent="0.3">
      <c r="A215" s="61" t="s">
        <v>243</v>
      </c>
      <c r="B215" s="62" t="s">
        <v>556</v>
      </c>
      <c r="C215" s="62" t="s">
        <v>565</v>
      </c>
      <c r="D215" s="62" t="s">
        <v>421</v>
      </c>
      <c r="E215" s="63" t="s">
        <v>265</v>
      </c>
      <c r="F215" s="69" t="s">
        <v>213</v>
      </c>
      <c r="G215" s="69"/>
      <c r="H215" s="63" t="s">
        <v>265</v>
      </c>
      <c r="I215" s="71">
        <v>66473.2</v>
      </c>
      <c r="J215" s="71"/>
      <c r="K215" s="66" t="s">
        <v>214</v>
      </c>
      <c r="L215" s="67">
        <v>2435582.35</v>
      </c>
    </row>
    <row r="216" spans="1:12" ht="51" hidden="1" x14ac:dyDescent="0.3">
      <c r="A216" s="61" t="s">
        <v>243</v>
      </c>
      <c r="B216" s="62" t="s">
        <v>556</v>
      </c>
      <c r="C216" s="62" t="s">
        <v>566</v>
      </c>
      <c r="D216" s="62" t="s">
        <v>413</v>
      </c>
      <c r="E216" s="63" t="s">
        <v>265</v>
      </c>
      <c r="F216" s="69" t="s">
        <v>213</v>
      </c>
      <c r="G216" s="69"/>
      <c r="H216" s="63" t="s">
        <v>265</v>
      </c>
      <c r="I216" s="71">
        <v>72540</v>
      </c>
      <c r="J216" s="71"/>
      <c r="K216" s="66" t="s">
        <v>214</v>
      </c>
      <c r="L216" s="67">
        <v>2363042.35</v>
      </c>
    </row>
    <row r="217" spans="1:12" ht="51" hidden="1" x14ac:dyDescent="0.3">
      <c r="A217" s="61" t="s">
        <v>243</v>
      </c>
      <c r="B217" s="62" t="s">
        <v>556</v>
      </c>
      <c r="C217" s="62" t="s">
        <v>567</v>
      </c>
      <c r="D217" s="62" t="s">
        <v>415</v>
      </c>
      <c r="E217" s="63" t="s">
        <v>265</v>
      </c>
      <c r="F217" s="69" t="s">
        <v>213</v>
      </c>
      <c r="G217" s="69"/>
      <c r="H217" s="63" t="s">
        <v>265</v>
      </c>
      <c r="I217" s="71">
        <v>72540</v>
      </c>
      <c r="J217" s="71"/>
      <c r="K217" s="66" t="s">
        <v>214</v>
      </c>
      <c r="L217" s="67">
        <v>2290502.35</v>
      </c>
    </row>
    <row r="218" spans="1:12" ht="51" hidden="1" x14ac:dyDescent="0.3">
      <c r="A218" s="61" t="s">
        <v>243</v>
      </c>
      <c r="B218" s="62" t="s">
        <v>556</v>
      </c>
      <c r="C218" s="62" t="s">
        <v>568</v>
      </c>
      <c r="D218" s="62" t="s">
        <v>418</v>
      </c>
      <c r="E218" s="63" t="s">
        <v>265</v>
      </c>
      <c r="F218" s="69" t="s">
        <v>213</v>
      </c>
      <c r="G218" s="69"/>
      <c r="H218" s="63" t="s">
        <v>265</v>
      </c>
      <c r="I218" s="71">
        <v>45337.5</v>
      </c>
      <c r="J218" s="71"/>
      <c r="K218" s="66" t="s">
        <v>214</v>
      </c>
      <c r="L218" s="67">
        <v>2245164.85</v>
      </c>
    </row>
    <row r="219" spans="1:12" ht="51" hidden="1" x14ac:dyDescent="0.3">
      <c r="A219" s="61" t="s">
        <v>243</v>
      </c>
      <c r="B219" s="62" t="s">
        <v>556</v>
      </c>
      <c r="C219" s="62" t="s">
        <v>569</v>
      </c>
      <c r="D219" s="62" t="s">
        <v>424</v>
      </c>
      <c r="E219" s="63" t="s">
        <v>265</v>
      </c>
      <c r="F219" s="69" t="s">
        <v>213</v>
      </c>
      <c r="G219" s="69"/>
      <c r="H219" s="63" t="s">
        <v>265</v>
      </c>
      <c r="I219" s="71">
        <v>27202.5</v>
      </c>
      <c r="J219" s="71"/>
      <c r="K219" s="66" t="s">
        <v>214</v>
      </c>
      <c r="L219" s="67">
        <v>2217962.35</v>
      </c>
    </row>
    <row r="220" spans="1:12" ht="51" hidden="1" x14ac:dyDescent="0.3">
      <c r="A220" s="61" t="s">
        <v>243</v>
      </c>
      <c r="B220" s="62" t="s">
        <v>556</v>
      </c>
      <c r="C220" s="62" t="s">
        <v>569</v>
      </c>
      <c r="D220" s="62" t="s">
        <v>424</v>
      </c>
      <c r="E220" s="63" t="s">
        <v>265</v>
      </c>
      <c r="F220" s="69" t="s">
        <v>213</v>
      </c>
      <c r="G220" s="69"/>
      <c r="H220" s="63" t="s">
        <v>265</v>
      </c>
      <c r="I220" s="71">
        <v>45337.5</v>
      </c>
      <c r="J220" s="71"/>
      <c r="K220" s="66" t="s">
        <v>214</v>
      </c>
      <c r="L220" s="67">
        <v>2172624.85</v>
      </c>
    </row>
    <row r="221" spans="1:12" ht="51" hidden="1" x14ac:dyDescent="0.3">
      <c r="A221" s="61" t="s">
        <v>243</v>
      </c>
      <c r="B221" s="62" t="s">
        <v>556</v>
      </c>
      <c r="C221" s="62" t="s">
        <v>570</v>
      </c>
      <c r="D221" s="62" t="s">
        <v>426</v>
      </c>
      <c r="E221" s="63" t="s">
        <v>265</v>
      </c>
      <c r="F221" s="69" t="s">
        <v>213</v>
      </c>
      <c r="G221" s="69"/>
      <c r="H221" s="63" t="s">
        <v>265</v>
      </c>
      <c r="I221" s="71">
        <v>27202.5</v>
      </c>
      <c r="J221" s="71"/>
      <c r="K221" s="66" t="s">
        <v>214</v>
      </c>
      <c r="L221" s="67">
        <v>2145422.35</v>
      </c>
    </row>
    <row r="222" spans="1:12" ht="51" hidden="1" x14ac:dyDescent="0.3">
      <c r="A222" s="61" t="s">
        <v>243</v>
      </c>
      <c r="B222" s="62" t="s">
        <v>556</v>
      </c>
      <c r="C222" s="62" t="s">
        <v>570</v>
      </c>
      <c r="D222" s="62" t="s">
        <v>426</v>
      </c>
      <c r="E222" s="63" t="s">
        <v>265</v>
      </c>
      <c r="F222" s="69" t="s">
        <v>213</v>
      </c>
      <c r="G222" s="69"/>
      <c r="H222" s="63" t="s">
        <v>265</v>
      </c>
      <c r="I222" s="71">
        <v>45337.5</v>
      </c>
      <c r="J222" s="71"/>
      <c r="K222" s="66" t="s">
        <v>214</v>
      </c>
      <c r="L222" s="67">
        <v>2100084.85</v>
      </c>
    </row>
    <row r="223" spans="1:12" ht="51" hidden="1" x14ac:dyDescent="0.3">
      <c r="A223" s="61" t="s">
        <v>243</v>
      </c>
      <c r="B223" s="62" t="s">
        <v>556</v>
      </c>
      <c r="C223" s="62" t="s">
        <v>571</v>
      </c>
      <c r="D223" s="62" t="s">
        <v>428</v>
      </c>
      <c r="E223" s="63" t="s">
        <v>265</v>
      </c>
      <c r="F223" s="69" t="s">
        <v>213</v>
      </c>
      <c r="G223" s="69"/>
      <c r="H223" s="63" t="s">
        <v>265</v>
      </c>
      <c r="I223" s="71">
        <v>27202.5</v>
      </c>
      <c r="J223" s="71"/>
      <c r="K223" s="66" t="s">
        <v>214</v>
      </c>
      <c r="L223" s="67">
        <v>2072882.35</v>
      </c>
    </row>
    <row r="224" spans="1:12" ht="51" hidden="1" x14ac:dyDescent="0.3">
      <c r="A224" s="61" t="s">
        <v>243</v>
      </c>
      <c r="B224" s="62" t="s">
        <v>556</v>
      </c>
      <c r="C224" s="62" t="s">
        <v>571</v>
      </c>
      <c r="D224" s="62" t="s">
        <v>428</v>
      </c>
      <c r="E224" s="63" t="s">
        <v>265</v>
      </c>
      <c r="F224" s="69" t="s">
        <v>213</v>
      </c>
      <c r="G224" s="69"/>
      <c r="H224" s="63" t="s">
        <v>265</v>
      </c>
      <c r="I224" s="71">
        <v>27202.5</v>
      </c>
      <c r="J224" s="71"/>
      <c r="K224" s="66" t="s">
        <v>214</v>
      </c>
      <c r="L224" s="67">
        <v>2045679.85</v>
      </c>
    </row>
    <row r="225" spans="1:12" ht="51" hidden="1" x14ac:dyDescent="0.3">
      <c r="A225" s="61" t="s">
        <v>243</v>
      </c>
      <c r="B225" s="62" t="s">
        <v>556</v>
      </c>
      <c r="C225" s="62" t="s">
        <v>571</v>
      </c>
      <c r="D225" s="62" t="s">
        <v>428</v>
      </c>
      <c r="E225" s="63" t="s">
        <v>265</v>
      </c>
      <c r="F225" s="69" t="s">
        <v>213</v>
      </c>
      <c r="G225" s="69"/>
      <c r="H225" s="63" t="s">
        <v>265</v>
      </c>
      <c r="I225" s="71">
        <v>18135</v>
      </c>
      <c r="J225" s="71"/>
      <c r="K225" s="66" t="s">
        <v>214</v>
      </c>
      <c r="L225" s="67">
        <v>2027544.85</v>
      </c>
    </row>
    <row r="226" spans="1:12" ht="51" hidden="1" x14ac:dyDescent="0.3">
      <c r="A226" s="61" t="s">
        <v>243</v>
      </c>
      <c r="B226" s="62" t="s">
        <v>556</v>
      </c>
      <c r="C226" s="62" t="s">
        <v>572</v>
      </c>
      <c r="D226" s="62" t="s">
        <v>430</v>
      </c>
      <c r="E226" s="63" t="s">
        <v>265</v>
      </c>
      <c r="F226" s="69" t="s">
        <v>213</v>
      </c>
      <c r="G226" s="69"/>
      <c r="H226" s="63" t="s">
        <v>265</v>
      </c>
      <c r="I226" s="71">
        <v>54405</v>
      </c>
      <c r="J226" s="71"/>
      <c r="K226" s="66" t="s">
        <v>214</v>
      </c>
      <c r="L226" s="67">
        <v>1973139.85</v>
      </c>
    </row>
    <row r="227" spans="1:12" ht="51" hidden="1" x14ac:dyDescent="0.3">
      <c r="A227" s="61" t="s">
        <v>243</v>
      </c>
      <c r="B227" s="62" t="s">
        <v>556</v>
      </c>
      <c r="C227" s="62" t="s">
        <v>572</v>
      </c>
      <c r="D227" s="62" t="s">
        <v>430</v>
      </c>
      <c r="E227" s="63" t="s">
        <v>265</v>
      </c>
      <c r="F227" s="69" t="s">
        <v>213</v>
      </c>
      <c r="G227" s="69"/>
      <c r="H227" s="63" t="s">
        <v>265</v>
      </c>
      <c r="I227" s="71">
        <v>18135</v>
      </c>
      <c r="J227" s="71"/>
      <c r="K227" s="66" t="s">
        <v>214</v>
      </c>
      <c r="L227" s="67">
        <v>1955004.85</v>
      </c>
    </row>
    <row r="228" spans="1:12" ht="51" hidden="1" x14ac:dyDescent="0.3">
      <c r="A228" s="61" t="s">
        <v>243</v>
      </c>
      <c r="B228" s="62" t="s">
        <v>556</v>
      </c>
      <c r="C228" s="62" t="s">
        <v>573</v>
      </c>
      <c r="D228" s="62" t="s">
        <v>432</v>
      </c>
      <c r="E228" s="63" t="s">
        <v>265</v>
      </c>
      <c r="F228" s="69" t="s">
        <v>213</v>
      </c>
      <c r="G228" s="69"/>
      <c r="H228" s="63" t="s">
        <v>265</v>
      </c>
      <c r="I228" s="71">
        <v>54405</v>
      </c>
      <c r="J228" s="71"/>
      <c r="K228" s="66" t="s">
        <v>214</v>
      </c>
      <c r="L228" s="67">
        <v>1900599.85</v>
      </c>
    </row>
    <row r="229" spans="1:12" ht="51" hidden="1" x14ac:dyDescent="0.3">
      <c r="A229" s="61" t="s">
        <v>243</v>
      </c>
      <c r="B229" s="62" t="s">
        <v>556</v>
      </c>
      <c r="C229" s="62" t="s">
        <v>573</v>
      </c>
      <c r="D229" s="62" t="s">
        <v>432</v>
      </c>
      <c r="E229" s="63" t="s">
        <v>265</v>
      </c>
      <c r="F229" s="69" t="s">
        <v>213</v>
      </c>
      <c r="G229" s="69"/>
      <c r="H229" s="63" t="s">
        <v>265</v>
      </c>
      <c r="I229" s="71">
        <v>18135</v>
      </c>
      <c r="J229" s="71"/>
      <c r="K229" s="66" t="s">
        <v>214</v>
      </c>
      <c r="L229" s="67">
        <v>1882464.85</v>
      </c>
    </row>
    <row r="230" spans="1:12" ht="51" hidden="1" x14ac:dyDescent="0.3">
      <c r="A230" s="61" t="s">
        <v>243</v>
      </c>
      <c r="B230" s="62" t="s">
        <v>556</v>
      </c>
      <c r="C230" s="62" t="s">
        <v>574</v>
      </c>
      <c r="D230" s="62" t="s">
        <v>434</v>
      </c>
      <c r="E230" s="63" t="s">
        <v>265</v>
      </c>
      <c r="F230" s="69" t="s">
        <v>213</v>
      </c>
      <c r="G230" s="69"/>
      <c r="H230" s="63" t="s">
        <v>265</v>
      </c>
      <c r="I230" s="71">
        <v>54405</v>
      </c>
      <c r="J230" s="71"/>
      <c r="K230" s="66" t="s">
        <v>214</v>
      </c>
      <c r="L230" s="67">
        <v>1828059.85</v>
      </c>
    </row>
    <row r="231" spans="1:12" ht="51" hidden="1" x14ac:dyDescent="0.3">
      <c r="A231" s="61" t="s">
        <v>243</v>
      </c>
      <c r="B231" s="62" t="s">
        <v>556</v>
      </c>
      <c r="C231" s="62" t="s">
        <v>574</v>
      </c>
      <c r="D231" s="62" t="s">
        <v>434</v>
      </c>
      <c r="E231" s="63" t="s">
        <v>265</v>
      </c>
      <c r="F231" s="69" t="s">
        <v>213</v>
      </c>
      <c r="G231" s="69"/>
      <c r="H231" s="63" t="s">
        <v>265</v>
      </c>
      <c r="I231" s="71">
        <v>18135</v>
      </c>
      <c r="J231" s="71"/>
      <c r="K231" s="66" t="s">
        <v>214</v>
      </c>
      <c r="L231" s="67">
        <v>1809924.85</v>
      </c>
    </row>
    <row r="232" spans="1:12" ht="51" hidden="1" x14ac:dyDescent="0.3">
      <c r="A232" s="61" t="s">
        <v>243</v>
      </c>
      <c r="B232" s="62" t="s">
        <v>556</v>
      </c>
      <c r="C232" s="62" t="s">
        <v>575</v>
      </c>
      <c r="D232" s="62" t="s">
        <v>437</v>
      </c>
      <c r="E232" s="63" t="s">
        <v>265</v>
      </c>
      <c r="F232" s="69" t="s">
        <v>213</v>
      </c>
      <c r="G232" s="69"/>
      <c r="H232" s="63" t="s">
        <v>265</v>
      </c>
      <c r="I232" s="71">
        <v>54405</v>
      </c>
      <c r="J232" s="71"/>
      <c r="K232" s="66" t="s">
        <v>214</v>
      </c>
      <c r="L232" s="67">
        <v>1755519.85</v>
      </c>
    </row>
    <row r="233" spans="1:12" ht="51" hidden="1" x14ac:dyDescent="0.3">
      <c r="A233" s="61" t="s">
        <v>243</v>
      </c>
      <c r="B233" s="62" t="s">
        <v>556</v>
      </c>
      <c r="C233" s="62" t="s">
        <v>575</v>
      </c>
      <c r="D233" s="62" t="s">
        <v>437</v>
      </c>
      <c r="E233" s="63" t="s">
        <v>265</v>
      </c>
      <c r="F233" s="69" t="s">
        <v>213</v>
      </c>
      <c r="G233" s="69"/>
      <c r="H233" s="63" t="s">
        <v>265</v>
      </c>
      <c r="I233" s="71">
        <v>18135</v>
      </c>
      <c r="J233" s="71"/>
      <c r="K233" s="66" t="s">
        <v>214</v>
      </c>
      <c r="L233" s="67">
        <v>1737384.85</v>
      </c>
    </row>
    <row r="234" spans="1:12" ht="51" hidden="1" x14ac:dyDescent="0.3">
      <c r="A234" s="61" t="s">
        <v>243</v>
      </c>
      <c r="B234" s="62" t="s">
        <v>556</v>
      </c>
      <c r="C234" s="62" t="s">
        <v>576</v>
      </c>
      <c r="D234" s="62" t="s">
        <v>439</v>
      </c>
      <c r="E234" s="63" t="s">
        <v>265</v>
      </c>
      <c r="F234" s="69" t="s">
        <v>213</v>
      </c>
      <c r="G234" s="69"/>
      <c r="H234" s="63" t="s">
        <v>265</v>
      </c>
      <c r="I234" s="71">
        <v>54405</v>
      </c>
      <c r="J234" s="71"/>
      <c r="K234" s="66" t="s">
        <v>214</v>
      </c>
      <c r="L234" s="67">
        <v>1682979.85</v>
      </c>
    </row>
    <row r="235" spans="1:12" ht="51" hidden="1" x14ac:dyDescent="0.3">
      <c r="A235" s="61" t="s">
        <v>243</v>
      </c>
      <c r="B235" s="62" t="s">
        <v>556</v>
      </c>
      <c r="C235" s="62" t="s">
        <v>576</v>
      </c>
      <c r="D235" s="62" t="s">
        <v>439</v>
      </c>
      <c r="E235" s="63" t="s">
        <v>265</v>
      </c>
      <c r="F235" s="69" t="s">
        <v>213</v>
      </c>
      <c r="G235" s="69"/>
      <c r="H235" s="63" t="s">
        <v>265</v>
      </c>
      <c r="I235" s="71">
        <v>18135</v>
      </c>
      <c r="J235" s="71"/>
      <c r="K235" s="66" t="s">
        <v>214</v>
      </c>
      <c r="L235" s="67">
        <v>1664844.85</v>
      </c>
    </row>
    <row r="236" spans="1:12" ht="51" hidden="1" x14ac:dyDescent="0.3">
      <c r="A236" s="61" t="s">
        <v>243</v>
      </c>
      <c r="B236" s="62" t="s">
        <v>556</v>
      </c>
      <c r="C236" s="62" t="s">
        <v>577</v>
      </c>
      <c r="D236" s="62" t="s">
        <v>441</v>
      </c>
      <c r="E236" s="63" t="s">
        <v>265</v>
      </c>
      <c r="F236" s="69" t="s">
        <v>213</v>
      </c>
      <c r="G236" s="69"/>
      <c r="H236" s="63" t="s">
        <v>265</v>
      </c>
      <c r="I236" s="71">
        <v>36270</v>
      </c>
      <c r="J236" s="71"/>
      <c r="K236" s="66" t="s">
        <v>214</v>
      </c>
      <c r="L236" s="67">
        <v>1628574.85</v>
      </c>
    </row>
    <row r="237" spans="1:12" ht="51" hidden="1" x14ac:dyDescent="0.3">
      <c r="A237" s="61" t="s">
        <v>243</v>
      </c>
      <c r="B237" s="62" t="s">
        <v>556</v>
      </c>
      <c r="C237" s="62" t="s">
        <v>577</v>
      </c>
      <c r="D237" s="62" t="s">
        <v>441</v>
      </c>
      <c r="E237" s="63" t="s">
        <v>265</v>
      </c>
      <c r="F237" s="69" t="s">
        <v>213</v>
      </c>
      <c r="G237" s="69"/>
      <c r="H237" s="63" t="s">
        <v>265</v>
      </c>
      <c r="I237" s="71">
        <v>18135</v>
      </c>
      <c r="J237" s="71"/>
      <c r="K237" s="66" t="s">
        <v>214</v>
      </c>
      <c r="L237" s="67">
        <v>1610439.85</v>
      </c>
    </row>
    <row r="238" spans="1:12" ht="51" hidden="1" x14ac:dyDescent="0.3">
      <c r="A238" s="61" t="s">
        <v>243</v>
      </c>
      <c r="B238" s="62" t="s">
        <v>556</v>
      </c>
      <c r="C238" s="62" t="s">
        <v>577</v>
      </c>
      <c r="D238" s="62" t="s">
        <v>441</v>
      </c>
      <c r="E238" s="63" t="s">
        <v>265</v>
      </c>
      <c r="F238" s="69" t="s">
        <v>213</v>
      </c>
      <c r="G238" s="69"/>
      <c r="H238" s="63" t="s">
        <v>265</v>
      </c>
      <c r="I238" s="71">
        <v>18135</v>
      </c>
      <c r="J238" s="71"/>
      <c r="K238" s="66" t="s">
        <v>214</v>
      </c>
      <c r="L238" s="67">
        <v>1592304.85</v>
      </c>
    </row>
    <row r="239" spans="1:12" ht="51" hidden="1" x14ac:dyDescent="0.3">
      <c r="A239" s="61" t="s">
        <v>243</v>
      </c>
      <c r="B239" s="62" t="s">
        <v>556</v>
      </c>
      <c r="C239" s="62" t="s">
        <v>578</v>
      </c>
      <c r="D239" s="62" t="s">
        <v>443</v>
      </c>
      <c r="E239" s="63" t="s">
        <v>265</v>
      </c>
      <c r="F239" s="69" t="s">
        <v>213</v>
      </c>
      <c r="G239" s="69"/>
      <c r="H239" s="63" t="s">
        <v>265</v>
      </c>
      <c r="I239" s="71">
        <v>27202.5</v>
      </c>
      <c r="J239" s="71"/>
      <c r="K239" s="66" t="s">
        <v>214</v>
      </c>
      <c r="L239" s="67">
        <v>1565102.35</v>
      </c>
    </row>
    <row r="240" spans="1:12" ht="51" hidden="1" x14ac:dyDescent="0.3">
      <c r="A240" s="61" t="s">
        <v>243</v>
      </c>
      <c r="B240" s="62" t="s">
        <v>556</v>
      </c>
      <c r="C240" s="62" t="s">
        <v>578</v>
      </c>
      <c r="D240" s="62" t="s">
        <v>443</v>
      </c>
      <c r="E240" s="63" t="s">
        <v>265</v>
      </c>
      <c r="F240" s="69" t="s">
        <v>213</v>
      </c>
      <c r="G240" s="69"/>
      <c r="H240" s="63" t="s">
        <v>265</v>
      </c>
      <c r="I240" s="71">
        <v>45337.5</v>
      </c>
      <c r="J240" s="71"/>
      <c r="K240" s="66" t="s">
        <v>214</v>
      </c>
      <c r="L240" s="67">
        <v>1519764.85</v>
      </c>
    </row>
    <row r="241" spans="1:12" ht="51" hidden="1" x14ac:dyDescent="0.3">
      <c r="A241" s="61" t="s">
        <v>243</v>
      </c>
      <c r="B241" s="62" t="s">
        <v>556</v>
      </c>
      <c r="C241" s="62" t="s">
        <v>579</v>
      </c>
      <c r="D241" s="62" t="s">
        <v>445</v>
      </c>
      <c r="E241" s="63" t="s">
        <v>265</v>
      </c>
      <c r="F241" s="69" t="s">
        <v>213</v>
      </c>
      <c r="G241" s="69"/>
      <c r="H241" s="63" t="s">
        <v>265</v>
      </c>
      <c r="I241" s="71">
        <v>27202.5</v>
      </c>
      <c r="J241" s="71"/>
      <c r="K241" s="66" t="s">
        <v>214</v>
      </c>
      <c r="L241" s="67">
        <v>1492562.35</v>
      </c>
    </row>
    <row r="242" spans="1:12" ht="51" hidden="1" x14ac:dyDescent="0.3">
      <c r="A242" s="61" t="s">
        <v>243</v>
      </c>
      <c r="B242" s="62" t="s">
        <v>556</v>
      </c>
      <c r="C242" s="62" t="s">
        <v>579</v>
      </c>
      <c r="D242" s="62" t="s">
        <v>445</v>
      </c>
      <c r="E242" s="63" t="s">
        <v>265</v>
      </c>
      <c r="F242" s="69" t="s">
        <v>213</v>
      </c>
      <c r="G242" s="69"/>
      <c r="H242" s="63" t="s">
        <v>265</v>
      </c>
      <c r="I242" s="71">
        <v>45337.5</v>
      </c>
      <c r="J242" s="71"/>
      <c r="K242" s="66" t="s">
        <v>214</v>
      </c>
      <c r="L242" s="67">
        <v>1447224.85</v>
      </c>
    </row>
    <row r="243" spans="1:12" ht="51" hidden="1" x14ac:dyDescent="0.3">
      <c r="A243" s="61" t="s">
        <v>243</v>
      </c>
      <c r="B243" s="62" t="s">
        <v>556</v>
      </c>
      <c r="C243" s="62" t="s">
        <v>580</v>
      </c>
      <c r="D243" s="62" t="s">
        <v>452</v>
      </c>
      <c r="E243" s="63" t="s">
        <v>265</v>
      </c>
      <c r="F243" s="69" t="s">
        <v>213</v>
      </c>
      <c r="G243" s="69"/>
      <c r="H243" s="63" t="s">
        <v>265</v>
      </c>
      <c r="I243" s="71">
        <v>27202.5</v>
      </c>
      <c r="J243" s="71"/>
      <c r="K243" s="66" t="s">
        <v>214</v>
      </c>
      <c r="L243" s="67">
        <v>1420022.35</v>
      </c>
    </row>
    <row r="244" spans="1:12" ht="51" hidden="1" x14ac:dyDescent="0.3">
      <c r="A244" s="61" t="s">
        <v>243</v>
      </c>
      <c r="B244" s="62" t="s">
        <v>556</v>
      </c>
      <c r="C244" s="62" t="s">
        <v>581</v>
      </c>
      <c r="D244" s="62" t="s">
        <v>454</v>
      </c>
      <c r="E244" s="63" t="s">
        <v>265</v>
      </c>
      <c r="F244" s="69" t="s">
        <v>213</v>
      </c>
      <c r="G244" s="69"/>
      <c r="H244" s="63" t="s">
        <v>265</v>
      </c>
      <c r="I244" s="71">
        <v>72540</v>
      </c>
      <c r="J244" s="71"/>
      <c r="K244" s="66" t="s">
        <v>214</v>
      </c>
      <c r="L244" s="67">
        <v>1347482.35</v>
      </c>
    </row>
    <row r="245" spans="1:12" ht="51" hidden="1" x14ac:dyDescent="0.3">
      <c r="A245" s="61" t="s">
        <v>243</v>
      </c>
      <c r="B245" s="62" t="s">
        <v>556</v>
      </c>
      <c r="C245" s="62" t="s">
        <v>582</v>
      </c>
      <c r="D245" s="62" t="s">
        <v>464</v>
      </c>
      <c r="E245" s="63" t="s">
        <v>265</v>
      </c>
      <c r="F245" s="69" t="s">
        <v>213</v>
      </c>
      <c r="G245" s="69"/>
      <c r="H245" s="63" t="s">
        <v>265</v>
      </c>
      <c r="I245" s="71">
        <v>27202.5</v>
      </c>
      <c r="J245" s="71"/>
      <c r="K245" s="66" t="s">
        <v>214</v>
      </c>
      <c r="L245" s="67">
        <v>1320279.8500000001</v>
      </c>
    </row>
    <row r="246" spans="1:12" ht="51" hidden="1" x14ac:dyDescent="0.3">
      <c r="A246" s="61" t="s">
        <v>243</v>
      </c>
      <c r="B246" s="62" t="s">
        <v>556</v>
      </c>
      <c r="C246" s="62" t="s">
        <v>555</v>
      </c>
      <c r="D246" s="62" t="s">
        <v>476</v>
      </c>
      <c r="E246" s="63" t="s">
        <v>265</v>
      </c>
      <c r="F246" s="69" t="s">
        <v>213</v>
      </c>
      <c r="G246" s="69"/>
      <c r="H246" s="63" t="s">
        <v>265</v>
      </c>
      <c r="I246" s="71">
        <v>45060</v>
      </c>
      <c r="J246" s="71"/>
      <c r="K246" s="66" t="s">
        <v>214</v>
      </c>
      <c r="L246" s="67">
        <v>1275219.8500000001</v>
      </c>
    </row>
    <row r="247" spans="1:12" ht="51" hidden="1" x14ac:dyDescent="0.3">
      <c r="A247" s="61" t="s">
        <v>243</v>
      </c>
      <c r="B247" s="62" t="s">
        <v>556</v>
      </c>
      <c r="C247" s="62" t="s">
        <v>583</v>
      </c>
      <c r="D247" s="62" t="s">
        <v>478</v>
      </c>
      <c r="E247" s="63" t="s">
        <v>265</v>
      </c>
      <c r="F247" s="69" t="s">
        <v>213</v>
      </c>
      <c r="G247" s="69"/>
      <c r="H247" s="63" t="s">
        <v>265</v>
      </c>
      <c r="I247" s="71">
        <v>30040</v>
      </c>
      <c r="J247" s="71"/>
      <c r="K247" s="66" t="s">
        <v>214</v>
      </c>
      <c r="L247" s="67">
        <v>1245179.8500000001</v>
      </c>
    </row>
    <row r="248" spans="1:12" ht="51" hidden="1" x14ac:dyDescent="0.3">
      <c r="A248" s="61" t="s">
        <v>243</v>
      </c>
      <c r="B248" s="62" t="s">
        <v>556</v>
      </c>
      <c r="C248" s="62" t="s">
        <v>583</v>
      </c>
      <c r="D248" s="62" t="s">
        <v>478</v>
      </c>
      <c r="E248" s="63" t="s">
        <v>265</v>
      </c>
      <c r="F248" s="69" t="s">
        <v>213</v>
      </c>
      <c r="G248" s="69"/>
      <c r="H248" s="63" t="s">
        <v>265</v>
      </c>
      <c r="I248" s="71">
        <v>37550</v>
      </c>
      <c r="J248" s="71"/>
      <c r="K248" s="66" t="s">
        <v>214</v>
      </c>
      <c r="L248" s="67">
        <v>1207629.8500000001</v>
      </c>
    </row>
    <row r="249" spans="1:12" ht="51" hidden="1" x14ac:dyDescent="0.3">
      <c r="A249" s="61" t="s">
        <v>243</v>
      </c>
      <c r="B249" s="62" t="s">
        <v>556</v>
      </c>
      <c r="C249" s="62" t="s">
        <v>584</v>
      </c>
      <c r="D249" s="62" t="s">
        <v>480</v>
      </c>
      <c r="E249" s="63" t="s">
        <v>265</v>
      </c>
      <c r="F249" s="69" t="s">
        <v>213</v>
      </c>
      <c r="G249" s="69"/>
      <c r="H249" s="63" t="s">
        <v>265</v>
      </c>
      <c r="I249" s="71">
        <v>7510</v>
      </c>
      <c r="J249" s="71"/>
      <c r="K249" s="66" t="s">
        <v>214</v>
      </c>
      <c r="L249" s="67">
        <v>1200119.8500000001</v>
      </c>
    </row>
    <row r="250" spans="1:12" ht="51" hidden="1" x14ac:dyDescent="0.3">
      <c r="A250" s="61" t="s">
        <v>243</v>
      </c>
      <c r="B250" s="62" t="s">
        <v>556</v>
      </c>
      <c r="C250" s="62" t="s">
        <v>585</v>
      </c>
      <c r="D250" s="62" t="s">
        <v>482</v>
      </c>
      <c r="E250" s="63" t="s">
        <v>265</v>
      </c>
      <c r="F250" s="69" t="s">
        <v>213</v>
      </c>
      <c r="G250" s="69"/>
      <c r="H250" s="63" t="s">
        <v>265</v>
      </c>
      <c r="I250" s="71">
        <v>75100</v>
      </c>
      <c r="J250" s="71"/>
      <c r="K250" s="66" t="s">
        <v>214</v>
      </c>
      <c r="L250" s="67">
        <v>1125019.8500000001</v>
      </c>
    </row>
    <row r="251" spans="1:12" ht="51" hidden="1" x14ac:dyDescent="0.3">
      <c r="A251" s="61" t="s">
        <v>243</v>
      </c>
      <c r="B251" s="62" t="s">
        <v>556</v>
      </c>
      <c r="C251" s="62" t="s">
        <v>586</v>
      </c>
      <c r="D251" s="62" t="s">
        <v>484</v>
      </c>
      <c r="E251" s="63" t="s">
        <v>265</v>
      </c>
      <c r="F251" s="69" t="s">
        <v>213</v>
      </c>
      <c r="G251" s="69"/>
      <c r="H251" s="63" t="s">
        <v>265</v>
      </c>
      <c r="I251" s="71">
        <v>75100</v>
      </c>
      <c r="J251" s="71"/>
      <c r="K251" s="66" t="s">
        <v>214</v>
      </c>
      <c r="L251" s="67">
        <v>1049919.8500000001</v>
      </c>
    </row>
    <row r="252" spans="1:12" ht="51" hidden="1" x14ac:dyDescent="0.3">
      <c r="A252" s="61" t="s">
        <v>243</v>
      </c>
      <c r="B252" s="62" t="s">
        <v>556</v>
      </c>
      <c r="C252" s="62" t="s">
        <v>587</v>
      </c>
      <c r="D252" s="62" t="s">
        <v>486</v>
      </c>
      <c r="E252" s="63" t="s">
        <v>265</v>
      </c>
      <c r="F252" s="69" t="s">
        <v>213</v>
      </c>
      <c r="G252" s="69"/>
      <c r="H252" s="63" t="s">
        <v>265</v>
      </c>
      <c r="I252" s="71">
        <v>75100</v>
      </c>
      <c r="J252" s="71"/>
      <c r="K252" s="66" t="s">
        <v>214</v>
      </c>
      <c r="L252" s="67">
        <v>974819.85</v>
      </c>
    </row>
    <row r="253" spans="1:12" ht="51" hidden="1" x14ac:dyDescent="0.3">
      <c r="A253" s="61" t="s">
        <v>243</v>
      </c>
      <c r="B253" s="62" t="s">
        <v>556</v>
      </c>
      <c r="C253" s="62" t="s">
        <v>588</v>
      </c>
      <c r="D253" s="62" t="s">
        <v>489</v>
      </c>
      <c r="E253" s="63" t="s">
        <v>265</v>
      </c>
      <c r="F253" s="69" t="s">
        <v>213</v>
      </c>
      <c r="G253" s="69"/>
      <c r="H253" s="63" t="s">
        <v>265</v>
      </c>
      <c r="I253" s="71">
        <v>75100</v>
      </c>
      <c r="J253" s="71"/>
      <c r="K253" s="66" t="s">
        <v>214</v>
      </c>
      <c r="L253" s="67">
        <v>899719.85</v>
      </c>
    </row>
    <row r="254" spans="1:12" ht="51" hidden="1" x14ac:dyDescent="0.3">
      <c r="A254" s="61" t="s">
        <v>243</v>
      </c>
      <c r="B254" s="62" t="s">
        <v>589</v>
      </c>
      <c r="C254" s="62" t="s">
        <v>590</v>
      </c>
      <c r="D254" s="62" t="s">
        <v>523</v>
      </c>
      <c r="E254" s="63" t="s">
        <v>265</v>
      </c>
      <c r="F254" s="64">
        <v>74782.350000000006</v>
      </c>
      <c r="G254" s="64"/>
      <c r="H254" s="63" t="s">
        <v>266</v>
      </c>
      <c r="I254" s="65" t="s">
        <v>213</v>
      </c>
      <c r="J254" s="65"/>
      <c r="K254" s="66" t="s">
        <v>214</v>
      </c>
      <c r="L254" s="67">
        <v>974502.2</v>
      </c>
    </row>
    <row r="255" spans="1:12" ht="51" hidden="1" x14ac:dyDescent="0.3">
      <c r="A255" s="61" t="s">
        <v>243</v>
      </c>
      <c r="B255" s="62" t="s">
        <v>591</v>
      </c>
      <c r="C255" s="62" t="s">
        <v>592</v>
      </c>
      <c r="D255" s="62" t="s">
        <v>593</v>
      </c>
      <c r="E255" s="63" t="s">
        <v>265</v>
      </c>
      <c r="F255" s="64">
        <v>27103.03</v>
      </c>
      <c r="G255" s="64"/>
      <c r="H255" s="63" t="s">
        <v>266</v>
      </c>
      <c r="I255" s="65" t="s">
        <v>213</v>
      </c>
      <c r="J255" s="65"/>
      <c r="K255" s="66" t="s">
        <v>214</v>
      </c>
      <c r="L255" s="67">
        <v>1001605.23</v>
      </c>
    </row>
    <row r="256" spans="1:12" ht="51" hidden="1" x14ac:dyDescent="0.3">
      <c r="A256" s="61" t="s">
        <v>243</v>
      </c>
      <c r="B256" s="62" t="s">
        <v>594</v>
      </c>
      <c r="C256" s="62" t="s">
        <v>592</v>
      </c>
      <c r="D256" s="62" t="s">
        <v>523</v>
      </c>
      <c r="E256" s="63" t="s">
        <v>265</v>
      </c>
      <c r="F256" s="64">
        <v>47679.32</v>
      </c>
      <c r="G256" s="64"/>
      <c r="H256" s="63" t="s">
        <v>266</v>
      </c>
      <c r="I256" s="65" t="s">
        <v>213</v>
      </c>
      <c r="J256" s="65"/>
      <c r="K256" s="66" t="s">
        <v>214</v>
      </c>
      <c r="L256" s="67">
        <v>1049284.55</v>
      </c>
    </row>
    <row r="257" spans="1:12" ht="51" hidden="1" x14ac:dyDescent="0.3">
      <c r="A257" s="61" t="s">
        <v>243</v>
      </c>
      <c r="B257" s="62" t="s">
        <v>595</v>
      </c>
      <c r="C257" s="62" t="s">
        <v>596</v>
      </c>
      <c r="D257" s="62" t="s">
        <v>597</v>
      </c>
      <c r="E257" s="63" t="s">
        <v>265</v>
      </c>
      <c r="F257" s="64">
        <v>74782.350000000006</v>
      </c>
      <c r="G257" s="64"/>
      <c r="H257" s="63" t="s">
        <v>266</v>
      </c>
      <c r="I257" s="65" t="s">
        <v>213</v>
      </c>
      <c r="J257" s="65"/>
      <c r="K257" s="66" t="s">
        <v>214</v>
      </c>
      <c r="L257" s="67">
        <v>1124066.8999999999</v>
      </c>
    </row>
    <row r="258" spans="1:12" ht="51" hidden="1" x14ac:dyDescent="0.3">
      <c r="A258" s="61" t="s">
        <v>598</v>
      </c>
      <c r="B258" s="62" t="s">
        <v>599</v>
      </c>
      <c r="C258" s="62" t="s">
        <v>295</v>
      </c>
      <c r="D258" s="62" t="s">
        <v>325</v>
      </c>
      <c r="E258" s="63" t="s">
        <v>292</v>
      </c>
      <c r="F258" s="69" t="s">
        <v>213</v>
      </c>
      <c r="G258" s="69"/>
      <c r="H258" s="63" t="s">
        <v>265</v>
      </c>
      <c r="I258" s="71">
        <v>1550</v>
      </c>
      <c r="J258" s="71"/>
      <c r="K258" s="66" t="s">
        <v>214</v>
      </c>
      <c r="L258" s="67">
        <v>1122516.8999999999</v>
      </c>
    </row>
    <row r="259" spans="1:12" ht="51" hidden="1" x14ac:dyDescent="0.3">
      <c r="A259" s="61" t="s">
        <v>598</v>
      </c>
      <c r="B259" s="62" t="s">
        <v>600</v>
      </c>
      <c r="C259" s="62" t="s">
        <v>601</v>
      </c>
      <c r="D259" s="62" t="s">
        <v>602</v>
      </c>
      <c r="E259" s="63" t="s">
        <v>265</v>
      </c>
      <c r="F259" s="64">
        <v>74782.350000000006</v>
      </c>
      <c r="G259" s="64"/>
      <c r="H259" s="63" t="s">
        <v>266</v>
      </c>
      <c r="I259" s="65" t="s">
        <v>213</v>
      </c>
      <c r="J259" s="65"/>
      <c r="K259" s="66" t="s">
        <v>214</v>
      </c>
      <c r="L259" s="67">
        <v>1197299.25</v>
      </c>
    </row>
    <row r="260" spans="1:12" ht="51" hidden="1" x14ac:dyDescent="0.3">
      <c r="A260" s="61" t="s">
        <v>598</v>
      </c>
      <c r="B260" s="62" t="s">
        <v>603</v>
      </c>
      <c r="C260" s="62" t="s">
        <v>604</v>
      </c>
      <c r="D260" s="62" t="s">
        <v>602</v>
      </c>
      <c r="E260" s="63" t="s">
        <v>265</v>
      </c>
      <c r="F260" s="64">
        <v>74782.350000000006</v>
      </c>
      <c r="G260" s="64"/>
      <c r="H260" s="63" t="s">
        <v>266</v>
      </c>
      <c r="I260" s="65" t="s">
        <v>213</v>
      </c>
      <c r="J260" s="65"/>
      <c r="K260" s="66" t="s">
        <v>214</v>
      </c>
      <c r="L260" s="67">
        <v>1272081.6000000001</v>
      </c>
    </row>
    <row r="261" spans="1:12" ht="51" hidden="1" x14ac:dyDescent="0.3">
      <c r="A261" s="61" t="s">
        <v>598</v>
      </c>
      <c r="B261" s="62" t="s">
        <v>605</v>
      </c>
      <c r="C261" s="62" t="s">
        <v>606</v>
      </c>
      <c r="D261" s="62" t="s">
        <v>602</v>
      </c>
      <c r="E261" s="63" t="s">
        <v>265</v>
      </c>
      <c r="F261" s="64">
        <v>74782.350000000006</v>
      </c>
      <c r="G261" s="64"/>
      <c r="H261" s="63" t="s">
        <v>266</v>
      </c>
      <c r="I261" s="65" t="s">
        <v>213</v>
      </c>
      <c r="J261" s="65"/>
      <c r="K261" s="66" t="s">
        <v>214</v>
      </c>
      <c r="L261" s="67">
        <v>1346863.95</v>
      </c>
    </row>
    <row r="262" spans="1:12" ht="51" hidden="1" x14ac:dyDescent="0.3">
      <c r="A262" s="61" t="s">
        <v>607</v>
      </c>
      <c r="B262" s="62" t="s">
        <v>608</v>
      </c>
      <c r="C262" s="62" t="s">
        <v>609</v>
      </c>
      <c r="D262" s="62" t="s">
        <v>602</v>
      </c>
      <c r="E262" s="63" t="s">
        <v>265</v>
      </c>
      <c r="F262" s="64">
        <v>74782.350000000006</v>
      </c>
      <c r="G262" s="64"/>
      <c r="H262" s="63" t="s">
        <v>266</v>
      </c>
      <c r="I262" s="65" t="s">
        <v>213</v>
      </c>
      <c r="J262" s="65"/>
      <c r="K262" s="66" t="s">
        <v>214</v>
      </c>
      <c r="L262" s="67">
        <v>1421646.3</v>
      </c>
    </row>
    <row r="263" spans="1:12" ht="51" hidden="1" x14ac:dyDescent="0.3">
      <c r="A263" s="61" t="s">
        <v>607</v>
      </c>
      <c r="B263" s="62" t="s">
        <v>610</v>
      </c>
      <c r="C263" s="62" t="s">
        <v>611</v>
      </c>
      <c r="D263" s="62" t="s">
        <v>602</v>
      </c>
      <c r="E263" s="63" t="s">
        <v>265</v>
      </c>
      <c r="F263" s="64">
        <v>74782.350000000006</v>
      </c>
      <c r="G263" s="64"/>
      <c r="H263" s="63" t="s">
        <v>266</v>
      </c>
      <c r="I263" s="65" t="s">
        <v>213</v>
      </c>
      <c r="J263" s="65"/>
      <c r="K263" s="66" t="s">
        <v>214</v>
      </c>
      <c r="L263" s="67">
        <v>1496428.65</v>
      </c>
    </row>
    <row r="264" spans="1:12" ht="51" hidden="1" x14ac:dyDescent="0.3">
      <c r="A264" s="61" t="s">
        <v>612</v>
      </c>
      <c r="B264" s="62" t="s">
        <v>613</v>
      </c>
      <c r="C264" s="62" t="s">
        <v>614</v>
      </c>
      <c r="D264" s="62" t="s">
        <v>615</v>
      </c>
      <c r="E264" s="63" t="s">
        <v>265</v>
      </c>
      <c r="F264" s="64">
        <v>41545.75</v>
      </c>
      <c r="G264" s="64"/>
      <c r="H264" s="63" t="s">
        <v>266</v>
      </c>
      <c r="I264" s="65" t="s">
        <v>213</v>
      </c>
      <c r="J264" s="65"/>
      <c r="K264" s="66" t="s">
        <v>214</v>
      </c>
      <c r="L264" s="67">
        <v>1537974.4</v>
      </c>
    </row>
    <row r="265" spans="1:12" ht="51" hidden="1" x14ac:dyDescent="0.3">
      <c r="A265" s="61" t="s">
        <v>612</v>
      </c>
      <c r="B265" s="62" t="s">
        <v>616</v>
      </c>
      <c r="C265" s="62" t="s">
        <v>617</v>
      </c>
      <c r="D265" s="62" t="s">
        <v>615</v>
      </c>
      <c r="E265" s="63" t="s">
        <v>265</v>
      </c>
      <c r="F265" s="64">
        <v>33236.6</v>
      </c>
      <c r="G265" s="64"/>
      <c r="H265" s="63" t="s">
        <v>266</v>
      </c>
      <c r="I265" s="65" t="s">
        <v>213</v>
      </c>
      <c r="J265" s="65"/>
      <c r="K265" s="66" t="s">
        <v>214</v>
      </c>
      <c r="L265" s="67">
        <v>1571211</v>
      </c>
    </row>
    <row r="266" spans="1:12" ht="51" hidden="1" x14ac:dyDescent="0.3">
      <c r="A266" s="61" t="s">
        <v>612</v>
      </c>
      <c r="B266" s="62" t="s">
        <v>618</v>
      </c>
      <c r="C266" s="62" t="s">
        <v>619</v>
      </c>
      <c r="D266" s="62" t="s">
        <v>615</v>
      </c>
      <c r="E266" s="63" t="s">
        <v>265</v>
      </c>
      <c r="F266" s="64">
        <v>33236.6</v>
      </c>
      <c r="G266" s="64"/>
      <c r="H266" s="63" t="s">
        <v>266</v>
      </c>
      <c r="I266" s="65" t="s">
        <v>213</v>
      </c>
      <c r="J266" s="65"/>
      <c r="K266" s="66" t="s">
        <v>214</v>
      </c>
      <c r="L266" s="67">
        <v>1604447.6</v>
      </c>
    </row>
    <row r="267" spans="1:12" ht="51" hidden="1" x14ac:dyDescent="0.3">
      <c r="A267" s="61" t="s">
        <v>612</v>
      </c>
      <c r="B267" s="62" t="s">
        <v>620</v>
      </c>
      <c r="C267" s="62" t="s">
        <v>621</v>
      </c>
      <c r="D267" s="62" t="s">
        <v>615</v>
      </c>
      <c r="E267" s="63" t="s">
        <v>265</v>
      </c>
      <c r="F267" s="64">
        <v>41545.75</v>
      </c>
      <c r="G267" s="64"/>
      <c r="H267" s="63" t="s">
        <v>266</v>
      </c>
      <c r="I267" s="65" t="s">
        <v>213</v>
      </c>
      <c r="J267" s="65"/>
      <c r="K267" s="66" t="s">
        <v>214</v>
      </c>
      <c r="L267" s="67">
        <v>1645993.35</v>
      </c>
    </row>
    <row r="268" spans="1:12" ht="51" hidden="1" x14ac:dyDescent="0.3">
      <c r="A268" s="61" t="s">
        <v>246</v>
      </c>
      <c r="B268" s="62" t="s">
        <v>622</v>
      </c>
      <c r="C268" s="62" t="s">
        <v>623</v>
      </c>
      <c r="D268" s="62" t="s">
        <v>615</v>
      </c>
      <c r="E268" s="63" t="s">
        <v>265</v>
      </c>
      <c r="F268" s="64">
        <v>41545.75</v>
      </c>
      <c r="G268" s="64"/>
      <c r="H268" s="63" t="s">
        <v>266</v>
      </c>
      <c r="I268" s="65" t="s">
        <v>213</v>
      </c>
      <c r="J268" s="65"/>
      <c r="K268" s="66" t="s">
        <v>214</v>
      </c>
      <c r="L268" s="67">
        <v>1687539.1</v>
      </c>
    </row>
    <row r="269" spans="1:12" ht="51" hidden="1" x14ac:dyDescent="0.3">
      <c r="A269" s="61" t="s">
        <v>246</v>
      </c>
      <c r="B269" s="62" t="s">
        <v>624</v>
      </c>
      <c r="C269" s="62" t="s">
        <v>625</v>
      </c>
      <c r="D269" s="62" t="s">
        <v>615</v>
      </c>
      <c r="E269" s="63" t="s">
        <v>265</v>
      </c>
      <c r="F269" s="64">
        <v>33236.6</v>
      </c>
      <c r="G269" s="64"/>
      <c r="H269" s="63" t="s">
        <v>266</v>
      </c>
      <c r="I269" s="65" t="s">
        <v>213</v>
      </c>
      <c r="J269" s="65"/>
      <c r="K269" s="66" t="s">
        <v>214</v>
      </c>
      <c r="L269" s="67">
        <v>1720775.7</v>
      </c>
    </row>
    <row r="270" spans="1:12" ht="51" hidden="1" x14ac:dyDescent="0.3">
      <c r="A270" s="61" t="s">
        <v>246</v>
      </c>
      <c r="B270" s="62" t="s">
        <v>626</v>
      </c>
      <c r="C270" s="62" t="s">
        <v>627</v>
      </c>
      <c r="D270" s="62" t="s">
        <v>615</v>
      </c>
      <c r="E270" s="63" t="s">
        <v>265</v>
      </c>
      <c r="F270" s="64">
        <v>33236.6</v>
      </c>
      <c r="G270" s="64"/>
      <c r="H270" s="63" t="s">
        <v>266</v>
      </c>
      <c r="I270" s="65" t="s">
        <v>213</v>
      </c>
      <c r="J270" s="65"/>
      <c r="K270" s="66" t="s">
        <v>214</v>
      </c>
      <c r="L270" s="67">
        <v>1754012.3</v>
      </c>
    </row>
    <row r="271" spans="1:12" ht="51" hidden="1" x14ac:dyDescent="0.3">
      <c r="A271" s="61" t="s">
        <v>246</v>
      </c>
      <c r="B271" s="62" t="s">
        <v>628</v>
      </c>
      <c r="C271" s="62" t="s">
        <v>629</v>
      </c>
      <c r="D271" s="62" t="s">
        <v>615</v>
      </c>
      <c r="E271" s="63" t="s">
        <v>265</v>
      </c>
      <c r="F271" s="64">
        <v>41545.75</v>
      </c>
      <c r="G271" s="64"/>
      <c r="H271" s="63" t="s">
        <v>266</v>
      </c>
      <c r="I271" s="65" t="s">
        <v>213</v>
      </c>
      <c r="J271" s="65"/>
      <c r="K271" s="66" t="s">
        <v>214</v>
      </c>
      <c r="L271" s="67">
        <v>1795558.05</v>
      </c>
    </row>
    <row r="272" spans="1:12" ht="51" hidden="1" x14ac:dyDescent="0.3">
      <c r="A272" s="61" t="s">
        <v>246</v>
      </c>
      <c r="B272" s="62" t="s">
        <v>630</v>
      </c>
      <c r="C272" s="62" t="s">
        <v>631</v>
      </c>
      <c r="D272" s="62" t="s">
        <v>615</v>
      </c>
      <c r="E272" s="63" t="s">
        <v>265</v>
      </c>
      <c r="F272" s="64">
        <v>41545.75</v>
      </c>
      <c r="G272" s="64"/>
      <c r="H272" s="63" t="s">
        <v>266</v>
      </c>
      <c r="I272" s="65" t="s">
        <v>213</v>
      </c>
      <c r="J272" s="65"/>
      <c r="K272" s="66" t="s">
        <v>214</v>
      </c>
      <c r="L272" s="67">
        <v>1837103.8</v>
      </c>
    </row>
    <row r="273" spans="1:12" ht="51" hidden="1" x14ac:dyDescent="0.3">
      <c r="A273" s="61" t="s">
        <v>246</v>
      </c>
      <c r="B273" s="62" t="s">
        <v>632</v>
      </c>
      <c r="C273" s="62" t="s">
        <v>633</v>
      </c>
      <c r="D273" s="62" t="s">
        <v>615</v>
      </c>
      <c r="E273" s="63" t="s">
        <v>265</v>
      </c>
      <c r="F273" s="64">
        <v>33236.6</v>
      </c>
      <c r="G273" s="64"/>
      <c r="H273" s="63" t="s">
        <v>266</v>
      </c>
      <c r="I273" s="65" t="s">
        <v>213</v>
      </c>
      <c r="J273" s="65"/>
      <c r="K273" s="66" t="s">
        <v>214</v>
      </c>
      <c r="L273" s="67">
        <v>1870340.4</v>
      </c>
    </row>
    <row r="274" spans="1:12" ht="51" hidden="1" x14ac:dyDescent="0.3">
      <c r="A274" s="61" t="s">
        <v>246</v>
      </c>
      <c r="B274" s="62" t="s">
        <v>634</v>
      </c>
      <c r="C274" s="62" t="s">
        <v>635</v>
      </c>
      <c r="D274" s="62" t="s">
        <v>615</v>
      </c>
      <c r="E274" s="63" t="s">
        <v>265</v>
      </c>
      <c r="F274" s="64">
        <v>41545.75</v>
      </c>
      <c r="G274" s="64"/>
      <c r="H274" s="63" t="s">
        <v>266</v>
      </c>
      <c r="I274" s="65" t="s">
        <v>213</v>
      </c>
      <c r="J274" s="65"/>
      <c r="K274" s="66" t="s">
        <v>214</v>
      </c>
      <c r="L274" s="67">
        <v>1911886.15</v>
      </c>
    </row>
    <row r="275" spans="1:12" ht="51" hidden="1" x14ac:dyDescent="0.3">
      <c r="A275" s="61" t="s">
        <v>246</v>
      </c>
      <c r="B275" s="62" t="s">
        <v>636</v>
      </c>
      <c r="C275" s="62" t="s">
        <v>637</v>
      </c>
      <c r="D275" s="62" t="s">
        <v>615</v>
      </c>
      <c r="E275" s="63" t="s">
        <v>265</v>
      </c>
      <c r="F275" s="64">
        <v>33236.6</v>
      </c>
      <c r="G275" s="64"/>
      <c r="H275" s="63" t="s">
        <v>266</v>
      </c>
      <c r="I275" s="65" t="s">
        <v>213</v>
      </c>
      <c r="J275" s="65"/>
      <c r="K275" s="66" t="s">
        <v>214</v>
      </c>
      <c r="L275" s="67">
        <v>1945122.75</v>
      </c>
    </row>
    <row r="276" spans="1:12" ht="51" hidden="1" x14ac:dyDescent="0.3">
      <c r="A276" s="61" t="s">
        <v>638</v>
      </c>
      <c r="B276" s="62" t="s">
        <v>639</v>
      </c>
      <c r="C276" s="62" t="s">
        <v>640</v>
      </c>
      <c r="D276" s="62" t="s">
        <v>641</v>
      </c>
      <c r="E276" s="63" t="s">
        <v>265</v>
      </c>
      <c r="F276" s="64">
        <v>8080</v>
      </c>
      <c r="G276" s="64"/>
      <c r="H276" s="63" t="s">
        <v>266</v>
      </c>
      <c r="I276" s="65" t="s">
        <v>213</v>
      </c>
      <c r="J276" s="65"/>
      <c r="K276" s="66" t="s">
        <v>214</v>
      </c>
      <c r="L276" s="67">
        <v>1953202.75</v>
      </c>
    </row>
    <row r="277" spans="1:12" ht="51" hidden="1" x14ac:dyDescent="0.3">
      <c r="A277" s="61" t="s">
        <v>642</v>
      </c>
      <c r="B277" s="62" t="s">
        <v>643</v>
      </c>
      <c r="C277" s="62" t="s">
        <v>644</v>
      </c>
      <c r="D277" s="62" t="s">
        <v>615</v>
      </c>
      <c r="E277" s="63" t="s">
        <v>265</v>
      </c>
      <c r="F277" s="64">
        <v>33236.6</v>
      </c>
      <c r="G277" s="64"/>
      <c r="H277" s="63" t="s">
        <v>266</v>
      </c>
      <c r="I277" s="65" t="s">
        <v>213</v>
      </c>
      <c r="J277" s="65"/>
      <c r="K277" s="66" t="s">
        <v>214</v>
      </c>
      <c r="L277" s="67">
        <v>1986439.35</v>
      </c>
    </row>
    <row r="278" spans="1:12" ht="51" hidden="1" x14ac:dyDescent="0.3">
      <c r="A278" s="61" t="s">
        <v>642</v>
      </c>
      <c r="B278" s="62" t="s">
        <v>645</v>
      </c>
      <c r="C278" s="62" t="s">
        <v>646</v>
      </c>
      <c r="D278" s="62" t="s">
        <v>615</v>
      </c>
      <c r="E278" s="63" t="s">
        <v>265</v>
      </c>
      <c r="F278" s="64">
        <v>41545.75</v>
      </c>
      <c r="G278" s="64"/>
      <c r="H278" s="63" t="s">
        <v>266</v>
      </c>
      <c r="I278" s="65" t="s">
        <v>213</v>
      </c>
      <c r="J278" s="65"/>
      <c r="K278" s="66" t="s">
        <v>214</v>
      </c>
      <c r="L278" s="67">
        <v>2027985.1</v>
      </c>
    </row>
    <row r="279" spans="1:12" ht="51" hidden="1" x14ac:dyDescent="0.3">
      <c r="A279" s="61" t="s">
        <v>642</v>
      </c>
      <c r="B279" s="62" t="s">
        <v>647</v>
      </c>
      <c r="C279" s="62" t="s">
        <v>648</v>
      </c>
      <c r="D279" s="62" t="s">
        <v>615</v>
      </c>
      <c r="E279" s="63" t="s">
        <v>265</v>
      </c>
      <c r="F279" s="64">
        <v>41545.75</v>
      </c>
      <c r="G279" s="64"/>
      <c r="H279" s="63" t="s">
        <v>266</v>
      </c>
      <c r="I279" s="65" t="s">
        <v>213</v>
      </c>
      <c r="J279" s="65"/>
      <c r="K279" s="66" t="s">
        <v>214</v>
      </c>
      <c r="L279" s="67">
        <v>2069530.85</v>
      </c>
    </row>
    <row r="280" spans="1:12" ht="51" hidden="1" x14ac:dyDescent="0.3">
      <c r="A280" s="61" t="s">
        <v>642</v>
      </c>
      <c r="B280" s="62" t="s">
        <v>649</v>
      </c>
      <c r="C280" s="62" t="s">
        <v>650</v>
      </c>
      <c r="D280" s="62" t="s">
        <v>615</v>
      </c>
      <c r="E280" s="63" t="s">
        <v>265</v>
      </c>
      <c r="F280" s="64">
        <v>41545.75</v>
      </c>
      <c r="G280" s="64"/>
      <c r="H280" s="63" t="s">
        <v>266</v>
      </c>
      <c r="I280" s="65" t="s">
        <v>213</v>
      </c>
      <c r="J280" s="65"/>
      <c r="K280" s="66" t="s">
        <v>214</v>
      </c>
      <c r="L280" s="67">
        <v>2111076.6</v>
      </c>
    </row>
    <row r="281" spans="1:12" ht="51" hidden="1" x14ac:dyDescent="0.3">
      <c r="A281" s="61" t="s">
        <v>642</v>
      </c>
      <c r="B281" s="62" t="s">
        <v>651</v>
      </c>
      <c r="C281" s="62" t="s">
        <v>652</v>
      </c>
      <c r="D281" s="62" t="s">
        <v>615</v>
      </c>
      <c r="E281" s="63" t="s">
        <v>265</v>
      </c>
      <c r="F281" s="64">
        <v>41545.75</v>
      </c>
      <c r="G281" s="64"/>
      <c r="H281" s="63" t="s">
        <v>266</v>
      </c>
      <c r="I281" s="65" t="s">
        <v>213</v>
      </c>
      <c r="J281" s="65"/>
      <c r="K281" s="66" t="s">
        <v>214</v>
      </c>
      <c r="L281" s="67">
        <v>2152622.35</v>
      </c>
    </row>
    <row r="282" spans="1:12" ht="51" hidden="1" x14ac:dyDescent="0.3">
      <c r="A282" s="61" t="s">
        <v>642</v>
      </c>
      <c r="B282" s="62" t="s">
        <v>653</v>
      </c>
      <c r="C282" s="62" t="s">
        <v>654</v>
      </c>
      <c r="D282" s="62" t="s">
        <v>615</v>
      </c>
      <c r="E282" s="63" t="s">
        <v>265</v>
      </c>
      <c r="F282" s="64">
        <v>41545.75</v>
      </c>
      <c r="G282" s="64"/>
      <c r="H282" s="63" t="s">
        <v>266</v>
      </c>
      <c r="I282" s="65" t="s">
        <v>213</v>
      </c>
      <c r="J282" s="65"/>
      <c r="K282" s="66" t="s">
        <v>214</v>
      </c>
      <c r="L282" s="67">
        <v>2194168.1</v>
      </c>
    </row>
    <row r="283" spans="1:12" ht="51" hidden="1" x14ac:dyDescent="0.3">
      <c r="A283" s="61" t="s">
        <v>642</v>
      </c>
      <c r="B283" s="62" t="s">
        <v>655</v>
      </c>
      <c r="C283" s="62" t="s">
        <v>656</v>
      </c>
      <c r="D283" s="62" t="s">
        <v>615</v>
      </c>
      <c r="E283" s="63" t="s">
        <v>265</v>
      </c>
      <c r="F283" s="64">
        <v>41545.75</v>
      </c>
      <c r="G283" s="64"/>
      <c r="H283" s="63" t="s">
        <v>266</v>
      </c>
      <c r="I283" s="65" t="s">
        <v>213</v>
      </c>
      <c r="J283" s="65"/>
      <c r="K283" s="66" t="s">
        <v>214</v>
      </c>
      <c r="L283" s="67">
        <v>2235713.85</v>
      </c>
    </row>
    <row r="284" spans="1:12" ht="51" hidden="1" x14ac:dyDescent="0.3">
      <c r="A284" s="61" t="s">
        <v>642</v>
      </c>
      <c r="B284" s="62" t="s">
        <v>657</v>
      </c>
      <c r="C284" s="62" t="s">
        <v>658</v>
      </c>
      <c r="D284" s="62" t="s">
        <v>615</v>
      </c>
      <c r="E284" s="63" t="s">
        <v>265</v>
      </c>
      <c r="F284" s="64">
        <v>41545.75</v>
      </c>
      <c r="G284" s="64"/>
      <c r="H284" s="63" t="s">
        <v>266</v>
      </c>
      <c r="I284" s="65" t="s">
        <v>213</v>
      </c>
      <c r="J284" s="65"/>
      <c r="K284" s="66" t="s">
        <v>214</v>
      </c>
      <c r="L284" s="67">
        <v>2277259.6</v>
      </c>
    </row>
    <row r="285" spans="1:12" ht="51" hidden="1" x14ac:dyDescent="0.3">
      <c r="A285" s="61" t="s">
        <v>659</v>
      </c>
      <c r="B285" s="62" t="s">
        <v>660</v>
      </c>
      <c r="C285" s="62" t="s">
        <v>661</v>
      </c>
      <c r="D285" s="62" t="s">
        <v>615</v>
      </c>
      <c r="E285" s="63" t="s">
        <v>265</v>
      </c>
      <c r="F285" s="64">
        <v>33236.6</v>
      </c>
      <c r="G285" s="64"/>
      <c r="H285" s="63" t="s">
        <v>266</v>
      </c>
      <c r="I285" s="65" t="s">
        <v>213</v>
      </c>
      <c r="J285" s="65"/>
      <c r="K285" s="66" t="s">
        <v>214</v>
      </c>
      <c r="L285" s="67">
        <v>2310496.2000000002</v>
      </c>
    </row>
    <row r="286" spans="1:12" ht="51" hidden="1" x14ac:dyDescent="0.3">
      <c r="A286" s="61" t="s">
        <v>659</v>
      </c>
      <c r="B286" s="62" t="s">
        <v>662</v>
      </c>
      <c r="C286" s="62" t="s">
        <v>663</v>
      </c>
      <c r="D286" s="62" t="s">
        <v>615</v>
      </c>
      <c r="E286" s="63" t="s">
        <v>265</v>
      </c>
      <c r="F286" s="64">
        <v>41545.75</v>
      </c>
      <c r="G286" s="64"/>
      <c r="H286" s="63" t="s">
        <v>266</v>
      </c>
      <c r="I286" s="65" t="s">
        <v>213</v>
      </c>
      <c r="J286" s="65"/>
      <c r="K286" s="66" t="s">
        <v>214</v>
      </c>
      <c r="L286" s="67">
        <v>2352041.9500000002</v>
      </c>
    </row>
    <row r="287" spans="1:12" ht="51" hidden="1" x14ac:dyDescent="0.3">
      <c r="A287" s="61" t="s">
        <v>659</v>
      </c>
      <c r="B287" s="62" t="s">
        <v>664</v>
      </c>
      <c r="C287" s="62" t="s">
        <v>665</v>
      </c>
      <c r="D287" s="62" t="s">
        <v>666</v>
      </c>
      <c r="E287" s="63" t="s">
        <v>265</v>
      </c>
      <c r="F287" s="64">
        <v>30502.83</v>
      </c>
      <c r="G287" s="64"/>
      <c r="H287" s="63" t="s">
        <v>266</v>
      </c>
      <c r="I287" s="65" t="s">
        <v>213</v>
      </c>
      <c r="J287" s="65"/>
      <c r="K287" s="66" t="s">
        <v>214</v>
      </c>
      <c r="L287" s="67">
        <v>2382544.7799999998</v>
      </c>
    </row>
    <row r="288" spans="1:12" ht="51" hidden="1" x14ac:dyDescent="0.3">
      <c r="A288" s="61" t="s">
        <v>659</v>
      </c>
      <c r="B288" s="62" t="s">
        <v>667</v>
      </c>
      <c r="C288" s="62" t="s">
        <v>665</v>
      </c>
      <c r="D288" s="62" t="s">
        <v>615</v>
      </c>
      <c r="E288" s="63" t="s">
        <v>265</v>
      </c>
      <c r="F288" s="64">
        <v>2733.77</v>
      </c>
      <c r="G288" s="64"/>
      <c r="H288" s="63" t="s">
        <v>266</v>
      </c>
      <c r="I288" s="65" t="s">
        <v>213</v>
      </c>
      <c r="J288" s="65"/>
      <c r="K288" s="66" t="s">
        <v>214</v>
      </c>
      <c r="L288" s="67">
        <v>2385278.5499999998</v>
      </c>
    </row>
    <row r="289" spans="1:12" ht="51" hidden="1" x14ac:dyDescent="0.3">
      <c r="A289" s="61" t="s">
        <v>659</v>
      </c>
      <c r="B289" s="62" t="s">
        <v>668</v>
      </c>
      <c r="C289" s="62" t="s">
        <v>669</v>
      </c>
      <c r="D289" s="62" t="s">
        <v>670</v>
      </c>
      <c r="E289" s="63" t="s">
        <v>265</v>
      </c>
      <c r="F289" s="64">
        <v>41545.75</v>
      </c>
      <c r="G289" s="64"/>
      <c r="H289" s="63" t="s">
        <v>266</v>
      </c>
      <c r="I289" s="65" t="s">
        <v>213</v>
      </c>
      <c r="J289" s="65"/>
      <c r="K289" s="66" t="s">
        <v>214</v>
      </c>
      <c r="L289" s="67">
        <v>2426824.2999999998</v>
      </c>
    </row>
    <row r="290" spans="1:12" ht="51" hidden="1" x14ac:dyDescent="0.3">
      <c r="A290" s="61" t="s">
        <v>659</v>
      </c>
      <c r="B290" s="62" t="s">
        <v>671</v>
      </c>
      <c r="C290" s="62" t="s">
        <v>672</v>
      </c>
      <c r="D290" s="62" t="s">
        <v>673</v>
      </c>
      <c r="E290" s="63" t="s">
        <v>265</v>
      </c>
      <c r="F290" s="64">
        <v>33236.6</v>
      </c>
      <c r="G290" s="64"/>
      <c r="H290" s="63" t="s">
        <v>266</v>
      </c>
      <c r="I290" s="65" t="s">
        <v>213</v>
      </c>
      <c r="J290" s="65"/>
      <c r="K290" s="66" t="s">
        <v>214</v>
      </c>
      <c r="L290" s="67">
        <v>2460060.9</v>
      </c>
    </row>
    <row r="291" spans="1:12" ht="51" hidden="1" x14ac:dyDescent="0.3">
      <c r="A291" s="61" t="s">
        <v>659</v>
      </c>
      <c r="B291" s="62" t="s">
        <v>674</v>
      </c>
      <c r="C291" s="62" t="s">
        <v>675</v>
      </c>
      <c r="D291" s="62" t="s">
        <v>676</v>
      </c>
      <c r="E291" s="63" t="s">
        <v>265</v>
      </c>
      <c r="F291" s="64">
        <v>41545.75</v>
      </c>
      <c r="G291" s="64"/>
      <c r="H291" s="63" t="s">
        <v>266</v>
      </c>
      <c r="I291" s="65" t="s">
        <v>213</v>
      </c>
      <c r="J291" s="65"/>
      <c r="K291" s="66" t="s">
        <v>214</v>
      </c>
      <c r="L291" s="67">
        <v>2501606.65</v>
      </c>
    </row>
    <row r="292" spans="1:12" ht="51" hidden="1" x14ac:dyDescent="0.3">
      <c r="A292" s="61" t="s">
        <v>659</v>
      </c>
      <c r="B292" s="62" t="s">
        <v>677</v>
      </c>
      <c r="C292" s="62" t="s">
        <v>678</v>
      </c>
      <c r="D292" s="62" t="s">
        <v>679</v>
      </c>
      <c r="E292" s="63" t="s">
        <v>265</v>
      </c>
      <c r="F292" s="64">
        <v>33236.6</v>
      </c>
      <c r="G292" s="64"/>
      <c r="H292" s="63" t="s">
        <v>266</v>
      </c>
      <c r="I292" s="65" t="s">
        <v>213</v>
      </c>
      <c r="J292" s="65"/>
      <c r="K292" s="66" t="s">
        <v>214</v>
      </c>
      <c r="L292" s="67">
        <v>2534843.25</v>
      </c>
    </row>
    <row r="293" spans="1:12" ht="51" hidden="1" x14ac:dyDescent="0.3">
      <c r="A293" s="61" t="s">
        <v>659</v>
      </c>
      <c r="B293" s="62" t="s">
        <v>680</v>
      </c>
      <c r="C293" s="62" t="s">
        <v>681</v>
      </c>
      <c r="D293" s="62" t="s">
        <v>682</v>
      </c>
      <c r="E293" s="63" t="s">
        <v>265</v>
      </c>
      <c r="F293" s="64">
        <v>41545.75</v>
      </c>
      <c r="G293" s="64"/>
      <c r="H293" s="63" t="s">
        <v>266</v>
      </c>
      <c r="I293" s="65" t="s">
        <v>213</v>
      </c>
      <c r="J293" s="65"/>
      <c r="K293" s="66" t="s">
        <v>214</v>
      </c>
      <c r="L293" s="67">
        <v>2576389</v>
      </c>
    </row>
    <row r="294" spans="1:12" ht="51" hidden="1" x14ac:dyDescent="0.3">
      <c r="A294" s="61" t="s">
        <v>659</v>
      </c>
      <c r="B294" s="62" t="s">
        <v>683</v>
      </c>
      <c r="C294" s="62" t="s">
        <v>684</v>
      </c>
      <c r="D294" s="62" t="s">
        <v>685</v>
      </c>
      <c r="E294" s="63" t="s">
        <v>265</v>
      </c>
      <c r="F294" s="64">
        <v>33236.6</v>
      </c>
      <c r="G294" s="64"/>
      <c r="H294" s="63" t="s">
        <v>266</v>
      </c>
      <c r="I294" s="65" t="s">
        <v>213</v>
      </c>
      <c r="J294" s="65"/>
      <c r="K294" s="66" t="s">
        <v>214</v>
      </c>
      <c r="L294" s="67">
        <v>2609625.6</v>
      </c>
    </row>
    <row r="295" spans="1:12" ht="51" hidden="1" x14ac:dyDescent="0.3">
      <c r="A295" s="61" t="s">
        <v>659</v>
      </c>
      <c r="B295" s="62" t="s">
        <v>686</v>
      </c>
      <c r="C295" s="62" t="s">
        <v>687</v>
      </c>
      <c r="D295" s="62" t="s">
        <v>688</v>
      </c>
      <c r="E295" s="63" t="s">
        <v>265</v>
      </c>
      <c r="F295" s="64">
        <v>41545.75</v>
      </c>
      <c r="G295" s="64"/>
      <c r="H295" s="63" t="s">
        <v>266</v>
      </c>
      <c r="I295" s="65" t="s">
        <v>213</v>
      </c>
      <c r="J295" s="65"/>
      <c r="K295" s="66" t="s">
        <v>214</v>
      </c>
      <c r="L295" s="67">
        <v>2651171.35</v>
      </c>
    </row>
    <row r="296" spans="1:12" ht="51" hidden="1" x14ac:dyDescent="0.3">
      <c r="A296" s="61" t="s">
        <v>659</v>
      </c>
      <c r="B296" s="62" t="s">
        <v>689</v>
      </c>
      <c r="C296" s="62" t="s">
        <v>690</v>
      </c>
      <c r="D296" s="62" t="s">
        <v>691</v>
      </c>
      <c r="E296" s="63" t="s">
        <v>265</v>
      </c>
      <c r="F296" s="64">
        <v>33236.6</v>
      </c>
      <c r="G296" s="64"/>
      <c r="H296" s="63" t="s">
        <v>266</v>
      </c>
      <c r="I296" s="65" t="s">
        <v>213</v>
      </c>
      <c r="J296" s="65"/>
      <c r="K296" s="66" t="s">
        <v>214</v>
      </c>
      <c r="L296" s="67">
        <v>2684407.95</v>
      </c>
    </row>
    <row r="297" spans="1:12" ht="51" hidden="1" x14ac:dyDescent="0.3">
      <c r="A297" s="61" t="s">
        <v>659</v>
      </c>
      <c r="B297" s="62" t="s">
        <v>692</v>
      </c>
      <c r="C297" s="62" t="s">
        <v>693</v>
      </c>
      <c r="D297" s="62" t="s">
        <v>694</v>
      </c>
      <c r="E297" s="63" t="s">
        <v>265</v>
      </c>
      <c r="F297" s="64">
        <v>41545.75</v>
      </c>
      <c r="G297" s="64"/>
      <c r="H297" s="63" t="s">
        <v>266</v>
      </c>
      <c r="I297" s="65" t="s">
        <v>213</v>
      </c>
      <c r="J297" s="65"/>
      <c r="K297" s="66" t="s">
        <v>214</v>
      </c>
      <c r="L297" s="67">
        <v>2725953.7</v>
      </c>
    </row>
    <row r="298" spans="1:12" ht="51" hidden="1" x14ac:dyDescent="0.3">
      <c r="A298" s="61" t="s">
        <v>695</v>
      </c>
      <c r="B298" s="62" t="s">
        <v>696</v>
      </c>
      <c r="C298" s="62" t="s">
        <v>697</v>
      </c>
      <c r="D298" s="62" t="s">
        <v>615</v>
      </c>
      <c r="E298" s="63" t="s">
        <v>265</v>
      </c>
      <c r="F298" s="64">
        <v>41545.75</v>
      </c>
      <c r="G298" s="64"/>
      <c r="H298" s="63" t="s">
        <v>266</v>
      </c>
      <c r="I298" s="65" t="s">
        <v>213</v>
      </c>
      <c r="J298" s="65"/>
      <c r="K298" s="66" t="s">
        <v>214</v>
      </c>
      <c r="L298" s="67">
        <v>2767499.45</v>
      </c>
    </row>
    <row r="299" spans="1:12" ht="51" hidden="1" x14ac:dyDescent="0.3">
      <c r="A299" s="61" t="s">
        <v>695</v>
      </c>
      <c r="B299" s="62" t="s">
        <v>698</v>
      </c>
      <c r="C299" s="62" t="s">
        <v>699</v>
      </c>
      <c r="D299" s="62" t="s">
        <v>615</v>
      </c>
      <c r="E299" s="63" t="s">
        <v>265</v>
      </c>
      <c r="F299" s="64">
        <v>33236.6</v>
      </c>
      <c r="G299" s="64"/>
      <c r="H299" s="63" t="s">
        <v>266</v>
      </c>
      <c r="I299" s="65" t="s">
        <v>213</v>
      </c>
      <c r="J299" s="65"/>
      <c r="K299" s="66" t="s">
        <v>214</v>
      </c>
      <c r="L299" s="67">
        <v>2800736.05</v>
      </c>
    </row>
    <row r="300" spans="1:12" ht="51" hidden="1" x14ac:dyDescent="0.3">
      <c r="A300" s="61" t="s">
        <v>695</v>
      </c>
      <c r="B300" s="62" t="s">
        <v>700</v>
      </c>
      <c r="C300" s="62" t="s">
        <v>701</v>
      </c>
      <c r="D300" s="62" t="s">
        <v>702</v>
      </c>
      <c r="E300" s="63" t="s">
        <v>265</v>
      </c>
      <c r="F300" s="64">
        <v>38811.980000000003</v>
      </c>
      <c r="G300" s="64"/>
      <c r="H300" s="63" t="s">
        <v>266</v>
      </c>
      <c r="I300" s="65" t="s">
        <v>213</v>
      </c>
      <c r="J300" s="65"/>
      <c r="K300" s="66" t="s">
        <v>214</v>
      </c>
      <c r="L300" s="67">
        <v>2839548.03</v>
      </c>
    </row>
    <row r="301" spans="1:12" ht="51" hidden="1" x14ac:dyDescent="0.3">
      <c r="A301" s="61" t="s">
        <v>695</v>
      </c>
      <c r="B301" s="62" t="s">
        <v>703</v>
      </c>
      <c r="C301" s="62" t="s">
        <v>701</v>
      </c>
      <c r="D301" s="62" t="s">
        <v>615</v>
      </c>
      <c r="E301" s="63" t="s">
        <v>265</v>
      </c>
      <c r="F301" s="64">
        <v>2733.77</v>
      </c>
      <c r="G301" s="64"/>
      <c r="H301" s="63" t="s">
        <v>266</v>
      </c>
      <c r="I301" s="65" t="s">
        <v>213</v>
      </c>
      <c r="J301" s="65"/>
      <c r="K301" s="66" t="s">
        <v>214</v>
      </c>
      <c r="L301" s="67">
        <v>2842281.8</v>
      </c>
    </row>
    <row r="302" spans="1:12" ht="51" hidden="1" x14ac:dyDescent="0.3">
      <c r="A302" s="61" t="s">
        <v>695</v>
      </c>
      <c r="B302" s="62" t="s">
        <v>704</v>
      </c>
      <c r="C302" s="62" t="s">
        <v>705</v>
      </c>
      <c r="D302" s="62" t="s">
        <v>706</v>
      </c>
      <c r="E302" s="63" t="s">
        <v>265</v>
      </c>
      <c r="F302" s="64">
        <v>33236.6</v>
      </c>
      <c r="G302" s="64"/>
      <c r="H302" s="63" t="s">
        <v>266</v>
      </c>
      <c r="I302" s="65" t="s">
        <v>213</v>
      </c>
      <c r="J302" s="65"/>
      <c r="K302" s="66" t="s">
        <v>214</v>
      </c>
      <c r="L302" s="67">
        <v>2875518.4</v>
      </c>
    </row>
    <row r="303" spans="1:12" ht="51" hidden="1" x14ac:dyDescent="0.3">
      <c r="A303" s="61" t="s">
        <v>695</v>
      </c>
      <c r="B303" s="62" t="s">
        <v>707</v>
      </c>
      <c r="C303" s="62" t="s">
        <v>708</v>
      </c>
      <c r="D303" s="62" t="s">
        <v>709</v>
      </c>
      <c r="E303" s="63" t="s">
        <v>265</v>
      </c>
      <c r="F303" s="64">
        <v>41545.75</v>
      </c>
      <c r="G303" s="64"/>
      <c r="H303" s="63" t="s">
        <v>266</v>
      </c>
      <c r="I303" s="65" t="s">
        <v>213</v>
      </c>
      <c r="J303" s="65"/>
      <c r="K303" s="66" t="s">
        <v>214</v>
      </c>
      <c r="L303" s="67">
        <v>2917064.15</v>
      </c>
    </row>
    <row r="304" spans="1:12" ht="51" hidden="1" x14ac:dyDescent="0.3">
      <c r="A304" s="61" t="s">
        <v>695</v>
      </c>
      <c r="B304" s="62" t="s">
        <v>710</v>
      </c>
      <c r="C304" s="62" t="s">
        <v>711</v>
      </c>
      <c r="D304" s="62" t="s">
        <v>712</v>
      </c>
      <c r="E304" s="63" t="s">
        <v>265</v>
      </c>
      <c r="F304" s="64">
        <v>33236.6</v>
      </c>
      <c r="G304" s="64"/>
      <c r="H304" s="63" t="s">
        <v>266</v>
      </c>
      <c r="I304" s="65" t="s">
        <v>213</v>
      </c>
      <c r="J304" s="65"/>
      <c r="K304" s="66" t="s">
        <v>214</v>
      </c>
      <c r="L304" s="67">
        <v>2950300.75</v>
      </c>
    </row>
    <row r="305" spans="1:12" ht="51" hidden="1" x14ac:dyDescent="0.3">
      <c r="A305" s="61" t="s">
        <v>713</v>
      </c>
      <c r="B305" s="62" t="s">
        <v>714</v>
      </c>
      <c r="C305" s="62" t="s">
        <v>715</v>
      </c>
      <c r="D305" s="62" t="s">
        <v>716</v>
      </c>
      <c r="E305" s="63" t="s">
        <v>265</v>
      </c>
      <c r="F305" s="64">
        <v>33236.6</v>
      </c>
      <c r="G305" s="64"/>
      <c r="H305" s="63" t="s">
        <v>266</v>
      </c>
      <c r="I305" s="65" t="s">
        <v>213</v>
      </c>
      <c r="J305" s="65"/>
      <c r="K305" s="66" t="s">
        <v>214</v>
      </c>
      <c r="L305" s="67">
        <v>2983537.35</v>
      </c>
    </row>
    <row r="306" spans="1:12" ht="51" hidden="1" x14ac:dyDescent="0.3">
      <c r="A306" s="61" t="s">
        <v>713</v>
      </c>
      <c r="B306" s="62" t="s">
        <v>717</v>
      </c>
      <c r="C306" s="62" t="s">
        <v>718</v>
      </c>
      <c r="D306" s="62" t="s">
        <v>719</v>
      </c>
      <c r="E306" s="63" t="s">
        <v>265</v>
      </c>
      <c r="F306" s="64">
        <v>41545.75</v>
      </c>
      <c r="G306" s="64"/>
      <c r="H306" s="63" t="s">
        <v>266</v>
      </c>
      <c r="I306" s="65" t="s">
        <v>213</v>
      </c>
      <c r="J306" s="65"/>
      <c r="K306" s="66" t="s">
        <v>214</v>
      </c>
      <c r="L306" s="67">
        <v>3025083.1</v>
      </c>
    </row>
    <row r="307" spans="1:12" ht="51" hidden="1" x14ac:dyDescent="0.3">
      <c r="A307" s="61" t="s">
        <v>713</v>
      </c>
      <c r="B307" s="62" t="s">
        <v>720</v>
      </c>
      <c r="C307" s="62" t="s">
        <v>721</v>
      </c>
      <c r="D307" s="62" t="s">
        <v>722</v>
      </c>
      <c r="E307" s="63" t="s">
        <v>265</v>
      </c>
      <c r="F307" s="64">
        <v>33236.6</v>
      </c>
      <c r="G307" s="64"/>
      <c r="H307" s="63" t="s">
        <v>266</v>
      </c>
      <c r="I307" s="65" t="s">
        <v>213</v>
      </c>
      <c r="J307" s="65"/>
      <c r="K307" s="66" t="s">
        <v>214</v>
      </c>
      <c r="L307" s="67">
        <v>3058319.7</v>
      </c>
    </row>
    <row r="308" spans="1:12" ht="51" hidden="1" x14ac:dyDescent="0.3">
      <c r="A308" s="61" t="s">
        <v>713</v>
      </c>
      <c r="B308" s="62" t="s">
        <v>723</v>
      </c>
      <c r="C308" s="62" t="s">
        <v>724</v>
      </c>
      <c r="D308" s="62" t="s">
        <v>725</v>
      </c>
      <c r="E308" s="63" t="s">
        <v>265</v>
      </c>
      <c r="F308" s="64">
        <v>41545.75</v>
      </c>
      <c r="G308" s="64"/>
      <c r="H308" s="63" t="s">
        <v>266</v>
      </c>
      <c r="I308" s="65" t="s">
        <v>213</v>
      </c>
      <c r="J308" s="65"/>
      <c r="K308" s="66" t="s">
        <v>214</v>
      </c>
      <c r="L308" s="67">
        <v>3099865.45</v>
      </c>
    </row>
    <row r="309" spans="1:12" ht="51" hidden="1" x14ac:dyDescent="0.3">
      <c r="A309" s="61" t="s">
        <v>713</v>
      </c>
      <c r="B309" s="62" t="s">
        <v>726</v>
      </c>
      <c r="C309" s="62" t="s">
        <v>727</v>
      </c>
      <c r="D309" s="62" t="s">
        <v>728</v>
      </c>
      <c r="E309" s="63" t="s">
        <v>265</v>
      </c>
      <c r="F309" s="64">
        <v>33236.6</v>
      </c>
      <c r="G309" s="64"/>
      <c r="H309" s="63" t="s">
        <v>266</v>
      </c>
      <c r="I309" s="65" t="s">
        <v>213</v>
      </c>
      <c r="J309" s="65"/>
      <c r="K309" s="66" t="s">
        <v>214</v>
      </c>
      <c r="L309" s="67">
        <v>3133102.05</v>
      </c>
    </row>
    <row r="310" spans="1:12" ht="51" hidden="1" x14ac:dyDescent="0.3">
      <c r="A310" s="61" t="s">
        <v>713</v>
      </c>
      <c r="B310" s="62" t="s">
        <v>729</v>
      </c>
      <c r="C310" s="62" t="s">
        <v>730</v>
      </c>
      <c r="D310" s="62" t="s">
        <v>731</v>
      </c>
      <c r="E310" s="63" t="s">
        <v>265</v>
      </c>
      <c r="F310" s="64">
        <v>41545.75</v>
      </c>
      <c r="G310" s="64"/>
      <c r="H310" s="63" t="s">
        <v>266</v>
      </c>
      <c r="I310" s="65" t="s">
        <v>213</v>
      </c>
      <c r="J310" s="65"/>
      <c r="K310" s="66" t="s">
        <v>214</v>
      </c>
      <c r="L310" s="67">
        <v>3174647.8</v>
      </c>
    </row>
    <row r="311" spans="1:12" ht="51" hidden="1" x14ac:dyDescent="0.3">
      <c r="A311" s="61" t="s">
        <v>713</v>
      </c>
      <c r="B311" s="62" t="s">
        <v>732</v>
      </c>
      <c r="C311" s="62" t="s">
        <v>733</v>
      </c>
      <c r="D311" s="62" t="s">
        <v>734</v>
      </c>
      <c r="E311" s="63" t="s">
        <v>265</v>
      </c>
      <c r="F311" s="64">
        <v>33236.6</v>
      </c>
      <c r="G311" s="64"/>
      <c r="H311" s="63" t="s">
        <v>266</v>
      </c>
      <c r="I311" s="65" t="s">
        <v>213</v>
      </c>
      <c r="J311" s="65"/>
      <c r="K311" s="66" t="s">
        <v>214</v>
      </c>
      <c r="L311" s="67">
        <v>3207884.4</v>
      </c>
    </row>
    <row r="312" spans="1:12" ht="51" hidden="1" x14ac:dyDescent="0.3">
      <c r="A312" s="61" t="s">
        <v>713</v>
      </c>
      <c r="B312" s="62" t="s">
        <v>735</v>
      </c>
      <c r="C312" s="62" t="s">
        <v>736</v>
      </c>
      <c r="D312" s="62" t="s">
        <v>737</v>
      </c>
      <c r="E312" s="63" t="s">
        <v>265</v>
      </c>
      <c r="F312" s="64">
        <v>41545.75</v>
      </c>
      <c r="G312" s="64"/>
      <c r="H312" s="63" t="s">
        <v>266</v>
      </c>
      <c r="I312" s="65" t="s">
        <v>213</v>
      </c>
      <c r="J312" s="65"/>
      <c r="K312" s="66" t="s">
        <v>214</v>
      </c>
      <c r="L312" s="67">
        <v>3249430.15</v>
      </c>
    </row>
    <row r="313" spans="1:12" ht="51" hidden="1" x14ac:dyDescent="0.3">
      <c r="A313" s="61" t="s">
        <v>738</v>
      </c>
      <c r="B313" s="62" t="s">
        <v>739</v>
      </c>
      <c r="C313" s="62" t="s">
        <v>740</v>
      </c>
      <c r="D313" s="62" t="s">
        <v>741</v>
      </c>
      <c r="E313" s="63" t="s">
        <v>265</v>
      </c>
      <c r="F313" s="64">
        <v>33236.6</v>
      </c>
      <c r="G313" s="64"/>
      <c r="H313" s="63" t="s">
        <v>266</v>
      </c>
      <c r="I313" s="65" t="s">
        <v>213</v>
      </c>
      <c r="J313" s="65"/>
      <c r="K313" s="66" t="s">
        <v>214</v>
      </c>
      <c r="L313" s="67">
        <v>3282666.75</v>
      </c>
    </row>
    <row r="314" spans="1:12" ht="51" hidden="1" x14ac:dyDescent="0.3">
      <c r="A314" s="61" t="s">
        <v>738</v>
      </c>
      <c r="B314" s="62" t="s">
        <v>742</v>
      </c>
      <c r="C314" s="62" t="s">
        <v>743</v>
      </c>
      <c r="D314" s="62" t="s">
        <v>744</v>
      </c>
      <c r="E314" s="63" t="s">
        <v>265</v>
      </c>
      <c r="F314" s="64">
        <v>41545.75</v>
      </c>
      <c r="G314" s="64"/>
      <c r="H314" s="63" t="s">
        <v>266</v>
      </c>
      <c r="I314" s="65" t="s">
        <v>213</v>
      </c>
      <c r="J314" s="65"/>
      <c r="K314" s="66" t="s">
        <v>214</v>
      </c>
      <c r="L314" s="67">
        <v>3324212.5</v>
      </c>
    </row>
    <row r="315" spans="1:12" ht="51" hidden="1" x14ac:dyDescent="0.3">
      <c r="A315" s="61" t="s">
        <v>738</v>
      </c>
      <c r="B315" s="62" t="s">
        <v>745</v>
      </c>
      <c r="C315" s="62" t="s">
        <v>746</v>
      </c>
      <c r="D315" s="62" t="s">
        <v>747</v>
      </c>
      <c r="E315" s="63" t="s">
        <v>265</v>
      </c>
      <c r="F315" s="64">
        <v>11957.4</v>
      </c>
      <c r="G315" s="64"/>
      <c r="H315" s="63" t="s">
        <v>266</v>
      </c>
      <c r="I315" s="65" t="s">
        <v>213</v>
      </c>
      <c r="J315" s="65"/>
      <c r="K315" s="66" t="s">
        <v>214</v>
      </c>
      <c r="L315" s="67">
        <v>3336169.9</v>
      </c>
    </row>
    <row r="316" spans="1:12" ht="51" hidden="1" x14ac:dyDescent="0.3">
      <c r="A316" s="61" t="s">
        <v>738</v>
      </c>
      <c r="B316" s="62" t="s">
        <v>748</v>
      </c>
      <c r="C316" s="62" t="s">
        <v>746</v>
      </c>
      <c r="D316" s="62" t="s">
        <v>747</v>
      </c>
      <c r="E316" s="63" t="s">
        <v>265</v>
      </c>
      <c r="F316" s="64">
        <v>11293.1</v>
      </c>
      <c r="G316" s="64"/>
      <c r="H316" s="63" t="s">
        <v>266</v>
      </c>
      <c r="I316" s="65" t="s">
        <v>213</v>
      </c>
      <c r="J316" s="65"/>
      <c r="K316" s="66" t="s">
        <v>214</v>
      </c>
      <c r="L316" s="67">
        <v>3347463</v>
      </c>
    </row>
    <row r="317" spans="1:12" ht="51" hidden="1" x14ac:dyDescent="0.3">
      <c r="A317" s="61" t="s">
        <v>738</v>
      </c>
      <c r="B317" s="62" t="s">
        <v>749</v>
      </c>
      <c r="C317" s="62" t="s">
        <v>750</v>
      </c>
      <c r="D317" s="62" t="s">
        <v>751</v>
      </c>
      <c r="E317" s="63" t="s">
        <v>265</v>
      </c>
      <c r="F317" s="64">
        <v>29824.42</v>
      </c>
      <c r="G317" s="64"/>
      <c r="H317" s="63" t="s">
        <v>266</v>
      </c>
      <c r="I317" s="65" t="s">
        <v>213</v>
      </c>
      <c r="J317" s="65"/>
      <c r="K317" s="66" t="s">
        <v>214</v>
      </c>
      <c r="L317" s="67">
        <v>3377287.42</v>
      </c>
    </row>
    <row r="318" spans="1:12" ht="51" hidden="1" x14ac:dyDescent="0.3">
      <c r="A318" s="61" t="s">
        <v>752</v>
      </c>
      <c r="B318" s="62" t="s">
        <v>753</v>
      </c>
      <c r="C318" s="62" t="s">
        <v>754</v>
      </c>
      <c r="D318" s="62" t="s">
        <v>755</v>
      </c>
      <c r="E318" s="63" t="s">
        <v>265</v>
      </c>
      <c r="F318" s="64">
        <v>4250.3999999999996</v>
      </c>
      <c r="G318" s="64"/>
      <c r="H318" s="63" t="s">
        <v>266</v>
      </c>
      <c r="I318" s="65" t="s">
        <v>213</v>
      </c>
      <c r="J318" s="65"/>
      <c r="K318" s="66" t="s">
        <v>214</v>
      </c>
      <c r="L318" s="67">
        <v>3381537.82</v>
      </c>
    </row>
    <row r="319" spans="1:12" ht="51" hidden="1" x14ac:dyDescent="0.3">
      <c r="A319" s="61" t="s">
        <v>752</v>
      </c>
      <c r="B319" s="62" t="s">
        <v>756</v>
      </c>
      <c r="C319" s="62" t="s">
        <v>757</v>
      </c>
      <c r="D319" s="62" t="s">
        <v>758</v>
      </c>
      <c r="E319" s="63" t="s">
        <v>265</v>
      </c>
      <c r="F319" s="64">
        <v>24292.799999999999</v>
      </c>
      <c r="G319" s="64"/>
      <c r="H319" s="63" t="s">
        <v>266</v>
      </c>
      <c r="I319" s="65" t="s">
        <v>213</v>
      </c>
      <c r="J319" s="65"/>
      <c r="K319" s="66" t="s">
        <v>214</v>
      </c>
      <c r="L319" s="67">
        <v>3405830.62</v>
      </c>
    </row>
    <row r="320" spans="1:12" ht="51" hidden="1" x14ac:dyDescent="0.3">
      <c r="A320" s="61" t="s">
        <v>752</v>
      </c>
      <c r="B320" s="62" t="s">
        <v>759</v>
      </c>
      <c r="C320" s="62" t="s">
        <v>757</v>
      </c>
      <c r="D320" s="62" t="s">
        <v>758</v>
      </c>
      <c r="E320" s="63" t="s">
        <v>265</v>
      </c>
      <c r="F320" s="64">
        <v>22943.200000000001</v>
      </c>
      <c r="G320" s="64"/>
      <c r="H320" s="63" t="s">
        <v>266</v>
      </c>
      <c r="I320" s="65" t="s">
        <v>213</v>
      </c>
      <c r="J320" s="65"/>
      <c r="K320" s="66" t="s">
        <v>214</v>
      </c>
      <c r="L320" s="67">
        <v>3428773.82</v>
      </c>
    </row>
    <row r="321" spans="1:12" ht="51" hidden="1" x14ac:dyDescent="0.3">
      <c r="A321" s="61" t="s">
        <v>752</v>
      </c>
      <c r="B321" s="62" t="s">
        <v>760</v>
      </c>
      <c r="C321" s="62" t="s">
        <v>761</v>
      </c>
      <c r="D321" s="62" t="s">
        <v>762</v>
      </c>
      <c r="E321" s="63" t="s">
        <v>265</v>
      </c>
      <c r="F321" s="64">
        <v>57109.03</v>
      </c>
      <c r="G321" s="64"/>
      <c r="H321" s="63" t="s">
        <v>266</v>
      </c>
      <c r="I321" s="65" t="s">
        <v>213</v>
      </c>
      <c r="J321" s="65"/>
      <c r="K321" s="66" t="s">
        <v>214</v>
      </c>
      <c r="L321" s="67">
        <v>3485882.85</v>
      </c>
    </row>
    <row r="322" spans="1:12" ht="51" hidden="1" x14ac:dyDescent="0.3">
      <c r="A322" s="61" t="s">
        <v>763</v>
      </c>
      <c r="B322" s="62" t="s">
        <v>764</v>
      </c>
      <c r="C322" s="62" t="s">
        <v>765</v>
      </c>
      <c r="D322" s="62" t="s">
        <v>766</v>
      </c>
      <c r="E322" s="63" t="s">
        <v>265</v>
      </c>
      <c r="F322" s="64">
        <v>17850</v>
      </c>
      <c r="G322" s="64"/>
      <c r="H322" s="63" t="s">
        <v>266</v>
      </c>
      <c r="I322" s="65" t="s">
        <v>213</v>
      </c>
      <c r="J322" s="65"/>
      <c r="K322" s="66" t="s">
        <v>214</v>
      </c>
      <c r="L322" s="67">
        <v>3503732.85</v>
      </c>
    </row>
    <row r="323" spans="1:12" ht="51" hidden="1" x14ac:dyDescent="0.3">
      <c r="A323" s="61" t="s">
        <v>763</v>
      </c>
      <c r="B323" s="62" t="s">
        <v>767</v>
      </c>
      <c r="C323" s="62" t="s">
        <v>768</v>
      </c>
      <c r="D323" s="62" t="s">
        <v>769</v>
      </c>
      <c r="E323" s="63" t="s">
        <v>265</v>
      </c>
      <c r="F323" s="64">
        <v>20008.169999999998</v>
      </c>
      <c r="G323" s="64"/>
      <c r="H323" s="63" t="s">
        <v>266</v>
      </c>
      <c r="I323" s="65" t="s">
        <v>213</v>
      </c>
      <c r="J323" s="65"/>
      <c r="K323" s="66" t="s">
        <v>214</v>
      </c>
      <c r="L323" s="67">
        <v>3523741.02</v>
      </c>
    </row>
    <row r="324" spans="1:12" ht="51" hidden="1" x14ac:dyDescent="0.3">
      <c r="A324" s="61" t="s">
        <v>770</v>
      </c>
      <c r="B324" s="62" t="s">
        <v>771</v>
      </c>
      <c r="C324" s="62" t="s">
        <v>772</v>
      </c>
      <c r="D324" s="62" t="s">
        <v>773</v>
      </c>
      <c r="E324" s="63" t="s">
        <v>265</v>
      </c>
      <c r="F324" s="64">
        <v>39003.68</v>
      </c>
      <c r="G324" s="64"/>
      <c r="H324" s="63" t="s">
        <v>266</v>
      </c>
      <c r="I324" s="65" t="s">
        <v>213</v>
      </c>
      <c r="J324" s="65"/>
      <c r="K324" s="66" t="s">
        <v>214</v>
      </c>
      <c r="L324" s="67">
        <v>3562744.7</v>
      </c>
    </row>
    <row r="325" spans="1:12" ht="51" hidden="1" x14ac:dyDescent="0.3">
      <c r="A325" s="61" t="s">
        <v>774</v>
      </c>
      <c r="B325" s="62" t="s">
        <v>775</v>
      </c>
      <c r="C325" s="62" t="s">
        <v>776</v>
      </c>
      <c r="D325" s="62" t="s">
        <v>777</v>
      </c>
      <c r="E325" s="63" t="s">
        <v>265</v>
      </c>
      <c r="F325" s="64">
        <v>38481.019999999997</v>
      </c>
      <c r="G325" s="64"/>
      <c r="H325" s="63" t="s">
        <v>266</v>
      </c>
      <c r="I325" s="65" t="s">
        <v>213</v>
      </c>
      <c r="J325" s="65"/>
      <c r="K325" s="66" t="s">
        <v>214</v>
      </c>
      <c r="L325" s="67">
        <v>3601225.72</v>
      </c>
    </row>
    <row r="326" spans="1:12" ht="51" hidden="1" x14ac:dyDescent="0.3">
      <c r="A326" s="61" t="s">
        <v>778</v>
      </c>
      <c r="B326" s="62" t="s">
        <v>779</v>
      </c>
      <c r="C326" s="62" t="s">
        <v>780</v>
      </c>
      <c r="D326" s="62" t="s">
        <v>781</v>
      </c>
      <c r="E326" s="63" t="s">
        <v>265</v>
      </c>
      <c r="F326" s="64">
        <v>37860.36</v>
      </c>
      <c r="G326" s="64"/>
      <c r="H326" s="63" t="s">
        <v>266</v>
      </c>
      <c r="I326" s="65" t="s">
        <v>213</v>
      </c>
      <c r="J326" s="65"/>
      <c r="K326" s="66" t="s">
        <v>214</v>
      </c>
      <c r="L326" s="67">
        <v>3639086.08</v>
      </c>
    </row>
    <row r="327" spans="1:12" ht="51" hidden="1" x14ac:dyDescent="0.3">
      <c r="A327" s="61" t="s">
        <v>778</v>
      </c>
      <c r="B327" s="62" t="s">
        <v>782</v>
      </c>
      <c r="C327" s="62" t="s">
        <v>783</v>
      </c>
      <c r="D327" s="62" t="s">
        <v>784</v>
      </c>
      <c r="E327" s="63" t="s">
        <v>265</v>
      </c>
      <c r="F327" s="64">
        <v>4788</v>
      </c>
      <c r="G327" s="64"/>
      <c r="H327" s="63" t="s">
        <v>266</v>
      </c>
      <c r="I327" s="65" t="s">
        <v>213</v>
      </c>
      <c r="J327" s="65"/>
      <c r="K327" s="66" t="s">
        <v>214</v>
      </c>
      <c r="L327" s="67">
        <v>3643874.08</v>
      </c>
    </row>
    <row r="328" spans="1:12" ht="51" hidden="1" x14ac:dyDescent="0.3">
      <c r="A328" s="61" t="s">
        <v>785</v>
      </c>
      <c r="B328" s="62" t="s">
        <v>786</v>
      </c>
      <c r="C328" s="62" t="s">
        <v>787</v>
      </c>
      <c r="D328" s="62" t="s">
        <v>788</v>
      </c>
      <c r="E328" s="63" t="s">
        <v>265</v>
      </c>
      <c r="F328" s="64">
        <v>38277.25</v>
      </c>
      <c r="G328" s="64"/>
      <c r="H328" s="63" t="s">
        <v>266</v>
      </c>
      <c r="I328" s="65" t="s">
        <v>213</v>
      </c>
      <c r="J328" s="65"/>
      <c r="K328" s="66" t="s">
        <v>214</v>
      </c>
      <c r="L328" s="67">
        <v>3682151.33</v>
      </c>
    </row>
    <row r="329" spans="1:12" ht="51" hidden="1" x14ac:dyDescent="0.3">
      <c r="A329" s="61" t="s">
        <v>789</v>
      </c>
      <c r="B329" s="62" t="s">
        <v>790</v>
      </c>
      <c r="C329" s="62" t="s">
        <v>791</v>
      </c>
      <c r="D329" s="62" t="s">
        <v>792</v>
      </c>
      <c r="E329" s="63" t="s">
        <v>265</v>
      </c>
      <c r="F329" s="64">
        <v>14156</v>
      </c>
      <c r="G329" s="64"/>
      <c r="H329" s="63" t="s">
        <v>266</v>
      </c>
      <c r="I329" s="65" t="s">
        <v>213</v>
      </c>
      <c r="J329" s="65"/>
      <c r="K329" s="66" t="s">
        <v>214</v>
      </c>
      <c r="L329" s="67">
        <v>3696307.33</v>
      </c>
    </row>
    <row r="330" spans="1:12" ht="51" hidden="1" x14ac:dyDescent="0.3">
      <c r="A330" s="61" t="s">
        <v>789</v>
      </c>
      <c r="B330" s="62" t="s">
        <v>793</v>
      </c>
      <c r="C330" s="62" t="s">
        <v>791</v>
      </c>
      <c r="D330" s="62" t="s">
        <v>792</v>
      </c>
      <c r="E330" s="63" t="s">
        <v>265</v>
      </c>
      <c r="F330" s="64">
        <v>12681.42</v>
      </c>
      <c r="G330" s="64"/>
      <c r="H330" s="63" t="s">
        <v>266</v>
      </c>
      <c r="I330" s="65" t="s">
        <v>213</v>
      </c>
      <c r="J330" s="65"/>
      <c r="K330" s="66" t="s">
        <v>214</v>
      </c>
      <c r="L330" s="67">
        <v>3708988.75</v>
      </c>
    </row>
    <row r="331" spans="1:12" ht="51" hidden="1" x14ac:dyDescent="0.3">
      <c r="A331" s="61" t="s">
        <v>789</v>
      </c>
      <c r="B331" s="62" t="s">
        <v>794</v>
      </c>
      <c r="C331" s="62" t="s">
        <v>795</v>
      </c>
      <c r="D331" s="62" t="s">
        <v>796</v>
      </c>
      <c r="E331" s="63" t="s">
        <v>265</v>
      </c>
      <c r="F331" s="64">
        <v>4363.8</v>
      </c>
      <c r="G331" s="64"/>
      <c r="H331" s="63" t="s">
        <v>266</v>
      </c>
      <c r="I331" s="65" t="s">
        <v>213</v>
      </c>
      <c r="J331" s="65"/>
      <c r="K331" s="66" t="s">
        <v>214</v>
      </c>
      <c r="L331" s="67">
        <v>3713352.55</v>
      </c>
    </row>
    <row r="332" spans="1:12" ht="51" hidden="1" x14ac:dyDescent="0.3">
      <c r="A332" s="61" t="s">
        <v>789</v>
      </c>
      <c r="B332" s="62" t="s">
        <v>797</v>
      </c>
      <c r="C332" s="62" t="s">
        <v>798</v>
      </c>
      <c r="D332" s="62" t="s">
        <v>799</v>
      </c>
      <c r="E332" s="63" t="s">
        <v>265</v>
      </c>
      <c r="F332" s="64">
        <v>13612</v>
      </c>
      <c r="G332" s="64"/>
      <c r="H332" s="63" t="s">
        <v>266</v>
      </c>
      <c r="I332" s="65" t="s">
        <v>213</v>
      </c>
      <c r="J332" s="65"/>
      <c r="K332" s="66" t="s">
        <v>214</v>
      </c>
      <c r="L332" s="67">
        <v>3726964.55</v>
      </c>
    </row>
    <row r="333" spans="1:12" ht="51" hidden="1" x14ac:dyDescent="0.3">
      <c r="A333" s="61" t="s">
        <v>789</v>
      </c>
      <c r="B333" s="62" t="s">
        <v>800</v>
      </c>
      <c r="C333" s="62" t="s">
        <v>798</v>
      </c>
      <c r="D333" s="62" t="s">
        <v>799</v>
      </c>
      <c r="E333" s="63" t="s">
        <v>265</v>
      </c>
      <c r="F333" s="64">
        <v>12194.08</v>
      </c>
      <c r="G333" s="64"/>
      <c r="H333" s="63" t="s">
        <v>266</v>
      </c>
      <c r="I333" s="65" t="s">
        <v>213</v>
      </c>
      <c r="J333" s="65"/>
      <c r="K333" s="66" t="s">
        <v>214</v>
      </c>
      <c r="L333" s="67">
        <v>3739158.63</v>
      </c>
    </row>
    <row r="334" spans="1:12" ht="51" hidden="1" x14ac:dyDescent="0.3">
      <c r="A334" s="61" t="s">
        <v>801</v>
      </c>
      <c r="B334" s="62" t="s">
        <v>802</v>
      </c>
      <c r="C334" s="62" t="s">
        <v>803</v>
      </c>
      <c r="D334" s="62" t="s">
        <v>804</v>
      </c>
      <c r="E334" s="63" t="s">
        <v>265</v>
      </c>
      <c r="F334" s="64">
        <v>58164.05</v>
      </c>
      <c r="G334" s="64"/>
      <c r="H334" s="63" t="s">
        <v>266</v>
      </c>
      <c r="I334" s="65" t="s">
        <v>213</v>
      </c>
      <c r="J334" s="65"/>
      <c r="K334" s="66" t="s">
        <v>214</v>
      </c>
      <c r="L334" s="67">
        <v>3797322.68</v>
      </c>
    </row>
    <row r="335" spans="1:12" ht="51" hidden="1" x14ac:dyDescent="0.3">
      <c r="A335" s="61" t="s">
        <v>801</v>
      </c>
      <c r="B335" s="62" t="s">
        <v>805</v>
      </c>
      <c r="C335" s="62" t="s">
        <v>806</v>
      </c>
      <c r="D335" s="62" t="s">
        <v>807</v>
      </c>
      <c r="E335" s="63" t="s">
        <v>265</v>
      </c>
      <c r="F335" s="64">
        <v>58164.05</v>
      </c>
      <c r="G335" s="64"/>
      <c r="H335" s="63" t="s">
        <v>266</v>
      </c>
      <c r="I335" s="65" t="s">
        <v>213</v>
      </c>
      <c r="J335" s="65"/>
      <c r="K335" s="66" t="s">
        <v>214</v>
      </c>
      <c r="L335" s="67">
        <v>3855486.73</v>
      </c>
    </row>
    <row r="336" spans="1:12" ht="51" hidden="1" x14ac:dyDescent="0.3">
      <c r="A336" s="61" t="s">
        <v>801</v>
      </c>
      <c r="B336" s="62" t="s">
        <v>808</v>
      </c>
      <c r="C336" s="62" t="s">
        <v>809</v>
      </c>
      <c r="D336" s="62" t="s">
        <v>810</v>
      </c>
      <c r="E336" s="63" t="s">
        <v>265</v>
      </c>
      <c r="F336" s="64">
        <v>4452</v>
      </c>
      <c r="G336" s="64"/>
      <c r="H336" s="63" t="s">
        <v>266</v>
      </c>
      <c r="I336" s="65" t="s">
        <v>213</v>
      </c>
      <c r="J336" s="65"/>
      <c r="K336" s="66" t="s">
        <v>214</v>
      </c>
      <c r="L336" s="67">
        <v>3859938.73</v>
      </c>
    </row>
    <row r="337" spans="1:12" ht="51" hidden="1" x14ac:dyDescent="0.3">
      <c r="A337" s="61" t="s">
        <v>811</v>
      </c>
      <c r="B337" s="62" t="s">
        <v>812</v>
      </c>
      <c r="C337" s="62" t="s">
        <v>813</v>
      </c>
      <c r="D337" s="62" t="s">
        <v>814</v>
      </c>
      <c r="E337" s="63" t="s">
        <v>265</v>
      </c>
      <c r="F337" s="68">
        <v>12</v>
      </c>
      <c r="G337" s="68"/>
      <c r="H337" s="63" t="s">
        <v>266</v>
      </c>
      <c r="I337" s="65" t="s">
        <v>213</v>
      </c>
      <c r="J337" s="65"/>
      <c r="K337" s="66" t="s">
        <v>214</v>
      </c>
      <c r="L337" s="67">
        <v>3859950.73</v>
      </c>
    </row>
    <row r="338" spans="1:12" ht="51" hidden="1" x14ac:dyDescent="0.3">
      <c r="A338" s="61" t="s">
        <v>811</v>
      </c>
      <c r="B338" s="62" t="s">
        <v>812</v>
      </c>
      <c r="C338" s="62" t="s">
        <v>815</v>
      </c>
      <c r="D338" s="62" t="s">
        <v>814</v>
      </c>
      <c r="E338" s="63" t="s">
        <v>265</v>
      </c>
      <c r="F338" s="68">
        <v>570</v>
      </c>
      <c r="G338" s="68"/>
      <c r="H338" s="63" t="s">
        <v>266</v>
      </c>
      <c r="I338" s="65" t="s">
        <v>213</v>
      </c>
      <c r="J338" s="65"/>
      <c r="K338" s="66" t="s">
        <v>214</v>
      </c>
      <c r="L338" s="67">
        <v>3860520.73</v>
      </c>
    </row>
    <row r="339" spans="1:12" ht="51" hidden="1" x14ac:dyDescent="0.3">
      <c r="A339" s="61" t="s">
        <v>811</v>
      </c>
      <c r="B339" s="62" t="s">
        <v>812</v>
      </c>
      <c r="C339" s="62" t="s">
        <v>816</v>
      </c>
      <c r="D339" s="62" t="s">
        <v>814</v>
      </c>
      <c r="E339" s="63" t="s">
        <v>265</v>
      </c>
      <c r="F339" s="68">
        <v>30</v>
      </c>
      <c r="G339" s="68"/>
      <c r="H339" s="63" t="s">
        <v>266</v>
      </c>
      <c r="I339" s="65" t="s">
        <v>213</v>
      </c>
      <c r="J339" s="65"/>
      <c r="K339" s="66" t="s">
        <v>214</v>
      </c>
      <c r="L339" s="67">
        <v>3860550.73</v>
      </c>
    </row>
    <row r="340" spans="1:12" ht="51" hidden="1" x14ac:dyDescent="0.3">
      <c r="A340" s="61" t="s">
        <v>811</v>
      </c>
      <c r="B340" s="62" t="s">
        <v>812</v>
      </c>
      <c r="C340" s="62" t="s">
        <v>817</v>
      </c>
      <c r="D340" s="62" t="s">
        <v>814</v>
      </c>
      <c r="E340" s="63" t="s">
        <v>265</v>
      </c>
      <c r="F340" s="68">
        <v>60</v>
      </c>
      <c r="G340" s="68"/>
      <c r="H340" s="63" t="s">
        <v>266</v>
      </c>
      <c r="I340" s="65" t="s">
        <v>213</v>
      </c>
      <c r="J340" s="65"/>
      <c r="K340" s="66" t="s">
        <v>214</v>
      </c>
      <c r="L340" s="67">
        <v>3860610.73</v>
      </c>
    </row>
    <row r="341" spans="1:12" ht="51" hidden="1" x14ac:dyDescent="0.3">
      <c r="A341" s="61" t="s">
        <v>811</v>
      </c>
      <c r="B341" s="62" t="s">
        <v>812</v>
      </c>
      <c r="C341" s="62" t="s">
        <v>818</v>
      </c>
      <c r="D341" s="62" t="s">
        <v>814</v>
      </c>
      <c r="E341" s="63" t="s">
        <v>265</v>
      </c>
      <c r="F341" s="68">
        <v>40</v>
      </c>
      <c r="G341" s="68"/>
      <c r="H341" s="63" t="s">
        <v>266</v>
      </c>
      <c r="I341" s="65" t="s">
        <v>213</v>
      </c>
      <c r="J341" s="65"/>
      <c r="K341" s="66" t="s">
        <v>214</v>
      </c>
      <c r="L341" s="67">
        <v>3860650.73</v>
      </c>
    </row>
    <row r="342" spans="1:12" ht="51" hidden="1" x14ac:dyDescent="0.3">
      <c r="A342" s="61" t="s">
        <v>811</v>
      </c>
      <c r="B342" s="62" t="s">
        <v>812</v>
      </c>
      <c r="C342" s="62" t="s">
        <v>819</v>
      </c>
      <c r="D342" s="62" t="s">
        <v>814</v>
      </c>
      <c r="E342" s="63" t="s">
        <v>265</v>
      </c>
      <c r="F342" s="68">
        <v>81</v>
      </c>
      <c r="G342" s="68"/>
      <c r="H342" s="63" t="s">
        <v>266</v>
      </c>
      <c r="I342" s="65" t="s">
        <v>213</v>
      </c>
      <c r="J342" s="65"/>
      <c r="K342" s="66" t="s">
        <v>214</v>
      </c>
      <c r="L342" s="67">
        <v>3860731.73</v>
      </c>
    </row>
    <row r="343" spans="1:12" ht="51" hidden="1" x14ac:dyDescent="0.3">
      <c r="A343" s="61" t="s">
        <v>811</v>
      </c>
      <c r="B343" s="62" t="s">
        <v>812</v>
      </c>
      <c r="C343" s="62" t="s">
        <v>820</v>
      </c>
      <c r="D343" s="62" t="s">
        <v>814</v>
      </c>
      <c r="E343" s="63" t="s">
        <v>265</v>
      </c>
      <c r="F343" s="68">
        <v>340</v>
      </c>
      <c r="G343" s="68"/>
      <c r="H343" s="63" t="s">
        <v>266</v>
      </c>
      <c r="I343" s="65" t="s">
        <v>213</v>
      </c>
      <c r="J343" s="65"/>
      <c r="K343" s="66" t="s">
        <v>214</v>
      </c>
      <c r="L343" s="67">
        <v>3861071.73</v>
      </c>
    </row>
    <row r="344" spans="1:12" ht="51" hidden="1" x14ac:dyDescent="0.3">
      <c r="A344" s="61" t="s">
        <v>821</v>
      </c>
      <c r="B344" s="62" t="s">
        <v>822</v>
      </c>
      <c r="C344" s="62" t="s">
        <v>823</v>
      </c>
      <c r="D344" s="62" t="s">
        <v>824</v>
      </c>
      <c r="E344" s="63" t="s">
        <v>265</v>
      </c>
      <c r="F344" s="64">
        <v>21604</v>
      </c>
      <c r="G344" s="64"/>
      <c r="H344" s="63" t="s">
        <v>266</v>
      </c>
      <c r="I344" s="65" t="s">
        <v>213</v>
      </c>
      <c r="J344" s="65"/>
      <c r="K344" s="66" t="s">
        <v>214</v>
      </c>
      <c r="L344" s="67">
        <v>3882675.73</v>
      </c>
    </row>
    <row r="345" spans="1:12" ht="51" hidden="1" x14ac:dyDescent="0.3">
      <c r="A345" s="61" t="s">
        <v>821</v>
      </c>
      <c r="B345" s="62" t="s">
        <v>825</v>
      </c>
      <c r="C345" s="62" t="s">
        <v>823</v>
      </c>
      <c r="D345" s="62" t="s">
        <v>824</v>
      </c>
      <c r="E345" s="63" t="s">
        <v>265</v>
      </c>
      <c r="F345" s="64">
        <v>19353.580000000002</v>
      </c>
      <c r="G345" s="64"/>
      <c r="H345" s="63" t="s">
        <v>266</v>
      </c>
      <c r="I345" s="65" t="s">
        <v>213</v>
      </c>
      <c r="J345" s="65"/>
      <c r="K345" s="66" t="s">
        <v>214</v>
      </c>
      <c r="L345" s="67">
        <v>3902029.31</v>
      </c>
    </row>
    <row r="346" spans="1:12" ht="51" hidden="1" x14ac:dyDescent="0.3">
      <c r="A346" s="61" t="s">
        <v>821</v>
      </c>
      <c r="B346" s="62" t="s">
        <v>826</v>
      </c>
      <c r="C346" s="62" t="s">
        <v>827</v>
      </c>
      <c r="D346" s="62" t="s">
        <v>828</v>
      </c>
      <c r="E346" s="63" t="s">
        <v>265</v>
      </c>
      <c r="F346" s="64">
        <v>9437.4</v>
      </c>
      <c r="G346" s="64"/>
      <c r="H346" s="63" t="s">
        <v>266</v>
      </c>
      <c r="I346" s="65" t="s">
        <v>213</v>
      </c>
      <c r="J346" s="65"/>
      <c r="K346" s="66" t="s">
        <v>214</v>
      </c>
      <c r="L346" s="67">
        <v>3911466.71</v>
      </c>
    </row>
    <row r="347" spans="1:12" ht="51" hidden="1" x14ac:dyDescent="0.3">
      <c r="A347" s="61" t="s">
        <v>247</v>
      </c>
      <c r="B347" s="62" t="s">
        <v>829</v>
      </c>
      <c r="C347" s="62" t="s">
        <v>830</v>
      </c>
      <c r="D347" s="62" t="s">
        <v>492</v>
      </c>
      <c r="E347" s="63" t="s">
        <v>265</v>
      </c>
      <c r="F347" s="69" t="s">
        <v>213</v>
      </c>
      <c r="G347" s="69"/>
      <c r="H347" s="63" t="s">
        <v>265</v>
      </c>
      <c r="I347" s="71">
        <v>37550</v>
      </c>
      <c r="J347" s="71"/>
      <c r="K347" s="66" t="s">
        <v>214</v>
      </c>
      <c r="L347" s="67">
        <v>3873916.71</v>
      </c>
    </row>
    <row r="348" spans="1:12" ht="51" hidden="1" x14ac:dyDescent="0.3">
      <c r="A348" s="61" t="s">
        <v>247</v>
      </c>
      <c r="B348" s="62" t="s">
        <v>829</v>
      </c>
      <c r="C348" s="62" t="s">
        <v>831</v>
      </c>
      <c r="D348" s="62" t="s">
        <v>494</v>
      </c>
      <c r="E348" s="63" t="s">
        <v>265</v>
      </c>
      <c r="F348" s="69" t="s">
        <v>213</v>
      </c>
      <c r="G348" s="69"/>
      <c r="H348" s="63" t="s">
        <v>265</v>
      </c>
      <c r="I348" s="71">
        <v>30040</v>
      </c>
      <c r="J348" s="71"/>
      <c r="K348" s="66" t="s">
        <v>214</v>
      </c>
      <c r="L348" s="67">
        <v>3843876.71</v>
      </c>
    </row>
    <row r="349" spans="1:12" ht="51" hidden="1" x14ac:dyDescent="0.3">
      <c r="A349" s="61" t="s">
        <v>247</v>
      </c>
      <c r="B349" s="62" t="s">
        <v>829</v>
      </c>
      <c r="C349" s="62" t="s">
        <v>831</v>
      </c>
      <c r="D349" s="62" t="s">
        <v>494</v>
      </c>
      <c r="E349" s="63" t="s">
        <v>265</v>
      </c>
      <c r="F349" s="69" t="s">
        <v>213</v>
      </c>
      <c r="G349" s="69"/>
      <c r="H349" s="63" t="s">
        <v>265</v>
      </c>
      <c r="I349" s="71">
        <v>7510</v>
      </c>
      <c r="J349" s="71"/>
      <c r="K349" s="66" t="s">
        <v>214</v>
      </c>
      <c r="L349" s="67">
        <v>3836366.71</v>
      </c>
    </row>
    <row r="350" spans="1:12" ht="51" hidden="1" x14ac:dyDescent="0.3">
      <c r="A350" s="61" t="s">
        <v>247</v>
      </c>
      <c r="B350" s="62" t="s">
        <v>829</v>
      </c>
      <c r="C350" s="62" t="s">
        <v>832</v>
      </c>
      <c r="D350" s="62" t="s">
        <v>496</v>
      </c>
      <c r="E350" s="63" t="s">
        <v>265</v>
      </c>
      <c r="F350" s="69" t="s">
        <v>213</v>
      </c>
      <c r="G350" s="69"/>
      <c r="H350" s="63" t="s">
        <v>265</v>
      </c>
      <c r="I350" s="71">
        <v>37550</v>
      </c>
      <c r="J350" s="71"/>
      <c r="K350" s="66" t="s">
        <v>214</v>
      </c>
      <c r="L350" s="67">
        <v>3798816.71</v>
      </c>
    </row>
    <row r="351" spans="1:12" ht="51" hidden="1" x14ac:dyDescent="0.3">
      <c r="A351" s="61" t="s">
        <v>247</v>
      </c>
      <c r="B351" s="62" t="s">
        <v>829</v>
      </c>
      <c r="C351" s="62" t="s">
        <v>833</v>
      </c>
      <c r="D351" s="62" t="s">
        <v>498</v>
      </c>
      <c r="E351" s="63" t="s">
        <v>265</v>
      </c>
      <c r="F351" s="69" t="s">
        <v>213</v>
      </c>
      <c r="G351" s="69"/>
      <c r="H351" s="63" t="s">
        <v>265</v>
      </c>
      <c r="I351" s="71">
        <v>37550</v>
      </c>
      <c r="J351" s="71"/>
      <c r="K351" s="66" t="s">
        <v>214</v>
      </c>
      <c r="L351" s="67">
        <v>3761266.71</v>
      </c>
    </row>
    <row r="352" spans="1:12" ht="51" hidden="1" x14ac:dyDescent="0.3">
      <c r="A352" s="61" t="s">
        <v>247</v>
      </c>
      <c r="B352" s="62" t="s">
        <v>829</v>
      </c>
      <c r="C352" s="62" t="s">
        <v>834</v>
      </c>
      <c r="D352" s="62" t="s">
        <v>527</v>
      </c>
      <c r="E352" s="63" t="s">
        <v>265</v>
      </c>
      <c r="F352" s="69" t="s">
        <v>213</v>
      </c>
      <c r="G352" s="69"/>
      <c r="H352" s="63" t="s">
        <v>265</v>
      </c>
      <c r="I352" s="71">
        <v>37550</v>
      </c>
      <c r="J352" s="71"/>
      <c r="K352" s="66" t="s">
        <v>214</v>
      </c>
      <c r="L352" s="67">
        <v>3723716.71</v>
      </c>
    </row>
    <row r="353" spans="1:12" ht="51" hidden="1" x14ac:dyDescent="0.3">
      <c r="A353" s="61" t="s">
        <v>247</v>
      </c>
      <c r="B353" s="62" t="s">
        <v>829</v>
      </c>
      <c r="C353" s="62" t="s">
        <v>834</v>
      </c>
      <c r="D353" s="62" t="s">
        <v>527</v>
      </c>
      <c r="E353" s="63" t="s">
        <v>265</v>
      </c>
      <c r="F353" s="69" t="s">
        <v>213</v>
      </c>
      <c r="G353" s="69"/>
      <c r="H353" s="63" t="s">
        <v>265</v>
      </c>
      <c r="I353" s="71">
        <v>37550</v>
      </c>
      <c r="J353" s="71"/>
      <c r="K353" s="66" t="s">
        <v>214</v>
      </c>
      <c r="L353" s="67">
        <v>3686166.71</v>
      </c>
    </row>
    <row r="354" spans="1:12" ht="51" hidden="1" x14ac:dyDescent="0.3">
      <c r="A354" s="61" t="s">
        <v>247</v>
      </c>
      <c r="B354" s="62" t="s">
        <v>829</v>
      </c>
      <c r="C354" s="62" t="s">
        <v>835</v>
      </c>
      <c r="D354" s="62" t="s">
        <v>543</v>
      </c>
      <c r="E354" s="63" t="s">
        <v>265</v>
      </c>
      <c r="F354" s="69" t="s">
        <v>213</v>
      </c>
      <c r="G354" s="69"/>
      <c r="H354" s="63" t="s">
        <v>265</v>
      </c>
      <c r="I354" s="71">
        <v>37550</v>
      </c>
      <c r="J354" s="71"/>
      <c r="K354" s="66" t="s">
        <v>214</v>
      </c>
      <c r="L354" s="67">
        <v>3648616.71</v>
      </c>
    </row>
    <row r="355" spans="1:12" ht="51" hidden="1" x14ac:dyDescent="0.3">
      <c r="A355" s="61" t="s">
        <v>247</v>
      </c>
      <c r="B355" s="62" t="s">
        <v>829</v>
      </c>
      <c r="C355" s="62" t="s">
        <v>836</v>
      </c>
      <c r="D355" s="62" t="s">
        <v>522</v>
      </c>
      <c r="E355" s="63" t="s">
        <v>265</v>
      </c>
      <c r="F355" s="69" t="s">
        <v>213</v>
      </c>
      <c r="G355" s="69"/>
      <c r="H355" s="63" t="s">
        <v>265</v>
      </c>
      <c r="I355" s="71">
        <v>72540</v>
      </c>
      <c r="J355" s="71"/>
      <c r="K355" s="66" t="s">
        <v>214</v>
      </c>
      <c r="L355" s="67">
        <v>3576076.71</v>
      </c>
    </row>
    <row r="356" spans="1:12" ht="51" hidden="1" x14ac:dyDescent="0.3">
      <c r="A356" s="61" t="s">
        <v>247</v>
      </c>
      <c r="B356" s="62" t="s">
        <v>829</v>
      </c>
      <c r="C356" s="62" t="s">
        <v>837</v>
      </c>
      <c r="D356" s="62" t="s">
        <v>525</v>
      </c>
      <c r="E356" s="63" t="s">
        <v>265</v>
      </c>
      <c r="F356" s="69" t="s">
        <v>213</v>
      </c>
      <c r="G356" s="69"/>
      <c r="H356" s="63" t="s">
        <v>265</v>
      </c>
      <c r="I356" s="71">
        <v>72540</v>
      </c>
      <c r="J356" s="71"/>
      <c r="K356" s="66" t="s">
        <v>214</v>
      </c>
      <c r="L356" s="67">
        <v>3503536.71</v>
      </c>
    </row>
    <row r="357" spans="1:12" ht="51" hidden="1" x14ac:dyDescent="0.3">
      <c r="A357" s="61" t="s">
        <v>247</v>
      </c>
      <c r="B357" s="62" t="s">
        <v>829</v>
      </c>
      <c r="C357" s="62" t="s">
        <v>838</v>
      </c>
      <c r="D357" s="62" t="s">
        <v>530</v>
      </c>
      <c r="E357" s="63" t="s">
        <v>265</v>
      </c>
      <c r="F357" s="69" t="s">
        <v>213</v>
      </c>
      <c r="G357" s="69"/>
      <c r="H357" s="63" t="s">
        <v>265</v>
      </c>
      <c r="I357" s="71">
        <v>41545.75</v>
      </c>
      <c r="J357" s="71"/>
      <c r="K357" s="66" t="s">
        <v>214</v>
      </c>
      <c r="L357" s="67">
        <v>3461990.96</v>
      </c>
    </row>
    <row r="358" spans="1:12" ht="51" hidden="1" x14ac:dyDescent="0.3">
      <c r="A358" s="61" t="s">
        <v>247</v>
      </c>
      <c r="B358" s="62" t="s">
        <v>829</v>
      </c>
      <c r="C358" s="62" t="s">
        <v>838</v>
      </c>
      <c r="D358" s="62" t="s">
        <v>530</v>
      </c>
      <c r="E358" s="63" t="s">
        <v>265</v>
      </c>
      <c r="F358" s="69" t="s">
        <v>213</v>
      </c>
      <c r="G358" s="69"/>
      <c r="H358" s="63" t="s">
        <v>265</v>
      </c>
      <c r="I358" s="71">
        <v>33236.6</v>
      </c>
      <c r="J358" s="71"/>
      <c r="K358" s="66" t="s">
        <v>214</v>
      </c>
      <c r="L358" s="67">
        <v>3428754.36</v>
      </c>
    </row>
    <row r="359" spans="1:12" ht="51" hidden="1" x14ac:dyDescent="0.3">
      <c r="A359" s="61" t="s">
        <v>247</v>
      </c>
      <c r="B359" s="62" t="s">
        <v>829</v>
      </c>
      <c r="C359" s="62" t="s">
        <v>839</v>
      </c>
      <c r="D359" s="62" t="s">
        <v>532</v>
      </c>
      <c r="E359" s="63" t="s">
        <v>265</v>
      </c>
      <c r="F359" s="69" t="s">
        <v>213</v>
      </c>
      <c r="G359" s="69"/>
      <c r="H359" s="63" t="s">
        <v>265</v>
      </c>
      <c r="I359" s="71">
        <v>8309.15</v>
      </c>
      <c r="J359" s="71"/>
      <c r="K359" s="66" t="s">
        <v>214</v>
      </c>
      <c r="L359" s="67">
        <v>3420445.21</v>
      </c>
    </row>
    <row r="360" spans="1:12" ht="51" hidden="1" x14ac:dyDescent="0.3">
      <c r="A360" s="61" t="s">
        <v>247</v>
      </c>
      <c r="B360" s="62" t="s">
        <v>829</v>
      </c>
      <c r="C360" s="62" t="s">
        <v>839</v>
      </c>
      <c r="D360" s="62" t="s">
        <v>532</v>
      </c>
      <c r="E360" s="63" t="s">
        <v>265</v>
      </c>
      <c r="F360" s="69" t="s">
        <v>213</v>
      </c>
      <c r="G360" s="69"/>
      <c r="H360" s="63" t="s">
        <v>265</v>
      </c>
      <c r="I360" s="71">
        <v>41545.75</v>
      </c>
      <c r="J360" s="71"/>
      <c r="K360" s="66" t="s">
        <v>214</v>
      </c>
      <c r="L360" s="67">
        <v>3378899.46</v>
      </c>
    </row>
    <row r="361" spans="1:12" ht="51" hidden="1" x14ac:dyDescent="0.3">
      <c r="A361" s="61" t="s">
        <v>247</v>
      </c>
      <c r="B361" s="62" t="s">
        <v>829</v>
      </c>
      <c r="C361" s="62" t="s">
        <v>839</v>
      </c>
      <c r="D361" s="62" t="s">
        <v>532</v>
      </c>
      <c r="E361" s="63" t="s">
        <v>265</v>
      </c>
      <c r="F361" s="69" t="s">
        <v>213</v>
      </c>
      <c r="G361" s="69"/>
      <c r="H361" s="63" t="s">
        <v>265</v>
      </c>
      <c r="I361" s="71">
        <v>24927.45</v>
      </c>
      <c r="J361" s="71"/>
      <c r="K361" s="66" t="s">
        <v>214</v>
      </c>
      <c r="L361" s="67">
        <v>3353972.01</v>
      </c>
    </row>
    <row r="362" spans="1:12" ht="51" hidden="1" x14ac:dyDescent="0.3">
      <c r="A362" s="61" t="s">
        <v>247</v>
      </c>
      <c r="B362" s="62" t="s">
        <v>829</v>
      </c>
      <c r="C362" s="62" t="s">
        <v>840</v>
      </c>
      <c r="D362" s="62" t="s">
        <v>534</v>
      </c>
      <c r="E362" s="63" t="s">
        <v>265</v>
      </c>
      <c r="F362" s="69" t="s">
        <v>213</v>
      </c>
      <c r="G362" s="69"/>
      <c r="H362" s="63" t="s">
        <v>265</v>
      </c>
      <c r="I362" s="71">
        <v>16618.3</v>
      </c>
      <c r="J362" s="71"/>
      <c r="K362" s="66" t="s">
        <v>214</v>
      </c>
      <c r="L362" s="67">
        <v>3337353.71</v>
      </c>
    </row>
    <row r="363" spans="1:12" ht="51" hidden="1" x14ac:dyDescent="0.3">
      <c r="A363" s="61" t="s">
        <v>247</v>
      </c>
      <c r="B363" s="62" t="s">
        <v>829</v>
      </c>
      <c r="C363" s="62" t="s">
        <v>840</v>
      </c>
      <c r="D363" s="62" t="s">
        <v>534</v>
      </c>
      <c r="E363" s="63" t="s">
        <v>265</v>
      </c>
      <c r="F363" s="69" t="s">
        <v>213</v>
      </c>
      <c r="G363" s="69"/>
      <c r="H363" s="63" t="s">
        <v>265</v>
      </c>
      <c r="I363" s="71">
        <v>33236.6</v>
      </c>
      <c r="J363" s="71"/>
      <c r="K363" s="66" t="s">
        <v>214</v>
      </c>
      <c r="L363" s="67">
        <v>3304117.11</v>
      </c>
    </row>
    <row r="364" spans="1:12" ht="51" hidden="1" x14ac:dyDescent="0.3">
      <c r="A364" s="61" t="s">
        <v>247</v>
      </c>
      <c r="B364" s="62" t="s">
        <v>829</v>
      </c>
      <c r="C364" s="62" t="s">
        <v>840</v>
      </c>
      <c r="D364" s="62" t="s">
        <v>534</v>
      </c>
      <c r="E364" s="63" t="s">
        <v>265</v>
      </c>
      <c r="F364" s="69" t="s">
        <v>213</v>
      </c>
      <c r="G364" s="69"/>
      <c r="H364" s="63" t="s">
        <v>265</v>
      </c>
      <c r="I364" s="71">
        <v>24927.45</v>
      </c>
      <c r="J364" s="71"/>
      <c r="K364" s="66" t="s">
        <v>214</v>
      </c>
      <c r="L364" s="67">
        <v>3279189.66</v>
      </c>
    </row>
    <row r="365" spans="1:12" ht="51" hidden="1" x14ac:dyDescent="0.3">
      <c r="A365" s="61" t="s">
        <v>247</v>
      </c>
      <c r="B365" s="62" t="s">
        <v>829</v>
      </c>
      <c r="C365" s="62" t="s">
        <v>841</v>
      </c>
      <c r="D365" s="62" t="s">
        <v>536</v>
      </c>
      <c r="E365" s="63" t="s">
        <v>265</v>
      </c>
      <c r="F365" s="69" t="s">
        <v>213</v>
      </c>
      <c r="G365" s="69"/>
      <c r="H365" s="63" t="s">
        <v>265</v>
      </c>
      <c r="I365" s="71">
        <v>16618.3</v>
      </c>
      <c r="J365" s="71"/>
      <c r="K365" s="66" t="s">
        <v>214</v>
      </c>
      <c r="L365" s="67">
        <v>3262571.36</v>
      </c>
    </row>
    <row r="366" spans="1:12" ht="51" hidden="1" x14ac:dyDescent="0.3">
      <c r="A366" s="61" t="s">
        <v>247</v>
      </c>
      <c r="B366" s="62" t="s">
        <v>829</v>
      </c>
      <c r="C366" s="62" t="s">
        <v>841</v>
      </c>
      <c r="D366" s="62" t="s">
        <v>536</v>
      </c>
      <c r="E366" s="63" t="s">
        <v>265</v>
      </c>
      <c r="F366" s="69" t="s">
        <v>213</v>
      </c>
      <c r="G366" s="69"/>
      <c r="H366" s="63" t="s">
        <v>265</v>
      </c>
      <c r="I366" s="71">
        <v>33236.6</v>
      </c>
      <c r="J366" s="71"/>
      <c r="K366" s="66" t="s">
        <v>214</v>
      </c>
      <c r="L366" s="67">
        <v>3229334.76</v>
      </c>
    </row>
    <row r="367" spans="1:12" ht="51" hidden="1" x14ac:dyDescent="0.3">
      <c r="A367" s="61" t="s">
        <v>247</v>
      </c>
      <c r="B367" s="62" t="s">
        <v>829</v>
      </c>
      <c r="C367" s="62" t="s">
        <v>841</v>
      </c>
      <c r="D367" s="62" t="s">
        <v>536</v>
      </c>
      <c r="E367" s="63" t="s">
        <v>265</v>
      </c>
      <c r="F367" s="69" t="s">
        <v>213</v>
      </c>
      <c r="G367" s="69"/>
      <c r="H367" s="63" t="s">
        <v>265</v>
      </c>
      <c r="I367" s="71">
        <v>24927.45</v>
      </c>
      <c r="J367" s="71"/>
      <c r="K367" s="66" t="s">
        <v>214</v>
      </c>
      <c r="L367" s="67">
        <v>3204407.31</v>
      </c>
    </row>
    <row r="368" spans="1:12" ht="51" hidden="1" x14ac:dyDescent="0.3">
      <c r="A368" s="61" t="s">
        <v>247</v>
      </c>
      <c r="B368" s="62" t="s">
        <v>829</v>
      </c>
      <c r="C368" s="62" t="s">
        <v>842</v>
      </c>
      <c r="D368" s="62" t="s">
        <v>538</v>
      </c>
      <c r="E368" s="63" t="s">
        <v>265</v>
      </c>
      <c r="F368" s="69" t="s">
        <v>213</v>
      </c>
      <c r="G368" s="69"/>
      <c r="H368" s="63" t="s">
        <v>265</v>
      </c>
      <c r="I368" s="71">
        <v>16618.3</v>
      </c>
      <c r="J368" s="71"/>
      <c r="K368" s="66" t="s">
        <v>214</v>
      </c>
      <c r="L368" s="67">
        <v>3187789.01</v>
      </c>
    </row>
    <row r="369" spans="1:12" ht="51" hidden="1" x14ac:dyDescent="0.3">
      <c r="A369" s="61" t="s">
        <v>247</v>
      </c>
      <c r="B369" s="62" t="s">
        <v>829</v>
      </c>
      <c r="C369" s="62" t="s">
        <v>842</v>
      </c>
      <c r="D369" s="62" t="s">
        <v>538</v>
      </c>
      <c r="E369" s="63" t="s">
        <v>265</v>
      </c>
      <c r="F369" s="69" t="s">
        <v>213</v>
      </c>
      <c r="G369" s="69"/>
      <c r="H369" s="63" t="s">
        <v>265</v>
      </c>
      <c r="I369" s="71">
        <v>33236.6</v>
      </c>
      <c r="J369" s="71"/>
      <c r="K369" s="66" t="s">
        <v>214</v>
      </c>
      <c r="L369" s="67">
        <v>3154552.41</v>
      </c>
    </row>
    <row r="370" spans="1:12" ht="51" hidden="1" x14ac:dyDescent="0.3">
      <c r="A370" s="61" t="s">
        <v>247</v>
      </c>
      <c r="B370" s="62" t="s">
        <v>829</v>
      </c>
      <c r="C370" s="62" t="s">
        <v>842</v>
      </c>
      <c r="D370" s="62" t="s">
        <v>538</v>
      </c>
      <c r="E370" s="63" t="s">
        <v>265</v>
      </c>
      <c r="F370" s="69" t="s">
        <v>213</v>
      </c>
      <c r="G370" s="69"/>
      <c r="H370" s="63" t="s">
        <v>265</v>
      </c>
      <c r="I370" s="71">
        <v>24927.45</v>
      </c>
      <c r="J370" s="71"/>
      <c r="K370" s="66" t="s">
        <v>214</v>
      </c>
      <c r="L370" s="67">
        <v>3129624.96</v>
      </c>
    </row>
    <row r="371" spans="1:12" ht="51" hidden="1" x14ac:dyDescent="0.3">
      <c r="A371" s="61" t="s">
        <v>247</v>
      </c>
      <c r="B371" s="62" t="s">
        <v>829</v>
      </c>
      <c r="C371" s="62" t="s">
        <v>843</v>
      </c>
      <c r="D371" s="62" t="s">
        <v>540</v>
      </c>
      <c r="E371" s="63" t="s">
        <v>265</v>
      </c>
      <c r="F371" s="69" t="s">
        <v>213</v>
      </c>
      <c r="G371" s="69"/>
      <c r="H371" s="63" t="s">
        <v>265</v>
      </c>
      <c r="I371" s="71">
        <v>16618.3</v>
      </c>
      <c r="J371" s="71"/>
      <c r="K371" s="66" t="s">
        <v>214</v>
      </c>
      <c r="L371" s="67">
        <v>3113006.66</v>
      </c>
    </row>
    <row r="372" spans="1:12" ht="51" hidden="1" x14ac:dyDescent="0.3">
      <c r="A372" s="61" t="s">
        <v>247</v>
      </c>
      <c r="B372" s="62" t="s">
        <v>829</v>
      </c>
      <c r="C372" s="62" t="s">
        <v>843</v>
      </c>
      <c r="D372" s="62" t="s">
        <v>540</v>
      </c>
      <c r="E372" s="63" t="s">
        <v>265</v>
      </c>
      <c r="F372" s="69" t="s">
        <v>213</v>
      </c>
      <c r="G372" s="69"/>
      <c r="H372" s="63" t="s">
        <v>265</v>
      </c>
      <c r="I372" s="71">
        <v>33236.6</v>
      </c>
      <c r="J372" s="71"/>
      <c r="K372" s="66" t="s">
        <v>214</v>
      </c>
      <c r="L372" s="67">
        <v>3079770.06</v>
      </c>
    </row>
    <row r="373" spans="1:12" ht="51" hidden="1" x14ac:dyDescent="0.3">
      <c r="A373" s="61" t="s">
        <v>247</v>
      </c>
      <c r="B373" s="62" t="s">
        <v>829</v>
      </c>
      <c r="C373" s="62" t="s">
        <v>843</v>
      </c>
      <c r="D373" s="62" t="s">
        <v>540</v>
      </c>
      <c r="E373" s="63" t="s">
        <v>265</v>
      </c>
      <c r="F373" s="69" t="s">
        <v>213</v>
      </c>
      <c r="G373" s="69"/>
      <c r="H373" s="63" t="s">
        <v>265</v>
      </c>
      <c r="I373" s="71">
        <v>24927.45</v>
      </c>
      <c r="J373" s="71"/>
      <c r="K373" s="66" t="s">
        <v>214</v>
      </c>
      <c r="L373" s="67">
        <v>3054842.61</v>
      </c>
    </row>
    <row r="374" spans="1:12" ht="51" hidden="1" x14ac:dyDescent="0.3">
      <c r="A374" s="61" t="s">
        <v>247</v>
      </c>
      <c r="B374" s="62" t="s">
        <v>829</v>
      </c>
      <c r="C374" s="62" t="s">
        <v>844</v>
      </c>
      <c r="D374" s="62" t="s">
        <v>542</v>
      </c>
      <c r="E374" s="63" t="s">
        <v>265</v>
      </c>
      <c r="F374" s="69" t="s">
        <v>213</v>
      </c>
      <c r="G374" s="69"/>
      <c r="H374" s="63" t="s">
        <v>265</v>
      </c>
      <c r="I374" s="71">
        <v>16618.3</v>
      </c>
      <c r="J374" s="71"/>
      <c r="K374" s="66" t="s">
        <v>214</v>
      </c>
      <c r="L374" s="67">
        <v>3038224.31</v>
      </c>
    </row>
    <row r="375" spans="1:12" ht="51" hidden="1" x14ac:dyDescent="0.3">
      <c r="A375" s="61" t="s">
        <v>247</v>
      </c>
      <c r="B375" s="62" t="s">
        <v>829</v>
      </c>
      <c r="C375" s="62" t="s">
        <v>844</v>
      </c>
      <c r="D375" s="62" t="s">
        <v>542</v>
      </c>
      <c r="E375" s="63" t="s">
        <v>265</v>
      </c>
      <c r="F375" s="69" t="s">
        <v>213</v>
      </c>
      <c r="G375" s="69"/>
      <c r="H375" s="63" t="s">
        <v>265</v>
      </c>
      <c r="I375" s="71">
        <v>24927.45</v>
      </c>
      <c r="J375" s="71"/>
      <c r="K375" s="66" t="s">
        <v>214</v>
      </c>
      <c r="L375" s="67">
        <v>3013296.86</v>
      </c>
    </row>
    <row r="376" spans="1:12" ht="51" hidden="1" x14ac:dyDescent="0.3">
      <c r="A376" s="61" t="s">
        <v>247</v>
      </c>
      <c r="B376" s="62" t="s">
        <v>829</v>
      </c>
      <c r="C376" s="62" t="s">
        <v>845</v>
      </c>
      <c r="D376" s="62" t="s">
        <v>590</v>
      </c>
      <c r="E376" s="63" t="s">
        <v>265</v>
      </c>
      <c r="F376" s="69" t="s">
        <v>213</v>
      </c>
      <c r="G376" s="69"/>
      <c r="H376" s="63" t="s">
        <v>265</v>
      </c>
      <c r="I376" s="71">
        <v>8309.15</v>
      </c>
      <c r="J376" s="71"/>
      <c r="K376" s="66" t="s">
        <v>214</v>
      </c>
      <c r="L376" s="67">
        <v>3004987.71</v>
      </c>
    </row>
    <row r="377" spans="1:12" ht="51" hidden="1" x14ac:dyDescent="0.3">
      <c r="A377" s="61" t="s">
        <v>247</v>
      </c>
      <c r="B377" s="62" t="s">
        <v>829</v>
      </c>
      <c r="C377" s="62" t="s">
        <v>845</v>
      </c>
      <c r="D377" s="62" t="s">
        <v>590</v>
      </c>
      <c r="E377" s="63" t="s">
        <v>265</v>
      </c>
      <c r="F377" s="69" t="s">
        <v>213</v>
      </c>
      <c r="G377" s="69"/>
      <c r="H377" s="63" t="s">
        <v>265</v>
      </c>
      <c r="I377" s="71">
        <v>33236.6</v>
      </c>
      <c r="J377" s="71"/>
      <c r="K377" s="66" t="s">
        <v>214</v>
      </c>
      <c r="L377" s="67">
        <v>2971751.11</v>
      </c>
    </row>
    <row r="378" spans="1:12" ht="51" hidden="1" x14ac:dyDescent="0.3">
      <c r="A378" s="61" t="s">
        <v>247</v>
      </c>
      <c r="B378" s="62" t="s">
        <v>829</v>
      </c>
      <c r="C378" s="62" t="s">
        <v>845</v>
      </c>
      <c r="D378" s="62" t="s">
        <v>590</v>
      </c>
      <c r="E378" s="63" t="s">
        <v>265</v>
      </c>
      <c r="F378" s="69" t="s">
        <v>213</v>
      </c>
      <c r="G378" s="69"/>
      <c r="H378" s="63" t="s">
        <v>265</v>
      </c>
      <c r="I378" s="71">
        <v>33236.6</v>
      </c>
      <c r="J378" s="71"/>
      <c r="K378" s="66" t="s">
        <v>214</v>
      </c>
      <c r="L378" s="67">
        <v>2938514.51</v>
      </c>
    </row>
    <row r="379" spans="1:12" ht="51" hidden="1" x14ac:dyDescent="0.3">
      <c r="A379" s="61" t="s">
        <v>247</v>
      </c>
      <c r="B379" s="62" t="s">
        <v>829</v>
      </c>
      <c r="C379" s="62" t="s">
        <v>846</v>
      </c>
      <c r="D379" s="62" t="s">
        <v>592</v>
      </c>
      <c r="E379" s="63" t="s">
        <v>265</v>
      </c>
      <c r="F379" s="69" t="s">
        <v>213</v>
      </c>
      <c r="G379" s="69"/>
      <c r="H379" s="63" t="s">
        <v>265</v>
      </c>
      <c r="I379" s="71">
        <v>8309.15</v>
      </c>
      <c r="J379" s="71"/>
      <c r="K379" s="66" t="s">
        <v>214</v>
      </c>
      <c r="L379" s="67">
        <v>2930205.36</v>
      </c>
    </row>
    <row r="380" spans="1:12" ht="51" hidden="1" x14ac:dyDescent="0.3">
      <c r="A380" s="61" t="s">
        <v>247</v>
      </c>
      <c r="B380" s="62" t="s">
        <v>829</v>
      </c>
      <c r="C380" s="62" t="s">
        <v>846</v>
      </c>
      <c r="D380" s="62" t="s">
        <v>592</v>
      </c>
      <c r="E380" s="63" t="s">
        <v>265</v>
      </c>
      <c r="F380" s="69" t="s">
        <v>213</v>
      </c>
      <c r="G380" s="69"/>
      <c r="H380" s="63" t="s">
        <v>265</v>
      </c>
      <c r="I380" s="71">
        <v>41545.75</v>
      </c>
      <c r="J380" s="71"/>
      <c r="K380" s="66" t="s">
        <v>214</v>
      </c>
      <c r="L380" s="67">
        <v>2888659.61</v>
      </c>
    </row>
    <row r="381" spans="1:12" ht="51" hidden="1" x14ac:dyDescent="0.3">
      <c r="A381" s="61" t="s">
        <v>247</v>
      </c>
      <c r="B381" s="62" t="s">
        <v>829</v>
      </c>
      <c r="C381" s="62" t="s">
        <v>846</v>
      </c>
      <c r="D381" s="62" t="s">
        <v>592</v>
      </c>
      <c r="E381" s="63" t="s">
        <v>265</v>
      </c>
      <c r="F381" s="69" t="s">
        <v>213</v>
      </c>
      <c r="G381" s="69"/>
      <c r="H381" s="63" t="s">
        <v>265</v>
      </c>
      <c r="I381" s="71">
        <v>24927.45</v>
      </c>
      <c r="J381" s="71"/>
      <c r="K381" s="66" t="s">
        <v>214</v>
      </c>
      <c r="L381" s="67">
        <v>2863732.16</v>
      </c>
    </row>
    <row r="382" spans="1:12" ht="51" hidden="1" x14ac:dyDescent="0.3">
      <c r="A382" s="61" t="s">
        <v>247</v>
      </c>
      <c r="B382" s="62" t="s">
        <v>829</v>
      </c>
      <c r="C382" s="62" t="s">
        <v>847</v>
      </c>
      <c r="D382" s="62" t="s">
        <v>596</v>
      </c>
      <c r="E382" s="63" t="s">
        <v>265</v>
      </c>
      <c r="F382" s="69" t="s">
        <v>213</v>
      </c>
      <c r="G382" s="69"/>
      <c r="H382" s="63" t="s">
        <v>265</v>
      </c>
      <c r="I382" s="71">
        <v>8309.15</v>
      </c>
      <c r="J382" s="71"/>
      <c r="K382" s="66" t="s">
        <v>214</v>
      </c>
      <c r="L382" s="67">
        <v>2855423.01</v>
      </c>
    </row>
    <row r="383" spans="1:12" ht="51" hidden="1" x14ac:dyDescent="0.3">
      <c r="A383" s="61" t="s">
        <v>247</v>
      </c>
      <c r="B383" s="62" t="s">
        <v>829</v>
      </c>
      <c r="C383" s="62" t="s">
        <v>847</v>
      </c>
      <c r="D383" s="62" t="s">
        <v>596</v>
      </c>
      <c r="E383" s="63" t="s">
        <v>265</v>
      </c>
      <c r="F383" s="69" t="s">
        <v>213</v>
      </c>
      <c r="G383" s="69"/>
      <c r="H383" s="63" t="s">
        <v>265</v>
      </c>
      <c r="I383" s="71">
        <v>41545.75</v>
      </c>
      <c r="J383" s="71"/>
      <c r="K383" s="66" t="s">
        <v>214</v>
      </c>
      <c r="L383" s="67">
        <v>2813877.26</v>
      </c>
    </row>
    <row r="384" spans="1:12" ht="51" hidden="1" x14ac:dyDescent="0.3">
      <c r="A384" s="61" t="s">
        <v>247</v>
      </c>
      <c r="B384" s="62" t="s">
        <v>829</v>
      </c>
      <c r="C384" s="62" t="s">
        <v>847</v>
      </c>
      <c r="D384" s="62" t="s">
        <v>596</v>
      </c>
      <c r="E384" s="63" t="s">
        <v>265</v>
      </c>
      <c r="F384" s="69" t="s">
        <v>213</v>
      </c>
      <c r="G384" s="69"/>
      <c r="H384" s="63" t="s">
        <v>265</v>
      </c>
      <c r="I384" s="71">
        <v>24927.45</v>
      </c>
      <c r="J384" s="71"/>
      <c r="K384" s="66" t="s">
        <v>214</v>
      </c>
      <c r="L384" s="67">
        <v>2788949.81</v>
      </c>
    </row>
    <row r="385" spans="1:12" ht="51" hidden="1" x14ac:dyDescent="0.3">
      <c r="A385" s="61" t="s">
        <v>247</v>
      </c>
      <c r="B385" s="62" t="s">
        <v>829</v>
      </c>
      <c r="C385" s="62" t="s">
        <v>848</v>
      </c>
      <c r="D385" s="62" t="s">
        <v>601</v>
      </c>
      <c r="E385" s="63" t="s">
        <v>265</v>
      </c>
      <c r="F385" s="69" t="s">
        <v>213</v>
      </c>
      <c r="G385" s="69"/>
      <c r="H385" s="63" t="s">
        <v>265</v>
      </c>
      <c r="I385" s="71">
        <v>8309.15</v>
      </c>
      <c r="J385" s="71"/>
      <c r="K385" s="66" t="s">
        <v>214</v>
      </c>
      <c r="L385" s="67">
        <v>2780640.66</v>
      </c>
    </row>
    <row r="386" spans="1:12" ht="51" hidden="1" x14ac:dyDescent="0.3">
      <c r="A386" s="61" t="s">
        <v>247</v>
      </c>
      <c r="B386" s="62" t="s">
        <v>829</v>
      </c>
      <c r="C386" s="62" t="s">
        <v>848</v>
      </c>
      <c r="D386" s="62" t="s">
        <v>601</v>
      </c>
      <c r="E386" s="63" t="s">
        <v>265</v>
      </c>
      <c r="F386" s="69" t="s">
        <v>213</v>
      </c>
      <c r="G386" s="69"/>
      <c r="H386" s="63" t="s">
        <v>265</v>
      </c>
      <c r="I386" s="71">
        <v>33236.6</v>
      </c>
      <c r="J386" s="71"/>
      <c r="K386" s="66" t="s">
        <v>214</v>
      </c>
      <c r="L386" s="67">
        <v>2747404.06</v>
      </c>
    </row>
    <row r="387" spans="1:12" ht="51" hidden="1" x14ac:dyDescent="0.3">
      <c r="A387" s="61" t="s">
        <v>247</v>
      </c>
      <c r="B387" s="62" t="s">
        <v>829</v>
      </c>
      <c r="C387" s="62" t="s">
        <v>848</v>
      </c>
      <c r="D387" s="62" t="s">
        <v>601</v>
      </c>
      <c r="E387" s="63" t="s">
        <v>265</v>
      </c>
      <c r="F387" s="69" t="s">
        <v>213</v>
      </c>
      <c r="G387" s="69"/>
      <c r="H387" s="63" t="s">
        <v>265</v>
      </c>
      <c r="I387" s="71">
        <v>33236.6</v>
      </c>
      <c r="J387" s="71"/>
      <c r="K387" s="66" t="s">
        <v>214</v>
      </c>
      <c r="L387" s="67">
        <v>2714167.46</v>
      </c>
    </row>
    <row r="388" spans="1:12" ht="51" hidden="1" x14ac:dyDescent="0.3">
      <c r="A388" s="61" t="s">
        <v>247</v>
      </c>
      <c r="B388" s="62" t="s">
        <v>829</v>
      </c>
      <c r="C388" s="62" t="s">
        <v>849</v>
      </c>
      <c r="D388" s="62" t="s">
        <v>604</v>
      </c>
      <c r="E388" s="63" t="s">
        <v>265</v>
      </c>
      <c r="F388" s="69" t="s">
        <v>213</v>
      </c>
      <c r="G388" s="69"/>
      <c r="H388" s="63" t="s">
        <v>265</v>
      </c>
      <c r="I388" s="71">
        <v>8309.15</v>
      </c>
      <c r="J388" s="71"/>
      <c r="K388" s="66" t="s">
        <v>214</v>
      </c>
      <c r="L388" s="67">
        <v>2705858.31</v>
      </c>
    </row>
    <row r="389" spans="1:12" ht="51" hidden="1" x14ac:dyDescent="0.3">
      <c r="A389" s="61" t="s">
        <v>247</v>
      </c>
      <c r="B389" s="62" t="s">
        <v>829</v>
      </c>
      <c r="C389" s="62" t="s">
        <v>849</v>
      </c>
      <c r="D389" s="62" t="s">
        <v>604</v>
      </c>
      <c r="E389" s="63" t="s">
        <v>265</v>
      </c>
      <c r="F389" s="69" t="s">
        <v>213</v>
      </c>
      <c r="G389" s="69"/>
      <c r="H389" s="63" t="s">
        <v>265</v>
      </c>
      <c r="I389" s="71">
        <v>33236.6</v>
      </c>
      <c r="J389" s="71"/>
      <c r="K389" s="66" t="s">
        <v>214</v>
      </c>
      <c r="L389" s="67">
        <v>2672621.71</v>
      </c>
    </row>
    <row r="390" spans="1:12" ht="51" hidden="1" x14ac:dyDescent="0.3">
      <c r="A390" s="61" t="s">
        <v>247</v>
      </c>
      <c r="B390" s="62" t="s">
        <v>829</v>
      </c>
      <c r="C390" s="62" t="s">
        <v>849</v>
      </c>
      <c r="D390" s="62" t="s">
        <v>604</v>
      </c>
      <c r="E390" s="63" t="s">
        <v>265</v>
      </c>
      <c r="F390" s="69" t="s">
        <v>213</v>
      </c>
      <c r="G390" s="69"/>
      <c r="H390" s="63" t="s">
        <v>265</v>
      </c>
      <c r="I390" s="71">
        <v>33236.6</v>
      </c>
      <c r="J390" s="71"/>
      <c r="K390" s="66" t="s">
        <v>214</v>
      </c>
      <c r="L390" s="67">
        <v>2639385.11</v>
      </c>
    </row>
    <row r="391" spans="1:12" ht="51" hidden="1" x14ac:dyDescent="0.3">
      <c r="A391" s="61" t="s">
        <v>247</v>
      </c>
      <c r="B391" s="62" t="s">
        <v>829</v>
      </c>
      <c r="C391" s="62" t="s">
        <v>850</v>
      </c>
      <c r="D391" s="62" t="s">
        <v>606</v>
      </c>
      <c r="E391" s="63" t="s">
        <v>265</v>
      </c>
      <c r="F391" s="69" t="s">
        <v>213</v>
      </c>
      <c r="G391" s="69"/>
      <c r="H391" s="63" t="s">
        <v>265</v>
      </c>
      <c r="I391" s="71">
        <v>8309.15</v>
      </c>
      <c r="J391" s="71"/>
      <c r="K391" s="66" t="s">
        <v>214</v>
      </c>
      <c r="L391" s="67">
        <v>2631075.96</v>
      </c>
    </row>
    <row r="392" spans="1:12" ht="51" hidden="1" x14ac:dyDescent="0.3">
      <c r="A392" s="61" t="s">
        <v>247</v>
      </c>
      <c r="B392" s="62" t="s">
        <v>829</v>
      </c>
      <c r="C392" s="62" t="s">
        <v>850</v>
      </c>
      <c r="D392" s="62" t="s">
        <v>606</v>
      </c>
      <c r="E392" s="63" t="s">
        <v>265</v>
      </c>
      <c r="F392" s="69" t="s">
        <v>213</v>
      </c>
      <c r="G392" s="69"/>
      <c r="H392" s="63" t="s">
        <v>265</v>
      </c>
      <c r="I392" s="71">
        <v>33236.6</v>
      </c>
      <c r="J392" s="71"/>
      <c r="K392" s="66" t="s">
        <v>214</v>
      </c>
      <c r="L392" s="67">
        <v>2597839.36</v>
      </c>
    </row>
    <row r="393" spans="1:12" ht="51" hidden="1" x14ac:dyDescent="0.3">
      <c r="A393" s="61" t="s">
        <v>247</v>
      </c>
      <c r="B393" s="62" t="s">
        <v>829</v>
      </c>
      <c r="C393" s="62" t="s">
        <v>850</v>
      </c>
      <c r="D393" s="62" t="s">
        <v>606</v>
      </c>
      <c r="E393" s="63" t="s">
        <v>265</v>
      </c>
      <c r="F393" s="69" t="s">
        <v>213</v>
      </c>
      <c r="G393" s="69"/>
      <c r="H393" s="63" t="s">
        <v>265</v>
      </c>
      <c r="I393" s="71">
        <v>33236.6</v>
      </c>
      <c r="J393" s="71"/>
      <c r="K393" s="66" t="s">
        <v>214</v>
      </c>
      <c r="L393" s="67">
        <v>2564602.7599999998</v>
      </c>
    </row>
    <row r="394" spans="1:12" ht="51" hidden="1" x14ac:dyDescent="0.3">
      <c r="A394" s="61" t="s">
        <v>247</v>
      </c>
      <c r="B394" s="62" t="s">
        <v>829</v>
      </c>
      <c r="C394" s="62" t="s">
        <v>851</v>
      </c>
      <c r="D394" s="62" t="s">
        <v>609</v>
      </c>
      <c r="E394" s="63" t="s">
        <v>265</v>
      </c>
      <c r="F394" s="69" t="s">
        <v>213</v>
      </c>
      <c r="G394" s="69"/>
      <c r="H394" s="63" t="s">
        <v>265</v>
      </c>
      <c r="I394" s="71">
        <v>8309.15</v>
      </c>
      <c r="J394" s="71"/>
      <c r="K394" s="66" t="s">
        <v>214</v>
      </c>
      <c r="L394" s="67">
        <v>2556293.61</v>
      </c>
    </row>
    <row r="395" spans="1:12" ht="51" hidden="1" x14ac:dyDescent="0.3">
      <c r="A395" s="61" t="s">
        <v>247</v>
      </c>
      <c r="B395" s="62" t="s">
        <v>829</v>
      </c>
      <c r="C395" s="62" t="s">
        <v>851</v>
      </c>
      <c r="D395" s="62" t="s">
        <v>609</v>
      </c>
      <c r="E395" s="63" t="s">
        <v>265</v>
      </c>
      <c r="F395" s="69" t="s">
        <v>213</v>
      </c>
      <c r="G395" s="69"/>
      <c r="H395" s="63" t="s">
        <v>265</v>
      </c>
      <c r="I395" s="71">
        <v>66473.2</v>
      </c>
      <c r="J395" s="71"/>
      <c r="K395" s="66" t="s">
        <v>214</v>
      </c>
      <c r="L395" s="67">
        <v>2489820.41</v>
      </c>
    </row>
    <row r="396" spans="1:12" ht="51" hidden="1" x14ac:dyDescent="0.3">
      <c r="A396" s="61" t="s">
        <v>247</v>
      </c>
      <c r="B396" s="62" t="s">
        <v>829</v>
      </c>
      <c r="C396" s="62" t="s">
        <v>852</v>
      </c>
      <c r="D396" s="62" t="s">
        <v>611</v>
      </c>
      <c r="E396" s="63" t="s">
        <v>265</v>
      </c>
      <c r="F396" s="69" t="s">
        <v>213</v>
      </c>
      <c r="G396" s="69"/>
      <c r="H396" s="63" t="s">
        <v>265</v>
      </c>
      <c r="I396" s="71">
        <v>8309.15</v>
      </c>
      <c r="J396" s="71"/>
      <c r="K396" s="66" t="s">
        <v>214</v>
      </c>
      <c r="L396" s="67">
        <v>2481511.2599999998</v>
      </c>
    </row>
    <row r="397" spans="1:12" ht="51" hidden="1" x14ac:dyDescent="0.3">
      <c r="A397" s="61" t="s">
        <v>247</v>
      </c>
      <c r="B397" s="62" t="s">
        <v>829</v>
      </c>
      <c r="C397" s="62" t="s">
        <v>852</v>
      </c>
      <c r="D397" s="62" t="s">
        <v>611</v>
      </c>
      <c r="E397" s="63" t="s">
        <v>265</v>
      </c>
      <c r="F397" s="69" t="s">
        <v>213</v>
      </c>
      <c r="G397" s="69"/>
      <c r="H397" s="63" t="s">
        <v>265</v>
      </c>
      <c r="I397" s="71">
        <v>33236.6</v>
      </c>
      <c r="J397" s="71"/>
      <c r="K397" s="66" t="s">
        <v>214</v>
      </c>
      <c r="L397" s="67">
        <v>2448274.66</v>
      </c>
    </row>
    <row r="398" spans="1:12" ht="51" hidden="1" x14ac:dyDescent="0.3">
      <c r="A398" s="61" t="s">
        <v>247</v>
      </c>
      <c r="B398" s="62" t="s">
        <v>829</v>
      </c>
      <c r="C398" s="62" t="s">
        <v>852</v>
      </c>
      <c r="D398" s="62" t="s">
        <v>611</v>
      </c>
      <c r="E398" s="63" t="s">
        <v>265</v>
      </c>
      <c r="F398" s="69" t="s">
        <v>213</v>
      </c>
      <c r="G398" s="69"/>
      <c r="H398" s="63" t="s">
        <v>265</v>
      </c>
      <c r="I398" s="71">
        <v>33236.6</v>
      </c>
      <c r="J398" s="71"/>
      <c r="K398" s="66" t="s">
        <v>214</v>
      </c>
      <c r="L398" s="67">
        <v>2415038.06</v>
      </c>
    </row>
    <row r="399" spans="1:12" ht="51" hidden="1" x14ac:dyDescent="0.3">
      <c r="A399" s="61" t="s">
        <v>247</v>
      </c>
      <c r="B399" s="62" t="s">
        <v>829</v>
      </c>
      <c r="C399" s="62" t="s">
        <v>853</v>
      </c>
      <c r="D399" s="62" t="s">
        <v>614</v>
      </c>
      <c r="E399" s="63" t="s">
        <v>265</v>
      </c>
      <c r="F399" s="69" t="s">
        <v>213</v>
      </c>
      <c r="G399" s="69"/>
      <c r="H399" s="63" t="s">
        <v>265</v>
      </c>
      <c r="I399" s="71">
        <v>8309.15</v>
      </c>
      <c r="J399" s="71"/>
      <c r="K399" s="66" t="s">
        <v>214</v>
      </c>
      <c r="L399" s="67">
        <v>2406728.91</v>
      </c>
    </row>
    <row r="400" spans="1:12" ht="51" hidden="1" x14ac:dyDescent="0.3">
      <c r="A400" s="61" t="s">
        <v>247</v>
      </c>
      <c r="B400" s="62" t="s">
        <v>829</v>
      </c>
      <c r="C400" s="62" t="s">
        <v>853</v>
      </c>
      <c r="D400" s="62" t="s">
        <v>614</v>
      </c>
      <c r="E400" s="63" t="s">
        <v>265</v>
      </c>
      <c r="F400" s="69" t="s">
        <v>213</v>
      </c>
      <c r="G400" s="69"/>
      <c r="H400" s="63" t="s">
        <v>265</v>
      </c>
      <c r="I400" s="71">
        <v>33236.6</v>
      </c>
      <c r="J400" s="71"/>
      <c r="K400" s="66" t="s">
        <v>214</v>
      </c>
      <c r="L400" s="67">
        <v>2373492.31</v>
      </c>
    </row>
    <row r="401" spans="1:12" ht="51" hidden="1" x14ac:dyDescent="0.3">
      <c r="A401" s="61" t="s">
        <v>247</v>
      </c>
      <c r="B401" s="62" t="s">
        <v>829</v>
      </c>
      <c r="C401" s="62" t="s">
        <v>854</v>
      </c>
      <c r="D401" s="62" t="s">
        <v>617</v>
      </c>
      <c r="E401" s="63" t="s">
        <v>265</v>
      </c>
      <c r="F401" s="69" t="s">
        <v>213</v>
      </c>
      <c r="G401" s="69"/>
      <c r="H401" s="63" t="s">
        <v>265</v>
      </c>
      <c r="I401" s="71">
        <v>33236.6</v>
      </c>
      <c r="J401" s="71"/>
      <c r="K401" s="66" t="s">
        <v>214</v>
      </c>
      <c r="L401" s="67">
        <v>2340255.71</v>
      </c>
    </row>
    <row r="402" spans="1:12" ht="51" hidden="1" x14ac:dyDescent="0.3">
      <c r="A402" s="61" t="s">
        <v>247</v>
      </c>
      <c r="B402" s="62" t="s">
        <v>829</v>
      </c>
      <c r="C402" s="62" t="s">
        <v>855</v>
      </c>
      <c r="D402" s="62" t="s">
        <v>619</v>
      </c>
      <c r="E402" s="63" t="s">
        <v>265</v>
      </c>
      <c r="F402" s="69" t="s">
        <v>213</v>
      </c>
      <c r="G402" s="69"/>
      <c r="H402" s="63" t="s">
        <v>265</v>
      </c>
      <c r="I402" s="71">
        <v>8309.15</v>
      </c>
      <c r="J402" s="71"/>
      <c r="K402" s="66" t="s">
        <v>214</v>
      </c>
      <c r="L402" s="67">
        <v>2331946.56</v>
      </c>
    </row>
    <row r="403" spans="1:12" ht="51" hidden="1" x14ac:dyDescent="0.3">
      <c r="A403" s="61" t="s">
        <v>247</v>
      </c>
      <c r="B403" s="62" t="s">
        <v>829</v>
      </c>
      <c r="C403" s="62" t="s">
        <v>855</v>
      </c>
      <c r="D403" s="62" t="s">
        <v>619</v>
      </c>
      <c r="E403" s="63" t="s">
        <v>265</v>
      </c>
      <c r="F403" s="69" t="s">
        <v>213</v>
      </c>
      <c r="G403" s="69"/>
      <c r="H403" s="63" t="s">
        <v>265</v>
      </c>
      <c r="I403" s="71">
        <v>24927.45</v>
      </c>
      <c r="J403" s="71"/>
      <c r="K403" s="66" t="s">
        <v>214</v>
      </c>
      <c r="L403" s="67">
        <v>2307019.11</v>
      </c>
    </row>
    <row r="404" spans="1:12" ht="51" hidden="1" x14ac:dyDescent="0.3">
      <c r="A404" s="61" t="s">
        <v>247</v>
      </c>
      <c r="B404" s="62" t="s">
        <v>829</v>
      </c>
      <c r="C404" s="62" t="s">
        <v>856</v>
      </c>
      <c r="D404" s="62" t="s">
        <v>621</v>
      </c>
      <c r="E404" s="63" t="s">
        <v>265</v>
      </c>
      <c r="F404" s="69" t="s">
        <v>213</v>
      </c>
      <c r="G404" s="69"/>
      <c r="H404" s="63" t="s">
        <v>265</v>
      </c>
      <c r="I404" s="71">
        <v>8309.15</v>
      </c>
      <c r="J404" s="71"/>
      <c r="K404" s="66" t="s">
        <v>214</v>
      </c>
      <c r="L404" s="67">
        <v>2298709.96</v>
      </c>
    </row>
    <row r="405" spans="1:12" ht="51" hidden="1" x14ac:dyDescent="0.3">
      <c r="A405" s="61" t="s">
        <v>247</v>
      </c>
      <c r="B405" s="62" t="s">
        <v>829</v>
      </c>
      <c r="C405" s="62" t="s">
        <v>856</v>
      </c>
      <c r="D405" s="62" t="s">
        <v>621</v>
      </c>
      <c r="E405" s="63" t="s">
        <v>265</v>
      </c>
      <c r="F405" s="69" t="s">
        <v>213</v>
      </c>
      <c r="G405" s="69"/>
      <c r="H405" s="63" t="s">
        <v>265</v>
      </c>
      <c r="I405" s="71">
        <v>33236.6</v>
      </c>
      <c r="J405" s="71"/>
      <c r="K405" s="66" t="s">
        <v>214</v>
      </c>
      <c r="L405" s="67">
        <v>2265473.36</v>
      </c>
    </row>
    <row r="406" spans="1:12" ht="51" hidden="1" x14ac:dyDescent="0.3">
      <c r="A406" s="61" t="s">
        <v>247</v>
      </c>
      <c r="B406" s="62" t="s">
        <v>857</v>
      </c>
      <c r="C406" s="62" t="s">
        <v>858</v>
      </c>
      <c r="D406" s="62" t="s">
        <v>623</v>
      </c>
      <c r="E406" s="63" t="s">
        <v>265</v>
      </c>
      <c r="F406" s="69" t="s">
        <v>213</v>
      </c>
      <c r="G406" s="69"/>
      <c r="H406" s="63" t="s">
        <v>265</v>
      </c>
      <c r="I406" s="71">
        <v>41545.75</v>
      </c>
      <c r="J406" s="71"/>
      <c r="K406" s="66" t="s">
        <v>214</v>
      </c>
      <c r="L406" s="67">
        <v>2223927.61</v>
      </c>
    </row>
    <row r="407" spans="1:12" ht="51" hidden="1" x14ac:dyDescent="0.3">
      <c r="A407" s="61" t="s">
        <v>247</v>
      </c>
      <c r="B407" s="62" t="s">
        <v>857</v>
      </c>
      <c r="C407" s="62" t="s">
        <v>859</v>
      </c>
      <c r="D407" s="62" t="s">
        <v>625</v>
      </c>
      <c r="E407" s="63" t="s">
        <v>265</v>
      </c>
      <c r="F407" s="69" t="s">
        <v>213</v>
      </c>
      <c r="G407" s="69"/>
      <c r="H407" s="63" t="s">
        <v>265</v>
      </c>
      <c r="I407" s="71">
        <v>33236.6</v>
      </c>
      <c r="J407" s="71"/>
      <c r="K407" s="66" t="s">
        <v>214</v>
      </c>
      <c r="L407" s="67">
        <v>2190691.0099999998</v>
      </c>
    </row>
    <row r="408" spans="1:12" ht="51" hidden="1" x14ac:dyDescent="0.3">
      <c r="A408" s="61" t="s">
        <v>247</v>
      </c>
      <c r="B408" s="62" t="s">
        <v>857</v>
      </c>
      <c r="C408" s="62" t="s">
        <v>860</v>
      </c>
      <c r="D408" s="62" t="s">
        <v>627</v>
      </c>
      <c r="E408" s="63" t="s">
        <v>265</v>
      </c>
      <c r="F408" s="69" t="s">
        <v>213</v>
      </c>
      <c r="G408" s="69"/>
      <c r="H408" s="63" t="s">
        <v>265</v>
      </c>
      <c r="I408" s="71">
        <v>33236.6</v>
      </c>
      <c r="J408" s="71"/>
      <c r="K408" s="66" t="s">
        <v>214</v>
      </c>
      <c r="L408" s="67">
        <v>2157454.41</v>
      </c>
    </row>
    <row r="409" spans="1:12" ht="51" hidden="1" x14ac:dyDescent="0.3">
      <c r="A409" s="61" t="s">
        <v>247</v>
      </c>
      <c r="B409" s="62" t="s">
        <v>857</v>
      </c>
      <c r="C409" s="62" t="s">
        <v>861</v>
      </c>
      <c r="D409" s="62" t="s">
        <v>629</v>
      </c>
      <c r="E409" s="63" t="s">
        <v>265</v>
      </c>
      <c r="F409" s="69" t="s">
        <v>213</v>
      </c>
      <c r="G409" s="69"/>
      <c r="H409" s="63" t="s">
        <v>265</v>
      </c>
      <c r="I409" s="71">
        <v>8309.15</v>
      </c>
      <c r="J409" s="71"/>
      <c r="K409" s="66" t="s">
        <v>214</v>
      </c>
      <c r="L409" s="67">
        <v>2149145.2599999998</v>
      </c>
    </row>
    <row r="410" spans="1:12" ht="51" hidden="1" x14ac:dyDescent="0.3">
      <c r="A410" s="61" t="s">
        <v>247</v>
      </c>
      <c r="B410" s="62" t="s">
        <v>857</v>
      </c>
      <c r="C410" s="62" t="s">
        <v>861</v>
      </c>
      <c r="D410" s="62" t="s">
        <v>629</v>
      </c>
      <c r="E410" s="63" t="s">
        <v>265</v>
      </c>
      <c r="F410" s="69" t="s">
        <v>213</v>
      </c>
      <c r="G410" s="69"/>
      <c r="H410" s="63" t="s">
        <v>265</v>
      </c>
      <c r="I410" s="71">
        <v>33236.6</v>
      </c>
      <c r="J410" s="71"/>
      <c r="K410" s="66" t="s">
        <v>214</v>
      </c>
      <c r="L410" s="67">
        <v>2115908.66</v>
      </c>
    </row>
    <row r="411" spans="1:12" ht="51" hidden="1" x14ac:dyDescent="0.3">
      <c r="A411" s="61" t="s">
        <v>247</v>
      </c>
      <c r="B411" s="62" t="s">
        <v>857</v>
      </c>
      <c r="C411" s="62" t="s">
        <v>862</v>
      </c>
      <c r="D411" s="62" t="s">
        <v>631</v>
      </c>
      <c r="E411" s="63" t="s">
        <v>265</v>
      </c>
      <c r="F411" s="69" t="s">
        <v>213</v>
      </c>
      <c r="G411" s="69"/>
      <c r="H411" s="63" t="s">
        <v>265</v>
      </c>
      <c r="I411" s="71">
        <v>41545.75</v>
      </c>
      <c r="J411" s="71"/>
      <c r="K411" s="66" t="s">
        <v>214</v>
      </c>
      <c r="L411" s="67">
        <v>2074362.91</v>
      </c>
    </row>
    <row r="412" spans="1:12" ht="51" hidden="1" x14ac:dyDescent="0.3">
      <c r="A412" s="61" t="s">
        <v>247</v>
      </c>
      <c r="B412" s="62" t="s">
        <v>857</v>
      </c>
      <c r="C412" s="62" t="s">
        <v>863</v>
      </c>
      <c r="D412" s="62" t="s">
        <v>633</v>
      </c>
      <c r="E412" s="63" t="s">
        <v>265</v>
      </c>
      <c r="F412" s="69" t="s">
        <v>213</v>
      </c>
      <c r="G412" s="69"/>
      <c r="H412" s="63" t="s">
        <v>265</v>
      </c>
      <c r="I412" s="71">
        <v>33236.6</v>
      </c>
      <c r="J412" s="71"/>
      <c r="K412" s="66" t="s">
        <v>214</v>
      </c>
      <c r="L412" s="67">
        <v>2041126.31</v>
      </c>
    </row>
    <row r="413" spans="1:12" ht="51" hidden="1" x14ac:dyDescent="0.3">
      <c r="A413" s="61" t="s">
        <v>247</v>
      </c>
      <c r="B413" s="62" t="s">
        <v>857</v>
      </c>
      <c r="C413" s="62" t="s">
        <v>864</v>
      </c>
      <c r="D413" s="62" t="s">
        <v>635</v>
      </c>
      <c r="E413" s="63" t="s">
        <v>265</v>
      </c>
      <c r="F413" s="69" t="s">
        <v>213</v>
      </c>
      <c r="G413" s="69"/>
      <c r="H413" s="63" t="s">
        <v>265</v>
      </c>
      <c r="I413" s="71">
        <v>41545.75</v>
      </c>
      <c r="J413" s="71"/>
      <c r="K413" s="66" t="s">
        <v>214</v>
      </c>
      <c r="L413" s="67">
        <v>1999580.56</v>
      </c>
    </row>
    <row r="414" spans="1:12" ht="51" hidden="1" x14ac:dyDescent="0.3">
      <c r="A414" s="61" t="s">
        <v>247</v>
      </c>
      <c r="B414" s="62" t="s">
        <v>857</v>
      </c>
      <c r="C414" s="62" t="s">
        <v>865</v>
      </c>
      <c r="D414" s="62" t="s">
        <v>637</v>
      </c>
      <c r="E414" s="63" t="s">
        <v>265</v>
      </c>
      <c r="F414" s="69" t="s">
        <v>213</v>
      </c>
      <c r="G414" s="69"/>
      <c r="H414" s="63" t="s">
        <v>265</v>
      </c>
      <c r="I414" s="71">
        <v>33236.6</v>
      </c>
      <c r="J414" s="71"/>
      <c r="K414" s="66" t="s">
        <v>214</v>
      </c>
      <c r="L414" s="67">
        <v>1966343.96</v>
      </c>
    </row>
    <row r="415" spans="1:12" ht="51" hidden="1" x14ac:dyDescent="0.3">
      <c r="A415" s="61" t="s">
        <v>247</v>
      </c>
      <c r="B415" s="62" t="s">
        <v>857</v>
      </c>
      <c r="C415" s="62" t="s">
        <v>866</v>
      </c>
      <c r="D415" s="62" t="s">
        <v>644</v>
      </c>
      <c r="E415" s="63" t="s">
        <v>265</v>
      </c>
      <c r="F415" s="69" t="s">
        <v>213</v>
      </c>
      <c r="G415" s="69"/>
      <c r="H415" s="63" t="s">
        <v>265</v>
      </c>
      <c r="I415" s="71">
        <v>33236.6</v>
      </c>
      <c r="J415" s="71"/>
      <c r="K415" s="66" t="s">
        <v>214</v>
      </c>
      <c r="L415" s="67">
        <v>1933107.36</v>
      </c>
    </row>
    <row r="416" spans="1:12" ht="51" hidden="1" x14ac:dyDescent="0.3">
      <c r="A416" s="61" t="s">
        <v>247</v>
      </c>
      <c r="B416" s="62" t="s">
        <v>857</v>
      </c>
      <c r="C416" s="62" t="s">
        <v>867</v>
      </c>
      <c r="D416" s="62" t="s">
        <v>646</v>
      </c>
      <c r="E416" s="63" t="s">
        <v>265</v>
      </c>
      <c r="F416" s="69" t="s">
        <v>213</v>
      </c>
      <c r="G416" s="69"/>
      <c r="H416" s="63" t="s">
        <v>265</v>
      </c>
      <c r="I416" s="71">
        <v>8309.15</v>
      </c>
      <c r="J416" s="71"/>
      <c r="K416" s="66" t="s">
        <v>214</v>
      </c>
      <c r="L416" s="67">
        <v>1924798.21</v>
      </c>
    </row>
    <row r="417" spans="1:12" ht="51" hidden="1" x14ac:dyDescent="0.3">
      <c r="A417" s="61" t="s">
        <v>247</v>
      </c>
      <c r="B417" s="62" t="s">
        <v>857</v>
      </c>
      <c r="C417" s="62" t="s">
        <v>867</v>
      </c>
      <c r="D417" s="62" t="s">
        <v>646</v>
      </c>
      <c r="E417" s="63" t="s">
        <v>265</v>
      </c>
      <c r="F417" s="69" t="s">
        <v>213</v>
      </c>
      <c r="G417" s="69"/>
      <c r="H417" s="63" t="s">
        <v>265</v>
      </c>
      <c r="I417" s="71">
        <v>33236.6</v>
      </c>
      <c r="J417" s="71"/>
      <c r="K417" s="66" t="s">
        <v>214</v>
      </c>
      <c r="L417" s="67">
        <v>1891561.61</v>
      </c>
    </row>
    <row r="418" spans="1:12" ht="51" hidden="1" x14ac:dyDescent="0.3">
      <c r="A418" s="61" t="s">
        <v>247</v>
      </c>
      <c r="B418" s="62" t="s">
        <v>857</v>
      </c>
      <c r="C418" s="62" t="s">
        <v>868</v>
      </c>
      <c r="D418" s="62" t="s">
        <v>648</v>
      </c>
      <c r="E418" s="63" t="s">
        <v>265</v>
      </c>
      <c r="F418" s="69" t="s">
        <v>213</v>
      </c>
      <c r="G418" s="69"/>
      <c r="H418" s="63" t="s">
        <v>265</v>
      </c>
      <c r="I418" s="71">
        <v>41545.75</v>
      </c>
      <c r="J418" s="71"/>
      <c r="K418" s="66" t="s">
        <v>214</v>
      </c>
      <c r="L418" s="67">
        <v>1850015.86</v>
      </c>
    </row>
    <row r="419" spans="1:12" ht="51" hidden="1" x14ac:dyDescent="0.3">
      <c r="A419" s="61" t="s">
        <v>247</v>
      </c>
      <c r="B419" s="62" t="s">
        <v>857</v>
      </c>
      <c r="C419" s="62" t="s">
        <v>869</v>
      </c>
      <c r="D419" s="62" t="s">
        <v>650</v>
      </c>
      <c r="E419" s="63" t="s">
        <v>265</v>
      </c>
      <c r="F419" s="69" t="s">
        <v>213</v>
      </c>
      <c r="G419" s="69"/>
      <c r="H419" s="63" t="s">
        <v>265</v>
      </c>
      <c r="I419" s="71">
        <v>33236.6</v>
      </c>
      <c r="J419" s="71"/>
      <c r="K419" s="66" t="s">
        <v>214</v>
      </c>
      <c r="L419" s="67">
        <v>1816779.26</v>
      </c>
    </row>
    <row r="420" spans="1:12" ht="51" hidden="1" x14ac:dyDescent="0.3">
      <c r="A420" s="61" t="s">
        <v>247</v>
      </c>
      <c r="B420" s="62" t="s">
        <v>857</v>
      </c>
      <c r="C420" s="62" t="s">
        <v>869</v>
      </c>
      <c r="D420" s="62" t="s">
        <v>650</v>
      </c>
      <c r="E420" s="63" t="s">
        <v>265</v>
      </c>
      <c r="F420" s="69" t="s">
        <v>213</v>
      </c>
      <c r="G420" s="69"/>
      <c r="H420" s="63" t="s">
        <v>265</v>
      </c>
      <c r="I420" s="71">
        <v>8309.15</v>
      </c>
      <c r="J420" s="71"/>
      <c r="K420" s="66" t="s">
        <v>214</v>
      </c>
      <c r="L420" s="67">
        <v>1808470.11</v>
      </c>
    </row>
    <row r="421" spans="1:12" ht="51" hidden="1" x14ac:dyDescent="0.3">
      <c r="A421" s="61" t="s">
        <v>247</v>
      </c>
      <c r="B421" s="62" t="s">
        <v>857</v>
      </c>
      <c r="C421" s="62" t="s">
        <v>870</v>
      </c>
      <c r="D421" s="62" t="s">
        <v>652</v>
      </c>
      <c r="E421" s="63" t="s">
        <v>265</v>
      </c>
      <c r="F421" s="69" t="s">
        <v>213</v>
      </c>
      <c r="G421" s="69"/>
      <c r="H421" s="63" t="s">
        <v>265</v>
      </c>
      <c r="I421" s="71">
        <v>33236.6</v>
      </c>
      <c r="J421" s="71"/>
      <c r="K421" s="66" t="s">
        <v>214</v>
      </c>
      <c r="L421" s="67">
        <v>1775233.51</v>
      </c>
    </row>
    <row r="422" spans="1:12" ht="51" hidden="1" x14ac:dyDescent="0.3">
      <c r="A422" s="61" t="s">
        <v>247</v>
      </c>
      <c r="B422" s="62" t="s">
        <v>857</v>
      </c>
      <c r="C422" s="62" t="s">
        <v>870</v>
      </c>
      <c r="D422" s="62" t="s">
        <v>652</v>
      </c>
      <c r="E422" s="63" t="s">
        <v>265</v>
      </c>
      <c r="F422" s="69" t="s">
        <v>213</v>
      </c>
      <c r="G422" s="69"/>
      <c r="H422" s="63" t="s">
        <v>265</v>
      </c>
      <c r="I422" s="71">
        <v>8309.15</v>
      </c>
      <c r="J422" s="71"/>
      <c r="K422" s="66" t="s">
        <v>214</v>
      </c>
      <c r="L422" s="67">
        <v>1766924.36</v>
      </c>
    </row>
    <row r="423" spans="1:12" ht="51" hidden="1" x14ac:dyDescent="0.3">
      <c r="A423" s="61" t="s">
        <v>247</v>
      </c>
      <c r="B423" s="62" t="s">
        <v>857</v>
      </c>
      <c r="C423" s="62" t="s">
        <v>871</v>
      </c>
      <c r="D423" s="62" t="s">
        <v>654</v>
      </c>
      <c r="E423" s="63" t="s">
        <v>265</v>
      </c>
      <c r="F423" s="69" t="s">
        <v>213</v>
      </c>
      <c r="G423" s="69"/>
      <c r="H423" s="63" t="s">
        <v>265</v>
      </c>
      <c r="I423" s="71">
        <v>33236.6</v>
      </c>
      <c r="J423" s="71"/>
      <c r="K423" s="66" t="s">
        <v>214</v>
      </c>
      <c r="L423" s="67">
        <v>1733687.76</v>
      </c>
    </row>
    <row r="424" spans="1:12" ht="51" hidden="1" x14ac:dyDescent="0.3">
      <c r="A424" s="61" t="s">
        <v>247</v>
      </c>
      <c r="B424" s="62" t="s">
        <v>857</v>
      </c>
      <c r="C424" s="62" t="s">
        <v>871</v>
      </c>
      <c r="D424" s="62" t="s">
        <v>654</v>
      </c>
      <c r="E424" s="63" t="s">
        <v>265</v>
      </c>
      <c r="F424" s="69" t="s">
        <v>213</v>
      </c>
      <c r="G424" s="69"/>
      <c r="H424" s="63" t="s">
        <v>265</v>
      </c>
      <c r="I424" s="71">
        <v>8309.15</v>
      </c>
      <c r="J424" s="71"/>
      <c r="K424" s="66" t="s">
        <v>214</v>
      </c>
      <c r="L424" s="67">
        <v>1725378.61</v>
      </c>
    </row>
    <row r="425" spans="1:12" ht="51" hidden="1" x14ac:dyDescent="0.3">
      <c r="A425" s="61" t="s">
        <v>247</v>
      </c>
      <c r="B425" s="62" t="s">
        <v>857</v>
      </c>
      <c r="C425" s="62" t="s">
        <v>872</v>
      </c>
      <c r="D425" s="62" t="s">
        <v>656</v>
      </c>
      <c r="E425" s="63" t="s">
        <v>265</v>
      </c>
      <c r="F425" s="69" t="s">
        <v>213</v>
      </c>
      <c r="G425" s="69"/>
      <c r="H425" s="63" t="s">
        <v>265</v>
      </c>
      <c r="I425" s="71">
        <v>41545.75</v>
      </c>
      <c r="J425" s="71"/>
      <c r="K425" s="66" t="s">
        <v>214</v>
      </c>
      <c r="L425" s="67">
        <v>1683832.86</v>
      </c>
    </row>
    <row r="426" spans="1:12" ht="51" hidden="1" x14ac:dyDescent="0.3">
      <c r="A426" s="61" t="s">
        <v>247</v>
      </c>
      <c r="B426" s="62" t="s">
        <v>857</v>
      </c>
      <c r="C426" s="62" t="s">
        <v>873</v>
      </c>
      <c r="D426" s="62" t="s">
        <v>658</v>
      </c>
      <c r="E426" s="63" t="s">
        <v>265</v>
      </c>
      <c r="F426" s="69" t="s">
        <v>213</v>
      </c>
      <c r="G426" s="69"/>
      <c r="H426" s="63" t="s">
        <v>265</v>
      </c>
      <c r="I426" s="71">
        <v>24927.45</v>
      </c>
      <c r="J426" s="71"/>
      <c r="K426" s="66" t="s">
        <v>214</v>
      </c>
      <c r="L426" s="67">
        <v>1658905.41</v>
      </c>
    </row>
    <row r="427" spans="1:12" ht="51" hidden="1" x14ac:dyDescent="0.3">
      <c r="A427" s="61" t="s">
        <v>247</v>
      </c>
      <c r="B427" s="62" t="s">
        <v>857</v>
      </c>
      <c r="C427" s="62" t="s">
        <v>873</v>
      </c>
      <c r="D427" s="62" t="s">
        <v>658</v>
      </c>
      <c r="E427" s="63" t="s">
        <v>265</v>
      </c>
      <c r="F427" s="69" t="s">
        <v>213</v>
      </c>
      <c r="G427" s="69"/>
      <c r="H427" s="63" t="s">
        <v>265</v>
      </c>
      <c r="I427" s="71">
        <v>16618.3</v>
      </c>
      <c r="J427" s="71"/>
      <c r="K427" s="66" t="s">
        <v>214</v>
      </c>
      <c r="L427" s="67">
        <v>1642287.11</v>
      </c>
    </row>
    <row r="428" spans="1:12" ht="51" hidden="1" x14ac:dyDescent="0.3">
      <c r="A428" s="61" t="s">
        <v>247</v>
      </c>
      <c r="B428" s="62" t="s">
        <v>857</v>
      </c>
      <c r="C428" s="62" t="s">
        <v>874</v>
      </c>
      <c r="D428" s="62" t="s">
        <v>661</v>
      </c>
      <c r="E428" s="63" t="s">
        <v>265</v>
      </c>
      <c r="F428" s="69" t="s">
        <v>213</v>
      </c>
      <c r="G428" s="69"/>
      <c r="H428" s="63" t="s">
        <v>265</v>
      </c>
      <c r="I428" s="71">
        <v>33236.6</v>
      </c>
      <c r="J428" s="71"/>
      <c r="K428" s="66" t="s">
        <v>214</v>
      </c>
      <c r="L428" s="67">
        <v>1609050.51</v>
      </c>
    </row>
    <row r="429" spans="1:12" ht="51" hidden="1" x14ac:dyDescent="0.3">
      <c r="A429" s="61" t="s">
        <v>247</v>
      </c>
      <c r="B429" s="62" t="s">
        <v>857</v>
      </c>
      <c r="C429" s="62" t="s">
        <v>875</v>
      </c>
      <c r="D429" s="62" t="s">
        <v>663</v>
      </c>
      <c r="E429" s="63" t="s">
        <v>265</v>
      </c>
      <c r="F429" s="69" t="s">
        <v>213</v>
      </c>
      <c r="G429" s="69"/>
      <c r="H429" s="63" t="s">
        <v>265</v>
      </c>
      <c r="I429" s="71">
        <v>24927.45</v>
      </c>
      <c r="J429" s="71"/>
      <c r="K429" s="66" t="s">
        <v>214</v>
      </c>
      <c r="L429" s="67">
        <v>1584123.06</v>
      </c>
    </row>
    <row r="430" spans="1:12" ht="51" hidden="1" x14ac:dyDescent="0.3">
      <c r="A430" s="61" t="s">
        <v>247</v>
      </c>
      <c r="B430" s="62" t="s">
        <v>857</v>
      </c>
      <c r="C430" s="62" t="s">
        <v>875</v>
      </c>
      <c r="D430" s="62" t="s">
        <v>663</v>
      </c>
      <c r="E430" s="63" t="s">
        <v>265</v>
      </c>
      <c r="F430" s="69" t="s">
        <v>213</v>
      </c>
      <c r="G430" s="69"/>
      <c r="H430" s="63" t="s">
        <v>265</v>
      </c>
      <c r="I430" s="71">
        <v>16618.3</v>
      </c>
      <c r="J430" s="71"/>
      <c r="K430" s="66" t="s">
        <v>214</v>
      </c>
      <c r="L430" s="67">
        <v>1567504.76</v>
      </c>
    </row>
    <row r="431" spans="1:12" ht="51" hidden="1" x14ac:dyDescent="0.3">
      <c r="A431" s="61" t="s">
        <v>247</v>
      </c>
      <c r="B431" s="62" t="s">
        <v>857</v>
      </c>
      <c r="C431" s="62" t="s">
        <v>876</v>
      </c>
      <c r="D431" s="62" t="s">
        <v>665</v>
      </c>
      <c r="E431" s="63" t="s">
        <v>265</v>
      </c>
      <c r="F431" s="69" t="s">
        <v>213</v>
      </c>
      <c r="G431" s="69"/>
      <c r="H431" s="63" t="s">
        <v>265</v>
      </c>
      <c r="I431" s="71">
        <v>24927.45</v>
      </c>
      <c r="J431" s="71"/>
      <c r="K431" s="66" t="s">
        <v>214</v>
      </c>
      <c r="L431" s="67">
        <v>1542577.31</v>
      </c>
    </row>
    <row r="432" spans="1:12" ht="51" hidden="1" x14ac:dyDescent="0.3">
      <c r="A432" s="61" t="s">
        <v>247</v>
      </c>
      <c r="B432" s="62" t="s">
        <v>857</v>
      </c>
      <c r="C432" s="62" t="s">
        <v>876</v>
      </c>
      <c r="D432" s="62" t="s">
        <v>665</v>
      </c>
      <c r="E432" s="63" t="s">
        <v>265</v>
      </c>
      <c r="F432" s="69" t="s">
        <v>213</v>
      </c>
      <c r="G432" s="69"/>
      <c r="H432" s="63" t="s">
        <v>265</v>
      </c>
      <c r="I432" s="71">
        <v>8309.15</v>
      </c>
      <c r="J432" s="71"/>
      <c r="K432" s="66" t="s">
        <v>214</v>
      </c>
      <c r="L432" s="67">
        <v>1534268.16</v>
      </c>
    </row>
    <row r="433" spans="1:12" ht="51" hidden="1" x14ac:dyDescent="0.3">
      <c r="A433" s="61" t="s">
        <v>247</v>
      </c>
      <c r="B433" s="62" t="s">
        <v>857</v>
      </c>
      <c r="C433" s="62" t="s">
        <v>877</v>
      </c>
      <c r="D433" s="62" t="s">
        <v>669</v>
      </c>
      <c r="E433" s="63" t="s">
        <v>265</v>
      </c>
      <c r="F433" s="69" t="s">
        <v>213</v>
      </c>
      <c r="G433" s="69"/>
      <c r="H433" s="63" t="s">
        <v>265</v>
      </c>
      <c r="I433" s="71">
        <v>41545.75</v>
      </c>
      <c r="J433" s="71"/>
      <c r="K433" s="66" t="s">
        <v>214</v>
      </c>
      <c r="L433" s="67">
        <v>1492722.41</v>
      </c>
    </row>
    <row r="434" spans="1:12" ht="51" hidden="1" x14ac:dyDescent="0.3">
      <c r="A434" s="61" t="s">
        <v>247</v>
      </c>
      <c r="B434" s="62" t="s">
        <v>857</v>
      </c>
      <c r="C434" s="62" t="s">
        <v>878</v>
      </c>
      <c r="D434" s="62" t="s">
        <v>672</v>
      </c>
      <c r="E434" s="63" t="s">
        <v>265</v>
      </c>
      <c r="F434" s="69" t="s">
        <v>213</v>
      </c>
      <c r="G434" s="69"/>
      <c r="H434" s="63" t="s">
        <v>265</v>
      </c>
      <c r="I434" s="71">
        <v>24927.45</v>
      </c>
      <c r="J434" s="71"/>
      <c r="K434" s="66" t="s">
        <v>214</v>
      </c>
      <c r="L434" s="67">
        <v>1467794.96</v>
      </c>
    </row>
    <row r="435" spans="1:12" ht="51" hidden="1" x14ac:dyDescent="0.3">
      <c r="A435" s="61" t="s">
        <v>247</v>
      </c>
      <c r="B435" s="62" t="s">
        <v>857</v>
      </c>
      <c r="C435" s="62" t="s">
        <v>878</v>
      </c>
      <c r="D435" s="62" t="s">
        <v>672</v>
      </c>
      <c r="E435" s="63" t="s">
        <v>265</v>
      </c>
      <c r="F435" s="69" t="s">
        <v>213</v>
      </c>
      <c r="G435" s="69"/>
      <c r="H435" s="63" t="s">
        <v>265</v>
      </c>
      <c r="I435" s="71">
        <v>8309.15</v>
      </c>
      <c r="J435" s="71"/>
      <c r="K435" s="66" t="s">
        <v>214</v>
      </c>
      <c r="L435" s="67">
        <v>1459485.81</v>
      </c>
    </row>
    <row r="436" spans="1:12" ht="51" hidden="1" x14ac:dyDescent="0.3">
      <c r="A436" s="61" t="s">
        <v>247</v>
      </c>
      <c r="B436" s="62" t="s">
        <v>857</v>
      </c>
      <c r="C436" s="62" t="s">
        <v>879</v>
      </c>
      <c r="D436" s="62" t="s">
        <v>675</v>
      </c>
      <c r="E436" s="63" t="s">
        <v>265</v>
      </c>
      <c r="F436" s="69" t="s">
        <v>213</v>
      </c>
      <c r="G436" s="69"/>
      <c r="H436" s="63" t="s">
        <v>265</v>
      </c>
      <c r="I436" s="71">
        <v>41545.75</v>
      </c>
      <c r="J436" s="71"/>
      <c r="K436" s="66" t="s">
        <v>214</v>
      </c>
      <c r="L436" s="67">
        <v>1417940.06</v>
      </c>
    </row>
    <row r="437" spans="1:12" ht="51" hidden="1" x14ac:dyDescent="0.3">
      <c r="A437" s="61" t="s">
        <v>247</v>
      </c>
      <c r="B437" s="62" t="s">
        <v>857</v>
      </c>
      <c r="C437" s="62" t="s">
        <v>880</v>
      </c>
      <c r="D437" s="62" t="s">
        <v>678</v>
      </c>
      <c r="E437" s="63" t="s">
        <v>265</v>
      </c>
      <c r="F437" s="69" t="s">
        <v>213</v>
      </c>
      <c r="G437" s="69"/>
      <c r="H437" s="63" t="s">
        <v>265</v>
      </c>
      <c r="I437" s="71">
        <v>24927.45</v>
      </c>
      <c r="J437" s="71"/>
      <c r="K437" s="66" t="s">
        <v>214</v>
      </c>
      <c r="L437" s="67">
        <v>1393012.61</v>
      </c>
    </row>
    <row r="438" spans="1:12" ht="51" hidden="1" x14ac:dyDescent="0.3">
      <c r="A438" s="61" t="s">
        <v>247</v>
      </c>
      <c r="B438" s="62" t="s">
        <v>857</v>
      </c>
      <c r="C438" s="62" t="s">
        <v>880</v>
      </c>
      <c r="D438" s="62" t="s">
        <v>678</v>
      </c>
      <c r="E438" s="63" t="s">
        <v>265</v>
      </c>
      <c r="F438" s="69" t="s">
        <v>213</v>
      </c>
      <c r="G438" s="69"/>
      <c r="H438" s="63" t="s">
        <v>265</v>
      </c>
      <c r="I438" s="71">
        <v>8309.15</v>
      </c>
      <c r="J438" s="71"/>
      <c r="K438" s="66" t="s">
        <v>214</v>
      </c>
      <c r="L438" s="67">
        <v>1384703.46</v>
      </c>
    </row>
    <row r="439" spans="1:12" ht="51" hidden="1" x14ac:dyDescent="0.3">
      <c r="A439" s="61" t="s">
        <v>247</v>
      </c>
      <c r="B439" s="62" t="s">
        <v>857</v>
      </c>
      <c r="C439" s="62" t="s">
        <v>881</v>
      </c>
      <c r="D439" s="62" t="s">
        <v>681</v>
      </c>
      <c r="E439" s="63" t="s">
        <v>265</v>
      </c>
      <c r="F439" s="69" t="s">
        <v>213</v>
      </c>
      <c r="G439" s="69"/>
      <c r="H439" s="63" t="s">
        <v>265</v>
      </c>
      <c r="I439" s="71">
        <v>41545.75</v>
      </c>
      <c r="J439" s="71"/>
      <c r="K439" s="66" t="s">
        <v>214</v>
      </c>
      <c r="L439" s="67">
        <v>1343157.71</v>
      </c>
    </row>
    <row r="440" spans="1:12" ht="51" hidden="1" x14ac:dyDescent="0.3">
      <c r="A440" s="61" t="s">
        <v>247</v>
      </c>
      <c r="B440" s="62" t="s">
        <v>857</v>
      </c>
      <c r="C440" s="62" t="s">
        <v>882</v>
      </c>
      <c r="D440" s="62" t="s">
        <v>684</v>
      </c>
      <c r="E440" s="63" t="s">
        <v>265</v>
      </c>
      <c r="F440" s="69" t="s">
        <v>213</v>
      </c>
      <c r="G440" s="69"/>
      <c r="H440" s="63" t="s">
        <v>265</v>
      </c>
      <c r="I440" s="71">
        <v>24927.45</v>
      </c>
      <c r="J440" s="71"/>
      <c r="K440" s="66" t="s">
        <v>214</v>
      </c>
      <c r="L440" s="67">
        <v>1318230.26</v>
      </c>
    </row>
    <row r="441" spans="1:12" ht="51" hidden="1" x14ac:dyDescent="0.3">
      <c r="A441" s="61" t="s">
        <v>247</v>
      </c>
      <c r="B441" s="62" t="s">
        <v>857</v>
      </c>
      <c r="C441" s="62" t="s">
        <v>882</v>
      </c>
      <c r="D441" s="62" t="s">
        <v>684</v>
      </c>
      <c r="E441" s="63" t="s">
        <v>265</v>
      </c>
      <c r="F441" s="69" t="s">
        <v>213</v>
      </c>
      <c r="G441" s="69"/>
      <c r="H441" s="63" t="s">
        <v>265</v>
      </c>
      <c r="I441" s="71">
        <v>8309.15</v>
      </c>
      <c r="J441" s="71"/>
      <c r="K441" s="66" t="s">
        <v>214</v>
      </c>
      <c r="L441" s="67">
        <v>1309921.1100000001</v>
      </c>
    </row>
    <row r="442" spans="1:12" ht="51" hidden="1" x14ac:dyDescent="0.3">
      <c r="A442" s="61" t="s">
        <v>247</v>
      </c>
      <c r="B442" s="62" t="s">
        <v>857</v>
      </c>
      <c r="C442" s="62" t="s">
        <v>883</v>
      </c>
      <c r="D442" s="62" t="s">
        <v>687</v>
      </c>
      <c r="E442" s="63" t="s">
        <v>265</v>
      </c>
      <c r="F442" s="69" t="s">
        <v>213</v>
      </c>
      <c r="G442" s="69"/>
      <c r="H442" s="63" t="s">
        <v>265</v>
      </c>
      <c r="I442" s="71">
        <v>41545.75</v>
      </c>
      <c r="J442" s="71"/>
      <c r="K442" s="66" t="s">
        <v>214</v>
      </c>
      <c r="L442" s="67">
        <v>1268375.3600000001</v>
      </c>
    </row>
    <row r="443" spans="1:12" ht="51" hidden="1" x14ac:dyDescent="0.3">
      <c r="A443" s="61" t="s">
        <v>247</v>
      </c>
      <c r="B443" s="62" t="s">
        <v>857</v>
      </c>
      <c r="C443" s="62" t="s">
        <v>884</v>
      </c>
      <c r="D443" s="62" t="s">
        <v>690</v>
      </c>
      <c r="E443" s="63" t="s">
        <v>265</v>
      </c>
      <c r="F443" s="69" t="s">
        <v>213</v>
      </c>
      <c r="G443" s="69"/>
      <c r="H443" s="63" t="s">
        <v>265</v>
      </c>
      <c r="I443" s="71">
        <v>24927.45</v>
      </c>
      <c r="J443" s="71"/>
      <c r="K443" s="66" t="s">
        <v>214</v>
      </c>
      <c r="L443" s="67">
        <v>1243447.9099999999</v>
      </c>
    </row>
    <row r="444" spans="1:12" ht="51" hidden="1" x14ac:dyDescent="0.3">
      <c r="A444" s="61" t="s">
        <v>247</v>
      </c>
      <c r="B444" s="62" t="s">
        <v>857</v>
      </c>
      <c r="C444" s="62" t="s">
        <v>884</v>
      </c>
      <c r="D444" s="62" t="s">
        <v>690</v>
      </c>
      <c r="E444" s="63" t="s">
        <v>265</v>
      </c>
      <c r="F444" s="69" t="s">
        <v>213</v>
      </c>
      <c r="G444" s="69"/>
      <c r="H444" s="63" t="s">
        <v>265</v>
      </c>
      <c r="I444" s="71">
        <v>8309.15</v>
      </c>
      <c r="J444" s="71"/>
      <c r="K444" s="66" t="s">
        <v>214</v>
      </c>
      <c r="L444" s="67">
        <v>1235138.76</v>
      </c>
    </row>
    <row r="445" spans="1:12" ht="51" hidden="1" x14ac:dyDescent="0.3">
      <c r="A445" s="61" t="s">
        <v>247</v>
      </c>
      <c r="B445" s="62" t="s">
        <v>857</v>
      </c>
      <c r="C445" s="62" t="s">
        <v>885</v>
      </c>
      <c r="D445" s="62" t="s">
        <v>693</v>
      </c>
      <c r="E445" s="63" t="s">
        <v>265</v>
      </c>
      <c r="F445" s="69" t="s">
        <v>213</v>
      </c>
      <c r="G445" s="69"/>
      <c r="H445" s="63" t="s">
        <v>265</v>
      </c>
      <c r="I445" s="71">
        <v>33236.6</v>
      </c>
      <c r="J445" s="71"/>
      <c r="K445" s="66" t="s">
        <v>214</v>
      </c>
      <c r="L445" s="67">
        <v>1201902.1599999999</v>
      </c>
    </row>
    <row r="446" spans="1:12" ht="51" hidden="1" x14ac:dyDescent="0.3">
      <c r="A446" s="61" t="s">
        <v>247</v>
      </c>
      <c r="B446" s="62" t="s">
        <v>857</v>
      </c>
      <c r="C446" s="62" t="s">
        <v>885</v>
      </c>
      <c r="D446" s="62" t="s">
        <v>693</v>
      </c>
      <c r="E446" s="63" t="s">
        <v>265</v>
      </c>
      <c r="F446" s="69" t="s">
        <v>213</v>
      </c>
      <c r="G446" s="69"/>
      <c r="H446" s="63" t="s">
        <v>265</v>
      </c>
      <c r="I446" s="71">
        <v>8309.15</v>
      </c>
      <c r="J446" s="71"/>
      <c r="K446" s="66" t="s">
        <v>214</v>
      </c>
      <c r="L446" s="67">
        <v>1193593.01</v>
      </c>
    </row>
    <row r="447" spans="1:12" ht="51" hidden="1" x14ac:dyDescent="0.3">
      <c r="A447" s="61" t="s">
        <v>247</v>
      </c>
      <c r="B447" s="62" t="s">
        <v>857</v>
      </c>
      <c r="C447" s="62" t="s">
        <v>886</v>
      </c>
      <c r="D447" s="62" t="s">
        <v>697</v>
      </c>
      <c r="E447" s="63" t="s">
        <v>265</v>
      </c>
      <c r="F447" s="69" t="s">
        <v>213</v>
      </c>
      <c r="G447" s="69"/>
      <c r="H447" s="63" t="s">
        <v>265</v>
      </c>
      <c r="I447" s="71">
        <v>33236.6</v>
      </c>
      <c r="J447" s="71"/>
      <c r="K447" s="66" t="s">
        <v>214</v>
      </c>
      <c r="L447" s="67">
        <v>1160356.4099999999</v>
      </c>
    </row>
    <row r="448" spans="1:12" ht="51" hidden="1" x14ac:dyDescent="0.3">
      <c r="A448" s="61" t="s">
        <v>247</v>
      </c>
      <c r="B448" s="62" t="s">
        <v>857</v>
      </c>
      <c r="C448" s="62" t="s">
        <v>886</v>
      </c>
      <c r="D448" s="62" t="s">
        <v>697</v>
      </c>
      <c r="E448" s="63" t="s">
        <v>265</v>
      </c>
      <c r="F448" s="69" t="s">
        <v>213</v>
      </c>
      <c r="G448" s="69"/>
      <c r="H448" s="63" t="s">
        <v>265</v>
      </c>
      <c r="I448" s="71">
        <v>8309.15</v>
      </c>
      <c r="J448" s="71"/>
      <c r="K448" s="66" t="s">
        <v>214</v>
      </c>
      <c r="L448" s="67">
        <v>1152047.26</v>
      </c>
    </row>
    <row r="449" spans="1:12" ht="51" hidden="1" x14ac:dyDescent="0.3">
      <c r="A449" s="61" t="s">
        <v>247</v>
      </c>
      <c r="B449" s="62" t="s">
        <v>857</v>
      </c>
      <c r="C449" s="62" t="s">
        <v>887</v>
      </c>
      <c r="D449" s="62" t="s">
        <v>699</v>
      </c>
      <c r="E449" s="63" t="s">
        <v>265</v>
      </c>
      <c r="F449" s="69" t="s">
        <v>213</v>
      </c>
      <c r="G449" s="69"/>
      <c r="H449" s="63" t="s">
        <v>265</v>
      </c>
      <c r="I449" s="71">
        <v>33236.6</v>
      </c>
      <c r="J449" s="71"/>
      <c r="K449" s="66" t="s">
        <v>214</v>
      </c>
      <c r="L449" s="67">
        <v>1118810.6599999999</v>
      </c>
    </row>
    <row r="450" spans="1:12" ht="51" hidden="1" x14ac:dyDescent="0.3">
      <c r="A450" s="61" t="s">
        <v>247</v>
      </c>
      <c r="B450" s="62" t="s">
        <v>857</v>
      </c>
      <c r="C450" s="62" t="s">
        <v>888</v>
      </c>
      <c r="D450" s="62" t="s">
        <v>701</v>
      </c>
      <c r="E450" s="63" t="s">
        <v>265</v>
      </c>
      <c r="F450" s="69" t="s">
        <v>213</v>
      </c>
      <c r="G450" s="69"/>
      <c r="H450" s="63" t="s">
        <v>265</v>
      </c>
      <c r="I450" s="71">
        <v>41545.75</v>
      </c>
      <c r="J450" s="71"/>
      <c r="K450" s="66" t="s">
        <v>214</v>
      </c>
      <c r="L450" s="67">
        <v>1077264.9099999999</v>
      </c>
    </row>
    <row r="451" spans="1:12" ht="51" hidden="1" x14ac:dyDescent="0.3">
      <c r="A451" s="61" t="s">
        <v>247</v>
      </c>
      <c r="B451" s="62" t="s">
        <v>857</v>
      </c>
      <c r="C451" s="62" t="s">
        <v>889</v>
      </c>
      <c r="D451" s="62" t="s">
        <v>705</v>
      </c>
      <c r="E451" s="63" t="s">
        <v>265</v>
      </c>
      <c r="F451" s="69" t="s">
        <v>213</v>
      </c>
      <c r="G451" s="69"/>
      <c r="H451" s="63" t="s">
        <v>265</v>
      </c>
      <c r="I451" s="71">
        <v>33236.6</v>
      </c>
      <c r="J451" s="71"/>
      <c r="K451" s="66" t="s">
        <v>214</v>
      </c>
      <c r="L451" s="67">
        <v>1044028.31</v>
      </c>
    </row>
    <row r="452" spans="1:12" ht="51" hidden="1" x14ac:dyDescent="0.3">
      <c r="A452" s="61" t="s">
        <v>247</v>
      </c>
      <c r="B452" s="62" t="s">
        <v>857</v>
      </c>
      <c r="C452" s="62" t="s">
        <v>890</v>
      </c>
      <c r="D452" s="62" t="s">
        <v>708</v>
      </c>
      <c r="E452" s="63" t="s">
        <v>265</v>
      </c>
      <c r="F452" s="69" t="s">
        <v>213</v>
      </c>
      <c r="G452" s="69"/>
      <c r="H452" s="63" t="s">
        <v>265</v>
      </c>
      <c r="I452" s="71">
        <v>41545.75</v>
      </c>
      <c r="J452" s="71"/>
      <c r="K452" s="66" t="s">
        <v>214</v>
      </c>
      <c r="L452" s="67">
        <v>1002482.56</v>
      </c>
    </row>
    <row r="453" spans="1:12" ht="51" hidden="1" x14ac:dyDescent="0.3">
      <c r="A453" s="61" t="s">
        <v>247</v>
      </c>
      <c r="B453" s="62" t="s">
        <v>857</v>
      </c>
      <c r="C453" s="62" t="s">
        <v>891</v>
      </c>
      <c r="D453" s="62" t="s">
        <v>711</v>
      </c>
      <c r="E453" s="63" t="s">
        <v>265</v>
      </c>
      <c r="F453" s="69" t="s">
        <v>213</v>
      </c>
      <c r="G453" s="69"/>
      <c r="H453" s="63" t="s">
        <v>265</v>
      </c>
      <c r="I453" s="71">
        <v>33236.6</v>
      </c>
      <c r="J453" s="71"/>
      <c r="K453" s="66" t="s">
        <v>214</v>
      </c>
      <c r="L453" s="67">
        <v>969245.96</v>
      </c>
    </row>
    <row r="454" spans="1:12" ht="51" hidden="1" x14ac:dyDescent="0.3">
      <c r="A454" s="61" t="s">
        <v>247</v>
      </c>
      <c r="B454" s="62" t="s">
        <v>857</v>
      </c>
      <c r="C454" s="62" t="s">
        <v>892</v>
      </c>
      <c r="D454" s="62" t="s">
        <v>715</v>
      </c>
      <c r="E454" s="63" t="s">
        <v>265</v>
      </c>
      <c r="F454" s="69" t="s">
        <v>213</v>
      </c>
      <c r="G454" s="69"/>
      <c r="H454" s="63" t="s">
        <v>265</v>
      </c>
      <c r="I454" s="71">
        <v>33236.6</v>
      </c>
      <c r="J454" s="71"/>
      <c r="K454" s="66" t="s">
        <v>214</v>
      </c>
      <c r="L454" s="67">
        <v>936009.36</v>
      </c>
    </row>
    <row r="455" spans="1:12" ht="51" hidden="1" x14ac:dyDescent="0.3">
      <c r="A455" s="61" t="s">
        <v>247</v>
      </c>
      <c r="B455" s="62" t="s">
        <v>857</v>
      </c>
      <c r="C455" s="62" t="s">
        <v>893</v>
      </c>
      <c r="D455" s="62" t="s">
        <v>718</v>
      </c>
      <c r="E455" s="63" t="s">
        <v>265</v>
      </c>
      <c r="F455" s="69" t="s">
        <v>213</v>
      </c>
      <c r="G455" s="69"/>
      <c r="H455" s="63" t="s">
        <v>265</v>
      </c>
      <c r="I455" s="71">
        <v>8309.15</v>
      </c>
      <c r="J455" s="71"/>
      <c r="K455" s="66" t="s">
        <v>214</v>
      </c>
      <c r="L455" s="67">
        <v>927700.21</v>
      </c>
    </row>
    <row r="456" spans="1:12" ht="51" hidden="1" x14ac:dyDescent="0.3">
      <c r="A456" s="61" t="s">
        <v>247</v>
      </c>
      <c r="B456" s="62" t="s">
        <v>857</v>
      </c>
      <c r="C456" s="62" t="s">
        <v>893</v>
      </c>
      <c r="D456" s="62" t="s">
        <v>718</v>
      </c>
      <c r="E456" s="63" t="s">
        <v>265</v>
      </c>
      <c r="F456" s="69" t="s">
        <v>213</v>
      </c>
      <c r="G456" s="69"/>
      <c r="H456" s="63" t="s">
        <v>265</v>
      </c>
      <c r="I456" s="71">
        <v>33236.6</v>
      </c>
      <c r="J456" s="71"/>
      <c r="K456" s="66" t="s">
        <v>214</v>
      </c>
      <c r="L456" s="67">
        <v>894463.61</v>
      </c>
    </row>
    <row r="457" spans="1:12" ht="51" hidden="1" x14ac:dyDescent="0.3">
      <c r="A457" s="61" t="s">
        <v>247</v>
      </c>
      <c r="B457" s="62" t="s">
        <v>857</v>
      </c>
      <c r="C457" s="62" t="s">
        <v>894</v>
      </c>
      <c r="D457" s="62" t="s">
        <v>721</v>
      </c>
      <c r="E457" s="63" t="s">
        <v>265</v>
      </c>
      <c r="F457" s="69" t="s">
        <v>213</v>
      </c>
      <c r="G457" s="69"/>
      <c r="H457" s="63" t="s">
        <v>265</v>
      </c>
      <c r="I457" s="71">
        <v>8309.15</v>
      </c>
      <c r="J457" s="71"/>
      <c r="K457" s="66" t="s">
        <v>214</v>
      </c>
      <c r="L457" s="67">
        <v>886154.46</v>
      </c>
    </row>
    <row r="458" spans="1:12" ht="51" hidden="1" x14ac:dyDescent="0.3">
      <c r="A458" s="61" t="s">
        <v>247</v>
      </c>
      <c r="B458" s="62" t="s">
        <v>857</v>
      </c>
      <c r="C458" s="62" t="s">
        <v>894</v>
      </c>
      <c r="D458" s="62" t="s">
        <v>721</v>
      </c>
      <c r="E458" s="63" t="s">
        <v>265</v>
      </c>
      <c r="F458" s="69" t="s">
        <v>213</v>
      </c>
      <c r="G458" s="69"/>
      <c r="H458" s="63" t="s">
        <v>265</v>
      </c>
      <c r="I458" s="71">
        <v>24927.45</v>
      </c>
      <c r="J458" s="71"/>
      <c r="K458" s="66" t="s">
        <v>214</v>
      </c>
      <c r="L458" s="67">
        <v>861227.01</v>
      </c>
    </row>
    <row r="459" spans="1:12" ht="51" hidden="1" x14ac:dyDescent="0.3">
      <c r="A459" s="61" t="s">
        <v>247</v>
      </c>
      <c r="B459" s="62" t="s">
        <v>857</v>
      </c>
      <c r="C459" s="62" t="s">
        <v>895</v>
      </c>
      <c r="D459" s="62" t="s">
        <v>724</v>
      </c>
      <c r="E459" s="63" t="s">
        <v>265</v>
      </c>
      <c r="F459" s="69" t="s">
        <v>213</v>
      </c>
      <c r="G459" s="69"/>
      <c r="H459" s="63" t="s">
        <v>265</v>
      </c>
      <c r="I459" s="71">
        <v>8309.15</v>
      </c>
      <c r="J459" s="71"/>
      <c r="K459" s="66" t="s">
        <v>214</v>
      </c>
      <c r="L459" s="67">
        <v>852917.86</v>
      </c>
    </row>
    <row r="460" spans="1:12" ht="51" hidden="1" x14ac:dyDescent="0.3">
      <c r="A460" s="61" t="s">
        <v>247</v>
      </c>
      <c r="B460" s="62" t="s">
        <v>857</v>
      </c>
      <c r="C460" s="62" t="s">
        <v>895</v>
      </c>
      <c r="D460" s="62" t="s">
        <v>724</v>
      </c>
      <c r="E460" s="63" t="s">
        <v>265</v>
      </c>
      <c r="F460" s="69" t="s">
        <v>213</v>
      </c>
      <c r="G460" s="69"/>
      <c r="H460" s="63" t="s">
        <v>265</v>
      </c>
      <c r="I460" s="71">
        <v>33236.6</v>
      </c>
      <c r="J460" s="71"/>
      <c r="K460" s="66" t="s">
        <v>214</v>
      </c>
      <c r="L460" s="67">
        <v>819681.26</v>
      </c>
    </row>
    <row r="461" spans="1:12" ht="51" hidden="1" x14ac:dyDescent="0.3">
      <c r="A461" s="61" t="s">
        <v>247</v>
      </c>
      <c r="B461" s="62" t="s">
        <v>857</v>
      </c>
      <c r="C461" s="62" t="s">
        <v>896</v>
      </c>
      <c r="D461" s="62" t="s">
        <v>727</v>
      </c>
      <c r="E461" s="63" t="s">
        <v>265</v>
      </c>
      <c r="F461" s="69" t="s">
        <v>213</v>
      </c>
      <c r="G461" s="69"/>
      <c r="H461" s="63" t="s">
        <v>265</v>
      </c>
      <c r="I461" s="71">
        <v>33236.6</v>
      </c>
      <c r="J461" s="71"/>
      <c r="K461" s="66" t="s">
        <v>214</v>
      </c>
      <c r="L461" s="67">
        <v>786444.66</v>
      </c>
    </row>
    <row r="462" spans="1:12" ht="51" hidden="1" x14ac:dyDescent="0.3">
      <c r="A462" s="61" t="s">
        <v>247</v>
      </c>
      <c r="B462" s="62" t="s">
        <v>857</v>
      </c>
      <c r="C462" s="62" t="s">
        <v>897</v>
      </c>
      <c r="D462" s="62" t="s">
        <v>730</v>
      </c>
      <c r="E462" s="63" t="s">
        <v>265</v>
      </c>
      <c r="F462" s="69" t="s">
        <v>213</v>
      </c>
      <c r="G462" s="69"/>
      <c r="H462" s="63" t="s">
        <v>265</v>
      </c>
      <c r="I462" s="71">
        <v>8309.15</v>
      </c>
      <c r="J462" s="71"/>
      <c r="K462" s="66" t="s">
        <v>214</v>
      </c>
      <c r="L462" s="67">
        <v>778135.51</v>
      </c>
    </row>
    <row r="463" spans="1:12" ht="51" hidden="1" x14ac:dyDescent="0.3">
      <c r="A463" s="61" t="s">
        <v>247</v>
      </c>
      <c r="B463" s="62" t="s">
        <v>857</v>
      </c>
      <c r="C463" s="62" t="s">
        <v>897</v>
      </c>
      <c r="D463" s="62" t="s">
        <v>730</v>
      </c>
      <c r="E463" s="63" t="s">
        <v>265</v>
      </c>
      <c r="F463" s="69" t="s">
        <v>213</v>
      </c>
      <c r="G463" s="69"/>
      <c r="H463" s="63" t="s">
        <v>265</v>
      </c>
      <c r="I463" s="71">
        <v>33236.6</v>
      </c>
      <c r="J463" s="71"/>
      <c r="K463" s="66" t="s">
        <v>214</v>
      </c>
      <c r="L463" s="67">
        <v>744898.91</v>
      </c>
    </row>
    <row r="464" spans="1:12" ht="51" hidden="1" x14ac:dyDescent="0.3">
      <c r="A464" s="61" t="s">
        <v>247</v>
      </c>
      <c r="B464" s="62" t="s">
        <v>857</v>
      </c>
      <c r="C464" s="62" t="s">
        <v>898</v>
      </c>
      <c r="D464" s="62" t="s">
        <v>733</v>
      </c>
      <c r="E464" s="63" t="s">
        <v>265</v>
      </c>
      <c r="F464" s="69" t="s">
        <v>213</v>
      </c>
      <c r="G464" s="69"/>
      <c r="H464" s="63" t="s">
        <v>265</v>
      </c>
      <c r="I464" s="71">
        <v>8309.15</v>
      </c>
      <c r="J464" s="71"/>
      <c r="K464" s="66" t="s">
        <v>214</v>
      </c>
      <c r="L464" s="67">
        <v>736589.76</v>
      </c>
    </row>
    <row r="465" spans="1:12" ht="51" hidden="1" x14ac:dyDescent="0.3">
      <c r="A465" s="61" t="s">
        <v>247</v>
      </c>
      <c r="B465" s="62" t="s">
        <v>857</v>
      </c>
      <c r="C465" s="62" t="s">
        <v>898</v>
      </c>
      <c r="D465" s="62" t="s">
        <v>733</v>
      </c>
      <c r="E465" s="63" t="s">
        <v>265</v>
      </c>
      <c r="F465" s="69" t="s">
        <v>213</v>
      </c>
      <c r="G465" s="69"/>
      <c r="H465" s="63" t="s">
        <v>265</v>
      </c>
      <c r="I465" s="71">
        <v>24927.45</v>
      </c>
      <c r="J465" s="71"/>
      <c r="K465" s="66" t="s">
        <v>214</v>
      </c>
      <c r="L465" s="67">
        <v>711662.31</v>
      </c>
    </row>
    <row r="466" spans="1:12" ht="51" hidden="1" x14ac:dyDescent="0.3">
      <c r="A466" s="61" t="s">
        <v>247</v>
      </c>
      <c r="B466" s="62" t="s">
        <v>857</v>
      </c>
      <c r="C466" s="62" t="s">
        <v>899</v>
      </c>
      <c r="D466" s="62" t="s">
        <v>736</v>
      </c>
      <c r="E466" s="63" t="s">
        <v>265</v>
      </c>
      <c r="F466" s="69" t="s">
        <v>213</v>
      </c>
      <c r="G466" s="69"/>
      <c r="H466" s="63" t="s">
        <v>265</v>
      </c>
      <c r="I466" s="71">
        <v>8309.15</v>
      </c>
      <c r="J466" s="71"/>
      <c r="K466" s="66" t="s">
        <v>214</v>
      </c>
      <c r="L466" s="67">
        <v>703353.16</v>
      </c>
    </row>
    <row r="467" spans="1:12" ht="51" hidden="1" x14ac:dyDescent="0.3">
      <c r="A467" s="61" t="s">
        <v>247</v>
      </c>
      <c r="B467" s="62" t="s">
        <v>857</v>
      </c>
      <c r="C467" s="62" t="s">
        <v>899</v>
      </c>
      <c r="D467" s="62" t="s">
        <v>736</v>
      </c>
      <c r="E467" s="63" t="s">
        <v>265</v>
      </c>
      <c r="F467" s="69" t="s">
        <v>213</v>
      </c>
      <c r="G467" s="69"/>
      <c r="H467" s="63" t="s">
        <v>265</v>
      </c>
      <c r="I467" s="71">
        <v>33236.6</v>
      </c>
      <c r="J467" s="71"/>
      <c r="K467" s="66" t="s">
        <v>214</v>
      </c>
      <c r="L467" s="67">
        <v>670116.56000000006</v>
      </c>
    </row>
    <row r="468" spans="1:12" ht="51" hidden="1" x14ac:dyDescent="0.3">
      <c r="A468" s="61" t="s">
        <v>247</v>
      </c>
      <c r="B468" s="62" t="s">
        <v>857</v>
      </c>
      <c r="C468" s="62" t="s">
        <v>900</v>
      </c>
      <c r="D468" s="62" t="s">
        <v>740</v>
      </c>
      <c r="E468" s="63" t="s">
        <v>265</v>
      </c>
      <c r="F468" s="69" t="s">
        <v>213</v>
      </c>
      <c r="G468" s="69"/>
      <c r="H468" s="63" t="s">
        <v>265</v>
      </c>
      <c r="I468" s="71">
        <v>8309.15</v>
      </c>
      <c r="J468" s="71"/>
      <c r="K468" s="66" t="s">
        <v>214</v>
      </c>
      <c r="L468" s="67">
        <v>661807.41</v>
      </c>
    </row>
    <row r="469" spans="1:12" ht="51" hidden="1" x14ac:dyDescent="0.3">
      <c r="A469" s="61" t="s">
        <v>247</v>
      </c>
      <c r="B469" s="62" t="s">
        <v>857</v>
      </c>
      <c r="C469" s="62" t="s">
        <v>900</v>
      </c>
      <c r="D469" s="62" t="s">
        <v>740</v>
      </c>
      <c r="E469" s="63" t="s">
        <v>265</v>
      </c>
      <c r="F469" s="69" t="s">
        <v>213</v>
      </c>
      <c r="G469" s="69"/>
      <c r="H469" s="63" t="s">
        <v>265</v>
      </c>
      <c r="I469" s="71">
        <v>24927.45</v>
      </c>
      <c r="J469" s="71"/>
      <c r="K469" s="66" t="s">
        <v>214</v>
      </c>
      <c r="L469" s="67">
        <v>636879.96</v>
      </c>
    </row>
    <row r="470" spans="1:12" ht="51" hidden="1" x14ac:dyDescent="0.3">
      <c r="A470" s="61" t="s">
        <v>247</v>
      </c>
      <c r="B470" s="62" t="s">
        <v>857</v>
      </c>
      <c r="C470" s="62" t="s">
        <v>901</v>
      </c>
      <c r="D470" s="62" t="s">
        <v>743</v>
      </c>
      <c r="E470" s="63" t="s">
        <v>265</v>
      </c>
      <c r="F470" s="69" t="s">
        <v>213</v>
      </c>
      <c r="G470" s="69"/>
      <c r="H470" s="63" t="s">
        <v>265</v>
      </c>
      <c r="I470" s="71">
        <v>8309.15</v>
      </c>
      <c r="J470" s="71"/>
      <c r="K470" s="66" t="s">
        <v>214</v>
      </c>
      <c r="L470" s="67">
        <v>628570.81000000006</v>
      </c>
    </row>
    <row r="471" spans="1:12" ht="51" hidden="1" x14ac:dyDescent="0.3">
      <c r="A471" s="61" t="s">
        <v>247</v>
      </c>
      <c r="B471" s="62" t="s">
        <v>857</v>
      </c>
      <c r="C471" s="62" t="s">
        <v>901</v>
      </c>
      <c r="D471" s="62" t="s">
        <v>743</v>
      </c>
      <c r="E471" s="63" t="s">
        <v>265</v>
      </c>
      <c r="F471" s="69" t="s">
        <v>213</v>
      </c>
      <c r="G471" s="69"/>
      <c r="H471" s="63" t="s">
        <v>265</v>
      </c>
      <c r="I471" s="71">
        <v>33236.6</v>
      </c>
      <c r="J471" s="71"/>
      <c r="K471" s="66" t="s">
        <v>214</v>
      </c>
      <c r="L471" s="67">
        <v>595334.21</v>
      </c>
    </row>
    <row r="472" spans="1:12" ht="51" hidden="1" x14ac:dyDescent="0.3">
      <c r="A472" s="61" t="s">
        <v>247</v>
      </c>
      <c r="B472" s="62" t="s">
        <v>902</v>
      </c>
      <c r="C472" s="62" t="s">
        <v>903</v>
      </c>
      <c r="D472" s="62" t="s">
        <v>904</v>
      </c>
      <c r="E472" s="63" t="s">
        <v>265</v>
      </c>
      <c r="F472" s="64">
        <v>1586.5</v>
      </c>
      <c r="G472" s="64"/>
      <c r="H472" s="63" t="s">
        <v>266</v>
      </c>
      <c r="I472" s="65" t="s">
        <v>213</v>
      </c>
      <c r="J472" s="65"/>
      <c r="K472" s="66" t="s">
        <v>214</v>
      </c>
      <c r="L472" s="67">
        <v>596920.71</v>
      </c>
    </row>
    <row r="473" spans="1:12" ht="51" hidden="1" x14ac:dyDescent="0.3">
      <c r="A473" s="61" t="s">
        <v>247</v>
      </c>
      <c r="B473" s="62" t="s">
        <v>905</v>
      </c>
      <c r="C473" s="62" t="s">
        <v>903</v>
      </c>
      <c r="D473" s="62" t="s">
        <v>904</v>
      </c>
      <c r="E473" s="63" t="s">
        <v>265</v>
      </c>
      <c r="F473" s="64">
        <v>38076</v>
      </c>
      <c r="G473" s="64"/>
      <c r="H473" s="63" t="s">
        <v>266</v>
      </c>
      <c r="I473" s="65" t="s">
        <v>213</v>
      </c>
      <c r="J473" s="65"/>
      <c r="K473" s="66" t="s">
        <v>214</v>
      </c>
      <c r="L473" s="67">
        <v>634996.71</v>
      </c>
    </row>
    <row r="474" spans="1:12" ht="51" hidden="1" x14ac:dyDescent="0.3">
      <c r="A474" s="61" t="s">
        <v>247</v>
      </c>
      <c r="B474" s="62" t="s">
        <v>906</v>
      </c>
      <c r="C474" s="62" t="s">
        <v>907</v>
      </c>
      <c r="D474" s="62" t="s">
        <v>908</v>
      </c>
      <c r="E474" s="63" t="s">
        <v>265</v>
      </c>
      <c r="F474" s="64">
        <v>6480</v>
      </c>
      <c r="G474" s="64"/>
      <c r="H474" s="63" t="s">
        <v>266</v>
      </c>
      <c r="I474" s="65" t="s">
        <v>213</v>
      </c>
      <c r="J474" s="65"/>
      <c r="K474" s="66" t="s">
        <v>214</v>
      </c>
      <c r="L474" s="67">
        <v>641476.71</v>
      </c>
    </row>
    <row r="475" spans="1:12" ht="51" hidden="1" x14ac:dyDescent="0.3">
      <c r="A475" s="61" t="s">
        <v>247</v>
      </c>
      <c r="B475" s="62" t="s">
        <v>909</v>
      </c>
      <c r="C475" s="62" t="s">
        <v>907</v>
      </c>
      <c r="D475" s="62" t="s">
        <v>908</v>
      </c>
      <c r="E475" s="63" t="s">
        <v>265</v>
      </c>
      <c r="F475" s="64">
        <v>5805</v>
      </c>
      <c r="G475" s="64"/>
      <c r="H475" s="63" t="s">
        <v>266</v>
      </c>
      <c r="I475" s="65" t="s">
        <v>213</v>
      </c>
      <c r="J475" s="65"/>
      <c r="K475" s="66" t="s">
        <v>214</v>
      </c>
      <c r="L475" s="67">
        <v>647281.71</v>
      </c>
    </row>
    <row r="476" spans="1:12" ht="51" hidden="1" x14ac:dyDescent="0.3">
      <c r="A476" s="61" t="s">
        <v>247</v>
      </c>
      <c r="B476" s="62" t="s">
        <v>910</v>
      </c>
      <c r="C476" s="62" t="s">
        <v>911</v>
      </c>
      <c r="D476" s="62" t="s">
        <v>912</v>
      </c>
      <c r="E476" s="63" t="s">
        <v>265</v>
      </c>
      <c r="F476" s="64">
        <v>9244.2000000000007</v>
      </c>
      <c r="G476" s="64"/>
      <c r="H476" s="63" t="s">
        <v>266</v>
      </c>
      <c r="I476" s="65" t="s">
        <v>213</v>
      </c>
      <c r="J476" s="65"/>
      <c r="K476" s="66" t="s">
        <v>214</v>
      </c>
      <c r="L476" s="67">
        <v>656525.91</v>
      </c>
    </row>
    <row r="477" spans="1:12" ht="51" hidden="1" x14ac:dyDescent="0.3">
      <c r="A477" s="61" t="s">
        <v>913</v>
      </c>
      <c r="B477" s="62" t="s">
        <v>914</v>
      </c>
      <c r="C477" s="62" t="s">
        <v>915</v>
      </c>
      <c r="D477" s="62" t="s">
        <v>916</v>
      </c>
      <c r="E477" s="63" t="s">
        <v>265</v>
      </c>
      <c r="F477" s="64">
        <v>6920</v>
      </c>
      <c r="G477" s="64"/>
      <c r="H477" s="63" t="s">
        <v>266</v>
      </c>
      <c r="I477" s="65" t="s">
        <v>213</v>
      </c>
      <c r="J477" s="65"/>
      <c r="K477" s="66" t="s">
        <v>214</v>
      </c>
      <c r="L477" s="67">
        <v>663445.91</v>
      </c>
    </row>
    <row r="478" spans="1:12" ht="51" hidden="1" x14ac:dyDescent="0.3">
      <c r="A478" s="61" t="s">
        <v>913</v>
      </c>
      <c r="B478" s="62" t="s">
        <v>917</v>
      </c>
      <c r="C478" s="62" t="s">
        <v>915</v>
      </c>
      <c r="D478" s="62" t="s">
        <v>916</v>
      </c>
      <c r="E478" s="63" t="s">
        <v>265</v>
      </c>
      <c r="F478" s="64">
        <v>6199.17</v>
      </c>
      <c r="G478" s="64"/>
      <c r="H478" s="63" t="s">
        <v>266</v>
      </c>
      <c r="I478" s="65" t="s">
        <v>213</v>
      </c>
      <c r="J478" s="65"/>
      <c r="K478" s="66" t="s">
        <v>214</v>
      </c>
      <c r="L478" s="67">
        <v>669645.07999999996</v>
      </c>
    </row>
    <row r="479" spans="1:12" ht="51" hidden="1" x14ac:dyDescent="0.3">
      <c r="A479" s="61" t="s">
        <v>913</v>
      </c>
      <c r="B479" s="62" t="s">
        <v>918</v>
      </c>
      <c r="C479" s="62" t="s">
        <v>919</v>
      </c>
      <c r="D479" s="62" t="s">
        <v>920</v>
      </c>
      <c r="E479" s="63" t="s">
        <v>265</v>
      </c>
      <c r="F479" s="64">
        <v>14011.97</v>
      </c>
      <c r="G479" s="64"/>
      <c r="H479" s="63" t="s">
        <v>266</v>
      </c>
      <c r="I479" s="65" t="s">
        <v>213</v>
      </c>
      <c r="J479" s="65"/>
      <c r="K479" s="66" t="s">
        <v>214</v>
      </c>
      <c r="L479" s="67">
        <v>683657.05</v>
      </c>
    </row>
    <row r="480" spans="1:12" ht="51" hidden="1" x14ac:dyDescent="0.3">
      <c r="A480" s="61" t="s">
        <v>913</v>
      </c>
      <c r="B480" s="62" t="s">
        <v>921</v>
      </c>
      <c r="C480" s="62" t="s">
        <v>919</v>
      </c>
      <c r="D480" s="62" t="s">
        <v>920</v>
      </c>
      <c r="E480" s="63" t="s">
        <v>265</v>
      </c>
      <c r="F480" s="64">
        <v>12552.42</v>
      </c>
      <c r="G480" s="64"/>
      <c r="H480" s="63" t="s">
        <v>266</v>
      </c>
      <c r="I480" s="65" t="s">
        <v>213</v>
      </c>
      <c r="J480" s="65"/>
      <c r="K480" s="66" t="s">
        <v>214</v>
      </c>
      <c r="L480" s="67">
        <v>696209.47</v>
      </c>
    </row>
    <row r="481" spans="1:12" ht="51" hidden="1" x14ac:dyDescent="0.3">
      <c r="A481" s="61" t="s">
        <v>913</v>
      </c>
      <c r="B481" s="62" t="s">
        <v>922</v>
      </c>
      <c r="C481" s="62" t="s">
        <v>923</v>
      </c>
      <c r="D481" s="62" t="s">
        <v>924</v>
      </c>
      <c r="E481" s="63" t="s">
        <v>265</v>
      </c>
      <c r="F481" s="64">
        <v>4792.2</v>
      </c>
      <c r="G481" s="64"/>
      <c r="H481" s="63" t="s">
        <v>266</v>
      </c>
      <c r="I481" s="65" t="s">
        <v>213</v>
      </c>
      <c r="J481" s="65"/>
      <c r="K481" s="66" t="s">
        <v>214</v>
      </c>
      <c r="L481" s="67">
        <v>701001.67</v>
      </c>
    </row>
    <row r="482" spans="1:12" ht="51" hidden="1" x14ac:dyDescent="0.3">
      <c r="A482" s="61" t="s">
        <v>228</v>
      </c>
      <c r="B482" s="62" t="s">
        <v>925</v>
      </c>
      <c r="C482" s="62" t="s">
        <v>926</v>
      </c>
      <c r="D482" s="62" t="s">
        <v>927</v>
      </c>
      <c r="E482" s="63" t="s">
        <v>265</v>
      </c>
      <c r="F482" s="64">
        <v>4767</v>
      </c>
      <c r="G482" s="64"/>
      <c r="H482" s="63" t="s">
        <v>266</v>
      </c>
      <c r="I482" s="65" t="s">
        <v>213</v>
      </c>
      <c r="J482" s="65"/>
      <c r="K482" s="66" t="s">
        <v>214</v>
      </c>
      <c r="L482" s="67">
        <v>705768.67</v>
      </c>
    </row>
    <row r="483" spans="1:12" ht="51" hidden="1" x14ac:dyDescent="0.3">
      <c r="A483" s="61" t="s">
        <v>228</v>
      </c>
      <c r="B483" s="62" t="s">
        <v>928</v>
      </c>
      <c r="C483" s="62" t="s">
        <v>929</v>
      </c>
      <c r="D483" s="62" t="s">
        <v>930</v>
      </c>
      <c r="E483" s="63" t="s">
        <v>265</v>
      </c>
      <c r="F483" s="64">
        <v>7767.3</v>
      </c>
      <c r="G483" s="64"/>
      <c r="H483" s="63" t="s">
        <v>266</v>
      </c>
      <c r="I483" s="65" t="s">
        <v>213</v>
      </c>
      <c r="J483" s="65"/>
      <c r="K483" s="66" t="s">
        <v>214</v>
      </c>
      <c r="L483" s="67">
        <v>713535.97</v>
      </c>
    </row>
    <row r="484" spans="1:12" ht="51" hidden="1" x14ac:dyDescent="0.3">
      <c r="A484" s="61" t="s">
        <v>228</v>
      </c>
      <c r="B484" s="62" t="s">
        <v>928</v>
      </c>
      <c r="C484" s="62" t="s">
        <v>931</v>
      </c>
      <c r="D484" s="62" t="s">
        <v>930</v>
      </c>
      <c r="E484" s="63" t="s">
        <v>265</v>
      </c>
      <c r="F484" s="64">
        <v>9198.9</v>
      </c>
      <c r="G484" s="64"/>
      <c r="H484" s="63" t="s">
        <v>266</v>
      </c>
      <c r="I484" s="65" t="s">
        <v>213</v>
      </c>
      <c r="J484" s="65"/>
      <c r="K484" s="66" t="s">
        <v>214</v>
      </c>
      <c r="L484" s="67">
        <v>722734.87</v>
      </c>
    </row>
    <row r="485" spans="1:12" ht="51" hidden="1" x14ac:dyDescent="0.3">
      <c r="A485" s="61" t="s">
        <v>228</v>
      </c>
      <c r="B485" s="62" t="s">
        <v>928</v>
      </c>
      <c r="C485" s="62" t="s">
        <v>932</v>
      </c>
      <c r="D485" s="62" t="s">
        <v>930</v>
      </c>
      <c r="E485" s="63" t="s">
        <v>265</v>
      </c>
      <c r="F485" s="64">
        <v>1747.98</v>
      </c>
      <c r="G485" s="64"/>
      <c r="H485" s="63" t="s">
        <v>266</v>
      </c>
      <c r="I485" s="65" t="s">
        <v>213</v>
      </c>
      <c r="J485" s="65"/>
      <c r="K485" s="66" t="s">
        <v>214</v>
      </c>
      <c r="L485" s="67">
        <v>724482.85</v>
      </c>
    </row>
    <row r="486" spans="1:12" ht="51" hidden="1" x14ac:dyDescent="0.3">
      <c r="A486" s="61" t="s">
        <v>933</v>
      </c>
      <c r="B486" s="62" t="s">
        <v>934</v>
      </c>
      <c r="C486" s="62" t="s">
        <v>935</v>
      </c>
      <c r="D486" s="62" t="s">
        <v>936</v>
      </c>
      <c r="E486" s="63" t="s">
        <v>265</v>
      </c>
      <c r="F486" s="68">
        <v>750</v>
      </c>
      <c r="G486" s="68"/>
      <c r="H486" s="63" t="s">
        <v>266</v>
      </c>
      <c r="I486" s="65" t="s">
        <v>213</v>
      </c>
      <c r="J486" s="65"/>
      <c r="K486" s="66" t="s">
        <v>214</v>
      </c>
      <c r="L486" s="67">
        <v>725232.85</v>
      </c>
    </row>
    <row r="487" spans="1:12" ht="51" hidden="1" x14ac:dyDescent="0.3">
      <c r="A487" s="61" t="s">
        <v>933</v>
      </c>
      <c r="B487" s="62" t="s">
        <v>937</v>
      </c>
      <c r="C487" s="62" t="s">
        <v>295</v>
      </c>
      <c r="D487" s="62" t="s">
        <v>746</v>
      </c>
      <c r="E487" s="63" t="s">
        <v>292</v>
      </c>
      <c r="F487" s="69" t="s">
        <v>213</v>
      </c>
      <c r="G487" s="69"/>
      <c r="H487" s="63" t="s">
        <v>265</v>
      </c>
      <c r="I487" s="71">
        <v>23250.5</v>
      </c>
      <c r="J487" s="71"/>
      <c r="K487" s="66" t="s">
        <v>214</v>
      </c>
      <c r="L487" s="67">
        <v>701982.35</v>
      </c>
    </row>
    <row r="488" spans="1:12" ht="51" hidden="1" x14ac:dyDescent="0.3">
      <c r="A488" s="61" t="s">
        <v>933</v>
      </c>
      <c r="B488" s="62" t="s">
        <v>937</v>
      </c>
      <c r="C488" s="62" t="s">
        <v>295</v>
      </c>
      <c r="D488" s="62" t="s">
        <v>750</v>
      </c>
      <c r="E488" s="63" t="s">
        <v>292</v>
      </c>
      <c r="F488" s="69" t="s">
        <v>213</v>
      </c>
      <c r="G488" s="69"/>
      <c r="H488" s="63" t="s">
        <v>265</v>
      </c>
      <c r="I488" s="71">
        <v>15230.71</v>
      </c>
      <c r="J488" s="71"/>
      <c r="K488" s="66" t="s">
        <v>214</v>
      </c>
      <c r="L488" s="67">
        <v>686751.64</v>
      </c>
    </row>
    <row r="489" spans="1:12" ht="51" hidden="1" x14ac:dyDescent="0.3">
      <c r="A489" s="61" t="s">
        <v>933</v>
      </c>
      <c r="B489" s="62" t="s">
        <v>937</v>
      </c>
      <c r="C489" s="62" t="s">
        <v>295</v>
      </c>
      <c r="D489" s="62" t="s">
        <v>750</v>
      </c>
      <c r="E489" s="63" t="s">
        <v>292</v>
      </c>
      <c r="F489" s="69" t="s">
        <v>213</v>
      </c>
      <c r="G489" s="69"/>
      <c r="H489" s="63" t="s">
        <v>265</v>
      </c>
      <c r="I489" s="71">
        <v>9318.09</v>
      </c>
      <c r="J489" s="71"/>
      <c r="K489" s="66" t="s">
        <v>214</v>
      </c>
      <c r="L489" s="67">
        <v>677433.55</v>
      </c>
    </row>
    <row r="490" spans="1:12" ht="51" hidden="1" x14ac:dyDescent="0.3">
      <c r="A490" s="61" t="s">
        <v>933</v>
      </c>
      <c r="B490" s="62" t="s">
        <v>937</v>
      </c>
      <c r="C490" s="62" t="s">
        <v>295</v>
      </c>
      <c r="D490" s="62" t="s">
        <v>750</v>
      </c>
      <c r="E490" s="63" t="s">
        <v>292</v>
      </c>
      <c r="F490" s="69" t="s">
        <v>213</v>
      </c>
      <c r="G490" s="69"/>
      <c r="H490" s="63" t="s">
        <v>265</v>
      </c>
      <c r="I490" s="71">
        <v>5275.62</v>
      </c>
      <c r="J490" s="71"/>
      <c r="K490" s="66" t="s">
        <v>214</v>
      </c>
      <c r="L490" s="67">
        <v>672157.93</v>
      </c>
    </row>
    <row r="491" spans="1:12" ht="51" hidden="1" x14ac:dyDescent="0.3">
      <c r="A491" s="61" t="s">
        <v>933</v>
      </c>
      <c r="B491" s="62" t="s">
        <v>937</v>
      </c>
      <c r="C491" s="62" t="s">
        <v>295</v>
      </c>
      <c r="D491" s="62" t="s">
        <v>754</v>
      </c>
      <c r="E491" s="63" t="s">
        <v>292</v>
      </c>
      <c r="F491" s="69" t="s">
        <v>213</v>
      </c>
      <c r="G491" s="69"/>
      <c r="H491" s="63" t="s">
        <v>265</v>
      </c>
      <c r="I491" s="71">
        <v>4250.3999999999996</v>
      </c>
      <c r="J491" s="71"/>
      <c r="K491" s="66" t="s">
        <v>214</v>
      </c>
      <c r="L491" s="67">
        <v>667907.53</v>
      </c>
    </row>
    <row r="492" spans="1:12" ht="51" hidden="1" x14ac:dyDescent="0.3">
      <c r="A492" s="61" t="s">
        <v>933</v>
      </c>
      <c r="B492" s="62" t="s">
        <v>937</v>
      </c>
      <c r="C492" s="62" t="s">
        <v>295</v>
      </c>
      <c r="D492" s="62" t="s">
        <v>757</v>
      </c>
      <c r="E492" s="63" t="s">
        <v>292</v>
      </c>
      <c r="F492" s="69" t="s">
        <v>213</v>
      </c>
      <c r="G492" s="69"/>
      <c r="H492" s="63" t="s">
        <v>265</v>
      </c>
      <c r="I492" s="71">
        <v>9710.17</v>
      </c>
      <c r="J492" s="71"/>
      <c r="K492" s="66" t="s">
        <v>214</v>
      </c>
      <c r="L492" s="67">
        <v>658197.36</v>
      </c>
    </row>
    <row r="493" spans="1:12" ht="51" hidden="1" x14ac:dyDescent="0.3">
      <c r="A493" s="61" t="s">
        <v>933</v>
      </c>
      <c r="B493" s="62" t="s">
        <v>937</v>
      </c>
      <c r="C493" s="62" t="s">
        <v>295</v>
      </c>
      <c r="D493" s="62" t="s">
        <v>757</v>
      </c>
      <c r="E493" s="63" t="s">
        <v>292</v>
      </c>
      <c r="F493" s="69" t="s">
        <v>213</v>
      </c>
      <c r="G493" s="69"/>
      <c r="H493" s="63" t="s">
        <v>265</v>
      </c>
      <c r="I493" s="71">
        <v>34708.33</v>
      </c>
      <c r="J493" s="71"/>
      <c r="K493" s="66" t="s">
        <v>214</v>
      </c>
      <c r="L493" s="67">
        <v>623489.03</v>
      </c>
    </row>
    <row r="494" spans="1:12" ht="51" hidden="1" x14ac:dyDescent="0.3">
      <c r="A494" s="61" t="s">
        <v>933</v>
      </c>
      <c r="B494" s="62" t="s">
        <v>937</v>
      </c>
      <c r="C494" s="62" t="s">
        <v>295</v>
      </c>
      <c r="D494" s="62" t="s">
        <v>757</v>
      </c>
      <c r="E494" s="63" t="s">
        <v>292</v>
      </c>
      <c r="F494" s="69" t="s">
        <v>213</v>
      </c>
      <c r="G494" s="69"/>
      <c r="H494" s="63" t="s">
        <v>265</v>
      </c>
      <c r="I494" s="71">
        <v>2817.5</v>
      </c>
      <c r="J494" s="71"/>
      <c r="K494" s="66" t="s">
        <v>214</v>
      </c>
      <c r="L494" s="67">
        <v>620671.53</v>
      </c>
    </row>
    <row r="495" spans="1:12" ht="51" hidden="1" x14ac:dyDescent="0.3">
      <c r="A495" s="61" t="s">
        <v>933</v>
      </c>
      <c r="B495" s="62" t="s">
        <v>937</v>
      </c>
      <c r="C495" s="62" t="s">
        <v>295</v>
      </c>
      <c r="D495" s="62" t="s">
        <v>761</v>
      </c>
      <c r="E495" s="63" t="s">
        <v>292</v>
      </c>
      <c r="F495" s="69" t="s">
        <v>213</v>
      </c>
      <c r="G495" s="69"/>
      <c r="H495" s="63" t="s">
        <v>265</v>
      </c>
      <c r="I495" s="71">
        <v>5667.62</v>
      </c>
      <c r="J495" s="71"/>
      <c r="K495" s="66" t="s">
        <v>214</v>
      </c>
      <c r="L495" s="67">
        <v>615003.91</v>
      </c>
    </row>
    <row r="496" spans="1:12" ht="51" hidden="1" x14ac:dyDescent="0.3">
      <c r="A496" s="61" t="s">
        <v>933</v>
      </c>
      <c r="B496" s="62" t="s">
        <v>937</v>
      </c>
      <c r="C496" s="62" t="s">
        <v>295</v>
      </c>
      <c r="D496" s="62" t="s">
        <v>761</v>
      </c>
      <c r="E496" s="63" t="s">
        <v>292</v>
      </c>
      <c r="F496" s="69" t="s">
        <v>213</v>
      </c>
      <c r="G496" s="69"/>
      <c r="H496" s="63" t="s">
        <v>265</v>
      </c>
      <c r="I496" s="71">
        <v>29824.42</v>
      </c>
      <c r="J496" s="71"/>
      <c r="K496" s="66" t="s">
        <v>214</v>
      </c>
      <c r="L496" s="67">
        <v>585179.49</v>
      </c>
    </row>
    <row r="497" spans="1:12" ht="51" hidden="1" x14ac:dyDescent="0.3">
      <c r="A497" s="61" t="s">
        <v>933</v>
      </c>
      <c r="B497" s="62" t="s">
        <v>937</v>
      </c>
      <c r="C497" s="62" t="s">
        <v>295</v>
      </c>
      <c r="D497" s="62" t="s">
        <v>761</v>
      </c>
      <c r="E497" s="63" t="s">
        <v>292</v>
      </c>
      <c r="F497" s="69" t="s">
        <v>213</v>
      </c>
      <c r="G497" s="69"/>
      <c r="H497" s="63" t="s">
        <v>265</v>
      </c>
      <c r="I497" s="71">
        <v>9269.09</v>
      </c>
      <c r="J497" s="71"/>
      <c r="K497" s="66" t="s">
        <v>214</v>
      </c>
      <c r="L497" s="67">
        <v>575910.40000000002</v>
      </c>
    </row>
    <row r="498" spans="1:12" ht="51" hidden="1" x14ac:dyDescent="0.3">
      <c r="A498" s="61" t="s">
        <v>933</v>
      </c>
      <c r="B498" s="62" t="s">
        <v>937</v>
      </c>
      <c r="C498" s="62" t="s">
        <v>295</v>
      </c>
      <c r="D498" s="62" t="s">
        <v>761</v>
      </c>
      <c r="E498" s="63" t="s">
        <v>292</v>
      </c>
      <c r="F498" s="69" t="s">
        <v>213</v>
      </c>
      <c r="G498" s="69"/>
      <c r="H498" s="63" t="s">
        <v>265</v>
      </c>
      <c r="I498" s="71">
        <v>8656.6</v>
      </c>
      <c r="J498" s="71"/>
      <c r="K498" s="66" t="s">
        <v>214</v>
      </c>
      <c r="L498" s="67">
        <v>567253.80000000005</v>
      </c>
    </row>
    <row r="499" spans="1:12" ht="51" hidden="1" x14ac:dyDescent="0.3">
      <c r="A499" s="61" t="s">
        <v>933</v>
      </c>
      <c r="B499" s="62" t="s">
        <v>937</v>
      </c>
      <c r="C499" s="62" t="s">
        <v>295</v>
      </c>
      <c r="D499" s="62" t="s">
        <v>761</v>
      </c>
      <c r="E499" s="63" t="s">
        <v>292</v>
      </c>
      <c r="F499" s="69" t="s">
        <v>213</v>
      </c>
      <c r="G499" s="69"/>
      <c r="H499" s="63" t="s">
        <v>265</v>
      </c>
      <c r="I499" s="71">
        <v>3691.3</v>
      </c>
      <c r="J499" s="71"/>
      <c r="K499" s="66" t="s">
        <v>214</v>
      </c>
      <c r="L499" s="67">
        <v>563562.5</v>
      </c>
    </row>
    <row r="500" spans="1:12" ht="51" hidden="1" x14ac:dyDescent="0.3">
      <c r="A500" s="61" t="s">
        <v>933</v>
      </c>
      <c r="B500" s="62" t="s">
        <v>937</v>
      </c>
      <c r="C500" s="62" t="s">
        <v>295</v>
      </c>
      <c r="D500" s="62" t="s">
        <v>765</v>
      </c>
      <c r="E500" s="63" t="s">
        <v>292</v>
      </c>
      <c r="F500" s="69" t="s">
        <v>213</v>
      </c>
      <c r="G500" s="69"/>
      <c r="H500" s="63" t="s">
        <v>265</v>
      </c>
      <c r="I500" s="71">
        <v>17850</v>
      </c>
      <c r="J500" s="71"/>
      <c r="K500" s="66" t="s">
        <v>214</v>
      </c>
      <c r="L500" s="67">
        <v>545712.5</v>
      </c>
    </row>
    <row r="501" spans="1:12" ht="51" hidden="1" x14ac:dyDescent="0.3">
      <c r="A501" s="61" t="s">
        <v>933</v>
      </c>
      <c r="B501" s="62" t="s">
        <v>937</v>
      </c>
      <c r="C501" s="62" t="s">
        <v>295</v>
      </c>
      <c r="D501" s="62" t="s">
        <v>768</v>
      </c>
      <c r="E501" s="63" t="s">
        <v>292</v>
      </c>
      <c r="F501" s="69" t="s">
        <v>213</v>
      </c>
      <c r="G501" s="69"/>
      <c r="H501" s="63" t="s">
        <v>265</v>
      </c>
      <c r="I501" s="70">
        <v>604.33000000000004</v>
      </c>
      <c r="J501" s="70"/>
      <c r="K501" s="66" t="s">
        <v>214</v>
      </c>
      <c r="L501" s="67">
        <v>545108.17000000004</v>
      </c>
    </row>
    <row r="502" spans="1:12" ht="51" hidden="1" x14ac:dyDescent="0.3">
      <c r="A502" s="61" t="s">
        <v>933</v>
      </c>
      <c r="B502" s="62" t="s">
        <v>937</v>
      </c>
      <c r="C502" s="62" t="s">
        <v>295</v>
      </c>
      <c r="D502" s="62" t="s">
        <v>768</v>
      </c>
      <c r="E502" s="63" t="s">
        <v>292</v>
      </c>
      <c r="F502" s="69" t="s">
        <v>213</v>
      </c>
      <c r="G502" s="69"/>
      <c r="H502" s="63" t="s">
        <v>265</v>
      </c>
      <c r="I502" s="71">
        <v>19403.84</v>
      </c>
      <c r="J502" s="71"/>
      <c r="K502" s="66" t="s">
        <v>214</v>
      </c>
      <c r="L502" s="67">
        <v>525704.32999999996</v>
      </c>
    </row>
    <row r="503" spans="1:12" ht="51" hidden="1" x14ac:dyDescent="0.3">
      <c r="A503" s="61" t="s">
        <v>933</v>
      </c>
      <c r="B503" s="62" t="s">
        <v>937</v>
      </c>
      <c r="C503" s="62" t="s">
        <v>295</v>
      </c>
      <c r="D503" s="62" t="s">
        <v>772</v>
      </c>
      <c r="E503" s="63" t="s">
        <v>292</v>
      </c>
      <c r="F503" s="69" t="s">
        <v>213</v>
      </c>
      <c r="G503" s="69"/>
      <c r="H503" s="63" t="s">
        <v>265</v>
      </c>
      <c r="I503" s="71">
        <v>18456.52</v>
      </c>
      <c r="J503" s="71"/>
      <c r="K503" s="66" t="s">
        <v>214</v>
      </c>
      <c r="L503" s="67">
        <v>507247.81</v>
      </c>
    </row>
    <row r="504" spans="1:12" ht="51" hidden="1" x14ac:dyDescent="0.3">
      <c r="A504" s="61" t="s">
        <v>933</v>
      </c>
      <c r="B504" s="62" t="s">
        <v>937</v>
      </c>
      <c r="C504" s="62" t="s">
        <v>295</v>
      </c>
      <c r="D504" s="62" t="s">
        <v>772</v>
      </c>
      <c r="E504" s="63" t="s">
        <v>292</v>
      </c>
      <c r="F504" s="69" t="s">
        <v>213</v>
      </c>
      <c r="G504" s="69"/>
      <c r="H504" s="63" t="s">
        <v>265</v>
      </c>
      <c r="I504" s="71">
        <v>20547.16</v>
      </c>
      <c r="J504" s="71"/>
      <c r="K504" s="66" t="s">
        <v>214</v>
      </c>
      <c r="L504" s="67">
        <v>486700.65</v>
      </c>
    </row>
    <row r="505" spans="1:12" ht="51" hidden="1" x14ac:dyDescent="0.3">
      <c r="A505" s="61" t="s">
        <v>933</v>
      </c>
      <c r="B505" s="62" t="s">
        <v>937</v>
      </c>
      <c r="C505" s="62" t="s">
        <v>295</v>
      </c>
      <c r="D505" s="62" t="s">
        <v>776</v>
      </c>
      <c r="E505" s="63" t="s">
        <v>292</v>
      </c>
      <c r="F505" s="69" t="s">
        <v>213</v>
      </c>
      <c r="G505" s="69"/>
      <c r="H505" s="63" t="s">
        <v>265</v>
      </c>
      <c r="I505" s="71">
        <v>36561.870000000003</v>
      </c>
      <c r="J505" s="71"/>
      <c r="K505" s="66" t="s">
        <v>214</v>
      </c>
      <c r="L505" s="67">
        <v>450138.78</v>
      </c>
    </row>
    <row r="506" spans="1:12" ht="51" hidden="1" x14ac:dyDescent="0.3">
      <c r="A506" s="61" t="s">
        <v>933</v>
      </c>
      <c r="B506" s="62" t="s">
        <v>937</v>
      </c>
      <c r="C506" s="62" t="s">
        <v>295</v>
      </c>
      <c r="D506" s="62" t="s">
        <v>776</v>
      </c>
      <c r="E506" s="63" t="s">
        <v>292</v>
      </c>
      <c r="F506" s="69" t="s">
        <v>213</v>
      </c>
      <c r="G506" s="69"/>
      <c r="H506" s="63" t="s">
        <v>265</v>
      </c>
      <c r="I506" s="71">
        <v>1919.15</v>
      </c>
      <c r="J506" s="71"/>
      <c r="K506" s="66" t="s">
        <v>214</v>
      </c>
      <c r="L506" s="67">
        <v>448219.63</v>
      </c>
    </row>
    <row r="507" spans="1:12" ht="51" hidden="1" x14ac:dyDescent="0.3">
      <c r="A507" s="61" t="s">
        <v>933</v>
      </c>
      <c r="B507" s="62" t="s">
        <v>937</v>
      </c>
      <c r="C507" s="62" t="s">
        <v>295</v>
      </c>
      <c r="D507" s="62" t="s">
        <v>780</v>
      </c>
      <c r="E507" s="63" t="s">
        <v>292</v>
      </c>
      <c r="F507" s="69" t="s">
        <v>213</v>
      </c>
      <c r="G507" s="69"/>
      <c r="H507" s="63" t="s">
        <v>265</v>
      </c>
      <c r="I507" s="71">
        <v>37860.36</v>
      </c>
      <c r="J507" s="71"/>
      <c r="K507" s="66" t="s">
        <v>214</v>
      </c>
      <c r="L507" s="67">
        <v>410359.27</v>
      </c>
    </row>
    <row r="508" spans="1:12" ht="51" hidden="1" x14ac:dyDescent="0.3">
      <c r="A508" s="61" t="s">
        <v>933</v>
      </c>
      <c r="B508" s="62" t="s">
        <v>937</v>
      </c>
      <c r="C508" s="62" t="s">
        <v>295</v>
      </c>
      <c r="D508" s="62" t="s">
        <v>783</v>
      </c>
      <c r="E508" s="63" t="s">
        <v>292</v>
      </c>
      <c r="F508" s="69" t="s">
        <v>213</v>
      </c>
      <c r="G508" s="69"/>
      <c r="H508" s="63" t="s">
        <v>265</v>
      </c>
      <c r="I508" s="71">
        <v>3834.6</v>
      </c>
      <c r="J508" s="71"/>
      <c r="K508" s="66" t="s">
        <v>214</v>
      </c>
      <c r="L508" s="67">
        <v>406524.67</v>
      </c>
    </row>
    <row r="509" spans="1:12" ht="51" hidden="1" x14ac:dyDescent="0.3">
      <c r="A509" s="61" t="s">
        <v>933</v>
      </c>
      <c r="B509" s="62" t="s">
        <v>937</v>
      </c>
      <c r="C509" s="62" t="s">
        <v>295</v>
      </c>
      <c r="D509" s="62" t="s">
        <v>783</v>
      </c>
      <c r="E509" s="63" t="s">
        <v>292</v>
      </c>
      <c r="F509" s="69" t="s">
        <v>213</v>
      </c>
      <c r="G509" s="69"/>
      <c r="H509" s="63" t="s">
        <v>265</v>
      </c>
      <c r="I509" s="70">
        <v>953.4</v>
      </c>
      <c r="J509" s="70"/>
      <c r="K509" s="66" t="s">
        <v>214</v>
      </c>
      <c r="L509" s="67">
        <v>405571.27</v>
      </c>
    </row>
    <row r="510" spans="1:12" ht="51" hidden="1" x14ac:dyDescent="0.3">
      <c r="A510" s="61" t="s">
        <v>933</v>
      </c>
      <c r="B510" s="62" t="s">
        <v>937</v>
      </c>
      <c r="C510" s="62" t="s">
        <v>295</v>
      </c>
      <c r="D510" s="62" t="s">
        <v>795</v>
      </c>
      <c r="E510" s="63" t="s">
        <v>292</v>
      </c>
      <c r="F510" s="69" t="s">
        <v>213</v>
      </c>
      <c r="G510" s="69"/>
      <c r="H510" s="63" t="s">
        <v>265</v>
      </c>
      <c r="I510" s="71">
        <v>4363.8</v>
      </c>
      <c r="J510" s="71"/>
      <c r="K510" s="66" t="s">
        <v>214</v>
      </c>
      <c r="L510" s="67">
        <v>401207.47</v>
      </c>
    </row>
    <row r="511" spans="1:12" ht="51" hidden="1" x14ac:dyDescent="0.3">
      <c r="A511" s="61" t="s">
        <v>933</v>
      </c>
      <c r="B511" s="62" t="s">
        <v>937</v>
      </c>
      <c r="C511" s="62" t="s">
        <v>295</v>
      </c>
      <c r="D511" s="62" t="s">
        <v>809</v>
      </c>
      <c r="E511" s="63" t="s">
        <v>292</v>
      </c>
      <c r="F511" s="69" t="s">
        <v>213</v>
      </c>
      <c r="G511" s="69"/>
      <c r="H511" s="63" t="s">
        <v>265</v>
      </c>
      <c r="I511" s="71">
        <v>4452</v>
      </c>
      <c r="J511" s="71"/>
      <c r="K511" s="66" t="s">
        <v>214</v>
      </c>
      <c r="L511" s="67">
        <v>396755.47</v>
      </c>
    </row>
    <row r="512" spans="1:12" ht="51" hidden="1" x14ac:dyDescent="0.3">
      <c r="A512" s="61" t="s">
        <v>933</v>
      </c>
      <c r="B512" s="62" t="s">
        <v>937</v>
      </c>
      <c r="C512" s="62" t="s">
        <v>295</v>
      </c>
      <c r="D512" s="62" t="s">
        <v>827</v>
      </c>
      <c r="E512" s="63" t="s">
        <v>292</v>
      </c>
      <c r="F512" s="69" t="s">
        <v>213</v>
      </c>
      <c r="G512" s="69"/>
      <c r="H512" s="63" t="s">
        <v>265</v>
      </c>
      <c r="I512" s="70">
        <v>520.79999999999995</v>
      </c>
      <c r="J512" s="70"/>
      <c r="K512" s="66" t="s">
        <v>214</v>
      </c>
      <c r="L512" s="67">
        <v>396234.67</v>
      </c>
    </row>
    <row r="513" spans="1:12" ht="51" hidden="1" x14ac:dyDescent="0.3">
      <c r="A513" s="61" t="s">
        <v>933</v>
      </c>
      <c r="B513" s="62" t="s">
        <v>937</v>
      </c>
      <c r="C513" s="62" t="s">
        <v>295</v>
      </c>
      <c r="D513" s="62" t="s">
        <v>787</v>
      </c>
      <c r="E513" s="63" t="s">
        <v>292</v>
      </c>
      <c r="F513" s="69" t="s">
        <v>213</v>
      </c>
      <c r="G513" s="69"/>
      <c r="H513" s="63" t="s">
        <v>265</v>
      </c>
      <c r="I513" s="71">
        <v>38277.25</v>
      </c>
      <c r="J513" s="71"/>
      <c r="K513" s="66" t="s">
        <v>214</v>
      </c>
      <c r="L513" s="67">
        <v>357957.42</v>
      </c>
    </row>
    <row r="514" spans="1:12" ht="51" hidden="1" x14ac:dyDescent="0.3">
      <c r="A514" s="61" t="s">
        <v>933</v>
      </c>
      <c r="B514" s="62" t="s">
        <v>937</v>
      </c>
      <c r="C514" s="62" t="s">
        <v>295</v>
      </c>
      <c r="D514" s="62" t="s">
        <v>791</v>
      </c>
      <c r="E514" s="63" t="s">
        <v>292</v>
      </c>
      <c r="F514" s="69" t="s">
        <v>213</v>
      </c>
      <c r="G514" s="69"/>
      <c r="H514" s="63" t="s">
        <v>265</v>
      </c>
      <c r="I514" s="71">
        <v>3503.5</v>
      </c>
      <c r="J514" s="71"/>
      <c r="K514" s="66" t="s">
        <v>214</v>
      </c>
      <c r="L514" s="67">
        <v>354453.92</v>
      </c>
    </row>
    <row r="515" spans="1:12" ht="51" hidden="1" x14ac:dyDescent="0.3">
      <c r="A515" s="61" t="s">
        <v>933</v>
      </c>
      <c r="B515" s="62" t="s">
        <v>937</v>
      </c>
      <c r="C515" s="62" t="s">
        <v>295</v>
      </c>
      <c r="D515" s="62" t="s">
        <v>791</v>
      </c>
      <c r="E515" s="63" t="s">
        <v>292</v>
      </c>
      <c r="F515" s="69" t="s">
        <v>213</v>
      </c>
      <c r="G515" s="69"/>
      <c r="H515" s="63" t="s">
        <v>265</v>
      </c>
      <c r="I515" s="71">
        <v>23333.919999999998</v>
      </c>
      <c r="J515" s="71"/>
      <c r="K515" s="66" t="s">
        <v>214</v>
      </c>
      <c r="L515" s="67">
        <v>331120</v>
      </c>
    </row>
    <row r="516" spans="1:12" ht="51" hidden="1" x14ac:dyDescent="0.3">
      <c r="A516" s="61" t="s">
        <v>933</v>
      </c>
      <c r="B516" s="62" t="s">
        <v>937</v>
      </c>
      <c r="C516" s="62" t="s">
        <v>295</v>
      </c>
      <c r="D516" s="62" t="s">
        <v>798</v>
      </c>
      <c r="E516" s="63" t="s">
        <v>292</v>
      </c>
      <c r="F516" s="69" t="s">
        <v>213</v>
      </c>
      <c r="G516" s="69"/>
      <c r="H516" s="63" t="s">
        <v>265</v>
      </c>
      <c r="I516" s="71">
        <v>3503.5</v>
      </c>
      <c r="J516" s="71"/>
      <c r="K516" s="66" t="s">
        <v>214</v>
      </c>
      <c r="L516" s="67">
        <v>327616.5</v>
      </c>
    </row>
    <row r="517" spans="1:12" ht="51" hidden="1" x14ac:dyDescent="0.3">
      <c r="A517" s="61" t="s">
        <v>933</v>
      </c>
      <c r="B517" s="62" t="s">
        <v>937</v>
      </c>
      <c r="C517" s="62" t="s">
        <v>295</v>
      </c>
      <c r="D517" s="62" t="s">
        <v>798</v>
      </c>
      <c r="E517" s="63" t="s">
        <v>292</v>
      </c>
      <c r="F517" s="69" t="s">
        <v>213</v>
      </c>
      <c r="G517" s="69"/>
      <c r="H517" s="63" t="s">
        <v>265</v>
      </c>
      <c r="I517" s="71">
        <v>13119.16</v>
      </c>
      <c r="J517" s="71"/>
      <c r="K517" s="66" t="s">
        <v>214</v>
      </c>
      <c r="L517" s="67">
        <v>314497.34000000003</v>
      </c>
    </row>
    <row r="518" spans="1:12" ht="51" hidden="1" x14ac:dyDescent="0.3">
      <c r="A518" s="61" t="s">
        <v>933</v>
      </c>
      <c r="B518" s="62" t="s">
        <v>937</v>
      </c>
      <c r="C518" s="62" t="s">
        <v>295</v>
      </c>
      <c r="D518" s="62" t="s">
        <v>798</v>
      </c>
      <c r="E518" s="63" t="s">
        <v>292</v>
      </c>
      <c r="F518" s="69" t="s">
        <v>213</v>
      </c>
      <c r="G518" s="69"/>
      <c r="H518" s="63" t="s">
        <v>265</v>
      </c>
      <c r="I518" s="71">
        <v>9183.42</v>
      </c>
      <c r="J518" s="71"/>
      <c r="K518" s="66" t="s">
        <v>214</v>
      </c>
      <c r="L518" s="67">
        <v>305313.91999999998</v>
      </c>
    </row>
    <row r="519" spans="1:12" ht="51" hidden="1" x14ac:dyDescent="0.3">
      <c r="A519" s="61" t="s">
        <v>933</v>
      </c>
      <c r="B519" s="62" t="s">
        <v>937</v>
      </c>
      <c r="C519" s="62" t="s">
        <v>295</v>
      </c>
      <c r="D519" s="62" t="s">
        <v>823</v>
      </c>
      <c r="E519" s="63" t="s">
        <v>292</v>
      </c>
      <c r="F519" s="69" t="s">
        <v>213</v>
      </c>
      <c r="G519" s="69"/>
      <c r="H519" s="63" t="s">
        <v>265</v>
      </c>
      <c r="I519" s="71">
        <v>8675.33</v>
      </c>
      <c r="J519" s="71"/>
      <c r="K519" s="66" t="s">
        <v>214</v>
      </c>
      <c r="L519" s="67">
        <v>296638.59000000003</v>
      </c>
    </row>
    <row r="520" spans="1:12" ht="51" x14ac:dyDescent="0.3">
      <c r="A520" s="61" t="s">
        <v>933</v>
      </c>
      <c r="B520" s="62" t="s">
        <v>938</v>
      </c>
      <c r="C520" s="62" t="s">
        <v>291</v>
      </c>
      <c r="D520" s="62" t="s">
        <v>815</v>
      </c>
      <c r="E520" s="63" t="s">
        <v>292</v>
      </c>
      <c r="F520" s="69" t="s">
        <v>213</v>
      </c>
      <c r="G520" s="69"/>
      <c r="H520" s="63" t="s">
        <v>265</v>
      </c>
      <c r="I520" s="70">
        <v>570</v>
      </c>
      <c r="J520" s="70"/>
      <c r="K520" s="66" t="s">
        <v>214</v>
      </c>
      <c r="L520" s="67">
        <v>296068.59000000003</v>
      </c>
    </row>
    <row r="521" spans="1:12" ht="51" x14ac:dyDescent="0.3">
      <c r="A521" s="61" t="s">
        <v>933</v>
      </c>
      <c r="B521" s="62" t="s">
        <v>938</v>
      </c>
      <c r="C521" s="62" t="s">
        <v>291</v>
      </c>
      <c r="D521" s="62" t="s">
        <v>818</v>
      </c>
      <c r="E521" s="63" t="s">
        <v>292</v>
      </c>
      <c r="F521" s="69" t="s">
        <v>213</v>
      </c>
      <c r="G521" s="69"/>
      <c r="H521" s="63" t="s">
        <v>265</v>
      </c>
      <c r="I521" s="70">
        <v>40</v>
      </c>
      <c r="J521" s="70"/>
      <c r="K521" s="66" t="s">
        <v>214</v>
      </c>
      <c r="L521" s="67">
        <v>296028.59000000003</v>
      </c>
    </row>
    <row r="522" spans="1:12" ht="51" x14ac:dyDescent="0.3">
      <c r="A522" s="61" t="s">
        <v>933</v>
      </c>
      <c r="B522" s="62" t="s">
        <v>938</v>
      </c>
      <c r="C522" s="62" t="s">
        <v>291</v>
      </c>
      <c r="D522" s="62" t="s">
        <v>820</v>
      </c>
      <c r="E522" s="63" t="s">
        <v>292</v>
      </c>
      <c r="F522" s="69" t="s">
        <v>213</v>
      </c>
      <c r="G522" s="69"/>
      <c r="H522" s="63" t="s">
        <v>265</v>
      </c>
      <c r="I522" s="70">
        <v>340</v>
      </c>
      <c r="J522" s="70"/>
      <c r="K522" s="66" t="s">
        <v>214</v>
      </c>
      <c r="L522" s="67">
        <v>295688.59000000003</v>
      </c>
    </row>
    <row r="523" spans="1:12" ht="51" x14ac:dyDescent="0.3">
      <c r="A523" s="61" t="s">
        <v>933</v>
      </c>
      <c r="B523" s="62" t="s">
        <v>938</v>
      </c>
      <c r="C523" s="62" t="s">
        <v>291</v>
      </c>
      <c r="D523" s="62" t="s">
        <v>819</v>
      </c>
      <c r="E523" s="63" t="s">
        <v>292</v>
      </c>
      <c r="F523" s="69" t="s">
        <v>213</v>
      </c>
      <c r="G523" s="69"/>
      <c r="H523" s="63" t="s">
        <v>265</v>
      </c>
      <c r="I523" s="70">
        <v>81</v>
      </c>
      <c r="J523" s="70"/>
      <c r="K523" s="66" t="s">
        <v>214</v>
      </c>
      <c r="L523" s="67">
        <v>295607.59000000003</v>
      </c>
    </row>
    <row r="524" spans="1:12" ht="51" x14ac:dyDescent="0.3">
      <c r="A524" s="61" t="s">
        <v>933</v>
      </c>
      <c r="B524" s="62" t="s">
        <v>938</v>
      </c>
      <c r="C524" s="62" t="s">
        <v>291</v>
      </c>
      <c r="D524" s="62" t="s">
        <v>813</v>
      </c>
      <c r="E524" s="63" t="s">
        <v>292</v>
      </c>
      <c r="F524" s="69" t="s">
        <v>213</v>
      </c>
      <c r="G524" s="69"/>
      <c r="H524" s="63" t="s">
        <v>265</v>
      </c>
      <c r="I524" s="70">
        <v>12</v>
      </c>
      <c r="J524" s="70"/>
      <c r="K524" s="66" t="s">
        <v>214</v>
      </c>
      <c r="L524" s="67">
        <v>295595.59000000003</v>
      </c>
    </row>
    <row r="525" spans="1:12" ht="51" x14ac:dyDescent="0.3">
      <c r="A525" s="61" t="s">
        <v>933</v>
      </c>
      <c r="B525" s="62" t="s">
        <v>939</v>
      </c>
      <c r="C525" s="62" t="s">
        <v>291</v>
      </c>
      <c r="D525" s="62" t="s">
        <v>817</v>
      </c>
      <c r="E525" s="63" t="s">
        <v>292</v>
      </c>
      <c r="F525" s="69" t="s">
        <v>213</v>
      </c>
      <c r="G525" s="69"/>
      <c r="H525" s="63" t="s">
        <v>265</v>
      </c>
      <c r="I525" s="70">
        <v>60</v>
      </c>
      <c r="J525" s="70"/>
      <c r="K525" s="66" t="s">
        <v>214</v>
      </c>
      <c r="L525" s="67">
        <v>295535.59000000003</v>
      </c>
    </row>
    <row r="526" spans="1:12" ht="51" x14ac:dyDescent="0.3">
      <c r="A526" s="61" t="s">
        <v>933</v>
      </c>
      <c r="B526" s="62" t="s">
        <v>939</v>
      </c>
      <c r="C526" s="62" t="s">
        <v>291</v>
      </c>
      <c r="D526" s="62" t="s">
        <v>816</v>
      </c>
      <c r="E526" s="63" t="s">
        <v>292</v>
      </c>
      <c r="F526" s="69" t="s">
        <v>213</v>
      </c>
      <c r="G526" s="69"/>
      <c r="H526" s="63" t="s">
        <v>265</v>
      </c>
      <c r="I526" s="70">
        <v>30</v>
      </c>
      <c r="J526" s="70"/>
      <c r="K526" s="66" t="s">
        <v>214</v>
      </c>
      <c r="L526" s="67">
        <v>295505.59000000003</v>
      </c>
    </row>
    <row r="527" spans="1:12" ht="51" hidden="1" x14ac:dyDescent="0.3">
      <c r="A527" s="61" t="s">
        <v>253</v>
      </c>
      <c r="B527" s="62" t="s">
        <v>940</v>
      </c>
      <c r="C527" s="62" t="s">
        <v>941</v>
      </c>
      <c r="D527" s="62" t="s">
        <v>930</v>
      </c>
      <c r="E527" s="63" t="s">
        <v>265</v>
      </c>
      <c r="F527" s="64">
        <v>3072.46</v>
      </c>
      <c r="G527" s="64"/>
      <c r="H527" s="63" t="s">
        <v>266</v>
      </c>
      <c r="I527" s="65" t="s">
        <v>213</v>
      </c>
      <c r="J527" s="65"/>
      <c r="K527" s="66" t="s">
        <v>214</v>
      </c>
      <c r="L527" s="67">
        <v>298578.05</v>
      </c>
    </row>
    <row r="528" spans="1:12" ht="51" hidden="1" x14ac:dyDescent="0.3">
      <c r="A528" s="61" t="s">
        <v>253</v>
      </c>
      <c r="B528" s="62" t="s">
        <v>942</v>
      </c>
      <c r="C528" s="62" t="s">
        <v>941</v>
      </c>
      <c r="D528" s="62" t="s">
        <v>930</v>
      </c>
      <c r="E528" s="63" t="s">
        <v>265</v>
      </c>
      <c r="F528" s="64">
        <v>5608.64</v>
      </c>
      <c r="G528" s="64"/>
      <c r="H528" s="63" t="s">
        <v>266</v>
      </c>
      <c r="I528" s="65" t="s">
        <v>213</v>
      </c>
      <c r="J528" s="65"/>
      <c r="K528" s="66" t="s">
        <v>214</v>
      </c>
      <c r="L528" s="67">
        <v>304186.69</v>
      </c>
    </row>
    <row r="529" spans="1:12" ht="51" hidden="1" x14ac:dyDescent="0.3">
      <c r="A529" s="61" t="s">
        <v>253</v>
      </c>
      <c r="B529" s="62" t="s">
        <v>940</v>
      </c>
      <c r="C529" s="62" t="s">
        <v>943</v>
      </c>
      <c r="D529" s="62" t="s">
        <v>930</v>
      </c>
      <c r="E529" s="63" t="s">
        <v>265</v>
      </c>
      <c r="F529" s="64">
        <v>1839.78</v>
      </c>
      <c r="G529" s="64"/>
      <c r="H529" s="63" t="s">
        <v>266</v>
      </c>
      <c r="I529" s="65" t="s">
        <v>213</v>
      </c>
      <c r="J529" s="65"/>
      <c r="K529" s="66" t="s">
        <v>214</v>
      </c>
      <c r="L529" s="67">
        <v>306026.46999999997</v>
      </c>
    </row>
    <row r="530" spans="1:12" ht="51" hidden="1" x14ac:dyDescent="0.3">
      <c r="A530" s="61" t="s">
        <v>254</v>
      </c>
      <c r="B530" s="62" t="s">
        <v>944</v>
      </c>
      <c r="C530" s="62" t="s">
        <v>945</v>
      </c>
      <c r="D530" s="62" t="s">
        <v>946</v>
      </c>
      <c r="E530" s="63" t="s">
        <v>265</v>
      </c>
      <c r="F530" s="64">
        <v>7897.01</v>
      </c>
      <c r="G530" s="64"/>
      <c r="H530" s="63" t="s">
        <v>266</v>
      </c>
      <c r="I530" s="65" t="s">
        <v>213</v>
      </c>
      <c r="J530" s="65"/>
      <c r="K530" s="66" t="s">
        <v>214</v>
      </c>
      <c r="L530" s="67">
        <v>313923.48</v>
      </c>
    </row>
    <row r="531" spans="1:12" ht="51" hidden="1" x14ac:dyDescent="0.3">
      <c r="A531" s="61" t="s">
        <v>254</v>
      </c>
      <c r="B531" s="62" t="s">
        <v>947</v>
      </c>
      <c r="C531" s="62" t="s">
        <v>948</v>
      </c>
      <c r="D531" s="62" t="s">
        <v>949</v>
      </c>
      <c r="E531" s="63" t="s">
        <v>265</v>
      </c>
      <c r="F531" s="64">
        <v>24381.06</v>
      </c>
      <c r="G531" s="64"/>
      <c r="H531" s="63" t="s">
        <v>266</v>
      </c>
      <c r="I531" s="65" t="s">
        <v>213</v>
      </c>
      <c r="J531" s="65"/>
      <c r="K531" s="66" t="s">
        <v>214</v>
      </c>
      <c r="L531" s="67">
        <v>338304.54</v>
      </c>
    </row>
    <row r="532" spans="1:12" ht="51" x14ac:dyDescent="0.3">
      <c r="A532" s="61" t="s">
        <v>254</v>
      </c>
      <c r="B532" s="62" t="s">
        <v>950</v>
      </c>
      <c r="C532" s="62" t="s">
        <v>291</v>
      </c>
      <c r="D532" s="62" t="s">
        <v>935</v>
      </c>
      <c r="E532" s="63" t="s">
        <v>292</v>
      </c>
      <c r="F532" s="69" t="s">
        <v>213</v>
      </c>
      <c r="G532" s="69"/>
      <c r="H532" s="63" t="s">
        <v>265</v>
      </c>
      <c r="I532" s="70">
        <v>750</v>
      </c>
      <c r="J532" s="70"/>
      <c r="K532" s="66" t="s">
        <v>214</v>
      </c>
      <c r="L532" s="67">
        <v>337554.54</v>
      </c>
    </row>
    <row r="533" spans="1:12" ht="51" hidden="1" x14ac:dyDescent="0.3">
      <c r="A533" s="61" t="s">
        <v>951</v>
      </c>
      <c r="B533" s="62" t="s">
        <v>952</v>
      </c>
      <c r="C533" s="62" t="s">
        <v>953</v>
      </c>
      <c r="D533" s="62" t="s">
        <v>954</v>
      </c>
      <c r="E533" s="63" t="s">
        <v>265</v>
      </c>
      <c r="F533" s="64">
        <v>16393.439999999999</v>
      </c>
      <c r="G533" s="64"/>
      <c r="H533" s="63" t="s">
        <v>266</v>
      </c>
      <c r="I533" s="65" t="s">
        <v>213</v>
      </c>
      <c r="J533" s="65"/>
      <c r="K533" s="66" t="s">
        <v>214</v>
      </c>
      <c r="L533" s="67">
        <v>353947.98</v>
      </c>
    </row>
    <row r="534" spans="1:12" ht="51" hidden="1" x14ac:dyDescent="0.3">
      <c r="A534" s="61" t="s">
        <v>951</v>
      </c>
      <c r="B534" s="62" t="s">
        <v>955</v>
      </c>
      <c r="C534" s="62" t="s">
        <v>956</v>
      </c>
      <c r="D534" s="62" t="s">
        <v>957</v>
      </c>
      <c r="E534" s="63" t="s">
        <v>265</v>
      </c>
      <c r="F534" s="64">
        <v>8350.06</v>
      </c>
      <c r="G534" s="64"/>
      <c r="H534" s="63" t="s">
        <v>266</v>
      </c>
      <c r="I534" s="65" t="s">
        <v>213</v>
      </c>
      <c r="J534" s="65"/>
      <c r="K534" s="66" t="s">
        <v>214</v>
      </c>
      <c r="L534" s="67">
        <v>362298.04</v>
      </c>
    </row>
    <row r="535" spans="1:12" ht="51" hidden="1" x14ac:dyDescent="0.3">
      <c r="A535" s="61" t="s">
        <v>234</v>
      </c>
      <c r="B535" s="62" t="s">
        <v>958</v>
      </c>
      <c r="C535" s="62" t="s">
        <v>959</v>
      </c>
      <c r="D535" s="62" t="s">
        <v>960</v>
      </c>
      <c r="E535" s="63" t="s">
        <v>265</v>
      </c>
      <c r="F535" s="64">
        <v>16379.5</v>
      </c>
      <c r="G535" s="64"/>
      <c r="H535" s="63" t="s">
        <v>266</v>
      </c>
      <c r="I535" s="65" t="s">
        <v>213</v>
      </c>
      <c r="J535" s="65"/>
      <c r="K535" s="66" t="s">
        <v>214</v>
      </c>
      <c r="L535" s="67">
        <v>378677.54</v>
      </c>
    </row>
    <row r="536" spans="1:12" ht="51" hidden="1" x14ac:dyDescent="0.3">
      <c r="A536" s="61" t="s">
        <v>234</v>
      </c>
      <c r="B536" s="62" t="s">
        <v>961</v>
      </c>
      <c r="C536" s="62" t="s">
        <v>962</v>
      </c>
      <c r="D536" s="62" t="s">
        <v>963</v>
      </c>
      <c r="E536" s="63" t="s">
        <v>265</v>
      </c>
      <c r="F536" s="64">
        <v>7924.89</v>
      </c>
      <c r="G536" s="64"/>
      <c r="H536" s="63" t="s">
        <v>266</v>
      </c>
      <c r="I536" s="65" t="s">
        <v>213</v>
      </c>
      <c r="J536" s="65"/>
      <c r="K536" s="66" t="s">
        <v>214</v>
      </c>
      <c r="L536" s="67">
        <v>386602.43</v>
      </c>
    </row>
    <row r="537" spans="1:12" ht="51" hidden="1" x14ac:dyDescent="0.3">
      <c r="A537" s="61" t="s">
        <v>964</v>
      </c>
      <c r="B537" s="62" t="s">
        <v>965</v>
      </c>
      <c r="C537" s="62" t="s">
        <v>966</v>
      </c>
      <c r="D537" s="62" t="s">
        <v>967</v>
      </c>
      <c r="E537" s="63" t="s">
        <v>265</v>
      </c>
      <c r="F537" s="64">
        <v>8400</v>
      </c>
      <c r="G537" s="64"/>
      <c r="H537" s="63" t="s">
        <v>266</v>
      </c>
      <c r="I537" s="65" t="s">
        <v>213</v>
      </c>
      <c r="J537" s="65"/>
      <c r="K537" s="66" t="s">
        <v>214</v>
      </c>
      <c r="L537" s="67">
        <v>395002.43</v>
      </c>
    </row>
    <row r="538" spans="1:12" ht="51" hidden="1" x14ac:dyDescent="0.3">
      <c r="A538" s="61" t="s">
        <v>964</v>
      </c>
      <c r="B538" s="62" t="s">
        <v>968</v>
      </c>
      <c r="C538" s="62" t="s">
        <v>966</v>
      </c>
      <c r="D538" s="62" t="s">
        <v>969</v>
      </c>
      <c r="E538" s="63" t="s">
        <v>265</v>
      </c>
      <c r="F538" s="64">
        <v>12600</v>
      </c>
      <c r="G538" s="64"/>
      <c r="H538" s="63" t="s">
        <v>266</v>
      </c>
      <c r="I538" s="65" t="s">
        <v>213</v>
      </c>
      <c r="J538" s="65"/>
      <c r="K538" s="66" t="s">
        <v>214</v>
      </c>
      <c r="L538" s="67">
        <v>407602.43</v>
      </c>
    </row>
    <row r="539" spans="1:12" ht="51" hidden="1" x14ac:dyDescent="0.3">
      <c r="A539" s="61" t="s">
        <v>964</v>
      </c>
      <c r="B539" s="62" t="s">
        <v>970</v>
      </c>
      <c r="C539" s="62" t="s">
        <v>971</v>
      </c>
      <c r="D539" s="62" t="s">
        <v>972</v>
      </c>
      <c r="E539" s="63" t="s">
        <v>265</v>
      </c>
      <c r="F539" s="64">
        <v>4170.6000000000004</v>
      </c>
      <c r="G539" s="64"/>
      <c r="H539" s="63" t="s">
        <v>266</v>
      </c>
      <c r="I539" s="65" t="s">
        <v>213</v>
      </c>
      <c r="J539" s="65"/>
      <c r="K539" s="66" t="s">
        <v>214</v>
      </c>
      <c r="L539" s="67">
        <v>411773.03</v>
      </c>
    </row>
    <row r="540" spans="1:12" ht="51" hidden="1" x14ac:dyDescent="0.3">
      <c r="A540" s="61" t="s">
        <v>973</v>
      </c>
      <c r="B540" s="62" t="s">
        <v>974</v>
      </c>
      <c r="C540" s="62" t="s">
        <v>975</v>
      </c>
      <c r="D540" s="62" t="s">
        <v>976</v>
      </c>
      <c r="E540" s="63" t="s">
        <v>265</v>
      </c>
      <c r="F540" s="64">
        <v>8790.6</v>
      </c>
      <c r="G540" s="64"/>
      <c r="H540" s="63" t="s">
        <v>266</v>
      </c>
      <c r="I540" s="65" t="s">
        <v>213</v>
      </c>
      <c r="J540" s="65"/>
      <c r="K540" s="66" t="s">
        <v>214</v>
      </c>
      <c r="L540" s="67">
        <v>420563.63</v>
      </c>
    </row>
    <row r="541" spans="1:12" ht="51" hidden="1" x14ac:dyDescent="0.3">
      <c r="A541" s="61" t="s">
        <v>977</v>
      </c>
      <c r="B541" s="62" t="s">
        <v>978</v>
      </c>
      <c r="C541" s="62" t="s">
        <v>979</v>
      </c>
      <c r="D541" s="62" t="s">
        <v>980</v>
      </c>
      <c r="E541" s="63" t="s">
        <v>265</v>
      </c>
      <c r="F541" s="64">
        <v>4830</v>
      </c>
      <c r="G541" s="64"/>
      <c r="H541" s="63" t="s">
        <v>266</v>
      </c>
      <c r="I541" s="65" t="s">
        <v>213</v>
      </c>
      <c r="J541" s="65"/>
      <c r="K541" s="66" t="s">
        <v>214</v>
      </c>
      <c r="L541" s="67">
        <v>425393.63</v>
      </c>
    </row>
    <row r="542" spans="1:12" ht="51" hidden="1" x14ac:dyDescent="0.3">
      <c r="A542" s="61" t="s">
        <v>981</v>
      </c>
      <c r="B542" s="62" t="s">
        <v>982</v>
      </c>
      <c r="C542" s="62" t="s">
        <v>983</v>
      </c>
      <c r="D542" s="62" t="s">
        <v>984</v>
      </c>
      <c r="E542" s="63" t="s">
        <v>265</v>
      </c>
      <c r="F542" s="64">
        <v>8887.2000000000007</v>
      </c>
      <c r="G542" s="64"/>
      <c r="H542" s="63" t="s">
        <v>266</v>
      </c>
      <c r="I542" s="65" t="s">
        <v>213</v>
      </c>
      <c r="J542" s="65"/>
      <c r="K542" s="66" t="s">
        <v>214</v>
      </c>
      <c r="L542" s="67">
        <v>434280.83</v>
      </c>
    </row>
    <row r="543" spans="1:12" ht="51" hidden="1" x14ac:dyDescent="0.3">
      <c r="A543" s="61" t="s">
        <v>985</v>
      </c>
      <c r="B543" s="62" t="s">
        <v>986</v>
      </c>
      <c r="C543" s="62" t="s">
        <v>987</v>
      </c>
      <c r="D543" s="62" t="s">
        <v>932</v>
      </c>
      <c r="E543" s="63" t="s">
        <v>292</v>
      </c>
      <c r="F543" s="69" t="s">
        <v>213</v>
      </c>
      <c r="G543" s="69"/>
      <c r="H543" s="63" t="s">
        <v>265</v>
      </c>
      <c r="I543" s="71">
        <v>1747.98</v>
      </c>
      <c r="J543" s="71"/>
      <c r="K543" s="66" t="s">
        <v>214</v>
      </c>
      <c r="L543" s="67">
        <v>432532.85</v>
      </c>
    </row>
    <row r="544" spans="1:12" ht="51" hidden="1" x14ac:dyDescent="0.3">
      <c r="A544" s="61" t="s">
        <v>985</v>
      </c>
      <c r="B544" s="62" t="s">
        <v>986</v>
      </c>
      <c r="C544" s="62" t="s">
        <v>987</v>
      </c>
      <c r="D544" s="62" t="s">
        <v>943</v>
      </c>
      <c r="E544" s="63" t="s">
        <v>292</v>
      </c>
      <c r="F544" s="69" t="s">
        <v>213</v>
      </c>
      <c r="G544" s="69"/>
      <c r="H544" s="63" t="s">
        <v>265</v>
      </c>
      <c r="I544" s="71">
        <v>1839.78</v>
      </c>
      <c r="J544" s="71"/>
      <c r="K544" s="66" t="s">
        <v>214</v>
      </c>
      <c r="L544" s="67">
        <v>430693.07</v>
      </c>
    </row>
    <row r="545" spans="1:12" ht="51" hidden="1" x14ac:dyDescent="0.3">
      <c r="A545" s="61" t="s">
        <v>985</v>
      </c>
      <c r="B545" s="62" t="s">
        <v>986</v>
      </c>
      <c r="C545" s="62" t="s">
        <v>987</v>
      </c>
      <c r="D545" s="62" t="s">
        <v>931</v>
      </c>
      <c r="E545" s="63" t="s">
        <v>292</v>
      </c>
      <c r="F545" s="69" t="s">
        <v>213</v>
      </c>
      <c r="G545" s="69"/>
      <c r="H545" s="63" t="s">
        <v>265</v>
      </c>
      <c r="I545" s="71">
        <v>9198.9</v>
      </c>
      <c r="J545" s="71"/>
      <c r="K545" s="66" t="s">
        <v>214</v>
      </c>
      <c r="L545" s="67">
        <v>421494.17</v>
      </c>
    </row>
    <row r="546" spans="1:12" ht="51" hidden="1" x14ac:dyDescent="0.3">
      <c r="A546" s="61" t="s">
        <v>985</v>
      </c>
      <c r="B546" s="62" t="s">
        <v>986</v>
      </c>
      <c r="C546" s="62" t="s">
        <v>987</v>
      </c>
      <c r="D546" s="62" t="s">
        <v>929</v>
      </c>
      <c r="E546" s="63" t="s">
        <v>292</v>
      </c>
      <c r="F546" s="69" t="s">
        <v>213</v>
      </c>
      <c r="G546" s="69"/>
      <c r="H546" s="63" t="s">
        <v>265</v>
      </c>
      <c r="I546" s="71">
        <v>7767.3</v>
      </c>
      <c r="J546" s="71"/>
      <c r="K546" s="66" t="s">
        <v>214</v>
      </c>
      <c r="L546" s="67">
        <v>413726.87</v>
      </c>
    </row>
    <row r="547" spans="1:12" ht="51" hidden="1" x14ac:dyDescent="0.3">
      <c r="A547" s="61" t="s">
        <v>985</v>
      </c>
      <c r="B547" s="62" t="s">
        <v>986</v>
      </c>
      <c r="C547" s="62" t="s">
        <v>987</v>
      </c>
      <c r="D547" s="62" t="s">
        <v>941</v>
      </c>
      <c r="E547" s="63" t="s">
        <v>292</v>
      </c>
      <c r="F547" s="69" t="s">
        <v>213</v>
      </c>
      <c r="G547" s="69"/>
      <c r="H547" s="63" t="s">
        <v>265</v>
      </c>
      <c r="I547" s="70">
        <v>913.8</v>
      </c>
      <c r="J547" s="70"/>
      <c r="K547" s="66" t="s">
        <v>214</v>
      </c>
      <c r="L547" s="67">
        <v>412813.07</v>
      </c>
    </row>
    <row r="548" spans="1:12" ht="51" hidden="1" x14ac:dyDescent="0.3">
      <c r="A548" s="61" t="s">
        <v>985</v>
      </c>
      <c r="B548" s="62" t="s">
        <v>986</v>
      </c>
      <c r="C548" s="62" t="s">
        <v>987</v>
      </c>
      <c r="D548" s="62" t="s">
        <v>941</v>
      </c>
      <c r="E548" s="63" t="s">
        <v>292</v>
      </c>
      <c r="F548" s="69" t="s">
        <v>213</v>
      </c>
      <c r="G548" s="69"/>
      <c r="H548" s="63" t="s">
        <v>265</v>
      </c>
      <c r="I548" s="71">
        <v>7767.3</v>
      </c>
      <c r="J548" s="71"/>
      <c r="K548" s="66" t="s">
        <v>214</v>
      </c>
      <c r="L548" s="67">
        <v>405045.77</v>
      </c>
    </row>
    <row r="549" spans="1:12" ht="51" hidden="1" x14ac:dyDescent="0.3">
      <c r="A549" s="61" t="s">
        <v>985</v>
      </c>
      <c r="B549" s="62" t="s">
        <v>986</v>
      </c>
      <c r="C549" s="62" t="s">
        <v>987</v>
      </c>
      <c r="D549" s="62" t="s">
        <v>903</v>
      </c>
      <c r="E549" s="63" t="s">
        <v>292</v>
      </c>
      <c r="F549" s="69" t="s">
        <v>213</v>
      </c>
      <c r="G549" s="69"/>
      <c r="H549" s="63" t="s">
        <v>265</v>
      </c>
      <c r="I549" s="71">
        <v>39662.5</v>
      </c>
      <c r="J549" s="71"/>
      <c r="K549" s="66" t="s">
        <v>214</v>
      </c>
      <c r="L549" s="67">
        <v>365383.27</v>
      </c>
    </row>
    <row r="550" spans="1:12" ht="51" hidden="1" x14ac:dyDescent="0.3">
      <c r="A550" s="61" t="s">
        <v>985</v>
      </c>
      <c r="B550" s="62" t="s">
        <v>986</v>
      </c>
      <c r="C550" s="62" t="s">
        <v>987</v>
      </c>
      <c r="D550" s="62" t="s">
        <v>823</v>
      </c>
      <c r="E550" s="63" t="s">
        <v>292</v>
      </c>
      <c r="F550" s="69" t="s">
        <v>213</v>
      </c>
      <c r="G550" s="69"/>
      <c r="H550" s="63" t="s">
        <v>265</v>
      </c>
      <c r="I550" s="70">
        <v>921.37</v>
      </c>
      <c r="J550" s="70"/>
      <c r="K550" s="66" t="s">
        <v>214</v>
      </c>
      <c r="L550" s="67">
        <v>364461.9</v>
      </c>
    </row>
    <row r="551" spans="1:12" ht="51" hidden="1" x14ac:dyDescent="0.3">
      <c r="A551" s="61" t="s">
        <v>985</v>
      </c>
      <c r="B551" s="62" t="s">
        <v>988</v>
      </c>
      <c r="C551" s="62" t="s">
        <v>989</v>
      </c>
      <c r="D551" s="62" t="s">
        <v>990</v>
      </c>
      <c r="E551" s="63" t="s">
        <v>265</v>
      </c>
      <c r="F551" s="64">
        <v>18341.400000000001</v>
      </c>
      <c r="G551" s="64"/>
      <c r="H551" s="63" t="s">
        <v>266</v>
      </c>
      <c r="I551" s="65" t="s">
        <v>213</v>
      </c>
      <c r="J551" s="65"/>
      <c r="K551" s="66" t="s">
        <v>214</v>
      </c>
      <c r="L551" s="67">
        <v>382803.3</v>
      </c>
    </row>
    <row r="552" spans="1:12" ht="51" hidden="1" x14ac:dyDescent="0.3">
      <c r="A552" s="61" t="s">
        <v>991</v>
      </c>
      <c r="B552" s="62" t="s">
        <v>992</v>
      </c>
      <c r="C552" s="62" t="s">
        <v>993</v>
      </c>
      <c r="D552" s="62" t="s">
        <v>994</v>
      </c>
      <c r="E552" s="63" t="s">
        <v>265</v>
      </c>
      <c r="F552" s="64">
        <v>18874.8</v>
      </c>
      <c r="G552" s="64"/>
      <c r="H552" s="63" t="s">
        <v>266</v>
      </c>
      <c r="I552" s="65" t="s">
        <v>213</v>
      </c>
      <c r="J552" s="65"/>
      <c r="K552" s="66" t="s">
        <v>214</v>
      </c>
      <c r="L552" s="67">
        <v>401678.1</v>
      </c>
    </row>
    <row r="553" spans="1:12" ht="51" hidden="1" x14ac:dyDescent="0.3">
      <c r="A553" s="61" t="s">
        <v>257</v>
      </c>
      <c r="B553" s="62" t="s">
        <v>995</v>
      </c>
      <c r="C553" s="62" t="s">
        <v>996</v>
      </c>
      <c r="D553" s="62" t="s">
        <v>997</v>
      </c>
      <c r="E553" s="63" t="s">
        <v>265</v>
      </c>
      <c r="F553" s="64">
        <v>18929.400000000001</v>
      </c>
      <c r="G553" s="64"/>
      <c r="H553" s="63" t="s">
        <v>266</v>
      </c>
      <c r="I553" s="65" t="s">
        <v>213</v>
      </c>
      <c r="J553" s="65"/>
      <c r="K553" s="66" t="s">
        <v>214</v>
      </c>
      <c r="L553" s="67">
        <v>420607.5</v>
      </c>
    </row>
    <row r="554" spans="1:12" ht="51" hidden="1" x14ac:dyDescent="0.3">
      <c r="A554" s="61" t="s">
        <v>998</v>
      </c>
      <c r="B554" s="62" t="s">
        <v>999</v>
      </c>
      <c r="C554" s="62" t="s">
        <v>1000</v>
      </c>
      <c r="D554" s="62" t="s">
        <v>1001</v>
      </c>
      <c r="E554" s="63" t="s">
        <v>265</v>
      </c>
      <c r="F554" s="64">
        <v>18236.400000000001</v>
      </c>
      <c r="G554" s="64"/>
      <c r="H554" s="63" t="s">
        <v>266</v>
      </c>
      <c r="I554" s="65" t="s">
        <v>213</v>
      </c>
      <c r="J554" s="65"/>
      <c r="K554" s="66" t="s">
        <v>214</v>
      </c>
      <c r="L554" s="67">
        <v>438843.9</v>
      </c>
    </row>
    <row r="555" spans="1:12" ht="51" hidden="1" x14ac:dyDescent="0.3">
      <c r="A555" s="61" t="s">
        <v>1002</v>
      </c>
      <c r="B555" s="62" t="s">
        <v>1003</v>
      </c>
      <c r="C555" s="62" t="s">
        <v>1004</v>
      </c>
      <c r="D555" s="62" t="s">
        <v>1005</v>
      </c>
      <c r="E555" s="63" t="s">
        <v>265</v>
      </c>
      <c r="F555" s="64">
        <v>17648.400000000001</v>
      </c>
      <c r="G555" s="64"/>
      <c r="H555" s="63" t="s">
        <v>266</v>
      </c>
      <c r="I555" s="65" t="s">
        <v>213</v>
      </c>
      <c r="J555" s="65"/>
      <c r="K555" s="66" t="s">
        <v>214</v>
      </c>
      <c r="L555" s="67">
        <v>456492.3</v>
      </c>
    </row>
    <row r="556" spans="1:12" ht="51" hidden="1" x14ac:dyDescent="0.3">
      <c r="A556" s="61" t="s">
        <v>1006</v>
      </c>
      <c r="B556" s="62" t="s">
        <v>1007</v>
      </c>
      <c r="C556" s="62" t="s">
        <v>1008</v>
      </c>
      <c r="D556" s="62" t="s">
        <v>1009</v>
      </c>
      <c r="E556" s="63" t="s">
        <v>265</v>
      </c>
      <c r="F556" s="64">
        <v>18089.400000000001</v>
      </c>
      <c r="G556" s="64"/>
      <c r="H556" s="63" t="s">
        <v>266</v>
      </c>
      <c r="I556" s="65" t="s">
        <v>213</v>
      </c>
      <c r="J556" s="65"/>
      <c r="K556" s="66" t="s">
        <v>214</v>
      </c>
      <c r="L556" s="67">
        <v>474581.7</v>
      </c>
    </row>
    <row r="557" spans="1:12" ht="51" hidden="1" x14ac:dyDescent="0.3">
      <c r="A557" s="61" t="s">
        <v>258</v>
      </c>
      <c r="B557" s="62" t="s">
        <v>1010</v>
      </c>
      <c r="C557" s="62" t="s">
        <v>987</v>
      </c>
      <c r="D557" s="62" t="s">
        <v>827</v>
      </c>
      <c r="E557" s="63" t="s">
        <v>292</v>
      </c>
      <c r="F557" s="69" t="s">
        <v>213</v>
      </c>
      <c r="G557" s="69"/>
      <c r="H557" s="63" t="s">
        <v>265</v>
      </c>
      <c r="I557" s="71">
        <v>4767</v>
      </c>
      <c r="J557" s="71"/>
      <c r="K557" s="66" t="s">
        <v>214</v>
      </c>
      <c r="L557" s="67">
        <v>469814.7</v>
      </c>
    </row>
    <row r="558" spans="1:12" ht="51" hidden="1" x14ac:dyDescent="0.3">
      <c r="A558" s="61" t="s">
        <v>258</v>
      </c>
      <c r="B558" s="62" t="s">
        <v>1010</v>
      </c>
      <c r="C558" s="62" t="s">
        <v>987</v>
      </c>
      <c r="D558" s="62" t="s">
        <v>827</v>
      </c>
      <c r="E558" s="63" t="s">
        <v>292</v>
      </c>
      <c r="F558" s="69" t="s">
        <v>213</v>
      </c>
      <c r="G558" s="69"/>
      <c r="H558" s="63" t="s">
        <v>265</v>
      </c>
      <c r="I558" s="71">
        <v>4149.6000000000004</v>
      </c>
      <c r="J558" s="71"/>
      <c r="K558" s="66" t="s">
        <v>214</v>
      </c>
      <c r="L558" s="67">
        <v>465665.1</v>
      </c>
    </row>
    <row r="559" spans="1:12" ht="51" hidden="1" x14ac:dyDescent="0.3">
      <c r="A559" s="61" t="s">
        <v>258</v>
      </c>
      <c r="B559" s="62" t="s">
        <v>1010</v>
      </c>
      <c r="C559" s="62" t="s">
        <v>987</v>
      </c>
      <c r="D559" s="62" t="s">
        <v>911</v>
      </c>
      <c r="E559" s="63" t="s">
        <v>292</v>
      </c>
      <c r="F559" s="69" t="s">
        <v>213</v>
      </c>
      <c r="G559" s="69"/>
      <c r="H559" s="63" t="s">
        <v>265</v>
      </c>
      <c r="I559" s="70">
        <v>642.6</v>
      </c>
      <c r="J559" s="70"/>
      <c r="K559" s="66" t="s">
        <v>214</v>
      </c>
      <c r="L559" s="67">
        <v>465022.5</v>
      </c>
    </row>
    <row r="560" spans="1:12" ht="51" hidden="1" x14ac:dyDescent="0.3">
      <c r="A560" s="61" t="s">
        <v>258</v>
      </c>
      <c r="B560" s="62" t="s">
        <v>1010</v>
      </c>
      <c r="C560" s="62" t="s">
        <v>987</v>
      </c>
      <c r="D560" s="62" t="s">
        <v>911</v>
      </c>
      <c r="E560" s="63" t="s">
        <v>292</v>
      </c>
      <c r="F560" s="69" t="s">
        <v>213</v>
      </c>
      <c r="G560" s="69"/>
      <c r="H560" s="63" t="s">
        <v>265</v>
      </c>
      <c r="I560" s="71">
        <v>8601.6</v>
      </c>
      <c r="J560" s="71"/>
      <c r="K560" s="66" t="s">
        <v>214</v>
      </c>
      <c r="L560" s="67">
        <v>456420.9</v>
      </c>
    </row>
    <row r="561" spans="1:12" ht="51" hidden="1" x14ac:dyDescent="0.3">
      <c r="A561" s="61" t="s">
        <v>258</v>
      </c>
      <c r="B561" s="62" t="s">
        <v>1010</v>
      </c>
      <c r="C561" s="62" t="s">
        <v>987</v>
      </c>
      <c r="D561" s="62" t="s">
        <v>923</v>
      </c>
      <c r="E561" s="63" t="s">
        <v>292</v>
      </c>
      <c r="F561" s="69" t="s">
        <v>213</v>
      </c>
      <c r="G561" s="69"/>
      <c r="H561" s="63" t="s">
        <v>265</v>
      </c>
      <c r="I561" s="70">
        <v>315</v>
      </c>
      <c r="J561" s="70"/>
      <c r="K561" s="66" t="s">
        <v>214</v>
      </c>
      <c r="L561" s="67">
        <v>456105.9</v>
      </c>
    </row>
    <row r="562" spans="1:12" ht="51" hidden="1" x14ac:dyDescent="0.3">
      <c r="A562" s="61" t="s">
        <v>258</v>
      </c>
      <c r="B562" s="62" t="s">
        <v>1010</v>
      </c>
      <c r="C562" s="62" t="s">
        <v>987</v>
      </c>
      <c r="D562" s="62" t="s">
        <v>923</v>
      </c>
      <c r="E562" s="63" t="s">
        <v>292</v>
      </c>
      <c r="F562" s="69" t="s">
        <v>213</v>
      </c>
      <c r="G562" s="69"/>
      <c r="H562" s="63" t="s">
        <v>265</v>
      </c>
      <c r="I562" s="71">
        <v>4477.2</v>
      </c>
      <c r="J562" s="71"/>
      <c r="K562" s="66" t="s">
        <v>214</v>
      </c>
      <c r="L562" s="67">
        <v>451628.7</v>
      </c>
    </row>
    <row r="563" spans="1:12" ht="51" hidden="1" x14ac:dyDescent="0.3">
      <c r="A563" s="61" t="s">
        <v>258</v>
      </c>
      <c r="B563" s="62" t="s">
        <v>1010</v>
      </c>
      <c r="C563" s="62" t="s">
        <v>987</v>
      </c>
      <c r="D563" s="62" t="s">
        <v>926</v>
      </c>
      <c r="E563" s="63" t="s">
        <v>292</v>
      </c>
      <c r="F563" s="69" t="s">
        <v>213</v>
      </c>
      <c r="G563" s="69"/>
      <c r="H563" s="63" t="s">
        <v>265</v>
      </c>
      <c r="I563" s="71">
        <v>4767</v>
      </c>
      <c r="J563" s="71"/>
      <c r="K563" s="66" t="s">
        <v>214</v>
      </c>
      <c r="L563" s="67">
        <v>446861.7</v>
      </c>
    </row>
    <row r="564" spans="1:12" ht="51" hidden="1" x14ac:dyDescent="0.3">
      <c r="A564" s="61" t="s">
        <v>258</v>
      </c>
      <c r="B564" s="62" t="s">
        <v>1010</v>
      </c>
      <c r="C564" s="62" t="s">
        <v>987</v>
      </c>
      <c r="D564" s="62" t="s">
        <v>823</v>
      </c>
      <c r="E564" s="63" t="s">
        <v>292</v>
      </c>
      <c r="F564" s="69" t="s">
        <v>213</v>
      </c>
      <c r="G564" s="69"/>
      <c r="H564" s="63" t="s">
        <v>265</v>
      </c>
      <c r="I564" s="71">
        <v>12197.79</v>
      </c>
      <c r="J564" s="71"/>
      <c r="K564" s="66" t="s">
        <v>214</v>
      </c>
      <c r="L564" s="67">
        <v>434663.91</v>
      </c>
    </row>
    <row r="565" spans="1:12" ht="51" hidden="1" x14ac:dyDescent="0.3">
      <c r="A565" s="61" t="s">
        <v>258</v>
      </c>
      <c r="B565" s="62" t="s">
        <v>1010</v>
      </c>
      <c r="C565" s="62" t="s">
        <v>987</v>
      </c>
      <c r="D565" s="62" t="s">
        <v>823</v>
      </c>
      <c r="E565" s="63" t="s">
        <v>292</v>
      </c>
      <c r="F565" s="69" t="s">
        <v>213</v>
      </c>
      <c r="G565" s="69"/>
      <c r="H565" s="63" t="s">
        <v>265</v>
      </c>
      <c r="I565" s="71">
        <v>19163.09</v>
      </c>
      <c r="J565" s="71"/>
      <c r="K565" s="66" t="s">
        <v>214</v>
      </c>
      <c r="L565" s="67">
        <v>415500.82</v>
      </c>
    </row>
    <row r="566" spans="1:12" ht="51" hidden="1" x14ac:dyDescent="0.3">
      <c r="A566" s="61" t="s">
        <v>258</v>
      </c>
      <c r="B566" s="62" t="s">
        <v>1010</v>
      </c>
      <c r="C566" s="62" t="s">
        <v>987</v>
      </c>
      <c r="D566" s="62" t="s">
        <v>907</v>
      </c>
      <c r="E566" s="63" t="s">
        <v>292</v>
      </c>
      <c r="F566" s="69" t="s">
        <v>213</v>
      </c>
      <c r="G566" s="69"/>
      <c r="H566" s="63" t="s">
        <v>265</v>
      </c>
      <c r="I566" s="71">
        <v>7401.33</v>
      </c>
      <c r="J566" s="71"/>
      <c r="K566" s="66" t="s">
        <v>214</v>
      </c>
      <c r="L566" s="67">
        <v>408099.49</v>
      </c>
    </row>
    <row r="567" spans="1:12" ht="51" hidden="1" x14ac:dyDescent="0.3">
      <c r="A567" s="61" t="s">
        <v>258</v>
      </c>
      <c r="B567" s="62" t="s">
        <v>1010</v>
      </c>
      <c r="C567" s="62" t="s">
        <v>987</v>
      </c>
      <c r="D567" s="62" t="s">
        <v>907</v>
      </c>
      <c r="E567" s="63" t="s">
        <v>292</v>
      </c>
      <c r="F567" s="69" t="s">
        <v>213</v>
      </c>
      <c r="G567" s="69"/>
      <c r="H567" s="63" t="s">
        <v>265</v>
      </c>
      <c r="I567" s="71">
        <v>4883.67</v>
      </c>
      <c r="J567" s="71"/>
      <c r="K567" s="66" t="s">
        <v>214</v>
      </c>
      <c r="L567" s="67">
        <v>403215.82</v>
      </c>
    </row>
    <row r="568" spans="1:12" ht="51" hidden="1" x14ac:dyDescent="0.3">
      <c r="A568" s="61" t="s">
        <v>258</v>
      </c>
      <c r="B568" s="62" t="s">
        <v>1010</v>
      </c>
      <c r="C568" s="62" t="s">
        <v>987</v>
      </c>
      <c r="D568" s="62" t="s">
        <v>915</v>
      </c>
      <c r="E568" s="63" t="s">
        <v>292</v>
      </c>
      <c r="F568" s="69" t="s">
        <v>213</v>
      </c>
      <c r="G568" s="69"/>
      <c r="H568" s="63" t="s">
        <v>265</v>
      </c>
      <c r="I568" s="71">
        <v>7401.34</v>
      </c>
      <c r="J568" s="71"/>
      <c r="K568" s="66" t="s">
        <v>214</v>
      </c>
      <c r="L568" s="67">
        <v>395814.48</v>
      </c>
    </row>
    <row r="569" spans="1:12" ht="51" hidden="1" x14ac:dyDescent="0.3">
      <c r="A569" s="61" t="s">
        <v>258</v>
      </c>
      <c r="B569" s="62" t="s">
        <v>1010</v>
      </c>
      <c r="C569" s="62" t="s">
        <v>987</v>
      </c>
      <c r="D569" s="62" t="s">
        <v>915</v>
      </c>
      <c r="E569" s="63" t="s">
        <v>292</v>
      </c>
      <c r="F569" s="69" t="s">
        <v>213</v>
      </c>
      <c r="G569" s="69"/>
      <c r="H569" s="63" t="s">
        <v>265</v>
      </c>
      <c r="I569" s="71">
        <v>5717.83</v>
      </c>
      <c r="J569" s="71"/>
      <c r="K569" s="66" t="s">
        <v>214</v>
      </c>
      <c r="L569" s="67">
        <v>390096.65</v>
      </c>
    </row>
    <row r="570" spans="1:12" ht="51" hidden="1" x14ac:dyDescent="0.3">
      <c r="A570" s="61" t="s">
        <v>258</v>
      </c>
      <c r="B570" s="62" t="s">
        <v>1010</v>
      </c>
      <c r="C570" s="62" t="s">
        <v>987</v>
      </c>
      <c r="D570" s="62" t="s">
        <v>919</v>
      </c>
      <c r="E570" s="63" t="s">
        <v>292</v>
      </c>
      <c r="F570" s="69" t="s">
        <v>213</v>
      </c>
      <c r="G570" s="69"/>
      <c r="H570" s="63" t="s">
        <v>265</v>
      </c>
      <c r="I570" s="71">
        <v>26564.39</v>
      </c>
      <c r="J570" s="71"/>
      <c r="K570" s="66" t="s">
        <v>214</v>
      </c>
      <c r="L570" s="67">
        <v>363532.26</v>
      </c>
    </row>
    <row r="571" spans="1:12" ht="51" hidden="1" x14ac:dyDescent="0.3">
      <c r="A571" s="61" t="s">
        <v>258</v>
      </c>
      <c r="B571" s="62" t="s">
        <v>1010</v>
      </c>
      <c r="C571" s="62" t="s">
        <v>987</v>
      </c>
      <c r="D571" s="62" t="s">
        <v>945</v>
      </c>
      <c r="E571" s="63" t="s">
        <v>292</v>
      </c>
      <c r="F571" s="69" t="s">
        <v>213</v>
      </c>
      <c r="G571" s="69"/>
      <c r="H571" s="63" t="s">
        <v>265</v>
      </c>
      <c r="I571" s="71">
        <v>7897.01</v>
      </c>
      <c r="J571" s="71"/>
      <c r="K571" s="66" t="s">
        <v>214</v>
      </c>
      <c r="L571" s="67">
        <v>355635.25</v>
      </c>
    </row>
    <row r="572" spans="1:12" ht="51" hidden="1" x14ac:dyDescent="0.3">
      <c r="A572" s="61" t="s">
        <v>258</v>
      </c>
      <c r="B572" s="62" t="s">
        <v>1010</v>
      </c>
      <c r="C572" s="62" t="s">
        <v>987</v>
      </c>
      <c r="D572" s="62" t="s">
        <v>948</v>
      </c>
      <c r="E572" s="63" t="s">
        <v>292</v>
      </c>
      <c r="F572" s="69" t="s">
        <v>213</v>
      </c>
      <c r="G572" s="69"/>
      <c r="H572" s="63" t="s">
        <v>265</v>
      </c>
      <c r="I572" s="71">
        <v>16393.439999999999</v>
      </c>
      <c r="J572" s="71"/>
      <c r="K572" s="66" t="s">
        <v>214</v>
      </c>
      <c r="L572" s="67">
        <v>339241.81</v>
      </c>
    </row>
    <row r="573" spans="1:12" ht="51" hidden="1" x14ac:dyDescent="0.3">
      <c r="A573" s="61" t="s">
        <v>258</v>
      </c>
      <c r="B573" s="62" t="s">
        <v>1010</v>
      </c>
      <c r="C573" s="62" t="s">
        <v>987</v>
      </c>
      <c r="D573" s="62" t="s">
        <v>948</v>
      </c>
      <c r="E573" s="63" t="s">
        <v>292</v>
      </c>
      <c r="F573" s="69" t="s">
        <v>213</v>
      </c>
      <c r="G573" s="69"/>
      <c r="H573" s="63" t="s">
        <v>265</v>
      </c>
      <c r="I573" s="71">
        <v>7987.62</v>
      </c>
      <c r="J573" s="71"/>
      <c r="K573" s="66" t="s">
        <v>214</v>
      </c>
      <c r="L573" s="67">
        <v>331254.19</v>
      </c>
    </row>
    <row r="574" spans="1:12" ht="51" hidden="1" x14ac:dyDescent="0.3">
      <c r="A574" s="61" t="s">
        <v>258</v>
      </c>
      <c r="B574" s="62" t="s">
        <v>1010</v>
      </c>
      <c r="C574" s="62" t="s">
        <v>987</v>
      </c>
      <c r="D574" s="62" t="s">
        <v>953</v>
      </c>
      <c r="E574" s="63" t="s">
        <v>292</v>
      </c>
      <c r="F574" s="69" t="s">
        <v>213</v>
      </c>
      <c r="G574" s="69"/>
      <c r="H574" s="63" t="s">
        <v>265</v>
      </c>
      <c r="I574" s="71">
        <v>8391.8799999999992</v>
      </c>
      <c r="J574" s="71"/>
      <c r="K574" s="66" t="s">
        <v>214</v>
      </c>
      <c r="L574" s="67">
        <v>322862.31</v>
      </c>
    </row>
    <row r="575" spans="1:12" ht="51" hidden="1" x14ac:dyDescent="0.3">
      <c r="A575" s="61" t="s">
        <v>258</v>
      </c>
      <c r="B575" s="62" t="s">
        <v>1010</v>
      </c>
      <c r="C575" s="62" t="s">
        <v>987</v>
      </c>
      <c r="D575" s="62" t="s">
        <v>953</v>
      </c>
      <c r="E575" s="63" t="s">
        <v>292</v>
      </c>
      <c r="F575" s="69" t="s">
        <v>213</v>
      </c>
      <c r="G575" s="69"/>
      <c r="H575" s="63" t="s">
        <v>265</v>
      </c>
      <c r="I575" s="71">
        <v>7924.89</v>
      </c>
      <c r="J575" s="71"/>
      <c r="K575" s="66" t="s">
        <v>214</v>
      </c>
      <c r="L575" s="67">
        <v>314937.42</v>
      </c>
    </row>
    <row r="576" spans="1:12" ht="51" hidden="1" x14ac:dyDescent="0.3">
      <c r="A576" s="61" t="s">
        <v>258</v>
      </c>
      <c r="B576" s="62" t="s">
        <v>1010</v>
      </c>
      <c r="C576" s="62" t="s">
        <v>987</v>
      </c>
      <c r="D576" s="62" t="s">
        <v>953</v>
      </c>
      <c r="E576" s="63" t="s">
        <v>292</v>
      </c>
      <c r="F576" s="69" t="s">
        <v>213</v>
      </c>
      <c r="G576" s="69"/>
      <c r="H576" s="63" t="s">
        <v>265</v>
      </c>
      <c r="I576" s="70">
        <v>76.67</v>
      </c>
      <c r="J576" s="70"/>
      <c r="K576" s="66" t="s">
        <v>214</v>
      </c>
      <c r="L576" s="67">
        <v>314860.75</v>
      </c>
    </row>
    <row r="577" spans="1:12" ht="51" hidden="1" x14ac:dyDescent="0.3">
      <c r="A577" s="61" t="s">
        <v>258</v>
      </c>
      <c r="B577" s="62" t="s">
        <v>1010</v>
      </c>
      <c r="C577" s="62" t="s">
        <v>987</v>
      </c>
      <c r="D577" s="62" t="s">
        <v>956</v>
      </c>
      <c r="E577" s="63" t="s">
        <v>292</v>
      </c>
      <c r="F577" s="69" t="s">
        <v>213</v>
      </c>
      <c r="G577" s="69"/>
      <c r="H577" s="63" t="s">
        <v>265</v>
      </c>
      <c r="I577" s="71">
        <v>8273.39</v>
      </c>
      <c r="J577" s="71"/>
      <c r="K577" s="66" t="s">
        <v>214</v>
      </c>
      <c r="L577" s="67">
        <v>306587.36</v>
      </c>
    </row>
    <row r="578" spans="1:12" ht="51" hidden="1" x14ac:dyDescent="0.3">
      <c r="A578" s="61" t="s">
        <v>258</v>
      </c>
      <c r="B578" s="62" t="s">
        <v>1010</v>
      </c>
      <c r="C578" s="62" t="s">
        <v>987</v>
      </c>
      <c r="D578" s="62" t="s">
        <v>956</v>
      </c>
      <c r="E578" s="63" t="s">
        <v>292</v>
      </c>
      <c r="F578" s="69" t="s">
        <v>213</v>
      </c>
      <c r="G578" s="69"/>
      <c r="H578" s="63" t="s">
        <v>265</v>
      </c>
      <c r="I578" s="70">
        <v>76.67</v>
      </c>
      <c r="J578" s="70"/>
      <c r="K578" s="66" t="s">
        <v>214</v>
      </c>
      <c r="L578" s="67">
        <v>306510.69</v>
      </c>
    </row>
    <row r="579" spans="1:12" ht="51" hidden="1" x14ac:dyDescent="0.3">
      <c r="A579" s="61" t="s">
        <v>258</v>
      </c>
      <c r="B579" s="62" t="s">
        <v>1010</v>
      </c>
      <c r="C579" s="62" t="s">
        <v>987</v>
      </c>
      <c r="D579" s="62" t="s">
        <v>959</v>
      </c>
      <c r="E579" s="63" t="s">
        <v>292</v>
      </c>
      <c r="F579" s="69" t="s">
        <v>213</v>
      </c>
      <c r="G579" s="69"/>
      <c r="H579" s="63" t="s">
        <v>265</v>
      </c>
      <c r="I579" s="71">
        <v>16379.5</v>
      </c>
      <c r="J579" s="71"/>
      <c r="K579" s="66" t="s">
        <v>214</v>
      </c>
      <c r="L579" s="67">
        <v>290131.19</v>
      </c>
    </row>
    <row r="580" spans="1:12" ht="51" hidden="1" x14ac:dyDescent="0.3">
      <c r="A580" s="61" t="s">
        <v>258</v>
      </c>
      <c r="B580" s="62" t="s">
        <v>1010</v>
      </c>
      <c r="C580" s="62" t="s">
        <v>987</v>
      </c>
      <c r="D580" s="62" t="s">
        <v>962</v>
      </c>
      <c r="E580" s="63" t="s">
        <v>292</v>
      </c>
      <c r="F580" s="69" t="s">
        <v>213</v>
      </c>
      <c r="G580" s="69"/>
      <c r="H580" s="63" t="s">
        <v>265</v>
      </c>
      <c r="I580" s="71">
        <v>7924.89</v>
      </c>
      <c r="J580" s="71"/>
      <c r="K580" s="66" t="s">
        <v>214</v>
      </c>
      <c r="L580" s="67">
        <v>282206.3</v>
      </c>
    </row>
    <row r="581" spans="1:12" ht="51" hidden="1" x14ac:dyDescent="0.3">
      <c r="A581" s="61" t="s">
        <v>235</v>
      </c>
      <c r="B581" s="62" t="s">
        <v>1011</v>
      </c>
      <c r="C581" s="62" t="s">
        <v>987</v>
      </c>
      <c r="D581" s="62" t="s">
        <v>966</v>
      </c>
      <c r="E581" s="63" t="s">
        <v>292</v>
      </c>
      <c r="F581" s="69" t="s">
        <v>213</v>
      </c>
      <c r="G581" s="69"/>
      <c r="H581" s="63" t="s">
        <v>265</v>
      </c>
      <c r="I581" s="71">
        <v>21000</v>
      </c>
      <c r="J581" s="71"/>
      <c r="K581" s="66" t="s">
        <v>214</v>
      </c>
      <c r="L581" s="67">
        <v>261206.3</v>
      </c>
    </row>
    <row r="582" spans="1:12" ht="51" x14ac:dyDescent="0.3">
      <c r="A582" s="61" t="s">
        <v>1012</v>
      </c>
      <c r="B582" s="62" t="s">
        <v>1013</v>
      </c>
      <c r="C582" s="62" t="s">
        <v>291</v>
      </c>
      <c r="D582" s="62" t="s">
        <v>640</v>
      </c>
      <c r="E582" s="63" t="s">
        <v>292</v>
      </c>
      <c r="F582" s="69" t="s">
        <v>213</v>
      </c>
      <c r="G582" s="69"/>
      <c r="H582" s="63" t="s">
        <v>265</v>
      </c>
      <c r="I582" s="71">
        <v>8080</v>
      </c>
      <c r="J582" s="71"/>
      <c r="K582" s="66" t="s">
        <v>214</v>
      </c>
      <c r="L582" s="67">
        <v>253126.3</v>
      </c>
    </row>
    <row r="583" spans="1:12" hidden="1" x14ac:dyDescent="0.3">
      <c r="A583" s="73" t="s">
        <v>238</v>
      </c>
      <c r="B583" s="73"/>
      <c r="C583" s="73"/>
      <c r="D583" s="73"/>
      <c r="E583" s="74">
        <v>9720211.3800000008</v>
      </c>
      <c r="F583" s="74"/>
      <c r="G583" s="74"/>
      <c r="H583" s="74">
        <v>9467085.0800000001</v>
      </c>
      <c r="I583" s="74"/>
      <c r="J583" s="74"/>
      <c r="K583" s="75" t="s">
        <v>214</v>
      </c>
      <c r="L583" s="76">
        <v>253126.3</v>
      </c>
    </row>
    <row r="585" spans="1:12" x14ac:dyDescent="0.3">
      <c r="I585" t="s">
        <v>1014</v>
      </c>
      <c r="J585" s="4">
        <f>I13+I14+I15+I19+I20+I21+I520+I521+I522+I523+I524+I525+I526+I532+I582</f>
        <v>24966.690000000002</v>
      </c>
      <c r="K585" s="4">
        <f>J585*1.2</f>
        <v>29960.028000000002</v>
      </c>
    </row>
    <row r="586" spans="1:12" x14ac:dyDescent="0.3">
      <c r="I586" t="s">
        <v>1015</v>
      </c>
      <c r="J586" s="4">
        <f>I16+I17+I18+I258+I487+I488+I489+I490+I491+I492+I493+I494+I495+I496+I497+I498+I499+I500+I501+I502+I503+I504+I505+I506+I507+I508+I509+I510+I511+I512+I513+I514+I515+I516+I517+I519+I518+I543+I544+I545+I546+I547+I548+I549+I550+I557+I558+I559+I560+I561+I562+I563+I564+I565+I566+I567+I568+I569+I570+I571+I572+I573+I574+I575+I576+I577+I578+I579+I580+I581</f>
        <v>903338.59000000008</v>
      </c>
      <c r="K586" s="4">
        <f>J586*1.2</f>
        <v>1084006.308</v>
      </c>
    </row>
  </sheetData>
  <autoFilter ref="A1:L583">
    <filterColumn colId="1">
      <filters>
        <filter val="Списання товарів ІБ00-000336 від 28.06.2024 18:16:34_x000a_Списаны ТМЦ"/>
        <filter val="Списання товарів ІБ00-000392 від 15.07.2024 00:00:00_x000a_Списаны ТМЦ"/>
        <filter val="Списання товарів ІБ00-000513 від 30.09.2024 20:00:00_x000a_Списаны ТМЦ"/>
        <filter val="Списання товарів ІБ00-000514 від 30.09.2024 20:00:00_x000a_Списаны ТМЦ"/>
        <filter val="Списання товарів ІБ00-000587 від 08.10.2024 22:00:03_x000a_Списаны ТМЦ"/>
        <filter val="Списання товарів ІБ00-000588 від 25.10.2024 18:28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172">
    <mergeCell ref="A583:D583"/>
    <mergeCell ref="E583:G583"/>
    <mergeCell ref="H583:J583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40"/>
  <sheetViews>
    <sheetView topLeftCell="A528" workbookViewId="0">
      <selection activeCell="J541" sqref="J541"/>
    </sheetView>
  </sheetViews>
  <sheetFormatPr defaultRowHeight="14.4" x14ac:dyDescent="0.3"/>
  <cols>
    <col min="2" max="4" width="29" customWidth="1"/>
    <col min="10" max="10" width="11.33203125" bestFit="1" customWidth="1"/>
    <col min="11" max="11" width="12.33203125" bestFit="1" customWidth="1"/>
  </cols>
  <sheetData>
    <row r="1" spans="1:12" x14ac:dyDescent="0.3">
      <c r="A1" s="77" t="s">
        <v>199</v>
      </c>
      <c r="B1" s="78" t="s">
        <v>200</v>
      </c>
      <c r="C1" s="78" t="s">
        <v>201</v>
      </c>
      <c r="D1" s="79" t="s">
        <v>202</v>
      </c>
      <c r="E1" s="80" t="s">
        <v>203</v>
      </c>
      <c r="F1" s="80"/>
      <c r="G1" s="80"/>
      <c r="H1" s="81" t="s">
        <v>204</v>
      </c>
      <c r="I1" s="81"/>
      <c r="J1" s="81"/>
      <c r="K1" s="78" t="s">
        <v>205</v>
      </c>
      <c r="L1" s="78"/>
    </row>
    <row r="2" spans="1:12" hidden="1" x14ac:dyDescent="0.3">
      <c r="A2" s="82"/>
      <c r="B2" s="83"/>
      <c r="C2" s="83"/>
      <c r="D2" s="84"/>
      <c r="E2" s="85" t="s">
        <v>108</v>
      </c>
      <c r="F2" s="86"/>
      <c r="G2" s="86"/>
      <c r="H2" s="87" t="s">
        <v>108</v>
      </c>
      <c r="I2" s="88"/>
      <c r="J2" s="88"/>
      <c r="K2" s="82"/>
      <c r="L2" s="89"/>
    </row>
    <row r="3" spans="1:12" ht="51" hidden="1" x14ac:dyDescent="0.3">
      <c r="A3" s="90" t="s">
        <v>389</v>
      </c>
      <c r="B3" s="91" t="s">
        <v>390</v>
      </c>
      <c r="C3" s="91" t="s">
        <v>391</v>
      </c>
      <c r="D3" s="91" t="s">
        <v>299</v>
      </c>
      <c r="E3" s="92" t="s">
        <v>265</v>
      </c>
      <c r="F3" s="93">
        <v>74782.350000000006</v>
      </c>
      <c r="G3" s="93"/>
      <c r="H3" s="92" t="s">
        <v>265</v>
      </c>
      <c r="I3" s="94" t="s">
        <v>213</v>
      </c>
      <c r="J3" s="94"/>
      <c r="K3" s="95" t="s">
        <v>214</v>
      </c>
      <c r="L3" s="96">
        <v>74782.350000000006</v>
      </c>
    </row>
    <row r="4" spans="1:12" ht="51" hidden="1" x14ac:dyDescent="0.3">
      <c r="A4" s="90" t="s">
        <v>389</v>
      </c>
      <c r="B4" s="91" t="s">
        <v>390</v>
      </c>
      <c r="C4" s="91" t="s">
        <v>392</v>
      </c>
      <c r="D4" s="91" t="s">
        <v>302</v>
      </c>
      <c r="E4" s="92" t="s">
        <v>265</v>
      </c>
      <c r="F4" s="93">
        <v>33236.6</v>
      </c>
      <c r="G4" s="93"/>
      <c r="H4" s="92" t="s">
        <v>265</v>
      </c>
      <c r="I4" s="94" t="s">
        <v>213</v>
      </c>
      <c r="J4" s="94"/>
      <c r="K4" s="95" t="s">
        <v>214</v>
      </c>
      <c r="L4" s="96">
        <v>108018.95</v>
      </c>
    </row>
    <row r="5" spans="1:12" ht="51" hidden="1" x14ac:dyDescent="0.3">
      <c r="A5" s="90" t="s">
        <v>389</v>
      </c>
      <c r="B5" s="91" t="s">
        <v>390</v>
      </c>
      <c r="C5" s="91" t="s">
        <v>393</v>
      </c>
      <c r="D5" s="91" t="s">
        <v>305</v>
      </c>
      <c r="E5" s="92" t="s">
        <v>265</v>
      </c>
      <c r="F5" s="93">
        <v>41545.75</v>
      </c>
      <c r="G5" s="93"/>
      <c r="H5" s="92" t="s">
        <v>265</v>
      </c>
      <c r="I5" s="94" t="s">
        <v>213</v>
      </c>
      <c r="J5" s="94"/>
      <c r="K5" s="95" t="s">
        <v>214</v>
      </c>
      <c r="L5" s="96">
        <v>149564.70000000001</v>
      </c>
    </row>
    <row r="6" spans="1:12" ht="51" hidden="1" x14ac:dyDescent="0.3">
      <c r="A6" s="90" t="s">
        <v>389</v>
      </c>
      <c r="B6" s="91" t="s">
        <v>390</v>
      </c>
      <c r="C6" s="91" t="s">
        <v>393</v>
      </c>
      <c r="D6" s="91" t="s">
        <v>305</v>
      </c>
      <c r="E6" s="92" t="s">
        <v>265</v>
      </c>
      <c r="F6" s="93">
        <v>33236.6</v>
      </c>
      <c r="G6" s="93"/>
      <c r="H6" s="92" t="s">
        <v>265</v>
      </c>
      <c r="I6" s="94" t="s">
        <v>213</v>
      </c>
      <c r="J6" s="94"/>
      <c r="K6" s="95" t="s">
        <v>214</v>
      </c>
      <c r="L6" s="96">
        <v>182801.3</v>
      </c>
    </row>
    <row r="7" spans="1:12" ht="51" hidden="1" x14ac:dyDescent="0.3">
      <c r="A7" s="90" t="s">
        <v>389</v>
      </c>
      <c r="B7" s="91" t="s">
        <v>390</v>
      </c>
      <c r="C7" s="91" t="s">
        <v>394</v>
      </c>
      <c r="D7" s="91" t="s">
        <v>307</v>
      </c>
      <c r="E7" s="92" t="s">
        <v>265</v>
      </c>
      <c r="F7" s="93">
        <v>41545.75</v>
      </c>
      <c r="G7" s="93"/>
      <c r="H7" s="92" t="s">
        <v>265</v>
      </c>
      <c r="I7" s="94" t="s">
        <v>213</v>
      </c>
      <c r="J7" s="94"/>
      <c r="K7" s="95" t="s">
        <v>214</v>
      </c>
      <c r="L7" s="96">
        <v>224347.05</v>
      </c>
    </row>
    <row r="8" spans="1:12" ht="51" hidden="1" x14ac:dyDescent="0.3">
      <c r="A8" s="90" t="s">
        <v>389</v>
      </c>
      <c r="B8" s="91" t="s">
        <v>390</v>
      </c>
      <c r="C8" s="91" t="s">
        <v>394</v>
      </c>
      <c r="D8" s="91" t="s">
        <v>307</v>
      </c>
      <c r="E8" s="92" t="s">
        <v>265</v>
      </c>
      <c r="F8" s="93">
        <v>33236.6</v>
      </c>
      <c r="G8" s="93"/>
      <c r="H8" s="92" t="s">
        <v>265</v>
      </c>
      <c r="I8" s="94" t="s">
        <v>213</v>
      </c>
      <c r="J8" s="94"/>
      <c r="K8" s="95" t="s">
        <v>214</v>
      </c>
      <c r="L8" s="96">
        <v>257583.65</v>
      </c>
    </row>
    <row r="9" spans="1:12" ht="51" hidden="1" x14ac:dyDescent="0.3">
      <c r="A9" s="90" t="s">
        <v>389</v>
      </c>
      <c r="B9" s="91" t="s">
        <v>390</v>
      </c>
      <c r="C9" s="91" t="s">
        <v>395</v>
      </c>
      <c r="D9" s="91" t="s">
        <v>309</v>
      </c>
      <c r="E9" s="92" t="s">
        <v>265</v>
      </c>
      <c r="F9" s="93">
        <v>41545.75</v>
      </c>
      <c r="G9" s="93"/>
      <c r="H9" s="92" t="s">
        <v>265</v>
      </c>
      <c r="I9" s="94" t="s">
        <v>213</v>
      </c>
      <c r="J9" s="94"/>
      <c r="K9" s="95" t="s">
        <v>214</v>
      </c>
      <c r="L9" s="96">
        <v>299129.40000000002</v>
      </c>
    </row>
    <row r="10" spans="1:12" ht="51" hidden="1" x14ac:dyDescent="0.3">
      <c r="A10" s="90" t="s">
        <v>389</v>
      </c>
      <c r="B10" s="91" t="s">
        <v>390</v>
      </c>
      <c r="C10" s="91" t="s">
        <v>395</v>
      </c>
      <c r="D10" s="91" t="s">
        <v>309</v>
      </c>
      <c r="E10" s="92" t="s">
        <v>265</v>
      </c>
      <c r="F10" s="93">
        <v>33236.6</v>
      </c>
      <c r="G10" s="93"/>
      <c r="H10" s="92" t="s">
        <v>265</v>
      </c>
      <c r="I10" s="94" t="s">
        <v>213</v>
      </c>
      <c r="J10" s="94"/>
      <c r="K10" s="95" t="s">
        <v>214</v>
      </c>
      <c r="L10" s="96">
        <v>332366</v>
      </c>
    </row>
    <row r="11" spans="1:12" ht="51" hidden="1" x14ac:dyDescent="0.3">
      <c r="A11" s="90" t="s">
        <v>389</v>
      </c>
      <c r="B11" s="91" t="s">
        <v>390</v>
      </c>
      <c r="C11" s="91" t="s">
        <v>396</v>
      </c>
      <c r="D11" s="91" t="s">
        <v>311</v>
      </c>
      <c r="E11" s="92" t="s">
        <v>265</v>
      </c>
      <c r="F11" s="93">
        <v>41545.75</v>
      </c>
      <c r="G11" s="93"/>
      <c r="H11" s="92" t="s">
        <v>265</v>
      </c>
      <c r="I11" s="94" t="s">
        <v>213</v>
      </c>
      <c r="J11" s="94"/>
      <c r="K11" s="95" t="s">
        <v>214</v>
      </c>
      <c r="L11" s="96">
        <v>373911.75</v>
      </c>
    </row>
    <row r="12" spans="1:12" ht="51" hidden="1" x14ac:dyDescent="0.3">
      <c r="A12" s="90" t="s">
        <v>389</v>
      </c>
      <c r="B12" s="91" t="s">
        <v>390</v>
      </c>
      <c r="C12" s="91" t="s">
        <v>396</v>
      </c>
      <c r="D12" s="91" t="s">
        <v>311</v>
      </c>
      <c r="E12" s="92" t="s">
        <v>265</v>
      </c>
      <c r="F12" s="93">
        <v>33236.6</v>
      </c>
      <c r="G12" s="93"/>
      <c r="H12" s="92" t="s">
        <v>265</v>
      </c>
      <c r="I12" s="94" t="s">
        <v>213</v>
      </c>
      <c r="J12" s="94"/>
      <c r="K12" s="95" t="s">
        <v>214</v>
      </c>
      <c r="L12" s="96">
        <v>407148.35</v>
      </c>
    </row>
    <row r="13" spans="1:12" ht="51" hidden="1" x14ac:dyDescent="0.3">
      <c r="A13" s="90" t="s">
        <v>389</v>
      </c>
      <c r="B13" s="91" t="s">
        <v>390</v>
      </c>
      <c r="C13" s="91" t="s">
        <v>397</v>
      </c>
      <c r="D13" s="91" t="s">
        <v>313</v>
      </c>
      <c r="E13" s="92" t="s">
        <v>265</v>
      </c>
      <c r="F13" s="93">
        <v>41545.75</v>
      </c>
      <c r="G13" s="93"/>
      <c r="H13" s="92" t="s">
        <v>265</v>
      </c>
      <c r="I13" s="94" t="s">
        <v>213</v>
      </c>
      <c r="J13" s="94"/>
      <c r="K13" s="95" t="s">
        <v>214</v>
      </c>
      <c r="L13" s="96">
        <v>448694.1</v>
      </c>
    </row>
    <row r="14" spans="1:12" ht="51" hidden="1" x14ac:dyDescent="0.3">
      <c r="A14" s="90" t="s">
        <v>389</v>
      </c>
      <c r="B14" s="91" t="s">
        <v>390</v>
      </c>
      <c r="C14" s="91" t="s">
        <v>397</v>
      </c>
      <c r="D14" s="91" t="s">
        <v>313</v>
      </c>
      <c r="E14" s="92" t="s">
        <v>265</v>
      </c>
      <c r="F14" s="93">
        <v>33236.6</v>
      </c>
      <c r="G14" s="93"/>
      <c r="H14" s="92" t="s">
        <v>265</v>
      </c>
      <c r="I14" s="94" t="s">
        <v>213</v>
      </c>
      <c r="J14" s="94"/>
      <c r="K14" s="95" t="s">
        <v>214</v>
      </c>
      <c r="L14" s="96">
        <v>481930.7</v>
      </c>
    </row>
    <row r="15" spans="1:12" ht="51" hidden="1" x14ac:dyDescent="0.3">
      <c r="A15" s="90" t="s">
        <v>389</v>
      </c>
      <c r="B15" s="91" t="s">
        <v>390</v>
      </c>
      <c r="C15" s="91" t="s">
        <v>398</v>
      </c>
      <c r="D15" s="91" t="s">
        <v>315</v>
      </c>
      <c r="E15" s="92" t="s">
        <v>265</v>
      </c>
      <c r="F15" s="93">
        <v>41545.75</v>
      </c>
      <c r="G15" s="93"/>
      <c r="H15" s="92" t="s">
        <v>265</v>
      </c>
      <c r="I15" s="94" t="s">
        <v>213</v>
      </c>
      <c r="J15" s="94"/>
      <c r="K15" s="95" t="s">
        <v>214</v>
      </c>
      <c r="L15" s="96">
        <v>523476.45</v>
      </c>
    </row>
    <row r="16" spans="1:12" ht="51" hidden="1" x14ac:dyDescent="0.3">
      <c r="A16" s="90" t="s">
        <v>389</v>
      </c>
      <c r="B16" s="91" t="s">
        <v>390</v>
      </c>
      <c r="C16" s="91" t="s">
        <v>398</v>
      </c>
      <c r="D16" s="91" t="s">
        <v>315</v>
      </c>
      <c r="E16" s="92" t="s">
        <v>265</v>
      </c>
      <c r="F16" s="93">
        <v>33236.6</v>
      </c>
      <c r="G16" s="93"/>
      <c r="H16" s="92" t="s">
        <v>265</v>
      </c>
      <c r="I16" s="94" t="s">
        <v>213</v>
      </c>
      <c r="J16" s="94"/>
      <c r="K16" s="95" t="s">
        <v>214</v>
      </c>
      <c r="L16" s="96">
        <v>556713.05000000005</v>
      </c>
    </row>
    <row r="17" spans="1:12" ht="51" hidden="1" x14ac:dyDescent="0.3">
      <c r="A17" s="90" t="s">
        <v>389</v>
      </c>
      <c r="B17" s="91" t="s">
        <v>390</v>
      </c>
      <c r="C17" s="91" t="s">
        <v>399</v>
      </c>
      <c r="D17" s="91" t="s">
        <v>318</v>
      </c>
      <c r="E17" s="92" t="s">
        <v>265</v>
      </c>
      <c r="F17" s="93">
        <v>41545.75</v>
      </c>
      <c r="G17" s="93"/>
      <c r="H17" s="92" t="s">
        <v>265</v>
      </c>
      <c r="I17" s="94" t="s">
        <v>213</v>
      </c>
      <c r="J17" s="94"/>
      <c r="K17" s="95" t="s">
        <v>214</v>
      </c>
      <c r="L17" s="96">
        <v>598258.80000000005</v>
      </c>
    </row>
    <row r="18" spans="1:12" ht="51" hidden="1" x14ac:dyDescent="0.3">
      <c r="A18" s="90" t="s">
        <v>389</v>
      </c>
      <c r="B18" s="91" t="s">
        <v>390</v>
      </c>
      <c r="C18" s="91" t="s">
        <v>399</v>
      </c>
      <c r="D18" s="91" t="s">
        <v>318</v>
      </c>
      <c r="E18" s="92" t="s">
        <v>265</v>
      </c>
      <c r="F18" s="93">
        <v>33236.6</v>
      </c>
      <c r="G18" s="93"/>
      <c r="H18" s="92" t="s">
        <v>265</v>
      </c>
      <c r="I18" s="94" t="s">
        <v>213</v>
      </c>
      <c r="J18" s="94"/>
      <c r="K18" s="95" t="s">
        <v>214</v>
      </c>
      <c r="L18" s="96">
        <v>631495.4</v>
      </c>
    </row>
    <row r="19" spans="1:12" ht="51" hidden="1" x14ac:dyDescent="0.3">
      <c r="A19" s="90" t="s">
        <v>389</v>
      </c>
      <c r="B19" s="91" t="s">
        <v>390</v>
      </c>
      <c r="C19" s="91" t="s">
        <v>400</v>
      </c>
      <c r="D19" s="91" t="s">
        <v>320</v>
      </c>
      <c r="E19" s="92" t="s">
        <v>265</v>
      </c>
      <c r="F19" s="93">
        <v>41545.75</v>
      </c>
      <c r="G19" s="93"/>
      <c r="H19" s="92" t="s">
        <v>265</v>
      </c>
      <c r="I19" s="94" t="s">
        <v>213</v>
      </c>
      <c r="J19" s="94"/>
      <c r="K19" s="95" t="s">
        <v>214</v>
      </c>
      <c r="L19" s="96">
        <v>673041.15</v>
      </c>
    </row>
    <row r="20" spans="1:12" ht="51" hidden="1" x14ac:dyDescent="0.3">
      <c r="A20" s="90" t="s">
        <v>389</v>
      </c>
      <c r="B20" s="91" t="s">
        <v>390</v>
      </c>
      <c r="C20" s="91" t="s">
        <v>400</v>
      </c>
      <c r="D20" s="91" t="s">
        <v>320</v>
      </c>
      <c r="E20" s="92" t="s">
        <v>265</v>
      </c>
      <c r="F20" s="93">
        <v>33236.6</v>
      </c>
      <c r="G20" s="93"/>
      <c r="H20" s="92" t="s">
        <v>265</v>
      </c>
      <c r="I20" s="94" t="s">
        <v>213</v>
      </c>
      <c r="J20" s="94"/>
      <c r="K20" s="95" t="s">
        <v>214</v>
      </c>
      <c r="L20" s="96">
        <v>706277.75</v>
      </c>
    </row>
    <row r="21" spans="1:12" ht="51" hidden="1" x14ac:dyDescent="0.3">
      <c r="A21" s="90" t="s">
        <v>389</v>
      </c>
      <c r="B21" s="91" t="s">
        <v>390</v>
      </c>
      <c r="C21" s="91" t="s">
        <v>401</v>
      </c>
      <c r="D21" s="91" t="s">
        <v>323</v>
      </c>
      <c r="E21" s="92" t="s">
        <v>265</v>
      </c>
      <c r="F21" s="93">
        <v>41545.75</v>
      </c>
      <c r="G21" s="93"/>
      <c r="H21" s="92" t="s">
        <v>265</v>
      </c>
      <c r="I21" s="94" t="s">
        <v>213</v>
      </c>
      <c r="J21" s="94"/>
      <c r="K21" s="95" t="s">
        <v>214</v>
      </c>
      <c r="L21" s="96">
        <v>747823.5</v>
      </c>
    </row>
    <row r="22" spans="1:12" ht="51" hidden="1" x14ac:dyDescent="0.3">
      <c r="A22" s="90" t="s">
        <v>389</v>
      </c>
      <c r="B22" s="91" t="s">
        <v>390</v>
      </c>
      <c r="C22" s="91" t="s">
        <v>401</v>
      </c>
      <c r="D22" s="91" t="s">
        <v>323</v>
      </c>
      <c r="E22" s="92" t="s">
        <v>265</v>
      </c>
      <c r="F22" s="93">
        <v>33236.6</v>
      </c>
      <c r="G22" s="93"/>
      <c r="H22" s="92" t="s">
        <v>265</v>
      </c>
      <c r="I22" s="94" t="s">
        <v>213</v>
      </c>
      <c r="J22" s="94"/>
      <c r="K22" s="95" t="s">
        <v>214</v>
      </c>
      <c r="L22" s="96">
        <v>781060.1</v>
      </c>
    </row>
    <row r="23" spans="1:12" ht="51" hidden="1" x14ac:dyDescent="0.3">
      <c r="A23" s="90" t="s">
        <v>389</v>
      </c>
      <c r="B23" s="91" t="s">
        <v>390</v>
      </c>
      <c r="C23" s="91" t="s">
        <v>402</v>
      </c>
      <c r="D23" s="91" t="s">
        <v>303</v>
      </c>
      <c r="E23" s="92" t="s">
        <v>265</v>
      </c>
      <c r="F23" s="93">
        <v>45337.5</v>
      </c>
      <c r="G23" s="93"/>
      <c r="H23" s="92" t="s">
        <v>265</v>
      </c>
      <c r="I23" s="94" t="s">
        <v>213</v>
      </c>
      <c r="J23" s="94"/>
      <c r="K23" s="95" t="s">
        <v>214</v>
      </c>
      <c r="L23" s="96">
        <v>826397.6</v>
      </c>
    </row>
    <row r="24" spans="1:12" ht="51" hidden="1" x14ac:dyDescent="0.3">
      <c r="A24" s="90" t="s">
        <v>242</v>
      </c>
      <c r="B24" s="91" t="s">
        <v>499</v>
      </c>
      <c r="C24" s="91" t="s">
        <v>500</v>
      </c>
      <c r="D24" s="91" t="s">
        <v>329</v>
      </c>
      <c r="E24" s="92" t="s">
        <v>265</v>
      </c>
      <c r="F24" s="93">
        <v>74782.350000000006</v>
      </c>
      <c r="G24" s="93"/>
      <c r="H24" s="92" t="s">
        <v>265</v>
      </c>
      <c r="I24" s="94" t="s">
        <v>213</v>
      </c>
      <c r="J24" s="94"/>
      <c r="K24" s="95" t="s">
        <v>214</v>
      </c>
      <c r="L24" s="96">
        <v>901179.95</v>
      </c>
    </row>
    <row r="25" spans="1:12" ht="51" hidden="1" x14ac:dyDescent="0.3">
      <c r="A25" s="90" t="s">
        <v>242</v>
      </c>
      <c r="B25" s="91" t="s">
        <v>499</v>
      </c>
      <c r="C25" s="91" t="s">
        <v>501</v>
      </c>
      <c r="D25" s="91" t="s">
        <v>331</v>
      </c>
      <c r="E25" s="92" t="s">
        <v>265</v>
      </c>
      <c r="F25" s="93">
        <v>74782.350000000006</v>
      </c>
      <c r="G25" s="93"/>
      <c r="H25" s="92" t="s">
        <v>265</v>
      </c>
      <c r="I25" s="94" t="s">
        <v>213</v>
      </c>
      <c r="J25" s="94"/>
      <c r="K25" s="95" t="s">
        <v>214</v>
      </c>
      <c r="L25" s="96">
        <v>975962.3</v>
      </c>
    </row>
    <row r="26" spans="1:12" ht="51" hidden="1" x14ac:dyDescent="0.3">
      <c r="A26" s="90" t="s">
        <v>242</v>
      </c>
      <c r="B26" s="91" t="s">
        <v>499</v>
      </c>
      <c r="C26" s="91" t="s">
        <v>502</v>
      </c>
      <c r="D26" s="91" t="s">
        <v>333</v>
      </c>
      <c r="E26" s="92" t="s">
        <v>265</v>
      </c>
      <c r="F26" s="93">
        <v>33236.6</v>
      </c>
      <c r="G26" s="93"/>
      <c r="H26" s="92" t="s">
        <v>265</v>
      </c>
      <c r="I26" s="94" t="s">
        <v>213</v>
      </c>
      <c r="J26" s="94"/>
      <c r="K26" s="95" t="s">
        <v>214</v>
      </c>
      <c r="L26" s="96">
        <v>1009198.9</v>
      </c>
    </row>
    <row r="27" spans="1:12" ht="51" hidden="1" x14ac:dyDescent="0.3">
      <c r="A27" s="90" t="s">
        <v>242</v>
      </c>
      <c r="B27" s="91" t="s">
        <v>499</v>
      </c>
      <c r="C27" s="91" t="s">
        <v>502</v>
      </c>
      <c r="D27" s="91" t="s">
        <v>333</v>
      </c>
      <c r="E27" s="92" t="s">
        <v>265</v>
      </c>
      <c r="F27" s="93">
        <v>41545.75</v>
      </c>
      <c r="G27" s="93"/>
      <c r="H27" s="92" t="s">
        <v>265</v>
      </c>
      <c r="I27" s="94" t="s">
        <v>213</v>
      </c>
      <c r="J27" s="94"/>
      <c r="K27" s="95" t="s">
        <v>214</v>
      </c>
      <c r="L27" s="96">
        <v>1050744.6499999999</v>
      </c>
    </row>
    <row r="28" spans="1:12" ht="51" hidden="1" x14ac:dyDescent="0.3">
      <c r="A28" s="90" t="s">
        <v>242</v>
      </c>
      <c r="B28" s="91" t="s">
        <v>499</v>
      </c>
      <c r="C28" s="91" t="s">
        <v>503</v>
      </c>
      <c r="D28" s="91" t="s">
        <v>336</v>
      </c>
      <c r="E28" s="92" t="s">
        <v>265</v>
      </c>
      <c r="F28" s="93">
        <v>33236.6</v>
      </c>
      <c r="G28" s="93"/>
      <c r="H28" s="92" t="s">
        <v>265</v>
      </c>
      <c r="I28" s="94" t="s">
        <v>213</v>
      </c>
      <c r="J28" s="94"/>
      <c r="K28" s="95" t="s">
        <v>214</v>
      </c>
      <c r="L28" s="96">
        <v>1083981.25</v>
      </c>
    </row>
    <row r="29" spans="1:12" ht="51" hidden="1" x14ac:dyDescent="0.3">
      <c r="A29" s="90" t="s">
        <v>242</v>
      </c>
      <c r="B29" s="91" t="s">
        <v>499</v>
      </c>
      <c r="C29" s="91" t="s">
        <v>503</v>
      </c>
      <c r="D29" s="91" t="s">
        <v>336</v>
      </c>
      <c r="E29" s="92" t="s">
        <v>265</v>
      </c>
      <c r="F29" s="93">
        <v>41545.75</v>
      </c>
      <c r="G29" s="93"/>
      <c r="H29" s="92" t="s">
        <v>265</v>
      </c>
      <c r="I29" s="94" t="s">
        <v>213</v>
      </c>
      <c r="J29" s="94"/>
      <c r="K29" s="95" t="s">
        <v>214</v>
      </c>
      <c r="L29" s="96">
        <v>1125527</v>
      </c>
    </row>
    <row r="30" spans="1:12" ht="51" hidden="1" x14ac:dyDescent="0.3">
      <c r="A30" s="90" t="s">
        <v>242</v>
      </c>
      <c r="B30" s="91" t="s">
        <v>499</v>
      </c>
      <c r="C30" s="91" t="s">
        <v>504</v>
      </c>
      <c r="D30" s="91" t="s">
        <v>338</v>
      </c>
      <c r="E30" s="92" t="s">
        <v>265</v>
      </c>
      <c r="F30" s="93">
        <v>33236.6</v>
      </c>
      <c r="G30" s="93"/>
      <c r="H30" s="92" t="s">
        <v>265</v>
      </c>
      <c r="I30" s="94" t="s">
        <v>213</v>
      </c>
      <c r="J30" s="94"/>
      <c r="K30" s="95" t="s">
        <v>214</v>
      </c>
      <c r="L30" s="96">
        <v>1158763.6000000001</v>
      </c>
    </row>
    <row r="31" spans="1:12" ht="51" hidden="1" x14ac:dyDescent="0.3">
      <c r="A31" s="90" t="s">
        <v>242</v>
      </c>
      <c r="B31" s="91" t="s">
        <v>499</v>
      </c>
      <c r="C31" s="91" t="s">
        <v>504</v>
      </c>
      <c r="D31" s="91" t="s">
        <v>338</v>
      </c>
      <c r="E31" s="92" t="s">
        <v>265</v>
      </c>
      <c r="F31" s="93">
        <v>41545.75</v>
      </c>
      <c r="G31" s="93"/>
      <c r="H31" s="92" t="s">
        <v>265</v>
      </c>
      <c r="I31" s="94" t="s">
        <v>213</v>
      </c>
      <c r="J31" s="94"/>
      <c r="K31" s="95" t="s">
        <v>214</v>
      </c>
      <c r="L31" s="96">
        <v>1200309.3500000001</v>
      </c>
    </row>
    <row r="32" spans="1:12" ht="51" hidden="1" x14ac:dyDescent="0.3">
      <c r="A32" s="90" t="s">
        <v>242</v>
      </c>
      <c r="B32" s="91" t="s">
        <v>499</v>
      </c>
      <c r="C32" s="91" t="s">
        <v>505</v>
      </c>
      <c r="D32" s="91" t="s">
        <v>341</v>
      </c>
      <c r="E32" s="92" t="s">
        <v>265</v>
      </c>
      <c r="F32" s="93">
        <v>33236.6</v>
      </c>
      <c r="G32" s="93"/>
      <c r="H32" s="92" t="s">
        <v>265</v>
      </c>
      <c r="I32" s="94" t="s">
        <v>213</v>
      </c>
      <c r="J32" s="94"/>
      <c r="K32" s="95" t="s">
        <v>214</v>
      </c>
      <c r="L32" s="96">
        <v>1233545.95</v>
      </c>
    </row>
    <row r="33" spans="1:12" ht="51" hidden="1" x14ac:dyDescent="0.3">
      <c r="A33" s="90" t="s">
        <v>242</v>
      </c>
      <c r="B33" s="91" t="s">
        <v>499</v>
      </c>
      <c r="C33" s="91" t="s">
        <v>505</v>
      </c>
      <c r="D33" s="91" t="s">
        <v>341</v>
      </c>
      <c r="E33" s="92" t="s">
        <v>265</v>
      </c>
      <c r="F33" s="93">
        <v>41545.75</v>
      </c>
      <c r="G33" s="93"/>
      <c r="H33" s="92" t="s">
        <v>265</v>
      </c>
      <c r="I33" s="94" t="s">
        <v>213</v>
      </c>
      <c r="J33" s="94"/>
      <c r="K33" s="95" t="s">
        <v>214</v>
      </c>
      <c r="L33" s="96">
        <v>1275091.7</v>
      </c>
    </row>
    <row r="34" spans="1:12" ht="51" hidden="1" x14ac:dyDescent="0.3">
      <c r="A34" s="90" t="s">
        <v>242</v>
      </c>
      <c r="B34" s="91" t="s">
        <v>499</v>
      </c>
      <c r="C34" s="91" t="s">
        <v>506</v>
      </c>
      <c r="D34" s="91" t="s">
        <v>343</v>
      </c>
      <c r="E34" s="92" t="s">
        <v>265</v>
      </c>
      <c r="F34" s="93">
        <v>33236.6</v>
      </c>
      <c r="G34" s="93"/>
      <c r="H34" s="92" t="s">
        <v>265</v>
      </c>
      <c r="I34" s="94" t="s">
        <v>213</v>
      </c>
      <c r="J34" s="94"/>
      <c r="K34" s="95" t="s">
        <v>214</v>
      </c>
      <c r="L34" s="96">
        <v>1308328.3</v>
      </c>
    </row>
    <row r="35" spans="1:12" ht="51" hidden="1" x14ac:dyDescent="0.3">
      <c r="A35" s="90" t="s">
        <v>242</v>
      </c>
      <c r="B35" s="91" t="s">
        <v>499</v>
      </c>
      <c r="C35" s="91" t="s">
        <v>506</v>
      </c>
      <c r="D35" s="91" t="s">
        <v>343</v>
      </c>
      <c r="E35" s="92" t="s">
        <v>265</v>
      </c>
      <c r="F35" s="93">
        <v>41545.75</v>
      </c>
      <c r="G35" s="93"/>
      <c r="H35" s="92" t="s">
        <v>265</v>
      </c>
      <c r="I35" s="94" t="s">
        <v>213</v>
      </c>
      <c r="J35" s="94"/>
      <c r="K35" s="95" t="s">
        <v>214</v>
      </c>
      <c r="L35" s="96">
        <v>1349874.05</v>
      </c>
    </row>
    <row r="36" spans="1:12" ht="51" hidden="1" x14ac:dyDescent="0.3">
      <c r="A36" s="90" t="s">
        <v>242</v>
      </c>
      <c r="B36" s="91" t="s">
        <v>499</v>
      </c>
      <c r="C36" s="91" t="s">
        <v>507</v>
      </c>
      <c r="D36" s="91" t="s">
        <v>347</v>
      </c>
      <c r="E36" s="92" t="s">
        <v>265</v>
      </c>
      <c r="F36" s="93">
        <v>33236.6</v>
      </c>
      <c r="G36" s="93"/>
      <c r="H36" s="92" t="s">
        <v>265</v>
      </c>
      <c r="I36" s="94" t="s">
        <v>213</v>
      </c>
      <c r="J36" s="94"/>
      <c r="K36" s="95" t="s">
        <v>214</v>
      </c>
      <c r="L36" s="96">
        <v>1383110.65</v>
      </c>
    </row>
    <row r="37" spans="1:12" ht="51" hidden="1" x14ac:dyDescent="0.3">
      <c r="A37" s="90" t="s">
        <v>242</v>
      </c>
      <c r="B37" s="91" t="s">
        <v>499</v>
      </c>
      <c r="C37" s="91" t="s">
        <v>507</v>
      </c>
      <c r="D37" s="91" t="s">
        <v>347</v>
      </c>
      <c r="E37" s="92" t="s">
        <v>265</v>
      </c>
      <c r="F37" s="93">
        <v>41545.75</v>
      </c>
      <c r="G37" s="93"/>
      <c r="H37" s="92" t="s">
        <v>265</v>
      </c>
      <c r="I37" s="94" t="s">
        <v>213</v>
      </c>
      <c r="J37" s="94"/>
      <c r="K37" s="95" t="s">
        <v>214</v>
      </c>
      <c r="L37" s="96">
        <v>1424656.4</v>
      </c>
    </row>
    <row r="38" spans="1:12" ht="51" hidden="1" x14ac:dyDescent="0.3">
      <c r="A38" s="90" t="s">
        <v>242</v>
      </c>
      <c r="B38" s="91" t="s">
        <v>499</v>
      </c>
      <c r="C38" s="91" t="s">
        <v>508</v>
      </c>
      <c r="D38" s="91" t="s">
        <v>349</v>
      </c>
      <c r="E38" s="92" t="s">
        <v>265</v>
      </c>
      <c r="F38" s="93">
        <v>33236.6</v>
      </c>
      <c r="G38" s="93"/>
      <c r="H38" s="92" t="s">
        <v>265</v>
      </c>
      <c r="I38" s="94" t="s">
        <v>213</v>
      </c>
      <c r="J38" s="94"/>
      <c r="K38" s="95" t="s">
        <v>214</v>
      </c>
      <c r="L38" s="96">
        <v>1457893</v>
      </c>
    </row>
    <row r="39" spans="1:12" ht="51" hidden="1" x14ac:dyDescent="0.3">
      <c r="A39" s="90" t="s">
        <v>242</v>
      </c>
      <c r="B39" s="91" t="s">
        <v>499</v>
      </c>
      <c r="C39" s="91" t="s">
        <v>508</v>
      </c>
      <c r="D39" s="91" t="s">
        <v>349</v>
      </c>
      <c r="E39" s="92" t="s">
        <v>265</v>
      </c>
      <c r="F39" s="93">
        <v>33236.6</v>
      </c>
      <c r="G39" s="93"/>
      <c r="H39" s="92" t="s">
        <v>265</v>
      </c>
      <c r="I39" s="94" t="s">
        <v>213</v>
      </c>
      <c r="J39" s="94"/>
      <c r="K39" s="95" t="s">
        <v>214</v>
      </c>
      <c r="L39" s="96">
        <v>1491129.6</v>
      </c>
    </row>
    <row r="40" spans="1:12" ht="51" hidden="1" x14ac:dyDescent="0.3">
      <c r="A40" s="90" t="s">
        <v>242</v>
      </c>
      <c r="B40" s="91" t="s">
        <v>499</v>
      </c>
      <c r="C40" s="91" t="s">
        <v>508</v>
      </c>
      <c r="D40" s="91" t="s">
        <v>349</v>
      </c>
      <c r="E40" s="92" t="s">
        <v>265</v>
      </c>
      <c r="F40" s="93">
        <v>8309.15</v>
      </c>
      <c r="G40" s="93"/>
      <c r="H40" s="92" t="s">
        <v>265</v>
      </c>
      <c r="I40" s="94" t="s">
        <v>213</v>
      </c>
      <c r="J40" s="94"/>
      <c r="K40" s="95" t="s">
        <v>214</v>
      </c>
      <c r="L40" s="96">
        <v>1499438.75</v>
      </c>
    </row>
    <row r="41" spans="1:12" ht="51" hidden="1" x14ac:dyDescent="0.3">
      <c r="A41" s="90" t="s">
        <v>242</v>
      </c>
      <c r="B41" s="91" t="s">
        <v>499</v>
      </c>
      <c r="C41" s="91" t="s">
        <v>509</v>
      </c>
      <c r="D41" s="91" t="s">
        <v>351</v>
      </c>
      <c r="E41" s="92" t="s">
        <v>265</v>
      </c>
      <c r="F41" s="93">
        <v>66473.2</v>
      </c>
      <c r="G41" s="93"/>
      <c r="H41" s="92" t="s">
        <v>265</v>
      </c>
      <c r="I41" s="94" t="s">
        <v>213</v>
      </c>
      <c r="J41" s="94"/>
      <c r="K41" s="95" t="s">
        <v>214</v>
      </c>
      <c r="L41" s="96">
        <v>1565911.95</v>
      </c>
    </row>
    <row r="42" spans="1:12" ht="51" hidden="1" x14ac:dyDescent="0.3">
      <c r="A42" s="90" t="s">
        <v>242</v>
      </c>
      <c r="B42" s="91" t="s">
        <v>499</v>
      </c>
      <c r="C42" s="91" t="s">
        <v>509</v>
      </c>
      <c r="D42" s="91" t="s">
        <v>351</v>
      </c>
      <c r="E42" s="92" t="s">
        <v>265</v>
      </c>
      <c r="F42" s="93">
        <v>8309.15</v>
      </c>
      <c r="G42" s="93"/>
      <c r="H42" s="92" t="s">
        <v>265</v>
      </c>
      <c r="I42" s="94" t="s">
        <v>213</v>
      </c>
      <c r="J42" s="94"/>
      <c r="K42" s="95" t="s">
        <v>214</v>
      </c>
      <c r="L42" s="96">
        <v>1574221.1</v>
      </c>
    </row>
    <row r="43" spans="1:12" ht="51" hidden="1" x14ac:dyDescent="0.3">
      <c r="A43" s="90" t="s">
        <v>242</v>
      </c>
      <c r="B43" s="91" t="s">
        <v>499</v>
      </c>
      <c r="C43" s="91" t="s">
        <v>510</v>
      </c>
      <c r="D43" s="91" t="s">
        <v>378</v>
      </c>
      <c r="E43" s="92" t="s">
        <v>265</v>
      </c>
      <c r="F43" s="93">
        <v>16618.3</v>
      </c>
      <c r="G43" s="93"/>
      <c r="H43" s="92" t="s">
        <v>265</v>
      </c>
      <c r="I43" s="94" t="s">
        <v>213</v>
      </c>
      <c r="J43" s="94"/>
      <c r="K43" s="95" t="s">
        <v>214</v>
      </c>
      <c r="L43" s="96">
        <v>1590839.4</v>
      </c>
    </row>
    <row r="44" spans="1:12" ht="51" hidden="1" x14ac:dyDescent="0.3">
      <c r="A44" s="90" t="s">
        <v>242</v>
      </c>
      <c r="B44" s="91" t="s">
        <v>499</v>
      </c>
      <c r="C44" s="91" t="s">
        <v>511</v>
      </c>
      <c r="D44" s="91" t="s">
        <v>345</v>
      </c>
      <c r="E44" s="92" t="s">
        <v>265</v>
      </c>
      <c r="F44" s="93">
        <v>75100</v>
      </c>
      <c r="G44" s="93"/>
      <c r="H44" s="92" t="s">
        <v>265</v>
      </c>
      <c r="I44" s="94" t="s">
        <v>213</v>
      </c>
      <c r="J44" s="94"/>
      <c r="K44" s="95" t="s">
        <v>214</v>
      </c>
      <c r="L44" s="96">
        <v>1665939.4</v>
      </c>
    </row>
    <row r="45" spans="1:12" ht="51" hidden="1" x14ac:dyDescent="0.3">
      <c r="A45" s="90" t="s">
        <v>242</v>
      </c>
      <c r="B45" s="91" t="s">
        <v>499</v>
      </c>
      <c r="C45" s="91" t="s">
        <v>512</v>
      </c>
      <c r="D45" s="91" t="s">
        <v>354</v>
      </c>
      <c r="E45" s="92" t="s">
        <v>265</v>
      </c>
      <c r="F45" s="93">
        <v>75100</v>
      </c>
      <c r="G45" s="93"/>
      <c r="H45" s="92" t="s">
        <v>265</v>
      </c>
      <c r="I45" s="94" t="s">
        <v>213</v>
      </c>
      <c r="J45" s="94"/>
      <c r="K45" s="95" t="s">
        <v>214</v>
      </c>
      <c r="L45" s="96">
        <v>1741039.4</v>
      </c>
    </row>
    <row r="46" spans="1:12" ht="51" hidden="1" x14ac:dyDescent="0.3">
      <c r="A46" s="90" t="s">
        <v>242</v>
      </c>
      <c r="B46" s="91" t="s">
        <v>499</v>
      </c>
      <c r="C46" s="91" t="s">
        <v>513</v>
      </c>
      <c r="D46" s="91" t="s">
        <v>358</v>
      </c>
      <c r="E46" s="92" t="s">
        <v>265</v>
      </c>
      <c r="F46" s="93">
        <v>75100</v>
      </c>
      <c r="G46" s="93"/>
      <c r="H46" s="92" t="s">
        <v>265</v>
      </c>
      <c r="I46" s="94" t="s">
        <v>213</v>
      </c>
      <c r="J46" s="94"/>
      <c r="K46" s="95" t="s">
        <v>214</v>
      </c>
      <c r="L46" s="96">
        <v>1816139.4</v>
      </c>
    </row>
    <row r="47" spans="1:12" ht="51" hidden="1" x14ac:dyDescent="0.3">
      <c r="A47" s="90" t="s">
        <v>242</v>
      </c>
      <c r="B47" s="91" t="s">
        <v>499</v>
      </c>
      <c r="C47" s="91" t="s">
        <v>514</v>
      </c>
      <c r="D47" s="91" t="s">
        <v>361</v>
      </c>
      <c r="E47" s="92" t="s">
        <v>265</v>
      </c>
      <c r="F47" s="93">
        <v>75100</v>
      </c>
      <c r="G47" s="93"/>
      <c r="H47" s="92" t="s">
        <v>265</v>
      </c>
      <c r="I47" s="94" t="s">
        <v>213</v>
      </c>
      <c r="J47" s="94"/>
      <c r="K47" s="95" t="s">
        <v>214</v>
      </c>
      <c r="L47" s="96">
        <v>1891239.4</v>
      </c>
    </row>
    <row r="48" spans="1:12" ht="51" hidden="1" x14ac:dyDescent="0.3">
      <c r="A48" s="90" t="s">
        <v>242</v>
      </c>
      <c r="B48" s="91" t="s">
        <v>499</v>
      </c>
      <c r="C48" s="91" t="s">
        <v>515</v>
      </c>
      <c r="D48" s="91" t="s">
        <v>365</v>
      </c>
      <c r="E48" s="92" t="s">
        <v>265</v>
      </c>
      <c r="F48" s="93">
        <v>75100</v>
      </c>
      <c r="G48" s="93"/>
      <c r="H48" s="92" t="s">
        <v>265</v>
      </c>
      <c r="I48" s="94" t="s">
        <v>213</v>
      </c>
      <c r="J48" s="94"/>
      <c r="K48" s="95" t="s">
        <v>214</v>
      </c>
      <c r="L48" s="96">
        <v>1966339.4</v>
      </c>
    </row>
    <row r="49" spans="1:12" ht="51" hidden="1" x14ac:dyDescent="0.3">
      <c r="A49" s="90" t="s">
        <v>242</v>
      </c>
      <c r="B49" s="91" t="s">
        <v>499</v>
      </c>
      <c r="C49" s="91" t="s">
        <v>516</v>
      </c>
      <c r="D49" s="91" t="s">
        <v>368</v>
      </c>
      <c r="E49" s="92" t="s">
        <v>265</v>
      </c>
      <c r="F49" s="93">
        <v>75100</v>
      </c>
      <c r="G49" s="93"/>
      <c r="H49" s="92" t="s">
        <v>265</v>
      </c>
      <c r="I49" s="94" t="s">
        <v>213</v>
      </c>
      <c r="J49" s="94"/>
      <c r="K49" s="95" t="s">
        <v>214</v>
      </c>
      <c r="L49" s="96">
        <v>2041439.4</v>
      </c>
    </row>
    <row r="50" spans="1:12" ht="51" hidden="1" x14ac:dyDescent="0.3">
      <c r="A50" s="90" t="s">
        <v>242</v>
      </c>
      <c r="B50" s="91" t="s">
        <v>499</v>
      </c>
      <c r="C50" s="91" t="s">
        <v>517</v>
      </c>
      <c r="D50" s="91" t="s">
        <v>370</v>
      </c>
      <c r="E50" s="92" t="s">
        <v>265</v>
      </c>
      <c r="F50" s="93">
        <v>52570</v>
      </c>
      <c r="G50" s="93"/>
      <c r="H50" s="92" t="s">
        <v>265</v>
      </c>
      <c r="I50" s="94" t="s">
        <v>213</v>
      </c>
      <c r="J50" s="94"/>
      <c r="K50" s="95" t="s">
        <v>214</v>
      </c>
      <c r="L50" s="96">
        <v>2094009.4</v>
      </c>
    </row>
    <row r="51" spans="1:12" ht="51" hidden="1" x14ac:dyDescent="0.3">
      <c r="A51" s="90" t="s">
        <v>242</v>
      </c>
      <c r="B51" s="91" t="s">
        <v>499</v>
      </c>
      <c r="C51" s="91" t="s">
        <v>518</v>
      </c>
      <c r="D51" s="91" t="s">
        <v>373</v>
      </c>
      <c r="E51" s="92" t="s">
        <v>265</v>
      </c>
      <c r="F51" s="93">
        <v>22530</v>
      </c>
      <c r="G51" s="93"/>
      <c r="H51" s="92" t="s">
        <v>265</v>
      </c>
      <c r="I51" s="94" t="s">
        <v>213</v>
      </c>
      <c r="J51" s="94"/>
      <c r="K51" s="95" t="s">
        <v>214</v>
      </c>
      <c r="L51" s="96">
        <v>2116539.4</v>
      </c>
    </row>
    <row r="52" spans="1:12" ht="51" hidden="1" x14ac:dyDescent="0.3">
      <c r="A52" s="90" t="s">
        <v>242</v>
      </c>
      <c r="B52" s="91" t="s">
        <v>499</v>
      </c>
      <c r="C52" s="91" t="s">
        <v>518</v>
      </c>
      <c r="D52" s="91" t="s">
        <v>373</v>
      </c>
      <c r="E52" s="92" t="s">
        <v>265</v>
      </c>
      <c r="F52" s="93">
        <v>52570</v>
      </c>
      <c r="G52" s="93"/>
      <c r="H52" s="92" t="s">
        <v>265</v>
      </c>
      <c r="I52" s="94" t="s">
        <v>213</v>
      </c>
      <c r="J52" s="94"/>
      <c r="K52" s="95" t="s">
        <v>214</v>
      </c>
      <c r="L52" s="96">
        <v>2169109.4</v>
      </c>
    </row>
    <row r="53" spans="1:12" ht="51" hidden="1" x14ac:dyDescent="0.3">
      <c r="A53" s="90" t="s">
        <v>242</v>
      </c>
      <c r="B53" s="91" t="s">
        <v>499</v>
      </c>
      <c r="C53" s="91" t="s">
        <v>519</v>
      </c>
      <c r="D53" s="91" t="s">
        <v>375</v>
      </c>
      <c r="E53" s="92" t="s">
        <v>265</v>
      </c>
      <c r="F53" s="93">
        <v>22530</v>
      </c>
      <c r="G53" s="93"/>
      <c r="H53" s="92" t="s">
        <v>265</v>
      </c>
      <c r="I53" s="94" t="s">
        <v>213</v>
      </c>
      <c r="J53" s="94"/>
      <c r="K53" s="95" t="s">
        <v>214</v>
      </c>
      <c r="L53" s="96">
        <v>2191639.4</v>
      </c>
    </row>
    <row r="54" spans="1:12" ht="51" hidden="1" x14ac:dyDescent="0.3">
      <c r="A54" s="90" t="s">
        <v>242</v>
      </c>
      <c r="B54" s="91" t="s">
        <v>499</v>
      </c>
      <c r="C54" s="91" t="s">
        <v>519</v>
      </c>
      <c r="D54" s="91" t="s">
        <v>375</v>
      </c>
      <c r="E54" s="92" t="s">
        <v>265</v>
      </c>
      <c r="F54" s="93">
        <v>52570</v>
      </c>
      <c r="G54" s="93"/>
      <c r="H54" s="92" t="s">
        <v>265</v>
      </c>
      <c r="I54" s="94" t="s">
        <v>213</v>
      </c>
      <c r="J54" s="94"/>
      <c r="K54" s="95" t="s">
        <v>214</v>
      </c>
      <c r="L54" s="96">
        <v>2244209.4</v>
      </c>
    </row>
    <row r="55" spans="1:12" ht="51" hidden="1" x14ac:dyDescent="0.3">
      <c r="A55" s="90" t="s">
        <v>242</v>
      </c>
      <c r="B55" s="91" t="s">
        <v>499</v>
      </c>
      <c r="C55" s="91" t="s">
        <v>520</v>
      </c>
      <c r="D55" s="91" t="s">
        <v>380</v>
      </c>
      <c r="E55" s="92" t="s">
        <v>265</v>
      </c>
      <c r="F55" s="93">
        <v>22530</v>
      </c>
      <c r="G55" s="93"/>
      <c r="H55" s="92" t="s">
        <v>265</v>
      </c>
      <c r="I55" s="94" t="s">
        <v>213</v>
      </c>
      <c r="J55" s="94"/>
      <c r="K55" s="95" t="s">
        <v>214</v>
      </c>
      <c r="L55" s="96">
        <v>2266739.4</v>
      </c>
    </row>
    <row r="56" spans="1:12" ht="51" hidden="1" x14ac:dyDescent="0.3">
      <c r="A56" s="90" t="s">
        <v>242</v>
      </c>
      <c r="B56" s="91" t="s">
        <v>499</v>
      </c>
      <c r="C56" s="91" t="s">
        <v>520</v>
      </c>
      <c r="D56" s="91" t="s">
        <v>380</v>
      </c>
      <c r="E56" s="92" t="s">
        <v>265</v>
      </c>
      <c r="F56" s="93">
        <v>37550</v>
      </c>
      <c r="G56" s="93"/>
      <c r="H56" s="92" t="s">
        <v>265</v>
      </c>
      <c r="I56" s="94" t="s">
        <v>213</v>
      </c>
      <c r="J56" s="94"/>
      <c r="K56" s="95" t="s">
        <v>214</v>
      </c>
      <c r="L56" s="96">
        <v>2304289.4</v>
      </c>
    </row>
    <row r="57" spans="1:12" ht="51" hidden="1" x14ac:dyDescent="0.3">
      <c r="A57" s="90" t="s">
        <v>243</v>
      </c>
      <c r="B57" s="91" t="s">
        <v>544</v>
      </c>
      <c r="C57" s="91" t="s">
        <v>545</v>
      </c>
      <c r="D57" s="91" t="s">
        <v>447</v>
      </c>
      <c r="E57" s="92" t="s">
        <v>265</v>
      </c>
      <c r="F57" s="93">
        <v>37550</v>
      </c>
      <c r="G57" s="93"/>
      <c r="H57" s="92" t="s">
        <v>265</v>
      </c>
      <c r="I57" s="94" t="s">
        <v>213</v>
      </c>
      <c r="J57" s="94"/>
      <c r="K57" s="95" t="s">
        <v>214</v>
      </c>
      <c r="L57" s="96">
        <v>2341839.4</v>
      </c>
    </row>
    <row r="58" spans="1:12" ht="51" hidden="1" x14ac:dyDescent="0.3">
      <c r="A58" s="90" t="s">
        <v>243</v>
      </c>
      <c r="B58" s="91" t="s">
        <v>544</v>
      </c>
      <c r="C58" s="91" t="s">
        <v>545</v>
      </c>
      <c r="D58" s="91" t="s">
        <v>447</v>
      </c>
      <c r="E58" s="92" t="s">
        <v>265</v>
      </c>
      <c r="F58" s="93">
        <v>37550</v>
      </c>
      <c r="G58" s="93"/>
      <c r="H58" s="92" t="s">
        <v>265</v>
      </c>
      <c r="I58" s="94" t="s">
        <v>213</v>
      </c>
      <c r="J58" s="94"/>
      <c r="K58" s="95" t="s">
        <v>214</v>
      </c>
      <c r="L58" s="96">
        <v>2379389.4</v>
      </c>
    </row>
    <row r="59" spans="1:12" ht="51" hidden="1" x14ac:dyDescent="0.3">
      <c r="A59" s="90" t="s">
        <v>243</v>
      </c>
      <c r="B59" s="91" t="s">
        <v>544</v>
      </c>
      <c r="C59" s="91" t="s">
        <v>546</v>
      </c>
      <c r="D59" s="91" t="s">
        <v>450</v>
      </c>
      <c r="E59" s="92" t="s">
        <v>265</v>
      </c>
      <c r="F59" s="93">
        <v>37550</v>
      </c>
      <c r="G59" s="93"/>
      <c r="H59" s="92" t="s">
        <v>265</v>
      </c>
      <c r="I59" s="94" t="s">
        <v>213</v>
      </c>
      <c r="J59" s="94"/>
      <c r="K59" s="95" t="s">
        <v>214</v>
      </c>
      <c r="L59" s="96">
        <v>2416939.4</v>
      </c>
    </row>
    <row r="60" spans="1:12" ht="51" hidden="1" x14ac:dyDescent="0.3">
      <c r="A60" s="90" t="s">
        <v>243</v>
      </c>
      <c r="B60" s="91" t="s">
        <v>544</v>
      </c>
      <c r="C60" s="91" t="s">
        <v>546</v>
      </c>
      <c r="D60" s="91" t="s">
        <v>450</v>
      </c>
      <c r="E60" s="92" t="s">
        <v>265</v>
      </c>
      <c r="F60" s="93">
        <v>37550</v>
      </c>
      <c r="G60" s="93"/>
      <c r="H60" s="92" t="s">
        <v>265</v>
      </c>
      <c r="I60" s="94" t="s">
        <v>213</v>
      </c>
      <c r="J60" s="94"/>
      <c r="K60" s="95" t="s">
        <v>214</v>
      </c>
      <c r="L60" s="96">
        <v>2454489.4</v>
      </c>
    </row>
    <row r="61" spans="1:12" ht="51" hidden="1" x14ac:dyDescent="0.3">
      <c r="A61" s="90" t="s">
        <v>243</v>
      </c>
      <c r="B61" s="91" t="s">
        <v>544</v>
      </c>
      <c r="C61" s="91" t="s">
        <v>547</v>
      </c>
      <c r="D61" s="91" t="s">
        <v>457</v>
      </c>
      <c r="E61" s="92" t="s">
        <v>265</v>
      </c>
      <c r="F61" s="93">
        <v>37550</v>
      </c>
      <c r="G61" s="93"/>
      <c r="H61" s="92" t="s">
        <v>265</v>
      </c>
      <c r="I61" s="94" t="s">
        <v>213</v>
      </c>
      <c r="J61" s="94"/>
      <c r="K61" s="95" t="s">
        <v>214</v>
      </c>
      <c r="L61" s="96">
        <v>2492039.4</v>
      </c>
    </row>
    <row r="62" spans="1:12" ht="51" hidden="1" x14ac:dyDescent="0.3">
      <c r="A62" s="90" t="s">
        <v>243</v>
      </c>
      <c r="B62" s="91" t="s">
        <v>544</v>
      </c>
      <c r="C62" s="91" t="s">
        <v>547</v>
      </c>
      <c r="D62" s="91" t="s">
        <v>457</v>
      </c>
      <c r="E62" s="92" t="s">
        <v>265</v>
      </c>
      <c r="F62" s="93">
        <v>37550</v>
      </c>
      <c r="G62" s="93"/>
      <c r="H62" s="92" t="s">
        <v>265</v>
      </c>
      <c r="I62" s="94" t="s">
        <v>213</v>
      </c>
      <c r="J62" s="94"/>
      <c r="K62" s="95" t="s">
        <v>214</v>
      </c>
      <c r="L62" s="96">
        <v>2529589.4</v>
      </c>
    </row>
    <row r="63" spans="1:12" ht="51" hidden="1" x14ac:dyDescent="0.3">
      <c r="A63" s="90" t="s">
        <v>243</v>
      </c>
      <c r="B63" s="91" t="s">
        <v>544</v>
      </c>
      <c r="C63" s="91" t="s">
        <v>548</v>
      </c>
      <c r="D63" s="91" t="s">
        <v>459</v>
      </c>
      <c r="E63" s="92" t="s">
        <v>265</v>
      </c>
      <c r="F63" s="93">
        <v>37550</v>
      </c>
      <c r="G63" s="93"/>
      <c r="H63" s="92" t="s">
        <v>265</v>
      </c>
      <c r="I63" s="94" t="s">
        <v>213</v>
      </c>
      <c r="J63" s="94"/>
      <c r="K63" s="95" t="s">
        <v>214</v>
      </c>
      <c r="L63" s="96">
        <v>2567139.4</v>
      </c>
    </row>
    <row r="64" spans="1:12" ht="51" hidden="1" x14ac:dyDescent="0.3">
      <c r="A64" s="90" t="s">
        <v>243</v>
      </c>
      <c r="B64" s="91" t="s">
        <v>544</v>
      </c>
      <c r="C64" s="91" t="s">
        <v>548</v>
      </c>
      <c r="D64" s="91" t="s">
        <v>459</v>
      </c>
      <c r="E64" s="92" t="s">
        <v>265</v>
      </c>
      <c r="F64" s="93">
        <v>37550</v>
      </c>
      <c r="G64" s="93"/>
      <c r="H64" s="92" t="s">
        <v>265</v>
      </c>
      <c r="I64" s="94" t="s">
        <v>213</v>
      </c>
      <c r="J64" s="94"/>
      <c r="K64" s="95" t="s">
        <v>214</v>
      </c>
      <c r="L64" s="96">
        <v>2604689.4</v>
      </c>
    </row>
    <row r="65" spans="1:12" ht="51" hidden="1" x14ac:dyDescent="0.3">
      <c r="A65" s="90" t="s">
        <v>243</v>
      </c>
      <c r="B65" s="91" t="s">
        <v>544</v>
      </c>
      <c r="C65" s="91" t="s">
        <v>549</v>
      </c>
      <c r="D65" s="91" t="s">
        <v>461</v>
      </c>
      <c r="E65" s="92" t="s">
        <v>265</v>
      </c>
      <c r="F65" s="93">
        <v>37550</v>
      </c>
      <c r="G65" s="93"/>
      <c r="H65" s="92" t="s">
        <v>265</v>
      </c>
      <c r="I65" s="94" t="s">
        <v>213</v>
      </c>
      <c r="J65" s="94"/>
      <c r="K65" s="95" t="s">
        <v>214</v>
      </c>
      <c r="L65" s="96">
        <v>2642239.4</v>
      </c>
    </row>
    <row r="66" spans="1:12" ht="51" hidden="1" x14ac:dyDescent="0.3">
      <c r="A66" s="90" t="s">
        <v>243</v>
      </c>
      <c r="B66" s="91" t="s">
        <v>544</v>
      </c>
      <c r="C66" s="91" t="s">
        <v>549</v>
      </c>
      <c r="D66" s="91" t="s">
        <v>461</v>
      </c>
      <c r="E66" s="92" t="s">
        <v>265</v>
      </c>
      <c r="F66" s="93">
        <v>37550</v>
      </c>
      <c r="G66" s="93"/>
      <c r="H66" s="92" t="s">
        <v>265</v>
      </c>
      <c r="I66" s="94" t="s">
        <v>213</v>
      </c>
      <c r="J66" s="94"/>
      <c r="K66" s="95" t="s">
        <v>214</v>
      </c>
      <c r="L66" s="96">
        <v>2679789.4</v>
      </c>
    </row>
    <row r="67" spans="1:12" ht="51" hidden="1" x14ac:dyDescent="0.3">
      <c r="A67" s="90" t="s">
        <v>243</v>
      </c>
      <c r="B67" s="91" t="s">
        <v>544</v>
      </c>
      <c r="C67" s="91" t="s">
        <v>550</v>
      </c>
      <c r="D67" s="91" t="s">
        <v>463</v>
      </c>
      <c r="E67" s="92" t="s">
        <v>265</v>
      </c>
      <c r="F67" s="93">
        <v>37550</v>
      </c>
      <c r="G67" s="93"/>
      <c r="H67" s="92" t="s">
        <v>265</v>
      </c>
      <c r="I67" s="94" t="s">
        <v>213</v>
      </c>
      <c r="J67" s="94"/>
      <c r="K67" s="95" t="s">
        <v>214</v>
      </c>
      <c r="L67" s="96">
        <v>2717339.4</v>
      </c>
    </row>
    <row r="68" spans="1:12" ht="51" hidden="1" x14ac:dyDescent="0.3">
      <c r="A68" s="90" t="s">
        <v>243</v>
      </c>
      <c r="B68" s="91" t="s">
        <v>544</v>
      </c>
      <c r="C68" s="91" t="s">
        <v>550</v>
      </c>
      <c r="D68" s="91" t="s">
        <v>463</v>
      </c>
      <c r="E68" s="92" t="s">
        <v>265</v>
      </c>
      <c r="F68" s="93">
        <v>7510</v>
      </c>
      <c r="G68" s="93"/>
      <c r="H68" s="92" t="s">
        <v>265</v>
      </c>
      <c r="I68" s="94" t="s">
        <v>213</v>
      </c>
      <c r="J68" s="94"/>
      <c r="K68" s="95" t="s">
        <v>214</v>
      </c>
      <c r="L68" s="96">
        <v>2724849.4</v>
      </c>
    </row>
    <row r="69" spans="1:12" ht="51" hidden="1" x14ac:dyDescent="0.3">
      <c r="A69" s="90" t="s">
        <v>243</v>
      </c>
      <c r="B69" s="91" t="s">
        <v>544</v>
      </c>
      <c r="C69" s="91" t="s">
        <v>551</v>
      </c>
      <c r="D69" s="91" t="s">
        <v>466</v>
      </c>
      <c r="E69" s="92" t="s">
        <v>265</v>
      </c>
      <c r="F69" s="93">
        <v>67590</v>
      </c>
      <c r="G69" s="93"/>
      <c r="H69" s="92" t="s">
        <v>265</v>
      </c>
      <c r="I69" s="94" t="s">
        <v>213</v>
      </c>
      <c r="J69" s="94"/>
      <c r="K69" s="95" t="s">
        <v>214</v>
      </c>
      <c r="L69" s="96">
        <v>2792439.4</v>
      </c>
    </row>
    <row r="70" spans="1:12" ht="51" hidden="1" x14ac:dyDescent="0.3">
      <c r="A70" s="90" t="s">
        <v>243</v>
      </c>
      <c r="B70" s="91" t="s">
        <v>544</v>
      </c>
      <c r="C70" s="91" t="s">
        <v>551</v>
      </c>
      <c r="D70" s="91" t="s">
        <v>466</v>
      </c>
      <c r="E70" s="92" t="s">
        <v>265</v>
      </c>
      <c r="F70" s="93">
        <v>7510</v>
      </c>
      <c r="G70" s="93"/>
      <c r="H70" s="92" t="s">
        <v>265</v>
      </c>
      <c r="I70" s="94" t="s">
        <v>213</v>
      </c>
      <c r="J70" s="94"/>
      <c r="K70" s="95" t="s">
        <v>214</v>
      </c>
      <c r="L70" s="96">
        <v>2799949.4</v>
      </c>
    </row>
    <row r="71" spans="1:12" ht="51" hidden="1" x14ac:dyDescent="0.3">
      <c r="A71" s="90" t="s">
        <v>243</v>
      </c>
      <c r="B71" s="91" t="s">
        <v>544</v>
      </c>
      <c r="C71" s="91" t="s">
        <v>552</v>
      </c>
      <c r="D71" s="91" t="s">
        <v>469</v>
      </c>
      <c r="E71" s="92" t="s">
        <v>265</v>
      </c>
      <c r="F71" s="93">
        <v>67590</v>
      </c>
      <c r="G71" s="93"/>
      <c r="H71" s="92" t="s">
        <v>265</v>
      </c>
      <c r="I71" s="94" t="s">
        <v>213</v>
      </c>
      <c r="J71" s="94"/>
      <c r="K71" s="95" t="s">
        <v>214</v>
      </c>
      <c r="L71" s="96">
        <v>2867539.4</v>
      </c>
    </row>
    <row r="72" spans="1:12" ht="51" hidden="1" x14ac:dyDescent="0.3">
      <c r="A72" s="90" t="s">
        <v>243</v>
      </c>
      <c r="B72" s="91" t="s">
        <v>544</v>
      </c>
      <c r="C72" s="91" t="s">
        <v>552</v>
      </c>
      <c r="D72" s="91" t="s">
        <v>469</v>
      </c>
      <c r="E72" s="92" t="s">
        <v>265</v>
      </c>
      <c r="F72" s="93">
        <v>7510</v>
      </c>
      <c r="G72" s="93"/>
      <c r="H72" s="92" t="s">
        <v>265</v>
      </c>
      <c r="I72" s="94" t="s">
        <v>213</v>
      </c>
      <c r="J72" s="94"/>
      <c r="K72" s="95" t="s">
        <v>214</v>
      </c>
      <c r="L72" s="96">
        <v>2875049.4</v>
      </c>
    </row>
    <row r="73" spans="1:12" ht="51" hidden="1" x14ac:dyDescent="0.3">
      <c r="A73" s="90" t="s">
        <v>243</v>
      </c>
      <c r="B73" s="91" t="s">
        <v>544</v>
      </c>
      <c r="C73" s="91" t="s">
        <v>553</v>
      </c>
      <c r="D73" s="91" t="s">
        <v>471</v>
      </c>
      <c r="E73" s="92" t="s">
        <v>265</v>
      </c>
      <c r="F73" s="93">
        <v>67590</v>
      </c>
      <c r="G73" s="93"/>
      <c r="H73" s="92" t="s">
        <v>265</v>
      </c>
      <c r="I73" s="94" t="s">
        <v>213</v>
      </c>
      <c r="J73" s="94"/>
      <c r="K73" s="95" t="s">
        <v>214</v>
      </c>
      <c r="L73" s="96">
        <v>2942639.4</v>
      </c>
    </row>
    <row r="74" spans="1:12" ht="51" hidden="1" x14ac:dyDescent="0.3">
      <c r="A74" s="90" t="s">
        <v>243</v>
      </c>
      <c r="B74" s="91" t="s">
        <v>544</v>
      </c>
      <c r="C74" s="91" t="s">
        <v>553</v>
      </c>
      <c r="D74" s="91" t="s">
        <v>471</v>
      </c>
      <c r="E74" s="92" t="s">
        <v>265</v>
      </c>
      <c r="F74" s="93">
        <v>7510</v>
      </c>
      <c r="G74" s="93"/>
      <c r="H74" s="92" t="s">
        <v>265</v>
      </c>
      <c r="I74" s="94" t="s">
        <v>213</v>
      </c>
      <c r="J74" s="94"/>
      <c r="K74" s="95" t="s">
        <v>214</v>
      </c>
      <c r="L74" s="96">
        <v>2950149.4</v>
      </c>
    </row>
    <row r="75" spans="1:12" ht="51" hidden="1" x14ac:dyDescent="0.3">
      <c r="A75" s="90" t="s">
        <v>243</v>
      </c>
      <c r="B75" s="91" t="s">
        <v>544</v>
      </c>
      <c r="C75" s="91" t="s">
        <v>554</v>
      </c>
      <c r="D75" s="91" t="s">
        <v>473</v>
      </c>
      <c r="E75" s="92" t="s">
        <v>265</v>
      </c>
      <c r="F75" s="93">
        <v>60080</v>
      </c>
      <c r="G75" s="93"/>
      <c r="H75" s="92" t="s">
        <v>265</v>
      </c>
      <c r="I75" s="94" t="s">
        <v>213</v>
      </c>
      <c r="J75" s="94"/>
      <c r="K75" s="95" t="s">
        <v>214</v>
      </c>
      <c r="L75" s="96">
        <v>3010229.4</v>
      </c>
    </row>
    <row r="76" spans="1:12" ht="51" hidden="1" x14ac:dyDescent="0.3">
      <c r="A76" s="90" t="s">
        <v>243</v>
      </c>
      <c r="B76" s="91" t="s">
        <v>544</v>
      </c>
      <c r="C76" s="91" t="s">
        <v>554</v>
      </c>
      <c r="D76" s="91" t="s">
        <v>473</v>
      </c>
      <c r="E76" s="92" t="s">
        <v>265</v>
      </c>
      <c r="F76" s="93">
        <v>15020</v>
      </c>
      <c r="G76" s="93"/>
      <c r="H76" s="92" t="s">
        <v>265</v>
      </c>
      <c r="I76" s="94" t="s">
        <v>213</v>
      </c>
      <c r="J76" s="94"/>
      <c r="K76" s="95" t="s">
        <v>214</v>
      </c>
      <c r="L76" s="96">
        <v>3025249.4</v>
      </c>
    </row>
    <row r="77" spans="1:12" ht="51" hidden="1" x14ac:dyDescent="0.3">
      <c r="A77" s="90" t="s">
        <v>243</v>
      </c>
      <c r="B77" s="91" t="s">
        <v>544</v>
      </c>
      <c r="C77" s="91" t="s">
        <v>555</v>
      </c>
      <c r="D77" s="91" t="s">
        <v>476</v>
      </c>
      <c r="E77" s="92" t="s">
        <v>265</v>
      </c>
      <c r="F77" s="93">
        <v>22530</v>
      </c>
      <c r="G77" s="93"/>
      <c r="H77" s="92" t="s">
        <v>265</v>
      </c>
      <c r="I77" s="94" t="s">
        <v>213</v>
      </c>
      <c r="J77" s="94"/>
      <c r="K77" s="95" t="s">
        <v>214</v>
      </c>
      <c r="L77" s="96">
        <v>3047779.4</v>
      </c>
    </row>
    <row r="78" spans="1:12" ht="51" hidden="1" x14ac:dyDescent="0.3">
      <c r="A78" s="90" t="s">
        <v>243</v>
      </c>
      <c r="B78" s="91" t="s">
        <v>544</v>
      </c>
      <c r="C78" s="91" t="s">
        <v>555</v>
      </c>
      <c r="D78" s="91" t="s">
        <v>476</v>
      </c>
      <c r="E78" s="92" t="s">
        <v>265</v>
      </c>
      <c r="F78" s="93">
        <v>7510</v>
      </c>
      <c r="G78" s="93"/>
      <c r="H78" s="92" t="s">
        <v>265</v>
      </c>
      <c r="I78" s="94" t="s">
        <v>213</v>
      </c>
      <c r="J78" s="94"/>
      <c r="K78" s="95" t="s">
        <v>214</v>
      </c>
      <c r="L78" s="96">
        <v>3055289.4</v>
      </c>
    </row>
    <row r="79" spans="1:12" ht="51" hidden="1" x14ac:dyDescent="0.3">
      <c r="A79" s="90" t="s">
        <v>243</v>
      </c>
      <c r="B79" s="91" t="s">
        <v>556</v>
      </c>
      <c r="C79" s="91" t="s">
        <v>557</v>
      </c>
      <c r="D79" s="91" t="s">
        <v>383</v>
      </c>
      <c r="E79" s="92" t="s">
        <v>265</v>
      </c>
      <c r="F79" s="93">
        <v>41545.75</v>
      </c>
      <c r="G79" s="93"/>
      <c r="H79" s="92" t="s">
        <v>265</v>
      </c>
      <c r="I79" s="94" t="s">
        <v>213</v>
      </c>
      <c r="J79" s="94"/>
      <c r="K79" s="95" t="s">
        <v>214</v>
      </c>
      <c r="L79" s="96">
        <v>3096835.15</v>
      </c>
    </row>
    <row r="80" spans="1:12" ht="51" hidden="1" x14ac:dyDescent="0.3">
      <c r="A80" s="90" t="s">
        <v>243</v>
      </c>
      <c r="B80" s="91" t="s">
        <v>556</v>
      </c>
      <c r="C80" s="91" t="s">
        <v>557</v>
      </c>
      <c r="D80" s="91" t="s">
        <v>383</v>
      </c>
      <c r="E80" s="92" t="s">
        <v>265</v>
      </c>
      <c r="F80" s="93">
        <v>33236.6</v>
      </c>
      <c r="G80" s="93"/>
      <c r="H80" s="92" t="s">
        <v>265</v>
      </c>
      <c r="I80" s="94" t="s">
        <v>213</v>
      </c>
      <c r="J80" s="94"/>
      <c r="K80" s="95" t="s">
        <v>214</v>
      </c>
      <c r="L80" s="96">
        <v>3130071.75</v>
      </c>
    </row>
    <row r="81" spans="1:12" ht="51" hidden="1" x14ac:dyDescent="0.3">
      <c r="A81" s="90" t="s">
        <v>243</v>
      </c>
      <c r="B81" s="91" t="s">
        <v>556</v>
      </c>
      <c r="C81" s="91" t="s">
        <v>558</v>
      </c>
      <c r="D81" s="91" t="s">
        <v>385</v>
      </c>
      <c r="E81" s="92" t="s">
        <v>265</v>
      </c>
      <c r="F81" s="93">
        <v>41545.75</v>
      </c>
      <c r="G81" s="93"/>
      <c r="H81" s="92" t="s">
        <v>265</v>
      </c>
      <c r="I81" s="94" t="s">
        <v>213</v>
      </c>
      <c r="J81" s="94"/>
      <c r="K81" s="95" t="s">
        <v>214</v>
      </c>
      <c r="L81" s="96">
        <v>3171617.5</v>
      </c>
    </row>
    <row r="82" spans="1:12" ht="51" hidden="1" x14ac:dyDescent="0.3">
      <c r="A82" s="90" t="s">
        <v>243</v>
      </c>
      <c r="B82" s="91" t="s">
        <v>556</v>
      </c>
      <c r="C82" s="91" t="s">
        <v>558</v>
      </c>
      <c r="D82" s="91" t="s">
        <v>385</v>
      </c>
      <c r="E82" s="92" t="s">
        <v>265</v>
      </c>
      <c r="F82" s="93">
        <v>33236.6</v>
      </c>
      <c r="G82" s="93"/>
      <c r="H82" s="92" t="s">
        <v>265</v>
      </c>
      <c r="I82" s="94" t="s">
        <v>213</v>
      </c>
      <c r="J82" s="94"/>
      <c r="K82" s="95" t="s">
        <v>214</v>
      </c>
      <c r="L82" s="96">
        <v>3204854.1</v>
      </c>
    </row>
    <row r="83" spans="1:12" ht="51" hidden="1" x14ac:dyDescent="0.3">
      <c r="A83" s="90" t="s">
        <v>243</v>
      </c>
      <c r="B83" s="91" t="s">
        <v>556</v>
      </c>
      <c r="C83" s="91" t="s">
        <v>559</v>
      </c>
      <c r="D83" s="91" t="s">
        <v>388</v>
      </c>
      <c r="E83" s="92" t="s">
        <v>265</v>
      </c>
      <c r="F83" s="93">
        <v>41545.75</v>
      </c>
      <c r="G83" s="93"/>
      <c r="H83" s="92" t="s">
        <v>265</v>
      </c>
      <c r="I83" s="94" t="s">
        <v>213</v>
      </c>
      <c r="J83" s="94"/>
      <c r="K83" s="95" t="s">
        <v>214</v>
      </c>
      <c r="L83" s="96">
        <v>3246399.85</v>
      </c>
    </row>
    <row r="84" spans="1:12" ht="51" hidden="1" x14ac:dyDescent="0.3">
      <c r="A84" s="90" t="s">
        <v>243</v>
      </c>
      <c r="B84" s="91" t="s">
        <v>556</v>
      </c>
      <c r="C84" s="91" t="s">
        <v>559</v>
      </c>
      <c r="D84" s="91" t="s">
        <v>388</v>
      </c>
      <c r="E84" s="92" t="s">
        <v>265</v>
      </c>
      <c r="F84" s="93">
        <v>33236.6</v>
      </c>
      <c r="G84" s="93"/>
      <c r="H84" s="92" t="s">
        <v>265</v>
      </c>
      <c r="I84" s="94" t="s">
        <v>213</v>
      </c>
      <c r="J84" s="94"/>
      <c r="K84" s="95" t="s">
        <v>214</v>
      </c>
      <c r="L84" s="96">
        <v>3279636.45</v>
      </c>
    </row>
    <row r="85" spans="1:12" ht="51" hidden="1" x14ac:dyDescent="0.3">
      <c r="A85" s="90" t="s">
        <v>243</v>
      </c>
      <c r="B85" s="91" t="s">
        <v>556</v>
      </c>
      <c r="C85" s="91" t="s">
        <v>560</v>
      </c>
      <c r="D85" s="91" t="s">
        <v>404</v>
      </c>
      <c r="E85" s="92" t="s">
        <v>265</v>
      </c>
      <c r="F85" s="93">
        <v>41545.75</v>
      </c>
      <c r="G85" s="93"/>
      <c r="H85" s="92" t="s">
        <v>265</v>
      </c>
      <c r="I85" s="94" t="s">
        <v>213</v>
      </c>
      <c r="J85" s="94"/>
      <c r="K85" s="95" t="s">
        <v>214</v>
      </c>
      <c r="L85" s="96">
        <v>3321182.2</v>
      </c>
    </row>
    <row r="86" spans="1:12" ht="51" hidden="1" x14ac:dyDescent="0.3">
      <c r="A86" s="90" t="s">
        <v>243</v>
      </c>
      <c r="B86" s="91" t="s">
        <v>556</v>
      </c>
      <c r="C86" s="91" t="s">
        <v>560</v>
      </c>
      <c r="D86" s="91" t="s">
        <v>404</v>
      </c>
      <c r="E86" s="92" t="s">
        <v>265</v>
      </c>
      <c r="F86" s="93">
        <v>33236.6</v>
      </c>
      <c r="G86" s="93"/>
      <c r="H86" s="92" t="s">
        <v>265</v>
      </c>
      <c r="I86" s="94" t="s">
        <v>213</v>
      </c>
      <c r="J86" s="94"/>
      <c r="K86" s="95" t="s">
        <v>214</v>
      </c>
      <c r="L86" s="96">
        <v>3354418.8</v>
      </c>
    </row>
    <row r="87" spans="1:12" ht="51" hidden="1" x14ac:dyDescent="0.3">
      <c r="A87" s="90" t="s">
        <v>243</v>
      </c>
      <c r="B87" s="91" t="s">
        <v>556</v>
      </c>
      <c r="C87" s="91" t="s">
        <v>561</v>
      </c>
      <c r="D87" s="91" t="s">
        <v>406</v>
      </c>
      <c r="E87" s="92" t="s">
        <v>265</v>
      </c>
      <c r="F87" s="93">
        <v>41545.75</v>
      </c>
      <c r="G87" s="93"/>
      <c r="H87" s="92" t="s">
        <v>265</v>
      </c>
      <c r="I87" s="94" t="s">
        <v>213</v>
      </c>
      <c r="J87" s="94"/>
      <c r="K87" s="95" t="s">
        <v>214</v>
      </c>
      <c r="L87" s="96">
        <v>3395964.55</v>
      </c>
    </row>
    <row r="88" spans="1:12" ht="51" hidden="1" x14ac:dyDescent="0.3">
      <c r="A88" s="90" t="s">
        <v>243</v>
      </c>
      <c r="B88" s="91" t="s">
        <v>556</v>
      </c>
      <c r="C88" s="91" t="s">
        <v>561</v>
      </c>
      <c r="D88" s="91" t="s">
        <v>406</v>
      </c>
      <c r="E88" s="92" t="s">
        <v>265</v>
      </c>
      <c r="F88" s="93">
        <v>33236.6</v>
      </c>
      <c r="G88" s="93"/>
      <c r="H88" s="92" t="s">
        <v>265</v>
      </c>
      <c r="I88" s="94" t="s">
        <v>213</v>
      </c>
      <c r="J88" s="94"/>
      <c r="K88" s="95" t="s">
        <v>214</v>
      </c>
      <c r="L88" s="96">
        <v>3429201.15</v>
      </c>
    </row>
    <row r="89" spans="1:12" ht="51" hidden="1" x14ac:dyDescent="0.3">
      <c r="A89" s="90" t="s">
        <v>243</v>
      </c>
      <c r="B89" s="91" t="s">
        <v>556</v>
      </c>
      <c r="C89" s="91" t="s">
        <v>562</v>
      </c>
      <c r="D89" s="91" t="s">
        <v>408</v>
      </c>
      <c r="E89" s="92" t="s">
        <v>265</v>
      </c>
      <c r="F89" s="93">
        <v>41545.75</v>
      </c>
      <c r="G89" s="93"/>
      <c r="H89" s="92" t="s">
        <v>265</v>
      </c>
      <c r="I89" s="94" t="s">
        <v>213</v>
      </c>
      <c r="J89" s="94"/>
      <c r="K89" s="95" t="s">
        <v>214</v>
      </c>
      <c r="L89" s="96">
        <v>3470746.9</v>
      </c>
    </row>
    <row r="90" spans="1:12" ht="51" hidden="1" x14ac:dyDescent="0.3">
      <c r="A90" s="90" t="s">
        <v>243</v>
      </c>
      <c r="B90" s="91" t="s">
        <v>556</v>
      </c>
      <c r="C90" s="91" t="s">
        <v>562</v>
      </c>
      <c r="D90" s="91" t="s">
        <v>408</v>
      </c>
      <c r="E90" s="92" t="s">
        <v>265</v>
      </c>
      <c r="F90" s="93">
        <v>33236.6</v>
      </c>
      <c r="G90" s="93"/>
      <c r="H90" s="92" t="s">
        <v>265</v>
      </c>
      <c r="I90" s="94" t="s">
        <v>213</v>
      </c>
      <c r="J90" s="94"/>
      <c r="K90" s="95" t="s">
        <v>214</v>
      </c>
      <c r="L90" s="96">
        <v>3503983.5</v>
      </c>
    </row>
    <row r="91" spans="1:12" ht="51" hidden="1" x14ac:dyDescent="0.3">
      <c r="A91" s="90" t="s">
        <v>243</v>
      </c>
      <c r="B91" s="91" t="s">
        <v>556</v>
      </c>
      <c r="C91" s="91" t="s">
        <v>563</v>
      </c>
      <c r="D91" s="91" t="s">
        <v>411</v>
      </c>
      <c r="E91" s="92" t="s">
        <v>265</v>
      </c>
      <c r="F91" s="93">
        <v>41545.75</v>
      </c>
      <c r="G91" s="93"/>
      <c r="H91" s="92" t="s">
        <v>265</v>
      </c>
      <c r="I91" s="94" t="s">
        <v>213</v>
      </c>
      <c r="J91" s="94"/>
      <c r="K91" s="95" t="s">
        <v>214</v>
      </c>
      <c r="L91" s="96">
        <v>3545529.25</v>
      </c>
    </row>
    <row r="92" spans="1:12" ht="51" hidden="1" x14ac:dyDescent="0.3">
      <c r="A92" s="90" t="s">
        <v>243</v>
      </c>
      <c r="B92" s="91" t="s">
        <v>556</v>
      </c>
      <c r="C92" s="91" t="s">
        <v>563</v>
      </c>
      <c r="D92" s="91" t="s">
        <v>411</v>
      </c>
      <c r="E92" s="92" t="s">
        <v>265</v>
      </c>
      <c r="F92" s="93">
        <v>33236.6</v>
      </c>
      <c r="G92" s="93"/>
      <c r="H92" s="92" t="s">
        <v>265</v>
      </c>
      <c r="I92" s="94" t="s">
        <v>213</v>
      </c>
      <c r="J92" s="94"/>
      <c r="K92" s="95" t="s">
        <v>214</v>
      </c>
      <c r="L92" s="96">
        <v>3578765.85</v>
      </c>
    </row>
    <row r="93" spans="1:12" ht="51" hidden="1" x14ac:dyDescent="0.3">
      <c r="A93" s="90" t="s">
        <v>243</v>
      </c>
      <c r="B93" s="91" t="s">
        <v>556</v>
      </c>
      <c r="C93" s="91" t="s">
        <v>564</v>
      </c>
      <c r="D93" s="91" t="s">
        <v>419</v>
      </c>
      <c r="E93" s="92" t="s">
        <v>265</v>
      </c>
      <c r="F93" s="93">
        <v>33236.6</v>
      </c>
      <c r="G93" s="93"/>
      <c r="H93" s="92" t="s">
        <v>265</v>
      </c>
      <c r="I93" s="94" t="s">
        <v>213</v>
      </c>
      <c r="J93" s="94"/>
      <c r="K93" s="95" t="s">
        <v>214</v>
      </c>
      <c r="L93" s="96">
        <v>3612002.45</v>
      </c>
    </row>
    <row r="94" spans="1:12" ht="51" hidden="1" x14ac:dyDescent="0.3">
      <c r="A94" s="90" t="s">
        <v>243</v>
      </c>
      <c r="B94" s="91" t="s">
        <v>556</v>
      </c>
      <c r="C94" s="91" t="s">
        <v>565</v>
      </c>
      <c r="D94" s="91" t="s">
        <v>421</v>
      </c>
      <c r="E94" s="92" t="s">
        <v>265</v>
      </c>
      <c r="F94" s="93">
        <v>8309.15</v>
      </c>
      <c r="G94" s="93"/>
      <c r="H94" s="92" t="s">
        <v>265</v>
      </c>
      <c r="I94" s="94" t="s">
        <v>213</v>
      </c>
      <c r="J94" s="94"/>
      <c r="K94" s="95" t="s">
        <v>214</v>
      </c>
      <c r="L94" s="96">
        <v>3620311.6</v>
      </c>
    </row>
    <row r="95" spans="1:12" ht="51" hidden="1" x14ac:dyDescent="0.3">
      <c r="A95" s="90" t="s">
        <v>243</v>
      </c>
      <c r="B95" s="91" t="s">
        <v>556</v>
      </c>
      <c r="C95" s="91" t="s">
        <v>565</v>
      </c>
      <c r="D95" s="91" t="s">
        <v>421</v>
      </c>
      <c r="E95" s="92" t="s">
        <v>265</v>
      </c>
      <c r="F95" s="93">
        <v>66473.2</v>
      </c>
      <c r="G95" s="93"/>
      <c r="H95" s="92" t="s">
        <v>265</v>
      </c>
      <c r="I95" s="94" t="s">
        <v>213</v>
      </c>
      <c r="J95" s="94"/>
      <c r="K95" s="95" t="s">
        <v>214</v>
      </c>
      <c r="L95" s="96">
        <v>3686784.8</v>
      </c>
    </row>
    <row r="96" spans="1:12" ht="51" hidden="1" x14ac:dyDescent="0.3">
      <c r="A96" s="90" t="s">
        <v>243</v>
      </c>
      <c r="B96" s="91" t="s">
        <v>556</v>
      </c>
      <c r="C96" s="91" t="s">
        <v>566</v>
      </c>
      <c r="D96" s="91" t="s">
        <v>413</v>
      </c>
      <c r="E96" s="92" t="s">
        <v>265</v>
      </c>
      <c r="F96" s="93">
        <v>72540</v>
      </c>
      <c r="G96" s="93"/>
      <c r="H96" s="92" t="s">
        <v>265</v>
      </c>
      <c r="I96" s="94" t="s">
        <v>213</v>
      </c>
      <c r="J96" s="94"/>
      <c r="K96" s="95" t="s">
        <v>214</v>
      </c>
      <c r="L96" s="96">
        <v>3759324.8</v>
      </c>
    </row>
    <row r="97" spans="1:12" ht="51" hidden="1" x14ac:dyDescent="0.3">
      <c r="A97" s="90" t="s">
        <v>243</v>
      </c>
      <c r="B97" s="91" t="s">
        <v>556</v>
      </c>
      <c r="C97" s="91" t="s">
        <v>567</v>
      </c>
      <c r="D97" s="91" t="s">
        <v>415</v>
      </c>
      <c r="E97" s="92" t="s">
        <v>265</v>
      </c>
      <c r="F97" s="93">
        <v>72540</v>
      </c>
      <c r="G97" s="93"/>
      <c r="H97" s="92" t="s">
        <v>265</v>
      </c>
      <c r="I97" s="94" t="s">
        <v>213</v>
      </c>
      <c r="J97" s="94"/>
      <c r="K97" s="95" t="s">
        <v>214</v>
      </c>
      <c r="L97" s="96">
        <v>3831864.8</v>
      </c>
    </row>
    <row r="98" spans="1:12" ht="51" hidden="1" x14ac:dyDescent="0.3">
      <c r="A98" s="90" t="s">
        <v>243</v>
      </c>
      <c r="B98" s="91" t="s">
        <v>556</v>
      </c>
      <c r="C98" s="91" t="s">
        <v>568</v>
      </c>
      <c r="D98" s="91" t="s">
        <v>418</v>
      </c>
      <c r="E98" s="92" t="s">
        <v>265</v>
      </c>
      <c r="F98" s="93">
        <v>45337.5</v>
      </c>
      <c r="G98" s="93"/>
      <c r="H98" s="92" t="s">
        <v>265</v>
      </c>
      <c r="I98" s="94" t="s">
        <v>213</v>
      </c>
      <c r="J98" s="94"/>
      <c r="K98" s="95" t="s">
        <v>214</v>
      </c>
      <c r="L98" s="96">
        <v>3877202.3</v>
      </c>
    </row>
    <row r="99" spans="1:12" ht="51" hidden="1" x14ac:dyDescent="0.3">
      <c r="A99" s="90" t="s">
        <v>243</v>
      </c>
      <c r="B99" s="91" t="s">
        <v>556</v>
      </c>
      <c r="C99" s="91" t="s">
        <v>569</v>
      </c>
      <c r="D99" s="91" t="s">
        <v>424</v>
      </c>
      <c r="E99" s="92" t="s">
        <v>265</v>
      </c>
      <c r="F99" s="93">
        <v>27202.5</v>
      </c>
      <c r="G99" s="93"/>
      <c r="H99" s="92" t="s">
        <v>265</v>
      </c>
      <c r="I99" s="94" t="s">
        <v>213</v>
      </c>
      <c r="J99" s="94"/>
      <c r="K99" s="95" t="s">
        <v>214</v>
      </c>
      <c r="L99" s="96">
        <v>3904404.8</v>
      </c>
    </row>
    <row r="100" spans="1:12" ht="51" hidden="1" x14ac:dyDescent="0.3">
      <c r="A100" s="90" t="s">
        <v>243</v>
      </c>
      <c r="B100" s="91" t="s">
        <v>556</v>
      </c>
      <c r="C100" s="91" t="s">
        <v>569</v>
      </c>
      <c r="D100" s="91" t="s">
        <v>424</v>
      </c>
      <c r="E100" s="92" t="s">
        <v>265</v>
      </c>
      <c r="F100" s="93">
        <v>45337.5</v>
      </c>
      <c r="G100" s="93"/>
      <c r="H100" s="92" t="s">
        <v>265</v>
      </c>
      <c r="I100" s="94" t="s">
        <v>213</v>
      </c>
      <c r="J100" s="94"/>
      <c r="K100" s="95" t="s">
        <v>214</v>
      </c>
      <c r="L100" s="96">
        <v>3949742.3</v>
      </c>
    </row>
    <row r="101" spans="1:12" ht="51" hidden="1" x14ac:dyDescent="0.3">
      <c r="A101" s="90" t="s">
        <v>243</v>
      </c>
      <c r="B101" s="91" t="s">
        <v>556</v>
      </c>
      <c r="C101" s="91" t="s">
        <v>570</v>
      </c>
      <c r="D101" s="91" t="s">
        <v>426</v>
      </c>
      <c r="E101" s="92" t="s">
        <v>265</v>
      </c>
      <c r="F101" s="93">
        <v>27202.5</v>
      </c>
      <c r="G101" s="93"/>
      <c r="H101" s="92" t="s">
        <v>265</v>
      </c>
      <c r="I101" s="94" t="s">
        <v>213</v>
      </c>
      <c r="J101" s="94"/>
      <c r="K101" s="95" t="s">
        <v>214</v>
      </c>
      <c r="L101" s="96">
        <v>3976944.8</v>
      </c>
    </row>
    <row r="102" spans="1:12" ht="51" hidden="1" x14ac:dyDescent="0.3">
      <c r="A102" s="90" t="s">
        <v>243</v>
      </c>
      <c r="B102" s="91" t="s">
        <v>556</v>
      </c>
      <c r="C102" s="91" t="s">
        <v>570</v>
      </c>
      <c r="D102" s="91" t="s">
        <v>426</v>
      </c>
      <c r="E102" s="92" t="s">
        <v>265</v>
      </c>
      <c r="F102" s="93">
        <v>45337.5</v>
      </c>
      <c r="G102" s="93"/>
      <c r="H102" s="92" t="s">
        <v>265</v>
      </c>
      <c r="I102" s="94" t="s">
        <v>213</v>
      </c>
      <c r="J102" s="94"/>
      <c r="K102" s="95" t="s">
        <v>214</v>
      </c>
      <c r="L102" s="96">
        <v>4022282.3</v>
      </c>
    </row>
    <row r="103" spans="1:12" ht="51" hidden="1" x14ac:dyDescent="0.3">
      <c r="A103" s="90" t="s">
        <v>243</v>
      </c>
      <c r="B103" s="91" t="s">
        <v>556</v>
      </c>
      <c r="C103" s="91" t="s">
        <v>571</v>
      </c>
      <c r="D103" s="91" t="s">
        <v>428</v>
      </c>
      <c r="E103" s="92" t="s">
        <v>265</v>
      </c>
      <c r="F103" s="93">
        <v>27202.5</v>
      </c>
      <c r="G103" s="93"/>
      <c r="H103" s="92" t="s">
        <v>265</v>
      </c>
      <c r="I103" s="94" t="s">
        <v>213</v>
      </c>
      <c r="J103" s="94"/>
      <c r="K103" s="95" t="s">
        <v>214</v>
      </c>
      <c r="L103" s="96">
        <v>4049484.8</v>
      </c>
    </row>
    <row r="104" spans="1:12" ht="51" hidden="1" x14ac:dyDescent="0.3">
      <c r="A104" s="90" t="s">
        <v>243</v>
      </c>
      <c r="B104" s="91" t="s">
        <v>556</v>
      </c>
      <c r="C104" s="91" t="s">
        <v>571</v>
      </c>
      <c r="D104" s="91" t="s">
        <v>428</v>
      </c>
      <c r="E104" s="92" t="s">
        <v>265</v>
      </c>
      <c r="F104" s="93">
        <v>27202.5</v>
      </c>
      <c r="G104" s="93"/>
      <c r="H104" s="92" t="s">
        <v>265</v>
      </c>
      <c r="I104" s="94" t="s">
        <v>213</v>
      </c>
      <c r="J104" s="94"/>
      <c r="K104" s="95" t="s">
        <v>214</v>
      </c>
      <c r="L104" s="96">
        <v>4076687.3</v>
      </c>
    </row>
    <row r="105" spans="1:12" ht="51" hidden="1" x14ac:dyDescent="0.3">
      <c r="A105" s="90" t="s">
        <v>243</v>
      </c>
      <c r="B105" s="91" t="s">
        <v>556</v>
      </c>
      <c r="C105" s="91" t="s">
        <v>571</v>
      </c>
      <c r="D105" s="91" t="s">
        <v>428</v>
      </c>
      <c r="E105" s="92" t="s">
        <v>265</v>
      </c>
      <c r="F105" s="93">
        <v>18135</v>
      </c>
      <c r="G105" s="93"/>
      <c r="H105" s="92" t="s">
        <v>265</v>
      </c>
      <c r="I105" s="94" t="s">
        <v>213</v>
      </c>
      <c r="J105" s="94"/>
      <c r="K105" s="95" t="s">
        <v>214</v>
      </c>
      <c r="L105" s="96">
        <v>4094822.3</v>
      </c>
    </row>
    <row r="106" spans="1:12" ht="51" hidden="1" x14ac:dyDescent="0.3">
      <c r="A106" s="90" t="s">
        <v>243</v>
      </c>
      <c r="B106" s="91" t="s">
        <v>556</v>
      </c>
      <c r="C106" s="91" t="s">
        <v>572</v>
      </c>
      <c r="D106" s="91" t="s">
        <v>430</v>
      </c>
      <c r="E106" s="92" t="s">
        <v>265</v>
      </c>
      <c r="F106" s="93">
        <v>54405</v>
      </c>
      <c r="G106" s="93"/>
      <c r="H106" s="92" t="s">
        <v>265</v>
      </c>
      <c r="I106" s="94" t="s">
        <v>213</v>
      </c>
      <c r="J106" s="94"/>
      <c r="K106" s="95" t="s">
        <v>214</v>
      </c>
      <c r="L106" s="96">
        <v>4149227.3</v>
      </c>
    </row>
    <row r="107" spans="1:12" ht="51" hidden="1" x14ac:dyDescent="0.3">
      <c r="A107" s="90" t="s">
        <v>243</v>
      </c>
      <c r="B107" s="91" t="s">
        <v>556</v>
      </c>
      <c r="C107" s="91" t="s">
        <v>572</v>
      </c>
      <c r="D107" s="91" t="s">
        <v>430</v>
      </c>
      <c r="E107" s="92" t="s">
        <v>265</v>
      </c>
      <c r="F107" s="93">
        <v>18135</v>
      </c>
      <c r="G107" s="93"/>
      <c r="H107" s="92" t="s">
        <v>265</v>
      </c>
      <c r="I107" s="94" t="s">
        <v>213</v>
      </c>
      <c r="J107" s="94"/>
      <c r="K107" s="95" t="s">
        <v>214</v>
      </c>
      <c r="L107" s="96">
        <v>4167362.3</v>
      </c>
    </row>
    <row r="108" spans="1:12" ht="51" hidden="1" x14ac:dyDescent="0.3">
      <c r="A108" s="90" t="s">
        <v>243</v>
      </c>
      <c r="B108" s="91" t="s">
        <v>556</v>
      </c>
      <c r="C108" s="91" t="s">
        <v>573</v>
      </c>
      <c r="D108" s="91" t="s">
        <v>432</v>
      </c>
      <c r="E108" s="92" t="s">
        <v>265</v>
      </c>
      <c r="F108" s="93">
        <v>54405</v>
      </c>
      <c r="G108" s="93"/>
      <c r="H108" s="92" t="s">
        <v>265</v>
      </c>
      <c r="I108" s="94" t="s">
        <v>213</v>
      </c>
      <c r="J108" s="94"/>
      <c r="K108" s="95" t="s">
        <v>214</v>
      </c>
      <c r="L108" s="96">
        <v>4221767.3</v>
      </c>
    </row>
    <row r="109" spans="1:12" ht="51" hidden="1" x14ac:dyDescent="0.3">
      <c r="A109" s="90" t="s">
        <v>243</v>
      </c>
      <c r="B109" s="91" t="s">
        <v>556</v>
      </c>
      <c r="C109" s="91" t="s">
        <v>573</v>
      </c>
      <c r="D109" s="91" t="s">
        <v>432</v>
      </c>
      <c r="E109" s="92" t="s">
        <v>265</v>
      </c>
      <c r="F109" s="93">
        <v>18135</v>
      </c>
      <c r="G109" s="93"/>
      <c r="H109" s="92" t="s">
        <v>265</v>
      </c>
      <c r="I109" s="94" t="s">
        <v>213</v>
      </c>
      <c r="J109" s="94"/>
      <c r="K109" s="95" t="s">
        <v>214</v>
      </c>
      <c r="L109" s="96">
        <v>4239902.3</v>
      </c>
    </row>
    <row r="110" spans="1:12" ht="51" hidden="1" x14ac:dyDescent="0.3">
      <c r="A110" s="90" t="s">
        <v>243</v>
      </c>
      <c r="B110" s="91" t="s">
        <v>556</v>
      </c>
      <c r="C110" s="91" t="s">
        <v>574</v>
      </c>
      <c r="D110" s="91" t="s">
        <v>434</v>
      </c>
      <c r="E110" s="92" t="s">
        <v>265</v>
      </c>
      <c r="F110" s="93">
        <v>54405</v>
      </c>
      <c r="G110" s="93"/>
      <c r="H110" s="92" t="s">
        <v>265</v>
      </c>
      <c r="I110" s="94" t="s">
        <v>213</v>
      </c>
      <c r="J110" s="94"/>
      <c r="K110" s="95" t="s">
        <v>214</v>
      </c>
      <c r="L110" s="96">
        <v>4294307.3</v>
      </c>
    </row>
    <row r="111" spans="1:12" ht="51" hidden="1" x14ac:dyDescent="0.3">
      <c r="A111" s="90" t="s">
        <v>243</v>
      </c>
      <c r="B111" s="91" t="s">
        <v>556</v>
      </c>
      <c r="C111" s="91" t="s">
        <v>574</v>
      </c>
      <c r="D111" s="91" t="s">
        <v>434</v>
      </c>
      <c r="E111" s="92" t="s">
        <v>265</v>
      </c>
      <c r="F111" s="93">
        <v>18135</v>
      </c>
      <c r="G111" s="93"/>
      <c r="H111" s="92" t="s">
        <v>265</v>
      </c>
      <c r="I111" s="94" t="s">
        <v>213</v>
      </c>
      <c r="J111" s="94"/>
      <c r="K111" s="95" t="s">
        <v>214</v>
      </c>
      <c r="L111" s="96">
        <v>4312442.3</v>
      </c>
    </row>
    <row r="112" spans="1:12" ht="51" hidden="1" x14ac:dyDescent="0.3">
      <c r="A112" s="90" t="s">
        <v>243</v>
      </c>
      <c r="B112" s="91" t="s">
        <v>556</v>
      </c>
      <c r="C112" s="91" t="s">
        <v>575</v>
      </c>
      <c r="D112" s="91" t="s">
        <v>437</v>
      </c>
      <c r="E112" s="92" t="s">
        <v>265</v>
      </c>
      <c r="F112" s="93">
        <v>54405</v>
      </c>
      <c r="G112" s="93"/>
      <c r="H112" s="92" t="s">
        <v>265</v>
      </c>
      <c r="I112" s="94" t="s">
        <v>213</v>
      </c>
      <c r="J112" s="94"/>
      <c r="K112" s="95" t="s">
        <v>214</v>
      </c>
      <c r="L112" s="96">
        <v>4366847.3</v>
      </c>
    </row>
    <row r="113" spans="1:12" ht="51" hidden="1" x14ac:dyDescent="0.3">
      <c r="A113" s="90" t="s">
        <v>243</v>
      </c>
      <c r="B113" s="91" t="s">
        <v>556</v>
      </c>
      <c r="C113" s="91" t="s">
        <v>575</v>
      </c>
      <c r="D113" s="91" t="s">
        <v>437</v>
      </c>
      <c r="E113" s="92" t="s">
        <v>265</v>
      </c>
      <c r="F113" s="93">
        <v>18135</v>
      </c>
      <c r="G113" s="93"/>
      <c r="H113" s="92" t="s">
        <v>265</v>
      </c>
      <c r="I113" s="94" t="s">
        <v>213</v>
      </c>
      <c r="J113" s="94"/>
      <c r="K113" s="95" t="s">
        <v>214</v>
      </c>
      <c r="L113" s="96">
        <v>4384982.3</v>
      </c>
    </row>
    <row r="114" spans="1:12" ht="51" hidden="1" x14ac:dyDescent="0.3">
      <c r="A114" s="90" t="s">
        <v>243</v>
      </c>
      <c r="B114" s="91" t="s">
        <v>556</v>
      </c>
      <c r="C114" s="91" t="s">
        <v>576</v>
      </c>
      <c r="D114" s="91" t="s">
        <v>439</v>
      </c>
      <c r="E114" s="92" t="s">
        <v>265</v>
      </c>
      <c r="F114" s="93">
        <v>54405</v>
      </c>
      <c r="G114" s="93"/>
      <c r="H114" s="92" t="s">
        <v>265</v>
      </c>
      <c r="I114" s="94" t="s">
        <v>213</v>
      </c>
      <c r="J114" s="94"/>
      <c r="K114" s="95" t="s">
        <v>214</v>
      </c>
      <c r="L114" s="96">
        <v>4439387.3</v>
      </c>
    </row>
    <row r="115" spans="1:12" ht="51" hidden="1" x14ac:dyDescent="0.3">
      <c r="A115" s="90" t="s">
        <v>243</v>
      </c>
      <c r="B115" s="91" t="s">
        <v>556</v>
      </c>
      <c r="C115" s="91" t="s">
        <v>576</v>
      </c>
      <c r="D115" s="91" t="s">
        <v>439</v>
      </c>
      <c r="E115" s="92" t="s">
        <v>265</v>
      </c>
      <c r="F115" s="93">
        <v>18135</v>
      </c>
      <c r="G115" s="93"/>
      <c r="H115" s="92" t="s">
        <v>265</v>
      </c>
      <c r="I115" s="94" t="s">
        <v>213</v>
      </c>
      <c r="J115" s="94"/>
      <c r="K115" s="95" t="s">
        <v>214</v>
      </c>
      <c r="L115" s="96">
        <v>4457522.3</v>
      </c>
    </row>
    <row r="116" spans="1:12" ht="51" hidden="1" x14ac:dyDescent="0.3">
      <c r="A116" s="90" t="s">
        <v>243</v>
      </c>
      <c r="B116" s="91" t="s">
        <v>556</v>
      </c>
      <c r="C116" s="91" t="s">
        <v>577</v>
      </c>
      <c r="D116" s="91" t="s">
        <v>441</v>
      </c>
      <c r="E116" s="92" t="s">
        <v>265</v>
      </c>
      <c r="F116" s="93">
        <v>36270</v>
      </c>
      <c r="G116" s="93"/>
      <c r="H116" s="92" t="s">
        <v>265</v>
      </c>
      <c r="I116" s="94" t="s">
        <v>213</v>
      </c>
      <c r="J116" s="94"/>
      <c r="K116" s="95" t="s">
        <v>214</v>
      </c>
      <c r="L116" s="96">
        <v>4493792.3</v>
      </c>
    </row>
    <row r="117" spans="1:12" ht="51" hidden="1" x14ac:dyDescent="0.3">
      <c r="A117" s="90" t="s">
        <v>243</v>
      </c>
      <c r="B117" s="91" t="s">
        <v>556</v>
      </c>
      <c r="C117" s="91" t="s">
        <v>577</v>
      </c>
      <c r="D117" s="91" t="s">
        <v>441</v>
      </c>
      <c r="E117" s="92" t="s">
        <v>265</v>
      </c>
      <c r="F117" s="93">
        <v>18135</v>
      </c>
      <c r="G117" s="93"/>
      <c r="H117" s="92" t="s">
        <v>265</v>
      </c>
      <c r="I117" s="94" t="s">
        <v>213</v>
      </c>
      <c r="J117" s="94"/>
      <c r="K117" s="95" t="s">
        <v>214</v>
      </c>
      <c r="L117" s="96">
        <v>4511927.3</v>
      </c>
    </row>
    <row r="118" spans="1:12" ht="51" hidden="1" x14ac:dyDescent="0.3">
      <c r="A118" s="90" t="s">
        <v>243</v>
      </c>
      <c r="B118" s="91" t="s">
        <v>556</v>
      </c>
      <c r="C118" s="91" t="s">
        <v>577</v>
      </c>
      <c r="D118" s="91" t="s">
        <v>441</v>
      </c>
      <c r="E118" s="92" t="s">
        <v>265</v>
      </c>
      <c r="F118" s="93">
        <v>18135</v>
      </c>
      <c r="G118" s="93"/>
      <c r="H118" s="92" t="s">
        <v>265</v>
      </c>
      <c r="I118" s="94" t="s">
        <v>213</v>
      </c>
      <c r="J118" s="94"/>
      <c r="K118" s="95" t="s">
        <v>214</v>
      </c>
      <c r="L118" s="96">
        <v>4530062.3</v>
      </c>
    </row>
    <row r="119" spans="1:12" ht="51" hidden="1" x14ac:dyDescent="0.3">
      <c r="A119" s="90" t="s">
        <v>243</v>
      </c>
      <c r="B119" s="91" t="s">
        <v>556</v>
      </c>
      <c r="C119" s="91" t="s">
        <v>578</v>
      </c>
      <c r="D119" s="91" t="s">
        <v>443</v>
      </c>
      <c r="E119" s="92" t="s">
        <v>265</v>
      </c>
      <c r="F119" s="93">
        <v>27202.5</v>
      </c>
      <c r="G119" s="93"/>
      <c r="H119" s="92" t="s">
        <v>265</v>
      </c>
      <c r="I119" s="94" t="s">
        <v>213</v>
      </c>
      <c r="J119" s="94"/>
      <c r="K119" s="95" t="s">
        <v>214</v>
      </c>
      <c r="L119" s="96">
        <v>4557264.8</v>
      </c>
    </row>
    <row r="120" spans="1:12" ht="51" hidden="1" x14ac:dyDescent="0.3">
      <c r="A120" s="90" t="s">
        <v>243</v>
      </c>
      <c r="B120" s="91" t="s">
        <v>556</v>
      </c>
      <c r="C120" s="91" t="s">
        <v>578</v>
      </c>
      <c r="D120" s="91" t="s">
        <v>443</v>
      </c>
      <c r="E120" s="92" t="s">
        <v>265</v>
      </c>
      <c r="F120" s="93">
        <v>45337.5</v>
      </c>
      <c r="G120" s="93"/>
      <c r="H120" s="92" t="s">
        <v>265</v>
      </c>
      <c r="I120" s="94" t="s">
        <v>213</v>
      </c>
      <c r="J120" s="94"/>
      <c r="K120" s="95" t="s">
        <v>214</v>
      </c>
      <c r="L120" s="96">
        <v>4602602.3</v>
      </c>
    </row>
    <row r="121" spans="1:12" ht="51" hidden="1" x14ac:dyDescent="0.3">
      <c r="A121" s="90" t="s">
        <v>243</v>
      </c>
      <c r="B121" s="91" t="s">
        <v>556</v>
      </c>
      <c r="C121" s="91" t="s">
        <v>579</v>
      </c>
      <c r="D121" s="91" t="s">
        <v>445</v>
      </c>
      <c r="E121" s="92" t="s">
        <v>265</v>
      </c>
      <c r="F121" s="93">
        <v>27202.5</v>
      </c>
      <c r="G121" s="93"/>
      <c r="H121" s="92" t="s">
        <v>265</v>
      </c>
      <c r="I121" s="94" t="s">
        <v>213</v>
      </c>
      <c r="J121" s="94"/>
      <c r="K121" s="95" t="s">
        <v>214</v>
      </c>
      <c r="L121" s="96">
        <v>4629804.8</v>
      </c>
    </row>
    <row r="122" spans="1:12" ht="51" hidden="1" x14ac:dyDescent="0.3">
      <c r="A122" s="90" t="s">
        <v>243</v>
      </c>
      <c r="B122" s="91" t="s">
        <v>556</v>
      </c>
      <c r="C122" s="91" t="s">
        <v>579</v>
      </c>
      <c r="D122" s="91" t="s">
        <v>445</v>
      </c>
      <c r="E122" s="92" t="s">
        <v>265</v>
      </c>
      <c r="F122" s="93">
        <v>45337.5</v>
      </c>
      <c r="G122" s="93"/>
      <c r="H122" s="92" t="s">
        <v>265</v>
      </c>
      <c r="I122" s="94" t="s">
        <v>213</v>
      </c>
      <c r="J122" s="94"/>
      <c r="K122" s="95" t="s">
        <v>214</v>
      </c>
      <c r="L122" s="96">
        <v>4675142.3</v>
      </c>
    </row>
    <row r="123" spans="1:12" ht="51" hidden="1" x14ac:dyDescent="0.3">
      <c r="A123" s="90" t="s">
        <v>243</v>
      </c>
      <c r="B123" s="91" t="s">
        <v>556</v>
      </c>
      <c r="C123" s="91" t="s">
        <v>580</v>
      </c>
      <c r="D123" s="91" t="s">
        <v>452</v>
      </c>
      <c r="E123" s="92" t="s">
        <v>265</v>
      </c>
      <c r="F123" s="93">
        <v>27202.5</v>
      </c>
      <c r="G123" s="93"/>
      <c r="H123" s="92" t="s">
        <v>265</v>
      </c>
      <c r="I123" s="94" t="s">
        <v>213</v>
      </c>
      <c r="J123" s="94"/>
      <c r="K123" s="95" t="s">
        <v>214</v>
      </c>
      <c r="L123" s="96">
        <v>4702344.8</v>
      </c>
    </row>
    <row r="124" spans="1:12" ht="51" hidden="1" x14ac:dyDescent="0.3">
      <c r="A124" s="90" t="s">
        <v>243</v>
      </c>
      <c r="B124" s="91" t="s">
        <v>556</v>
      </c>
      <c r="C124" s="91" t="s">
        <v>581</v>
      </c>
      <c r="D124" s="91" t="s">
        <v>454</v>
      </c>
      <c r="E124" s="92" t="s">
        <v>265</v>
      </c>
      <c r="F124" s="93">
        <v>72540</v>
      </c>
      <c r="G124" s="93"/>
      <c r="H124" s="92" t="s">
        <v>265</v>
      </c>
      <c r="I124" s="94" t="s">
        <v>213</v>
      </c>
      <c r="J124" s="94"/>
      <c r="K124" s="95" t="s">
        <v>214</v>
      </c>
      <c r="L124" s="96">
        <v>4774884.8</v>
      </c>
    </row>
    <row r="125" spans="1:12" ht="51" hidden="1" x14ac:dyDescent="0.3">
      <c r="A125" s="90" t="s">
        <v>243</v>
      </c>
      <c r="B125" s="91" t="s">
        <v>556</v>
      </c>
      <c r="C125" s="91" t="s">
        <v>582</v>
      </c>
      <c r="D125" s="91" t="s">
        <v>464</v>
      </c>
      <c r="E125" s="92" t="s">
        <v>265</v>
      </c>
      <c r="F125" s="93">
        <v>27202.5</v>
      </c>
      <c r="G125" s="93"/>
      <c r="H125" s="92" t="s">
        <v>265</v>
      </c>
      <c r="I125" s="94" t="s">
        <v>213</v>
      </c>
      <c r="J125" s="94"/>
      <c r="K125" s="95" t="s">
        <v>214</v>
      </c>
      <c r="L125" s="96">
        <v>4802087.3</v>
      </c>
    </row>
    <row r="126" spans="1:12" ht="51" hidden="1" x14ac:dyDescent="0.3">
      <c r="A126" s="90" t="s">
        <v>243</v>
      </c>
      <c r="B126" s="91" t="s">
        <v>556</v>
      </c>
      <c r="C126" s="91" t="s">
        <v>555</v>
      </c>
      <c r="D126" s="91" t="s">
        <v>476</v>
      </c>
      <c r="E126" s="92" t="s">
        <v>265</v>
      </c>
      <c r="F126" s="93">
        <v>45060</v>
      </c>
      <c r="G126" s="93"/>
      <c r="H126" s="92" t="s">
        <v>265</v>
      </c>
      <c r="I126" s="94" t="s">
        <v>213</v>
      </c>
      <c r="J126" s="94"/>
      <c r="K126" s="95" t="s">
        <v>214</v>
      </c>
      <c r="L126" s="96">
        <v>4847147.3</v>
      </c>
    </row>
    <row r="127" spans="1:12" ht="51" hidden="1" x14ac:dyDescent="0.3">
      <c r="A127" s="90" t="s">
        <v>243</v>
      </c>
      <c r="B127" s="91" t="s">
        <v>556</v>
      </c>
      <c r="C127" s="91" t="s">
        <v>583</v>
      </c>
      <c r="D127" s="91" t="s">
        <v>478</v>
      </c>
      <c r="E127" s="92" t="s">
        <v>265</v>
      </c>
      <c r="F127" s="93">
        <v>30040</v>
      </c>
      <c r="G127" s="93"/>
      <c r="H127" s="92" t="s">
        <v>265</v>
      </c>
      <c r="I127" s="94" t="s">
        <v>213</v>
      </c>
      <c r="J127" s="94"/>
      <c r="K127" s="95" t="s">
        <v>214</v>
      </c>
      <c r="L127" s="96">
        <v>4877187.3</v>
      </c>
    </row>
    <row r="128" spans="1:12" ht="51" hidden="1" x14ac:dyDescent="0.3">
      <c r="A128" s="90" t="s">
        <v>243</v>
      </c>
      <c r="B128" s="91" t="s">
        <v>556</v>
      </c>
      <c r="C128" s="91" t="s">
        <v>583</v>
      </c>
      <c r="D128" s="91" t="s">
        <v>478</v>
      </c>
      <c r="E128" s="92" t="s">
        <v>265</v>
      </c>
      <c r="F128" s="93">
        <v>37550</v>
      </c>
      <c r="G128" s="93"/>
      <c r="H128" s="92" t="s">
        <v>265</v>
      </c>
      <c r="I128" s="94" t="s">
        <v>213</v>
      </c>
      <c r="J128" s="94"/>
      <c r="K128" s="95" t="s">
        <v>214</v>
      </c>
      <c r="L128" s="96">
        <v>4914737.3</v>
      </c>
    </row>
    <row r="129" spans="1:12" ht="51" hidden="1" x14ac:dyDescent="0.3">
      <c r="A129" s="90" t="s">
        <v>243</v>
      </c>
      <c r="B129" s="91" t="s">
        <v>556</v>
      </c>
      <c r="C129" s="91" t="s">
        <v>584</v>
      </c>
      <c r="D129" s="91" t="s">
        <v>480</v>
      </c>
      <c r="E129" s="92" t="s">
        <v>265</v>
      </c>
      <c r="F129" s="93">
        <v>7510</v>
      </c>
      <c r="G129" s="93"/>
      <c r="H129" s="92" t="s">
        <v>265</v>
      </c>
      <c r="I129" s="94" t="s">
        <v>213</v>
      </c>
      <c r="J129" s="94"/>
      <c r="K129" s="95" t="s">
        <v>214</v>
      </c>
      <c r="L129" s="96">
        <v>4922247.3</v>
      </c>
    </row>
    <row r="130" spans="1:12" ht="51" hidden="1" x14ac:dyDescent="0.3">
      <c r="A130" s="90" t="s">
        <v>243</v>
      </c>
      <c r="B130" s="91" t="s">
        <v>556</v>
      </c>
      <c r="C130" s="91" t="s">
        <v>585</v>
      </c>
      <c r="D130" s="91" t="s">
        <v>482</v>
      </c>
      <c r="E130" s="92" t="s">
        <v>265</v>
      </c>
      <c r="F130" s="93">
        <v>75100</v>
      </c>
      <c r="G130" s="93"/>
      <c r="H130" s="92" t="s">
        <v>265</v>
      </c>
      <c r="I130" s="94" t="s">
        <v>213</v>
      </c>
      <c r="J130" s="94"/>
      <c r="K130" s="95" t="s">
        <v>214</v>
      </c>
      <c r="L130" s="96">
        <v>4997347.3</v>
      </c>
    </row>
    <row r="131" spans="1:12" ht="51" hidden="1" x14ac:dyDescent="0.3">
      <c r="A131" s="90" t="s">
        <v>243</v>
      </c>
      <c r="B131" s="91" t="s">
        <v>556</v>
      </c>
      <c r="C131" s="91" t="s">
        <v>586</v>
      </c>
      <c r="D131" s="91" t="s">
        <v>484</v>
      </c>
      <c r="E131" s="92" t="s">
        <v>265</v>
      </c>
      <c r="F131" s="93">
        <v>75100</v>
      </c>
      <c r="G131" s="93"/>
      <c r="H131" s="92" t="s">
        <v>265</v>
      </c>
      <c r="I131" s="94" t="s">
        <v>213</v>
      </c>
      <c r="J131" s="94"/>
      <c r="K131" s="95" t="s">
        <v>214</v>
      </c>
      <c r="L131" s="96">
        <v>5072447.3</v>
      </c>
    </row>
    <row r="132" spans="1:12" ht="51" hidden="1" x14ac:dyDescent="0.3">
      <c r="A132" s="90" t="s">
        <v>243</v>
      </c>
      <c r="B132" s="91" t="s">
        <v>556</v>
      </c>
      <c r="C132" s="91" t="s">
        <v>587</v>
      </c>
      <c r="D132" s="91" t="s">
        <v>486</v>
      </c>
      <c r="E132" s="92" t="s">
        <v>265</v>
      </c>
      <c r="F132" s="93">
        <v>75100</v>
      </c>
      <c r="G132" s="93"/>
      <c r="H132" s="92" t="s">
        <v>265</v>
      </c>
      <c r="I132" s="94" t="s">
        <v>213</v>
      </c>
      <c r="J132" s="94"/>
      <c r="K132" s="95" t="s">
        <v>214</v>
      </c>
      <c r="L132" s="96">
        <v>5147547.3</v>
      </c>
    </row>
    <row r="133" spans="1:12" ht="51" hidden="1" x14ac:dyDescent="0.3">
      <c r="A133" s="90" t="s">
        <v>243</v>
      </c>
      <c r="B133" s="91" t="s">
        <v>556</v>
      </c>
      <c r="C133" s="91" t="s">
        <v>588</v>
      </c>
      <c r="D133" s="91" t="s">
        <v>489</v>
      </c>
      <c r="E133" s="92" t="s">
        <v>265</v>
      </c>
      <c r="F133" s="93">
        <v>75100</v>
      </c>
      <c r="G133" s="93"/>
      <c r="H133" s="92" t="s">
        <v>265</v>
      </c>
      <c r="I133" s="94" t="s">
        <v>213</v>
      </c>
      <c r="J133" s="94"/>
      <c r="K133" s="95" t="s">
        <v>214</v>
      </c>
      <c r="L133" s="96">
        <v>5222647.3</v>
      </c>
    </row>
    <row r="134" spans="1:12" ht="51" hidden="1" x14ac:dyDescent="0.3">
      <c r="A134" s="90" t="s">
        <v>247</v>
      </c>
      <c r="B134" s="91" t="s">
        <v>829</v>
      </c>
      <c r="C134" s="91" t="s">
        <v>830</v>
      </c>
      <c r="D134" s="91" t="s">
        <v>492</v>
      </c>
      <c r="E134" s="92" t="s">
        <v>265</v>
      </c>
      <c r="F134" s="93">
        <v>37550</v>
      </c>
      <c r="G134" s="93"/>
      <c r="H134" s="92" t="s">
        <v>265</v>
      </c>
      <c r="I134" s="94" t="s">
        <v>213</v>
      </c>
      <c r="J134" s="94"/>
      <c r="K134" s="95" t="s">
        <v>214</v>
      </c>
      <c r="L134" s="96">
        <v>5260197.3</v>
      </c>
    </row>
    <row r="135" spans="1:12" ht="51" hidden="1" x14ac:dyDescent="0.3">
      <c r="A135" s="90" t="s">
        <v>247</v>
      </c>
      <c r="B135" s="91" t="s">
        <v>829</v>
      </c>
      <c r="C135" s="91" t="s">
        <v>831</v>
      </c>
      <c r="D135" s="91" t="s">
        <v>494</v>
      </c>
      <c r="E135" s="92" t="s">
        <v>265</v>
      </c>
      <c r="F135" s="93">
        <v>30040</v>
      </c>
      <c r="G135" s="93"/>
      <c r="H135" s="92" t="s">
        <v>265</v>
      </c>
      <c r="I135" s="94" t="s">
        <v>213</v>
      </c>
      <c r="J135" s="94"/>
      <c r="K135" s="95" t="s">
        <v>214</v>
      </c>
      <c r="L135" s="96">
        <v>5290237.3</v>
      </c>
    </row>
    <row r="136" spans="1:12" ht="51" hidden="1" x14ac:dyDescent="0.3">
      <c r="A136" s="90" t="s">
        <v>247</v>
      </c>
      <c r="B136" s="91" t="s">
        <v>829</v>
      </c>
      <c r="C136" s="91" t="s">
        <v>831</v>
      </c>
      <c r="D136" s="91" t="s">
        <v>494</v>
      </c>
      <c r="E136" s="92" t="s">
        <v>265</v>
      </c>
      <c r="F136" s="93">
        <v>7510</v>
      </c>
      <c r="G136" s="93"/>
      <c r="H136" s="92" t="s">
        <v>265</v>
      </c>
      <c r="I136" s="94" t="s">
        <v>213</v>
      </c>
      <c r="J136" s="94"/>
      <c r="K136" s="95" t="s">
        <v>214</v>
      </c>
      <c r="L136" s="96">
        <v>5297747.3</v>
      </c>
    </row>
    <row r="137" spans="1:12" ht="51" hidden="1" x14ac:dyDescent="0.3">
      <c r="A137" s="90" t="s">
        <v>247</v>
      </c>
      <c r="B137" s="91" t="s">
        <v>829</v>
      </c>
      <c r="C137" s="91" t="s">
        <v>832</v>
      </c>
      <c r="D137" s="91" t="s">
        <v>496</v>
      </c>
      <c r="E137" s="92" t="s">
        <v>265</v>
      </c>
      <c r="F137" s="93">
        <v>37550</v>
      </c>
      <c r="G137" s="93"/>
      <c r="H137" s="92" t="s">
        <v>265</v>
      </c>
      <c r="I137" s="94" t="s">
        <v>213</v>
      </c>
      <c r="J137" s="94"/>
      <c r="K137" s="95" t="s">
        <v>214</v>
      </c>
      <c r="L137" s="96">
        <v>5335297.3</v>
      </c>
    </row>
    <row r="138" spans="1:12" ht="51" hidden="1" x14ac:dyDescent="0.3">
      <c r="A138" s="90" t="s">
        <v>247</v>
      </c>
      <c r="B138" s="91" t="s">
        <v>829</v>
      </c>
      <c r="C138" s="91" t="s">
        <v>833</v>
      </c>
      <c r="D138" s="91" t="s">
        <v>498</v>
      </c>
      <c r="E138" s="92" t="s">
        <v>265</v>
      </c>
      <c r="F138" s="93">
        <v>37550</v>
      </c>
      <c r="G138" s="93"/>
      <c r="H138" s="92" t="s">
        <v>265</v>
      </c>
      <c r="I138" s="94" t="s">
        <v>213</v>
      </c>
      <c r="J138" s="94"/>
      <c r="K138" s="95" t="s">
        <v>214</v>
      </c>
      <c r="L138" s="96">
        <v>5372847.2999999998</v>
      </c>
    </row>
    <row r="139" spans="1:12" ht="51" hidden="1" x14ac:dyDescent="0.3">
      <c r="A139" s="90" t="s">
        <v>247</v>
      </c>
      <c r="B139" s="91" t="s">
        <v>829</v>
      </c>
      <c r="C139" s="91" t="s">
        <v>834</v>
      </c>
      <c r="D139" s="91" t="s">
        <v>527</v>
      </c>
      <c r="E139" s="92" t="s">
        <v>265</v>
      </c>
      <c r="F139" s="93">
        <v>37550</v>
      </c>
      <c r="G139" s="93"/>
      <c r="H139" s="92" t="s">
        <v>265</v>
      </c>
      <c r="I139" s="94" t="s">
        <v>213</v>
      </c>
      <c r="J139" s="94"/>
      <c r="K139" s="95" t="s">
        <v>214</v>
      </c>
      <c r="L139" s="96">
        <v>5410397.2999999998</v>
      </c>
    </row>
    <row r="140" spans="1:12" ht="51" hidden="1" x14ac:dyDescent="0.3">
      <c r="A140" s="90" t="s">
        <v>247</v>
      </c>
      <c r="B140" s="91" t="s">
        <v>829</v>
      </c>
      <c r="C140" s="91" t="s">
        <v>834</v>
      </c>
      <c r="D140" s="91" t="s">
        <v>527</v>
      </c>
      <c r="E140" s="92" t="s">
        <v>265</v>
      </c>
      <c r="F140" s="93">
        <v>37550</v>
      </c>
      <c r="G140" s="93"/>
      <c r="H140" s="92" t="s">
        <v>265</v>
      </c>
      <c r="I140" s="94" t="s">
        <v>213</v>
      </c>
      <c r="J140" s="94"/>
      <c r="K140" s="95" t="s">
        <v>214</v>
      </c>
      <c r="L140" s="96">
        <v>5447947.2999999998</v>
      </c>
    </row>
    <row r="141" spans="1:12" ht="51" hidden="1" x14ac:dyDescent="0.3">
      <c r="A141" s="90" t="s">
        <v>247</v>
      </c>
      <c r="B141" s="91" t="s">
        <v>829</v>
      </c>
      <c r="C141" s="91" t="s">
        <v>835</v>
      </c>
      <c r="D141" s="91" t="s">
        <v>543</v>
      </c>
      <c r="E141" s="92" t="s">
        <v>265</v>
      </c>
      <c r="F141" s="93">
        <v>37550</v>
      </c>
      <c r="G141" s="93"/>
      <c r="H141" s="92" t="s">
        <v>265</v>
      </c>
      <c r="I141" s="94" t="s">
        <v>213</v>
      </c>
      <c r="J141" s="94"/>
      <c r="K141" s="95" t="s">
        <v>214</v>
      </c>
      <c r="L141" s="96">
        <v>5485497.2999999998</v>
      </c>
    </row>
    <row r="142" spans="1:12" ht="51" hidden="1" x14ac:dyDescent="0.3">
      <c r="A142" s="90" t="s">
        <v>247</v>
      </c>
      <c r="B142" s="91" t="s">
        <v>829</v>
      </c>
      <c r="C142" s="91" t="s">
        <v>836</v>
      </c>
      <c r="D142" s="91" t="s">
        <v>522</v>
      </c>
      <c r="E142" s="92" t="s">
        <v>265</v>
      </c>
      <c r="F142" s="93">
        <v>72540</v>
      </c>
      <c r="G142" s="93"/>
      <c r="H142" s="92" t="s">
        <v>265</v>
      </c>
      <c r="I142" s="94" t="s">
        <v>213</v>
      </c>
      <c r="J142" s="94"/>
      <c r="K142" s="95" t="s">
        <v>214</v>
      </c>
      <c r="L142" s="96">
        <v>5558037.2999999998</v>
      </c>
    </row>
    <row r="143" spans="1:12" ht="51" hidden="1" x14ac:dyDescent="0.3">
      <c r="A143" s="90" t="s">
        <v>247</v>
      </c>
      <c r="B143" s="91" t="s">
        <v>829</v>
      </c>
      <c r="C143" s="91" t="s">
        <v>837</v>
      </c>
      <c r="D143" s="91" t="s">
        <v>525</v>
      </c>
      <c r="E143" s="92" t="s">
        <v>265</v>
      </c>
      <c r="F143" s="93">
        <v>72540</v>
      </c>
      <c r="G143" s="93"/>
      <c r="H143" s="92" t="s">
        <v>265</v>
      </c>
      <c r="I143" s="94" t="s">
        <v>213</v>
      </c>
      <c r="J143" s="94"/>
      <c r="K143" s="95" t="s">
        <v>214</v>
      </c>
      <c r="L143" s="96">
        <v>5630577.2999999998</v>
      </c>
    </row>
    <row r="144" spans="1:12" ht="51" hidden="1" x14ac:dyDescent="0.3">
      <c r="A144" s="90" t="s">
        <v>247</v>
      </c>
      <c r="B144" s="91" t="s">
        <v>829</v>
      </c>
      <c r="C144" s="91" t="s">
        <v>838</v>
      </c>
      <c r="D144" s="91" t="s">
        <v>530</v>
      </c>
      <c r="E144" s="92" t="s">
        <v>265</v>
      </c>
      <c r="F144" s="93">
        <v>41545.75</v>
      </c>
      <c r="G144" s="93"/>
      <c r="H144" s="92" t="s">
        <v>265</v>
      </c>
      <c r="I144" s="94" t="s">
        <v>213</v>
      </c>
      <c r="J144" s="94"/>
      <c r="K144" s="95" t="s">
        <v>214</v>
      </c>
      <c r="L144" s="96">
        <v>5672123.0499999998</v>
      </c>
    </row>
    <row r="145" spans="1:12" ht="51" hidden="1" x14ac:dyDescent="0.3">
      <c r="A145" s="90" t="s">
        <v>247</v>
      </c>
      <c r="B145" s="91" t="s">
        <v>829</v>
      </c>
      <c r="C145" s="91" t="s">
        <v>838</v>
      </c>
      <c r="D145" s="91" t="s">
        <v>530</v>
      </c>
      <c r="E145" s="92" t="s">
        <v>265</v>
      </c>
      <c r="F145" s="93">
        <v>33236.6</v>
      </c>
      <c r="G145" s="93"/>
      <c r="H145" s="92" t="s">
        <v>265</v>
      </c>
      <c r="I145" s="94" t="s">
        <v>213</v>
      </c>
      <c r="J145" s="94"/>
      <c r="K145" s="95" t="s">
        <v>214</v>
      </c>
      <c r="L145" s="96">
        <v>5705359.6500000004</v>
      </c>
    </row>
    <row r="146" spans="1:12" ht="51" hidden="1" x14ac:dyDescent="0.3">
      <c r="A146" s="90" t="s">
        <v>247</v>
      </c>
      <c r="B146" s="91" t="s">
        <v>829</v>
      </c>
      <c r="C146" s="91" t="s">
        <v>839</v>
      </c>
      <c r="D146" s="91" t="s">
        <v>532</v>
      </c>
      <c r="E146" s="92" t="s">
        <v>265</v>
      </c>
      <c r="F146" s="93">
        <v>8309.15</v>
      </c>
      <c r="G146" s="93"/>
      <c r="H146" s="92" t="s">
        <v>265</v>
      </c>
      <c r="I146" s="94" t="s">
        <v>213</v>
      </c>
      <c r="J146" s="94"/>
      <c r="K146" s="95" t="s">
        <v>214</v>
      </c>
      <c r="L146" s="96">
        <v>5713668.7999999998</v>
      </c>
    </row>
    <row r="147" spans="1:12" ht="51" hidden="1" x14ac:dyDescent="0.3">
      <c r="A147" s="90" t="s">
        <v>247</v>
      </c>
      <c r="B147" s="91" t="s">
        <v>829</v>
      </c>
      <c r="C147" s="91" t="s">
        <v>839</v>
      </c>
      <c r="D147" s="91" t="s">
        <v>532</v>
      </c>
      <c r="E147" s="92" t="s">
        <v>265</v>
      </c>
      <c r="F147" s="93">
        <v>41545.75</v>
      </c>
      <c r="G147" s="93"/>
      <c r="H147" s="92" t="s">
        <v>265</v>
      </c>
      <c r="I147" s="94" t="s">
        <v>213</v>
      </c>
      <c r="J147" s="94"/>
      <c r="K147" s="95" t="s">
        <v>214</v>
      </c>
      <c r="L147" s="96">
        <v>5755214.5499999998</v>
      </c>
    </row>
    <row r="148" spans="1:12" ht="51" hidden="1" x14ac:dyDescent="0.3">
      <c r="A148" s="90" t="s">
        <v>247</v>
      </c>
      <c r="B148" s="91" t="s">
        <v>829</v>
      </c>
      <c r="C148" s="91" t="s">
        <v>839</v>
      </c>
      <c r="D148" s="91" t="s">
        <v>532</v>
      </c>
      <c r="E148" s="92" t="s">
        <v>265</v>
      </c>
      <c r="F148" s="93">
        <v>24927.45</v>
      </c>
      <c r="G148" s="93"/>
      <c r="H148" s="92" t="s">
        <v>265</v>
      </c>
      <c r="I148" s="94" t="s">
        <v>213</v>
      </c>
      <c r="J148" s="94"/>
      <c r="K148" s="95" t="s">
        <v>214</v>
      </c>
      <c r="L148" s="96">
        <v>5780142</v>
      </c>
    </row>
    <row r="149" spans="1:12" ht="51" hidden="1" x14ac:dyDescent="0.3">
      <c r="A149" s="90" t="s">
        <v>247</v>
      </c>
      <c r="B149" s="91" t="s">
        <v>829</v>
      </c>
      <c r="C149" s="91" t="s">
        <v>840</v>
      </c>
      <c r="D149" s="91" t="s">
        <v>534</v>
      </c>
      <c r="E149" s="92" t="s">
        <v>265</v>
      </c>
      <c r="F149" s="93">
        <v>16618.3</v>
      </c>
      <c r="G149" s="93"/>
      <c r="H149" s="92" t="s">
        <v>265</v>
      </c>
      <c r="I149" s="94" t="s">
        <v>213</v>
      </c>
      <c r="J149" s="94"/>
      <c r="K149" s="95" t="s">
        <v>214</v>
      </c>
      <c r="L149" s="96">
        <v>5796760.2999999998</v>
      </c>
    </row>
    <row r="150" spans="1:12" ht="51" hidden="1" x14ac:dyDescent="0.3">
      <c r="A150" s="90" t="s">
        <v>247</v>
      </c>
      <c r="B150" s="91" t="s">
        <v>829</v>
      </c>
      <c r="C150" s="91" t="s">
        <v>840</v>
      </c>
      <c r="D150" s="91" t="s">
        <v>534</v>
      </c>
      <c r="E150" s="92" t="s">
        <v>265</v>
      </c>
      <c r="F150" s="93">
        <v>33236.6</v>
      </c>
      <c r="G150" s="93"/>
      <c r="H150" s="92" t="s">
        <v>265</v>
      </c>
      <c r="I150" s="94" t="s">
        <v>213</v>
      </c>
      <c r="J150" s="94"/>
      <c r="K150" s="95" t="s">
        <v>214</v>
      </c>
      <c r="L150" s="96">
        <v>5829996.9000000004</v>
      </c>
    </row>
    <row r="151" spans="1:12" ht="51" hidden="1" x14ac:dyDescent="0.3">
      <c r="A151" s="90" t="s">
        <v>247</v>
      </c>
      <c r="B151" s="91" t="s">
        <v>829</v>
      </c>
      <c r="C151" s="91" t="s">
        <v>840</v>
      </c>
      <c r="D151" s="91" t="s">
        <v>534</v>
      </c>
      <c r="E151" s="92" t="s">
        <v>265</v>
      </c>
      <c r="F151" s="93">
        <v>24927.45</v>
      </c>
      <c r="G151" s="93"/>
      <c r="H151" s="92" t="s">
        <v>265</v>
      </c>
      <c r="I151" s="94" t="s">
        <v>213</v>
      </c>
      <c r="J151" s="94"/>
      <c r="K151" s="95" t="s">
        <v>214</v>
      </c>
      <c r="L151" s="96">
        <v>5854924.3499999996</v>
      </c>
    </row>
    <row r="152" spans="1:12" ht="51" hidden="1" x14ac:dyDescent="0.3">
      <c r="A152" s="90" t="s">
        <v>247</v>
      </c>
      <c r="B152" s="91" t="s">
        <v>829</v>
      </c>
      <c r="C152" s="91" t="s">
        <v>841</v>
      </c>
      <c r="D152" s="91" t="s">
        <v>536</v>
      </c>
      <c r="E152" s="92" t="s">
        <v>265</v>
      </c>
      <c r="F152" s="93">
        <v>16618.3</v>
      </c>
      <c r="G152" s="93"/>
      <c r="H152" s="92" t="s">
        <v>265</v>
      </c>
      <c r="I152" s="94" t="s">
        <v>213</v>
      </c>
      <c r="J152" s="94"/>
      <c r="K152" s="95" t="s">
        <v>214</v>
      </c>
      <c r="L152" s="96">
        <v>5871542.6500000004</v>
      </c>
    </row>
    <row r="153" spans="1:12" ht="51" hidden="1" x14ac:dyDescent="0.3">
      <c r="A153" s="90" t="s">
        <v>247</v>
      </c>
      <c r="B153" s="91" t="s">
        <v>829</v>
      </c>
      <c r="C153" s="91" t="s">
        <v>841</v>
      </c>
      <c r="D153" s="91" t="s">
        <v>536</v>
      </c>
      <c r="E153" s="92" t="s">
        <v>265</v>
      </c>
      <c r="F153" s="93">
        <v>33236.6</v>
      </c>
      <c r="G153" s="93"/>
      <c r="H153" s="92" t="s">
        <v>265</v>
      </c>
      <c r="I153" s="94" t="s">
        <v>213</v>
      </c>
      <c r="J153" s="94"/>
      <c r="K153" s="95" t="s">
        <v>214</v>
      </c>
      <c r="L153" s="96">
        <v>5904779.25</v>
      </c>
    </row>
    <row r="154" spans="1:12" ht="51" hidden="1" x14ac:dyDescent="0.3">
      <c r="A154" s="90" t="s">
        <v>247</v>
      </c>
      <c r="B154" s="91" t="s">
        <v>829</v>
      </c>
      <c r="C154" s="91" t="s">
        <v>841</v>
      </c>
      <c r="D154" s="91" t="s">
        <v>536</v>
      </c>
      <c r="E154" s="92" t="s">
        <v>265</v>
      </c>
      <c r="F154" s="93">
        <v>24927.45</v>
      </c>
      <c r="G154" s="93"/>
      <c r="H154" s="92" t="s">
        <v>265</v>
      </c>
      <c r="I154" s="94" t="s">
        <v>213</v>
      </c>
      <c r="J154" s="94"/>
      <c r="K154" s="95" t="s">
        <v>214</v>
      </c>
      <c r="L154" s="96">
        <v>5929706.7000000002</v>
      </c>
    </row>
    <row r="155" spans="1:12" ht="51" hidden="1" x14ac:dyDescent="0.3">
      <c r="A155" s="90" t="s">
        <v>247</v>
      </c>
      <c r="B155" s="91" t="s">
        <v>829</v>
      </c>
      <c r="C155" s="91" t="s">
        <v>842</v>
      </c>
      <c r="D155" s="91" t="s">
        <v>538</v>
      </c>
      <c r="E155" s="92" t="s">
        <v>265</v>
      </c>
      <c r="F155" s="93">
        <v>16618.3</v>
      </c>
      <c r="G155" s="93"/>
      <c r="H155" s="92" t="s">
        <v>265</v>
      </c>
      <c r="I155" s="94" t="s">
        <v>213</v>
      </c>
      <c r="J155" s="94"/>
      <c r="K155" s="95" t="s">
        <v>214</v>
      </c>
      <c r="L155" s="96">
        <v>5946325</v>
      </c>
    </row>
    <row r="156" spans="1:12" ht="51" hidden="1" x14ac:dyDescent="0.3">
      <c r="A156" s="90" t="s">
        <v>247</v>
      </c>
      <c r="B156" s="91" t="s">
        <v>829</v>
      </c>
      <c r="C156" s="91" t="s">
        <v>842</v>
      </c>
      <c r="D156" s="91" t="s">
        <v>538</v>
      </c>
      <c r="E156" s="92" t="s">
        <v>265</v>
      </c>
      <c r="F156" s="93">
        <v>33236.6</v>
      </c>
      <c r="G156" s="93"/>
      <c r="H156" s="92" t="s">
        <v>265</v>
      </c>
      <c r="I156" s="94" t="s">
        <v>213</v>
      </c>
      <c r="J156" s="94"/>
      <c r="K156" s="95" t="s">
        <v>214</v>
      </c>
      <c r="L156" s="96">
        <v>5979561.5999999996</v>
      </c>
    </row>
    <row r="157" spans="1:12" ht="51" hidden="1" x14ac:dyDescent="0.3">
      <c r="A157" s="90" t="s">
        <v>247</v>
      </c>
      <c r="B157" s="91" t="s">
        <v>829</v>
      </c>
      <c r="C157" s="91" t="s">
        <v>842</v>
      </c>
      <c r="D157" s="91" t="s">
        <v>538</v>
      </c>
      <c r="E157" s="92" t="s">
        <v>265</v>
      </c>
      <c r="F157" s="93">
        <v>24927.45</v>
      </c>
      <c r="G157" s="93"/>
      <c r="H157" s="92" t="s">
        <v>265</v>
      </c>
      <c r="I157" s="94" t="s">
        <v>213</v>
      </c>
      <c r="J157" s="94"/>
      <c r="K157" s="95" t="s">
        <v>214</v>
      </c>
      <c r="L157" s="96">
        <v>6004489.0499999998</v>
      </c>
    </row>
    <row r="158" spans="1:12" ht="51" hidden="1" x14ac:dyDescent="0.3">
      <c r="A158" s="90" t="s">
        <v>247</v>
      </c>
      <c r="B158" s="91" t="s">
        <v>829</v>
      </c>
      <c r="C158" s="91" t="s">
        <v>843</v>
      </c>
      <c r="D158" s="91" t="s">
        <v>540</v>
      </c>
      <c r="E158" s="92" t="s">
        <v>265</v>
      </c>
      <c r="F158" s="93">
        <v>16618.3</v>
      </c>
      <c r="G158" s="93"/>
      <c r="H158" s="92" t="s">
        <v>265</v>
      </c>
      <c r="I158" s="94" t="s">
        <v>213</v>
      </c>
      <c r="J158" s="94"/>
      <c r="K158" s="95" t="s">
        <v>214</v>
      </c>
      <c r="L158" s="96">
        <v>6021107.3499999996</v>
      </c>
    </row>
    <row r="159" spans="1:12" ht="51" hidden="1" x14ac:dyDescent="0.3">
      <c r="A159" s="90" t="s">
        <v>247</v>
      </c>
      <c r="B159" s="91" t="s">
        <v>829</v>
      </c>
      <c r="C159" s="91" t="s">
        <v>843</v>
      </c>
      <c r="D159" s="91" t="s">
        <v>540</v>
      </c>
      <c r="E159" s="92" t="s">
        <v>265</v>
      </c>
      <c r="F159" s="93">
        <v>33236.6</v>
      </c>
      <c r="G159" s="93"/>
      <c r="H159" s="92" t="s">
        <v>265</v>
      </c>
      <c r="I159" s="94" t="s">
        <v>213</v>
      </c>
      <c r="J159" s="94"/>
      <c r="K159" s="95" t="s">
        <v>214</v>
      </c>
      <c r="L159" s="96">
        <v>6054343.9500000002</v>
      </c>
    </row>
    <row r="160" spans="1:12" ht="51" hidden="1" x14ac:dyDescent="0.3">
      <c r="A160" s="90" t="s">
        <v>247</v>
      </c>
      <c r="B160" s="91" t="s">
        <v>829</v>
      </c>
      <c r="C160" s="91" t="s">
        <v>843</v>
      </c>
      <c r="D160" s="91" t="s">
        <v>540</v>
      </c>
      <c r="E160" s="92" t="s">
        <v>265</v>
      </c>
      <c r="F160" s="93">
        <v>24927.45</v>
      </c>
      <c r="G160" s="93"/>
      <c r="H160" s="92" t="s">
        <v>265</v>
      </c>
      <c r="I160" s="94" t="s">
        <v>213</v>
      </c>
      <c r="J160" s="94"/>
      <c r="K160" s="95" t="s">
        <v>214</v>
      </c>
      <c r="L160" s="96">
        <v>6079271.4000000004</v>
      </c>
    </row>
    <row r="161" spans="1:12" ht="51" hidden="1" x14ac:dyDescent="0.3">
      <c r="A161" s="90" t="s">
        <v>247</v>
      </c>
      <c r="B161" s="91" t="s">
        <v>829</v>
      </c>
      <c r="C161" s="91" t="s">
        <v>844</v>
      </c>
      <c r="D161" s="91" t="s">
        <v>542</v>
      </c>
      <c r="E161" s="92" t="s">
        <v>265</v>
      </c>
      <c r="F161" s="93">
        <v>16618.3</v>
      </c>
      <c r="G161" s="93"/>
      <c r="H161" s="92" t="s">
        <v>265</v>
      </c>
      <c r="I161" s="94" t="s">
        <v>213</v>
      </c>
      <c r="J161" s="94"/>
      <c r="K161" s="95" t="s">
        <v>214</v>
      </c>
      <c r="L161" s="96">
        <v>6095889.7000000002</v>
      </c>
    </row>
    <row r="162" spans="1:12" ht="51" hidden="1" x14ac:dyDescent="0.3">
      <c r="A162" s="90" t="s">
        <v>247</v>
      </c>
      <c r="B162" s="91" t="s">
        <v>829</v>
      </c>
      <c r="C162" s="91" t="s">
        <v>844</v>
      </c>
      <c r="D162" s="91" t="s">
        <v>542</v>
      </c>
      <c r="E162" s="92" t="s">
        <v>265</v>
      </c>
      <c r="F162" s="93">
        <v>24927.45</v>
      </c>
      <c r="G162" s="93"/>
      <c r="H162" s="92" t="s">
        <v>265</v>
      </c>
      <c r="I162" s="94" t="s">
        <v>213</v>
      </c>
      <c r="J162" s="94"/>
      <c r="K162" s="95" t="s">
        <v>214</v>
      </c>
      <c r="L162" s="96">
        <v>6120817.1500000004</v>
      </c>
    </row>
    <row r="163" spans="1:12" ht="51" hidden="1" x14ac:dyDescent="0.3">
      <c r="A163" s="90" t="s">
        <v>247</v>
      </c>
      <c r="B163" s="91" t="s">
        <v>829</v>
      </c>
      <c r="C163" s="91" t="s">
        <v>845</v>
      </c>
      <c r="D163" s="91" t="s">
        <v>590</v>
      </c>
      <c r="E163" s="92" t="s">
        <v>265</v>
      </c>
      <c r="F163" s="93">
        <v>8309.15</v>
      </c>
      <c r="G163" s="93"/>
      <c r="H163" s="92" t="s">
        <v>265</v>
      </c>
      <c r="I163" s="94" t="s">
        <v>213</v>
      </c>
      <c r="J163" s="94"/>
      <c r="K163" s="95" t="s">
        <v>214</v>
      </c>
      <c r="L163" s="96">
        <v>6129126.2999999998</v>
      </c>
    </row>
    <row r="164" spans="1:12" ht="51" hidden="1" x14ac:dyDescent="0.3">
      <c r="A164" s="90" t="s">
        <v>247</v>
      </c>
      <c r="B164" s="91" t="s">
        <v>829</v>
      </c>
      <c r="C164" s="91" t="s">
        <v>845</v>
      </c>
      <c r="D164" s="91" t="s">
        <v>590</v>
      </c>
      <c r="E164" s="92" t="s">
        <v>265</v>
      </c>
      <c r="F164" s="93">
        <v>33236.6</v>
      </c>
      <c r="G164" s="93"/>
      <c r="H164" s="92" t="s">
        <v>265</v>
      </c>
      <c r="I164" s="94" t="s">
        <v>213</v>
      </c>
      <c r="J164" s="94"/>
      <c r="K164" s="95" t="s">
        <v>214</v>
      </c>
      <c r="L164" s="96">
        <v>6162362.9000000004</v>
      </c>
    </row>
    <row r="165" spans="1:12" ht="51" hidden="1" x14ac:dyDescent="0.3">
      <c r="A165" s="90" t="s">
        <v>247</v>
      </c>
      <c r="B165" s="91" t="s">
        <v>829</v>
      </c>
      <c r="C165" s="91" t="s">
        <v>845</v>
      </c>
      <c r="D165" s="91" t="s">
        <v>590</v>
      </c>
      <c r="E165" s="92" t="s">
        <v>265</v>
      </c>
      <c r="F165" s="93">
        <v>33236.6</v>
      </c>
      <c r="G165" s="93"/>
      <c r="H165" s="92" t="s">
        <v>265</v>
      </c>
      <c r="I165" s="94" t="s">
        <v>213</v>
      </c>
      <c r="J165" s="94"/>
      <c r="K165" s="95" t="s">
        <v>214</v>
      </c>
      <c r="L165" s="96">
        <v>6195599.5</v>
      </c>
    </row>
    <row r="166" spans="1:12" ht="51" hidden="1" x14ac:dyDescent="0.3">
      <c r="A166" s="90" t="s">
        <v>247</v>
      </c>
      <c r="B166" s="91" t="s">
        <v>829</v>
      </c>
      <c r="C166" s="91" t="s">
        <v>846</v>
      </c>
      <c r="D166" s="91" t="s">
        <v>592</v>
      </c>
      <c r="E166" s="92" t="s">
        <v>265</v>
      </c>
      <c r="F166" s="93">
        <v>8309.15</v>
      </c>
      <c r="G166" s="93"/>
      <c r="H166" s="92" t="s">
        <v>265</v>
      </c>
      <c r="I166" s="94" t="s">
        <v>213</v>
      </c>
      <c r="J166" s="94"/>
      <c r="K166" s="95" t="s">
        <v>214</v>
      </c>
      <c r="L166" s="96">
        <v>6203908.6500000004</v>
      </c>
    </row>
    <row r="167" spans="1:12" ht="51" hidden="1" x14ac:dyDescent="0.3">
      <c r="A167" s="90" t="s">
        <v>247</v>
      </c>
      <c r="B167" s="91" t="s">
        <v>829</v>
      </c>
      <c r="C167" s="91" t="s">
        <v>846</v>
      </c>
      <c r="D167" s="91" t="s">
        <v>592</v>
      </c>
      <c r="E167" s="92" t="s">
        <v>265</v>
      </c>
      <c r="F167" s="93">
        <v>41545.75</v>
      </c>
      <c r="G167" s="93"/>
      <c r="H167" s="92" t="s">
        <v>265</v>
      </c>
      <c r="I167" s="94" t="s">
        <v>213</v>
      </c>
      <c r="J167" s="94"/>
      <c r="K167" s="95" t="s">
        <v>214</v>
      </c>
      <c r="L167" s="96">
        <v>6245454.4000000004</v>
      </c>
    </row>
    <row r="168" spans="1:12" ht="51" hidden="1" x14ac:dyDescent="0.3">
      <c r="A168" s="90" t="s">
        <v>247</v>
      </c>
      <c r="B168" s="91" t="s">
        <v>829</v>
      </c>
      <c r="C168" s="91" t="s">
        <v>846</v>
      </c>
      <c r="D168" s="91" t="s">
        <v>592</v>
      </c>
      <c r="E168" s="92" t="s">
        <v>265</v>
      </c>
      <c r="F168" s="93">
        <v>24927.45</v>
      </c>
      <c r="G168" s="93"/>
      <c r="H168" s="92" t="s">
        <v>265</v>
      </c>
      <c r="I168" s="94" t="s">
        <v>213</v>
      </c>
      <c r="J168" s="94"/>
      <c r="K168" s="95" t="s">
        <v>214</v>
      </c>
      <c r="L168" s="96">
        <v>6270381.8499999996</v>
      </c>
    </row>
    <row r="169" spans="1:12" ht="51" hidden="1" x14ac:dyDescent="0.3">
      <c r="A169" s="90" t="s">
        <v>247</v>
      </c>
      <c r="B169" s="91" t="s">
        <v>829</v>
      </c>
      <c r="C169" s="91" t="s">
        <v>847</v>
      </c>
      <c r="D169" s="91" t="s">
        <v>596</v>
      </c>
      <c r="E169" s="92" t="s">
        <v>265</v>
      </c>
      <c r="F169" s="93">
        <v>8309.15</v>
      </c>
      <c r="G169" s="93"/>
      <c r="H169" s="92" t="s">
        <v>265</v>
      </c>
      <c r="I169" s="94" t="s">
        <v>213</v>
      </c>
      <c r="J169" s="94"/>
      <c r="K169" s="95" t="s">
        <v>214</v>
      </c>
      <c r="L169" s="96">
        <v>6278691</v>
      </c>
    </row>
    <row r="170" spans="1:12" ht="51" hidden="1" x14ac:dyDescent="0.3">
      <c r="A170" s="90" t="s">
        <v>247</v>
      </c>
      <c r="B170" s="91" t="s">
        <v>829</v>
      </c>
      <c r="C170" s="91" t="s">
        <v>847</v>
      </c>
      <c r="D170" s="91" t="s">
        <v>596</v>
      </c>
      <c r="E170" s="92" t="s">
        <v>265</v>
      </c>
      <c r="F170" s="93">
        <v>41545.75</v>
      </c>
      <c r="G170" s="93"/>
      <c r="H170" s="92" t="s">
        <v>265</v>
      </c>
      <c r="I170" s="94" t="s">
        <v>213</v>
      </c>
      <c r="J170" s="94"/>
      <c r="K170" s="95" t="s">
        <v>214</v>
      </c>
      <c r="L170" s="96">
        <v>6320236.75</v>
      </c>
    </row>
    <row r="171" spans="1:12" ht="51" hidden="1" x14ac:dyDescent="0.3">
      <c r="A171" s="90" t="s">
        <v>247</v>
      </c>
      <c r="B171" s="91" t="s">
        <v>829</v>
      </c>
      <c r="C171" s="91" t="s">
        <v>847</v>
      </c>
      <c r="D171" s="91" t="s">
        <v>596</v>
      </c>
      <c r="E171" s="92" t="s">
        <v>265</v>
      </c>
      <c r="F171" s="93">
        <v>24927.45</v>
      </c>
      <c r="G171" s="93"/>
      <c r="H171" s="92" t="s">
        <v>265</v>
      </c>
      <c r="I171" s="94" t="s">
        <v>213</v>
      </c>
      <c r="J171" s="94"/>
      <c r="K171" s="95" t="s">
        <v>214</v>
      </c>
      <c r="L171" s="96">
        <v>6345164.2000000002</v>
      </c>
    </row>
    <row r="172" spans="1:12" ht="51" hidden="1" x14ac:dyDescent="0.3">
      <c r="A172" s="90" t="s">
        <v>247</v>
      </c>
      <c r="B172" s="91" t="s">
        <v>829</v>
      </c>
      <c r="C172" s="91" t="s">
        <v>848</v>
      </c>
      <c r="D172" s="91" t="s">
        <v>601</v>
      </c>
      <c r="E172" s="92" t="s">
        <v>265</v>
      </c>
      <c r="F172" s="93">
        <v>8309.15</v>
      </c>
      <c r="G172" s="93"/>
      <c r="H172" s="92" t="s">
        <v>265</v>
      </c>
      <c r="I172" s="94" t="s">
        <v>213</v>
      </c>
      <c r="J172" s="94"/>
      <c r="K172" s="95" t="s">
        <v>214</v>
      </c>
      <c r="L172" s="96">
        <v>6353473.3499999996</v>
      </c>
    </row>
    <row r="173" spans="1:12" ht="51" hidden="1" x14ac:dyDescent="0.3">
      <c r="A173" s="90" t="s">
        <v>247</v>
      </c>
      <c r="B173" s="91" t="s">
        <v>829</v>
      </c>
      <c r="C173" s="91" t="s">
        <v>848</v>
      </c>
      <c r="D173" s="91" t="s">
        <v>601</v>
      </c>
      <c r="E173" s="92" t="s">
        <v>265</v>
      </c>
      <c r="F173" s="93">
        <v>33236.6</v>
      </c>
      <c r="G173" s="93"/>
      <c r="H173" s="92" t="s">
        <v>265</v>
      </c>
      <c r="I173" s="94" t="s">
        <v>213</v>
      </c>
      <c r="J173" s="94"/>
      <c r="K173" s="95" t="s">
        <v>214</v>
      </c>
      <c r="L173" s="96">
        <v>6386709.9500000002</v>
      </c>
    </row>
    <row r="174" spans="1:12" ht="51" hidden="1" x14ac:dyDescent="0.3">
      <c r="A174" s="90" t="s">
        <v>247</v>
      </c>
      <c r="B174" s="91" t="s">
        <v>829</v>
      </c>
      <c r="C174" s="91" t="s">
        <v>848</v>
      </c>
      <c r="D174" s="91" t="s">
        <v>601</v>
      </c>
      <c r="E174" s="92" t="s">
        <v>265</v>
      </c>
      <c r="F174" s="93">
        <v>33236.6</v>
      </c>
      <c r="G174" s="93"/>
      <c r="H174" s="92" t="s">
        <v>265</v>
      </c>
      <c r="I174" s="94" t="s">
        <v>213</v>
      </c>
      <c r="J174" s="94"/>
      <c r="K174" s="95" t="s">
        <v>214</v>
      </c>
      <c r="L174" s="96">
        <v>6419946.5499999998</v>
      </c>
    </row>
    <row r="175" spans="1:12" ht="51" hidden="1" x14ac:dyDescent="0.3">
      <c r="A175" s="90" t="s">
        <v>247</v>
      </c>
      <c r="B175" s="91" t="s">
        <v>829</v>
      </c>
      <c r="C175" s="91" t="s">
        <v>849</v>
      </c>
      <c r="D175" s="91" t="s">
        <v>604</v>
      </c>
      <c r="E175" s="92" t="s">
        <v>265</v>
      </c>
      <c r="F175" s="93">
        <v>8309.15</v>
      </c>
      <c r="G175" s="93"/>
      <c r="H175" s="92" t="s">
        <v>265</v>
      </c>
      <c r="I175" s="94" t="s">
        <v>213</v>
      </c>
      <c r="J175" s="94"/>
      <c r="K175" s="95" t="s">
        <v>214</v>
      </c>
      <c r="L175" s="96">
        <v>6428255.7000000002</v>
      </c>
    </row>
    <row r="176" spans="1:12" ht="51" hidden="1" x14ac:dyDescent="0.3">
      <c r="A176" s="90" t="s">
        <v>247</v>
      </c>
      <c r="B176" s="91" t="s">
        <v>829</v>
      </c>
      <c r="C176" s="91" t="s">
        <v>849</v>
      </c>
      <c r="D176" s="91" t="s">
        <v>604</v>
      </c>
      <c r="E176" s="92" t="s">
        <v>265</v>
      </c>
      <c r="F176" s="93">
        <v>33236.6</v>
      </c>
      <c r="G176" s="93"/>
      <c r="H176" s="92" t="s">
        <v>265</v>
      </c>
      <c r="I176" s="94" t="s">
        <v>213</v>
      </c>
      <c r="J176" s="94"/>
      <c r="K176" s="95" t="s">
        <v>214</v>
      </c>
      <c r="L176" s="96">
        <v>6461492.2999999998</v>
      </c>
    </row>
    <row r="177" spans="1:12" ht="51" hidden="1" x14ac:dyDescent="0.3">
      <c r="A177" s="90" t="s">
        <v>247</v>
      </c>
      <c r="B177" s="91" t="s">
        <v>829</v>
      </c>
      <c r="C177" s="91" t="s">
        <v>849</v>
      </c>
      <c r="D177" s="91" t="s">
        <v>604</v>
      </c>
      <c r="E177" s="92" t="s">
        <v>265</v>
      </c>
      <c r="F177" s="93">
        <v>33236.6</v>
      </c>
      <c r="G177" s="93"/>
      <c r="H177" s="92" t="s">
        <v>265</v>
      </c>
      <c r="I177" s="94" t="s">
        <v>213</v>
      </c>
      <c r="J177" s="94"/>
      <c r="K177" s="95" t="s">
        <v>214</v>
      </c>
      <c r="L177" s="96">
        <v>6494728.9000000004</v>
      </c>
    </row>
    <row r="178" spans="1:12" ht="51" hidden="1" x14ac:dyDescent="0.3">
      <c r="A178" s="90" t="s">
        <v>247</v>
      </c>
      <c r="B178" s="91" t="s">
        <v>829</v>
      </c>
      <c r="C178" s="91" t="s">
        <v>850</v>
      </c>
      <c r="D178" s="91" t="s">
        <v>606</v>
      </c>
      <c r="E178" s="92" t="s">
        <v>265</v>
      </c>
      <c r="F178" s="93">
        <v>8309.15</v>
      </c>
      <c r="G178" s="93"/>
      <c r="H178" s="92" t="s">
        <v>265</v>
      </c>
      <c r="I178" s="94" t="s">
        <v>213</v>
      </c>
      <c r="J178" s="94"/>
      <c r="K178" s="95" t="s">
        <v>214</v>
      </c>
      <c r="L178" s="96">
        <v>6503038.0499999998</v>
      </c>
    </row>
    <row r="179" spans="1:12" ht="51" hidden="1" x14ac:dyDescent="0.3">
      <c r="A179" s="90" t="s">
        <v>247</v>
      </c>
      <c r="B179" s="91" t="s">
        <v>829</v>
      </c>
      <c r="C179" s="91" t="s">
        <v>850</v>
      </c>
      <c r="D179" s="91" t="s">
        <v>606</v>
      </c>
      <c r="E179" s="92" t="s">
        <v>265</v>
      </c>
      <c r="F179" s="93">
        <v>33236.6</v>
      </c>
      <c r="G179" s="93"/>
      <c r="H179" s="92" t="s">
        <v>265</v>
      </c>
      <c r="I179" s="94" t="s">
        <v>213</v>
      </c>
      <c r="J179" s="94"/>
      <c r="K179" s="95" t="s">
        <v>214</v>
      </c>
      <c r="L179" s="96">
        <v>6536274.6500000004</v>
      </c>
    </row>
    <row r="180" spans="1:12" ht="51" hidden="1" x14ac:dyDescent="0.3">
      <c r="A180" s="90" t="s">
        <v>247</v>
      </c>
      <c r="B180" s="91" t="s">
        <v>829</v>
      </c>
      <c r="C180" s="91" t="s">
        <v>850</v>
      </c>
      <c r="D180" s="91" t="s">
        <v>606</v>
      </c>
      <c r="E180" s="92" t="s">
        <v>265</v>
      </c>
      <c r="F180" s="93">
        <v>33236.6</v>
      </c>
      <c r="G180" s="93"/>
      <c r="H180" s="92" t="s">
        <v>265</v>
      </c>
      <c r="I180" s="94" t="s">
        <v>213</v>
      </c>
      <c r="J180" s="94"/>
      <c r="K180" s="95" t="s">
        <v>214</v>
      </c>
      <c r="L180" s="96">
        <v>6569511.25</v>
      </c>
    </row>
    <row r="181" spans="1:12" ht="51" hidden="1" x14ac:dyDescent="0.3">
      <c r="A181" s="90" t="s">
        <v>247</v>
      </c>
      <c r="B181" s="91" t="s">
        <v>829</v>
      </c>
      <c r="C181" s="91" t="s">
        <v>851</v>
      </c>
      <c r="D181" s="91" t="s">
        <v>609</v>
      </c>
      <c r="E181" s="92" t="s">
        <v>265</v>
      </c>
      <c r="F181" s="93">
        <v>8309.15</v>
      </c>
      <c r="G181" s="93"/>
      <c r="H181" s="92" t="s">
        <v>265</v>
      </c>
      <c r="I181" s="94" t="s">
        <v>213</v>
      </c>
      <c r="J181" s="94"/>
      <c r="K181" s="95" t="s">
        <v>214</v>
      </c>
      <c r="L181" s="96">
        <v>6577820.4000000004</v>
      </c>
    </row>
    <row r="182" spans="1:12" ht="51" hidden="1" x14ac:dyDescent="0.3">
      <c r="A182" s="90" t="s">
        <v>247</v>
      </c>
      <c r="B182" s="91" t="s">
        <v>829</v>
      </c>
      <c r="C182" s="91" t="s">
        <v>851</v>
      </c>
      <c r="D182" s="91" t="s">
        <v>609</v>
      </c>
      <c r="E182" s="92" t="s">
        <v>265</v>
      </c>
      <c r="F182" s="93">
        <v>66473.2</v>
      </c>
      <c r="G182" s="93"/>
      <c r="H182" s="92" t="s">
        <v>265</v>
      </c>
      <c r="I182" s="94" t="s">
        <v>213</v>
      </c>
      <c r="J182" s="94"/>
      <c r="K182" s="95" t="s">
        <v>214</v>
      </c>
      <c r="L182" s="96">
        <v>6644293.5999999996</v>
      </c>
    </row>
    <row r="183" spans="1:12" ht="51" hidden="1" x14ac:dyDescent="0.3">
      <c r="A183" s="90" t="s">
        <v>247</v>
      </c>
      <c r="B183" s="91" t="s">
        <v>829</v>
      </c>
      <c r="C183" s="91" t="s">
        <v>852</v>
      </c>
      <c r="D183" s="91" t="s">
        <v>611</v>
      </c>
      <c r="E183" s="92" t="s">
        <v>265</v>
      </c>
      <c r="F183" s="93">
        <v>8309.15</v>
      </c>
      <c r="G183" s="93"/>
      <c r="H183" s="92" t="s">
        <v>265</v>
      </c>
      <c r="I183" s="94" t="s">
        <v>213</v>
      </c>
      <c r="J183" s="94"/>
      <c r="K183" s="95" t="s">
        <v>214</v>
      </c>
      <c r="L183" s="96">
        <v>6652602.75</v>
      </c>
    </row>
    <row r="184" spans="1:12" ht="51" hidden="1" x14ac:dyDescent="0.3">
      <c r="A184" s="90" t="s">
        <v>247</v>
      </c>
      <c r="B184" s="91" t="s">
        <v>829</v>
      </c>
      <c r="C184" s="91" t="s">
        <v>852</v>
      </c>
      <c r="D184" s="91" t="s">
        <v>611</v>
      </c>
      <c r="E184" s="92" t="s">
        <v>265</v>
      </c>
      <c r="F184" s="93">
        <v>33236.6</v>
      </c>
      <c r="G184" s="93"/>
      <c r="H184" s="92" t="s">
        <v>265</v>
      </c>
      <c r="I184" s="94" t="s">
        <v>213</v>
      </c>
      <c r="J184" s="94"/>
      <c r="K184" s="95" t="s">
        <v>214</v>
      </c>
      <c r="L184" s="96">
        <v>6685839.3499999996</v>
      </c>
    </row>
    <row r="185" spans="1:12" ht="51" hidden="1" x14ac:dyDescent="0.3">
      <c r="A185" s="90" t="s">
        <v>247</v>
      </c>
      <c r="B185" s="91" t="s">
        <v>829</v>
      </c>
      <c r="C185" s="91" t="s">
        <v>852</v>
      </c>
      <c r="D185" s="91" t="s">
        <v>611</v>
      </c>
      <c r="E185" s="92" t="s">
        <v>265</v>
      </c>
      <c r="F185" s="93">
        <v>33236.6</v>
      </c>
      <c r="G185" s="93"/>
      <c r="H185" s="92" t="s">
        <v>265</v>
      </c>
      <c r="I185" s="94" t="s">
        <v>213</v>
      </c>
      <c r="J185" s="94"/>
      <c r="K185" s="95" t="s">
        <v>214</v>
      </c>
      <c r="L185" s="96">
        <v>6719075.9500000002</v>
      </c>
    </row>
    <row r="186" spans="1:12" ht="51" hidden="1" x14ac:dyDescent="0.3">
      <c r="A186" s="90" t="s">
        <v>247</v>
      </c>
      <c r="B186" s="91" t="s">
        <v>829</v>
      </c>
      <c r="C186" s="91" t="s">
        <v>853</v>
      </c>
      <c r="D186" s="91" t="s">
        <v>614</v>
      </c>
      <c r="E186" s="92" t="s">
        <v>265</v>
      </c>
      <c r="F186" s="93">
        <v>8309.15</v>
      </c>
      <c r="G186" s="93"/>
      <c r="H186" s="92" t="s">
        <v>265</v>
      </c>
      <c r="I186" s="94" t="s">
        <v>213</v>
      </c>
      <c r="J186" s="94"/>
      <c r="K186" s="95" t="s">
        <v>214</v>
      </c>
      <c r="L186" s="96">
        <v>6727385.0999999996</v>
      </c>
    </row>
    <row r="187" spans="1:12" ht="51" hidden="1" x14ac:dyDescent="0.3">
      <c r="A187" s="90" t="s">
        <v>247</v>
      </c>
      <c r="B187" s="91" t="s">
        <v>829</v>
      </c>
      <c r="C187" s="91" t="s">
        <v>853</v>
      </c>
      <c r="D187" s="91" t="s">
        <v>614</v>
      </c>
      <c r="E187" s="92" t="s">
        <v>265</v>
      </c>
      <c r="F187" s="93">
        <v>33236.6</v>
      </c>
      <c r="G187" s="93"/>
      <c r="H187" s="92" t="s">
        <v>265</v>
      </c>
      <c r="I187" s="94" t="s">
        <v>213</v>
      </c>
      <c r="J187" s="94"/>
      <c r="K187" s="95" t="s">
        <v>214</v>
      </c>
      <c r="L187" s="96">
        <v>6760621.7000000002</v>
      </c>
    </row>
    <row r="188" spans="1:12" ht="51" hidden="1" x14ac:dyDescent="0.3">
      <c r="A188" s="90" t="s">
        <v>247</v>
      </c>
      <c r="B188" s="91" t="s">
        <v>829</v>
      </c>
      <c r="C188" s="91" t="s">
        <v>854</v>
      </c>
      <c r="D188" s="91" t="s">
        <v>617</v>
      </c>
      <c r="E188" s="92" t="s">
        <v>265</v>
      </c>
      <c r="F188" s="93">
        <v>33236.6</v>
      </c>
      <c r="G188" s="93"/>
      <c r="H188" s="92" t="s">
        <v>265</v>
      </c>
      <c r="I188" s="94" t="s">
        <v>213</v>
      </c>
      <c r="J188" s="94"/>
      <c r="K188" s="95" t="s">
        <v>214</v>
      </c>
      <c r="L188" s="96">
        <v>6793858.2999999998</v>
      </c>
    </row>
    <row r="189" spans="1:12" ht="51" hidden="1" x14ac:dyDescent="0.3">
      <c r="A189" s="90" t="s">
        <v>247</v>
      </c>
      <c r="B189" s="91" t="s">
        <v>829</v>
      </c>
      <c r="C189" s="91" t="s">
        <v>855</v>
      </c>
      <c r="D189" s="91" t="s">
        <v>619</v>
      </c>
      <c r="E189" s="92" t="s">
        <v>265</v>
      </c>
      <c r="F189" s="93">
        <v>8309.15</v>
      </c>
      <c r="G189" s="93"/>
      <c r="H189" s="92" t="s">
        <v>265</v>
      </c>
      <c r="I189" s="94" t="s">
        <v>213</v>
      </c>
      <c r="J189" s="94"/>
      <c r="K189" s="95" t="s">
        <v>214</v>
      </c>
      <c r="L189" s="96">
        <v>6802167.4500000002</v>
      </c>
    </row>
    <row r="190" spans="1:12" ht="51" hidden="1" x14ac:dyDescent="0.3">
      <c r="A190" s="90" t="s">
        <v>247</v>
      </c>
      <c r="B190" s="91" t="s">
        <v>829</v>
      </c>
      <c r="C190" s="91" t="s">
        <v>855</v>
      </c>
      <c r="D190" s="91" t="s">
        <v>619</v>
      </c>
      <c r="E190" s="92" t="s">
        <v>265</v>
      </c>
      <c r="F190" s="93">
        <v>24927.45</v>
      </c>
      <c r="G190" s="93"/>
      <c r="H190" s="92" t="s">
        <v>265</v>
      </c>
      <c r="I190" s="94" t="s">
        <v>213</v>
      </c>
      <c r="J190" s="94"/>
      <c r="K190" s="95" t="s">
        <v>214</v>
      </c>
      <c r="L190" s="96">
        <v>6827094.9000000004</v>
      </c>
    </row>
    <row r="191" spans="1:12" ht="51" hidden="1" x14ac:dyDescent="0.3">
      <c r="A191" s="90" t="s">
        <v>247</v>
      </c>
      <c r="B191" s="91" t="s">
        <v>829</v>
      </c>
      <c r="C191" s="91" t="s">
        <v>856</v>
      </c>
      <c r="D191" s="91" t="s">
        <v>621</v>
      </c>
      <c r="E191" s="92" t="s">
        <v>265</v>
      </c>
      <c r="F191" s="93">
        <v>8309.15</v>
      </c>
      <c r="G191" s="93"/>
      <c r="H191" s="92" t="s">
        <v>265</v>
      </c>
      <c r="I191" s="94" t="s">
        <v>213</v>
      </c>
      <c r="J191" s="94"/>
      <c r="K191" s="95" t="s">
        <v>214</v>
      </c>
      <c r="L191" s="96">
        <v>6835404.0499999998</v>
      </c>
    </row>
    <row r="192" spans="1:12" ht="51" hidden="1" x14ac:dyDescent="0.3">
      <c r="A192" s="90" t="s">
        <v>247</v>
      </c>
      <c r="B192" s="91" t="s">
        <v>829</v>
      </c>
      <c r="C192" s="91" t="s">
        <v>856</v>
      </c>
      <c r="D192" s="91" t="s">
        <v>621</v>
      </c>
      <c r="E192" s="92" t="s">
        <v>265</v>
      </c>
      <c r="F192" s="93">
        <v>33236.6</v>
      </c>
      <c r="G192" s="93"/>
      <c r="H192" s="92" t="s">
        <v>265</v>
      </c>
      <c r="I192" s="94" t="s">
        <v>213</v>
      </c>
      <c r="J192" s="94"/>
      <c r="K192" s="95" t="s">
        <v>214</v>
      </c>
      <c r="L192" s="96">
        <v>6868640.6500000004</v>
      </c>
    </row>
    <row r="193" spans="1:12" ht="51" hidden="1" x14ac:dyDescent="0.3">
      <c r="A193" s="90" t="s">
        <v>247</v>
      </c>
      <c r="B193" s="91" t="s">
        <v>857</v>
      </c>
      <c r="C193" s="91" t="s">
        <v>858</v>
      </c>
      <c r="D193" s="91" t="s">
        <v>623</v>
      </c>
      <c r="E193" s="92" t="s">
        <v>265</v>
      </c>
      <c r="F193" s="93">
        <v>41545.75</v>
      </c>
      <c r="G193" s="93"/>
      <c r="H193" s="92" t="s">
        <v>265</v>
      </c>
      <c r="I193" s="94" t="s">
        <v>213</v>
      </c>
      <c r="J193" s="94"/>
      <c r="K193" s="95" t="s">
        <v>214</v>
      </c>
      <c r="L193" s="96">
        <v>6910186.4000000004</v>
      </c>
    </row>
    <row r="194" spans="1:12" ht="51" hidden="1" x14ac:dyDescent="0.3">
      <c r="A194" s="90" t="s">
        <v>247</v>
      </c>
      <c r="B194" s="91" t="s">
        <v>857</v>
      </c>
      <c r="C194" s="91" t="s">
        <v>859</v>
      </c>
      <c r="D194" s="91" t="s">
        <v>625</v>
      </c>
      <c r="E194" s="92" t="s">
        <v>265</v>
      </c>
      <c r="F194" s="93">
        <v>33236.6</v>
      </c>
      <c r="G194" s="93"/>
      <c r="H194" s="92" t="s">
        <v>265</v>
      </c>
      <c r="I194" s="94" t="s">
        <v>213</v>
      </c>
      <c r="J194" s="94"/>
      <c r="K194" s="95" t="s">
        <v>214</v>
      </c>
      <c r="L194" s="96">
        <v>6943423</v>
      </c>
    </row>
    <row r="195" spans="1:12" ht="51" hidden="1" x14ac:dyDescent="0.3">
      <c r="A195" s="90" t="s">
        <v>247</v>
      </c>
      <c r="B195" s="91" t="s">
        <v>857</v>
      </c>
      <c r="C195" s="91" t="s">
        <v>860</v>
      </c>
      <c r="D195" s="91" t="s">
        <v>627</v>
      </c>
      <c r="E195" s="92" t="s">
        <v>265</v>
      </c>
      <c r="F195" s="93">
        <v>33236.6</v>
      </c>
      <c r="G195" s="93"/>
      <c r="H195" s="92" t="s">
        <v>265</v>
      </c>
      <c r="I195" s="94" t="s">
        <v>213</v>
      </c>
      <c r="J195" s="94"/>
      <c r="K195" s="95" t="s">
        <v>214</v>
      </c>
      <c r="L195" s="96">
        <v>6976659.5999999996</v>
      </c>
    </row>
    <row r="196" spans="1:12" ht="51" hidden="1" x14ac:dyDescent="0.3">
      <c r="A196" s="90" t="s">
        <v>247</v>
      </c>
      <c r="B196" s="91" t="s">
        <v>857</v>
      </c>
      <c r="C196" s="91" t="s">
        <v>861</v>
      </c>
      <c r="D196" s="91" t="s">
        <v>629</v>
      </c>
      <c r="E196" s="92" t="s">
        <v>265</v>
      </c>
      <c r="F196" s="93">
        <v>8309.15</v>
      </c>
      <c r="G196" s="93"/>
      <c r="H196" s="92" t="s">
        <v>265</v>
      </c>
      <c r="I196" s="94" t="s">
        <v>213</v>
      </c>
      <c r="J196" s="94"/>
      <c r="K196" s="95" t="s">
        <v>214</v>
      </c>
      <c r="L196" s="96">
        <v>6984968.75</v>
      </c>
    </row>
    <row r="197" spans="1:12" ht="51" hidden="1" x14ac:dyDescent="0.3">
      <c r="A197" s="90" t="s">
        <v>247</v>
      </c>
      <c r="B197" s="91" t="s">
        <v>857</v>
      </c>
      <c r="C197" s="91" t="s">
        <v>861</v>
      </c>
      <c r="D197" s="91" t="s">
        <v>629</v>
      </c>
      <c r="E197" s="92" t="s">
        <v>265</v>
      </c>
      <c r="F197" s="93">
        <v>33236.6</v>
      </c>
      <c r="G197" s="93"/>
      <c r="H197" s="92" t="s">
        <v>265</v>
      </c>
      <c r="I197" s="94" t="s">
        <v>213</v>
      </c>
      <c r="J197" s="94"/>
      <c r="K197" s="95" t="s">
        <v>214</v>
      </c>
      <c r="L197" s="96">
        <v>7018205.3499999996</v>
      </c>
    </row>
    <row r="198" spans="1:12" ht="51" hidden="1" x14ac:dyDescent="0.3">
      <c r="A198" s="90" t="s">
        <v>247</v>
      </c>
      <c r="B198" s="91" t="s">
        <v>857</v>
      </c>
      <c r="C198" s="91" t="s">
        <v>862</v>
      </c>
      <c r="D198" s="91" t="s">
        <v>631</v>
      </c>
      <c r="E198" s="92" t="s">
        <v>265</v>
      </c>
      <c r="F198" s="93">
        <v>41545.75</v>
      </c>
      <c r="G198" s="93"/>
      <c r="H198" s="92" t="s">
        <v>265</v>
      </c>
      <c r="I198" s="94" t="s">
        <v>213</v>
      </c>
      <c r="J198" s="94"/>
      <c r="K198" s="95" t="s">
        <v>214</v>
      </c>
      <c r="L198" s="96">
        <v>7059751.0999999996</v>
      </c>
    </row>
    <row r="199" spans="1:12" ht="51" hidden="1" x14ac:dyDescent="0.3">
      <c r="A199" s="90" t="s">
        <v>247</v>
      </c>
      <c r="B199" s="91" t="s">
        <v>857</v>
      </c>
      <c r="C199" s="91" t="s">
        <v>863</v>
      </c>
      <c r="D199" s="91" t="s">
        <v>633</v>
      </c>
      <c r="E199" s="92" t="s">
        <v>265</v>
      </c>
      <c r="F199" s="93">
        <v>33236.6</v>
      </c>
      <c r="G199" s="93"/>
      <c r="H199" s="92" t="s">
        <v>265</v>
      </c>
      <c r="I199" s="94" t="s">
        <v>213</v>
      </c>
      <c r="J199" s="94"/>
      <c r="K199" s="95" t="s">
        <v>214</v>
      </c>
      <c r="L199" s="96">
        <v>7092987.7000000002</v>
      </c>
    </row>
    <row r="200" spans="1:12" ht="51" hidden="1" x14ac:dyDescent="0.3">
      <c r="A200" s="90" t="s">
        <v>247</v>
      </c>
      <c r="B200" s="91" t="s">
        <v>857</v>
      </c>
      <c r="C200" s="91" t="s">
        <v>864</v>
      </c>
      <c r="D200" s="91" t="s">
        <v>635</v>
      </c>
      <c r="E200" s="92" t="s">
        <v>265</v>
      </c>
      <c r="F200" s="93">
        <v>41545.75</v>
      </c>
      <c r="G200" s="93"/>
      <c r="H200" s="92" t="s">
        <v>265</v>
      </c>
      <c r="I200" s="94" t="s">
        <v>213</v>
      </c>
      <c r="J200" s="94"/>
      <c r="K200" s="95" t="s">
        <v>214</v>
      </c>
      <c r="L200" s="96">
        <v>7134533.4500000002</v>
      </c>
    </row>
    <row r="201" spans="1:12" ht="51" hidden="1" x14ac:dyDescent="0.3">
      <c r="A201" s="90" t="s">
        <v>247</v>
      </c>
      <c r="B201" s="91" t="s">
        <v>857</v>
      </c>
      <c r="C201" s="91" t="s">
        <v>865</v>
      </c>
      <c r="D201" s="91" t="s">
        <v>637</v>
      </c>
      <c r="E201" s="92" t="s">
        <v>265</v>
      </c>
      <c r="F201" s="93">
        <v>33236.6</v>
      </c>
      <c r="G201" s="93"/>
      <c r="H201" s="92" t="s">
        <v>265</v>
      </c>
      <c r="I201" s="94" t="s">
        <v>213</v>
      </c>
      <c r="J201" s="94"/>
      <c r="K201" s="95" t="s">
        <v>214</v>
      </c>
      <c r="L201" s="96">
        <v>7167770.0499999998</v>
      </c>
    </row>
    <row r="202" spans="1:12" ht="51" hidden="1" x14ac:dyDescent="0.3">
      <c r="A202" s="90" t="s">
        <v>247</v>
      </c>
      <c r="B202" s="91" t="s">
        <v>857</v>
      </c>
      <c r="C202" s="91" t="s">
        <v>866</v>
      </c>
      <c r="D202" s="91" t="s">
        <v>644</v>
      </c>
      <c r="E202" s="92" t="s">
        <v>265</v>
      </c>
      <c r="F202" s="93">
        <v>33236.6</v>
      </c>
      <c r="G202" s="93"/>
      <c r="H202" s="92" t="s">
        <v>265</v>
      </c>
      <c r="I202" s="94" t="s">
        <v>213</v>
      </c>
      <c r="J202" s="94"/>
      <c r="K202" s="95" t="s">
        <v>214</v>
      </c>
      <c r="L202" s="96">
        <v>7201006.6500000004</v>
      </c>
    </row>
    <row r="203" spans="1:12" ht="51" hidden="1" x14ac:dyDescent="0.3">
      <c r="A203" s="90" t="s">
        <v>247</v>
      </c>
      <c r="B203" s="91" t="s">
        <v>857</v>
      </c>
      <c r="C203" s="91" t="s">
        <v>867</v>
      </c>
      <c r="D203" s="91" t="s">
        <v>646</v>
      </c>
      <c r="E203" s="92" t="s">
        <v>265</v>
      </c>
      <c r="F203" s="93">
        <v>8309.15</v>
      </c>
      <c r="G203" s="93"/>
      <c r="H203" s="92" t="s">
        <v>265</v>
      </c>
      <c r="I203" s="94" t="s">
        <v>213</v>
      </c>
      <c r="J203" s="94"/>
      <c r="K203" s="95" t="s">
        <v>214</v>
      </c>
      <c r="L203" s="96">
        <v>7209315.7999999998</v>
      </c>
    </row>
    <row r="204" spans="1:12" ht="51" hidden="1" x14ac:dyDescent="0.3">
      <c r="A204" s="90" t="s">
        <v>247</v>
      </c>
      <c r="B204" s="91" t="s">
        <v>857</v>
      </c>
      <c r="C204" s="91" t="s">
        <v>867</v>
      </c>
      <c r="D204" s="91" t="s">
        <v>646</v>
      </c>
      <c r="E204" s="92" t="s">
        <v>265</v>
      </c>
      <c r="F204" s="93">
        <v>33236.6</v>
      </c>
      <c r="G204" s="93"/>
      <c r="H204" s="92" t="s">
        <v>265</v>
      </c>
      <c r="I204" s="94" t="s">
        <v>213</v>
      </c>
      <c r="J204" s="94"/>
      <c r="K204" s="95" t="s">
        <v>214</v>
      </c>
      <c r="L204" s="96">
        <v>7242552.4000000004</v>
      </c>
    </row>
    <row r="205" spans="1:12" ht="51" hidden="1" x14ac:dyDescent="0.3">
      <c r="A205" s="90" t="s">
        <v>247</v>
      </c>
      <c r="B205" s="91" t="s">
        <v>857</v>
      </c>
      <c r="C205" s="91" t="s">
        <v>868</v>
      </c>
      <c r="D205" s="91" t="s">
        <v>648</v>
      </c>
      <c r="E205" s="92" t="s">
        <v>265</v>
      </c>
      <c r="F205" s="93">
        <v>41545.75</v>
      </c>
      <c r="G205" s="93"/>
      <c r="H205" s="92" t="s">
        <v>265</v>
      </c>
      <c r="I205" s="94" t="s">
        <v>213</v>
      </c>
      <c r="J205" s="94"/>
      <c r="K205" s="95" t="s">
        <v>214</v>
      </c>
      <c r="L205" s="96">
        <v>7284098.1500000004</v>
      </c>
    </row>
    <row r="206" spans="1:12" ht="51" hidden="1" x14ac:dyDescent="0.3">
      <c r="A206" s="90" t="s">
        <v>247</v>
      </c>
      <c r="B206" s="91" t="s">
        <v>857</v>
      </c>
      <c r="C206" s="91" t="s">
        <v>869</v>
      </c>
      <c r="D206" s="91" t="s">
        <v>650</v>
      </c>
      <c r="E206" s="92" t="s">
        <v>265</v>
      </c>
      <c r="F206" s="93">
        <v>33236.6</v>
      </c>
      <c r="G206" s="93"/>
      <c r="H206" s="92" t="s">
        <v>265</v>
      </c>
      <c r="I206" s="94" t="s">
        <v>213</v>
      </c>
      <c r="J206" s="94"/>
      <c r="K206" s="95" t="s">
        <v>214</v>
      </c>
      <c r="L206" s="96">
        <v>7317334.75</v>
      </c>
    </row>
    <row r="207" spans="1:12" ht="51" hidden="1" x14ac:dyDescent="0.3">
      <c r="A207" s="90" t="s">
        <v>247</v>
      </c>
      <c r="B207" s="91" t="s">
        <v>857</v>
      </c>
      <c r="C207" s="91" t="s">
        <v>869</v>
      </c>
      <c r="D207" s="91" t="s">
        <v>650</v>
      </c>
      <c r="E207" s="92" t="s">
        <v>265</v>
      </c>
      <c r="F207" s="93">
        <v>8309.15</v>
      </c>
      <c r="G207" s="93"/>
      <c r="H207" s="92" t="s">
        <v>265</v>
      </c>
      <c r="I207" s="94" t="s">
        <v>213</v>
      </c>
      <c r="J207" s="94"/>
      <c r="K207" s="95" t="s">
        <v>214</v>
      </c>
      <c r="L207" s="96">
        <v>7325643.9000000004</v>
      </c>
    </row>
    <row r="208" spans="1:12" ht="51" hidden="1" x14ac:dyDescent="0.3">
      <c r="A208" s="90" t="s">
        <v>247</v>
      </c>
      <c r="B208" s="91" t="s">
        <v>857</v>
      </c>
      <c r="C208" s="91" t="s">
        <v>870</v>
      </c>
      <c r="D208" s="91" t="s">
        <v>652</v>
      </c>
      <c r="E208" s="92" t="s">
        <v>265</v>
      </c>
      <c r="F208" s="93">
        <v>33236.6</v>
      </c>
      <c r="G208" s="93"/>
      <c r="H208" s="92" t="s">
        <v>265</v>
      </c>
      <c r="I208" s="94" t="s">
        <v>213</v>
      </c>
      <c r="J208" s="94"/>
      <c r="K208" s="95" t="s">
        <v>214</v>
      </c>
      <c r="L208" s="96">
        <v>7358880.5</v>
      </c>
    </row>
    <row r="209" spans="1:12" ht="51" hidden="1" x14ac:dyDescent="0.3">
      <c r="A209" s="90" t="s">
        <v>247</v>
      </c>
      <c r="B209" s="91" t="s">
        <v>857</v>
      </c>
      <c r="C209" s="91" t="s">
        <v>870</v>
      </c>
      <c r="D209" s="91" t="s">
        <v>652</v>
      </c>
      <c r="E209" s="92" t="s">
        <v>265</v>
      </c>
      <c r="F209" s="93">
        <v>8309.15</v>
      </c>
      <c r="G209" s="93"/>
      <c r="H209" s="92" t="s">
        <v>265</v>
      </c>
      <c r="I209" s="94" t="s">
        <v>213</v>
      </c>
      <c r="J209" s="94"/>
      <c r="K209" s="95" t="s">
        <v>214</v>
      </c>
      <c r="L209" s="96">
        <v>7367189.6500000004</v>
      </c>
    </row>
    <row r="210" spans="1:12" ht="51" hidden="1" x14ac:dyDescent="0.3">
      <c r="A210" s="90" t="s">
        <v>247</v>
      </c>
      <c r="B210" s="91" t="s">
        <v>857</v>
      </c>
      <c r="C210" s="91" t="s">
        <v>871</v>
      </c>
      <c r="D210" s="91" t="s">
        <v>654</v>
      </c>
      <c r="E210" s="92" t="s">
        <v>265</v>
      </c>
      <c r="F210" s="93">
        <v>33236.6</v>
      </c>
      <c r="G210" s="93"/>
      <c r="H210" s="92" t="s">
        <v>265</v>
      </c>
      <c r="I210" s="94" t="s">
        <v>213</v>
      </c>
      <c r="J210" s="94"/>
      <c r="K210" s="95" t="s">
        <v>214</v>
      </c>
      <c r="L210" s="96">
        <v>7400426.25</v>
      </c>
    </row>
    <row r="211" spans="1:12" ht="51" hidden="1" x14ac:dyDescent="0.3">
      <c r="A211" s="90" t="s">
        <v>247</v>
      </c>
      <c r="B211" s="91" t="s">
        <v>857</v>
      </c>
      <c r="C211" s="91" t="s">
        <v>871</v>
      </c>
      <c r="D211" s="91" t="s">
        <v>654</v>
      </c>
      <c r="E211" s="92" t="s">
        <v>265</v>
      </c>
      <c r="F211" s="93">
        <v>8309.15</v>
      </c>
      <c r="G211" s="93"/>
      <c r="H211" s="92" t="s">
        <v>265</v>
      </c>
      <c r="I211" s="94" t="s">
        <v>213</v>
      </c>
      <c r="J211" s="94"/>
      <c r="K211" s="95" t="s">
        <v>214</v>
      </c>
      <c r="L211" s="96">
        <v>7408735.4000000004</v>
      </c>
    </row>
    <row r="212" spans="1:12" ht="51" hidden="1" x14ac:dyDescent="0.3">
      <c r="A212" s="90" t="s">
        <v>247</v>
      </c>
      <c r="B212" s="91" t="s">
        <v>857</v>
      </c>
      <c r="C212" s="91" t="s">
        <v>872</v>
      </c>
      <c r="D212" s="91" t="s">
        <v>656</v>
      </c>
      <c r="E212" s="92" t="s">
        <v>265</v>
      </c>
      <c r="F212" s="93">
        <v>41545.75</v>
      </c>
      <c r="G212" s="93"/>
      <c r="H212" s="92" t="s">
        <v>265</v>
      </c>
      <c r="I212" s="94" t="s">
        <v>213</v>
      </c>
      <c r="J212" s="94"/>
      <c r="K212" s="95" t="s">
        <v>214</v>
      </c>
      <c r="L212" s="96">
        <v>7450281.1500000004</v>
      </c>
    </row>
    <row r="213" spans="1:12" ht="51" hidden="1" x14ac:dyDescent="0.3">
      <c r="A213" s="90" t="s">
        <v>247</v>
      </c>
      <c r="B213" s="91" t="s">
        <v>857</v>
      </c>
      <c r="C213" s="91" t="s">
        <v>873</v>
      </c>
      <c r="D213" s="91" t="s">
        <v>658</v>
      </c>
      <c r="E213" s="92" t="s">
        <v>265</v>
      </c>
      <c r="F213" s="93">
        <v>24927.45</v>
      </c>
      <c r="G213" s="93"/>
      <c r="H213" s="92" t="s">
        <v>265</v>
      </c>
      <c r="I213" s="94" t="s">
        <v>213</v>
      </c>
      <c r="J213" s="94"/>
      <c r="K213" s="95" t="s">
        <v>214</v>
      </c>
      <c r="L213" s="96">
        <v>7475208.5999999996</v>
      </c>
    </row>
    <row r="214" spans="1:12" ht="51" hidden="1" x14ac:dyDescent="0.3">
      <c r="A214" s="90" t="s">
        <v>247</v>
      </c>
      <c r="B214" s="91" t="s">
        <v>857</v>
      </c>
      <c r="C214" s="91" t="s">
        <v>873</v>
      </c>
      <c r="D214" s="91" t="s">
        <v>658</v>
      </c>
      <c r="E214" s="92" t="s">
        <v>265</v>
      </c>
      <c r="F214" s="93">
        <v>16618.3</v>
      </c>
      <c r="G214" s="93"/>
      <c r="H214" s="92" t="s">
        <v>265</v>
      </c>
      <c r="I214" s="94" t="s">
        <v>213</v>
      </c>
      <c r="J214" s="94"/>
      <c r="K214" s="95" t="s">
        <v>214</v>
      </c>
      <c r="L214" s="96">
        <v>7491826.9000000004</v>
      </c>
    </row>
    <row r="215" spans="1:12" ht="51" hidden="1" x14ac:dyDescent="0.3">
      <c r="A215" s="90" t="s">
        <v>247</v>
      </c>
      <c r="B215" s="91" t="s">
        <v>857</v>
      </c>
      <c r="C215" s="91" t="s">
        <v>874</v>
      </c>
      <c r="D215" s="91" t="s">
        <v>661</v>
      </c>
      <c r="E215" s="92" t="s">
        <v>265</v>
      </c>
      <c r="F215" s="93">
        <v>33236.6</v>
      </c>
      <c r="G215" s="93"/>
      <c r="H215" s="92" t="s">
        <v>265</v>
      </c>
      <c r="I215" s="94" t="s">
        <v>213</v>
      </c>
      <c r="J215" s="94"/>
      <c r="K215" s="95" t="s">
        <v>214</v>
      </c>
      <c r="L215" s="96">
        <v>7525063.5</v>
      </c>
    </row>
    <row r="216" spans="1:12" ht="51" hidden="1" x14ac:dyDescent="0.3">
      <c r="A216" s="90" t="s">
        <v>247</v>
      </c>
      <c r="B216" s="91" t="s">
        <v>857</v>
      </c>
      <c r="C216" s="91" t="s">
        <v>875</v>
      </c>
      <c r="D216" s="91" t="s">
        <v>663</v>
      </c>
      <c r="E216" s="92" t="s">
        <v>265</v>
      </c>
      <c r="F216" s="93">
        <v>24927.45</v>
      </c>
      <c r="G216" s="93"/>
      <c r="H216" s="92" t="s">
        <v>265</v>
      </c>
      <c r="I216" s="94" t="s">
        <v>213</v>
      </c>
      <c r="J216" s="94"/>
      <c r="K216" s="95" t="s">
        <v>214</v>
      </c>
      <c r="L216" s="96">
        <v>7549990.9500000002</v>
      </c>
    </row>
    <row r="217" spans="1:12" ht="51" hidden="1" x14ac:dyDescent="0.3">
      <c r="A217" s="90" t="s">
        <v>247</v>
      </c>
      <c r="B217" s="91" t="s">
        <v>857</v>
      </c>
      <c r="C217" s="91" t="s">
        <v>875</v>
      </c>
      <c r="D217" s="91" t="s">
        <v>663</v>
      </c>
      <c r="E217" s="92" t="s">
        <v>265</v>
      </c>
      <c r="F217" s="93">
        <v>16618.3</v>
      </c>
      <c r="G217" s="93"/>
      <c r="H217" s="92" t="s">
        <v>265</v>
      </c>
      <c r="I217" s="94" t="s">
        <v>213</v>
      </c>
      <c r="J217" s="94"/>
      <c r="K217" s="95" t="s">
        <v>214</v>
      </c>
      <c r="L217" s="96">
        <v>7566609.25</v>
      </c>
    </row>
    <row r="218" spans="1:12" ht="51" hidden="1" x14ac:dyDescent="0.3">
      <c r="A218" s="90" t="s">
        <v>247</v>
      </c>
      <c r="B218" s="91" t="s">
        <v>857</v>
      </c>
      <c r="C218" s="91" t="s">
        <v>876</v>
      </c>
      <c r="D218" s="91" t="s">
        <v>665</v>
      </c>
      <c r="E218" s="92" t="s">
        <v>265</v>
      </c>
      <c r="F218" s="93">
        <v>24927.45</v>
      </c>
      <c r="G218" s="93"/>
      <c r="H218" s="92" t="s">
        <v>265</v>
      </c>
      <c r="I218" s="94" t="s">
        <v>213</v>
      </c>
      <c r="J218" s="94"/>
      <c r="K218" s="95" t="s">
        <v>214</v>
      </c>
      <c r="L218" s="96">
        <v>7591536.7000000002</v>
      </c>
    </row>
    <row r="219" spans="1:12" ht="51" hidden="1" x14ac:dyDescent="0.3">
      <c r="A219" s="90" t="s">
        <v>247</v>
      </c>
      <c r="B219" s="91" t="s">
        <v>857</v>
      </c>
      <c r="C219" s="91" t="s">
        <v>876</v>
      </c>
      <c r="D219" s="91" t="s">
        <v>665</v>
      </c>
      <c r="E219" s="92" t="s">
        <v>265</v>
      </c>
      <c r="F219" s="93">
        <v>8309.15</v>
      </c>
      <c r="G219" s="93"/>
      <c r="H219" s="92" t="s">
        <v>265</v>
      </c>
      <c r="I219" s="94" t="s">
        <v>213</v>
      </c>
      <c r="J219" s="94"/>
      <c r="K219" s="95" t="s">
        <v>214</v>
      </c>
      <c r="L219" s="96">
        <v>7599845.8499999996</v>
      </c>
    </row>
    <row r="220" spans="1:12" ht="51" hidden="1" x14ac:dyDescent="0.3">
      <c r="A220" s="90" t="s">
        <v>247</v>
      </c>
      <c r="B220" s="91" t="s">
        <v>857</v>
      </c>
      <c r="C220" s="91" t="s">
        <v>877</v>
      </c>
      <c r="D220" s="91" t="s">
        <v>669</v>
      </c>
      <c r="E220" s="92" t="s">
        <v>265</v>
      </c>
      <c r="F220" s="93">
        <v>41545.75</v>
      </c>
      <c r="G220" s="93"/>
      <c r="H220" s="92" t="s">
        <v>265</v>
      </c>
      <c r="I220" s="94" t="s">
        <v>213</v>
      </c>
      <c r="J220" s="94"/>
      <c r="K220" s="95" t="s">
        <v>214</v>
      </c>
      <c r="L220" s="96">
        <v>7641391.5999999996</v>
      </c>
    </row>
    <row r="221" spans="1:12" ht="51" hidden="1" x14ac:dyDescent="0.3">
      <c r="A221" s="90" t="s">
        <v>247</v>
      </c>
      <c r="B221" s="91" t="s">
        <v>857</v>
      </c>
      <c r="C221" s="91" t="s">
        <v>878</v>
      </c>
      <c r="D221" s="91" t="s">
        <v>672</v>
      </c>
      <c r="E221" s="92" t="s">
        <v>265</v>
      </c>
      <c r="F221" s="93">
        <v>24927.45</v>
      </c>
      <c r="G221" s="93"/>
      <c r="H221" s="92" t="s">
        <v>265</v>
      </c>
      <c r="I221" s="94" t="s">
        <v>213</v>
      </c>
      <c r="J221" s="94"/>
      <c r="K221" s="95" t="s">
        <v>214</v>
      </c>
      <c r="L221" s="96">
        <v>7666319.0499999998</v>
      </c>
    </row>
    <row r="222" spans="1:12" ht="51" hidden="1" x14ac:dyDescent="0.3">
      <c r="A222" s="90" t="s">
        <v>247</v>
      </c>
      <c r="B222" s="91" t="s">
        <v>857</v>
      </c>
      <c r="C222" s="91" t="s">
        <v>878</v>
      </c>
      <c r="D222" s="91" t="s">
        <v>672</v>
      </c>
      <c r="E222" s="92" t="s">
        <v>265</v>
      </c>
      <c r="F222" s="93">
        <v>8309.15</v>
      </c>
      <c r="G222" s="93"/>
      <c r="H222" s="92" t="s">
        <v>265</v>
      </c>
      <c r="I222" s="94" t="s">
        <v>213</v>
      </c>
      <c r="J222" s="94"/>
      <c r="K222" s="95" t="s">
        <v>214</v>
      </c>
      <c r="L222" s="96">
        <v>7674628.2000000002</v>
      </c>
    </row>
    <row r="223" spans="1:12" ht="51" hidden="1" x14ac:dyDescent="0.3">
      <c r="A223" s="90" t="s">
        <v>247</v>
      </c>
      <c r="B223" s="91" t="s">
        <v>857</v>
      </c>
      <c r="C223" s="91" t="s">
        <v>879</v>
      </c>
      <c r="D223" s="91" t="s">
        <v>675</v>
      </c>
      <c r="E223" s="92" t="s">
        <v>265</v>
      </c>
      <c r="F223" s="93">
        <v>41545.75</v>
      </c>
      <c r="G223" s="93"/>
      <c r="H223" s="92" t="s">
        <v>265</v>
      </c>
      <c r="I223" s="94" t="s">
        <v>213</v>
      </c>
      <c r="J223" s="94"/>
      <c r="K223" s="95" t="s">
        <v>214</v>
      </c>
      <c r="L223" s="96">
        <v>7716173.9500000002</v>
      </c>
    </row>
    <row r="224" spans="1:12" ht="51" hidden="1" x14ac:dyDescent="0.3">
      <c r="A224" s="90" t="s">
        <v>247</v>
      </c>
      <c r="B224" s="91" t="s">
        <v>857</v>
      </c>
      <c r="C224" s="91" t="s">
        <v>880</v>
      </c>
      <c r="D224" s="91" t="s">
        <v>678</v>
      </c>
      <c r="E224" s="92" t="s">
        <v>265</v>
      </c>
      <c r="F224" s="93">
        <v>24927.45</v>
      </c>
      <c r="G224" s="93"/>
      <c r="H224" s="92" t="s">
        <v>265</v>
      </c>
      <c r="I224" s="94" t="s">
        <v>213</v>
      </c>
      <c r="J224" s="94"/>
      <c r="K224" s="95" t="s">
        <v>214</v>
      </c>
      <c r="L224" s="96">
        <v>7741101.4000000004</v>
      </c>
    </row>
    <row r="225" spans="1:12" ht="51" hidden="1" x14ac:dyDescent="0.3">
      <c r="A225" s="90" t="s">
        <v>247</v>
      </c>
      <c r="B225" s="91" t="s">
        <v>857</v>
      </c>
      <c r="C225" s="91" t="s">
        <v>880</v>
      </c>
      <c r="D225" s="91" t="s">
        <v>678</v>
      </c>
      <c r="E225" s="92" t="s">
        <v>265</v>
      </c>
      <c r="F225" s="93">
        <v>8309.15</v>
      </c>
      <c r="G225" s="93"/>
      <c r="H225" s="92" t="s">
        <v>265</v>
      </c>
      <c r="I225" s="94" t="s">
        <v>213</v>
      </c>
      <c r="J225" s="94"/>
      <c r="K225" s="95" t="s">
        <v>214</v>
      </c>
      <c r="L225" s="96">
        <v>7749410.5499999998</v>
      </c>
    </row>
    <row r="226" spans="1:12" ht="51" hidden="1" x14ac:dyDescent="0.3">
      <c r="A226" s="90" t="s">
        <v>247</v>
      </c>
      <c r="B226" s="91" t="s">
        <v>857</v>
      </c>
      <c r="C226" s="91" t="s">
        <v>881</v>
      </c>
      <c r="D226" s="91" t="s">
        <v>681</v>
      </c>
      <c r="E226" s="92" t="s">
        <v>265</v>
      </c>
      <c r="F226" s="93">
        <v>41545.75</v>
      </c>
      <c r="G226" s="93"/>
      <c r="H226" s="92" t="s">
        <v>265</v>
      </c>
      <c r="I226" s="94" t="s">
        <v>213</v>
      </c>
      <c r="J226" s="94"/>
      <c r="K226" s="95" t="s">
        <v>214</v>
      </c>
      <c r="L226" s="96">
        <v>7790956.2999999998</v>
      </c>
    </row>
    <row r="227" spans="1:12" ht="51" hidden="1" x14ac:dyDescent="0.3">
      <c r="A227" s="90" t="s">
        <v>247</v>
      </c>
      <c r="B227" s="91" t="s">
        <v>857</v>
      </c>
      <c r="C227" s="91" t="s">
        <v>882</v>
      </c>
      <c r="D227" s="91" t="s">
        <v>684</v>
      </c>
      <c r="E227" s="92" t="s">
        <v>265</v>
      </c>
      <c r="F227" s="93">
        <v>24927.45</v>
      </c>
      <c r="G227" s="93"/>
      <c r="H227" s="92" t="s">
        <v>265</v>
      </c>
      <c r="I227" s="94" t="s">
        <v>213</v>
      </c>
      <c r="J227" s="94"/>
      <c r="K227" s="95" t="s">
        <v>214</v>
      </c>
      <c r="L227" s="96">
        <v>7815883.75</v>
      </c>
    </row>
    <row r="228" spans="1:12" ht="51" hidden="1" x14ac:dyDescent="0.3">
      <c r="A228" s="90" t="s">
        <v>247</v>
      </c>
      <c r="B228" s="91" t="s">
        <v>857</v>
      </c>
      <c r="C228" s="91" t="s">
        <v>882</v>
      </c>
      <c r="D228" s="91" t="s">
        <v>684</v>
      </c>
      <c r="E228" s="92" t="s">
        <v>265</v>
      </c>
      <c r="F228" s="93">
        <v>8309.15</v>
      </c>
      <c r="G228" s="93"/>
      <c r="H228" s="92" t="s">
        <v>265</v>
      </c>
      <c r="I228" s="94" t="s">
        <v>213</v>
      </c>
      <c r="J228" s="94"/>
      <c r="K228" s="95" t="s">
        <v>214</v>
      </c>
      <c r="L228" s="96">
        <v>7824192.9000000004</v>
      </c>
    </row>
    <row r="229" spans="1:12" ht="51" hidden="1" x14ac:dyDescent="0.3">
      <c r="A229" s="90" t="s">
        <v>247</v>
      </c>
      <c r="B229" s="91" t="s">
        <v>857</v>
      </c>
      <c r="C229" s="91" t="s">
        <v>883</v>
      </c>
      <c r="D229" s="91" t="s">
        <v>687</v>
      </c>
      <c r="E229" s="92" t="s">
        <v>265</v>
      </c>
      <c r="F229" s="93">
        <v>41545.75</v>
      </c>
      <c r="G229" s="93"/>
      <c r="H229" s="92" t="s">
        <v>265</v>
      </c>
      <c r="I229" s="94" t="s">
        <v>213</v>
      </c>
      <c r="J229" s="94"/>
      <c r="K229" s="95" t="s">
        <v>214</v>
      </c>
      <c r="L229" s="96">
        <v>7865738.6500000004</v>
      </c>
    </row>
    <row r="230" spans="1:12" ht="51" hidden="1" x14ac:dyDescent="0.3">
      <c r="A230" s="90" t="s">
        <v>247</v>
      </c>
      <c r="B230" s="91" t="s">
        <v>857</v>
      </c>
      <c r="C230" s="91" t="s">
        <v>884</v>
      </c>
      <c r="D230" s="91" t="s">
        <v>690</v>
      </c>
      <c r="E230" s="92" t="s">
        <v>265</v>
      </c>
      <c r="F230" s="93">
        <v>24927.45</v>
      </c>
      <c r="G230" s="93"/>
      <c r="H230" s="92" t="s">
        <v>265</v>
      </c>
      <c r="I230" s="94" t="s">
        <v>213</v>
      </c>
      <c r="J230" s="94"/>
      <c r="K230" s="95" t="s">
        <v>214</v>
      </c>
      <c r="L230" s="96">
        <v>7890666.0999999996</v>
      </c>
    </row>
    <row r="231" spans="1:12" ht="51" hidden="1" x14ac:dyDescent="0.3">
      <c r="A231" s="90" t="s">
        <v>247</v>
      </c>
      <c r="B231" s="91" t="s">
        <v>857</v>
      </c>
      <c r="C231" s="91" t="s">
        <v>884</v>
      </c>
      <c r="D231" s="91" t="s">
        <v>690</v>
      </c>
      <c r="E231" s="92" t="s">
        <v>265</v>
      </c>
      <c r="F231" s="93">
        <v>8309.15</v>
      </c>
      <c r="G231" s="93"/>
      <c r="H231" s="92" t="s">
        <v>265</v>
      </c>
      <c r="I231" s="94" t="s">
        <v>213</v>
      </c>
      <c r="J231" s="94"/>
      <c r="K231" s="95" t="s">
        <v>214</v>
      </c>
      <c r="L231" s="96">
        <v>7898975.25</v>
      </c>
    </row>
    <row r="232" spans="1:12" ht="51" hidden="1" x14ac:dyDescent="0.3">
      <c r="A232" s="90" t="s">
        <v>247</v>
      </c>
      <c r="B232" s="91" t="s">
        <v>857</v>
      </c>
      <c r="C232" s="91" t="s">
        <v>885</v>
      </c>
      <c r="D232" s="91" t="s">
        <v>693</v>
      </c>
      <c r="E232" s="92" t="s">
        <v>265</v>
      </c>
      <c r="F232" s="93">
        <v>33236.6</v>
      </c>
      <c r="G232" s="93"/>
      <c r="H232" s="92" t="s">
        <v>265</v>
      </c>
      <c r="I232" s="94" t="s">
        <v>213</v>
      </c>
      <c r="J232" s="94"/>
      <c r="K232" s="95" t="s">
        <v>214</v>
      </c>
      <c r="L232" s="96">
        <v>7932211.8499999996</v>
      </c>
    </row>
    <row r="233" spans="1:12" ht="51" hidden="1" x14ac:dyDescent="0.3">
      <c r="A233" s="90" t="s">
        <v>247</v>
      </c>
      <c r="B233" s="91" t="s">
        <v>857</v>
      </c>
      <c r="C233" s="91" t="s">
        <v>885</v>
      </c>
      <c r="D233" s="91" t="s">
        <v>693</v>
      </c>
      <c r="E233" s="92" t="s">
        <v>265</v>
      </c>
      <c r="F233" s="93">
        <v>8309.15</v>
      </c>
      <c r="G233" s="93"/>
      <c r="H233" s="92" t="s">
        <v>265</v>
      </c>
      <c r="I233" s="94" t="s">
        <v>213</v>
      </c>
      <c r="J233" s="94"/>
      <c r="K233" s="95" t="s">
        <v>214</v>
      </c>
      <c r="L233" s="96">
        <v>7940521</v>
      </c>
    </row>
    <row r="234" spans="1:12" ht="51" hidden="1" x14ac:dyDescent="0.3">
      <c r="A234" s="90" t="s">
        <v>247</v>
      </c>
      <c r="B234" s="91" t="s">
        <v>857</v>
      </c>
      <c r="C234" s="91" t="s">
        <v>886</v>
      </c>
      <c r="D234" s="91" t="s">
        <v>697</v>
      </c>
      <c r="E234" s="92" t="s">
        <v>265</v>
      </c>
      <c r="F234" s="93">
        <v>33236.6</v>
      </c>
      <c r="G234" s="93"/>
      <c r="H234" s="92" t="s">
        <v>265</v>
      </c>
      <c r="I234" s="94" t="s">
        <v>213</v>
      </c>
      <c r="J234" s="94"/>
      <c r="K234" s="95" t="s">
        <v>214</v>
      </c>
      <c r="L234" s="96">
        <v>7973757.5999999996</v>
      </c>
    </row>
    <row r="235" spans="1:12" ht="51" hidden="1" x14ac:dyDescent="0.3">
      <c r="A235" s="90" t="s">
        <v>247</v>
      </c>
      <c r="B235" s="91" t="s">
        <v>857</v>
      </c>
      <c r="C235" s="91" t="s">
        <v>886</v>
      </c>
      <c r="D235" s="91" t="s">
        <v>697</v>
      </c>
      <c r="E235" s="92" t="s">
        <v>265</v>
      </c>
      <c r="F235" s="93">
        <v>8309.15</v>
      </c>
      <c r="G235" s="93"/>
      <c r="H235" s="92" t="s">
        <v>265</v>
      </c>
      <c r="I235" s="94" t="s">
        <v>213</v>
      </c>
      <c r="J235" s="94"/>
      <c r="K235" s="95" t="s">
        <v>214</v>
      </c>
      <c r="L235" s="96">
        <v>7982066.75</v>
      </c>
    </row>
    <row r="236" spans="1:12" ht="51" hidden="1" x14ac:dyDescent="0.3">
      <c r="A236" s="90" t="s">
        <v>247</v>
      </c>
      <c r="B236" s="91" t="s">
        <v>857</v>
      </c>
      <c r="C236" s="91" t="s">
        <v>887</v>
      </c>
      <c r="D236" s="91" t="s">
        <v>699</v>
      </c>
      <c r="E236" s="92" t="s">
        <v>265</v>
      </c>
      <c r="F236" s="93">
        <v>33236.6</v>
      </c>
      <c r="G236" s="93"/>
      <c r="H236" s="92" t="s">
        <v>265</v>
      </c>
      <c r="I236" s="94" t="s">
        <v>213</v>
      </c>
      <c r="J236" s="94"/>
      <c r="K236" s="95" t="s">
        <v>214</v>
      </c>
      <c r="L236" s="96">
        <v>8015303.3499999996</v>
      </c>
    </row>
    <row r="237" spans="1:12" ht="51" hidden="1" x14ac:dyDescent="0.3">
      <c r="A237" s="90" t="s">
        <v>247</v>
      </c>
      <c r="B237" s="91" t="s">
        <v>857</v>
      </c>
      <c r="C237" s="91" t="s">
        <v>888</v>
      </c>
      <c r="D237" s="91" t="s">
        <v>701</v>
      </c>
      <c r="E237" s="92" t="s">
        <v>265</v>
      </c>
      <c r="F237" s="93">
        <v>41545.75</v>
      </c>
      <c r="G237" s="93"/>
      <c r="H237" s="92" t="s">
        <v>265</v>
      </c>
      <c r="I237" s="94" t="s">
        <v>213</v>
      </c>
      <c r="J237" s="94"/>
      <c r="K237" s="95" t="s">
        <v>214</v>
      </c>
      <c r="L237" s="96">
        <v>8056849.0999999996</v>
      </c>
    </row>
    <row r="238" spans="1:12" ht="51" hidden="1" x14ac:dyDescent="0.3">
      <c r="A238" s="90" t="s">
        <v>247</v>
      </c>
      <c r="B238" s="91" t="s">
        <v>857</v>
      </c>
      <c r="C238" s="91" t="s">
        <v>889</v>
      </c>
      <c r="D238" s="91" t="s">
        <v>705</v>
      </c>
      <c r="E238" s="92" t="s">
        <v>265</v>
      </c>
      <c r="F238" s="93">
        <v>33236.6</v>
      </c>
      <c r="G238" s="93"/>
      <c r="H238" s="92" t="s">
        <v>265</v>
      </c>
      <c r="I238" s="94" t="s">
        <v>213</v>
      </c>
      <c r="J238" s="94"/>
      <c r="K238" s="95" t="s">
        <v>214</v>
      </c>
      <c r="L238" s="96">
        <v>8090085.7000000002</v>
      </c>
    </row>
    <row r="239" spans="1:12" ht="51" hidden="1" x14ac:dyDescent="0.3">
      <c r="A239" s="90" t="s">
        <v>247</v>
      </c>
      <c r="B239" s="91" t="s">
        <v>857</v>
      </c>
      <c r="C239" s="91" t="s">
        <v>890</v>
      </c>
      <c r="D239" s="91" t="s">
        <v>708</v>
      </c>
      <c r="E239" s="92" t="s">
        <v>265</v>
      </c>
      <c r="F239" s="93">
        <v>41545.75</v>
      </c>
      <c r="G239" s="93"/>
      <c r="H239" s="92" t="s">
        <v>265</v>
      </c>
      <c r="I239" s="94" t="s">
        <v>213</v>
      </c>
      <c r="J239" s="94"/>
      <c r="K239" s="95" t="s">
        <v>214</v>
      </c>
      <c r="L239" s="96">
        <v>8131631.4500000002</v>
      </c>
    </row>
    <row r="240" spans="1:12" ht="51" hidden="1" x14ac:dyDescent="0.3">
      <c r="A240" s="90" t="s">
        <v>247</v>
      </c>
      <c r="B240" s="91" t="s">
        <v>857</v>
      </c>
      <c r="C240" s="91" t="s">
        <v>891</v>
      </c>
      <c r="D240" s="91" t="s">
        <v>711</v>
      </c>
      <c r="E240" s="92" t="s">
        <v>265</v>
      </c>
      <c r="F240" s="93">
        <v>33236.6</v>
      </c>
      <c r="G240" s="93"/>
      <c r="H240" s="92" t="s">
        <v>265</v>
      </c>
      <c r="I240" s="94" t="s">
        <v>213</v>
      </c>
      <c r="J240" s="94"/>
      <c r="K240" s="95" t="s">
        <v>214</v>
      </c>
      <c r="L240" s="96">
        <v>8164868.0499999998</v>
      </c>
    </row>
    <row r="241" spans="1:12" ht="51" hidden="1" x14ac:dyDescent="0.3">
      <c r="A241" s="90" t="s">
        <v>247</v>
      </c>
      <c r="B241" s="91" t="s">
        <v>857</v>
      </c>
      <c r="C241" s="91" t="s">
        <v>892</v>
      </c>
      <c r="D241" s="91" t="s">
        <v>715</v>
      </c>
      <c r="E241" s="92" t="s">
        <v>265</v>
      </c>
      <c r="F241" s="93">
        <v>33236.6</v>
      </c>
      <c r="G241" s="93"/>
      <c r="H241" s="92" t="s">
        <v>265</v>
      </c>
      <c r="I241" s="94" t="s">
        <v>213</v>
      </c>
      <c r="J241" s="94"/>
      <c r="K241" s="95" t="s">
        <v>214</v>
      </c>
      <c r="L241" s="96">
        <v>8198104.6500000004</v>
      </c>
    </row>
    <row r="242" spans="1:12" ht="51" hidden="1" x14ac:dyDescent="0.3">
      <c r="A242" s="90" t="s">
        <v>247</v>
      </c>
      <c r="B242" s="91" t="s">
        <v>857</v>
      </c>
      <c r="C242" s="91" t="s">
        <v>893</v>
      </c>
      <c r="D242" s="91" t="s">
        <v>718</v>
      </c>
      <c r="E242" s="92" t="s">
        <v>265</v>
      </c>
      <c r="F242" s="93">
        <v>8309.15</v>
      </c>
      <c r="G242" s="93"/>
      <c r="H242" s="92" t="s">
        <v>265</v>
      </c>
      <c r="I242" s="94" t="s">
        <v>213</v>
      </c>
      <c r="J242" s="94"/>
      <c r="K242" s="95" t="s">
        <v>214</v>
      </c>
      <c r="L242" s="96">
        <v>8206413.7999999998</v>
      </c>
    </row>
    <row r="243" spans="1:12" ht="51" hidden="1" x14ac:dyDescent="0.3">
      <c r="A243" s="90" t="s">
        <v>247</v>
      </c>
      <c r="B243" s="91" t="s">
        <v>857</v>
      </c>
      <c r="C243" s="91" t="s">
        <v>893</v>
      </c>
      <c r="D243" s="91" t="s">
        <v>718</v>
      </c>
      <c r="E243" s="92" t="s">
        <v>265</v>
      </c>
      <c r="F243" s="93">
        <v>33236.6</v>
      </c>
      <c r="G243" s="93"/>
      <c r="H243" s="92" t="s">
        <v>265</v>
      </c>
      <c r="I243" s="94" t="s">
        <v>213</v>
      </c>
      <c r="J243" s="94"/>
      <c r="K243" s="95" t="s">
        <v>214</v>
      </c>
      <c r="L243" s="96">
        <v>8239650.4000000004</v>
      </c>
    </row>
    <row r="244" spans="1:12" ht="51" hidden="1" x14ac:dyDescent="0.3">
      <c r="A244" s="90" t="s">
        <v>247</v>
      </c>
      <c r="B244" s="91" t="s">
        <v>857</v>
      </c>
      <c r="C244" s="91" t="s">
        <v>894</v>
      </c>
      <c r="D244" s="91" t="s">
        <v>721</v>
      </c>
      <c r="E244" s="92" t="s">
        <v>265</v>
      </c>
      <c r="F244" s="93">
        <v>8309.15</v>
      </c>
      <c r="G244" s="93"/>
      <c r="H244" s="92" t="s">
        <v>265</v>
      </c>
      <c r="I244" s="94" t="s">
        <v>213</v>
      </c>
      <c r="J244" s="94"/>
      <c r="K244" s="95" t="s">
        <v>214</v>
      </c>
      <c r="L244" s="96">
        <v>8247959.5499999998</v>
      </c>
    </row>
    <row r="245" spans="1:12" ht="51" hidden="1" x14ac:dyDescent="0.3">
      <c r="A245" s="90" t="s">
        <v>247</v>
      </c>
      <c r="B245" s="91" t="s">
        <v>857</v>
      </c>
      <c r="C245" s="91" t="s">
        <v>894</v>
      </c>
      <c r="D245" s="91" t="s">
        <v>721</v>
      </c>
      <c r="E245" s="92" t="s">
        <v>265</v>
      </c>
      <c r="F245" s="93">
        <v>24927.45</v>
      </c>
      <c r="G245" s="93"/>
      <c r="H245" s="92" t="s">
        <v>265</v>
      </c>
      <c r="I245" s="94" t="s">
        <v>213</v>
      </c>
      <c r="J245" s="94"/>
      <c r="K245" s="95" t="s">
        <v>214</v>
      </c>
      <c r="L245" s="96">
        <v>8272887</v>
      </c>
    </row>
    <row r="246" spans="1:12" ht="51" hidden="1" x14ac:dyDescent="0.3">
      <c r="A246" s="90" t="s">
        <v>247</v>
      </c>
      <c r="B246" s="91" t="s">
        <v>857</v>
      </c>
      <c r="C246" s="91" t="s">
        <v>895</v>
      </c>
      <c r="D246" s="91" t="s">
        <v>724</v>
      </c>
      <c r="E246" s="92" t="s">
        <v>265</v>
      </c>
      <c r="F246" s="93">
        <v>8309.15</v>
      </c>
      <c r="G246" s="93"/>
      <c r="H246" s="92" t="s">
        <v>265</v>
      </c>
      <c r="I246" s="94" t="s">
        <v>213</v>
      </c>
      <c r="J246" s="94"/>
      <c r="K246" s="95" t="s">
        <v>214</v>
      </c>
      <c r="L246" s="96">
        <v>8281196.1500000004</v>
      </c>
    </row>
    <row r="247" spans="1:12" ht="51" hidden="1" x14ac:dyDescent="0.3">
      <c r="A247" s="90" t="s">
        <v>247</v>
      </c>
      <c r="B247" s="91" t="s">
        <v>857</v>
      </c>
      <c r="C247" s="91" t="s">
        <v>895</v>
      </c>
      <c r="D247" s="91" t="s">
        <v>724</v>
      </c>
      <c r="E247" s="92" t="s">
        <v>265</v>
      </c>
      <c r="F247" s="93">
        <v>33236.6</v>
      </c>
      <c r="G247" s="93"/>
      <c r="H247" s="92" t="s">
        <v>265</v>
      </c>
      <c r="I247" s="94" t="s">
        <v>213</v>
      </c>
      <c r="J247" s="94"/>
      <c r="K247" s="95" t="s">
        <v>214</v>
      </c>
      <c r="L247" s="96">
        <v>8314432.75</v>
      </c>
    </row>
    <row r="248" spans="1:12" ht="51" hidden="1" x14ac:dyDescent="0.3">
      <c r="A248" s="90" t="s">
        <v>247</v>
      </c>
      <c r="B248" s="91" t="s">
        <v>857</v>
      </c>
      <c r="C248" s="91" t="s">
        <v>896</v>
      </c>
      <c r="D248" s="91" t="s">
        <v>727</v>
      </c>
      <c r="E248" s="92" t="s">
        <v>265</v>
      </c>
      <c r="F248" s="93">
        <v>33236.6</v>
      </c>
      <c r="G248" s="93"/>
      <c r="H248" s="92" t="s">
        <v>265</v>
      </c>
      <c r="I248" s="94" t="s">
        <v>213</v>
      </c>
      <c r="J248" s="94"/>
      <c r="K248" s="95" t="s">
        <v>214</v>
      </c>
      <c r="L248" s="96">
        <v>8347669.3499999996</v>
      </c>
    </row>
    <row r="249" spans="1:12" ht="51" hidden="1" x14ac:dyDescent="0.3">
      <c r="A249" s="90" t="s">
        <v>247</v>
      </c>
      <c r="B249" s="91" t="s">
        <v>857</v>
      </c>
      <c r="C249" s="91" t="s">
        <v>897</v>
      </c>
      <c r="D249" s="91" t="s">
        <v>730</v>
      </c>
      <c r="E249" s="92" t="s">
        <v>265</v>
      </c>
      <c r="F249" s="93">
        <v>8309.15</v>
      </c>
      <c r="G249" s="93"/>
      <c r="H249" s="92" t="s">
        <v>265</v>
      </c>
      <c r="I249" s="94" t="s">
        <v>213</v>
      </c>
      <c r="J249" s="94"/>
      <c r="K249" s="95" t="s">
        <v>214</v>
      </c>
      <c r="L249" s="96">
        <v>8355978.5</v>
      </c>
    </row>
    <row r="250" spans="1:12" ht="51" hidden="1" x14ac:dyDescent="0.3">
      <c r="A250" s="90" t="s">
        <v>247</v>
      </c>
      <c r="B250" s="91" t="s">
        <v>857</v>
      </c>
      <c r="C250" s="91" t="s">
        <v>897</v>
      </c>
      <c r="D250" s="91" t="s">
        <v>730</v>
      </c>
      <c r="E250" s="92" t="s">
        <v>265</v>
      </c>
      <c r="F250" s="93">
        <v>33236.6</v>
      </c>
      <c r="G250" s="93"/>
      <c r="H250" s="92" t="s">
        <v>265</v>
      </c>
      <c r="I250" s="94" t="s">
        <v>213</v>
      </c>
      <c r="J250" s="94"/>
      <c r="K250" s="95" t="s">
        <v>214</v>
      </c>
      <c r="L250" s="96">
        <v>8389215.0999999996</v>
      </c>
    </row>
    <row r="251" spans="1:12" ht="51" hidden="1" x14ac:dyDescent="0.3">
      <c r="A251" s="90" t="s">
        <v>247</v>
      </c>
      <c r="B251" s="91" t="s">
        <v>857</v>
      </c>
      <c r="C251" s="91" t="s">
        <v>898</v>
      </c>
      <c r="D251" s="91" t="s">
        <v>733</v>
      </c>
      <c r="E251" s="92" t="s">
        <v>265</v>
      </c>
      <c r="F251" s="93">
        <v>8309.15</v>
      </c>
      <c r="G251" s="93"/>
      <c r="H251" s="92" t="s">
        <v>265</v>
      </c>
      <c r="I251" s="94" t="s">
        <v>213</v>
      </c>
      <c r="J251" s="94"/>
      <c r="K251" s="95" t="s">
        <v>214</v>
      </c>
      <c r="L251" s="96">
        <v>8397524.25</v>
      </c>
    </row>
    <row r="252" spans="1:12" ht="51" hidden="1" x14ac:dyDescent="0.3">
      <c r="A252" s="90" t="s">
        <v>247</v>
      </c>
      <c r="B252" s="91" t="s">
        <v>857</v>
      </c>
      <c r="C252" s="91" t="s">
        <v>898</v>
      </c>
      <c r="D252" s="91" t="s">
        <v>733</v>
      </c>
      <c r="E252" s="92" t="s">
        <v>265</v>
      </c>
      <c r="F252" s="93">
        <v>24927.45</v>
      </c>
      <c r="G252" s="93"/>
      <c r="H252" s="92" t="s">
        <v>265</v>
      </c>
      <c r="I252" s="94" t="s">
        <v>213</v>
      </c>
      <c r="J252" s="94"/>
      <c r="K252" s="95" t="s">
        <v>214</v>
      </c>
      <c r="L252" s="96">
        <v>8422451.6999999993</v>
      </c>
    </row>
    <row r="253" spans="1:12" ht="51" hidden="1" x14ac:dyDescent="0.3">
      <c r="A253" s="90" t="s">
        <v>247</v>
      </c>
      <c r="B253" s="91" t="s">
        <v>857</v>
      </c>
      <c r="C253" s="91" t="s">
        <v>899</v>
      </c>
      <c r="D253" s="91" t="s">
        <v>736</v>
      </c>
      <c r="E253" s="92" t="s">
        <v>265</v>
      </c>
      <c r="F253" s="93">
        <v>8309.15</v>
      </c>
      <c r="G253" s="93"/>
      <c r="H253" s="92" t="s">
        <v>265</v>
      </c>
      <c r="I253" s="94" t="s">
        <v>213</v>
      </c>
      <c r="J253" s="94"/>
      <c r="K253" s="95" t="s">
        <v>214</v>
      </c>
      <c r="L253" s="96">
        <v>8430760.8499999996</v>
      </c>
    </row>
    <row r="254" spans="1:12" ht="51" hidden="1" x14ac:dyDescent="0.3">
      <c r="A254" s="90" t="s">
        <v>247</v>
      </c>
      <c r="B254" s="91" t="s">
        <v>857</v>
      </c>
      <c r="C254" s="91" t="s">
        <v>899</v>
      </c>
      <c r="D254" s="91" t="s">
        <v>736</v>
      </c>
      <c r="E254" s="92" t="s">
        <v>265</v>
      </c>
      <c r="F254" s="93">
        <v>33236.6</v>
      </c>
      <c r="G254" s="93"/>
      <c r="H254" s="92" t="s">
        <v>265</v>
      </c>
      <c r="I254" s="94" t="s">
        <v>213</v>
      </c>
      <c r="J254" s="94"/>
      <c r="K254" s="95" t="s">
        <v>214</v>
      </c>
      <c r="L254" s="96">
        <v>8463997.4499999993</v>
      </c>
    </row>
    <row r="255" spans="1:12" ht="51" hidden="1" x14ac:dyDescent="0.3">
      <c r="A255" s="90" t="s">
        <v>247</v>
      </c>
      <c r="B255" s="91" t="s">
        <v>857</v>
      </c>
      <c r="C255" s="91" t="s">
        <v>900</v>
      </c>
      <c r="D255" s="91" t="s">
        <v>740</v>
      </c>
      <c r="E255" s="92" t="s">
        <v>265</v>
      </c>
      <c r="F255" s="93">
        <v>8309.15</v>
      </c>
      <c r="G255" s="93"/>
      <c r="H255" s="92" t="s">
        <v>265</v>
      </c>
      <c r="I255" s="94" t="s">
        <v>213</v>
      </c>
      <c r="J255" s="94"/>
      <c r="K255" s="95" t="s">
        <v>214</v>
      </c>
      <c r="L255" s="96">
        <v>8472306.5999999996</v>
      </c>
    </row>
    <row r="256" spans="1:12" ht="51" hidden="1" x14ac:dyDescent="0.3">
      <c r="A256" s="90" t="s">
        <v>247</v>
      </c>
      <c r="B256" s="91" t="s">
        <v>857</v>
      </c>
      <c r="C256" s="91" t="s">
        <v>900</v>
      </c>
      <c r="D256" s="91" t="s">
        <v>740</v>
      </c>
      <c r="E256" s="92" t="s">
        <v>265</v>
      </c>
      <c r="F256" s="93">
        <v>24927.45</v>
      </c>
      <c r="G256" s="93"/>
      <c r="H256" s="92" t="s">
        <v>265</v>
      </c>
      <c r="I256" s="94" t="s">
        <v>213</v>
      </c>
      <c r="J256" s="94"/>
      <c r="K256" s="95" t="s">
        <v>214</v>
      </c>
      <c r="L256" s="96">
        <v>8497234.0500000007</v>
      </c>
    </row>
    <row r="257" spans="1:12" ht="51" hidden="1" x14ac:dyDescent="0.3">
      <c r="A257" s="90" t="s">
        <v>247</v>
      </c>
      <c r="B257" s="91" t="s">
        <v>857</v>
      </c>
      <c r="C257" s="91" t="s">
        <v>901</v>
      </c>
      <c r="D257" s="91" t="s">
        <v>743</v>
      </c>
      <c r="E257" s="92" t="s">
        <v>265</v>
      </c>
      <c r="F257" s="93">
        <v>8309.15</v>
      </c>
      <c r="G257" s="93"/>
      <c r="H257" s="92" t="s">
        <v>265</v>
      </c>
      <c r="I257" s="94" t="s">
        <v>213</v>
      </c>
      <c r="J257" s="94"/>
      <c r="K257" s="95" t="s">
        <v>214</v>
      </c>
      <c r="L257" s="96">
        <v>8505543.1999999993</v>
      </c>
    </row>
    <row r="258" spans="1:12" ht="51" hidden="1" x14ac:dyDescent="0.3">
      <c r="A258" s="90" t="s">
        <v>247</v>
      </c>
      <c r="B258" s="91" t="s">
        <v>857</v>
      </c>
      <c r="C258" s="91" t="s">
        <v>901</v>
      </c>
      <c r="D258" s="91" t="s">
        <v>743</v>
      </c>
      <c r="E258" s="92" t="s">
        <v>265</v>
      </c>
      <c r="F258" s="93">
        <v>33236.6</v>
      </c>
      <c r="G258" s="93"/>
      <c r="H258" s="92" t="s">
        <v>265</v>
      </c>
      <c r="I258" s="94" t="s">
        <v>213</v>
      </c>
      <c r="J258" s="94"/>
      <c r="K258" s="95" t="s">
        <v>214</v>
      </c>
      <c r="L258" s="96">
        <v>8538779.8000000007</v>
      </c>
    </row>
    <row r="259" spans="1:12" ht="51" x14ac:dyDescent="0.3">
      <c r="A259" s="90" t="s">
        <v>230</v>
      </c>
      <c r="B259" s="91" t="s">
        <v>1016</v>
      </c>
      <c r="C259" s="91" t="s">
        <v>295</v>
      </c>
      <c r="D259" s="91" t="s">
        <v>391</v>
      </c>
      <c r="E259" s="92" t="s">
        <v>292</v>
      </c>
      <c r="F259" s="97" t="s">
        <v>213</v>
      </c>
      <c r="G259" s="97"/>
      <c r="H259" s="92" t="s">
        <v>265</v>
      </c>
      <c r="I259" s="98">
        <v>74782.350000000006</v>
      </c>
      <c r="J259" s="98"/>
      <c r="K259" s="95" t="s">
        <v>214</v>
      </c>
      <c r="L259" s="96">
        <v>8463997.4499999993</v>
      </c>
    </row>
    <row r="260" spans="1:12" ht="51" x14ac:dyDescent="0.3">
      <c r="A260" s="90" t="s">
        <v>230</v>
      </c>
      <c r="B260" s="91" t="s">
        <v>1016</v>
      </c>
      <c r="C260" s="91" t="s">
        <v>295</v>
      </c>
      <c r="D260" s="91" t="s">
        <v>392</v>
      </c>
      <c r="E260" s="92" t="s">
        <v>292</v>
      </c>
      <c r="F260" s="97" t="s">
        <v>213</v>
      </c>
      <c r="G260" s="97"/>
      <c r="H260" s="92" t="s">
        <v>265</v>
      </c>
      <c r="I260" s="98">
        <v>33236.6</v>
      </c>
      <c r="J260" s="98"/>
      <c r="K260" s="95" t="s">
        <v>214</v>
      </c>
      <c r="L260" s="96">
        <v>8430760.8499999996</v>
      </c>
    </row>
    <row r="261" spans="1:12" ht="51" x14ac:dyDescent="0.3">
      <c r="A261" s="90" t="s">
        <v>230</v>
      </c>
      <c r="B261" s="91" t="s">
        <v>1016</v>
      </c>
      <c r="C261" s="91" t="s">
        <v>295</v>
      </c>
      <c r="D261" s="91" t="s">
        <v>393</v>
      </c>
      <c r="E261" s="92" t="s">
        <v>292</v>
      </c>
      <c r="F261" s="97" t="s">
        <v>213</v>
      </c>
      <c r="G261" s="97"/>
      <c r="H261" s="92" t="s">
        <v>265</v>
      </c>
      <c r="I261" s="98">
        <v>41545.75</v>
      </c>
      <c r="J261" s="98"/>
      <c r="K261" s="95" t="s">
        <v>214</v>
      </c>
      <c r="L261" s="96">
        <v>8389215.0999999996</v>
      </c>
    </row>
    <row r="262" spans="1:12" ht="51" x14ac:dyDescent="0.3">
      <c r="A262" s="90" t="s">
        <v>230</v>
      </c>
      <c r="B262" s="91" t="s">
        <v>1016</v>
      </c>
      <c r="C262" s="91" t="s">
        <v>295</v>
      </c>
      <c r="D262" s="91" t="s">
        <v>393</v>
      </c>
      <c r="E262" s="92" t="s">
        <v>292</v>
      </c>
      <c r="F262" s="97" t="s">
        <v>213</v>
      </c>
      <c r="G262" s="97"/>
      <c r="H262" s="92" t="s">
        <v>265</v>
      </c>
      <c r="I262" s="98">
        <v>33236.6</v>
      </c>
      <c r="J262" s="98"/>
      <c r="K262" s="95" t="s">
        <v>214</v>
      </c>
      <c r="L262" s="96">
        <v>8355978.5</v>
      </c>
    </row>
    <row r="263" spans="1:12" ht="51" x14ac:dyDescent="0.3">
      <c r="A263" s="90" t="s">
        <v>230</v>
      </c>
      <c r="B263" s="91" t="s">
        <v>1016</v>
      </c>
      <c r="C263" s="91" t="s">
        <v>295</v>
      </c>
      <c r="D263" s="91" t="s">
        <v>394</v>
      </c>
      <c r="E263" s="92" t="s">
        <v>292</v>
      </c>
      <c r="F263" s="97" t="s">
        <v>213</v>
      </c>
      <c r="G263" s="97"/>
      <c r="H263" s="92" t="s">
        <v>265</v>
      </c>
      <c r="I263" s="98">
        <v>74782.350000000006</v>
      </c>
      <c r="J263" s="98"/>
      <c r="K263" s="95" t="s">
        <v>214</v>
      </c>
      <c r="L263" s="96">
        <v>8281196.1500000004</v>
      </c>
    </row>
    <row r="264" spans="1:12" ht="51" x14ac:dyDescent="0.3">
      <c r="A264" s="90" t="s">
        <v>230</v>
      </c>
      <c r="B264" s="91" t="s">
        <v>1016</v>
      </c>
      <c r="C264" s="91" t="s">
        <v>295</v>
      </c>
      <c r="D264" s="91" t="s">
        <v>395</v>
      </c>
      <c r="E264" s="92" t="s">
        <v>292</v>
      </c>
      <c r="F264" s="97" t="s">
        <v>213</v>
      </c>
      <c r="G264" s="97"/>
      <c r="H264" s="92" t="s">
        <v>265</v>
      </c>
      <c r="I264" s="98">
        <v>74782.350000000006</v>
      </c>
      <c r="J264" s="98"/>
      <c r="K264" s="95" t="s">
        <v>214</v>
      </c>
      <c r="L264" s="96">
        <v>8206413.7999999998</v>
      </c>
    </row>
    <row r="265" spans="1:12" ht="51" x14ac:dyDescent="0.3">
      <c r="A265" s="90" t="s">
        <v>230</v>
      </c>
      <c r="B265" s="91" t="s">
        <v>1016</v>
      </c>
      <c r="C265" s="91" t="s">
        <v>295</v>
      </c>
      <c r="D265" s="91" t="s">
        <v>396</v>
      </c>
      <c r="E265" s="92" t="s">
        <v>292</v>
      </c>
      <c r="F265" s="97" t="s">
        <v>213</v>
      </c>
      <c r="G265" s="97"/>
      <c r="H265" s="92" t="s">
        <v>265</v>
      </c>
      <c r="I265" s="98">
        <v>74782.350000000006</v>
      </c>
      <c r="J265" s="98"/>
      <c r="K265" s="95" t="s">
        <v>214</v>
      </c>
      <c r="L265" s="96">
        <v>8131631.4500000002</v>
      </c>
    </row>
    <row r="266" spans="1:12" ht="51" x14ac:dyDescent="0.3">
      <c r="A266" s="90" t="s">
        <v>230</v>
      </c>
      <c r="B266" s="91" t="s">
        <v>1016</v>
      </c>
      <c r="C266" s="91" t="s">
        <v>295</v>
      </c>
      <c r="D266" s="91" t="s">
        <v>397</v>
      </c>
      <c r="E266" s="92" t="s">
        <v>292</v>
      </c>
      <c r="F266" s="97" t="s">
        <v>213</v>
      </c>
      <c r="G266" s="97"/>
      <c r="H266" s="92" t="s">
        <v>265</v>
      </c>
      <c r="I266" s="98">
        <v>74782.350000000006</v>
      </c>
      <c r="J266" s="98"/>
      <c r="K266" s="95" t="s">
        <v>214</v>
      </c>
      <c r="L266" s="96">
        <v>8056849.0999999996</v>
      </c>
    </row>
    <row r="267" spans="1:12" ht="51" x14ac:dyDescent="0.3">
      <c r="A267" s="90" t="s">
        <v>230</v>
      </c>
      <c r="B267" s="91" t="s">
        <v>1016</v>
      </c>
      <c r="C267" s="91" t="s">
        <v>295</v>
      </c>
      <c r="D267" s="91" t="s">
        <v>398</v>
      </c>
      <c r="E267" s="92" t="s">
        <v>292</v>
      </c>
      <c r="F267" s="97" t="s">
        <v>213</v>
      </c>
      <c r="G267" s="97"/>
      <c r="H267" s="92" t="s">
        <v>265</v>
      </c>
      <c r="I267" s="98">
        <v>74782.350000000006</v>
      </c>
      <c r="J267" s="98"/>
      <c r="K267" s="95" t="s">
        <v>214</v>
      </c>
      <c r="L267" s="96">
        <v>7982066.75</v>
      </c>
    </row>
    <row r="268" spans="1:12" ht="51" x14ac:dyDescent="0.3">
      <c r="A268" s="90" t="s">
        <v>230</v>
      </c>
      <c r="B268" s="91" t="s">
        <v>1016</v>
      </c>
      <c r="C268" s="91" t="s">
        <v>295</v>
      </c>
      <c r="D268" s="91" t="s">
        <v>399</v>
      </c>
      <c r="E268" s="92" t="s">
        <v>292</v>
      </c>
      <c r="F268" s="97" t="s">
        <v>213</v>
      </c>
      <c r="G268" s="97"/>
      <c r="H268" s="92" t="s">
        <v>265</v>
      </c>
      <c r="I268" s="98">
        <v>74782.350000000006</v>
      </c>
      <c r="J268" s="98"/>
      <c r="K268" s="95" t="s">
        <v>214</v>
      </c>
      <c r="L268" s="96">
        <v>7907284.4000000004</v>
      </c>
    </row>
    <row r="269" spans="1:12" ht="51" x14ac:dyDescent="0.3">
      <c r="A269" s="90" t="s">
        <v>230</v>
      </c>
      <c r="B269" s="91" t="s">
        <v>1016</v>
      </c>
      <c r="C269" s="91" t="s">
        <v>295</v>
      </c>
      <c r="D269" s="91" t="s">
        <v>400</v>
      </c>
      <c r="E269" s="92" t="s">
        <v>292</v>
      </c>
      <c r="F269" s="97" t="s">
        <v>213</v>
      </c>
      <c r="G269" s="97"/>
      <c r="H269" s="92" t="s">
        <v>265</v>
      </c>
      <c r="I269" s="98">
        <v>33236.6</v>
      </c>
      <c r="J269" s="98"/>
      <c r="K269" s="95" t="s">
        <v>214</v>
      </c>
      <c r="L269" s="96">
        <v>7874047.7999999998</v>
      </c>
    </row>
    <row r="270" spans="1:12" ht="51" x14ac:dyDescent="0.3">
      <c r="A270" s="90" t="s">
        <v>230</v>
      </c>
      <c r="B270" s="91" t="s">
        <v>1016</v>
      </c>
      <c r="C270" s="91" t="s">
        <v>295</v>
      </c>
      <c r="D270" s="91" t="s">
        <v>400</v>
      </c>
      <c r="E270" s="92" t="s">
        <v>292</v>
      </c>
      <c r="F270" s="97" t="s">
        <v>213</v>
      </c>
      <c r="G270" s="97"/>
      <c r="H270" s="92" t="s">
        <v>265</v>
      </c>
      <c r="I270" s="98">
        <v>41545.75</v>
      </c>
      <c r="J270" s="98"/>
      <c r="K270" s="95" t="s">
        <v>214</v>
      </c>
      <c r="L270" s="96">
        <v>7832502.0499999998</v>
      </c>
    </row>
    <row r="271" spans="1:12" ht="51" x14ac:dyDescent="0.3">
      <c r="A271" s="90" t="s">
        <v>230</v>
      </c>
      <c r="B271" s="91" t="s">
        <v>1016</v>
      </c>
      <c r="C271" s="91" t="s">
        <v>295</v>
      </c>
      <c r="D271" s="91" t="s">
        <v>401</v>
      </c>
      <c r="E271" s="92" t="s">
        <v>292</v>
      </c>
      <c r="F271" s="97" t="s">
        <v>213</v>
      </c>
      <c r="G271" s="97"/>
      <c r="H271" s="92" t="s">
        <v>265</v>
      </c>
      <c r="I271" s="98">
        <v>33236.6</v>
      </c>
      <c r="J271" s="98"/>
      <c r="K271" s="95" t="s">
        <v>214</v>
      </c>
      <c r="L271" s="96">
        <v>7799265.4500000002</v>
      </c>
    </row>
    <row r="272" spans="1:12" ht="51" x14ac:dyDescent="0.3">
      <c r="A272" s="90" t="s">
        <v>230</v>
      </c>
      <c r="B272" s="91" t="s">
        <v>1016</v>
      </c>
      <c r="C272" s="91" t="s">
        <v>295</v>
      </c>
      <c r="D272" s="91" t="s">
        <v>401</v>
      </c>
      <c r="E272" s="92" t="s">
        <v>292</v>
      </c>
      <c r="F272" s="97" t="s">
        <v>213</v>
      </c>
      <c r="G272" s="97"/>
      <c r="H272" s="92" t="s">
        <v>265</v>
      </c>
      <c r="I272" s="98">
        <v>24927.45</v>
      </c>
      <c r="J272" s="98"/>
      <c r="K272" s="95" t="s">
        <v>214</v>
      </c>
      <c r="L272" s="96">
        <v>7774338</v>
      </c>
    </row>
    <row r="273" spans="1:12" ht="51" x14ac:dyDescent="0.3">
      <c r="A273" s="90" t="s">
        <v>230</v>
      </c>
      <c r="B273" s="91" t="s">
        <v>1016</v>
      </c>
      <c r="C273" s="91" t="s">
        <v>295</v>
      </c>
      <c r="D273" s="91" t="s">
        <v>511</v>
      </c>
      <c r="E273" s="92" t="s">
        <v>292</v>
      </c>
      <c r="F273" s="97" t="s">
        <v>213</v>
      </c>
      <c r="G273" s="97"/>
      <c r="H273" s="92" t="s">
        <v>265</v>
      </c>
      <c r="I273" s="98">
        <v>75100</v>
      </c>
      <c r="J273" s="98"/>
      <c r="K273" s="95" t="s">
        <v>214</v>
      </c>
      <c r="L273" s="96">
        <v>7699238</v>
      </c>
    </row>
    <row r="274" spans="1:12" ht="51" x14ac:dyDescent="0.3">
      <c r="A274" s="90" t="s">
        <v>230</v>
      </c>
      <c r="B274" s="91" t="s">
        <v>1016</v>
      </c>
      <c r="C274" s="91" t="s">
        <v>295</v>
      </c>
      <c r="D274" s="91" t="s">
        <v>512</v>
      </c>
      <c r="E274" s="92" t="s">
        <v>292</v>
      </c>
      <c r="F274" s="97" t="s">
        <v>213</v>
      </c>
      <c r="G274" s="97"/>
      <c r="H274" s="92" t="s">
        <v>265</v>
      </c>
      <c r="I274" s="98">
        <v>75100</v>
      </c>
      <c r="J274" s="98"/>
      <c r="K274" s="95" t="s">
        <v>214</v>
      </c>
      <c r="L274" s="96">
        <v>7624138</v>
      </c>
    </row>
    <row r="275" spans="1:12" ht="51" x14ac:dyDescent="0.3">
      <c r="A275" s="90" t="s">
        <v>230</v>
      </c>
      <c r="B275" s="91" t="s">
        <v>1016</v>
      </c>
      <c r="C275" s="91" t="s">
        <v>295</v>
      </c>
      <c r="D275" s="91" t="s">
        <v>513</v>
      </c>
      <c r="E275" s="92" t="s">
        <v>292</v>
      </c>
      <c r="F275" s="97" t="s">
        <v>213</v>
      </c>
      <c r="G275" s="97"/>
      <c r="H275" s="92" t="s">
        <v>265</v>
      </c>
      <c r="I275" s="98">
        <v>75100</v>
      </c>
      <c r="J275" s="98"/>
      <c r="K275" s="95" t="s">
        <v>214</v>
      </c>
      <c r="L275" s="96">
        <v>7549038</v>
      </c>
    </row>
    <row r="276" spans="1:12" ht="51" x14ac:dyDescent="0.3">
      <c r="A276" s="90" t="s">
        <v>230</v>
      </c>
      <c r="B276" s="91" t="s">
        <v>1016</v>
      </c>
      <c r="C276" s="91" t="s">
        <v>295</v>
      </c>
      <c r="D276" s="91" t="s">
        <v>514</v>
      </c>
      <c r="E276" s="92" t="s">
        <v>292</v>
      </c>
      <c r="F276" s="97" t="s">
        <v>213</v>
      </c>
      <c r="G276" s="97"/>
      <c r="H276" s="92" t="s">
        <v>265</v>
      </c>
      <c r="I276" s="98">
        <v>75100</v>
      </c>
      <c r="J276" s="98"/>
      <c r="K276" s="95" t="s">
        <v>214</v>
      </c>
      <c r="L276" s="96">
        <v>7473938</v>
      </c>
    </row>
    <row r="277" spans="1:12" ht="51" x14ac:dyDescent="0.3">
      <c r="A277" s="90" t="s">
        <v>230</v>
      </c>
      <c r="B277" s="91" t="s">
        <v>1016</v>
      </c>
      <c r="C277" s="91" t="s">
        <v>295</v>
      </c>
      <c r="D277" s="91" t="s">
        <v>515</v>
      </c>
      <c r="E277" s="92" t="s">
        <v>292</v>
      </c>
      <c r="F277" s="97" t="s">
        <v>213</v>
      </c>
      <c r="G277" s="97"/>
      <c r="H277" s="92" t="s">
        <v>265</v>
      </c>
      <c r="I277" s="98">
        <v>75100</v>
      </c>
      <c r="J277" s="98"/>
      <c r="K277" s="95" t="s">
        <v>214</v>
      </c>
      <c r="L277" s="96">
        <v>7398838</v>
      </c>
    </row>
    <row r="278" spans="1:12" ht="51" x14ac:dyDescent="0.3">
      <c r="A278" s="90" t="s">
        <v>230</v>
      </c>
      <c r="B278" s="91" t="s">
        <v>1016</v>
      </c>
      <c r="C278" s="91" t="s">
        <v>295</v>
      </c>
      <c r="D278" s="91" t="s">
        <v>516</v>
      </c>
      <c r="E278" s="92" t="s">
        <v>292</v>
      </c>
      <c r="F278" s="97" t="s">
        <v>213</v>
      </c>
      <c r="G278" s="97"/>
      <c r="H278" s="92" t="s">
        <v>265</v>
      </c>
      <c r="I278" s="98">
        <v>75100</v>
      </c>
      <c r="J278" s="98"/>
      <c r="K278" s="95" t="s">
        <v>214</v>
      </c>
      <c r="L278" s="96">
        <v>7323738</v>
      </c>
    </row>
    <row r="279" spans="1:12" ht="51" x14ac:dyDescent="0.3">
      <c r="A279" s="90" t="s">
        <v>230</v>
      </c>
      <c r="B279" s="91" t="s">
        <v>1016</v>
      </c>
      <c r="C279" s="91" t="s">
        <v>295</v>
      </c>
      <c r="D279" s="91" t="s">
        <v>517</v>
      </c>
      <c r="E279" s="92" t="s">
        <v>292</v>
      </c>
      <c r="F279" s="97" t="s">
        <v>213</v>
      </c>
      <c r="G279" s="97"/>
      <c r="H279" s="92" t="s">
        <v>265</v>
      </c>
      <c r="I279" s="98">
        <v>52570</v>
      </c>
      <c r="J279" s="98"/>
      <c r="K279" s="95" t="s">
        <v>214</v>
      </c>
      <c r="L279" s="96">
        <v>7271168</v>
      </c>
    </row>
    <row r="280" spans="1:12" ht="51" x14ac:dyDescent="0.3">
      <c r="A280" s="90" t="s">
        <v>230</v>
      </c>
      <c r="B280" s="91" t="s">
        <v>1016</v>
      </c>
      <c r="C280" s="91" t="s">
        <v>295</v>
      </c>
      <c r="D280" s="91" t="s">
        <v>518</v>
      </c>
      <c r="E280" s="92" t="s">
        <v>292</v>
      </c>
      <c r="F280" s="97" t="s">
        <v>213</v>
      </c>
      <c r="G280" s="97"/>
      <c r="H280" s="92" t="s">
        <v>265</v>
      </c>
      <c r="I280" s="98">
        <v>22530</v>
      </c>
      <c r="J280" s="98"/>
      <c r="K280" s="95" t="s">
        <v>214</v>
      </c>
      <c r="L280" s="96">
        <v>7248638</v>
      </c>
    </row>
    <row r="281" spans="1:12" ht="51" x14ac:dyDescent="0.3">
      <c r="A281" s="90" t="s">
        <v>230</v>
      </c>
      <c r="B281" s="91" t="s">
        <v>1016</v>
      </c>
      <c r="C281" s="91" t="s">
        <v>295</v>
      </c>
      <c r="D281" s="91" t="s">
        <v>518</v>
      </c>
      <c r="E281" s="92" t="s">
        <v>292</v>
      </c>
      <c r="F281" s="97" t="s">
        <v>213</v>
      </c>
      <c r="G281" s="97"/>
      <c r="H281" s="92" t="s">
        <v>265</v>
      </c>
      <c r="I281" s="98">
        <v>52570</v>
      </c>
      <c r="J281" s="98"/>
      <c r="K281" s="95" t="s">
        <v>214</v>
      </c>
      <c r="L281" s="96">
        <v>7196068</v>
      </c>
    </row>
    <row r="282" spans="1:12" ht="51" x14ac:dyDescent="0.3">
      <c r="A282" s="90" t="s">
        <v>230</v>
      </c>
      <c r="B282" s="91" t="s">
        <v>1016</v>
      </c>
      <c r="C282" s="91" t="s">
        <v>295</v>
      </c>
      <c r="D282" s="91" t="s">
        <v>519</v>
      </c>
      <c r="E282" s="92" t="s">
        <v>292</v>
      </c>
      <c r="F282" s="97" t="s">
        <v>213</v>
      </c>
      <c r="G282" s="97"/>
      <c r="H282" s="92" t="s">
        <v>265</v>
      </c>
      <c r="I282" s="98">
        <v>22530</v>
      </c>
      <c r="J282" s="98"/>
      <c r="K282" s="95" t="s">
        <v>214</v>
      </c>
      <c r="L282" s="96">
        <v>7173538</v>
      </c>
    </row>
    <row r="283" spans="1:12" ht="51" x14ac:dyDescent="0.3">
      <c r="A283" s="90" t="s">
        <v>230</v>
      </c>
      <c r="B283" s="91" t="s">
        <v>1016</v>
      </c>
      <c r="C283" s="91" t="s">
        <v>295</v>
      </c>
      <c r="D283" s="91" t="s">
        <v>519</v>
      </c>
      <c r="E283" s="92" t="s">
        <v>292</v>
      </c>
      <c r="F283" s="97" t="s">
        <v>213</v>
      </c>
      <c r="G283" s="97"/>
      <c r="H283" s="92" t="s">
        <v>265</v>
      </c>
      <c r="I283" s="98">
        <v>52570</v>
      </c>
      <c r="J283" s="98"/>
      <c r="K283" s="95" t="s">
        <v>214</v>
      </c>
      <c r="L283" s="96">
        <v>7120968</v>
      </c>
    </row>
    <row r="284" spans="1:12" ht="51" x14ac:dyDescent="0.3">
      <c r="A284" s="90" t="s">
        <v>230</v>
      </c>
      <c r="B284" s="91" t="s">
        <v>1016</v>
      </c>
      <c r="C284" s="91" t="s">
        <v>295</v>
      </c>
      <c r="D284" s="91" t="s">
        <v>520</v>
      </c>
      <c r="E284" s="92" t="s">
        <v>292</v>
      </c>
      <c r="F284" s="97" t="s">
        <v>213</v>
      </c>
      <c r="G284" s="97"/>
      <c r="H284" s="92" t="s">
        <v>265</v>
      </c>
      <c r="I284" s="98">
        <v>22530</v>
      </c>
      <c r="J284" s="98"/>
      <c r="K284" s="95" t="s">
        <v>214</v>
      </c>
      <c r="L284" s="96">
        <v>7098438</v>
      </c>
    </row>
    <row r="285" spans="1:12" ht="51" x14ac:dyDescent="0.3">
      <c r="A285" s="90" t="s">
        <v>230</v>
      </c>
      <c r="B285" s="91" t="s">
        <v>1016</v>
      </c>
      <c r="C285" s="91" t="s">
        <v>295</v>
      </c>
      <c r="D285" s="91" t="s">
        <v>520</v>
      </c>
      <c r="E285" s="92" t="s">
        <v>292</v>
      </c>
      <c r="F285" s="97" t="s">
        <v>213</v>
      </c>
      <c r="G285" s="97"/>
      <c r="H285" s="92" t="s">
        <v>265</v>
      </c>
      <c r="I285" s="98">
        <v>37550</v>
      </c>
      <c r="J285" s="98"/>
      <c r="K285" s="95" t="s">
        <v>214</v>
      </c>
      <c r="L285" s="96">
        <v>7060888</v>
      </c>
    </row>
    <row r="286" spans="1:12" ht="51" x14ac:dyDescent="0.3">
      <c r="A286" s="90" t="s">
        <v>230</v>
      </c>
      <c r="B286" s="91" t="s">
        <v>1017</v>
      </c>
      <c r="C286" s="91" t="s">
        <v>295</v>
      </c>
      <c r="D286" s="91" t="s">
        <v>401</v>
      </c>
      <c r="E286" s="92" t="s">
        <v>292</v>
      </c>
      <c r="F286" s="97" t="s">
        <v>213</v>
      </c>
      <c r="G286" s="97"/>
      <c r="H286" s="92" t="s">
        <v>265</v>
      </c>
      <c r="I286" s="98">
        <v>16618.3</v>
      </c>
      <c r="J286" s="98"/>
      <c r="K286" s="95" t="s">
        <v>214</v>
      </c>
      <c r="L286" s="96">
        <v>7044269.7000000002</v>
      </c>
    </row>
    <row r="287" spans="1:12" ht="51" x14ac:dyDescent="0.3">
      <c r="A287" s="90" t="s">
        <v>230</v>
      </c>
      <c r="B287" s="91" t="s">
        <v>1017</v>
      </c>
      <c r="C287" s="91" t="s">
        <v>295</v>
      </c>
      <c r="D287" s="91" t="s">
        <v>500</v>
      </c>
      <c r="E287" s="92" t="s">
        <v>292</v>
      </c>
      <c r="F287" s="97" t="s">
        <v>213</v>
      </c>
      <c r="G287" s="97"/>
      <c r="H287" s="92" t="s">
        <v>265</v>
      </c>
      <c r="I287" s="98">
        <v>24927.45</v>
      </c>
      <c r="J287" s="98"/>
      <c r="K287" s="95" t="s">
        <v>214</v>
      </c>
      <c r="L287" s="96">
        <v>7019342.25</v>
      </c>
    </row>
    <row r="288" spans="1:12" ht="51" x14ac:dyDescent="0.3">
      <c r="A288" s="90" t="s">
        <v>230</v>
      </c>
      <c r="B288" s="91" t="s">
        <v>1017</v>
      </c>
      <c r="C288" s="91" t="s">
        <v>295</v>
      </c>
      <c r="D288" s="91" t="s">
        <v>500</v>
      </c>
      <c r="E288" s="92" t="s">
        <v>292</v>
      </c>
      <c r="F288" s="97" t="s">
        <v>213</v>
      </c>
      <c r="G288" s="97"/>
      <c r="H288" s="92" t="s">
        <v>265</v>
      </c>
      <c r="I288" s="98">
        <v>49854.9</v>
      </c>
      <c r="J288" s="98"/>
      <c r="K288" s="95" t="s">
        <v>214</v>
      </c>
      <c r="L288" s="96">
        <v>6969487.3499999996</v>
      </c>
    </row>
    <row r="289" spans="1:12" ht="51" x14ac:dyDescent="0.3">
      <c r="A289" s="90" t="s">
        <v>230</v>
      </c>
      <c r="B289" s="91" t="s">
        <v>1017</v>
      </c>
      <c r="C289" s="91" t="s">
        <v>295</v>
      </c>
      <c r="D289" s="91" t="s">
        <v>501</v>
      </c>
      <c r="E289" s="92" t="s">
        <v>292</v>
      </c>
      <c r="F289" s="97" t="s">
        <v>213</v>
      </c>
      <c r="G289" s="97"/>
      <c r="H289" s="92" t="s">
        <v>265</v>
      </c>
      <c r="I289" s="98">
        <v>24927.45</v>
      </c>
      <c r="J289" s="98"/>
      <c r="K289" s="95" t="s">
        <v>214</v>
      </c>
      <c r="L289" s="96">
        <v>6944559.9000000004</v>
      </c>
    </row>
    <row r="290" spans="1:12" ht="51" x14ac:dyDescent="0.3">
      <c r="A290" s="90" t="s">
        <v>230</v>
      </c>
      <c r="B290" s="91" t="s">
        <v>1017</v>
      </c>
      <c r="C290" s="91" t="s">
        <v>295</v>
      </c>
      <c r="D290" s="91" t="s">
        <v>501</v>
      </c>
      <c r="E290" s="92" t="s">
        <v>292</v>
      </c>
      <c r="F290" s="97" t="s">
        <v>213</v>
      </c>
      <c r="G290" s="97"/>
      <c r="H290" s="92" t="s">
        <v>265</v>
      </c>
      <c r="I290" s="98">
        <v>49854.9</v>
      </c>
      <c r="J290" s="98"/>
      <c r="K290" s="95" t="s">
        <v>214</v>
      </c>
      <c r="L290" s="96">
        <v>6894705</v>
      </c>
    </row>
    <row r="291" spans="1:12" ht="51" x14ac:dyDescent="0.3">
      <c r="A291" s="90" t="s">
        <v>230</v>
      </c>
      <c r="B291" s="91" t="s">
        <v>1017</v>
      </c>
      <c r="C291" s="91" t="s">
        <v>295</v>
      </c>
      <c r="D291" s="91" t="s">
        <v>502</v>
      </c>
      <c r="E291" s="92" t="s">
        <v>292</v>
      </c>
      <c r="F291" s="97" t="s">
        <v>213</v>
      </c>
      <c r="G291" s="97"/>
      <c r="H291" s="92" t="s">
        <v>265</v>
      </c>
      <c r="I291" s="98">
        <v>24927.45</v>
      </c>
      <c r="J291" s="98"/>
      <c r="K291" s="95" t="s">
        <v>214</v>
      </c>
      <c r="L291" s="96">
        <v>6869777.5499999998</v>
      </c>
    </row>
    <row r="292" spans="1:12" ht="51" x14ac:dyDescent="0.3">
      <c r="A292" s="90" t="s">
        <v>230</v>
      </c>
      <c r="B292" s="91" t="s">
        <v>1017</v>
      </c>
      <c r="C292" s="91" t="s">
        <v>295</v>
      </c>
      <c r="D292" s="91" t="s">
        <v>502</v>
      </c>
      <c r="E292" s="92" t="s">
        <v>292</v>
      </c>
      <c r="F292" s="97" t="s">
        <v>213</v>
      </c>
      <c r="G292" s="97"/>
      <c r="H292" s="92" t="s">
        <v>265</v>
      </c>
      <c r="I292" s="98">
        <v>49854.9</v>
      </c>
      <c r="J292" s="98"/>
      <c r="K292" s="95" t="s">
        <v>214</v>
      </c>
      <c r="L292" s="96">
        <v>6819922.6500000004</v>
      </c>
    </row>
    <row r="293" spans="1:12" ht="51" x14ac:dyDescent="0.3">
      <c r="A293" s="90" t="s">
        <v>230</v>
      </c>
      <c r="B293" s="91" t="s">
        <v>1017</v>
      </c>
      <c r="C293" s="91" t="s">
        <v>295</v>
      </c>
      <c r="D293" s="91" t="s">
        <v>503</v>
      </c>
      <c r="E293" s="92" t="s">
        <v>292</v>
      </c>
      <c r="F293" s="97" t="s">
        <v>213</v>
      </c>
      <c r="G293" s="97"/>
      <c r="H293" s="92" t="s">
        <v>265</v>
      </c>
      <c r="I293" s="98">
        <v>24927.45</v>
      </c>
      <c r="J293" s="98"/>
      <c r="K293" s="95" t="s">
        <v>214</v>
      </c>
      <c r="L293" s="96">
        <v>6794995.2000000002</v>
      </c>
    </row>
    <row r="294" spans="1:12" ht="51" x14ac:dyDescent="0.3">
      <c r="A294" s="90" t="s">
        <v>230</v>
      </c>
      <c r="B294" s="91" t="s">
        <v>1017</v>
      </c>
      <c r="C294" s="91" t="s">
        <v>295</v>
      </c>
      <c r="D294" s="91" t="s">
        <v>503</v>
      </c>
      <c r="E294" s="92" t="s">
        <v>292</v>
      </c>
      <c r="F294" s="97" t="s">
        <v>213</v>
      </c>
      <c r="G294" s="97"/>
      <c r="H294" s="92" t="s">
        <v>265</v>
      </c>
      <c r="I294" s="98">
        <v>49854.9</v>
      </c>
      <c r="J294" s="98"/>
      <c r="K294" s="95" t="s">
        <v>214</v>
      </c>
      <c r="L294" s="96">
        <v>6745140.2999999998</v>
      </c>
    </row>
    <row r="295" spans="1:12" ht="51" x14ac:dyDescent="0.3">
      <c r="A295" s="90" t="s">
        <v>230</v>
      </c>
      <c r="B295" s="91" t="s">
        <v>1017</v>
      </c>
      <c r="C295" s="91" t="s">
        <v>295</v>
      </c>
      <c r="D295" s="91" t="s">
        <v>504</v>
      </c>
      <c r="E295" s="92" t="s">
        <v>292</v>
      </c>
      <c r="F295" s="97" t="s">
        <v>213</v>
      </c>
      <c r="G295" s="97"/>
      <c r="H295" s="92" t="s">
        <v>265</v>
      </c>
      <c r="I295" s="98">
        <v>24927.45</v>
      </c>
      <c r="J295" s="98"/>
      <c r="K295" s="95" t="s">
        <v>214</v>
      </c>
      <c r="L295" s="96">
        <v>6720212.8499999996</v>
      </c>
    </row>
    <row r="296" spans="1:12" ht="51" x14ac:dyDescent="0.3">
      <c r="A296" s="90" t="s">
        <v>230</v>
      </c>
      <c r="B296" s="91" t="s">
        <v>1017</v>
      </c>
      <c r="C296" s="91" t="s">
        <v>295</v>
      </c>
      <c r="D296" s="91" t="s">
        <v>504</v>
      </c>
      <c r="E296" s="92" t="s">
        <v>292</v>
      </c>
      <c r="F296" s="97" t="s">
        <v>213</v>
      </c>
      <c r="G296" s="97"/>
      <c r="H296" s="92" t="s">
        <v>265</v>
      </c>
      <c r="I296" s="98">
        <v>49854.9</v>
      </c>
      <c r="J296" s="98"/>
      <c r="K296" s="95" t="s">
        <v>214</v>
      </c>
      <c r="L296" s="96">
        <v>6670357.9500000002</v>
      </c>
    </row>
    <row r="297" spans="1:12" ht="51" x14ac:dyDescent="0.3">
      <c r="A297" s="90" t="s">
        <v>230</v>
      </c>
      <c r="B297" s="91" t="s">
        <v>1017</v>
      </c>
      <c r="C297" s="91" t="s">
        <v>295</v>
      </c>
      <c r="D297" s="91" t="s">
        <v>505</v>
      </c>
      <c r="E297" s="92" t="s">
        <v>292</v>
      </c>
      <c r="F297" s="97" t="s">
        <v>213</v>
      </c>
      <c r="G297" s="97"/>
      <c r="H297" s="92" t="s">
        <v>265</v>
      </c>
      <c r="I297" s="98">
        <v>24927.45</v>
      </c>
      <c r="J297" s="98"/>
      <c r="K297" s="95" t="s">
        <v>214</v>
      </c>
      <c r="L297" s="96">
        <v>6645430.5</v>
      </c>
    </row>
    <row r="298" spans="1:12" ht="51" x14ac:dyDescent="0.3">
      <c r="A298" s="90" t="s">
        <v>230</v>
      </c>
      <c r="B298" s="91" t="s">
        <v>1017</v>
      </c>
      <c r="C298" s="91" t="s">
        <v>295</v>
      </c>
      <c r="D298" s="91" t="s">
        <v>505</v>
      </c>
      <c r="E298" s="92" t="s">
        <v>292</v>
      </c>
      <c r="F298" s="97" t="s">
        <v>213</v>
      </c>
      <c r="G298" s="97"/>
      <c r="H298" s="92" t="s">
        <v>265</v>
      </c>
      <c r="I298" s="98">
        <v>49854.9</v>
      </c>
      <c r="J298" s="98"/>
      <c r="K298" s="95" t="s">
        <v>214</v>
      </c>
      <c r="L298" s="96">
        <v>6595575.5999999996</v>
      </c>
    </row>
    <row r="299" spans="1:12" ht="51" x14ac:dyDescent="0.3">
      <c r="A299" s="90" t="s">
        <v>230</v>
      </c>
      <c r="B299" s="91" t="s">
        <v>1017</v>
      </c>
      <c r="C299" s="91" t="s">
        <v>295</v>
      </c>
      <c r="D299" s="91" t="s">
        <v>506</v>
      </c>
      <c r="E299" s="92" t="s">
        <v>292</v>
      </c>
      <c r="F299" s="97" t="s">
        <v>213</v>
      </c>
      <c r="G299" s="97"/>
      <c r="H299" s="92" t="s">
        <v>265</v>
      </c>
      <c r="I299" s="98">
        <v>24927.45</v>
      </c>
      <c r="J299" s="98"/>
      <c r="K299" s="95" t="s">
        <v>214</v>
      </c>
      <c r="L299" s="96">
        <v>6570648.1500000004</v>
      </c>
    </row>
    <row r="300" spans="1:12" ht="51" x14ac:dyDescent="0.3">
      <c r="A300" s="90" t="s">
        <v>230</v>
      </c>
      <c r="B300" s="91" t="s">
        <v>1017</v>
      </c>
      <c r="C300" s="91" t="s">
        <v>295</v>
      </c>
      <c r="D300" s="91" t="s">
        <v>506</v>
      </c>
      <c r="E300" s="92" t="s">
        <v>292</v>
      </c>
      <c r="F300" s="97" t="s">
        <v>213</v>
      </c>
      <c r="G300" s="97"/>
      <c r="H300" s="92" t="s">
        <v>265</v>
      </c>
      <c r="I300" s="98">
        <v>49854.9</v>
      </c>
      <c r="J300" s="98"/>
      <c r="K300" s="95" t="s">
        <v>214</v>
      </c>
      <c r="L300" s="96">
        <v>6520793.25</v>
      </c>
    </row>
    <row r="301" spans="1:12" ht="51" x14ac:dyDescent="0.3">
      <c r="A301" s="90" t="s">
        <v>230</v>
      </c>
      <c r="B301" s="91" t="s">
        <v>1017</v>
      </c>
      <c r="C301" s="91" t="s">
        <v>295</v>
      </c>
      <c r="D301" s="91" t="s">
        <v>507</v>
      </c>
      <c r="E301" s="92" t="s">
        <v>292</v>
      </c>
      <c r="F301" s="97" t="s">
        <v>213</v>
      </c>
      <c r="G301" s="97"/>
      <c r="H301" s="92" t="s">
        <v>265</v>
      </c>
      <c r="I301" s="98">
        <v>24927.45</v>
      </c>
      <c r="J301" s="98"/>
      <c r="K301" s="95" t="s">
        <v>214</v>
      </c>
      <c r="L301" s="96">
        <v>6495865.7999999998</v>
      </c>
    </row>
    <row r="302" spans="1:12" ht="51" x14ac:dyDescent="0.3">
      <c r="A302" s="90" t="s">
        <v>230</v>
      </c>
      <c r="B302" s="91" t="s">
        <v>1017</v>
      </c>
      <c r="C302" s="91" t="s">
        <v>295</v>
      </c>
      <c r="D302" s="91" t="s">
        <v>507</v>
      </c>
      <c r="E302" s="92" t="s">
        <v>292</v>
      </c>
      <c r="F302" s="97" t="s">
        <v>213</v>
      </c>
      <c r="G302" s="97"/>
      <c r="H302" s="92" t="s">
        <v>265</v>
      </c>
      <c r="I302" s="98">
        <v>49854.9</v>
      </c>
      <c r="J302" s="98"/>
      <c r="K302" s="95" t="s">
        <v>214</v>
      </c>
      <c r="L302" s="96">
        <v>6446010.9000000004</v>
      </c>
    </row>
    <row r="303" spans="1:12" ht="51" x14ac:dyDescent="0.3">
      <c r="A303" s="90" t="s">
        <v>230</v>
      </c>
      <c r="B303" s="91" t="s">
        <v>1017</v>
      </c>
      <c r="C303" s="91" t="s">
        <v>295</v>
      </c>
      <c r="D303" s="91" t="s">
        <v>508</v>
      </c>
      <c r="E303" s="92" t="s">
        <v>292</v>
      </c>
      <c r="F303" s="97" t="s">
        <v>213</v>
      </c>
      <c r="G303" s="97"/>
      <c r="H303" s="92" t="s">
        <v>265</v>
      </c>
      <c r="I303" s="98">
        <v>16618.3</v>
      </c>
      <c r="J303" s="98"/>
      <c r="K303" s="95" t="s">
        <v>214</v>
      </c>
      <c r="L303" s="96">
        <v>6429392.5999999996</v>
      </c>
    </row>
    <row r="304" spans="1:12" ht="51" x14ac:dyDescent="0.3">
      <c r="A304" s="90" t="s">
        <v>230</v>
      </c>
      <c r="B304" s="91" t="s">
        <v>1017</v>
      </c>
      <c r="C304" s="91" t="s">
        <v>295</v>
      </c>
      <c r="D304" s="91" t="s">
        <v>402</v>
      </c>
      <c r="E304" s="92" t="s">
        <v>292</v>
      </c>
      <c r="F304" s="97" t="s">
        <v>213</v>
      </c>
      <c r="G304" s="97"/>
      <c r="H304" s="92" t="s">
        <v>265</v>
      </c>
      <c r="I304" s="98">
        <v>45337.5</v>
      </c>
      <c r="J304" s="98"/>
      <c r="K304" s="95" t="s">
        <v>214</v>
      </c>
      <c r="L304" s="96">
        <v>6384055.0999999996</v>
      </c>
    </row>
    <row r="305" spans="1:12" ht="51" x14ac:dyDescent="0.3">
      <c r="A305" s="90" t="s">
        <v>230</v>
      </c>
      <c r="B305" s="91" t="s">
        <v>1017</v>
      </c>
      <c r="C305" s="91" t="s">
        <v>295</v>
      </c>
      <c r="D305" s="91" t="s">
        <v>566</v>
      </c>
      <c r="E305" s="92" t="s">
        <v>292</v>
      </c>
      <c r="F305" s="97" t="s">
        <v>213</v>
      </c>
      <c r="G305" s="97"/>
      <c r="H305" s="92" t="s">
        <v>265</v>
      </c>
      <c r="I305" s="98">
        <v>27202.5</v>
      </c>
      <c r="J305" s="98"/>
      <c r="K305" s="95" t="s">
        <v>214</v>
      </c>
      <c r="L305" s="96">
        <v>6356852.5999999996</v>
      </c>
    </row>
    <row r="306" spans="1:12" ht="51" x14ac:dyDescent="0.3">
      <c r="A306" s="90" t="s">
        <v>230</v>
      </c>
      <c r="B306" s="91" t="s">
        <v>1017</v>
      </c>
      <c r="C306" s="91" t="s">
        <v>295</v>
      </c>
      <c r="D306" s="91" t="s">
        <v>566</v>
      </c>
      <c r="E306" s="92" t="s">
        <v>292</v>
      </c>
      <c r="F306" s="97" t="s">
        <v>213</v>
      </c>
      <c r="G306" s="97"/>
      <c r="H306" s="92" t="s">
        <v>265</v>
      </c>
      <c r="I306" s="98">
        <v>45337.5</v>
      </c>
      <c r="J306" s="98"/>
      <c r="K306" s="95" t="s">
        <v>214</v>
      </c>
      <c r="L306" s="96">
        <v>6311515.0999999996</v>
      </c>
    </row>
    <row r="307" spans="1:12" ht="51" x14ac:dyDescent="0.3">
      <c r="A307" s="90" t="s">
        <v>230</v>
      </c>
      <c r="B307" s="91" t="s">
        <v>1017</v>
      </c>
      <c r="C307" s="91" t="s">
        <v>295</v>
      </c>
      <c r="D307" s="91" t="s">
        <v>567</v>
      </c>
      <c r="E307" s="92" t="s">
        <v>292</v>
      </c>
      <c r="F307" s="97" t="s">
        <v>213</v>
      </c>
      <c r="G307" s="97"/>
      <c r="H307" s="92" t="s">
        <v>265</v>
      </c>
      <c r="I307" s="98">
        <v>27202.5</v>
      </c>
      <c r="J307" s="98"/>
      <c r="K307" s="95" t="s">
        <v>214</v>
      </c>
      <c r="L307" s="96">
        <v>6284312.5999999996</v>
      </c>
    </row>
    <row r="308" spans="1:12" ht="51" x14ac:dyDescent="0.3">
      <c r="A308" s="90" t="s">
        <v>230</v>
      </c>
      <c r="B308" s="91" t="s">
        <v>1017</v>
      </c>
      <c r="C308" s="91" t="s">
        <v>295</v>
      </c>
      <c r="D308" s="91" t="s">
        <v>567</v>
      </c>
      <c r="E308" s="92" t="s">
        <v>292</v>
      </c>
      <c r="F308" s="97" t="s">
        <v>213</v>
      </c>
      <c r="G308" s="97"/>
      <c r="H308" s="92" t="s">
        <v>265</v>
      </c>
      <c r="I308" s="98">
        <v>45337.5</v>
      </c>
      <c r="J308" s="98"/>
      <c r="K308" s="95" t="s">
        <v>214</v>
      </c>
      <c r="L308" s="96">
        <v>6238975.0999999996</v>
      </c>
    </row>
    <row r="309" spans="1:12" ht="51" x14ac:dyDescent="0.3">
      <c r="A309" s="90" t="s">
        <v>230</v>
      </c>
      <c r="B309" s="91" t="s">
        <v>1017</v>
      </c>
      <c r="C309" s="91" t="s">
        <v>295</v>
      </c>
      <c r="D309" s="91" t="s">
        <v>568</v>
      </c>
      <c r="E309" s="92" t="s">
        <v>292</v>
      </c>
      <c r="F309" s="97" t="s">
        <v>213</v>
      </c>
      <c r="G309" s="97"/>
      <c r="H309" s="92" t="s">
        <v>265</v>
      </c>
      <c r="I309" s="98">
        <v>27202.5</v>
      </c>
      <c r="J309" s="98"/>
      <c r="K309" s="95" t="s">
        <v>214</v>
      </c>
      <c r="L309" s="96">
        <v>6211772.5999999996</v>
      </c>
    </row>
    <row r="310" spans="1:12" ht="51" x14ac:dyDescent="0.3">
      <c r="A310" s="90" t="s">
        <v>230</v>
      </c>
      <c r="B310" s="91" t="s">
        <v>1017</v>
      </c>
      <c r="C310" s="91" t="s">
        <v>295</v>
      </c>
      <c r="D310" s="91" t="s">
        <v>568</v>
      </c>
      <c r="E310" s="92" t="s">
        <v>292</v>
      </c>
      <c r="F310" s="97" t="s">
        <v>213</v>
      </c>
      <c r="G310" s="97"/>
      <c r="H310" s="92" t="s">
        <v>265</v>
      </c>
      <c r="I310" s="98">
        <v>18135</v>
      </c>
      <c r="J310" s="98"/>
      <c r="K310" s="95" t="s">
        <v>214</v>
      </c>
      <c r="L310" s="96">
        <v>6193637.5999999996</v>
      </c>
    </row>
    <row r="311" spans="1:12" ht="51" x14ac:dyDescent="0.3">
      <c r="A311" s="90" t="s">
        <v>230</v>
      </c>
      <c r="B311" s="91" t="s">
        <v>1017</v>
      </c>
      <c r="C311" s="91" t="s">
        <v>295</v>
      </c>
      <c r="D311" s="91" t="s">
        <v>569</v>
      </c>
      <c r="E311" s="92" t="s">
        <v>292</v>
      </c>
      <c r="F311" s="97" t="s">
        <v>213</v>
      </c>
      <c r="G311" s="97"/>
      <c r="H311" s="92" t="s">
        <v>265</v>
      </c>
      <c r="I311" s="98">
        <v>54405</v>
      </c>
      <c r="J311" s="98"/>
      <c r="K311" s="95" t="s">
        <v>214</v>
      </c>
      <c r="L311" s="96">
        <v>6139232.5999999996</v>
      </c>
    </row>
    <row r="312" spans="1:12" ht="51" x14ac:dyDescent="0.3">
      <c r="A312" s="90" t="s">
        <v>230</v>
      </c>
      <c r="B312" s="91" t="s">
        <v>1017</v>
      </c>
      <c r="C312" s="91" t="s">
        <v>295</v>
      </c>
      <c r="D312" s="91" t="s">
        <v>569</v>
      </c>
      <c r="E312" s="92" t="s">
        <v>292</v>
      </c>
      <c r="F312" s="97" t="s">
        <v>213</v>
      </c>
      <c r="G312" s="97"/>
      <c r="H312" s="92" t="s">
        <v>265</v>
      </c>
      <c r="I312" s="98">
        <v>18135</v>
      </c>
      <c r="J312" s="98"/>
      <c r="K312" s="95" t="s">
        <v>214</v>
      </c>
      <c r="L312" s="96">
        <v>6121097.5999999996</v>
      </c>
    </row>
    <row r="313" spans="1:12" ht="51" x14ac:dyDescent="0.3">
      <c r="A313" s="90" t="s">
        <v>230</v>
      </c>
      <c r="B313" s="91" t="s">
        <v>1017</v>
      </c>
      <c r="C313" s="91" t="s">
        <v>295</v>
      </c>
      <c r="D313" s="91" t="s">
        <v>570</v>
      </c>
      <c r="E313" s="92" t="s">
        <v>292</v>
      </c>
      <c r="F313" s="97" t="s">
        <v>213</v>
      </c>
      <c r="G313" s="97"/>
      <c r="H313" s="92" t="s">
        <v>265</v>
      </c>
      <c r="I313" s="98">
        <v>54405</v>
      </c>
      <c r="J313" s="98"/>
      <c r="K313" s="95" t="s">
        <v>214</v>
      </c>
      <c r="L313" s="96">
        <v>6066692.5999999996</v>
      </c>
    </row>
    <row r="314" spans="1:12" ht="51" x14ac:dyDescent="0.3">
      <c r="A314" s="90" t="s">
        <v>230</v>
      </c>
      <c r="B314" s="91" t="s">
        <v>1017</v>
      </c>
      <c r="C314" s="91" t="s">
        <v>295</v>
      </c>
      <c r="D314" s="91" t="s">
        <v>570</v>
      </c>
      <c r="E314" s="92" t="s">
        <v>292</v>
      </c>
      <c r="F314" s="97" t="s">
        <v>213</v>
      </c>
      <c r="G314" s="97"/>
      <c r="H314" s="92" t="s">
        <v>265</v>
      </c>
      <c r="I314" s="98">
        <v>18135</v>
      </c>
      <c r="J314" s="98"/>
      <c r="K314" s="95" t="s">
        <v>214</v>
      </c>
      <c r="L314" s="96">
        <v>6048557.5999999996</v>
      </c>
    </row>
    <row r="315" spans="1:12" ht="51" x14ac:dyDescent="0.3">
      <c r="A315" s="90" t="s">
        <v>230</v>
      </c>
      <c r="B315" s="91" t="s">
        <v>1017</v>
      </c>
      <c r="C315" s="91" t="s">
        <v>295</v>
      </c>
      <c r="D315" s="91" t="s">
        <v>571</v>
      </c>
      <c r="E315" s="92" t="s">
        <v>292</v>
      </c>
      <c r="F315" s="97" t="s">
        <v>213</v>
      </c>
      <c r="G315" s="97"/>
      <c r="H315" s="92" t="s">
        <v>265</v>
      </c>
      <c r="I315" s="98">
        <v>9067.5</v>
      </c>
      <c r="J315" s="98"/>
      <c r="K315" s="95" t="s">
        <v>214</v>
      </c>
      <c r="L315" s="96">
        <v>6039490.0999999996</v>
      </c>
    </row>
    <row r="316" spans="1:12" ht="51" x14ac:dyDescent="0.3">
      <c r="A316" s="90" t="s">
        <v>230</v>
      </c>
      <c r="B316" s="91" t="s">
        <v>1017</v>
      </c>
      <c r="C316" s="91" t="s">
        <v>295</v>
      </c>
      <c r="D316" s="91" t="s">
        <v>571</v>
      </c>
      <c r="E316" s="92" t="s">
        <v>292</v>
      </c>
      <c r="F316" s="97" t="s">
        <v>213</v>
      </c>
      <c r="G316" s="97"/>
      <c r="H316" s="92" t="s">
        <v>265</v>
      </c>
      <c r="I316" s="98">
        <v>63472.5</v>
      </c>
      <c r="J316" s="98"/>
      <c r="K316" s="95" t="s">
        <v>214</v>
      </c>
      <c r="L316" s="96">
        <v>5976017.5999999996</v>
      </c>
    </row>
    <row r="317" spans="1:12" ht="51" x14ac:dyDescent="0.3">
      <c r="A317" s="90" t="s">
        <v>230</v>
      </c>
      <c r="B317" s="91" t="s">
        <v>1017</v>
      </c>
      <c r="C317" s="91" t="s">
        <v>295</v>
      </c>
      <c r="D317" s="91" t="s">
        <v>572</v>
      </c>
      <c r="E317" s="92" t="s">
        <v>292</v>
      </c>
      <c r="F317" s="97" t="s">
        <v>213</v>
      </c>
      <c r="G317" s="97"/>
      <c r="H317" s="92" t="s">
        <v>265</v>
      </c>
      <c r="I317" s="98">
        <v>9067.5</v>
      </c>
      <c r="J317" s="98"/>
      <c r="K317" s="95" t="s">
        <v>214</v>
      </c>
      <c r="L317" s="96">
        <v>5966950.0999999996</v>
      </c>
    </row>
    <row r="318" spans="1:12" ht="51" x14ac:dyDescent="0.3">
      <c r="A318" s="90" t="s">
        <v>230</v>
      </c>
      <c r="B318" s="91" t="s">
        <v>1017</v>
      </c>
      <c r="C318" s="91" t="s">
        <v>295</v>
      </c>
      <c r="D318" s="91" t="s">
        <v>572</v>
      </c>
      <c r="E318" s="92" t="s">
        <v>292</v>
      </c>
      <c r="F318" s="97" t="s">
        <v>213</v>
      </c>
      <c r="G318" s="97"/>
      <c r="H318" s="92" t="s">
        <v>265</v>
      </c>
      <c r="I318" s="98">
        <v>63472.5</v>
      </c>
      <c r="J318" s="98"/>
      <c r="K318" s="95" t="s">
        <v>214</v>
      </c>
      <c r="L318" s="96">
        <v>5903477.5999999996</v>
      </c>
    </row>
    <row r="319" spans="1:12" ht="51" x14ac:dyDescent="0.3">
      <c r="A319" s="90" t="s">
        <v>230</v>
      </c>
      <c r="B319" s="91" t="s">
        <v>1017</v>
      </c>
      <c r="C319" s="91" t="s">
        <v>295</v>
      </c>
      <c r="D319" s="91" t="s">
        <v>573</v>
      </c>
      <c r="E319" s="92" t="s">
        <v>292</v>
      </c>
      <c r="F319" s="97" t="s">
        <v>213</v>
      </c>
      <c r="G319" s="97"/>
      <c r="H319" s="92" t="s">
        <v>265</v>
      </c>
      <c r="I319" s="98">
        <v>9067.5</v>
      </c>
      <c r="J319" s="98"/>
      <c r="K319" s="95" t="s">
        <v>214</v>
      </c>
      <c r="L319" s="96">
        <v>5894410.0999999996</v>
      </c>
    </row>
    <row r="320" spans="1:12" ht="51" x14ac:dyDescent="0.3">
      <c r="A320" s="90" t="s">
        <v>230</v>
      </c>
      <c r="B320" s="91" t="s">
        <v>1017</v>
      </c>
      <c r="C320" s="91" t="s">
        <v>295</v>
      </c>
      <c r="D320" s="91" t="s">
        <v>573</v>
      </c>
      <c r="E320" s="92" t="s">
        <v>292</v>
      </c>
      <c r="F320" s="97" t="s">
        <v>213</v>
      </c>
      <c r="G320" s="97"/>
      <c r="H320" s="92" t="s">
        <v>265</v>
      </c>
      <c r="I320" s="98">
        <v>63472.5</v>
      </c>
      <c r="J320" s="98"/>
      <c r="K320" s="95" t="s">
        <v>214</v>
      </c>
      <c r="L320" s="96">
        <v>5830937.5999999996</v>
      </c>
    </row>
    <row r="321" spans="1:12" ht="51" x14ac:dyDescent="0.3">
      <c r="A321" s="90" t="s">
        <v>230</v>
      </c>
      <c r="B321" s="91" t="s">
        <v>1017</v>
      </c>
      <c r="C321" s="91" t="s">
        <v>295</v>
      </c>
      <c r="D321" s="91" t="s">
        <v>574</v>
      </c>
      <c r="E321" s="92" t="s">
        <v>292</v>
      </c>
      <c r="F321" s="97" t="s">
        <v>213</v>
      </c>
      <c r="G321" s="97"/>
      <c r="H321" s="92" t="s">
        <v>265</v>
      </c>
      <c r="I321" s="98">
        <v>9067.5</v>
      </c>
      <c r="J321" s="98"/>
      <c r="K321" s="95" t="s">
        <v>214</v>
      </c>
      <c r="L321" s="96">
        <v>5821870.0999999996</v>
      </c>
    </row>
    <row r="322" spans="1:12" ht="51" x14ac:dyDescent="0.3">
      <c r="A322" s="90" t="s">
        <v>230</v>
      </c>
      <c r="B322" s="91" t="s">
        <v>1017</v>
      </c>
      <c r="C322" s="91" t="s">
        <v>295</v>
      </c>
      <c r="D322" s="91" t="s">
        <v>574</v>
      </c>
      <c r="E322" s="92" t="s">
        <v>292</v>
      </c>
      <c r="F322" s="97" t="s">
        <v>213</v>
      </c>
      <c r="G322" s="97"/>
      <c r="H322" s="92" t="s">
        <v>265</v>
      </c>
      <c r="I322" s="98">
        <v>63472.5</v>
      </c>
      <c r="J322" s="98"/>
      <c r="K322" s="95" t="s">
        <v>214</v>
      </c>
      <c r="L322" s="96">
        <v>5758397.5999999996</v>
      </c>
    </row>
    <row r="323" spans="1:12" ht="51" x14ac:dyDescent="0.3">
      <c r="A323" s="90" t="s">
        <v>230</v>
      </c>
      <c r="B323" s="91" t="s">
        <v>1017</v>
      </c>
      <c r="C323" s="91" t="s">
        <v>295</v>
      </c>
      <c r="D323" s="91" t="s">
        <v>575</v>
      </c>
      <c r="E323" s="92" t="s">
        <v>292</v>
      </c>
      <c r="F323" s="97" t="s">
        <v>213</v>
      </c>
      <c r="G323" s="97"/>
      <c r="H323" s="92" t="s">
        <v>265</v>
      </c>
      <c r="I323" s="98">
        <v>9067.5</v>
      </c>
      <c r="J323" s="98"/>
      <c r="K323" s="95" t="s">
        <v>214</v>
      </c>
      <c r="L323" s="96">
        <v>5749330.0999999996</v>
      </c>
    </row>
    <row r="324" spans="1:12" ht="51" x14ac:dyDescent="0.3">
      <c r="A324" s="90" t="s">
        <v>230</v>
      </c>
      <c r="B324" s="91" t="s">
        <v>1017</v>
      </c>
      <c r="C324" s="91" t="s">
        <v>295</v>
      </c>
      <c r="D324" s="91" t="s">
        <v>575</v>
      </c>
      <c r="E324" s="92" t="s">
        <v>292</v>
      </c>
      <c r="F324" s="97" t="s">
        <v>213</v>
      </c>
      <c r="G324" s="97"/>
      <c r="H324" s="92" t="s">
        <v>265</v>
      </c>
      <c r="I324" s="98">
        <v>63472.5</v>
      </c>
      <c r="J324" s="98"/>
      <c r="K324" s="95" t="s">
        <v>214</v>
      </c>
      <c r="L324" s="96">
        <v>5685857.5999999996</v>
      </c>
    </row>
    <row r="325" spans="1:12" ht="51" x14ac:dyDescent="0.3">
      <c r="A325" s="90" t="s">
        <v>230</v>
      </c>
      <c r="B325" s="91" t="s">
        <v>1017</v>
      </c>
      <c r="C325" s="91" t="s">
        <v>295</v>
      </c>
      <c r="D325" s="91" t="s">
        <v>576</v>
      </c>
      <c r="E325" s="92" t="s">
        <v>292</v>
      </c>
      <c r="F325" s="97" t="s">
        <v>213</v>
      </c>
      <c r="G325" s="97"/>
      <c r="H325" s="92" t="s">
        <v>265</v>
      </c>
      <c r="I325" s="98">
        <v>9067.5</v>
      </c>
      <c r="J325" s="98"/>
      <c r="K325" s="95" t="s">
        <v>214</v>
      </c>
      <c r="L325" s="96">
        <v>5676790.0999999996</v>
      </c>
    </row>
    <row r="326" spans="1:12" ht="51" x14ac:dyDescent="0.3">
      <c r="A326" s="90" t="s">
        <v>230</v>
      </c>
      <c r="B326" s="91" t="s">
        <v>1017</v>
      </c>
      <c r="C326" s="91" t="s">
        <v>295</v>
      </c>
      <c r="D326" s="91" t="s">
        <v>576</v>
      </c>
      <c r="E326" s="92" t="s">
        <v>292</v>
      </c>
      <c r="F326" s="97" t="s">
        <v>213</v>
      </c>
      <c r="G326" s="97"/>
      <c r="H326" s="92" t="s">
        <v>265</v>
      </c>
      <c r="I326" s="98">
        <v>54405</v>
      </c>
      <c r="J326" s="98"/>
      <c r="K326" s="95" t="s">
        <v>214</v>
      </c>
      <c r="L326" s="96">
        <v>5622385.0999999996</v>
      </c>
    </row>
    <row r="327" spans="1:12" ht="51" x14ac:dyDescent="0.3">
      <c r="A327" s="90" t="s">
        <v>230</v>
      </c>
      <c r="B327" s="91" t="s">
        <v>1017</v>
      </c>
      <c r="C327" s="91" t="s">
        <v>295</v>
      </c>
      <c r="D327" s="91" t="s">
        <v>576</v>
      </c>
      <c r="E327" s="92" t="s">
        <v>292</v>
      </c>
      <c r="F327" s="97" t="s">
        <v>213</v>
      </c>
      <c r="G327" s="97"/>
      <c r="H327" s="92" t="s">
        <v>265</v>
      </c>
      <c r="I327" s="98">
        <v>9067.5</v>
      </c>
      <c r="J327" s="98"/>
      <c r="K327" s="95" t="s">
        <v>214</v>
      </c>
      <c r="L327" s="96">
        <v>5613317.5999999996</v>
      </c>
    </row>
    <row r="328" spans="1:12" ht="51" x14ac:dyDescent="0.3">
      <c r="A328" s="90" t="s">
        <v>230</v>
      </c>
      <c r="B328" s="91" t="s">
        <v>1017</v>
      </c>
      <c r="C328" s="91" t="s">
        <v>295</v>
      </c>
      <c r="D328" s="91" t="s">
        <v>577</v>
      </c>
      <c r="E328" s="92" t="s">
        <v>292</v>
      </c>
      <c r="F328" s="97" t="s">
        <v>213</v>
      </c>
      <c r="G328" s="97"/>
      <c r="H328" s="92" t="s">
        <v>265</v>
      </c>
      <c r="I328" s="98">
        <v>9067.5</v>
      </c>
      <c r="J328" s="98"/>
      <c r="K328" s="95" t="s">
        <v>214</v>
      </c>
      <c r="L328" s="96">
        <v>5604250.0999999996</v>
      </c>
    </row>
    <row r="329" spans="1:12" ht="51" x14ac:dyDescent="0.3">
      <c r="A329" s="90" t="s">
        <v>230</v>
      </c>
      <c r="B329" s="91" t="s">
        <v>1017</v>
      </c>
      <c r="C329" s="91" t="s">
        <v>295</v>
      </c>
      <c r="D329" s="91" t="s">
        <v>577</v>
      </c>
      <c r="E329" s="92" t="s">
        <v>292</v>
      </c>
      <c r="F329" s="97" t="s">
        <v>213</v>
      </c>
      <c r="G329" s="97"/>
      <c r="H329" s="92" t="s">
        <v>265</v>
      </c>
      <c r="I329" s="98">
        <v>45337.5</v>
      </c>
      <c r="J329" s="98"/>
      <c r="K329" s="95" t="s">
        <v>214</v>
      </c>
      <c r="L329" s="96">
        <v>5558912.5999999996</v>
      </c>
    </row>
    <row r="330" spans="1:12" ht="51" x14ac:dyDescent="0.3">
      <c r="A330" s="90" t="s">
        <v>230</v>
      </c>
      <c r="B330" s="91" t="s">
        <v>1017</v>
      </c>
      <c r="C330" s="91" t="s">
        <v>295</v>
      </c>
      <c r="D330" s="91" t="s">
        <v>577</v>
      </c>
      <c r="E330" s="92" t="s">
        <v>292</v>
      </c>
      <c r="F330" s="97" t="s">
        <v>213</v>
      </c>
      <c r="G330" s="97"/>
      <c r="H330" s="92" t="s">
        <v>265</v>
      </c>
      <c r="I330" s="98">
        <v>18135</v>
      </c>
      <c r="J330" s="98"/>
      <c r="K330" s="95" t="s">
        <v>214</v>
      </c>
      <c r="L330" s="96">
        <v>5540777.5999999996</v>
      </c>
    </row>
    <row r="331" spans="1:12" ht="51" x14ac:dyDescent="0.3">
      <c r="A331" s="90" t="s">
        <v>230</v>
      </c>
      <c r="B331" s="91" t="s">
        <v>1017</v>
      </c>
      <c r="C331" s="91" t="s">
        <v>295</v>
      </c>
      <c r="D331" s="91" t="s">
        <v>578</v>
      </c>
      <c r="E331" s="92" t="s">
        <v>292</v>
      </c>
      <c r="F331" s="97" t="s">
        <v>213</v>
      </c>
      <c r="G331" s="97"/>
      <c r="H331" s="92" t="s">
        <v>265</v>
      </c>
      <c r="I331" s="98">
        <v>54405</v>
      </c>
      <c r="J331" s="98"/>
      <c r="K331" s="95" t="s">
        <v>214</v>
      </c>
      <c r="L331" s="96">
        <v>5486372.5999999996</v>
      </c>
    </row>
    <row r="332" spans="1:12" ht="51" x14ac:dyDescent="0.3">
      <c r="A332" s="90" t="s">
        <v>230</v>
      </c>
      <c r="B332" s="91" t="s">
        <v>1017</v>
      </c>
      <c r="C332" s="91" t="s">
        <v>295</v>
      </c>
      <c r="D332" s="91" t="s">
        <v>578</v>
      </c>
      <c r="E332" s="92" t="s">
        <v>292</v>
      </c>
      <c r="F332" s="97" t="s">
        <v>213</v>
      </c>
      <c r="G332" s="97"/>
      <c r="H332" s="92" t="s">
        <v>265</v>
      </c>
      <c r="I332" s="98">
        <v>18135</v>
      </c>
      <c r="J332" s="98"/>
      <c r="K332" s="95" t="s">
        <v>214</v>
      </c>
      <c r="L332" s="96">
        <v>5468237.5999999996</v>
      </c>
    </row>
    <row r="333" spans="1:12" ht="51" x14ac:dyDescent="0.3">
      <c r="A333" s="90" t="s">
        <v>230</v>
      </c>
      <c r="B333" s="91" t="s">
        <v>1017</v>
      </c>
      <c r="C333" s="91" t="s">
        <v>295</v>
      </c>
      <c r="D333" s="91" t="s">
        <v>579</v>
      </c>
      <c r="E333" s="92" t="s">
        <v>292</v>
      </c>
      <c r="F333" s="97" t="s">
        <v>213</v>
      </c>
      <c r="G333" s="97"/>
      <c r="H333" s="92" t="s">
        <v>265</v>
      </c>
      <c r="I333" s="98">
        <v>54405</v>
      </c>
      <c r="J333" s="98"/>
      <c r="K333" s="95" t="s">
        <v>214</v>
      </c>
      <c r="L333" s="96">
        <v>5413832.5999999996</v>
      </c>
    </row>
    <row r="334" spans="1:12" ht="51" x14ac:dyDescent="0.3">
      <c r="A334" s="90" t="s">
        <v>230</v>
      </c>
      <c r="B334" s="91" t="s">
        <v>1017</v>
      </c>
      <c r="C334" s="91" t="s">
        <v>295</v>
      </c>
      <c r="D334" s="91" t="s">
        <v>579</v>
      </c>
      <c r="E334" s="92" t="s">
        <v>292</v>
      </c>
      <c r="F334" s="97" t="s">
        <v>213</v>
      </c>
      <c r="G334" s="97"/>
      <c r="H334" s="92" t="s">
        <v>265</v>
      </c>
      <c r="I334" s="98">
        <v>18135</v>
      </c>
      <c r="J334" s="98"/>
      <c r="K334" s="95" t="s">
        <v>214</v>
      </c>
      <c r="L334" s="96">
        <v>5395697.5999999996</v>
      </c>
    </row>
    <row r="335" spans="1:12" ht="51" x14ac:dyDescent="0.3">
      <c r="A335" s="90" t="s">
        <v>230</v>
      </c>
      <c r="B335" s="91" t="s">
        <v>1017</v>
      </c>
      <c r="C335" s="91" t="s">
        <v>295</v>
      </c>
      <c r="D335" s="91" t="s">
        <v>580</v>
      </c>
      <c r="E335" s="92" t="s">
        <v>292</v>
      </c>
      <c r="F335" s="97" t="s">
        <v>213</v>
      </c>
      <c r="G335" s="97"/>
      <c r="H335" s="92" t="s">
        <v>265</v>
      </c>
      <c r="I335" s="98">
        <v>27202.5</v>
      </c>
      <c r="J335" s="98"/>
      <c r="K335" s="95" t="s">
        <v>214</v>
      </c>
      <c r="L335" s="96">
        <v>5368495.0999999996</v>
      </c>
    </row>
    <row r="336" spans="1:12" ht="51" x14ac:dyDescent="0.3">
      <c r="A336" s="90" t="s">
        <v>230</v>
      </c>
      <c r="B336" s="91" t="s">
        <v>1017</v>
      </c>
      <c r="C336" s="91" t="s">
        <v>295</v>
      </c>
      <c r="D336" s="91" t="s">
        <v>581</v>
      </c>
      <c r="E336" s="92" t="s">
        <v>292</v>
      </c>
      <c r="F336" s="97" t="s">
        <v>213</v>
      </c>
      <c r="G336" s="97"/>
      <c r="H336" s="92" t="s">
        <v>265</v>
      </c>
      <c r="I336" s="98">
        <v>27202.5</v>
      </c>
      <c r="J336" s="98"/>
      <c r="K336" s="95" t="s">
        <v>214</v>
      </c>
      <c r="L336" s="96">
        <v>5341292.5999999996</v>
      </c>
    </row>
    <row r="337" spans="1:12" ht="51" x14ac:dyDescent="0.3">
      <c r="A337" s="90" t="s">
        <v>230</v>
      </c>
      <c r="B337" s="91" t="s">
        <v>1017</v>
      </c>
      <c r="C337" s="91" t="s">
        <v>295</v>
      </c>
      <c r="D337" s="91" t="s">
        <v>581</v>
      </c>
      <c r="E337" s="92" t="s">
        <v>292</v>
      </c>
      <c r="F337" s="97" t="s">
        <v>213</v>
      </c>
      <c r="G337" s="97"/>
      <c r="H337" s="92" t="s">
        <v>265</v>
      </c>
      <c r="I337" s="98">
        <v>27202.5</v>
      </c>
      <c r="J337" s="98"/>
      <c r="K337" s="95" t="s">
        <v>214</v>
      </c>
      <c r="L337" s="96">
        <v>5314090.0999999996</v>
      </c>
    </row>
    <row r="338" spans="1:12" ht="51" x14ac:dyDescent="0.3">
      <c r="A338" s="90" t="s">
        <v>230</v>
      </c>
      <c r="B338" s="91" t="s">
        <v>1017</v>
      </c>
      <c r="C338" s="91" t="s">
        <v>295</v>
      </c>
      <c r="D338" s="91" t="s">
        <v>545</v>
      </c>
      <c r="E338" s="92" t="s">
        <v>292</v>
      </c>
      <c r="F338" s="97" t="s">
        <v>213</v>
      </c>
      <c r="G338" s="97"/>
      <c r="H338" s="92" t="s">
        <v>265</v>
      </c>
      <c r="I338" s="98">
        <v>75100</v>
      </c>
      <c r="J338" s="98"/>
      <c r="K338" s="95" t="s">
        <v>214</v>
      </c>
      <c r="L338" s="96">
        <v>5238990.0999999996</v>
      </c>
    </row>
    <row r="339" spans="1:12" ht="51" x14ac:dyDescent="0.3">
      <c r="A339" s="90" t="s">
        <v>230</v>
      </c>
      <c r="B339" s="91" t="s">
        <v>1017</v>
      </c>
      <c r="C339" s="91" t="s">
        <v>295</v>
      </c>
      <c r="D339" s="91" t="s">
        <v>546</v>
      </c>
      <c r="E339" s="92" t="s">
        <v>292</v>
      </c>
      <c r="F339" s="97" t="s">
        <v>213</v>
      </c>
      <c r="G339" s="97"/>
      <c r="H339" s="92" t="s">
        <v>265</v>
      </c>
      <c r="I339" s="98">
        <v>37550</v>
      </c>
      <c r="J339" s="98"/>
      <c r="K339" s="95" t="s">
        <v>214</v>
      </c>
      <c r="L339" s="96">
        <v>5201440.0999999996</v>
      </c>
    </row>
    <row r="340" spans="1:12" ht="51" x14ac:dyDescent="0.3">
      <c r="A340" s="90" t="s">
        <v>230</v>
      </c>
      <c r="B340" s="91" t="s">
        <v>1017</v>
      </c>
      <c r="C340" s="91" t="s">
        <v>295</v>
      </c>
      <c r="D340" s="91" t="s">
        <v>546</v>
      </c>
      <c r="E340" s="92" t="s">
        <v>292</v>
      </c>
      <c r="F340" s="97" t="s">
        <v>213</v>
      </c>
      <c r="G340" s="97"/>
      <c r="H340" s="92" t="s">
        <v>265</v>
      </c>
      <c r="I340" s="98">
        <v>7510</v>
      </c>
      <c r="J340" s="98"/>
      <c r="K340" s="95" t="s">
        <v>214</v>
      </c>
      <c r="L340" s="96">
        <v>5193930.0999999996</v>
      </c>
    </row>
    <row r="341" spans="1:12" ht="51" x14ac:dyDescent="0.3">
      <c r="A341" s="90" t="s">
        <v>230</v>
      </c>
      <c r="B341" s="91" t="s">
        <v>1017</v>
      </c>
      <c r="C341" s="91" t="s">
        <v>295</v>
      </c>
      <c r="D341" s="91" t="s">
        <v>546</v>
      </c>
      <c r="E341" s="92" t="s">
        <v>292</v>
      </c>
      <c r="F341" s="97" t="s">
        <v>213</v>
      </c>
      <c r="G341" s="97"/>
      <c r="H341" s="92" t="s">
        <v>265</v>
      </c>
      <c r="I341" s="98">
        <v>30040</v>
      </c>
      <c r="J341" s="98"/>
      <c r="K341" s="95" t="s">
        <v>214</v>
      </c>
      <c r="L341" s="96">
        <v>5163890.0999999996</v>
      </c>
    </row>
    <row r="342" spans="1:12" ht="51" x14ac:dyDescent="0.3">
      <c r="A342" s="90" t="s">
        <v>230</v>
      </c>
      <c r="B342" s="91" t="s">
        <v>1017</v>
      </c>
      <c r="C342" s="91" t="s">
        <v>295</v>
      </c>
      <c r="D342" s="91" t="s">
        <v>547</v>
      </c>
      <c r="E342" s="92" t="s">
        <v>292</v>
      </c>
      <c r="F342" s="97" t="s">
        <v>213</v>
      </c>
      <c r="G342" s="97"/>
      <c r="H342" s="92" t="s">
        <v>265</v>
      </c>
      <c r="I342" s="98">
        <v>45060</v>
      </c>
      <c r="J342" s="98"/>
      <c r="K342" s="95" t="s">
        <v>214</v>
      </c>
      <c r="L342" s="96">
        <v>5118830.0999999996</v>
      </c>
    </row>
    <row r="343" spans="1:12" ht="51" x14ac:dyDescent="0.3">
      <c r="A343" s="90" t="s">
        <v>230</v>
      </c>
      <c r="B343" s="91" t="s">
        <v>1017</v>
      </c>
      <c r="C343" s="91" t="s">
        <v>295</v>
      </c>
      <c r="D343" s="91" t="s">
        <v>547</v>
      </c>
      <c r="E343" s="92" t="s">
        <v>292</v>
      </c>
      <c r="F343" s="97" t="s">
        <v>213</v>
      </c>
      <c r="G343" s="97"/>
      <c r="H343" s="92" t="s">
        <v>265</v>
      </c>
      <c r="I343" s="98">
        <v>30040</v>
      </c>
      <c r="J343" s="98"/>
      <c r="K343" s="95" t="s">
        <v>214</v>
      </c>
      <c r="L343" s="96">
        <v>5088790.0999999996</v>
      </c>
    </row>
    <row r="344" spans="1:12" ht="51" x14ac:dyDescent="0.3">
      <c r="A344" s="90" t="s">
        <v>230</v>
      </c>
      <c r="B344" s="91" t="s">
        <v>1017</v>
      </c>
      <c r="C344" s="91" t="s">
        <v>295</v>
      </c>
      <c r="D344" s="91" t="s">
        <v>548</v>
      </c>
      <c r="E344" s="92" t="s">
        <v>292</v>
      </c>
      <c r="F344" s="97" t="s">
        <v>213</v>
      </c>
      <c r="G344" s="97"/>
      <c r="H344" s="92" t="s">
        <v>265</v>
      </c>
      <c r="I344" s="98">
        <v>45060</v>
      </c>
      <c r="J344" s="98"/>
      <c r="K344" s="95" t="s">
        <v>214</v>
      </c>
      <c r="L344" s="96">
        <v>5043730.0999999996</v>
      </c>
    </row>
    <row r="345" spans="1:12" ht="51" x14ac:dyDescent="0.3">
      <c r="A345" s="90" t="s">
        <v>230</v>
      </c>
      <c r="B345" s="91" t="s">
        <v>1017</v>
      </c>
      <c r="C345" s="91" t="s">
        <v>295</v>
      </c>
      <c r="D345" s="91" t="s">
        <v>548</v>
      </c>
      <c r="E345" s="92" t="s">
        <v>292</v>
      </c>
      <c r="F345" s="97" t="s">
        <v>213</v>
      </c>
      <c r="G345" s="97"/>
      <c r="H345" s="92" t="s">
        <v>265</v>
      </c>
      <c r="I345" s="98">
        <v>30040</v>
      </c>
      <c r="J345" s="98"/>
      <c r="K345" s="95" t="s">
        <v>214</v>
      </c>
      <c r="L345" s="96">
        <v>5013690.0999999996</v>
      </c>
    </row>
    <row r="346" spans="1:12" ht="51" x14ac:dyDescent="0.3">
      <c r="A346" s="90" t="s">
        <v>230</v>
      </c>
      <c r="B346" s="91" t="s">
        <v>1017</v>
      </c>
      <c r="C346" s="91" t="s">
        <v>295</v>
      </c>
      <c r="D346" s="91" t="s">
        <v>549</v>
      </c>
      <c r="E346" s="92" t="s">
        <v>292</v>
      </c>
      <c r="F346" s="97" t="s">
        <v>213</v>
      </c>
      <c r="G346" s="97"/>
      <c r="H346" s="92" t="s">
        <v>265</v>
      </c>
      <c r="I346" s="98">
        <v>45060</v>
      </c>
      <c r="J346" s="98"/>
      <c r="K346" s="95" t="s">
        <v>214</v>
      </c>
      <c r="L346" s="96">
        <v>4968630.0999999996</v>
      </c>
    </row>
    <row r="347" spans="1:12" ht="51" x14ac:dyDescent="0.3">
      <c r="A347" s="90" t="s">
        <v>230</v>
      </c>
      <c r="B347" s="91" t="s">
        <v>1017</v>
      </c>
      <c r="C347" s="91" t="s">
        <v>295</v>
      </c>
      <c r="D347" s="91" t="s">
        <v>549</v>
      </c>
      <c r="E347" s="92" t="s">
        <v>292</v>
      </c>
      <c r="F347" s="97" t="s">
        <v>213</v>
      </c>
      <c r="G347" s="97"/>
      <c r="H347" s="92" t="s">
        <v>265</v>
      </c>
      <c r="I347" s="98">
        <v>30040</v>
      </c>
      <c r="J347" s="98"/>
      <c r="K347" s="95" t="s">
        <v>214</v>
      </c>
      <c r="L347" s="96">
        <v>4938590.0999999996</v>
      </c>
    </row>
    <row r="348" spans="1:12" ht="51" x14ac:dyDescent="0.3">
      <c r="A348" s="90" t="s">
        <v>230</v>
      </c>
      <c r="B348" s="91" t="s">
        <v>1017</v>
      </c>
      <c r="C348" s="91" t="s">
        <v>295</v>
      </c>
      <c r="D348" s="91" t="s">
        <v>550</v>
      </c>
      <c r="E348" s="92" t="s">
        <v>292</v>
      </c>
      <c r="F348" s="97" t="s">
        <v>213</v>
      </c>
      <c r="G348" s="97"/>
      <c r="H348" s="92" t="s">
        <v>265</v>
      </c>
      <c r="I348" s="98">
        <v>45060</v>
      </c>
      <c r="J348" s="98"/>
      <c r="K348" s="95" t="s">
        <v>214</v>
      </c>
      <c r="L348" s="96">
        <v>4893530.0999999996</v>
      </c>
    </row>
    <row r="349" spans="1:12" ht="51" x14ac:dyDescent="0.3">
      <c r="A349" s="90" t="s">
        <v>230</v>
      </c>
      <c r="B349" s="91" t="s">
        <v>1018</v>
      </c>
      <c r="C349" s="91" t="s">
        <v>295</v>
      </c>
      <c r="D349" s="91" t="s">
        <v>551</v>
      </c>
      <c r="E349" s="92" t="s">
        <v>292</v>
      </c>
      <c r="F349" s="97" t="s">
        <v>213</v>
      </c>
      <c r="G349" s="97"/>
      <c r="H349" s="92" t="s">
        <v>265</v>
      </c>
      <c r="I349" s="98">
        <v>37550</v>
      </c>
      <c r="J349" s="98"/>
      <c r="K349" s="95" t="s">
        <v>214</v>
      </c>
      <c r="L349" s="96">
        <v>4855980.0999999996</v>
      </c>
    </row>
    <row r="350" spans="1:12" ht="51" x14ac:dyDescent="0.3">
      <c r="A350" s="90" t="s">
        <v>230</v>
      </c>
      <c r="B350" s="91" t="s">
        <v>1018</v>
      </c>
      <c r="C350" s="91" t="s">
        <v>295</v>
      </c>
      <c r="D350" s="91" t="s">
        <v>551</v>
      </c>
      <c r="E350" s="92" t="s">
        <v>292</v>
      </c>
      <c r="F350" s="97" t="s">
        <v>213</v>
      </c>
      <c r="G350" s="97"/>
      <c r="H350" s="92" t="s">
        <v>265</v>
      </c>
      <c r="I350" s="98">
        <v>37550</v>
      </c>
      <c r="J350" s="98"/>
      <c r="K350" s="95" t="s">
        <v>214</v>
      </c>
      <c r="L350" s="96">
        <v>4818430.0999999996</v>
      </c>
    </row>
    <row r="351" spans="1:12" ht="51" x14ac:dyDescent="0.3">
      <c r="A351" s="90" t="s">
        <v>230</v>
      </c>
      <c r="B351" s="91" t="s">
        <v>1018</v>
      </c>
      <c r="C351" s="91" t="s">
        <v>295</v>
      </c>
      <c r="D351" s="91" t="s">
        <v>552</v>
      </c>
      <c r="E351" s="92" t="s">
        <v>292</v>
      </c>
      <c r="F351" s="97" t="s">
        <v>213</v>
      </c>
      <c r="G351" s="97"/>
      <c r="H351" s="92" t="s">
        <v>265</v>
      </c>
      <c r="I351" s="98">
        <v>37550</v>
      </c>
      <c r="J351" s="98"/>
      <c r="K351" s="95" t="s">
        <v>214</v>
      </c>
      <c r="L351" s="96">
        <v>4780880.0999999996</v>
      </c>
    </row>
    <row r="352" spans="1:12" ht="51" x14ac:dyDescent="0.3">
      <c r="A352" s="90" t="s">
        <v>230</v>
      </c>
      <c r="B352" s="91" t="s">
        <v>1018</v>
      </c>
      <c r="C352" s="91" t="s">
        <v>295</v>
      </c>
      <c r="D352" s="91" t="s">
        <v>552</v>
      </c>
      <c r="E352" s="92" t="s">
        <v>292</v>
      </c>
      <c r="F352" s="97" t="s">
        <v>213</v>
      </c>
      <c r="G352" s="97"/>
      <c r="H352" s="92" t="s">
        <v>265</v>
      </c>
      <c r="I352" s="98">
        <v>37550</v>
      </c>
      <c r="J352" s="98"/>
      <c r="K352" s="95" t="s">
        <v>214</v>
      </c>
      <c r="L352" s="96">
        <v>4743330.0999999996</v>
      </c>
    </row>
    <row r="353" spans="1:12" ht="51" x14ac:dyDescent="0.3">
      <c r="A353" s="90" t="s">
        <v>230</v>
      </c>
      <c r="B353" s="91" t="s">
        <v>1018</v>
      </c>
      <c r="C353" s="91" t="s">
        <v>295</v>
      </c>
      <c r="D353" s="91" t="s">
        <v>553</v>
      </c>
      <c r="E353" s="92" t="s">
        <v>292</v>
      </c>
      <c r="F353" s="97" t="s">
        <v>213</v>
      </c>
      <c r="G353" s="97"/>
      <c r="H353" s="92" t="s">
        <v>265</v>
      </c>
      <c r="I353" s="98">
        <v>37550</v>
      </c>
      <c r="J353" s="98"/>
      <c r="K353" s="95" t="s">
        <v>214</v>
      </c>
      <c r="L353" s="96">
        <v>4705780.0999999996</v>
      </c>
    </row>
    <row r="354" spans="1:12" ht="51" x14ac:dyDescent="0.3">
      <c r="A354" s="90" t="s">
        <v>230</v>
      </c>
      <c r="B354" s="91" t="s">
        <v>1018</v>
      </c>
      <c r="C354" s="91" t="s">
        <v>295</v>
      </c>
      <c r="D354" s="91" t="s">
        <v>553</v>
      </c>
      <c r="E354" s="92" t="s">
        <v>292</v>
      </c>
      <c r="F354" s="97" t="s">
        <v>213</v>
      </c>
      <c r="G354" s="97"/>
      <c r="H354" s="92" t="s">
        <v>265</v>
      </c>
      <c r="I354" s="98">
        <v>37550</v>
      </c>
      <c r="J354" s="98"/>
      <c r="K354" s="95" t="s">
        <v>214</v>
      </c>
      <c r="L354" s="96">
        <v>4668230.0999999996</v>
      </c>
    </row>
    <row r="355" spans="1:12" ht="51" x14ac:dyDescent="0.3">
      <c r="A355" s="90" t="s">
        <v>230</v>
      </c>
      <c r="B355" s="91" t="s">
        <v>1018</v>
      </c>
      <c r="C355" s="91" t="s">
        <v>295</v>
      </c>
      <c r="D355" s="91" t="s">
        <v>554</v>
      </c>
      <c r="E355" s="92" t="s">
        <v>292</v>
      </c>
      <c r="F355" s="97" t="s">
        <v>213</v>
      </c>
      <c r="G355" s="97"/>
      <c r="H355" s="92" t="s">
        <v>265</v>
      </c>
      <c r="I355" s="98">
        <v>37550</v>
      </c>
      <c r="J355" s="98"/>
      <c r="K355" s="95" t="s">
        <v>214</v>
      </c>
      <c r="L355" s="96">
        <v>4630680.0999999996</v>
      </c>
    </row>
    <row r="356" spans="1:12" ht="51" x14ac:dyDescent="0.3">
      <c r="A356" s="90" t="s">
        <v>230</v>
      </c>
      <c r="B356" s="91" t="s">
        <v>1018</v>
      </c>
      <c r="C356" s="91" t="s">
        <v>295</v>
      </c>
      <c r="D356" s="91" t="s">
        <v>554</v>
      </c>
      <c r="E356" s="92" t="s">
        <v>292</v>
      </c>
      <c r="F356" s="97" t="s">
        <v>213</v>
      </c>
      <c r="G356" s="97"/>
      <c r="H356" s="92" t="s">
        <v>265</v>
      </c>
      <c r="I356" s="98">
        <v>37550</v>
      </c>
      <c r="J356" s="98"/>
      <c r="K356" s="95" t="s">
        <v>214</v>
      </c>
      <c r="L356" s="96">
        <v>4593130.0999999996</v>
      </c>
    </row>
    <row r="357" spans="1:12" ht="51" x14ac:dyDescent="0.3">
      <c r="A357" s="90" t="s">
        <v>230</v>
      </c>
      <c r="B357" s="91" t="s">
        <v>1018</v>
      </c>
      <c r="C357" s="91" t="s">
        <v>295</v>
      </c>
      <c r="D357" s="91" t="s">
        <v>555</v>
      </c>
      <c r="E357" s="92" t="s">
        <v>292</v>
      </c>
      <c r="F357" s="97" t="s">
        <v>213</v>
      </c>
      <c r="G357" s="97"/>
      <c r="H357" s="92" t="s">
        <v>265</v>
      </c>
      <c r="I357" s="98">
        <v>37550</v>
      </c>
      <c r="J357" s="98"/>
      <c r="K357" s="95" t="s">
        <v>214</v>
      </c>
      <c r="L357" s="96">
        <v>4555580.0999999996</v>
      </c>
    </row>
    <row r="358" spans="1:12" ht="51" x14ac:dyDescent="0.3">
      <c r="A358" s="90" t="s">
        <v>230</v>
      </c>
      <c r="B358" s="91" t="s">
        <v>1018</v>
      </c>
      <c r="C358" s="91" t="s">
        <v>295</v>
      </c>
      <c r="D358" s="91" t="s">
        <v>555</v>
      </c>
      <c r="E358" s="92" t="s">
        <v>292</v>
      </c>
      <c r="F358" s="97" t="s">
        <v>213</v>
      </c>
      <c r="G358" s="97"/>
      <c r="H358" s="92" t="s">
        <v>265</v>
      </c>
      <c r="I358" s="98">
        <v>37550</v>
      </c>
      <c r="J358" s="98"/>
      <c r="K358" s="95" t="s">
        <v>214</v>
      </c>
      <c r="L358" s="96">
        <v>4518030.0999999996</v>
      </c>
    </row>
    <row r="359" spans="1:12" ht="51" x14ac:dyDescent="0.3">
      <c r="A359" s="90" t="s">
        <v>230</v>
      </c>
      <c r="B359" s="91" t="s">
        <v>1018</v>
      </c>
      <c r="C359" s="91" t="s">
        <v>295</v>
      </c>
      <c r="D359" s="91" t="s">
        <v>583</v>
      </c>
      <c r="E359" s="92" t="s">
        <v>292</v>
      </c>
      <c r="F359" s="97" t="s">
        <v>213</v>
      </c>
      <c r="G359" s="97"/>
      <c r="H359" s="92" t="s">
        <v>265</v>
      </c>
      <c r="I359" s="98">
        <v>37550</v>
      </c>
      <c r="J359" s="98"/>
      <c r="K359" s="95" t="s">
        <v>214</v>
      </c>
      <c r="L359" s="96">
        <v>4480480.0999999996</v>
      </c>
    </row>
    <row r="360" spans="1:12" ht="51" x14ac:dyDescent="0.3">
      <c r="A360" s="90" t="s">
        <v>230</v>
      </c>
      <c r="B360" s="91" t="s">
        <v>1018</v>
      </c>
      <c r="C360" s="91" t="s">
        <v>295</v>
      </c>
      <c r="D360" s="91" t="s">
        <v>583</v>
      </c>
      <c r="E360" s="92" t="s">
        <v>292</v>
      </c>
      <c r="F360" s="97" t="s">
        <v>213</v>
      </c>
      <c r="G360" s="97"/>
      <c r="H360" s="92" t="s">
        <v>265</v>
      </c>
      <c r="I360" s="98">
        <v>30040</v>
      </c>
      <c r="J360" s="98"/>
      <c r="K360" s="95" t="s">
        <v>214</v>
      </c>
      <c r="L360" s="96">
        <v>4450440.0999999996</v>
      </c>
    </row>
    <row r="361" spans="1:12" ht="51" x14ac:dyDescent="0.3">
      <c r="A361" s="90" t="s">
        <v>230</v>
      </c>
      <c r="B361" s="91" t="s">
        <v>1018</v>
      </c>
      <c r="C361" s="91" t="s">
        <v>295</v>
      </c>
      <c r="D361" s="91" t="s">
        <v>584</v>
      </c>
      <c r="E361" s="92" t="s">
        <v>292</v>
      </c>
      <c r="F361" s="97" t="s">
        <v>213</v>
      </c>
      <c r="G361" s="97"/>
      <c r="H361" s="92" t="s">
        <v>265</v>
      </c>
      <c r="I361" s="98">
        <v>7510</v>
      </c>
      <c r="J361" s="98"/>
      <c r="K361" s="95" t="s">
        <v>214</v>
      </c>
      <c r="L361" s="96">
        <v>4442930.0999999996</v>
      </c>
    </row>
    <row r="362" spans="1:12" ht="51" x14ac:dyDescent="0.3">
      <c r="A362" s="90" t="s">
        <v>230</v>
      </c>
      <c r="B362" s="91" t="s">
        <v>1018</v>
      </c>
      <c r="C362" s="91" t="s">
        <v>295</v>
      </c>
      <c r="D362" s="91" t="s">
        <v>585</v>
      </c>
      <c r="E362" s="92" t="s">
        <v>292</v>
      </c>
      <c r="F362" s="97" t="s">
        <v>213</v>
      </c>
      <c r="G362" s="97"/>
      <c r="H362" s="92" t="s">
        <v>265</v>
      </c>
      <c r="I362" s="98">
        <v>37550</v>
      </c>
      <c r="J362" s="98"/>
      <c r="K362" s="95" t="s">
        <v>214</v>
      </c>
      <c r="L362" s="96">
        <v>4405380.0999999996</v>
      </c>
    </row>
    <row r="363" spans="1:12" ht="51" x14ac:dyDescent="0.3">
      <c r="A363" s="90" t="s">
        <v>230</v>
      </c>
      <c r="B363" s="91" t="s">
        <v>1018</v>
      </c>
      <c r="C363" s="91" t="s">
        <v>295</v>
      </c>
      <c r="D363" s="91" t="s">
        <v>585</v>
      </c>
      <c r="E363" s="92" t="s">
        <v>292</v>
      </c>
      <c r="F363" s="97" t="s">
        <v>213</v>
      </c>
      <c r="G363" s="97"/>
      <c r="H363" s="92" t="s">
        <v>265</v>
      </c>
      <c r="I363" s="98">
        <v>37550</v>
      </c>
      <c r="J363" s="98"/>
      <c r="K363" s="95" t="s">
        <v>214</v>
      </c>
      <c r="L363" s="96">
        <v>4367830.0999999996</v>
      </c>
    </row>
    <row r="364" spans="1:12" ht="51" x14ac:dyDescent="0.3">
      <c r="A364" s="90" t="s">
        <v>230</v>
      </c>
      <c r="B364" s="91" t="s">
        <v>1018</v>
      </c>
      <c r="C364" s="91" t="s">
        <v>295</v>
      </c>
      <c r="D364" s="91" t="s">
        <v>586</v>
      </c>
      <c r="E364" s="92" t="s">
        <v>292</v>
      </c>
      <c r="F364" s="97" t="s">
        <v>213</v>
      </c>
      <c r="G364" s="97"/>
      <c r="H364" s="92" t="s">
        <v>265</v>
      </c>
      <c r="I364" s="98">
        <v>37550</v>
      </c>
      <c r="J364" s="98"/>
      <c r="K364" s="95" t="s">
        <v>214</v>
      </c>
      <c r="L364" s="96">
        <v>4330280.0999999996</v>
      </c>
    </row>
    <row r="365" spans="1:12" ht="51" x14ac:dyDescent="0.3">
      <c r="A365" s="90" t="s">
        <v>230</v>
      </c>
      <c r="B365" s="91" t="s">
        <v>1018</v>
      </c>
      <c r="C365" s="91" t="s">
        <v>295</v>
      </c>
      <c r="D365" s="91" t="s">
        <v>586</v>
      </c>
      <c r="E365" s="92" t="s">
        <v>292</v>
      </c>
      <c r="F365" s="97" t="s">
        <v>213</v>
      </c>
      <c r="G365" s="97"/>
      <c r="H365" s="92" t="s">
        <v>265</v>
      </c>
      <c r="I365" s="98">
        <v>37550</v>
      </c>
      <c r="J365" s="98"/>
      <c r="K365" s="95" t="s">
        <v>214</v>
      </c>
      <c r="L365" s="96">
        <v>4292730.0999999996</v>
      </c>
    </row>
    <row r="366" spans="1:12" ht="51" x14ac:dyDescent="0.3">
      <c r="A366" s="90" t="s">
        <v>230</v>
      </c>
      <c r="B366" s="91" t="s">
        <v>1018</v>
      </c>
      <c r="C366" s="91" t="s">
        <v>295</v>
      </c>
      <c r="D366" s="91" t="s">
        <v>587</v>
      </c>
      <c r="E366" s="92" t="s">
        <v>292</v>
      </c>
      <c r="F366" s="97" t="s">
        <v>213</v>
      </c>
      <c r="G366" s="97"/>
      <c r="H366" s="92" t="s">
        <v>265</v>
      </c>
      <c r="I366" s="98">
        <v>37550</v>
      </c>
      <c r="J366" s="98"/>
      <c r="K366" s="95" t="s">
        <v>214</v>
      </c>
      <c r="L366" s="96">
        <v>4255180.0999999996</v>
      </c>
    </row>
    <row r="367" spans="1:12" ht="51" x14ac:dyDescent="0.3">
      <c r="A367" s="90" t="s">
        <v>230</v>
      </c>
      <c r="B367" s="91" t="s">
        <v>1018</v>
      </c>
      <c r="C367" s="91" t="s">
        <v>295</v>
      </c>
      <c r="D367" s="91" t="s">
        <v>587</v>
      </c>
      <c r="E367" s="92" t="s">
        <v>292</v>
      </c>
      <c r="F367" s="97" t="s">
        <v>213</v>
      </c>
      <c r="G367" s="97"/>
      <c r="H367" s="92" t="s">
        <v>265</v>
      </c>
      <c r="I367" s="98">
        <v>37550</v>
      </c>
      <c r="J367" s="98"/>
      <c r="K367" s="95" t="s">
        <v>214</v>
      </c>
      <c r="L367" s="96">
        <v>4217630.0999999996</v>
      </c>
    </row>
    <row r="368" spans="1:12" ht="51" x14ac:dyDescent="0.3">
      <c r="A368" s="90" t="s">
        <v>230</v>
      </c>
      <c r="B368" s="91" t="s">
        <v>1018</v>
      </c>
      <c r="C368" s="91" t="s">
        <v>295</v>
      </c>
      <c r="D368" s="91" t="s">
        <v>588</v>
      </c>
      <c r="E368" s="92" t="s">
        <v>292</v>
      </c>
      <c r="F368" s="97" t="s">
        <v>213</v>
      </c>
      <c r="G368" s="97"/>
      <c r="H368" s="92" t="s">
        <v>265</v>
      </c>
      <c r="I368" s="98">
        <v>30040</v>
      </c>
      <c r="J368" s="98"/>
      <c r="K368" s="95" t="s">
        <v>214</v>
      </c>
      <c r="L368" s="96">
        <v>4187590.1</v>
      </c>
    </row>
    <row r="369" spans="1:12" ht="51" x14ac:dyDescent="0.3">
      <c r="A369" s="90" t="s">
        <v>230</v>
      </c>
      <c r="B369" s="91" t="s">
        <v>1018</v>
      </c>
      <c r="C369" s="91" t="s">
        <v>295</v>
      </c>
      <c r="D369" s="91" t="s">
        <v>588</v>
      </c>
      <c r="E369" s="92" t="s">
        <v>292</v>
      </c>
      <c r="F369" s="97" t="s">
        <v>213</v>
      </c>
      <c r="G369" s="97"/>
      <c r="H369" s="92" t="s">
        <v>265</v>
      </c>
      <c r="I369" s="98">
        <v>37550</v>
      </c>
      <c r="J369" s="98"/>
      <c r="K369" s="95" t="s">
        <v>214</v>
      </c>
      <c r="L369" s="96">
        <v>4150040.1</v>
      </c>
    </row>
    <row r="370" spans="1:12" ht="51" x14ac:dyDescent="0.3">
      <c r="A370" s="90" t="s">
        <v>230</v>
      </c>
      <c r="B370" s="91" t="s">
        <v>1018</v>
      </c>
      <c r="C370" s="91" t="s">
        <v>295</v>
      </c>
      <c r="D370" s="91" t="s">
        <v>588</v>
      </c>
      <c r="E370" s="92" t="s">
        <v>292</v>
      </c>
      <c r="F370" s="97" t="s">
        <v>213</v>
      </c>
      <c r="G370" s="97"/>
      <c r="H370" s="92" t="s">
        <v>265</v>
      </c>
      <c r="I370" s="98">
        <v>7510</v>
      </c>
      <c r="J370" s="98"/>
      <c r="K370" s="95" t="s">
        <v>214</v>
      </c>
      <c r="L370" s="96">
        <v>4142530.1</v>
      </c>
    </row>
    <row r="371" spans="1:12" ht="51" x14ac:dyDescent="0.3">
      <c r="A371" s="90" t="s">
        <v>230</v>
      </c>
      <c r="B371" s="91" t="s">
        <v>1019</v>
      </c>
      <c r="C371" s="91" t="s">
        <v>291</v>
      </c>
      <c r="D371" s="91" t="s">
        <v>830</v>
      </c>
      <c r="E371" s="92" t="s">
        <v>292</v>
      </c>
      <c r="F371" s="97" t="s">
        <v>213</v>
      </c>
      <c r="G371" s="97"/>
      <c r="H371" s="92" t="s">
        <v>265</v>
      </c>
      <c r="I371" s="98">
        <v>37550</v>
      </c>
      <c r="J371" s="98"/>
      <c r="K371" s="95" t="s">
        <v>214</v>
      </c>
      <c r="L371" s="96">
        <v>4104980.1</v>
      </c>
    </row>
    <row r="372" spans="1:12" ht="51" x14ac:dyDescent="0.3">
      <c r="A372" s="90" t="s">
        <v>230</v>
      </c>
      <c r="B372" s="91" t="s">
        <v>1019</v>
      </c>
      <c r="C372" s="91" t="s">
        <v>291</v>
      </c>
      <c r="D372" s="91" t="s">
        <v>831</v>
      </c>
      <c r="E372" s="92" t="s">
        <v>292</v>
      </c>
      <c r="F372" s="97" t="s">
        <v>213</v>
      </c>
      <c r="G372" s="97"/>
      <c r="H372" s="92" t="s">
        <v>265</v>
      </c>
      <c r="I372" s="98">
        <v>30040</v>
      </c>
      <c r="J372" s="98"/>
      <c r="K372" s="95" t="s">
        <v>214</v>
      </c>
      <c r="L372" s="96">
        <v>4074940.1</v>
      </c>
    </row>
    <row r="373" spans="1:12" ht="51" x14ac:dyDescent="0.3">
      <c r="A373" s="90" t="s">
        <v>230</v>
      </c>
      <c r="B373" s="91" t="s">
        <v>1019</v>
      </c>
      <c r="C373" s="91" t="s">
        <v>291</v>
      </c>
      <c r="D373" s="91" t="s">
        <v>831</v>
      </c>
      <c r="E373" s="92" t="s">
        <v>292</v>
      </c>
      <c r="F373" s="97" t="s">
        <v>213</v>
      </c>
      <c r="G373" s="97"/>
      <c r="H373" s="92" t="s">
        <v>265</v>
      </c>
      <c r="I373" s="98">
        <v>7510</v>
      </c>
      <c r="J373" s="98"/>
      <c r="K373" s="95" t="s">
        <v>214</v>
      </c>
      <c r="L373" s="96">
        <v>4067430.1</v>
      </c>
    </row>
    <row r="374" spans="1:12" ht="51" x14ac:dyDescent="0.3">
      <c r="A374" s="90" t="s">
        <v>230</v>
      </c>
      <c r="B374" s="91" t="s">
        <v>1019</v>
      </c>
      <c r="C374" s="91" t="s">
        <v>291</v>
      </c>
      <c r="D374" s="91" t="s">
        <v>832</v>
      </c>
      <c r="E374" s="92" t="s">
        <v>292</v>
      </c>
      <c r="F374" s="97" t="s">
        <v>213</v>
      </c>
      <c r="G374" s="97"/>
      <c r="H374" s="92" t="s">
        <v>265</v>
      </c>
      <c r="I374" s="98">
        <v>37550</v>
      </c>
      <c r="J374" s="98"/>
      <c r="K374" s="95" t="s">
        <v>214</v>
      </c>
      <c r="L374" s="96">
        <v>4029880.1</v>
      </c>
    </row>
    <row r="375" spans="1:12" ht="51" x14ac:dyDescent="0.3">
      <c r="A375" s="90" t="s">
        <v>230</v>
      </c>
      <c r="B375" s="91" t="s">
        <v>1019</v>
      </c>
      <c r="C375" s="91" t="s">
        <v>291</v>
      </c>
      <c r="D375" s="91" t="s">
        <v>833</v>
      </c>
      <c r="E375" s="92" t="s">
        <v>292</v>
      </c>
      <c r="F375" s="97" t="s">
        <v>213</v>
      </c>
      <c r="G375" s="97"/>
      <c r="H375" s="92" t="s">
        <v>265</v>
      </c>
      <c r="I375" s="98">
        <v>37550</v>
      </c>
      <c r="J375" s="98"/>
      <c r="K375" s="95" t="s">
        <v>214</v>
      </c>
      <c r="L375" s="96">
        <v>3992330.1</v>
      </c>
    </row>
    <row r="376" spans="1:12" ht="51" x14ac:dyDescent="0.3">
      <c r="A376" s="90" t="s">
        <v>230</v>
      </c>
      <c r="B376" s="91" t="s">
        <v>1019</v>
      </c>
      <c r="C376" s="91" t="s">
        <v>291</v>
      </c>
      <c r="D376" s="91" t="s">
        <v>834</v>
      </c>
      <c r="E376" s="92" t="s">
        <v>292</v>
      </c>
      <c r="F376" s="97" t="s">
        <v>213</v>
      </c>
      <c r="G376" s="97"/>
      <c r="H376" s="92" t="s">
        <v>265</v>
      </c>
      <c r="I376" s="98">
        <v>37550</v>
      </c>
      <c r="J376" s="98"/>
      <c r="K376" s="95" t="s">
        <v>214</v>
      </c>
      <c r="L376" s="96">
        <v>3954780.1</v>
      </c>
    </row>
    <row r="377" spans="1:12" ht="51" x14ac:dyDescent="0.3">
      <c r="A377" s="90" t="s">
        <v>230</v>
      </c>
      <c r="B377" s="91" t="s">
        <v>1019</v>
      </c>
      <c r="C377" s="91" t="s">
        <v>291</v>
      </c>
      <c r="D377" s="91" t="s">
        <v>834</v>
      </c>
      <c r="E377" s="92" t="s">
        <v>292</v>
      </c>
      <c r="F377" s="97" t="s">
        <v>213</v>
      </c>
      <c r="G377" s="97"/>
      <c r="H377" s="92" t="s">
        <v>265</v>
      </c>
      <c r="I377" s="98">
        <v>37550</v>
      </c>
      <c r="J377" s="98"/>
      <c r="K377" s="95" t="s">
        <v>214</v>
      </c>
      <c r="L377" s="96">
        <v>3917230.1</v>
      </c>
    </row>
    <row r="378" spans="1:12" ht="51" x14ac:dyDescent="0.3">
      <c r="A378" s="90" t="s">
        <v>230</v>
      </c>
      <c r="B378" s="91" t="s">
        <v>1019</v>
      </c>
      <c r="C378" s="91" t="s">
        <v>291</v>
      </c>
      <c r="D378" s="91" t="s">
        <v>835</v>
      </c>
      <c r="E378" s="92" t="s">
        <v>292</v>
      </c>
      <c r="F378" s="97" t="s">
        <v>213</v>
      </c>
      <c r="G378" s="97"/>
      <c r="H378" s="92" t="s">
        <v>265</v>
      </c>
      <c r="I378" s="98">
        <v>37550</v>
      </c>
      <c r="J378" s="98"/>
      <c r="K378" s="95" t="s">
        <v>214</v>
      </c>
      <c r="L378" s="96">
        <v>3879680.1</v>
      </c>
    </row>
    <row r="379" spans="1:12" ht="51" x14ac:dyDescent="0.3">
      <c r="A379" s="90" t="s">
        <v>230</v>
      </c>
      <c r="B379" s="91" t="s">
        <v>1019</v>
      </c>
      <c r="C379" s="91" t="s">
        <v>291</v>
      </c>
      <c r="D379" s="91" t="s">
        <v>581</v>
      </c>
      <c r="E379" s="92" t="s">
        <v>292</v>
      </c>
      <c r="F379" s="97" t="s">
        <v>213</v>
      </c>
      <c r="G379" s="97"/>
      <c r="H379" s="92" t="s">
        <v>265</v>
      </c>
      <c r="I379" s="98">
        <v>18135</v>
      </c>
      <c r="J379" s="98"/>
      <c r="K379" s="95" t="s">
        <v>214</v>
      </c>
      <c r="L379" s="96">
        <v>3861545.1</v>
      </c>
    </row>
    <row r="380" spans="1:12" ht="51" x14ac:dyDescent="0.3">
      <c r="A380" s="90" t="s">
        <v>230</v>
      </c>
      <c r="B380" s="91" t="s">
        <v>1019</v>
      </c>
      <c r="C380" s="91" t="s">
        <v>291</v>
      </c>
      <c r="D380" s="91" t="s">
        <v>582</v>
      </c>
      <c r="E380" s="92" t="s">
        <v>292</v>
      </c>
      <c r="F380" s="97" t="s">
        <v>213</v>
      </c>
      <c r="G380" s="97"/>
      <c r="H380" s="92" t="s">
        <v>265</v>
      </c>
      <c r="I380" s="98">
        <v>27202.5</v>
      </c>
      <c r="J380" s="98"/>
      <c r="K380" s="95" t="s">
        <v>214</v>
      </c>
      <c r="L380" s="96">
        <v>3834342.6</v>
      </c>
    </row>
    <row r="381" spans="1:12" ht="51" x14ac:dyDescent="0.3">
      <c r="A381" s="90" t="s">
        <v>230</v>
      </c>
      <c r="B381" s="91" t="s">
        <v>1019</v>
      </c>
      <c r="C381" s="91" t="s">
        <v>291</v>
      </c>
      <c r="D381" s="91" t="s">
        <v>836</v>
      </c>
      <c r="E381" s="92" t="s">
        <v>292</v>
      </c>
      <c r="F381" s="97" t="s">
        <v>213</v>
      </c>
      <c r="G381" s="97"/>
      <c r="H381" s="92" t="s">
        <v>265</v>
      </c>
      <c r="I381" s="98">
        <v>27202.5</v>
      </c>
      <c r="J381" s="98"/>
      <c r="K381" s="95" t="s">
        <v>214</v>
      </c>
      <c r="L381" s="96">
        <v>3807140.1</v>
      </c>
    </row>
    <row r="382" spans="1:12" ht="51" x14ac:dyDescent="0.3">
      <c r="A382" s="90" t="s">
        <v>230</v>
      </c>
      <c r="B382" s="91" t="s">
        <v>1019</v>
      </c>
      <c r="C382" s="91" t="s">
        <v>291</v>
      </c>
      <c r="D382" s="91" t="s">
        <v>836</v>
      </c>
      <c r="E382" s="92" t="s">
        <v>292</v>
      </c>
      <c r="F382" s="97" t="s">
        <v>213</v>
      </c>
      <c r="G382" s="97"/>
      <c r="H382" s="92" t="s">
        <v>265</v>
      </c>
      <c r="I382" s="98">
        <v>45337.5</v>
      </c>
      <c r="J382" s="98"/>
      <c r="K382" s="95" t="s">
        <v>214</v>
      </c>
      <c r="L382" s="96">
        <v>3761802.6</v>
      </c>
    </row>
    <row r="383" spans="1:12" ht="51" x14ac:dyDescent="0.3">
      <c r="A383" s="90" t="s">
        <v>230</v>
      </c>
      <c r="B383" s="91" t="s">
        <v>1019</v>
      </c>
      <c r="C383" s="91" t="s">
        <v>291</v>
      </c>
      <c r="D383" s="91" t="s">
        <v>837</v>
      </c>
      <c r="E383" s="92" t="s">
        <v>292</v>
      </c>
      <c r="F383" s="97" t="s">
        <v>213</v>
      </c>
      <c r="G383" s="97"/>
      <c r="H383" s="92" t="s">
        <v>265</v>
      </c>
      <c r="I383" s="98">
        <v>27202.5</v>
      </c>
      <c r="J383" s="98"/>
      <c r="K383" s="95" t="s">
        <v>214</v>
      </c>
      <c r="L383" s="96">
        <v>3734600.1</v>
      </c>
    </row>
    <row r="384" spans="1:12" ht="51" x14ac:dyDescent="0.3">
      <c r="A384" s="90" t="s">
        <v>230</v>
      </c>
      <c r="B384" s="91" t="s">
        <v>1019</v>
      </c>
      <c r="C384" s="91" t="s">
        <v>291</v>
      </c>
      <c r="D384" s="91" t="s">
        <v>508</v>
      </c>
      <c r="E384" s="92" t="s">
        <v>292</v>
      </c>
      <c r="F384" s="97" t="s">
        <v>213</v>
      </c>
      <c r="G384" s="97"/>
      <c r="H384" s="92" t="s">
        <v>265</v>
      </c>
      <c r="I384" s="98">
        <v>41545.75</v>
      </c>
      <c r="J384" s="98"/>
      <c r="K384" s="95" t="s">
        <v>214</v>
      </c>
      <c r="L384" s="96">
        <v>3693054.35</v>
      </c>
    </row>
    <row r="385" spans="1:12" ht="51" x14ac:dyDescent="0.3">
      <c r="A385" s="90" t="s">
        <v>230</v>
      </c>
      <c r="B385" s="91" t="s">
        <v>1019</v>
      </c>
      <c r="C385" s="91" t="s">
        <v>291</v>
      </c>
      <c r="D385" s="91" t="s">
        <v>508</v>
      </c>
      <c r="E385" s="92" t="s">
        <v>292</v>
      </c>
      <c r="F385" s="97" t="s">
        <v>213</v>
      </c>
      <c r="G385" s="97"/>
      <c r="H385" s="92" t="s">
        <v>265</v>
      </c>
      <c r="I385" s="98">
        <v>16618.3</v>
      </c>
      <c r="J385" s="98"/>
      <c r="K385" s="95" t="s">
        <v>214</v>
      </c>
      <c r="L385" s="96">
        <v>3676436.05</v>
      </c>
    </row>
    <row r="386" spans="1:12" ht="51" x14ac:dyDescent="0.3">
      <c r="A386" s="90" t="s">
        <v>230</v>
      </c>
      <c r="B386" s="91" t="s">
        <v>1019</v>
      </c>
      <c r="C386" s="91" t="s">
        <v>291</v>
      </c>
      <c r="D386" s="91" t="s">
        <v>509</v>
      </c>
      <c r="E386" s="92" t="s">
        <v>292</v>
      </c>
      <c r="F386" s="97" t="s">
        <v>213</v>
      </c>
      <c r="G386" s="97"/>
      <c r="H386" s="92" t="s">
        <v>265</v>
      </c>
      <c r="I386" s="98">
        <v>24927.45</v>
      </c>
      <c r="J386" s="98"/>
      <c r="K386" s="95" t="s">
        <v>214</v>
      </c>
      <c r="L386" s="96">
        <v>3651508.6</v>
      </c>
    </row>
    <row r="387" spans="1:12" ht="51" x14ac:dyDescent="0.3">
      <c r="A387" s="90" t="s">
        <v>230</v>
      </c>
      <c r="B387" s="91" t="s">
        <v>1019</v>
      </c>
      <c r="C387" s="91" t="s">
        <v>291</v>
      </c>
      <c r="D387" s="91" t="s">
        <v>509</v>
      </c>
      <c r="E387" s="92" t="s">
        <v>292</v>
      </c>
      <c r="F387" s="97" t="s">
        <v>213</v>
      </c>
      <c r="G387" s="97"/>
      <c r="H387" s="92" t="s">
        <v>265</v>
      </c>
      <c r="I387" s="98">
        <v>41545.75</v>
      </c>
      <c r="J387" s="98"/>
      <c r="K387" s="95" t="s">
        <v>214</v>
      </c>
      <c r="L387" s="96">
        <v>3609962.85</v>
      </c>
    </row>
    <row r="388" spans="1:12" ht="51" x14ac:dyDescent="0.3">
      <c r="A388" s="90" t="s">
        <v>230</v>
      </c>
      <c r="B388" s="91" t="s">
        <v>1019</v>
      </c>
      <c r="C388" s="91" t="s">
        <v>291</v>
      </c>
      <c r="D388" s="91" t="s">
        <v>509</v>
      </c>
      <c r="E388" s="92" t="s">
        <v>292</v>
      </c>
      <c r="F388" s="97" t="s">
        <v>213</v>
      </c>
      <c r="G388" s="97"/>
      <c r="H388" s="92" t="s">
        <v>265</v>
      </c>
      <c r="I388" s="98">
        <v>8309.15</v>
      </c>
      <c r="J388" s="98"/>
      <c r="K388" s="95" t="s">
        <v>214</v>
      </c>
      <c r="L388" s="96">
        <v>3601653.7</v>
      </c>
    </row>
    <row r="389" spans="1:12" ht="51" x14ac:dyDescent="0.3">
      <c r="A389" s="90" t="s">
        <v>230</v>
      </c>
      <c r="B389" s="91" t="s">
        <v>1019</v>
      </c>
      <c r="C389" s="91" t="s">
        <v>291</v>
      </c>
      <c r="D389" s="91" t="s">
        <v>510</v>
      </c>
      <c r="E389" s="92" t="s">
        <v>292</v>
      </c>
      <c r="F389" s="97" t="s">
        <v>213</v>
      </c>
      <c r="G389" s="97"/>
      <c r="H389" s="92" t="s">
        <v>265</v>
      </c>
      <c r="I389" s="98">
        <v>16618.3</v>
      </c>
      <c r="J389" s="98"/>
      <c r="K389" s="95" t="s">
        <v>214</v>
      </c>
      <c r="L389" s="96">
        <v>3585035.4</v>
      </c>
    </row>
    <row r="390" spans="1:12" ht="51" x14ac:dyDescent="0.3">
      <c r="A390" s="90" t="s">
        <v>230</v>
      </c>
      <c r="B390" s="91" t="s">
        <v>1019</v>
      </c>
      <c r="C390" s="91" t="s">
        <v>291</v>
      </c>
      <c r="D390" s="91" t="s">
        <v>557</v>
      </c>
      <c r="E390" s="92" t="s">
        <v>292</v>
      </c>
      <c r="F390" s="97" t="s">
        <v>213</v>
      </c>
      <c r="G390" s="97"/>
      <c r="H390" s="92" t="s">
        <v>265</v>
      </c>
      <c r="I390" s="98">
        <v>16618.3</v>
      </c>
      <c r="J390" s="98"/>
      <c r="K390" s="95" t="s">
        <v>214</v>
      </c>
      <c r="L390" s="96">
        <v>3568417.1</v>
      </c>
    </row>
    <row r="391" spans="1:12" ht="51" x14ac:dyDescent="0.3">
      <c r="A391" s="90" t="s">
        <v>230</v>
      </c>
      <c r="B391" s="91" t="s">
        <v>1019</v>
      </c>
      <c r="C391" s="91" t="s">
        <v>291</v>
      </c>
      <c r="D391" s="91" t="s">
        <v>557</v>
      </c>
      <c r="E391" s="92" t="s">
        <v>292</v>
      </c>
      <c r="F391" s="97" t="s">
        <v>213</v>
      </c>
      <c r="G391" s="97"/>
      <c r="H391" s="92" t="s">
        <v>265</v>
      </c>
      <c r="I391" s="98">
        <v>33236.6</v>
      </c>
      <c r="J391" s="98"/>
      <c r="K391" s="95" t="s">
        <v>214</v>
      </c>
      <c r="L391" s="96">
        <v>3535180.5</v>
      </c>
    </row>
    <row r="392" spans="1:12" ht="51" x14ac:dyDescent="0.3">
      <c r="A392" s="90" t="s">
        <v>230</v>
      </c>
      <c r="B392" s="91" t="s">
        <v>1019</v>
      </c>
      <c r="C392" s="91" t="s">
        <v>291</v>
      </c>
      <c r="D392" s="91" t="s">
        <v>557</v>
      </c>
      <c r="E392" s="92" t="s">
        <v>292</v>
      </c>
      <c r="F392" s="97" t="s">
        <v>213</v>
      </c>
      <c r="G392" s="97"/>
      <c r="H392" s="92" t="s">
        <v>265</v>
      </c>
      <c r="I392" s="98">
        <v>24927.45</v>
      </c>
      <c r="J392" s="98"/>
      <c r="K392" s="95" t="s">
        <v>214</v>
      </c>
      <c r="L392" s="96">
        <v>3510253.05</v>
      </c>
    </row>
    <row r="393" spans="1:12" ht="51" x14ac:dyDescent="0.3">
      <c r="A393" s="90" t="s">
        <v>230</v>
      </c>
      <c r="B393" s="91" t="s">
        <v>1019</v>
      </c>
      <c r="C393" s="91" t="s">
        <v>291</v>
      </c>
      <c r="D393" s="91" t="s">
        <v>558</v>
      </c>
      <c r="E393" s="92" t="s">
        <v>292</v>
      </c>
      <c r="F393" s="97" t="s">
        <v>213</v>
      </c>
      <c r="G393" s="97"/>
      <c r="H393" s="92" t="s">
        <v>265</v>
      </c>
      <c r="I393" s="98">
        <v>16618.3</v>
      </c>
      <c r="J393" s="98"/>
      <c r="K393" s="95" t="s">
        <v>214</v>
      </c>
      <c r="L393" s="96">
        <v>3493634.75</v>
      </c>
    </row>
    <row r="394" spans="1:12" ht="51" x14ac:dyDescent="0.3">
      <c r="A394" s="90" t="s">
        <v>230</v>
      </c>
      <c r="B394" s="91" t="s">
        <v>1019</v>
      </c>
      <c r="C394" s="91" t="s">
        <v>291</v>
      </c>
      <c r="D394" s="91" t="s">
        <v>558</v>
      </c>
      <c r="E394" s="92" t="s">
        <v>292</v>
      </c>
      <c r="F394" s="97" t="s">
        <v>213</v>
      </c>
      <c r="G394" s="97"/>
      <c r="H394" s="92" t="s">
        <v>265</v>
      </c>
      <c r="I394" s="98">
        <v>33236.6</v>
      </c>
      <c r="J394" s="98"/>
      <c r="K394" s="95" t="s">
        <v>214</v>
      </c>
      <c r="L394" s="96">
        <v>3460398.15</v>
      </c>
    </row>
    <row r="395" spans="1:12" ht="51" x14ac:dyDescent="0.3">
      <c r="A395" s="90" t="s">
        <v>230</v>
      </c>
      <c r="B395" s="91" t="s">
        <v>1019</v>
      </c>
      <c r="C395" s="91" t="s">
        <v>291</v>
      </c>
      <c r="D395" s="91" t="s">
        <v>558</v>
      </c>
      <c r="E395" s="92" t="s">
        <v>292</v>
      </c>
      <c r="F395" s="97" t="s">
        <v>213</v>
      </c>
      <c r="G395" s="97"/>
      <c r="H395" s="92" t="s">
        <v>265</v>
      </c>
      <c r="I395" s="98">
        <v>24927.45</v>
      </c>
      <c r="J395" s="98"/>
      <c r="K395" s="95" t="s">
        <v>214</v>
      </c>
      <c r="L395" s="96">
        <v>3435470.7</v>
      </c>
    </row>
    <row r="396" spans="1:12" ht="51" x14ac:dyDescent="0.3">
      <c r="A396" s="90" t="s">
        <v>230</v>
      </c>
      <c r="B396" s="91" t="s">
        <v>1019</v>
      </c>
      <c r="C396" s="91" t="s">
        <v>291</v>
      </c>
      <c r="D396" s="91" t="s">
        <v>559</v>
      </c>
      <c r="E396" s="92" t="s">
        <v>292</v>
      </c>
      <c r="F396" s="97" t="s">
        <v>213</v>
      </c>
      <c r="G396" s="97"/>
      <c r="H396" s="92" t="s">
        <v>265</v>
      </c>
      <c r="I396" s="98">
        <v>16618.3</v>
      </c>
      <c r="J396" s="98"/>
      <c r="K396" s="95" t="s">
        <v>214</v>
      </c>
      <c r="L396" s="96">
        <v>3418852.4</v>
      </c>
    </row>
    <row r="397" spans="1:12" ht="51" x14ac:dyDescent="0.3">
      <c r="A397" s="90" t="s">
        <v>230</v>
      </c>
      <c r="B397" s="91" t="s">
        <v>1019</v>
      </c>
      <c r="C397" s="91" t="s">
        <v>291</v>
      </c>
      <c r="D397" s="91" t="s">
        <v>559</v>
      </c>
      <c r="E397" s="92" t="s">
        <v>292</v>
      </c>
      <c r="F397" s="97" t="s">
        <v>213</v>
      </c>
      <c r="G397" s="97"/>
      <c r="H397" s="92" t="s">
        <v>265</v>
      </c>
      <c r="I397" s="98">
        <v>33236.6</v>
      </c>
      <c r="J397" s="98"/>
      <c r="K397" s="95" t="s">
        <v>214</v>
      </c>
      <c r="L397" s="96">
        <v>3385615.8</v>
      </c>
    </row>
    <row r="398" spans="1:12" ht="51" x14ac:dyDescent="0.3">
      <c r="A398" s="90" t="s">
        <v>230</v>
      </c>
      <c r="B398" s="91" t="s">
        <v>1019</v>
      </c>
      <c r="C398" s="91" t="s">
        <v>291</v>
      </c>
      <c r="D398" s="91" t="s">
        <v>559</v>
      </c>
      <c r="E398" s="92" t="s">
        <v>292</v>
      </c>
      <c r="F398" s="97" t="s">
        <v>213</v>
      </c>
      <c r="G398" s="97"/>
      <c r="H398" s="92" t="s">
        <v>265</v>
      </c>
      <c r="I398" s="98">
        <v>24927.45</v>
      </c>
      <c r="J398" s="98"/>
      <c r="K398" s="95" t="s">
        <v>214</v>
      </c>
      <c r="L398" s="96">
        <v>3360688.35</v>
      </c>
    </row>
    <row r="399" spans="1:12" ht="51" x14ac:dyDescent="0.3">
      <c r="A399" s="90" t="s">
        <v>230</v>
      </c>
      <c r="B399" s="91" t="s">
        <v>1019</v>
      </c>
      <c r="C399" s="91" t="s">
        <v>291</v>
      </c>
      <c r="D399" s="91" t="s">
        <v>560</v>
      </c>
      <c r="E399" s="92" t="s">
        <v>292</v>
      </c>
      <c r="F399" s="97" t="s">
        <v>213</v>
      </c>
      <c r="G399" s="97"/>
      <c r="H399" s="92" t="s">
        <v>265</v>
      </c>
      <c r="I399" s="98">
        <v>16618.3</v>
      </c>
      <c r="J399" s="98"/>
      <c r="K399" s="95" t="s">
        <v>214</v>
      </c>
      <c r="L399" s="96">
        <v>3344070.05</v>
      </c>
    </row>
    <row r="400" spans="1:12" ht="51" x14ac:dyDescent="0.3">
      <c r="A400" s="90" t="s">
        <v>230</v>
      </c>
      <c r="B400" s="91" t="s">
        <v>1019</v>
      </c>
      <c r="C400" s="91" t="s">
        <v>291</v>
      </c>
      <c r="D400" s="91" t="s">
        <v>560</v>
      </c>
      <c r="E400" s="92" t="s">
        <v>292</v>
      </c>
      <c r="F400" s="97" t="s">
        <v>213</v>
      </c>
      <c r="G400" s="97"/>
      <c r="H400" s="92" t="s">
        <v>265</v>
      </c>
      <c r="I400" s="98">
        <v>33236.6</v>
      </c>
      <c r="J400" s="98"/>
      <c r="K400" s="95" t="s">
        <v>214</v>
      </c>
      <c r="L400" s="96">
        <v>3310833.45</v>
      </c>
    </row>
    <row r="401" spans="1:12" ht="51" x14ac:dyDescent="0.3">
      <c r="A401" s="90" t="s">
        <v>230</v>
      </c>
      <c r="B401" s="91" t="s">
        <v>1019</v>
      </c>
      <c r="C401" s="91" t="s">
        <v>291</v>
      </c>
      <c r="D401" s="91" t="s">
        <v>560</v>
      </c>
      <c r="E401" s="92" t="s">
        <v>292</v>
      </c>
      <c r="F401" s="97" t="s">
        <v>213</v>
      </c>
      <c r="G401" s="97"/>
      <c r="H401" s="92" t="s">
        <v>265</v>
      </c>
      <c r="I401" s="98">
        <v>24927.45</v>
      </c>
      <c r="J401" s="98"/>
      <c r="K401" s="95" t="s">
        <v>214</v>
      </c>
      <c r="L401" s="96">
        <v>3285906</v>
      </c>
    </row>
    <row r="402" spans="1:12" ht="51" x14ac:dyDescent="0.3">
      <c r="A402" s="90" t="s">
        <v>230</v>
      </c>
      <c r="B402" s="91" t="s">
        <v>1019</v>
      </c>
      <c r="C402" s="91" t="s">
        <v>291</v>
      </c>
      <c r="D402" s="91" t="s">
        <v>561</v>
      </c>
      <c r="E402" s="92" t="s">
        <v>292</v>
      </c>
      <c r="F402" s="97" t="s">
        <v>213</v>
      </c>
      <c r="G402" s="97"/>
      <c r="H402" s="92" t="s">
        <v>265</v>
      </c>
      <c r="I402" s="98">
        <v>16618.3</v>
      </c>
      <c r="J402" s="98"/>
      <c r="K402" s="95" t="s">
        <v>214</v>
      </c>
      <c r="L402" s="96">
        <v>3269287.7</v>
      </c>
    </row>
    <row r="403" spans="1:12" ht="51" x14ac:dyDescent="0.3">
      <c r="A403" s="90" t="s">
        <v>230</v>
      </c>
      <c r="B403" s="91" t="s">
        <v>1019</v>
      </c>
      <c r="C403" s="91" t="s">
        <v>291</v>
      </c>
      <c r="D403" s="91" t="s">
        <v>561</v>
      </c>
      <c r="E403" s="92" t="s">
        <v>292</v>
      </c>
      <c r="F403" s="97" t="s">
        <v>213</v>
      </c>
      <c r="G403" s="97"/>
      <c r="H403" s="92" t="s">
        <v>265</v>
      </c>
      <c r="I403" s="98">
        <v>33236.6</v>
      </c>
      <c r="J403" s="98"/>
      <c r="K403" s="95" t="s">
        <v>214</v>
      </c>
      <c r="L403" s="96">
        <v>3236051.1</v>
      </c>
    </row>
    <row r="404" spans="1:12" ht="51" x14ac:dyDescent="0.3">
      <c r="A404" s="90" t="s">
        <v>230</v>
      </c>
      <c r="B404" s="91" t="s">
        <v>1019</v>
      </c>
      <c r="C404" s="91" t="s">
        <v>291</v>
      </c>
      <c r="D404" s="91" t="s">
        <v>561</v>
      </c>
      <c r="E404" s="92" t="s">
        <v>292</v>
      </c>
      <c r="F404" s="97" t="s">
        <v>213</v>
      </c>
      <c r="G404" s="97"/>
      <c r="H404" s="92" t="s">
        <v>265</v>
      </c>
      <c r="I404" s="98">
        <v>24927.45</v>
      </c>
      <c r="J404" s="98"/>
      <c r="K404" s="95" t="s">
        <v>214</v>
      </c>
      <c r="L404" s="96">
        <v>3211123.65</v>
      </c>
    </row>
    <row r="405" spans="1:12" ht="51" x14ac:dyDescent="0.3">
      <c r="A405" s="90" t="s">
        <v>230</v>
      </c>
      <c r="B405" s="91" t="s">
        <v>1019</v>
      </c>
      <c r="C405" s="91" t="s">
        <v>291</v>
      </c>
      <c r="D405" s="91" t="s">
        <v>562</v>
      </c>
      <c r="E405" s="92" t="s">
        <v>292</v>
      </c>
      <c r="F405" s="97" t="s">
        <v>213</v>
      </c>
      <c r="G405" s="97"/>
      <c r="H405" s="92" t="s">
        <v>265</v>
      </c>
      <c r="I405" s="98">
        <v>8309.15</v>
      </c>
      <c r="J405" s="98"/>
      <c r="K405" s="95" t="s">
        <v>214</v>
      </c>
      <c r="L405" s="96">
        <v>3202814.5</v>
      </c>
    </row>
    <row r="406" spans="1:12" ht="51" x14ac:dyDescent="0.3">
      <c r="A406" s="90" t="s">
        <v>230</v>
      </c>
      <c r="B406" s="91" t="s">
        <v>1019</v>
      </c>
      <c r="C406" s="91" t="s">
        <v>291</v>
      </c>
      <c r="D406" s="91" t="s">
        <v>562</v>
      </c>
      <c r="E406" s="92" t="s">
        <v>292</v>
      </c>
      <c r="F406" s="97" t="s">
        <v>213</v>
      </c>
      <c r="G406" s="97"/>
      <c r="H406" s="92" t="s">
        <v>265</v>
      </c>
      <c r="I406" s="98">
        <v>41545.75</v>
      </c>
      <c r="J406" s="98"/>
      <c r="K406" s="95" t="s">
        <v>214</v>
      </c>
      <c r="L406" s="96">
        <v>3161268.75</v>
      </c>
    </row>
    <row r="407" spans="1:12" ht="51" x14ac:dyDescent="0.3">
      <c r="A407" s="90" t="s">
        <v>230</v>
      </c>
      <c r="B407" s="91" t="s">
        <v>1019</v>
      </c>
      <c r="C407" s="91" t="s">
        <v>291</v>
      </c>
      <c r="D407" s="91" t="s">
        <v>562</v>
      </c>
      <c r="E407" s="92" t="s">
        <v>292</v>
      </c>
      <c r="F407" s="97" t="s">
        <v>213</v>
      </c>
      <c r="G407" s="97"/>
      <c r="H407" s="92" t="s">
        <v>265</v>
      </c>
      <c r="I407" s="98">
        <v>24927.45</v>
      </c>
      <c r="J407" s="98"/>
      <c r="K407" s="95" t="s">
        <v>214</v>
      </c>
      <c r="L407" s="96">
        <v>3136341.3</v>
      </c>
    </row>
    <row r="408" spans="1:12" ht="51" x14ac:dyDescent="0.3">
      <c r="A408" s="90" t="s">
        <v>230</v>
      </c>
      <c r="B408" s="91" t="s">
        <v>1019</v>
      </c>
      <c r="C408" s="91" t="s">
        <v>291</v>
      </c>
      <c r="D408" s="91" t="s">
        <v>563</v>
      </c>
      <c r="E408" s="92" t="s">
        <v>292</v>
      </c>
      <c r="F408" s="97" t="s">
        <v>213</v>
      </c>
      <c r="G408" s="97"/>
      <c r="H408" s="92" t="s">
        <v>265</v>
      </c>
      <c r="I408" s="98">
        <v>16618.3</v>
      </c>
      <c r="J408" s="98"/>
      <c r="K408" s="95" t="s">
        <v>214</v>
      </c>
      <c r="L408" s="96">
        <v>3119723</v>
      </c>
    </row>
    <row r="409" spans="1:12" ht="51" x14ac:dyDescent="0.3">
      <c r="A409" s="90" t="s">
        <v>230</v>
      </c>
      <c r="B409" s="91" t="s">
        <v>1019</v>
      </c>
      <c r="C409" s="91" t="s">
        <v>291</v>
      </c>
      <c r="D409" s="91" t="s">
        <v>563</v>
      </c>
      <c r="E409" s="92" t="s">
        <v>292</v>
      </c>
      <c r="F409" s="97" t="s">
        <v>213</v>
      </c>
      <c r="G409" s="97"/>
      <c r="H409" s="92" t="s">
        <v>265</v>
      </c>
      <c r="I409" s="98">
        <v>33236.6</v>
      </c>
      <c r="J409" s="98"/>
      <c r="K409" s="95" t="s">
        <v>214</v>
      </c>
      <c r="L409" s="96">
        <v>3086486.4</v>
      </c>
    </row>
    <row r="410" spans="1:12" ht="51" x14ac:dyDescent="0.3">
      <c r="A410" s="90" t="s">
        <v>230</v>
      </c>
      <c r="B410" s="91" t="s">
        <v>1019</v>
      </c>
      <c r="C410" s="91" t="s">
        <v>291</v>
      </c>
      <c r="D410" s="91" t="s">
        <v>563</v>
      </c>
      <c r="E410" s="92" t="s">
        <v>292</v>
      </c>
      <c r="F410" s="97" t="s">
        <v>213</v>
      </c>
      <c r="G410" s="97"/>
      <c r="H410" s="92" t="s">
        <v>265</v>
      </c>
      <c r="I410" s="98">
        <v>24927.45</v>
      </c>
      <c r="J410" s="98"/>
      <c r="K410" s="95" t="s">
        <v>214</v>
      </c>
      <c r="L410" s="96">
        <v>3061558.95</v>
      </c>
    </row>
    <row r="411" spans="1:12" ht="51" x14ac:dyDescent="0.3">
      <c r="A411" s="90" t="s">
        <v>230</v>
      </c>
      <c r="B411" s="91" t="s">
        <v>1019</v>
      </c>
      <c r="C411" s="91" t="s">
        <v>291</v>
      </c>
      <c r="D411" s="91" t="s">
        <v>564</v>
      </c>
      <c r="E411" s="92" t="s">
        <v>292</v>
      </c>
      <c r="F411" s="97" t="s">
        <v>213</v>
      </c>
      <c r="G411" s="97"/>
      <c r="H411" s="92" t="s">
        <v>265</v>
      </c>
      <c r="I411" s="98">
        <v>16618.3</v>
      </c>
      <c r="J411" s="98"/>
      <c r="K411" s="95" t="s">
        <v>214</v>
      </c>
      <c r="L411" s="96">
        <v>3044940.65</v>
      </c>
    </row>
    <row r="412" spans="1:12" ht="51" x14ac:dyDescent="0.3">
      <c r="A412" s="90" t="s">
        <v>230</v>
      </c>
      <c r="B412" s="91" t="s">
        <v>1019</v>
      </c>
      <c r="C412" s="91" t="s">
        <v>291</v>
      </c>
      <c r="D412" s="91" t="s">
        <v>564</v>
      </c>
      <c r="E412" s="92" t="s">
        <v>292</v>
      </c>
      <c r="F412" s="97" t="s">
        <v>213</v>
      </c>
      <c r="G412" s="97"/>
      <c r="H412" s="92" t="s">
        <v>265</v>
      </c>
      <c r="I412" s="98">
        <v>16618.3</v>
      </c>
      <c r="J412" s="98"/>
      <c r="K412" s="95" t="s">
        <v>214</v>
      </c>
      <c r="L412" s="96">
        <v>3028322.35</v>
      </c>
    </row>
    <row r="413" spans="1:12" ht="51" x14ac:dyDescent="0.3">
      <c r="A413" s="90" t="s">
        <v>230</v>
      </c>
      <c r="B413" s="91" t="s">
        <v>1019</v>
      </c>
      <c r="C413" s="91" t="s">
        <v>291</v>
      </c>
      <c r="D413" s="91" t="s">
        <v>565</v>
      </c>
      <c r="E413" s="92" t="s">
        <v>292</v>
      </c>
      <c r="F413" s="97" t="s">
        <v>213</v>
      </c>
      <c r="G413" s="97"/>
      <c r="H413" s="92" t="s">
        <v>265</v>
      </c>
      <c r="I413" s="98">
        <v>16618.3</v>
      </c>
      <c r="J413" s="98"/>
      <c r="K413" s="95" t="s">
        <v>214</v>
      </c>
      <c r="L413" s="96">
        <v>3011704.05</v>
      </c>
    </row>
    <row r="414" spans="1:12" ht="51" x14ac:dyDescent="0.3">
      <c r="A414" s="90" t="s">
        <v>230</v>
      </c>
      <c r="B414" s="91" t="s">
        <v>1019</v>
      </c>
      <c r="C414" s="91" t="s">
        <v>291</v>
      </c>
      <c r="D414" s="91" t="s">
        <v>565</v>
      </c>
      <c r="E414" s="92" t="s">
        <v>292</v>
      </c>
      <c r="F414" s="97" t="s">
        <v>213</v>
      </c>
      <c r="G414" s="97"/>
      <c r="H414" s="92" t="s">
        <v>265</v>
      </c>
      <c r="I414" s="98">
        <v>33236.6</v>
      </c>
      <c r="J414" s="98"/>
      <c r="K414" s="95" t="s">
        <v>214</v>
      </c>
      <c r="L414" s="96">
        <v>2978467.45</v>
      </c>
    </row>
    <row r="415" spans="1:12" ht="51" x14ac:dyDescent="0.3">
      <c r="A415" s="90" t="s">
        <v>230</v>
      </c>
      <c r="B415" s="91" t="s">
        <v>1019</v>
      </c>
      <c r="C415" s="91" t="s">
        <v>291</v>
      </c>
      <c r="D415" s="91" t="s">
        <v>565</v>
      </c>
      <c r="E415" s="92" t="s">
        <v>292</v>
      </c>
      <c r="F415" s="97" t="s">
        <v>213</v>
      </c>
      <c r="G415" s="97"/>
      <c r="H415" s="92" t="s">
        <v>265</v>
      </c>
      <c r="I415" s="98">
        <v>24927.45</v>
      </c>
      <c r="J415" s="98"/>
      <c r="K415" s="95" t="s">
        <v>214</v>
      </c>
      <c r="L415" s="96">
        <v>2953540</v>
      </c>
    </row>
    <row r="416" spans="1:12" ht="51" x14ac:dyDescent="0.3">
      <c r="A416" s="90" t="s">
        <v>230</v>
      </c>
      <c r="B416" s="91" t="s">
        <v>1019</v>
      </c>
      <c r="C416" s="91" t="s">
        <v>291</v>
      </c>
      <c r="D416" s="91" t="s">
        <v>838</v>
      </c>
      <c r="E416" s="92" t="s">
        <v>292</v>
      </c>
      <c r="F416" s="97" t="s">
        <v>213</v>
      </c>
      <c r="G416" s="97"/>
      <c r="H416" s="92" t="s">
        <v>265</v>
      </c>
      <c r="I416" s="98">
        <v>16618.3</v>
      </c>
      <c r="J416" s="98"/>
      <c r="K416" s="95" t="s">
        <v>214</v>
      </c>
      <c r="L416" s="96">
        <v>2936921.7</v>
      </c>
    </row>
    <row r="417" spans="1:12" ht="51" x14ac:dyDescent="0.3">
      <c r="A417" s="90" t="s">
        <v>230</v>
      </c>
      <c r="B417" s="91" t="s">
        <v>1019</v>
      </c>
      <c r="C417" s="91" t="s">
        <v>291</v>
      </c>
      <c r="D417" s="91" t="s">
        <v>838</v>
      </c>
      <c r="E417" s="92" t="s">
        <v>292</v>
      </c>
      <c r="F417" s="97" t="s">
        <v>213</v>
      </c>
      <c r="G417" s="97"/>
      <c r="H417" s="92" t="s">
        <v>265</v>
      </c>
      <c r="I417" s="98">
        <v>33236.6</v>
      </c>
      <c r="J417" s="98"/>
      <c r="K417" s="95" t="s">
        <v>214</v>
      </c>
      <c r="L417" s="96">
        <v>2903685.1</v>
      </c>
    </row>
    <row r="418" spans="1:12" ht="51" x14ac:dyDescent="0.3">
      <c r="A418" s="90" t="s">
        <v>230</v>
      </c>
      <c r="B418" s="91" t="s">
        <v>1019</v>
      </c>
      <c r="C418" s="91" t="s">
        <v>291</v>
      </c>
      <c r="D418" s="91" t="s">
        <v>838</v>
      </c>
      <c r="E418" s="92" t="s">
        <v>292</v>
      </c>
      <c r="F418" s="97" t="s">
        <v>213</v>
      </c>
      <c r="G418" s="97"/>
      <c r="H418" s="92" t="s">
        <v>265</v>
      </c>
      <c r="I418" s="98">
        <v>24927.45</v>
      </c>
      <c r="J418" s="98"/>
      <c r="K418" s="95" t="s">
        <v>214</v>
      </c>
      <c r="L418" s="96">
        <v>2878757.65</v>
      </c>
    </row>
    <row r="419" spans="1:12" ht="51" x14ac:dyDescent="0.3">
      <c r="A419" s="90" t="s">
        <v>230</v>
      </c>
      <c r="B419" s="91" t="s">
        <v>1019</v>
      </c>
      <c r="C419" s="91" t="s">
        <v>291</v>
      </c>
      <c r="D419" s="91" t="s">
        <v>839</v>
      </c>
      <c r="E419" s="92" t="s">
        <v>292</v>
      </c>
      <c r="F419" s="97" t="s">
        <v>213</v>
      </c>
      <c r="G419" s="97"/>
      <c r="H419" s="92" t="s">
        <v>265</v>
      </c>
      <c r="I419" s="98">
        <v>16618.3</v>
      </c>
      <c r="J419" s="98"/>
      <c r="K419" s="95" t="s">
        <v>214</v>
      </c>
      <c r="L419" s="96">
        <v>2862139.35</v>
      </c>
    </row>
    <row r="420" spans="1:12" ht="51" x14ac:dyDescent="0.3">
      <c r="A420" s="90" t="s">
        <v>230</v>
      </c>
      <c r="B420" s="91" t="s">
        <v>1019</v>
      </c>
      <c r="C420" s="91" t="s">
        <v>291</v>
      </c>
      <c r="D420" s="91" t="s">
        <v>839</v>
      </c>
      <c r="E420" s="92" t="s">
        <v>292</v>
      </c>
      <c r="F420" s="97" t="s">
        <v>213</v>
      </c>
      <c r="G420" s="97"/>
      <c r="H420" s="92" t="s">
        <v>265</v>
      </c>
      <c r="I420" s="98">
        <v>33236.6</v>
      </c>
      <c r="J420" s="98"/>
      <c r="K420" s="95" t="s">
        <v>214</v>
      </c>
      <c r="L420" s="96">
        <v>2828902.75</v>
      </c>
    </row>
    <row r="421" spans="1:12" ht="51" x14ac:dyDescent="0.3">
      <c r="A421" s="90" t="s">
        <v>230</v>
      </c>
      <c r="B421" s="91" t="s">
        <v>1019</v>
      </c>
      <c r="C421" s="91" t="s">
        <v>291</v>
      </c>
      <c r="D421" s="91" t="s">
        <v>839</v>
      </c>
      <c r="E421" s="92" t="s">
        <v>292</v>
      </c>
      <c r="F421" s="97" t="s">
        <v>213</v>
      </c>
      <c r="G421" s="97"/>
      <c r="H421" s="92" t="s">
        <v>265</v>
      </c>
      <c r="I421" s="98">
        <v>24927.45</v>
      </c>
      <c r="J421" s="98"/>
      <c r="K421" s="95" t="s">
        <v>214</v>
      </c>
      <c r="L421" s="96">
        <v>2803975.3</v>
      </c>
    </row>
    <row r="422" spans="1:12" ht="51" x14ac:dyDescent="0.3">
      <c r="A422" s="90" t="s">
        <v>230</v>
      </c>
      <c r="B422" s="91" t="s">
        <v>1019</v>
      </c>
      <c r="C422" s="91" t="s">
        <v>291</v>
      </c>
      <c r="D422" s="91" t="s">
        <v>840</v>
      </c>
      <c r="E422" s="92" t="s">
        <v>292</v>
      </c>
      <c r="F422" s="97" t="s">
        <v>213</v>
      </c>
      <c r="G422" s="97"/>
      <c r="H422" s="92" t="s">
        <v>265</v>
      </c>
      <c r="I422" s="98">
        <v>16618.3</v>
      </c>
      <c r="J422" s="98"/>
      <c r="K422" s="95" t="s">
        <v>214</v>
      </c>
      <c r="L422" s="96">
        <v>2787357</v>
      </c>
    </row>
    <row r="423" spans="1:12" ht="51" x14ac:dyDescent="0.3">
      <c r="A423" s="90" t="s">
        <v>230</v>
      </c>
      <c r="B423" s="91" t="s">
        <v>1019</v>
      </c>
      <c r="C423" s="91" t="s">
        <v>291</v>
      </c>
      <c r="D423" s="91" t="s">
        <v>840</v>
      </c>
      <c r="E423" s="92" t="s">
        <v>292</v>
      </c>
      <c r="F423" s="97" t="s">
        <v>213</v>
      </c>
      <c r="G423" s="97"/>
      <c r="H423" s="92" t="s">
        <v>265</v>
      </c>
      <c r="I423" s="98">
        <v>58164.05</v>
      </c>
      <c r="J423" s="98"/>
      <c r="K423" s="95" t="s">
        <v>214</v>
      </c>
      <c r="L423" s="96">
        <v>2729192.95</v>
      </c>
    </row>
    <row r="424" spans="1:12" ht="51" x14ac:dyDescent="0.3">
      <c r="A424" s="90" t="s">
        <v>230</v>
      </c>
      <c r="B424" s="91" t="s">
        <v>1019</v>
      </c>
      <c r="C424" s="91" t="s">
        <v>291</v>
      </c>
      <c r="D424" s="91" t="s">
        <v>841</v>
      </c>
      <c r="E424" s="92" t="s">
        <v>292</v>
      </c>
      <c r="F424" s="97" t="s">
        <v>213</v>
      </c>
      <c r="G424" s="97"/>
      <c r="H424" s="92" t="s">
        <v>265</v>
      </c>
      <c r="I424" s="98">
        <v>16618.3</v>
      </c>
      <c r="J424" s="98"/>
      <c r="K424" s="95" t="s">
        <v>214</v>
      </c>
      <c r="L424" s="96">
        <v>2712574.65</v>
      </c>
    </row>
    <row r="425" spans="1:12" ht="51" x14ac:dyDescent="0.3">
      <c r="A425" s="90" t="s">
        <v>230</v>
      </c>
      <c r="B425" s="91" t="s">
        <v>1019</v>
      </c>
      <c r="C425" s="91" t="s">
        <v>291</v>
      </c>
      <c r="D425" s="91" t="s">
        <v>841</v>
      </c>
      <c r="E425" s="92" t="s">
        <v>292</v>
      </c>
      <c r="F425" s="97" t="s">
        <v>213</v>
      </c>
      <c r="G425" s="97"/>
      <c r="H425" s="92" t="s">
        <v>265</v>
      </c>
      <c r="I425" s="98">
        <v>33236.6</v>
      </c>
      <c r="J425" s="98"/>
      <c r="K425" s="95" t="s">
        <v>214</v>
      </c>
      <c r="L425" s="96">
        <v>2679338.0499999998</v>
      </c>
    </row>
    <row r="426" spans="1:12" ht="51" x14ac:dyDescent="0.3">
      <c r="A426" s="90" t="s">
        <v>230</v>
      </c>
      <c r="B426" s="91" t="s">
        <v>1019</v>
      </c>
      <c r="C426" s="91" t="s">
        <v>291</v>
      </c>
      <c r="D426" s="91" t="s">
        <v>841</v>
      </c>
      <c r="E426" s="92" t="s">
        <v>292</v>
      </c>
      <c r="F426" s="97" t="s">
        <v>213</v>
      </c>
      <c r="G426" s="97"/>
      <c r="H426" s="92" t="s">
        <v>265</v>
      </c>
      <c r="I426" s="98">
        <v>24927.45</v>
      </c>
      <c r="J426" s="98"/>
      <c r="K426" s="95" t="s">
        <v>214</v>
      </c>
      <c r="L426" s="96">
        <v>2654410.6</v>
      </c>
    </row>
    <row r="427" spans="1:12" ht="51" x14ac:dyDescent="0.3">
      <c r="A427" s="90" t="s">
        <v>230</v>
      </c>
      <c r="B427" s="91" t="s">
        <v>1019</v>
      </c>
      <c r="C427" s="91" t="s">
        <v>291</v>
      </c>
      <c r="D427" s="91" t="s">
        <v>842</v>
      </c>
      <c r="E427" s="92" t="s">
        <v>292</v>
      </c>
      <c r="F427" s="97" t="s">
        <v>213</v>
      </c>
      <c r="G427" s="97"/>
      <c r="H427" s="92" t="s">
        <v>265</v>
      </c>
      <c r="I427" s="98">
        <v>16618.3</v>
      </c>
      <c r="J427" s="98"/>
      <c r="K427" s="95" t="s">
        <v>214</v>
      </c>
      <c r="L427" s="96">
        <v>2637792.2999999998</v>
      </c>
    </row>
    <row r="428" spans="1:12" ht="51" x14ac:dyDescent="0.3">
      <c r="A428" s="90" t="s">
        <v>230</v>
      </c>
      <c r="B428" s="91" t="s">
        <v>1019</v>
      </c>
      <c r="C428" s="91" t="s">
        <v>291</v>
      </c>
      <c r="D428" s="91" t="s">
        <v>842</v>
      </c>
      <c r="E428" s="92" t="s">
        <v>292</v>
      </c>
      <c r="F428" s="97" t="s">
        <v>213</v>
      </c>
      <c r="G428" s="97"/>
      <c r="H428" s="92" t="s">
        <v>265</v>
      </c>
      <c r="I428" s="98">
        <v>33236.6</v>
      </c>
      <c r="J428" s="98"/>
      <c r="K428" s="95" t="s">
        <v>214</v>
      </c>
      <c r="L428" s="96">
        <v>2604555.7000000002</v>
      </c>
    </row>
    <row r="429" spans="1:12" ht="51" x14ac:dyDescent="0.3">
      <c r="A429" s="90" t="s">
        <v>230</v>
      </c>
      <c r="B429" s="91" t="s">
        <v>1019</v>
      </c>
      <c r="C429" s="91" t="s">
        <v>291</v>
      </c>
      <c r="D429" s="91" t="s">
        <v>842</v>
      </c>
      <c r="E429" s="92" t="s">
        <v>292</v>
      </c>
      <c r="F429" s="97" t="s">
        <v>213</v>
      </c>
      <c r="G429" s="97"/>
      <c r="H429" s="92" t="s">
        <v>265</v>
      </c>
      <c r="I429" s="98">
        <v>24927.45</v>
      </c>
      <c r="J429" s="98"/>
      <c r="K429" s="95" t="s">
        <v>214</v>
      </c>
      <c r="L429" s="96">
        <v>2579628.25</v>
      </c>
    </row>
    <row r="430" spans="1:12" ht="51" x14ac:dyDescent="0.3">
      <c r="A430" s="90" t="s">
        <v>230</v>
      </c>
      <c r="B430" s="91" t="s">
        <v>1019</v>
      </c>
      <c r="C430" s="91" t="s">
        <v>291</v>
      </c>
      <c r="D430" s="91" t="s">
        <v>843</v>
      </c>
      <c r="E430" s="92" t="s">
        <v>292</v>
      </c>
      <c r="F430" s="97" t="s">
        <v>213</v>
      </c>
      <c r="G430" s="97"/>
      <c r="H430" s="92" t="s">
        <v>265</v>
      </c>
      <c r="I430" s="98">
        <v>16618.3</v>
      </c>
      <c r="J430" s="98"/>
      <c r="K430" s="95" t="s">
        <v>214</v>
      </c>
      <c r="L430" s="96">
        <v>2563009.9500000002</v>
      </c>
    </row>
    <row r="431" spans="1:12" ht="51" x14ac:dyDescent="0.3">
      <c r="A431" s="90" t="s">
        <v>230</v>
      </c>
      <c r="B431" s="91" t="s">
        <v>1019</v>
      </c>
      <c r="C431" s="91" t="s">
        <v>291</v>
      </c>
      <c r="D431" s="91" t="s">
        <v>843</v>
      </c>
      <c r="E431" s="92" t="s">
        <v>292</v>
      </c>
      <c r="F431" s="97" t="s">
        <v>213</v>
      </c>
      <c r="G431" s="97"/>
      <c r="H431" s="92" t="s">
        <v>265</v>
      </c>
      <c r="I431" s="98">
        <v>33236.6</v>
      </c>
      <c r="J431" s="98"/>
      <c r="K431" s="95" t="s">
        <v>214</v>
      </c>
      <c r="L431" s="96">
        <v>2529773.35</v>
      </c>
    </row>
    <row r="432" spans="1:12" ht="51" x14ac:dyDescent="0.3">
      <c r="A432" s="90" t="s">
        <v>230</v>
      </c>
      <c r="B432" s="91" t="s">
        <v>1019</v>
      </c>
      <c r="C432" s="91" t="s">
        <v>291</v>
      </c>
      <c r="D432" s="91" t="s">
        <v>843</v>
      </c>
      <c r="E432" s="92" t="s">
        <v>292</v>
      </c>
      <c r="F432" s="97" t="s">
        <v>213</v>
      </c>
      <c r="G432" s="97"/>
      <c r="H432" s="92" t="s">
        <v>265</v>
      </c>
      <c r="I432" s="98">
        <v>24927.45</v>
      </c>
      <c r="J432" s="98"/>
      <c r="K432" s="95" t="s">
        <v>214</v>
      </c>
      <c r="L432" s="96">
        <v>2504845.9</v>
      </c>
    </row>
    <row r="433" spans="1:12" ht="51" x14ac:dyDescent="0.3">
      <c r="A433" s="90" t="s">
        <v>230</v>
      </c>
      <c r="B433" s="91" t="s">
        <v>1019</v>
      </c>
      <c r="C433" s="91" t="s">
        <v>291</v>
      </c>
      <c r="D433" s="91" t="s">
        <v>844</v>
      </c>
      <c r="E433" s="92" t="s">
        <v>292</v>
      </c>
      <c r="F433" s="97" t="s">
        <v>213</v>
      </c>
      <c r="G433" s="97"/>
      <c r="H433" s="92" t="s">
        <v>265</v>
      </c>
      <c r="I433" s="98">
        <v>8309.15</v>
      </c>
      <c r="J433" s="98"/>
      <c r="K433" s="95" t="s">
        <v>214</v>
      </c>
      <c r="L433" s="96">
        <v>2496536.75</v>
      </c>
    </row>
    <row r="434" spans="1:12" ht="51" x14ac:dyDescent="0.3">
      <c r="A434" s="90" t="s">
        <v>230</v>
      </c>
      <c r="B434" s="91" t="s">
        <v>1020</v>
      </c>
      <c r="C434" s="91" t="s">
        <v>291</v>
      </c>
      <c r="D434" s="91" t="s">
        <v>844</v>
      </c>
      <c r="E434" s="92" t="s">
        <v>292</v>
      </c>
      <c r="F434" s="97" t="s">
        <v>213</v>
      </c>
      <c r="G434" s="97"/>
      <c r="H434" s="92" t="s">
        <v>265</v>
      </c>
      <c r="I434" s="98">
        <v>33236.6</v>
      </c>
      <c r="J434" s="98"/>
      <c r="K434" s="95" t="s">
        <v>214</v>
      </c>
      <c r="L434" s="96">
        <v>2463300.15</v>
      </c>
    </row>
    <row r="435" spans="1:12" ht="51" x14ac:dyDescent="0.3">
      <c r="A435" s="90" t="s">
        <v>230</v>
      </c>
      <c r="B435" s="91" t="s">
        <v>1020</v>
      </c>
      <c r="C435" s="91" t="s">
        <v>291</v>
      </c>
      <c r="D435" s="91" t="s">
        <v>845</v>
      </c>
      <c r="E435" s="92" t="s">
        <v>292</v>
      </c>
      <c r="F435" s="97" t="s">
        <v>213</v>
      </c>
      <c r="G435" s="97"/>
      <c r="H435" s="92" t="s">
        <v>265</v>
      </c>
      <c r="I435" s="98">
        <v>8309.15</v>
      </c>
      <c r="J435" s="98"/>
      <c r="K435" s="95" t="s">
        <v>214</v>
      </c>
      <c r="L435" s="96">
        <v>2454991</v>
      </c>
    </row>
    <row r="436" spans="1:12" ht="51" x14ac:dyDescent="0.3">
      <c r="A436" s="90" t="s">
        <v>230</v>
      </c>
      <c r="B436" s="91" t="s">
        <v>1020</v>
      </c>
      <c r="C436" s="91" t="s">
        <v>291</v>
      </c>
      <c r="D436" s="91" t="s">
        <v>845</v>
      </c>
      <c r="E436" s="92" t="s">
        <v>292</v>
      </c>
      <c r="F436" s="97" t="s">
        <v>213</v>
      </c>
      <c r="G436" s="97"/>
      <c r="H436" s="92" t="s">
        <v>265</v>
      </c>
      <c r="I436" s="98">
        <v>66473.2</v>
      </c>
      <c r="J436" s="98"/>
      <c r="K436" s="95" t="s">
        <v>214</v>
      </c>
      <c r="L436" s="96">
        <v>2388517.7999999998</v>
      </c>
    </row>
    <row r="437" spans="1:12" ht="51" x14ac:dyDescent="0.3">
      <c r="A437" s="90" t="s">
        <v>230</v>
      </c>
      <c r="B437" s="91" t="s">
        <v>1020</v>
      </c>
      <c r="C437" s="91" t="s">
        <v>291</v>
      </c>
      <c r="D437" s="91" t="s">
        <v>846</v>
      </c>
      <c r="E437" s="92" t="s">
        <v>292</v>
      </c>
      <c r="F437" s="97" t="s">
        <v>213</v>
      </c>
      <c r="G437" s="97"/>
      <c r="H437" s="92" t="s">
        <v>265</v>
      </c>
      <c r="I437" s="98">
        <v>8309.15</v>
      </c>
      <c r="J437" s="98"/>
      <c r="K437" s="95" t="s">
        <v>214</v>
      </c>
      <c r="L437" s="96">
        <v>2380208.65</v>
      </c>
    </row>
    <row r="438" spans="1:12" ht="51" x14ac:dyDescent="0.3">
      <c r="A438" s="90" t="s">
        <v>230</v>
      </c>
      <c r="B438" s="91" t="s">
        <v>1020</v>
      </c>
      <c r="C438" s="91" t="s">
        <v>291</v>
      </c>
      <c r="D438" s="91" t="s">
        <v>846</v>
      </c>
      <c r="E438" s="92" t="s">
        <v>292</v>
      </c>
      <c r="F438" s="97" t="s">
        <v>213</v>
      </c>
      <c r="G438" s="97"/>
      <c r="H438" s="92" t="s">
        <v>265</v>
      </c>
      <c r="I438" s="98">
        <v>66473.2</v>
      </c>
      <c r="J438" s="98"/>
      <c r="K438" s="95" t="s">
        <v>214</v>
      </c>
      <c r="L438" s="96">
        <v>2313735.4500000002</v>
      </c>
    </row>
    <row r="439" spans="1:12" ht="51" x14ac:dyDescent="0.3">
      <c r="A439" s="90" t="s">
        <v>230</v>
      </c>
      <c r="B439" s="91" t="s">
        <v>1020</v>
      </c>
      <c r="C439" s="91" t="s">
        <v>291</v>
      </c>
      <c r="D439" s="91" t="s">
        <v>847</v>
      </c>
      <c r="E439" s="92" t="s">
        <v>292</v>
      </c>
      <c r="F439" s="97" t="s">
        <v>213</v>
      </c>
      <c r="G439" s="97"/>
      <c r="H439" s="92" t="s">
        <v>265</v>
      </c>
      <c r="I439" s="98">
        <v>8309.15</v>
      </c>
      <c r="J439" s="98"/>
      <c r="K439" s="95" t="s">
        <v>214</v>
      </c>
      <c r="L439" s="96">
        <v>2305426.2999999998</v>
      </c>
    </row>
    <row r="440" spans="1:12" ht="51" x14ac:dyDescent="0.3">
      <c r="A440" s="90" t="s">
        <v>230</v>
      </c>
      <c r="B440" s="91" t="s">
        <v>1020</v>
      </c>
      <c r="C440" s="91" t="s">
        <v>291</v>
      </c>
      <c r="D440" s="91" t="s">
        <v>847</v>
      </c>
      <c r="E440" s="92" t="s">
        <v>292</v>
      </c>
      <c r="F440" s="97" t="s">
        <v>213</v>
      </c>
      <c r="G440" s="97"/>
      <c r="H440" s="92" t="s">
        <v>265</v>
      </c>
      <c r="I440" s="98">
        <v>66473.2</v>
      </c>
      <c r="J440" s="98"/>
      <c r="K440" s="95" t="s">
        <v>214</v>
      </c>
      <c r="L440" s="96">
        <v>2238953.1</v>
      </c>
    </row>
    <row r="441" spans="1:12" ht="51" x14ac:dyDescent="0.3">
      <c r="A441" s="90" t="s">
        <v>230</v>
      </c>
      <c r="B441" s="91" t="s">
        <v>1020</v>
      </c>
      <c r="C441" s="91" t="s">
        <v>291</v>
      </c>
      <c r="D441" s="91" t="s">
        <v>848</v>
      </c>
      <c r="E441" s="92" t="s">
        <v>292</v>
      </c>
      <c r="F441" s="97" t="s">
        <v>213</v>
      </c>
      <c r="G441" s="97"/>
      <c r="H441" s="92" t="s">
        <v>265</v>
      </c>
      <c r="I441" s="98">
        <v>8309.15</v>
      </c>
      <c r="J441" s="98"/>
      <c r="K441" s="95" t="s">
        <v>214</v>
      </c>
      <c r="L441" s="96">
        <v>2230643.9500000002</v>
      </c>
    </row>
    <row r="442" spans="1:12" ht="51" x14ac:dyDescent="0.3">
      <c r="A442" s="90" t="s">
        <v>230</v>
      </c>
      <c r="B442" s="91" t="s">
        <v>1020</v>
      </c>
      <c r="C442" s="91" t="s">
        <v>291</v>
      </c>
      <c r="D442" s="91" t="s">
        <v>848</v>
      </c>
      <c r="E442" s="92" t="s">
        <v>292</v>
      </c>
      <c r="F442" s="97" t="s">
        <v>213</v>
      </c>
      <c r="G442" s="97"/>
      <c r="H442" s="92" t="s">
        <v>265</v>
      </c>
      <c r="I442" s="98">
        <v>66473.2</v>
      </c>
      <c r="J442" s="98"/>
      <c r="K442" s="95" t="s">
        <v>214</v>
      </c>
      <c r="L442" s="96">
        <v>2164170.75</v>
      </c>
    </row>
    <row r="443" spans="1:12" ht="51" x14ac:dyDescent="0.3">
      <c r="A443" s="90" t="s">
        <v>230</v>
      </c>
      <c r="B443" s="91" t="s">
        <v>1020</v>
      </c>
      <c r="C443" s="91" t="s">
        <v>291</v>
      </c>
      <c r="D443" s="91" t="s">
        <v>849</v>
      </c>
      <c r="E443" s="92" t="s">
        <v>292</v>
      </c>
      <c r="F443" s="97" t="s">
        <v>213</v>
      </c>
      <c r="G443" s="97"/>
      <c r="H443" s="92" t="s">
        <v>265</v>
      </c>
      <c r="I443" s="98">
        <v>8309.15</v>
      </c>
      <c r="J443" s="98"/>
      <c r="K443" s="95" t="s">
        <v>214</v>
      </c>
      <c r="L443" s="96">
        <v>2155861.6</v>
      </c>
    </row>
    <row r="444" spans="1:12" ht="51" x14ac:dyDescent="0.3">
      <c r="A444" s="90" t="s">
        <v>230</v>
      </c>
      <c r="B444" s="91" t="s">
        <v>1020</v>
      </c>
      <c r="C444" s="91" t="s">
        <v>291</v>
      </c>
      <c r="D444" s="91" t="s">
        <v>849</v>
      </c>
      <c r="E444" s="92" t="s">
        <v>292</v>
      </c>
      <c r="F444" s="97" t="s">
        <v>213</v>
      </c>
      <c r="G444" s="97"/>
      <c r="H444" s="92" t="s">
        <v>265</v>
      </c>
      <c r="I444" s="98">
        <v>33236.6</v>
      </c>
      <c r="J444" s="98"/>
      <c r="K444" s="95" t="s">
        <v>214</v>
      </c>
      <c r="L444" s="96">
        <v>2122625</v>
      </c>
    </row>
    <row r="445" spans="1:12" ht="51" x14ac:dyDescent="0.3">
      <c r="A445" s="90" t="s">
        <v>230</v>
      </c>
      <c r="B445" s="91" t="s">
        <v>1020</v>
      </c>
      <c r="C445" s="91" t="s">
        <v>291</v>
      </c>
      <c r="D445" s="91" t="s">
        <v>849</v>
      </c>
      <c r="E445" s="92" t="s">
        <v>292</v>
      </c>
      <c r="F445" s="97" t="s">
        <v>213</v>
      </c>
      <c r="G445" s="97"/>
      <c r="H445" s="92" t="s">
        <v>265</v>
      </c>
      <c r="I445" s="98">
        <v>33236.6</v>
      </c>
      <c r="J445" s="98"/>
      <c r="K445" s="95" t="s">
        <v>214</v>
      </c>
      <c r="L445" s="96">
        <v>2089388.4</v>
      </c>
    </row>
    <row r="446" spans="1:12" ht="51" x14ac:dyDescent="0.3">
      <c r="A446" s="90" t="s">
        <v>230</v>
      </c>
      <c r="B446" s="91" t="s">
        <v>1020</v>
      </c>
      <c r="C446" s="91" t="s">
        <v>291</v>
      </c>
      <c r="D446" s="91" t="s">
        <v>850</v>
      </c>
      <c r="E446" s="92" t="s">
        <v>292</v>
      </c>
      <c r="F446" s="97" t="s">
        <v>213</v>
      </c>
      <c r="G446" s="97"/>
      <c r="H446" s="92" t="s">
        <v>265</v>
      </c>
      <c r="I446" s="98">
        <v>41545.75</v>
      </c>
      <c r="J446" s="98"/>
      <c r="K446" s="95" t="s">
        <v>214</v>
      </c>
      <c r="L446" s="96">
        <v>2047842.65</v>
      </c>
    </row>
    <row r="447" spans="1:12" ht="51" x14ac:dyDescent="0.3">
      <c r="A447" s="90" t="s">
        <v>230</v>
      </c>
      <c r="B447" s="91" t="s">
        <v>1020</v>
      </c>
      <c r="C447" s="91" t="s">
        <v>291</v>
      </c>
      <c r="D447" s="91" t="s">
        <v>850</v>
      </c>
      <c r="E447" s="92" t="s">
        <v>292</v>
      </c>
      <c r="F447" s="97" t="s">
        <v>213</v>
      </c>
      <c r="G447" s="97"/>
      <c r="H447" s="92" t="s">
        <v>265</v>
      </c>
      <c r="I447" s="98">
        <v>33236.6</v>
      </c>
      <c r="J447" s="98"/>
      <c r="K447" s="95" t="s">
        <v>214</v>
      </c>
      <c r="L447" s="96">
        <v>2014606.05</v>
      </c>
    </row>
    <row r="448" spans="1:12" ht="51" x14ac:dyDescent="0.3">
      <c r="A448" s="90" t="s">
        <v>230</v>
      </c>
      <c r="B448" s="91" t="s">
        <v>1020</v>
      </c>
      <c r="C448" s="91" t="s">
        <v>291</v>
      </c>
      <c r="D448" s="91" t="s">
        <v>851</v>
      </c>
      <c r="E448" s="92" t="s">
        <v>292</v>
      </c>
      <c r="F448" s="97" t="s">
        <v>213</v>
      </c>
      <c r="G448" s="97"/>
      <c r="H448" s="92" t="s">
        <v>265</v>
      </c>
      <c r="I448" s="98">
        <v>8309.15</v>
      </c>
      <c r="J448" s="98"/>
      <c r="K448" s="95" t="s">
        <v>214</v>
      </c>
      <c r="L448" s="96">
        <v>2006296.9</v>
      </c>
    </row>
    <row r="449" spans="1:12" ht="51" x14ac:dyDescent="0.3">
      <c r="A449" s="90" t="s">
        <v>230</v>
      </c>
      <c r="B449" s="91" t="s">
        <v>1020</v>
      </c>
      <c r="C449" s="91" t="s">
        <v>291</v>
      </c>
      <c r="D449" s="91" t="s">
        <v>851</v>
      </c>
      <c r="E449" s="92" t="s">
        <v>292</v>
      </c>
      <c r="F449" s="97" t="s">
        <v>213</v>
      </c>
      <c r="G449" s="97"/>
      <c r="H449" s="92" t="s">
        <v>265</v>
      </c>
      <c r="I449" s="98">
        <v>41545.75</v>
      </c>
      <c r="J449" s="98"/>
      <c r="K449" s="95" t="s">
        <v>214</v>
      </c>
      <c r="L449" s="96">
        <v>1964751.15</v>
      </c>
    </row>
    <row r="450" spans="1:12" ht="51" x14ac:dyDescent="0.3">
      <c r="A450" s="90" t="s">
        <v>230</v>
      </c>
      <c r="B450" s="91" t="s">
        <v>1020</v>
      </c>
      <c r="C450" s="91" t="s">
        <v>291</v>
      </c>
      <c r="D450" s="91" t="s">
        <v>851</v>
      </c>
      <c r="E450" s="92" t="s">
        <v>292</v>
      </c>
      <c r="F450" s="97" t="s">
        <v>213</v>
      </c>
      <c r="G450" s="97"/>
      <c r="H450" s="92" t="s">
        <v>265</v>
      </c>
      <c r="I450" s="98">
        <v>24927.45</v>
      </c>
      <c r="J450" s="98"/>
      <c r="K450" s="95" t="s">
        <v>214</v>
      </c>
      <c r="L450" s="96">
        <v>1939823.7</v>
      </c>
    </row>
    <row r="451" spans="1:12" ht="51" x14ac:dyDescent="0.3">
      <c r="A451" s="90" t="s">
        <v>230</v>
      </c>
      <c r="B451" s="91" t="s">
        <v>1020</v>
      </c>
      <c r="C451" s="91" t="s">
        <v>291</v>
      </c>
      <c r="D451" s="91" t="s">
        <v>852</v>
      </c>
      <c r="E451" s="92" t="s">
        <v>292</v>
      </c>
      <c r="F451" s="97" t="s">
        <v>213</v>
      </c>
      <c r="G451" s="97"/>
      <c r="H451" s="92" t="s">
        <v>265</v>
      </c>
      <c r="I451" s="98">
        <v>49854.9</v>
      </c>
      <c r="J451" s="98"/>
      <c r="K451" s="95" t="s">
        <v>214</v>
      </c>
      <c r="L451" s="96">
        <v>1889968.8</v>
      </c>
    </row>
    <row r="452" spans="1:12" ht="51" x14ac:dyDescent="0.3">
      <c r="A452" s="90" t="s">
        <v>230</v>
      </c>
      <c r="B452" s="91" t="s">
        <v>1020</v>
      </c>
      <c r="C452" s="91" t="s">
        <v>291</v>
      </c>
      <c r="D452" s="91" t="s">
        <v>852</v>
      </c>
      <c r="E452" s="92" t="s">
        <v>292</v>
      </c>
      <c r="F452" s="97" t="s">
        <v>213</v>
      </c>
      <c r="G452" s="97"/>
      <c r="H452" s="92" t="s">
        <v>265</v>
      </c>
      <c r="I452" s="98">
        <v>24927.45</v>
      </c>
      <c r="J452" s="98"/>
      <c r="K452" s="95" t="s">
        <v>214</v>
      </c>
      <c r="L452" s="96">
        <v>1865041.35</v>
      </c>
    </row>
    <row r="453" spans="1:12" ht="51" x14ac:dyDescent="0.3">
      <c r="A453" s="90" t="s">
        <v>230</v>
      </c>
      <c r="B453" s="91" t="s">
        <v>1020</v>
      </c>
      <c r="C453" s="91" t="s">
        <v>291</v>
      </c>
      <c r="D453" s="91" t="s">
        <v>853</v>
      </c>
      <c r="E453" s="92" t="s">
        <v>292</v>
      </c>
      <c r="F453" s="97" t="s">
        <v>213</v>
      </c>
      <c r="G453" s="97"/>
      <c r="H453" s="92" t="s">
        <v>265</v>
      </c>
      <c r="I453" s="98">
        <v>41545.75</v>
      </c>
      <c r="J453" s="98"/>
      <c r="K453" s="95" t="s">
        <v>214</v>
      </c>
      <c r="L453" s="96">
        <v>1823495.6</v>
      </c>
    </row>
    <row r="454" spans="1:12" ht="51" x14ac:dyDescent="0.3">
      <c r="A454" s="90" t="s">
        <v>230</v>
      </c>
      <c r="B454" s="91" t="s">
        <v>1020</v>
      </c>
      <c r="C454" s="91" t="s">
        <v>291</v>
      </c>
      <c r="D454" s="91" t="s">
        <v>854</v>
      </c>
      <c r="E454" s="92" t="s">
        <v>292</v>
      </c>
      <c r="F454" s="97" t="s">
        <v>213</v>
      </c>
      <c r="G454" s="97"/>
      <c r="H454" s="92" t="s">
        <v>265</v>
      </c>
      <c r="I454" s="98">
        <v>8309.15</v>
      </c>
      <c r="J454" s="98"/>
      <c r="K454" s="95" t="s">
        <v>214</v>
      </c>
      <c r="L454" s="96">
        <v>1815186.45</v>
      </c>
    </row>
    <row r="455" spans="1:12" ht="51" x14ac:dyDescent="0.3">
      <c r="A455" s="90" t="s">
        <v>230</v>
      </c>
      <c r="B455" s="91" t="s">
        <v>1020</v>
      </c>
      <c r="C455" s="91" t="s">
        <v>291</v>
      </c>
      <c r="D455" s="91" t="s">
        <v>854</v>
      </c>
      <c r="E455" s="92" t="s">
        <v>292</v>
      </c>
      <c r="F455" s="97" t="s">
        <v>213</v>
      </c>
      <c r="G455" s="97"/>
      <c r="H455" s="92" t="s">
        <v>265</v>
      </c>
      <c r="I455" s="98">
        <v>24927.45</v>
      </c>
      <c r="J455" s="98"/>
      <c r="K455" s="95" t="s">
        <v>214</v>
      </c>
      <c r="L455" s="96">
        <v>1790259</v>
      </c>
    </row>
    <row r="456" spans="1:12" ht="51" x14ac:dyDescent="0.3">
      <c r="A456" s="90" t="s">
        <v>230</v>
      </c>
      <c r="B456" s="91" t="s">
        <v>1020</v>
      </c>
      <c r="C456" s="91" t="s">
        <v>291</v>
      </c>
      <c r="D456" s="91" t="s">
        <v>855</v>
      </c>
      <c r="E456" s="92" t="s">
        <v>292</v>
      </c>
      <c r="F456" s="97" t="s">
        <v>213</v>
      </c>
      <c r="G456" s="97"/>
      <c r="H456" s="92" t="s">
        <v>265</v>
      </c>
      <c r="I456" s="98">
        <v>16618.3</v>
      </c>
      <c r="J456" s="98"/>
      <c r="K456" s="95" t="s">
        <v>214</v>
      </c>
      <c r="L456" s="96">
        <v>1773640.7</v>
      </c>
    </row>
    <row r="457" spans="1:12" ht="51" x14ac:dyDescent="0.3">
      <c r="A457" s="90" t="s">
        <v>230</v>
      </c>
      <c r="B457" s="91" t="s">
        <v>1020</v>
      </c>
      <c r="C457" s="91" t="s">
        <v>291</v>
      </c>
      <c r="D457" s="91" t="s">
        <v>855</v>
      </c>
      <c r="E457" s="92" t="s">
        <v>292</v>
      </c>
      <c r="F457" s="97" t="s">
        <v>213</v>
      </c>
      <c r="G457" s="97"/>
      <c r="H457" s="92" t="s">
        <v>265</v>
      </c>
      <c r="I457" s="98">
        <v>16618.3</v>
      </c>
      <c r="J457" s="98"/>
      <c r="K457" s="95" t="s">
        <v>214</v>
      </c>
      <c r="L457" s="96">
        <v>1757022.4</v>
      </c>
    </row>
    <row r="458" spans="1:12" ht="51" x14ac:dyDescent="0.3">
      <c r="A458" s="90" t="s">
        <v>230</v>
      </c>
      <c r="B458" s="91" t="s">
        <v>1020</v>
      </c>
      <c r="C458" s="91" t="s">
        <v>291</v>
      </c>
      <c r="D458" s="91" t="s">
        <v>856</v>
      </c>
      <c r="E458" s="92" t="s">
        <v>292</v>
      </c>
      <c r="F458" s="97" t="s">
        <v>213</v>
      </c>
      <c r="G458" s="97"/>
      <c r="H458" s="92" t="s">
        <v>265</v>
      </c>
      <c r="I458" s="98">
        <v>41545.75</v>
      </c>
      <c r="J458" s="98"/>
      <c r="K458" s="95" t="s">
        <v>214</v>
      </c>
      <c r="L458" s="96">
        <v>1715476.65</v>
      </c>
    </row>
    <row r="459" spans="1:12" ht="51" x14ac:dyDescent="0.3">
      <c r="A459" s="90" t="s">
        <v>230</v>
      </c>
      <c r="B459" s="91" t="s">
        <v>1020</v>
      </c>
      <c r="C459" s="91" t="s">
        <v>291</v>
      </c>
      <c r="D459" s="91" t="s">
        <v>858</v>
      </c>
      <c r="E459" s="92" t="s">
        <v>292</v>
      </c>
      <c r="F459" s="97" t="s">
        <v>213</v>
      </c>
      <c r="G459" s="97"/>
      <c r="H459" s="92" t="s">
        <v>265</v>
      </c>
      <c r="I459" s="98">
        <v>16618.3</v>
      </c>
      <c r="J459" s="98"/>
      <c r="K459" s="95" t="s">
        <v>214</v>
      </c>
      <c r="L459" s="96">
        <v>1698858.35</v>
      </c>
    </row>
    <row r="460" spans="1:12" ht="51" x14ac:dyDescent="0.3">
      <c r="A460" s="90" t="s">
        <v>230</v>
      </c>
      <c r="B460" s="91" t="s">
        <v>1020</v>
      </c>
      <c r="C460" s="91" t="s">
        <v>291</v>
      </c>
      <c r="D460" s="91" t="s">
        <v>858</v>
      </c>
      <c r="E460" s="92" t="s">
        <v>292</v>
      </c>
      <c r="F460" s="97" t="s">
        <v>213</v>
      </c>
      <c r="G460" s="97"/>
      <c r="H460" s="92" t="s">
        <v>265</v>
      </c>
      <c r="I460" s="98">
        <v>24927.45</v>
      </c>
      <c r="J460" s="98"/>
      <c r="K460" s="95" t="s">
        <v>214</v>
      </c>
      <c r="L460" s="96">
        <v>1673930.9</v>
      </c>
    </row>
    <row r="461" spans="1:12" ht="51" x14ac:dyDescent="0.3">
      <c r="A461" s="90" t="s">
        <v>230</v>
      </c>
      <c r="B461" s="91" t="s">
        <v>1020</v>
      </c>
      <c r="C461" s="91" t="s">
        <v>291</v>
      </c>
      <c r="D461" s="91" t="s">
        <v>859</v>
      </c>
      <c r="E461" s="92" t="s">
        <v>292</v>
      </c>
      <c r="F461" s="97" t="s">
        <v>213</v>
      </c>
      <c r="G461" s="97"/>
      <c r="H461" s="92" t="s">
        <v>265</v>
      </c>
      <c r="I461" s="98">
        <v>33236.6</v>
      </c>
      <c r="J461" s="98"/>
      <c r="K461" s="95" t="s">
        <v>214</v>
      </c>
      <c r="L461" s="96">
        <v>1640694.3</v>
      </c>
    </row>
    <row r="462" spans="1:12" ht="51" x14ac:dyDescent="0.3">
      <c r="A462" s="90" t="s">
        <v>230</v>
      </c>
      <c r="B462" s="91" t="s">
        <v>1020</v>
      </c>
      <c r="C462" s="91" t="s">
        <v>291</v>
      </c>
      <c r="D462" s="91" t="s">
        <v>860</v>
      </c>
      <c r="E462" s="92" t="s">
        <v>292</v>
      </c>
      <c r="F462" s="97" t="s">
        <v>213</v>
      </c>
      <c r="G462" s="97"/>
      <c r="H462" s="92" t="s">
        <v>265</v>
      </c>
      <c r="I462" s="98">
        <v>16618.3</v>
      </c>
      <c r="J462" s="98"/>
      <c r="K462" s="95" t="s">
        <v>214</v>
      </c>
      <c r="L462" s="96">
        <v>1624076</v>
      </c>
    </row>
    <row r="463" spans="1:12" ht="51" x14ac:dyDescent="0.3">
      <c r="A463" s="90" t="s">
        <v>230</v>
      </c>
      <c r="B463" s="91" t="s">
        <v>1020</v>
      </c>
      <c r="C463" s="91" t="s">
        <v>291</v>
      </c>
      <c r="D463" s="91" t="s">
        <v>860</v>
      </c>
      <c r="E463" s="92" t="s">
        <v>292</v>
      </c>
      <c r="F463" s="97" t="s">
        <v>213</v>
      </c>
      <c r="G463" s="97"/>
      <c r="H463" s="92" t="s">
        <v>265</v>
      </c>
      <c r="I463" s="98">
        <v>16618.3</v>
      </c>
      <c r="J463" s="98"/>
      <c r="K463" s="95" t="s">
        <v>214</v>
      </c>
      <c r="L463" s="96">
        <v>1607457.7</v>
      </c>
    </row>
    <row r="464" spans="1:12" ht="51" x14ac:dyDescent="0.3">
      <c r="A464" s="90" t="s">
        <v>230</v>
      </c>
      <c r="B464" s="91" t="s">
        <v>1020</v>
      </c>
      <c r="C464" s="91" t="s">
        <v>291</v>
      </c>
      <c r="D464" s="91" t="s">
        <v>861</v>
      </c>
      <c r="E464" s="92" t="s">
        <v>292</v>
      </c>
      <c r="F464" s="97" t="s">
        <v>213</v>
      </c>
      <c r="G464" s="97"/>
      <c r="H464" s="92" t="s">
        <v>265</v>
      </c>
      <c r="I464" s="98">
        <v>41545.75</v>
      </c>
      <c r="J464" s="98"/>
      <c r="K464" s="95" t="s">
        <v>214</v>
      </c>
      <c r="L464" s="96">
        <v>1565911.95</v>
      </c>
    </row>
    <row r="465" spans="1:12" ht="51" x14ac:dyDescent="0.3">
      <c r="A465" s="90" t="s">
        <v>230</v>
      </c>
      <c r="B465" s="91" t="s">
        <v>1020</v>
      </c>
      <c r="C465" s="91" t="s">
        <v>291</v>
      </c>
      <c r="D465" s="91" t="s">
        <v>862</v>
      </c>
      <c r="E465" s="92" t="s">
        <v>292</v>
      </c>
      <c r="F465" s="97" t="s">
        <v>213</v>
      </c>
      <c r="G465" s="97"/>
      <c r="H465" s="92" t="s">
        <v>265</v>
      </c>
      <c r="I465" s="98">
        <v>16618.3</v>
      </c>
      <c r="J465" s="98"/>
      <c r="K465" s="95" t="s">
        <v>214</v>
      </c>
      <c r="L465" s="96">
        <v>1549293.65</v>
      </c>
    </row>
    <row r="466" spans="1:12" ht="51" x14ac:dyDescent="0.3">
      <c r="A466" s="90" t="s">
        <v>230</v>
      </c>
      <c r="B466" s="91" t="s">
        <v>1020</v>
      </c>
      <c r="C466" s="91" t="s">
        <v>291</v>
      </c>
      <c r="D466" s="91" t="s">
        <v>862</v>
      </c>
      <c r="E466" s="92" t="s">
        <v>292</v>
      </c>
      <c r="F466" s="97" t="s">
        <v>213</v>
      </c>
      <c r="G466" s="97"/>
      <c r="H466" s="92" t="s">
        <v>265</v>
      </c>
      <c r="I466" s="98">
        <v>24927.45</v>
      </c>
      <c r="J466" s="98"/>
      <c r="K466" s="95" t="s">
        <v>214</v>
      </c>
      <c r="L466" s="96">
        <v>1524366.2</v>
      </c>
    </row>
    <row r="467" spans="1:12" ht="51" x14ac:dyDescent="0.3">
      <c r="A467" s="90" t="s">
        <v>230</v>
      </c>
      <c r="B467" s="91" t="s">
        <v>1020</v>
      </c>
      <c r="C467" s="91" t="s">
        <v>291</v>
      </c>
      <c r="D467" s="91" t="s">
        <v>863</v>
      </c>
      <c r="E467" s="92" t="s">
        <v>292</v>
      </c>
      <c r="F467" s="97" t="s">
        <v>213</v>
      </c>
      <c r="G467" s="97"/>
      <c r="H467" s="92" t="s">
        <v>265</v>
      </c>
      <c r="I467" s="98">
        <v>33236.6</v>
      </c>
      <c r="J467" s="98"/>
      <c r="K467" s="95" t="s">
        <v>214</v>
      </c>
      <c r="L467" s="96">
        <v>1491129.6</v>
      </c>
    </row>
    <row r="468" spans="1:12" ht="51" x14ac:dyDescent="0.3">
      <c r="A468" s="90" t="s">
        <v>230</v>
      </c>
      <c r="B468" s="91" t="s">
        <v>1020</v>
      </c>
      <c r="C468" s="91" t="s">
        <v>291</v>
      </c>
      <c r="D468" s="91" t="s">
        <v>864</v>
      </c>
      <c r="E468" s="92" t="s">
        <v>292</v>
      </c>
      <c r="F468" s="97" t="s">
        <v>213</v>
      </c>
      <c r="G468" s="97"/>
      <c r="H468" s="92" t="s">
        <v>265</v>
      </c>
      <c r="I468" s="98">
        <v>16618.3</v>
      </c>
      <c r="J468" s="98"/>
      <c r="K468" s="95" t="s">
        <v>214</v>
      </c>
      <c r="L468" s="96">
        <v>1474511.3</v>
      </c>
    </row>
    <row r="469" spans="1:12" ht="51" x14ac:dyDescent="0.3">
      <c r="A469" s="90" t="s">
        <v>230</v>
      </c>
      <c r="B469" s="91" t="s">
        <v>1020</v>
      </c>
      <c r="C469" s="91" t="s">
        <v>291</v>
      </c>
      <c r="D469" s="91" t="s">
        <v>864</v>
      </c>
      <c r="E469" s="92" t="s">
        <v>292</v>
      </c>
      <c r="F469" s="97" t="s">
        <v>213</v>
      </c>
      <c r="G469" s="97"/>
      <c r="H469" s="92" t="s">
        <v>265</v>
      </c>
      <c r="I469" s="98">
        <v>24927.45</v>
      </c>
      <c r="J469" s="98"/>
      <c r="K469" s="95" t="s">
        <v>214</v>
      </c>
      <c r="L469" s="96">
        <v>1449583.85</v>
      </c>
    </row>
    <row r="470" spans="1:12" ht="51" x14ac:dyDescent="0.3">
      <c r="A470" s="90" t="s">
        <v>230</v>
      </c>
      <c r="B470" s="91" t="s">
        <v>1020</v>
      </c>
      <c r="C470" s="91" t="s">
        <v>291</v>
      </c>
      <c r="D470" s="91" t="s">
        <v>865</v>
      </c>
      <c r="E470" s="92" t="s">
        <v>292</v>
      </c>
      <c r="F470" s="97" t="s">
        <v>213</v>
      </c>
      <c r="G470" s="97"/>
      <c r="H470" s="92" t="s">
        <v>265</v>
      </c>
      <c r="I470" s="98">
        <v>16618.3</v>
      </c>
      <c r="J470" s="98"/>
      <c r="K470" s="95" t="s">
        <v>214</v>
      </c>
      <c r="L470" s="96">
        <v>1432965.55</v>
      </c>
    </row>
    <row r="471" spans="1:12" ht="51" x14ac:dyDescent="0.3">
      <c r="A471" s="90" t="s">
        <v>230</v>
      </c>
      <c r="B471" s="91" t="s">
        <v>1020</v>
      </c>
      <c r="C471" s="91" t="s">
        <v>291</v>
      </c>
      <c r="D471" s="91" t="s">
        <v>865</v>
      </c>
      <c r="E471" s="92" t="s">
        <v>292</v>
      </c>
      <c r="F471" s="97" t="s">
        <v>213</v>
      </c>
      <c r="G471" s="97"/>
      <c r="H471" s="92" t="s">
        <v>265</v>
      </c>
      <c r="I471" s="98">
        <v>16618.3</v>
      </c>
      <c r="J471" s="98"/>
      <c r="K471" s="95" t="s">
        <v>214</v>
      </c>
      <c r="L471" s="96">
        <v>1416347.25</v>
      </c>
    </row>
    <row r="472" spans="1:12" ht="51" x14ac:dyDescent="0.3">
      <c r="A472" s="90" t="s">
        <v>230</v>
      </c>
      <c r="B472" s="91" t="s">
        <v>1020</v>
      </c>
      <c r="C472" s="91" t="s">
        <v>291</v>
      </c>
      <c r="D472" s="91" t="s">
        <v>866</v>
      </c>
      <c r="E472" s="92" t="s">
        <v>292</v>
      </c>
      <c r="F472" s="97" t="s">
        <v>213</v>
      </c>
      <c r="G472" s="97"/>
      <c r="H472" s="92" t="s">
        <v>265</v>
      </c>
      <c r="I472" s="98">
        <v>24927.45</v>
      </c>
      <c r="J472" s="98"/>
      <c r="K472" s="95" t="s">
        <v>214</v>
      </c>
      <c r="L472" s="96">
        <v>1391419.8</v>
      </c>
    </row>
    <row r="473" spans="1:12" ht="51" x14ac:dyDescent="0.3">
      <c r="A473" s="90" t="s">
        <v>230</v>
      </c>
      <c r="B473" s="91" t="s">
        <v>1020</v>
      </c>
      <c r="C473" s="91" t="s">
        <v>291</v>
      </c>
      <c r="D473" s="91" t="s">
        <v>866</v>
      </c>
      <c r="E473" s="92" t="s">
        <v>292</v>
      </c>
      <c r="F473" s="97" t="s">
        <v>213</v>
      </c>
      <c r="G473" s="97"/>
      <c r="H473" s="92" t="s">
        <v>265</v>
      </c>
      <c r="I473" s="98">
        <v>8309.15</v>
      </c>
      <c r="J473" s="98"/>
      <c r="K473" s="95" t="s">
        <v>214</v>
      </c>
      <c r="L473" s="96">
        <v>1383110.65</v>
      </c>
    </row>
    <row r="474" spans="1:12" ht="51" x14ac:dyDescent="0.3">
      <c r="A474" s="90" t="s">
        <v>230</v>
      </c>
      <c r="B474" s="91" t="s">
        <v>1020</v>
      </c>
      <c r="C474" s="91" t="s">
        <v>291</v>
      </c>
      <c r="D474" s="91" t="s">
        <v>867</v>
      </c>
      <c r="E474" s="92" t="s">
        <v>292</v>
      </c>
      <c r="F474" s="97" t="s">
        <v>213</v>
      </c>
      <c r="G474" s="97"/>
      <c r="H474" s="92" t="s">
        <v>265</v>
      </c>
      <c r="I474" s="98">
        <v>33236.6</v>
      </c>
      <c r="J474" s="98"/>
      <c r="K474" s="95" t="s">
        <v>214</v>
      </c>
      <c r="L474" s="96">
        <v>1349874.05</v>
      </c>
    </row>
    <row r="475" spans="1:12" ht="51" x14ac:dyDescent="0.3">
      <c r="A475" s="90" t="s">
        <v>230</v>
      </c>
      <c r="B475" s="91" t="s">
        <v>1020</v>
      </c>
      <c r="C475" s="91" t="s">
        <v>291</v>
      </c>
      <c r="D475" s="91" t="s">
        <v>867</v>
      </c>
      <c r="E475" s="92" t="s">
        <v>292</v>
      </c>
      <c r="F475" s="97" t="s">
        <v>213</v>
      </c>
      <c r="G475" s="97"/>
      <c r="H475" s="92" t="s">
        <v>265</v>
      </c>
      <c r="I475" s="98">
        <v>8309.15</v>
      </c>
      <c r="J475" s="98"/>
      <c r="K475" s="95" t="s">
        <v>214</v>
      </c>
      <c r="L475" s="96">
        <v>1341564.8999999999</v>
      </c>
    </row>
    <row r="476" spans="1:12" ht="51" x14ac:dyDescent="0.3">
      <c r="A476" s="90" t="s">
        <v>230</v>
      </c>
      <c r="B476" s="91" t="s">
        <v>1020</v>
      </c>
      <c r="C476" s="91" t="s">
        <v>291</v>
      </c>
      <c r="D476" s="91" t="s">
        <v>868</v>
      </c>
      <c r="E476" s="92" t="s">
        <v>292</v>
      </c>
      <c r="F476" s="97" t="s">
        <v>213</v>
      </c>
      <c r="G476" s="97"/>
      <c r="H476" s="92" t="s">
        <v>265</v>
      </c>
      <c r="I476" s="98">
        <v>33236.6</v>
      </c>
      <c r="J476" s="98"/>
      <c r="K476" s="95" t="s">
        <v>214</v>
      </c>
      <c r="L476" s="96">
        <v>1308328.3</v>
      </c>
    </row>
    <row r="477" spans="1:12" ht="51" x14ac:dyDescent="0.3">
      <c r="A477" s="90" t="s">
        <v>230</v>
      </c>
      <c r="B477" s="91" t="s">
        <v>1020</v>
      </c>
      <c r="C477" s="91" t="s">
        <v>291</v>
      </c>
      <c r="D477" s="91" t="s">
        <v>868</v>
      </c>
      <c r="E477" s="92" t="s">
        <v>292</v>
      </c>
      <c r="F477" s="97" t="s">
        <v>213</v>
      </c>
      <c r="G477" s="97"/>
      <c r="H477" s="92" t="s">
        <v>265</v>
      </c>
      <c r="I477" s="98">
        <v>8309.15</v>
      </c>
      <c r="J477" s="98"/>
      <c r="K477" s="95" t="s">
        <v>214</v>
      </c>
      <c r="L477" s="96">
        <v>1300019.1499999999</v>
      </c>
    </row>
    <row r="478" spans="1:12" ht="51" x14ac:dyDescent="0.3">
      <c r="A478" s="90" t="s">
        <v>230</v>
      </c>
      <c r="B478" s="91" t="s">
        <v>1020</v>
      </c>
      <c r="C478" s="91" t="s">
        <v>291</v>
      </c>
      <c r="D478" s="91" t="s">
        <v>869</v>
      </c>
      <c r="E478" s="92" t="s">
        <v>292</v>
      </c>
      <c r="F478" s="97" t="s">
        <v>213</v>
      </c>
      <c r="G478" s="97"/>
      <c r="H478" s="92" t="s">
        <v>265</v>
      </c>
      <c r="I478" s="98">
        <v>41545.75</v>
      </c>
      <c r="J478" s="98"/>
      <c r="K478" s="95" t="s">
        <v>214</v>
      </c>
      <c r="L478" s="96">
        <v>1258473.3999999999</v>
      </c>
    </row>
    <row r="479" spans="1:12" ht="51" x14ac:dyDescent="0.3">
      <c r="A479" s="90" t="s">
        <v>230</v>
      </c>
      <c r="B479" s="91" t="s">
        <v>1020</v>
      </c>
      <c r="C479" s="91" t="s">
        <v>291</v>
      </c>
      <c r="D479" s="91" t="s">
        <v>870</v>
      </c>
      <c r="E479" s="92" t="s">
        <v>292</v>
      </c>
      <c r="F479" s="97" t="s">
        <v>213</v>
      </c>
      <c r="G479" s="97"/>
      <c r="H479" s="92" t="s">
        <v>265</v>
      </c>
      <c r="I479" s="98">
        <v>24927.45</v>
      </c>
      <c r="J479" s="98"/>
      <c r="K479" s="95" t="s">
        <v>214</v>
      </c>
      <c r="L479" s="96">
        <v>1233545.95</v>
      </c>
    </row>
    <row r="480" spans="1:12" ht="51" x14ac:dyDescent="0.3">
      <c r="A480" s="90" t="s">
        <v>230</v>
      </c>
      <c r="B480" s="91" t="s">
        <v>1020</v>
      </c>
      <c r="C480" s="91" t="s">
        <v>291</v>
      </c>
      <c r="D480" s="91" t="s">
        <v>870</v>
      </c>
      <c r="E480" s="92" t="s">
        <v>292</v>
      </c>
      <c r="F480" s="97" t="s">
        <v>213</v>
      </c>
      <c r="G480" s="97"/>
      <c r="H480" s="92" t="s">
        <v>265</v>
      </c>
      <c r="I480" s="98">
        <v>16618.3</v>
      </c>
      <c r="J480" s="98"/>
      <c r="K480" s="95" t="s">
        <v>214</v>
      </c>
      <c r="L480" s="96">
        <v>1216927.6499999999</v>
      </c>
    </row>
    <row r="481" spans="1:12" ht="51" x14ac:dyDescent="0.3">
      <c r="A481" s="90" t="s">
        <v>230</v>
      </c>
      <c r="B481" s="91" t="s">
        <v>1020</v>
      </c>
      <c r="C481" s="91" t="s">
        <v>291</v>
      </c>
      <c r="D481" s="91" t="s">
        <v>871</v>
      </c>
      <c r="E481" s="92" t="s">
        <v>292</v>
      </c>
      <c r="F481" s="97" t="s">
        <v>213</v>
      </c>
      <c r="G481" s="97"/>
      <c r="H481" s="92" t="s">
        <v>265</v>
      </c>
      <c r="I481" s="98">
        <v>41545.75</v>
      </c>
      <c r="J481" s="98"/>
      <c r="K481" s="95" t="s">
        <v>214</v>
      </c>
      <c r="L481" s="96">
        <v>1175381.8999999999</v>
      </c>
    </row>
    <row r="482" spans="1:12" ht="51" x14ac:dyDescent="0.3">
      <c r="A482" s="90" t="s">
        <v>230</v>
      </c>
      <c r="B482" s="91" t="s">
        <v>1020</v>
      </c>
      <c r="C482" s="91" t="s">
        <v>291</v>
      </c>
      <c r="D482" s="91" t="s">
        <v>872</v>
      </c>
      <c r="E482" s="92" t="s">
        <v>292</v>
      </c>
      <c r="F482" s="97" t="s">
        <v>213</v>
      </c>
      <c r="G482" s="97"/>
      <c r="H482" s="92" t="s">
        <v>265</v>
      </c>
      <c r="I482" s="98">
        <v>16618.3</v>
      </c>
      <c r="J482" s="98"/>
      <c r="K482" s="95" t="s">
        <v>214</v>
      </c>
      <c r="L482" s="96">
        <v>1158763.6000000001</v>
      </c>
    </row>
    <row r="483" spans="1:12" ht="51" x14ac:dyDescent="0.3">
      <c r="A483" s="90" t="s">
        <v>230</v>
      </c>
      <c r="B483" s="91" t="s">
        <v>1020</v>
      </c>
      <c r="C483" s="91" t="s">
        <v>291</v>
      </c>
      <c r="D483" s="91" t="s">
        <v>872</v>
      </c>
      <c r="E483" s="92" t="s">
        <v>292</v>
      </c>
      <c r="F483" s="97" t="s">
        <v>213</v>
      </c>
      <c r="G483" s="97"/>
      <c r="H483" s="92" t="s">
        <v>265</v>
      </c>
      <c r="I483" s="98">
        <v>24927.45</v>
      </c>
      <c r="J483" s="98"/>
      <c r="K483" s="95" t="s">
        <v>214</v>
      </c>
      <c r="L483" s="96">
        <v>1133836.1499999999</v>
      </c>
    </row>
    <row r="484" spans="1:12" ht="51" x14ac:dyDescent="0.3">
      <c r="A484" s="90" t="s">
        <v>230</v>
      </c>
      <c r="B484" s="91" t="s">
        <v>1020</v>
      </c>
      <c r="C484" s="91" t="s">
        <v>291</v>
      </c>
      <c r="D484" s="91" t="s">
        <v>873</v>
      </c>
      <c r="E484" s="92" t="s">
        <v>292</v>
      </c>
      <c r="F484" s="97" t="s">
        <v>213</v>
      </c>
      <c r="G484" s="97"/>
      <c r="H484" s="92" t="s">
        <v>265</v>
      </c>
      <c r="I484" s="98">
        <v>16618.3</v>
      </c>
      <c r="J484" s="98"/>
      <c r="K484" s="95" t="s">
        <v>214</v>
      </c>
      <c r="L484" s="96">
        <v>1117217.8500000001</v>
      </c>
    </row>
    <row r="485" spans="1:12" ht="51" x14ac:dyDescent="0.3">
      <c r="A485" s="90" t="s">
        <v>230</v>
      </c>
      <c r="B485" s="91" t="s">
        <v>1020</v>
      </c>
      <c r="C485" s="91" t="s">
        <v>291</v>
      </c>
      <c r="D485" s="91" t="s">
        <v>873</v>
      </c>
      <c r="E485" s="92" t="s">
        <v>292</v>
      </c>
      <c r="F485" s="97" t="s">
        <v>213</v>
      </c>
      <c r="G485" s="97"/>
      <c r="H485" s="92" t="s">
        <v>265</v>
      </c>
      <c r="I485" s="98">
        <v>24927.45</v>
      </c>
      <c r="J485" s="98"/>
      <c r="K485" s="95" t="s">
        <v>214</v>
      </c>
      <c r="L485" s="96">
        <v>1092290.3999999999</v>
      </c>
    </row>
    <row r="486" spans="1:12" ht="51" x14ac:dyDescent="0.3">
      <c r="A486" s="90" t="s">
        <v>230</v>
      </c>
      <c r="B486" s="91" t="s">
        <v>1020</v>
      </c>
      <c r="C486" s="91" t="s">
        <v>291</v>
      </c>
      <c r="D486" s="91" t="s">
        <v>874</v>
      </c>
      <c r="E486" s="92" t="s">
        <v>292</v>
      </c>
      <c r="F486" s="97" t="s">
        <v>213</v>
      </c>
      <c r="G486" s="97"/>
      <c r="H486" s="92" t="s">
        <v>265</v>
      </c>
      <c r="I486" s="98">
        <v>8309.15</v>
      </c>
      <c r="J486" s="98"/>
      <c r="K486" s="95" t="s">
        <v>214</v>
      </c>
      <c r="L486" s="96">
        <v>1083981.25</v>
      </c>
    </row>
    <row r="487" spans="1:12" ht="51" x14ac:dyDescent="0.3">
      <c r="A487" s="90" t="s">
        <v>230</v>
      </c>
      <c r="B487" s="91" t="s">
        <v>1020</v>
      </c>
      <c r="C487" s="91" t="s">
        <v>291</v>
      </c>
      <c r="D487" s="91" t="s">
        <v>874</v>
      </c>
      <c r="E487" s="92" t="s">
        <v>292</v>
      </c>
      <c r="F487" s="97" t="s">
        <v>213</v>
      </c>
      <c r="G487" s="97"/>
      <c r="H487" s="92" t="s">
        <v>265</v>
      </c>
      <c r="I487" s="98">
        <v>24927.45</v>
      </c>
      <c r="J487" s="98"/>
      <c r="K487" s="95" t="s">
        <v>214</v>
      </c>
      <c r="L487" s="96">
        <v>1059053.8</v>
      </c>
    </row>
    <row r="488" spans="1:12" ht="51" x14ac:dyDescent="0.3">
      <c r="A488" s="90" t="s">
        <v>230</v>
      </c>
      <c r="B488" s="91" t="s">
        <v>1020</v>
      </c>
      <c r="C488" s="91" t="s">
        <v>291</v>
      </c>
      <c r="D488" s="91" t="s">
        <v>875</v>
      </c>
      <c r="E488" s="92" t="s">
        <v>292</v>
      </c>
      <c r="F488" s="97" t="s">
        <v>213</v>
      </c>
      <c r="G488" s="97"/>
      <c r="H488" s="92" t="s">
        <v>265</v>
      </c>
      <c r="I488" s="98">
        <v>8309.15</v>
      </c>
      <c r="J488" s="98"/>
      <c r="K488" s="95" t="s">
        <v>214</v>
      </c>
      <c r="L488" s="96">
        <v>1050744.6499999999</v>
      </c>
    </row>
    <row r="489" spans="1:12" ht="51" x14ac:dyDescent="0.3">
      <c r="A489" s="90" t="s">
        <v>230</v>
      </c>
      <c r="B489" s="91" t="s">
        <v>1020</v>
      </c>
      <c r="C489" s="91" t="s">
        <v>291</v>
      </c>
      <c r="D489" s="91" t="s">
        <v>875</v>
      </c>
      <c r="E489" s="92" t="s">
        <v>292</v>
      </c>
      <c r="F489" s="97" t="s">
        <v>213</v>
      </c>
      <c r="G489" s="97"/>
      <c r="H489" s="92" t="s">
        <v>265</v>
      </c>
      <c r="I489" s="98">
        <v>33236.6</v>
      </c>
      <c r="J489" s="98"/>
      <c r="K489" s="95" t="s">
        <v>214</v>
      </c>
      <c r="L489" s="96">
        <v>1017508.05</v>
      </c>
    </row>
    <row r="490" spans="1:12" ht="51" x14ac:dyDescent="0.3">
      <c r="A490" s="90" t="s">
        <v>230</v>
      </c>
      <c r="B490" s="91" t="s">
        <v>1020</v>
      </c>
      <c r="C490" s="91" t="s">
        <v>291</v>
      </c>
      <c r="D490" s="91" t="s">
        <v>876</v>
      </c>
      <c r="E490" s="92" t="s">
        <v>292</v>
      </c>
      <c r="F490" s="97" t="s">
        <v>213</v>
      </c>
      <c r="G490" s="97"/>
      <c r="H490" s="92" t="s">
        <v>265</v>
      </c>
      <c r="I490" s="98">
        <v>8309.15</v>
      </c>
      <c r="J490" s="98"/>
      <c r="K490" s="95" t="s">
        <v>214</v>
      </c>
      <c r="L490" s="96">
        <v>1009198.9</v>
      </c>
    </row>
    <row r="491" spans="1:12" ht="51" x14ac:dyDescent="0.3">
      <c r="A491" s="90" t="s">
        <v>230</v>
      </c>
      <c r="B491" s="91" t="s">
        <v>1020</v>
      </c>
      <c r="C491" s="91" t="s">
        <v>291</v>
      </c>
      <c r="D491" s="91" t="s">
        <v>876</v>
      </c>
      <c r="E491" s="92" t="s">
        <v>292</v>
      </c>
      <c r="F491" s="97" t="s">
        <v>213</v>
      </c>
      <c r="G491" s="97"/>
      <c r="H491" s="92" t="s">
        <v>265</v>
      </c>
      <c r="I491" s="98">
        <v>24927.45</v>
      </c>
      <c r="J491" s="98"/>
      <c r="K491" s="95" t="s">
        <v>214</v>
      </c>
      <c r="L491" s="96">
        <v>984271.45</v>
      </c>
    </row>
    <row r="492" spans="1:12" ht="51" x14ac:dyDescent="0.3">
      <c r="A492" s="90" t="s">
        <v>230</v>
      </c>
      <c r="B492" s="91" t="s">
        <v>1020</v>
      </c>
      <c r="C492" s="91" t="s">
        <v>291</v>
      </c>
      <c r="D492" s="91" t="s">
        <v>877</v>
      </c>
      <c r="E492" s="92" t="s">
        <v>292</v>
      </c>
      <c r="F492" s="97" t="s">
        <v>213</v>
      </c>
      <c r="G492" s="97"/>
      <c r="H492" s="92" t="s">
        <v>265</v>
      </c>
      <c r="I492" s="98">
        <v>16618.3</v>
      </c>
      <c r="J492" s="98"/>
      <c r="K492" s="95" t="s">
        <v>214</v>
      </c>
      <c r="L492" s="96">
        <v>967653.15</v>
      </c>
    </row>
    <row r="493" spans="1:12" ht="51" x14ac:dyDescent="0.3">
      <c r="A493" s="90" t="s">
        <v>230</v>
      </c>
      <c r="B493" s="91" t="s">
        <v>1020</v>
      </c>
      <c r="C493" s="91" t="s">
        <v>291</v>
      </c>
      <c r="D493" s="91" t="s">
        <v>877</v>
      </c>
      <c r="E493" s="92" t="s">
        <v>292</v>
      </c>
      <c r="F493" s="97" t="s">
        <v>213</v>
      </c>
      <c r="G493" s="97"/>
      <c r="H493" s="92" t="s">
        <v>265</v>
      </c>
      <c r="I493" s="98">
        <v>24927.45</v>
      </c>
      <c r="J493" s="98"/>
      <c r="K493" s="95" t="s">
        <v>214</v>
      </c>
      <c r="L493" s="96">
        <v>942725.7</v>
      </c>
    </row>
    <row r="494" spans="1:12" ht="51" x14ac:dyDescent="0.3">
      <c r="A494" s="90" t="s">
        <v>230</v>
      </c>
      <c r="B494" s="91" t="s">
        <v>1020</v>
      </c>
      <c r="C494" s="91" t="s">
        <v>291</v>
      </c>
      <c r="D494" s="91" t="s">
        <v>878</v>
      </c>
      <c r="E494" s="92" t="s">
        <v>292</v>
      </c>
      <c r="F494" s="97" t="s">
        <v>213</v>
      </c>
      <c r="G494" s="97"/>
      <c r="H494" s="92" t="s">
        <v>265</v>
      </c>
      <c r="I494" s="98">
        <v>8309.15</v>
      </c>
      <c r="J494" s="98"/>
      <c r="K494" s="95" t="s">
        <v>214</v>
      </c>
      <c r="L494" s="96">
        <v>934416.55</v>
      </c>
    </row>
    <row r="495" spans="1:12" ht="51" x14ac:dyDescent="0.3">
      <c r="A495" s="90" t="s">
        <v>230</v>
      </c>
      <c r="B495" s="91" t="s">
        <v>1020</v>
      </c>
      <c r="C495" s="91" t="s">
        <v>291</v>
      </c>
      <c r="D495" s="91" t="s">
        <v>878</v>
      </c>
      <c r="E495" s="92" t="s">
        <v>292</v>
      </c>
      <c r="F495" s="97" t="s">
        <v>213</v>
      </c>
      <c r="G495" s="97"/>
      <c r="H495" s="92" t="s">
        <v>265</v>
      </c>
      <c r="I495" s="98">
        <v>24927.45</v>
      </c>
      <c r="J495" s="98"/>
      <c r="K495" s="95" t="s">
        <v>214</v>
      </c>
      <c r="L495" s="96">
        <v>909489.1</v>
      </c>
    </row>
    <row r="496" spans="1:12" ht="51" x14ac:dyDescent="0.3">
      <c r="A496" s="90" t="s">
        <v>230</v>
      </c>
      <c r="B496" s="91" t="s">
        <v>1020</v>
      </c>
      <c r="C496" s="91" t="s">
        <v>291</v>
      </c>
      <c r="D496" s="91" t="s">
        <v>879</v>
      </c>
      <c r="E496" s="92" t="s">
        <v>292</v>
      </c>
      <c r="F496" s="97" t="s">
        <v>213</v>
      </c>
      <c r="G496" s="97"/>
      <c r="H496" s="92" t="s">
        <v>265</v>
      </c>
      <c r="I496" s="98">
        <v>16618.3</v>
      </c>
      <c r="J496" s="98"/>
      <c r="K496" s="95" t="s">
        <v>214</v>
      </c>
      <c r="L496" s="96">
        <v>892870.8</v>
      </c>
    </row>
    <row r="497" spans="1:12" ht="51" x14ac:dyDescent="0.3">
      <c r="A497" s="90" t="s">
        <v>230</v>
      </c>
      <c r="B497" s="91" t="s">
        <v>1020</v>
      </c>
      <c r="C497" s="91" t="s">
        <v>291</v>
      </c>
      <c r="D497" s="91" t="s">
        <v>879</v>
      </c>
      <c r="E497" s="92" t="s">
        <v>292</v>
      </c>
      <c r="F497" s="97" t="s">
        <v>213</v>
      </c>
      <c r="G497" s="97"/>
      <c r="H497" s="92" t="s">
        <v>265</v>
      </c>
      <c r="I497" s="98">
        <v>24927.45</v>
      </c>
      <c r="J497" s="98"/>
      <c r="K497" s="95" t="s">
        <v>214</v>
      </c>
      <c r="L497" s="96">
        <v>867943.35</v>
      </c>
    </row>
    <row r="498" spans="1:12" ht="51" x14ac:dyDescent="0.3">
      <c r="A498" s="90" t="s">
        <v>230</v>
      </c>
      <c r="B498" s="91" t="s">
        <v>1020</v>
      </c>
      <c r="C498" s="91" t="s">
        <v>291</v>
      </c>
      <c r="D498" s="91" t="s">
        <v>880</v>
      </c>
      <c r="E498" s="92" t="s">
        <v>292</v>
      </c>
      <c r="F498" s="97" t="s">
        <v>213</v>
      </c>
      <c r="G498" s="97"/>
      <c r="H498" s="92" t="s">
        <v>265</v>
      </c>
      <c r="I498" s="98">
        <v>8309.15</v>
      </c>
      <c r="J498" s="98"/>
      <c r="K498" s="95" t="s">
        <v>214</v>
      </c>
      <c r="L498" s="96">
        <v>859634.2</v>
      </c>
    </row>
    <row r="499" spans="1:12" ht="51" x14ac:dyDescent="0.3">
      <c r="A499" s="90" t="s">
        <v>230</v>
      </c>
      <c r="B499" s="91" t="s">
        <v>1020</v>
      </c>
      <c r="C499" s="91" t="s">
        <v>291</v>
      </c>
      <c r="D499" s="91" t="s">
        <v>880</v>
      </c>
      <c r="E499" s="92" t="s">
        <v>292</v>
      </c>
      <c r="F499" s="97" t="s">
        <v>213</v>
      </c>
      <c r="G499" s="97"/>
      <c r="H499" s="92" t="s">
        <v>265</v>
      </c>
      <c r="I499" s="98">
        <v>24927.45</v>
      </c>
      <c r="J499" s="98"/>
      <c r="K499" s="95" t="s">
        <v>214</v>
      </c>
      <c r="L499" s="96">
        <v>834706.75</v>
      </c>
    </row>
    <row r="500" spans="1:12" ht="51" x14ac:dyDescent="0.3">
      <c r="A500" s="90" t="s">
        <v>230</v>
      </c>
      <c r="B500" s="91" t="s">
        <v>1020</v>
      </c>
      <c r="C500" s="91" t="s">
        <v>291</v>
      </c>
      <c r="D500" s="91" t="s">
        <v>881</v>
      </c>
      <c r="E500" s="92" t="s">
        <v>292</v>
      </c>
      <c r="F500" s="97" t="s">
        <v>213</v>
      </c>
      <c r="G500" s="97"/>
      <c r="H500" s="92" t="s">
        <v>265</v>
      </c>
      <c r="I500" s="98">
        <v>8309.15</v>
      </c>
      <c r="J500" s="98"/>
      <c r="K500" s="95" t="s">
        <v>214</v>
      </c>
      <c r="L500" s="96">
        <v>826397.6</v>
      </c>
    </row>
    <row r="501" spans="1:12" ht="51" x14ac:dyDescent="0.3">
      <c r="A501" s="90" t="s">
        <v>230</v>
      </c>
      <c r="B501" s="91" t="s">
        <v>1021</v>
      </c>
      <c r="C501" s="91" t="s">
        <v>1022</v>
      </c>
      <c r="D501" s="91" t="s">
        <v>881</v>
      </c>
      <c r="E501" s="92" t="s">
        <v>292</v>
      </c>
      <c r="F501" s="97" t="s">
        <v>213</v>
      </c>
      <c r="G501" s="97"/>
      <c r="H501" s="92" t="s">
        <v>265</v>
      </c>
      <c r="I501" s="98">
        <v>33236.6</v>
      </c>
      <c r="J501" s="98"/>
      <c r="K501" s="95" t="s">
        <v>214</v>
      </c>
      <c r="L501" s="96">
        <v>793161</v>
      </c>
    </row>
    <row r="502" spans="1:12" ht="51" x14ac:dyDescent="0.3">
      <c r="A502" s="90" t="s">
        <v>230</v>
      </c>
      <c r="B502" s="91" t="s">
        <v>1021</v>
      </c>
      <c r="C502" s="91" t="s">
        <v>1022</v>
      </c>
      <c r="D502" s="91" t="s">
        <v>882</v>
      </c>
      <c r="E502" s="92" t="s">
        <v>292</v>
      </c>
      <c r="F502" s="97" t="s">
        <v>213</v>
      </c>
      <c r="G502" s="97"/>
      <c r="H502" s="92" t="s">
        <v>265</v>
      </c>
      <c r="I502" s="98">
        <v>33236.6</v>
      </c>
      <c r="J502" s="98"/>
      <c r="K502" s="95" t="s">
        <v>214</v>
      </c>
      <c r="L502" s="96">
        <v>759924.4</v>
      </c>
    </row>
    <row r="503" spans="1:12" ht="51" x14ac:dyDescent="0.3">
      <c r="A503" s="90" t="s">
        <v>230</v>
      </c>
      <c r="B503" s="91" t="s">
        <v>1021</v>
      </c>
      <c r="C503" s="91" t="s">
        <v>1022</v>
      </c>
      <c r="D503" s="91" t="s">
        <v>883</v>
      </c>
      <c r="E503" s="92" t="s">
        <v>292</v>
      </c>
      <c r="F503" s="97" t="s">
        <v>213</v>
      </c>
      <c r="G503" s="97"/>
      <c r="H503" s="92" t="s">
        <v>265</v>
      </c>
      <c r="I503" s="98">
        <v>8309.15</v>
      </c>
      <c r="J503" s="98"/>
      <c r="K503" s="95" t="s">
        <v>214</v>
      </c>
      <c r="L503" s="96">
        <v>751615.25</v>
      </c>
    </row>
    <row r="504" spans="1:12" ht="51" x14ac:dyDescent="0.3">
      <c r="A504" s="90" t="s">
        <v>230</v>
      </c>
      <c r="B504" s="91" t="s">
        <v>1021</v>
      </c>
      <c r="C504" s="91" t="s">
        <v>1022</v>
      </c>
      <c r="D504" s="91" t="s">
        <v>883</v>
      </c>
      <c r="E504" s="92" t="s">
        <v>292</v>
      </c>
      <c r="F504" s="97" t="s">
        <v>213</v>
      </c>
      <c r="G504" s="97"/>
      <c r="H504" s="92" t="s">
        <v>265</v>
      </c>
      <c r="I504" s="98">
        <v>33236.6</v>
      </c>
      <c r="J504" s="98"/>
      <c r="K504" s="95" t="s">
        <v>214</v>
      </c>
      <c r="L504" s="96">
        <v>718378.65</v>
      </c>
    </row>
    <row r="505" spans="1:12" ht="51" x14ac:dyDescent="0.3">
      <c r="A505" s="90" t="s">
        <v>230</v>
      </c>
      <c r="B505" s="91" t="s">
        <v>1021</v>
      </c>
      <c r="C505" s="91" t="s">
        <v>1022</v>
      </c>
      <c r="D505" s="91" t="s">
        <v>884</v>
      </c>
      <c r="E505" s="92" t="s">
        <v>292</v>
      </c>
      <c r="F505" s="97" t="s">
        <v>213</v>
      </c>
      <c r="G505" s="97"/>
      <c r="H505" s="92" t="s">
        <v>265</v>
      </c>
      <c r="I505" s="98">
        <v>33236.6</v>
      </c>
      <c r="J505" s="98"/>
      <c r="K505" s="95" t="s">
        <v>214</v>
      </c>
      <c r="L505" s="96">
        <v>685142.05</v>
      </c>
    </row>
    <row r="506" spans="1:12" ht="51" x14ac:dyDescent="0.3">
      <c r="A506" s="90" t="s">
        <v>230</v>
      </c>
      <c r="B506" s="91" t="s">
        <v>1021</v>
      </c>
      <c r="C506" s="91" t="s">
        <v>1022</v>
      </c>
      <c r="D506" s="91" t="s">
        <v>885</v>
      </c>
      <c r="E506" s="92" t="s">
        <v>292</v>
      </c>
      <c r="F506" s="97" t="s">
        <v>213</v>
      </c>
      <c r="G506" s="97"/>
      <c r="H506" s="92" t="s">
        <v>265</v>
      </c>
      <c r="I506" s="98">
        <v>8309.15</v>
      </c>
      <c r="J506" s="98"/>
      <c r="K506" s="95" t="s">
        <v>214</v>
      </c>
      <c r="L506" s="96">
        <v>676832.9</v>
      </c>
    </row>
    <row r="507" spans="1:12" ht="51" x14ac:dyDescent="0.3">
      <c r="A507" s="90" t="s">
        <v>230</v>
      </c>
      <c r="B507" s="91" t="s">
        <v>1021</v>
      </c>
      <c r="C507" s="91" t="s">
        <v>1022</v>
      </c>
      <c r="D507" s="91" t="s">
        <v>885</v>
      </c>
      <c r="E507" s="92" t="s">
        <v>292</v>
      </c>
      <c r="F507" s="97" t="s">
        <v>213</v>
      </c>
      <c r="G507" s="97"/>
      <c r="H507" s="92" t="s">
        <v>265</v>
      </c>
      <c r="I507" s="98">
        <v>33236.6</v>
      </c>
      <c r="J507" s="98"/>
      <c r="K507" s="95" t="s">
        <v>214</v>
      </c>
      <c r="L507" s="96">
        <v>643596.30000000005</v>
      </c>
    </row>
    <row r="508" spans="1:12" ht="51" x14ac:dyDescent="0.3">
      <c r="A508" s="90" t="s">
        <v>230</v>
      </c>
      <c r="B508" s="91" t="s">
        <v>1021</v>
      </c>
      <c r="C508" s="91" t="s">
        <v>1022</v>
      </c>
      <c r="D508" s="91" t="s">
        <v>886</v>
      </c>
      <c r="E508" s="92" t="s">
        <v>292</v>
      </c>
      <c r="F508" s="97" t="s">
        <v>213</v>
      </c>
      <c r="G508" s="97"/>
      <c r="H508" s="92" t="s">
        <v>265</v>
      </c>
      <c r="I508" s="98">
        <v>41545.75</v>
      </c>
      <c r="J508" s="98"/>
      <c r="K508" s="95" t="s">
        <v>214</v>
      </c>
      <c r="L508" s="96">
        <v>602050.55000000005</v>
      </c>
    </row>
    <row r="509" spans="1:12" ht="51" x14ac:dyDescent="0.3">
      <c r="A509" s="90" t="s">
        <v>230</v>
      </c>
      <c r="B509" s="91" t="s">
        <v>1021</v>
      </c>
      <c r="C509" s="91" t="s">
        <v>1022</v>
      </c>
      <c r="D509" s="91" t="s">
        <v>887</v>
      </c>
      <c r="E509" s="92" t="s">
        <v>292</v>
      </c>
      <c r="F509" s="97" t="s">
        <v>213</v>
      </c>
      <c r="G509" s="97"/>
      <c r="H509" s="92" t="s">
        <v>265</v>
      </c>
      <c r="I509" s="98">
        <v>33236.6</v>
      </c>
      <c r="J509" s="98"/>
      <c r="K509" s="95" t="s">
        <v>214</v>
      </c>
      <c r="L509" s="96">
        <v>568813.94999999995</v>
      </c>
    </row>
    <row r="510" spans="1:12" ht="51" x14ac:dyDescent="0.3">
      <c r="A510" s="90" t="s">
        <v>230</v>
      </c>
      <c r="B510" s="91" t="s">
        <v>1021</v>
      </c>
      <c r="C510" s="91" t="s">
        <v>1022</v>
      </c>
      <c r="D510" s="91" t="s">
        <v>888</v>
      </c>
      <c r="E510" s="92" t="s">
        <v>292</v>
      </c>
      <c r="F510" s="97" t="s">
        <v>213</v>
      </c>
      <c r="G510" s="97"/>
      <c r="H510" s="92" t="s">
        <v>265</v>
      </c>
      <c r="I510" s="98">
        <v>41545.75</v>
      </c>
      <c r="J510" s="98"/>
      <c r="K510" s="95" t="s">
        <v>214</v>
      </c>
      <c r="L510" s="96">
        <v>527268.19999999995</v>
      </c>
    </row>
    <row r="511" spans="1:12" ht="51" x14ac:dyDescent="0.3">
      <c r="A511" s="90" t="s">
        <v>230</v>
      </c>
      <c r="B511" s="91" t="s">
        <v>1021</v>
      </c>
      <c r="C511" s="91" t="s">
        <v>1022</v>
      </c>
      <c r="D511" s="91" t="s">
        <v>889</v>
      </c>
      <c r="E511" s="92" t="s">
        <v>292</v>
      </c>
      <c r="F511" s="97" t="s">
        <v>213</v>
      </c>
      <c r="G511" s="97"/>
      <c r="H511" s="92" t="s">
        <v>265</v>
      </c>
      <c r="I511" s="98">
        <v>33236.6</v>
      </c>
      <c r="J511" s="98"/>
      <c r="K511" s="95" t="s">
        <v>214</v>
      </c>
      <c r="L511" s="96">
        <v>494031.6</v>
      </c>
    </row>
    <row r="512" spans="1:12" ht="51" x14ac:dyDescent="0.3">
      <c r="A512" s="90" t="s">
        <v>230</v>
      </c>
      <c r="B512" s="91" t="s">
        <v>1021</v>
      </c>
      <c r="C512" s="91" t="s">
        <v>1022</v>
      </c>
      <c r="D512" s="91" t="s">
        <v>890</v>
      </c>
      <c r="E512" s="92" t="s">
        <v>292</v>
      </c>
      <c r="F512" s="97" t="s">
        <v>213</v>
      </c>
      <c r="G512" s="97"/>
      <c r="H512" s="92" t="s">
        <v>265</v>
      </c>
      <c r="I512" s="98">
        <v>41545.75</v>
      </c>
      <c r="J512" s="98"/>
      <c r="K512" s="95" t="s">
        <v>214</v>
      </c>
      <c r="L512" s="96">
        <v>452485.85</v>
      </c>
    </row>
    <row r="513" spans="1:12" ht="51" x14ac:dyDescent="0.3">
      <c r="A513" s="90" t="s">
        <v>230</v>
      </c>
      <c r="B513" s="91" t="s">
        <v>1021</v>
      </c>
      <c r="C513" s="91" t="s">
        <v>1022</v>
      </c>
      <c r="D513" s="91" t="s">
        <v>891</v>
      </c>
      <c r="E513" s="92" t="s">
        <v>292</v>
      </c>
      <c r="F513" s="97" t="s">
        <v>213</v>
      </c>
      <c r="G513" s="97"/>
      <c r="H513" s="92" t="s">
        <v>265</v>
      </c>
      <c r="I513" s="98">
        <v>33236.6</v>
      </c>
      <c r="J513" s="98"/>
      <c r="K513" s="95" t="s">
        <v>214</v>
      </c>
      <c r="L513" s="96">
        <v>419249.25</v>
      </c>
    </row>
    <row r="514" spans="1:12" ht="51" x14ac:dyDescent="0.3">
      <c r="A514" s="90" t="s">
        <v>230</v>
      </c>
      <c r="B514" s="91" t="s">
        <v>1021</v>
      </c>
      <c r="C514" s="91" t="s">
        <v>1022</v>
      </c>
      <c r="D514" s="91" t="s">
        <v>892</v>
      </c>
      <c r="E514" s="92" t="s">
        <v>292</v>
      </c>
      <c r="F514" s="97" t="s">
        <v>213</v>
      </c>
      <c r="G514" s="97"/>
      <c r="H514" s="92" t="s">
        <v>265</v>
      </c>
      <c r="I514" s="98">
        <v>33236.6</v>
      </c>
      <c r="J514" s="98"/>
      <c r="K514" s="95" t="s">
        <v>214</v>
      </c>
      <c r="L514" s="96">
        <v>386012.65</v>
      </c>
    </row>
    <row r="515" spans="1:12" ht="51" x14ac:dyDescent="0.3">
      <c r="A515" s="90" t="s">
        <v>230</v>
      </c>
      <c r="B515" s="91" t="s">
        <v>1021</v>
      </c>
      <c r="C515" s="91" t="s">
        <v>1022</v>
      </c>
      <c r="D515" s="91" t="s">
        <v>893</v>
      </c>
      <c r="E515" s="92" t="s">
        <v>292</v>
      </c>
      <c r="F515" s="97" t="s">
        <v>213</v>
      </c>
      <c r="G515" s="97"/>
      <c r="H515" s="92" t="s">
        <v>265</v>
      </c>
      <c r="I515" s="98">
        <v>8309.15</v>
      </c>
      <c r="J515" s="98"/>
      <c r="K515" s="95" t="s">
        <v>214</v>
      </c>
      <c r="L515" s="96">
        <v>377703.5</v>
      </c>
    </row>
    <row r="516" spans="1:12" ht="51" x14ac:dyDescent="0.3">
      <c r="A516" s="90" t="s">
        <v>230</v>
      </c>
      <c r="B516" s="91" t="s">
        <v>1021</v>
      </c>
      <c r="C516" s="91" t="s">
        <v>1022</v>
      </c>
      <c r="D516" s="91" t="s">
        <v>893</v>
      </c>
      <c r="E516" s="92" t="s">
        <v>292</v>
      </c>
      <c r="F516" s="97" t="s">
        <v>213</v>
      </c>
      <c r="G516" s="97"/>
      <c r="H516" s="92" t="s">
        <v>265</v>
      </c>
      <c r="I516" s="98">
        <v>33236.6</v>
      </c>
      <c r="J516" s="98"/>
      <c r="K516" s="95" t="s">
        <v>214</v>
      </c>
      <c r="L516" s="96">
        <v>344466.9</v>
      </c>
    </row>
    <row r="517" spans="1:12" ht="51" x14ac:dyDescent="0.3">
      <c r="A517" s="90" t="s">
        <v>230</v>
      </c>
      <c r="B517" s="91" t="s">
        <v>1021</v>
      </c>
      <c r="C517" s="91" t="s">
        <v>1022</v>
      </c>
      <c r="D517" s="91" t="s">
        <v>894</v>
      </c>
      <c r="E517" s="92" t="s">
        <v>292</v>
      </c>
      <c r="F517" s="97" t="s">
        <v>213</v>
      </c>
      <c r="G517" s="97"/>
      <c r="H517" s="92" t="s">
        <v>265</v>
      </c>
      <c r="I517" s="98">
        <v>33236.6</v>
      </c>
      <c r="J517" s="98"/>
      <c r="K517" s="95" t="s">
        <v>214</v>
      </c>
      <c r="L517" s="96">
        <v>311230.3</v>
      </c>
    </row>
    <row r="518" spans="1:12" ht="51" x14ac:dyDescent="0.3">
      <c r="A518" s="90" t="s">
        <v>230</v>
      </c>
      <c r="B518" s="91" t="s">
        <v>1021</v>
      </c>
      <c r="C518" s="91" t="s">
        <v>1022</v>
      </c>
      <c r="D518" s="91" t="s">
        <v>895</v>
      </c>
      <c r="E518" s="92" t="s">
        <v>292</v>
      </c>
      <c r="F518" s="97" t="s">
        <v>213</v>
      </c>
      <c r="G518" s="97"/>
      <c r="H518" s="92" t="s">
        <v>265</v>
      </c>
      <c r="I518" s="98">
        <v>8309.15</v>
      </c>
      <c r="J518" s="98"/>
      <c r="K518" s="95" t="s">
        <v>214</v>
      </c>
      <c r="L518" s="96">
        <v>302921.15000000002</v>
      </c>
    </row>
    <row r="519" spans="1:12" ht="51" x14ac:dyDescent="0.3">
      <c r="A519" s="90" t="s">
        <v>230</v>
      </c>
      <c r="B519" s="91" t="s">
        <v>1021</v>
      </c>
      <c r="C519" s="91" t="s">
        <v>1022</v>
      </c>
      <c r="D519" s="91" t="s">
        <v>895</v>
      </c>
      <c r="E519" s="92" t="s">
        <v>292</v>
      </c>
      <c r="F519" s="97" t="s">
        <v>213</v>
      </c>
      <c r="G519" s="97"/>
      <c r="H519" s="92" t="s">
        <v>265</v>
      </c>
      <c r="I519" s="98">
        <v>33236.6</v>
      </c>
      <c r="J519" s="98"/>
      <c r="K519" s="95" t="s">
        <v>214</v>
      </c>
      <c r="L519" s="96">
        <v>269684.55</v>
      </c>
    </row>
    <row r="520" spans="1:12" ht="51" x14ac:dyDescent="0.3">
      <c r="A520" s="90" t="s">
        <v>230</v>
      </c>
      <c r="B520" s="91" t="s">
        <v>1021</v>
      </c>
      <c r="C520" s="91" t="s">
        <v>1022</v>
      </c>
      <c r="D520" s="91" t="s">
        <v>896</v>
      </c>
      <c r="E520" s="92" t="s">
        <v>292</v>
      </c>
      <c r="F520" s="97" t="s">
        <v>213</v>
      </c>
      <c r="G520" s="97"/>
      <c r="H520" s="92" t="s">
        <v>265</v>
      </c>
      <c r="I520" s="98">
        <v>33236.6</v>
      </c>
      <c r="J520" s="98"/>
      <c r="K520" s="95" t="s">
        <v>214</v>
      </c>
      <c r="L520" s="96">
        <v>236447.95</v>
      </c>
    </row>
    <row r="521" spans="1:12" ht="51" x14ac:dyDescent="0.3">
      <c r="A521" s="90" t="s">
        <v>230</v>
      </c>
      <c r="B521" s="91" t="s">
        <v>1021</v>
      </c>
      <c r="C521" s="91" t="s">
        <v>1022</v>
      </c>
      <c r="D521" s="91" t="s">
        <v>897</v>
      </c>
      <c r="E521" s="92" t="s">
        <v>292</v>
      </c>
      <c r="F521" s="97" t="s">
        <v>213</v>
      </c>
      <c r="G521" s="97"/>
      <c r="H521" s="92" t="s">
        <v>265</v>
      </c>
      <c r="I521" s="98">
        <v>8309.15</v>
      </c>
      <c r="J521" s="98"/>
      <c r="K521" s="95" t="s">
        <v>214</v>
      </c>
      <c r="L521" s="96">
        <v>228138.8</v>
      </c>
    </row>
    <row r="522" spans="1:12" ht="51" x14ac:dyDescent="0.3">
      <c r="A522" s="90" t="s">
        <v>230</v>
      </c>
      <c r="B522" s="91" t="s">
        <v>1021</v>
      </c>
      <c r="C522" s="91" t="s">
        <v>1022</v>
      </c>
      <c r="D522" s="91" t="s">
        <v>897</v>
      </c>
      <c r="E522" s="92" t="s">
        <v>292</v>
      </c>
      <c r="F522" s="97" t="s">
        <v>213</v>
      </c>
      <c r="G522" s="97"/>
      <c r="H522" s="92" t="s">
        <v>265</v>
      </c>
      <c r="I522" s="98">
        <v>33236.6</v>
      </c>
      <c r="J522" s="98"/>
      <c r="K522" s="95" t="s">
        <v>214</v>
      </c>
      <c r="L522" s="96">
        <v>194902.2</v>
      </c>
    </row>
    <row r="523" spans="1:12" ht="51" x14ac:dyDescent="0.3">
      <c r="A523" s="90" t="s">
        <v>230</v>
      </c>
      <c r="B523" s="91" t="s">
        <v>1021</v>
      </c>
      <c r="C523" s="91" t="s">
        <v>1022</v>
      </c>
      <c r="D523" s="91" t="s">
        <v>898</v>
      </c>
      <c r="E523" s="92" t="s">
        <v>292</v>
      </c>
      <c r="F523" s="97" t="s">
        <v>213</v>
      </c>
      <c r="G523" s="97"/>
      <c r="H523" s="92" t="s">
        <v>265</v>
      </c>
      <c r="I523" s="98">
        <v>33236.6</v>
      </c>
      <c r="J523" s="98"/>
      <c r="K523" s="95" t="s">
        <v>214</v>
      </c>
      <c r="L523" s="96">
        <v>161665.60000000001</v>
      </c>
    </row>
    <row r="524" spans="1:12" ht="51" x14ac:dyDescent="0.3">
      <c r="A524" s="90" t="s">
        <v>230</v>
      </c>
      <c r="B524" s="91" t="s">
        <v>1021</v>
      </c>
      <c r="C524" s="91" t="s">
        <v>1022</v>
      </c>
      <c r="D524" s="91" t="s">
        <v>899</v>
      </c>
      <c r="E524" s="92" t="s">
        <v>292</v>
      </c>
      <c r="F524" s="97" t="s">
        <v>213</v>
      </c>
      <c r="G524" s="97"/>
      <c r="H524" s="92" t="s">
        <v>265</v>
      </c>
      <c r="I524" s="98">
        <v>8309.15</v>
      </c>
      <c r="J524" s="98"/>
      <c r="K524" s="95" t="s">
        <v>214</v>
      </c>
      <c r="L524" s="96">
        <v>153356.45000000001</v>
      </c>
    </row>
    <row r="525" spans="1:12" ht="51" x14ac:dyDescent="0.3">
      <c r="A525" s="90" t="s">
        <v>230</v>
      </c>
      <c r="B525" s="91" t="s">
        <v>1021</v>
      </c>
      <c r="C525" s="91" t="s">
        <v>1022</v>
      </c>
      <c r="D525" s="91" t="s">
        <v>899</v>
      </c>
      <c r="E525" s="92" t="s">
        <v>292</v>
      </c>
      <c r="F525" s="97" t="s">
        <v>213</v>
      </c>
      <c r="G525" s="97"/>
      <c r="H525" s="92" t="s">
        <v>265</v>
      </c>
      <c r="I525" s="98">
        <v>33236.6</v>
      </c>
      <c r="J525" s="98"/>
      <c r="K525" s="95" t="s">
        <v>214</v>
      </c>
      <c r="L525" s="96">
        <v>120119.85</v>
      </c>
    </row>
    <row r="526" spans="1:12" ht="51" x14ac:dyDescent="0.3">
      <c r="A526" s="90" t="s">
        <v>230</v>
      </c>
      <c r="B526" s="91" t="s">
        <v>1021</v>
      </c>
      <c r="C526" s="91" t="s">
        <v>1022</v>
      </c>
      <c r="D526" s="91" t="s">
        <v>900</v>
      </c>
      <c r="E526" s="92" t="s">
        <v>292</v>
      </c>
      <c r="F526" s="97" t="s">
        <v>213</v>
      </c>
      <c r="G526" s="97"/>
      <c r="H526" s="92" t="s">
        <v>265</v>
      </c>
      <c r="I526" s="98">
        <v>33236.6</v>
      </c>
      <c r="J526" s="98"/>
      <c r="K526" s="95" t="s">
        <v>214</v>
      </c>
      <c r="L526" s="96">
        <v>86883.25</v>
      </c>
    </row>
    <row r="527" spans="1:12" ht="51" x14ac:dyDescent="0.3">
      <c r="A527" s="90" t="s">
        <v>230</v>
      </c>
      <c r="B527" s="91" t="s">
        <v>1021</v>
      </c>
      <c r="C527" s="91" t="s">
        <v>1022</v>
      </c>
      <c r="D527" s="91" t="s">
        <v>901</v>
      </c>
      <c r="E527" s="92" t="s">
        <v>292</v>
      </c>
      <c r="F527" s="97" t="s">
        <v>213</v>
      </c>
      <c r="G527" s="97"/>
      <c r="H527" s="92" t="s">
        <v>265</v>
      </c>
      <c r="I527" s="98">
        <v>8309.15</v>
      </c>
      <c r="J527" s="98"/>
      <c r="K527" s="95" t="s">
        <v>214</v>
      </c>
      <c r="L527" s="96">
        <v>78574.100000000006</v>
      </c>
    </row>
    <row r="528" spans="1:12" ht="51" x14ac:dyDescent="0.3">
      <c r="A528" s="90" t="s">
        <v>230</v>
      </c>
      <c r="B528" s="91" t="s">
        <v>1021</v>
      </c>
      <c r="C528" s="91" t="s">
        <v>1022</v>
      </c>
      <c r="D528" s="91" t="s">
        <v>901</v>
      </c>
      <c r="E528" s="92" t="s">
        <v>292</v>
      </c>
      <c r="F528" s="97" t="s">
        <v>213</v>
      </c>
      <c r="G528" s="97"/>
      <c r="H528" s="92" t="s">
        <v>265</v>
      </c>
      <c r="I528" s="98">
        <v>33236.6</v>
      </c>
      <c r="J528" s="98"/>
      <c r="K528" s="95" t="s">
        <v>214</v>
      </c>
      <c r="L528" s="96">
        <v>45337.5</v>
      </c>
    </row>
    <row r="529" spans="1:12" ht="51" x14ac:dyDescent="0.3">
      <c r="A529" s="90" t="s">
        <v>230</v>
      </c>
      <c r="B529" s="91" t="s">
        <v>1021</v>
      </c>
      <c r="C529" s="91" t="s">
        <v>1022</v>
      </c>
      <c r="D529" s="91" t="s">
        <v>837</v>
      </c>
      <c r="E529" s="92" t="s">
        <v>292</v>
      </c>
      <c r="F529" s="97" t="s">
        <v>213</v>
      </c>
      <c r="G529" s="97"/>
      <c r="H529" s="92" t="s">
        <v>265</v>
      </c>
      <c r="I529" s="98">
        <v>45337.5</v>
      </c>
      <c r="J529" s="98"/>
      <c r="K529" s="95"/>
      <c r="L529" s="99"/>
    </row>
    <row r="530" spans="1:12" hidden="1" x14ac:dyDescent="0.3">
      <c r="A530" s="100" t="s">
        <v>238</v>
      </c>
      <c r="B530" s="100"/>
      <c r="C530" s="100"/>
      <c r="D530" s="100"/>
      <c r="E530" s="101">
        <v>8538779.8000000007</v>
      </c>
      <c r="F530" s="101"/>
      <c r="G530" s="101"/>
      <c r="H530" s="101">
        <v>8538779.8000000007</v>
      </c>
      <c r="I530" s="101"/>
      <c r="J530" s="101"/>
      <c r="K530" s="102"/>
      <c r="L530" s="103">
        <v>0</v>
      </c>
    </row>
    <row r="532" spans="1:12" x14ac:dyDescent="0.3">
      <c r="I532" t="s">
        <v>1015</v>
      </c>
      <c r="J532" s="4">
        <f>SUBTOTAL(9,I259:J529)</f>
        <v>8538779.7999999952</v>
      </c>
      <c r="K532" s="4">
        <f>J532*1.2</f>
        <v>10246535.759999994</v>
      </c>
    </row>
    <row r="535" spans="1:12" x14ac:dyDescent="0.3">
      <c r="I535" t="s">
        <v>1023</v>
      </c>
      <c r="K535" s="4">
        <f>K532+Глобино_Списания!K586+Глобино_Списания!K585</f>
        <v>11360502.095999995</v>
      </c>
    </row>
    <row r="536" spans="1:12" x14ac:dyDescent="0.3">
      <c r="K536" s="4"/>
    </row>
    <row r="537" spans="1:12" x14ac:dyDescent="0.3">
      <c r="K537" s="4">
        <v>10996478.772</v>
      </c>
    </row>
    <row r="538" spans="1:12" x14ac:dyDescent="0.3">
      <c r="K538" s="4"/>
    </row>
    <row r="539" spans="1:12" x14ac:dyDescent="0.3">
      <c r="J539" t="s">
        <v>1024</v>
      </c>
      <c r="K539" s="104">
        <f>K535-K537</f>
        <v>364023.32399999537</v>
      </c>
    </row>
    <row r="540" spans="1:12" x14ac:dyDescent="0.3">
      <c r="K540" s="4"/>
    </row>
  </sheetData>
  <autoFilter ref="A1:L530">
    <filterColumn colId="1">
      <filters>
        <filter val="Вимога-накладна ІБ00-000377 від 07.10.2024 10:00:00_x000a_Списаны ТМЦ"/>
        <filter val="Вимога-накладна ІБ00-000379 від 07.10.2024 10:00:00_x000a_Списаны ТМЦ"/>
        <filter val="Вимога-накладна ІБ00-000380 від 07.10.2024 10:00:00_x000a_Списаны ТМЦ"/>
        <filter val="Вимога-накладна ІБ00-000406 від 07.10.2024 10:00:00_x000a_Списаны ТМЦ"/>
        <filter val="Вимога-накладна ІБ00-000407 від 07.10.2024 10:00:00_x000a_Списаны ТМЦ"/>
        <filter val="Вимога-накладна ІБ00-000470 від 07.10.2024 1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66">
    <mergeCell ref="F529:G529"/>
    <mergeCell ref="I529:J529"/>
    <mergeCell ref="A530:D530"/>
    <mergeCell ref="E530:G530"/>
    <mergeCell ref="H530:J530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Акты</vt:lpstr>
      <vt:lpstr>Лист2</vt:lpstr>
      <vt:lpstr>Астарта</vt:lpstr>
      <vt:lpstr>Глобино_Списания</vt:lpstr>
      <vt:lpstr>Глобино_склад для списания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2024-11-14T12:43:22Z</dcterms:created>
  <dcterms:modified xsi:type="dcterms:W3CDTF">2024-11-18T15:19:44Z</dcterms:modified>
</cp:coreProperties>
</file>
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8680" yWindow="-120" windowWidth="23256" windowHeight="13176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Закриті АВР з мат. зам" sheetId="29" r:id="rId4"/>
    <sheet name="Закриті АВР+незакриті" sheetId="30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5" hidden="1">'10 акт переносится'!$A$7:$AD$31</definedName>
    <definedName name="_xlnm._FilterDatabase" localSheetId="3" hidden="1">'Закриті АВР з мат. зам'!$A$4:$AF$84</definedName>
    <definedName name="_xlnm._FilterDatabase" localSheetId="4" hidden="1">'Закриті АВР+незакриті'!$A$4:$AB$96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Print_Area" localSheetId="5">'10 акт переносится'!$A$2:$Y$72</definedName>
    <definedName name="_xlnm.Print_Area" localSheetId="3">'Закриті АВР з мат. зам'!$A$1:$I$103</definedName>
    <definedName name="_xlnm.Print_Area" localSheetId="4">'Закриті АВР+незакриті'!$A$1:$I$115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</definedNames>
  <calcPr calcId="145621"/>
</workbook>
</file>

<file path=xl/calcChain.xml><?xml version="1.0" encoding="utf-8"?>
<calcChain xmlns="http://schemas.openxmlformats.org/spreadsheetml/2006/main">
  <c r="E99" i="30" l="1"/>
  <c r="M91" i="30" l="1"/>
  <c r="K19" i="30" l="1"/>
  <c r="K18" i="30"/>
  <c r="K17" i="30" l="1"/>
  <c r="F73" i="30"/>
  <c r="H91" i="30"/>
  <c r="E96" i="30"/>
  <c r="E98" i="30" s="1"/>
  <c r="G89" i="30"/>
  <c r="H89" i="30" s="1"/>
  <c r="G77" i="30"/>
  <c r="H77" i="30" s="1"/>
  <c r="G72" i="30"/>
  <c r="H72" i="30" s="1"/>
  <c r="G73" i="30"/>
  <c r="H73" i="30" s="1"/>
  <c r="G65" i="30"/>
  <c r="H65" i="30" s="1"/>
  <c r="G64" i="30"/>
  <c r="H64" i="30" s="1"/>
  <c r="G63" i="30"/>
  <c r="H63" i="30" s="1"/>
  <c r="G53" i="30"/>
  <c r="H53" i="30" s="1"/>
  <c r="G17" i="30"/>
  <c r="H17" i="30" s="1"/>
  <c r="G16" i="30"/>
  <c r="H16" i="30" s="1"/>
  <c r="G18" i="30"/>
  <c r="H18" i="30" s="1"/>
  <c r="G19" i="30"/>
  <c r="H19" i="30" s="1"/>
  <c r="G20" i="30"/>
  <c r="H20" i="30" s="1"/>
  <c r="G15" i="30"/>
  <c r="H15" i="30" s="1"/>
  <c r="G54" i="30"/>
  <c r="H54" i="30" s="1"/>
  <c r="F96" i="30" l="1"/>
  <c r="G95" i="30"/>
  <c r="H95" i="30" s="1"/>
  <c r="G94" i="30"/>
  <c r="H94" i="30" s="1"/>
  <c r="G93" i="30"/>
  <c r="H93" i="30" s="1"/>
  <c r="G92" i="30"/>
  <c r="H92" i="30" s="1"/>
  <c r="G90" i="30"/>
  <c r="H90" i="30" s="1"/>
  <c r="G88" i="30"/>
  <c r="H88" i="30" s="1"/>
  <c r="G87" i="30"/>
  <c r="H87" i="30" s="1"/>
  <c r="G86" i="30"/>
  <c r="H86" i="30" s="1"/>
  <c r="G85" i="30"/>
  <c r="H85" i="30" s="1"/>
  <c r="G84" i="30"/>
  <c r="H84" i="30" s="1"/>
  <c r="G83" i="30"/>
  <c r="H83" i="30" s="1"/>
  <c r="G82" i="30"/>
  <c r="H82" i="30" s="1"/>
  <c r="G81" i="30"/>
  <c r="H81" i="30" s="1"/>
  <c r="G80" i="30"/>
  <c r="H80" i="30" s="1"/>
  <c r="G79" i="30"/>
  <c r="H79" i="30" s="1"/>
  <c r="G78" i="30"/>
  <c r="H78" i="30" s="1"/>
  <c r="G76" i="30"/>
  <c r="H76" i="30" s="1"/>
  <c r="G75" i="30"/>
  <c r="H75" i="30" s="1"/>
  <c r="G74" i="30"/>
  <c r="H74" i="30" s="1"/>
  <c r="G71" i="30"/>
  <c r="H71" i="30" s="1"/>
  <c r="G70" i="30"/>
  <c r="H70" i="30" s="1"/>
  <c r="G69" i="30"/>
  <c r="H69" i="30" s="1"/>
  <c r="G68" i="30"/>
  <c r="H68" i="30" s="1"/>
  <c r="H67" i="30"/>
  <c r="G66" i="30"/>
  <c r="H66" i="30" s="1"/>
  <c r="G62" i="30"/>
  <c r="H62" i="30" s="1"/>
  <c r="G61" i="30"/>
  <c r="H61" i="30" s="1"/>
  <c r="G60" i="30"/>
  <c r="H60" i="30" s="1"/>
  <c r="G59" i="30"/>
  <c r="H59" i="30" s="1"/>
  <c r="G58" i="30"/>
  <c r="H58" i="30" s="1"/>
  <c r="G57" i="30"/>
  <c r="H57" i="30" s="1"/>
  <c r="G56" i="30"/>
  <c r="H56" i="30" s="1"/>
  <c r="G55" i="30"/>
  <c r="H55" i="30" s="1"/>
  <c r="G52" i="30"/>
  <c r="H52" i="30" s="1"/>
  <c r="G51" i="30"/>
  <c r="H51" i="30" s="1"/>
  <c r="G50" i="30"/>
  <c r="H50" i="30" s="1"/>
  <c r="G49" i="30"/>
  <c r="H49" i="30" s="1"/>
  <c r="G48" i="30"/>
  <c r="H48" i="30" s="1"/>
  <c r="G47" i="30"/>
  <c r="H47" i="30" s="1"/>
  <c r="G46" i="30"/>
  <c r="H46" i="30" s="1"/>
  <c r="G45" i="30"/>
  <c r="H45" i="30" s="1"/>
  <c r="G44" i="30"/>
  <c r="H44" i="30" s="1"/>
  <c r="G43" i="30"/>
  <c r="H43" i="30" s="1"/>
  <c r="G42" i="30"/>
  <c r="H42" i="30" s="1"/>
  <c r="G41" i="30"/>
  <c r="H41" i="30" s="1"/>
  <c r="G40" i="30"/>
  <c r="H40" i="30" s="1"/>
  <c r="G39" i="30"/>
  <c r="H39" i="30" s="1"/>
  <c r="G38" i="30"/>
  <c r="H38" i="30" s="1"/>
  <c r="G37" i="30"/>
  <c r="H37" i="30" s="1"/>
  <c r="G36" i="30"/>
  <c r="H36" i="30" s="1"/>
  <c r="G35" i="30"/>
  <c r="H35" i="30" s="1"/>
  <c r="G34" i="30"/>
  <c r="H34" i="30" s="1"/>
  <c r="G33" i="30"/>
  <c r="H33" i="30" s="1"/>
  <c r="G32" i="30"/>
  <c r="H32" i="30" s="1"/>
  <c r="G31" i="30"/>
  <c r="H31" i="30" s="1"/>
  <c r="G30" i="30"/>
  <c r="H30" i="30" s="1"/>
  <c r="G29" i="30"/>
  <c r="H29" i="30" s="1"/>
  <c r="G28" i="30"/>
  <c r="H28" i="30" s="1"/>
  <c r="G27" i="30"/>
  <c r="H27" i="30" s="1"/>
  <c r="G26" i="30"/>
  <c r="H26" i="30" s="1"/>
  <c r="G25" i="30"/>
  <c r="H25" i="30" s="1"/>
  <c r="G24" i="30"/>
  <c r="H24" i="30" s="1"/>
  <c r="G23" i="30"/>
  <c r="H23" i="30" s="1"/>
  <c r="G22" i="30"/>
  <c r="H22" i="30" s="1"/>
  <c r="G21" i="30"/>
  <c r="H21" i="30" s="1"/>
  <c r="G14" i="30"/>
  <c r="H14" i="30" s="1"/>
  <c r="G13" i="30"/>
  <c r="H13" i="30" s="1"/>
  <c r="G12" i="30"/>
  <c r="H12" i="30" s="1"/>
  <c r="G11" i="30"/>
  <c r="H11" i="30" s="1"/>
  <c r="G10" i="30"/>
  <c r="H10" i="30" s="1"/>
  <c r="G9" i="30"/>
  <c r="H9" i="30" s="1"/>
  <c r="G8" i="30"/>
  <c r="H8" i="30" s="1"/>
  <c r="G7" i="30"/>
  <c r="H7" i="30" s="1"/>
  <c r="G6" i="30"/>
  <c r="H6" i="30" s="1"/>
  <c r="G5" i="30"/>
  <c r="E94" i="29"/>
  <c r="E93" i="29"/>
  <c r="E90" i="29"/>
  <c r="E88" i="29"/>
  <c r="G67" i="29"/>
  <c r="H67" i="29" s="1"/>
  <c r="G64" i="29"/>
  <c r="H64" i="29" s="1"/>
  <c r="G48" i="29"/>
  <c r="H48" i="29" s="1"/>
  <c r="G47" i="29"/>
  <c r="H47" i="29" s="1"/>
  <c r="G46" i="29"/>
  <c r="H46" i="29"/>
  <c r="E101" i="29"/>
  <c r="E100" i="29"/>
  <c r="E99" i="29"/>
  <c r="A99" i="29"/>
  <c r="E98" i="29"/>
  <c r="E97" i="29"/>
  <c r="E96" i="29"/>
  <c r="E95" i="29"/>
  <c r="E92" i="29"/>
  <c r="E91" i="29"/>
  <c r="E87" i="29"/>
  <c r="F84" i="29"/>
  <c r="E84" i="29"/>
  <c r="G83" i="29"/>
  <c r="H83" i="29" s="1"/>
  <c r="G82" i="29"/>
  <c r="H82" i="29" s="1"/>
  <c r="G81" i="29"/>
  <c r="H81" i="29" s="1"/>
  <c r="G80" i="29"/>
  <c r="H80" i="29" s="1"/>
  <c r="G79" i="29"/>
  <c r="H79" i="29" s="1"/>
  <c r="G78" i="29"/>
  <c r="H78" i="29" s="1"/>
  <c r="G77" i="29"/>
  <c r="H77" i="29" s="1"/>
  <c r="G76" i="29"/>
  <c r="H76" i="29" s="1"/>
  <c r="G75" i="29"/>
  <c r="H75" i="29" s="1"/>
  <c r="G74" i="29"/>
  <c r="H74" i="29" s="1"/>
  <c r="G73" i="29"/>
  <c r="H73" i="29" s="1"/>
  <c r="G72" i="29"/>
  <c r="H72" i="29" s="1"/>
  <c r="G71" i="29"/>
  <c r="H71" i="29" s="1"/>
  <c r="G70" i="29"/>
  <c r="H70" i="29" s="1"/>
  <c r="G69" i="29"/>
  <c r="H69" i="29" s="1"/>
  <c r="G68" i="29"/>
  <c r="H68" i="29" s="1"/>
  <c r="G66" i="29"/>
  <c r="H66" i="29" s="1"/>
  <c r="G65" i="29"/>
  <c r="H65" i="29" s="1"/>
  <c r="G63" i="29"/>
  <c r="H63" i="29" s="1"/>
  <c r="G62" i="29"/>
  <c r="H62" i="29" s="1"/>
  <c r="G61" i="29"/>
  <c r="H61" i="29" s="1"/>
  <c r="H60" i="29"/>
  <c r="G59" i="29"/>
  <c r="H59" i="29" s="1"/>
  <c r="G57" i="29"/>
  <c r="H57" i="29" s="1"/>
  <c r="G56" i="29"/>
  <c r="H56" i="29" s="1"/>
  <c r="G55" i="29"/>
  <c r="H55" i="29" s="1"/>
  <c r="G54" i="29"/>
  <c r="H54" i="29" s="1"/>
  <c r="G53" i="29"/>
  <c r="H53" i="29" s="1"/>
  <c r="G52" i="29"/>
  <c r="H52" i="29" s="1"/>
  <c r="G51" i="29"/>
  <c r="H51" i="29" s="1"/>
  <c r="G50" i="29"/>
  <c r="H50" i="29" s="1"/>
  <c r="G49" i="29"/>
  <c r="H49" i="29" s="1"/>
  <c r="G45" i="29"/>
  <c r="H45" i="29" s="1"/>
  <c r="G44" i="29"/>
  <c r="H44" i="29" s="1"/>
  <c r="G43" i="29"/>
  <c r="H43" i="29" s="1"/>
  <c r="G42" i="29"/>
  <c r="H42" i="29" s="1"/>
  <c r="G41" i="29"/>
  <c r="H41" i="29" s="1"/>
  <c r="G40" i="29"/>
  <c r="H40" i="29" s="1"/>
  <c r="G39" i="29"/>
  <c r="H39" i="29" s="1"/>
  <c r="G38" i="29"/>
  <c r="H38" i="29" s="1"/>
  <c r="G37" i="29"/>
  <c r="H37" i="29" s="1"/>
  <c r="G36" i="29"/>
  <c r="H36" i="29" s="1"/>
  <c r="G35" i="29"/>
  <c r="H35" i="29" s="1"/>
  <c r="G34" i="29"/>
  <c r="H34" i="29" s="1"/>
  <c r="G33" i="29"/>
  <c r="H33" i="29" s="1"/>
  <c r="G32" i="29"/>
  <c r="H32" i="29" s="1"/>
  <c r="G31" i="29"/>
  <c r="H31" i="29" s="1"/>
  <c r="G30" i="29"/>
  <c r="H30" i="29" s="1"/>
  <c r="G29" i="29"/>
  <c r="H29" i="29" s="1"/>
  <c r="G28" i="29"/>
  <c r="H28" i="29" s="1"/>
  <c r="G27" i="29"/>
  <c r="H27" i="29" s="1"/>
  <c r="G26" i="29"/>
  <c r="H26" i="29" s="1"/>
  <c r="G25" i="29"/>
  <c r="H25" i="29" s="1"/>
  <c r="G24" i="29"/>
  <c r="H24" i="29" s="1"/>
  <c r="G23" i="29"/>
  <c r="H23" i="29" s="1"/>
  <c r="G22" i="29"/>
  <c r="H22" i="29" s="1"/>
  <c r="G21" i="29"/>
  <c r="H21" i="29" s="1"/>
  <c r="G20" i="29"/>
  <c r="H20" i="29" s="1"/>
  <c r="G19" i="29"/>
  <c r="H19" i="29" s="1"/>
  <c r="G18" i="29"/>
  <c r="H18" i="29" s="1"/>
  <c r="G17" i="29"/>
  <c r="H17" i="29" s="1"/>
  <c r="G16" i="29"/>
  <c r="H16" i="29" s="1"/>
  <c r="G15" i="29"/>
  <c r="H15" i="29" s="1"/>
  <c r="G14" i="29"/>
  <c r="H14" i="29" s="1"/>
  <c r="G13" i="29"/>
  <c r="H13" i="29" s="1"/>
  <c r="G12" i="29"/>
  <c r="H12" i="29" s="1"/>
  <c r="G11" i="29"/>
  <c r="H11" i="29" s="1"/>
  <c r="G10" i="29"/>
  <c r="H10" i="29" s="1"/>
  <c r="G9" i="29"/>
  <c r="H9" i="29" s="1"/>
  <c r="G8" i="29"/>
  <c r="H8" i="29" s="1"/>
  <c r="G7" i="29"/>
  <c r="H7" i="29" s="1"/>
  <c r="G6" i="29"/>
  <c r="H6" i="29" s="1"/>
  <c r="G5" i="29"/>
  <c r="H5" i="29" s="1"/>
  <c r="G96" i="30" l="1"/>
  <c r="H5" i="30"/>
  <c r="H96" i="30" s="1"/>
  <c r="E89" i="29"/>
  <c r="G84" i="29"/>
  <c r="H84" i="29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<sst xmlns="http://schemas.openxmlformats.org/spreadsheetml/2006/main" count="508" uniqueCount="221">
  <si>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</si>
  <si>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</si>
  <si>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</si>
  <si>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</si>
  <si>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</si>
  <si>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</si>
  <si>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</si>
  <si>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</si>
  <si>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</si>
  <si>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</si>
  <si>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</si>
  <si>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</si>
  <si>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</si>
  <si>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</si>
  <si>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</si>
  <si>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</si>
  <si>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</si>
  <si>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</si>
  <si>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</si>
  <si>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</si>
  <si>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</si>
  <si>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</si>
  <si>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</si>
  <si>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</si>
  <si>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</si>
  <si>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</si>
  <si>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</si>
  <si>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</si>
  <si>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</si>
  <si>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</si>
  <si>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</si>
  <si>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</si>
  <si>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</si>
  <si>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</si>
  <si>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</si>
  <si>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</si>
  <si>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</si>
  <si>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</si>
  <si>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</si>
  <si>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</si>
  <si>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</si>
  <si>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</si>
  <si>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</si>
  <si>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</si>
  <si>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</si>
  <si>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</si>
  <si>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</si>
  <si>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</si>
  <si>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</si>
  <si>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</si>
  <si>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</si>
  <si>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</si>
  <si>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</si>
  <si>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</si>
  <si>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</si>
  <si>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</si>
  <si>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</si>
  <si>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</si>
  <si>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</si>
  <si>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</si>
  <si>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</si>
  <si>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</si>
  <si>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</si>
  <si>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</si>
  <si>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</si>
  <si>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</si>
  <si>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</si>
  <si>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</si>
  <si>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</si>
  <si>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</si>
  <si>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</si>
  <si>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</si>
  <si>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</si>
  <si>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</si>
  <si>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</si>
  <si>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</si>
  <si>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</si>
  <si>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</si>
  <si>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</si>
  <si>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</si>
  <si>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</si>
  <si>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</si>
  <si>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</si>
  <si>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</si>
  <si>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</si>
  <si>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</si>
  <si>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</si>
  <si>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</si>
  <si>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</si>
  <si>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</si>
  <si>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</si>
  <si>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</si>
  <si>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</si>
  <si>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</si>
  <si>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</si>
  <si>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</si>
  <si>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</si>
  <si>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</si>
  <si>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</si>
  <si>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</si>
  <si>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</si>
  <si>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</si>
  <si>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</si>
  <si>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</si>
  <si>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</si>
  <si>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</si>
  <si>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</si>
  <si>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</si>
  <si>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</si>
  <si>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</si>
  <si>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</si>
  <si>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</si>
  <si>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</si>
  <si>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</si>
  <si>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</si>
  <si>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</si>
  <si>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</si>
  <si>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</si>
  <si>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</si>
  <si>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</si>
  <si>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</si>
  <si>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</si>
  <si>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</si>
  <si>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</si>
  <si>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</si>
  <si>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</si>
  <si>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</si>
  <si>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</si>
  <si>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</si>
  <si>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</si>
  <si>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</si>
  <si>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</si>
  <si>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</si>
  <si>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</si>
  <si>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</si>
  <si>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</si>
  <si>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</si>
  <si>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</si>
  <si>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</si>
  <si>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</si>
  <si>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</si>
  <si>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</si>
  <si>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</si>
  <si>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</si>
  <si>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</si>
  <si>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</si>
  <si>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</si>
  <si>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</si>
  <si>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</si>
  <si>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</si>
  <si>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</si>
  <si>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</si>
  <si>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</si>
  <si>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</si>
  <si>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</si>
  <si>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</si>
  <si>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</si>
  <si>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</si>
  <si>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</si>
  <si>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</si>
  <si>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</si>
  <si>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</si>
  <si>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</si>
  <si>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</si>
  <si>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</si>
  <si>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</si>
  <si>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</si>
  <si>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</si>
  <si>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</si>
  <si>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</si>
  <si>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</si>
  <si>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</si>
  <si>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</si>
  <si>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</si>
  <si>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</si>
  <si>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</si>
  <si>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</si>
  <si>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</si>
  <si>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</si>
  <si>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</si>
  <si>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</si>
  <si>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</si>
  <si>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</si>
  <si>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</si>
  <si>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</si>
  <si>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</si>
  <si>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Роботи з ПДВ, грн</t>
  </si>
  <si>
    <t>Матеріали з ПДВ, грн</t>
  </si>
  <si>
    <t>Всього по ДЦ  з ПДВ, грн</t>
  </si>
  <si>
    <t>АКТИ</t>
  </si>
  <si>
    <t>Всього, грн з ПДВ</t>
  </si>
  <si>
    <t>Земляні роботи</t>
  </si>
  <si>
    <t>Конструкції залізобетонні</t>
  </si>
  <si>
    <t>Водозниження</t>
  </si>
  <si>
    <t>Каналізація ( в плиті)</t>
  </si>
  <si>
    <t>Хім. Анкера (дефектний акт.№5)</t>
  </si>
  <si>
    <t>Електрообігрів бетону</t>
  </si>
  <si>
    <t>Зворотня засипка піском</t>
  </si>
  <si>
    <t>Водозниження (ВУХО)</t>
  </si>
  <si>
    <t>Армування підбетонки; Двері; Бентонітовий шнур</t>
  </si>
  <si>
    <t>Дорога до відвалу +Водовідведення Зумпф,дорога для крана</t>
  </si>
  <si>
    <t>Заїзд в котлован</t>
  </si>
  <si>
    <t>Водозниження (травень)</t>
  </si>
  <si>
    <t>Гідроізоляція котловану</t>
  </si>
  <si>
    <t>№F-20231127-1</t>
  </si>
  <si>
    <t>Гідроізоляція автоклаву</t>
  </si>
  <si>
    <t>Гідрошпонка</t>
  </si>
  <si>
    <r>
      <t xml:space="preserve"> Реєстр актів виконаних робіт по об'єкту: </t>
    </r>
    <r>
      <rPr>
        <b/>
        <i/>
        <u/>
        <sz val="16"/>
        <rFont val="Times New Roman"/>
        <family val="1"/>
        <charset val="204"/>
      </rPr>
      <t>"Нове будівництво виробничого комплексу центру передових технологій за адресою: вул. Авіаційна,
с.Крушинка, Фастівського району, Київської області"</t>
    </r>
  </si>
  <si>
    <t>2023 р.</t>
  </si>
  <si>
    <t>2024 р.</t>
  </si>
  <si>
    <t>ДУ№1;№13</t>
  </si>
  <si>
    <t>Вартість матеріалів замовника без ПДВ</t>
  </si>
  <si>
    <t xml:space="preserve">Роботи потрібно переробити </t>
  </si>
  <si>
    <t>Закрито</t>
  </si>
  <si>
    <t>Незакрито</t>
  </si>
  <si>
    <t>Оригінал актів замовник повернув мотивуючи наявністю дефектного акту згідно якого АВР потрібно корегувати передаємо оригінал 22 10 2024</t>
  </si>
  <si>
    <t>передаємо оригінал 22 10 2024</t>
  </si>
  <si>
    <t>Замовник не прийняв авр мотивуючи наявністю дефектного акту передаємо оригінал 22 10 2024</t>
  </si>
  <si>
    <t>Лист від замовника від 12.09.2024 Усунути зауваження передаємо оригінал 22 10 2024</t>
  </si>
  <si>
    <t>передаємо оригінал 22 10 2024/ коригування 30 10 2024</t>
  </si>
  <si>
    <t>работа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</si>
</sst>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-* #,##0.00_₴_-;\-* #,##0.00_₴_-;_-* &quot;-&quot;??_₴_-;_-@_-"/>
    <numFmt numFmtId="164" formatCode="_-* #,##0.00\ _₽_-;\-* #,##0.00\ _₽_-;_-* &quot;-&quot;??\ _₽_-;_-@_-"/>
    <numFmt numFmtId="165" formatCode="_-* #,##0.00\ _₴_-;\-* #,##0.00\ _₴_-;_-* &quot;-&quot;??\ 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  <numFmt numFmtId="176" formatCode="_-* #,##0_₴_-;\-* #,##0_₴_-;_-* &quot;-&quot;??_₴_-;_-@_-"/>
    <numFmt numFmtId="177" formatCode="#,##0.00;[Red]#,##0.00"/>
  </numFmts>
  <fonts count="54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u/>
      <sz val="16"/>
      <name val="Times New Roman"/>
      <family val="1"/>
      <charset val="204"/>
    </font>
    <font>
      <sz val="12"/>
      <color rgb="FF00B05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8"/>
      <name val="Arial Cyr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5">
    <xf numFmtId="0" fontId="0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908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43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43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43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43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43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43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43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43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43" fontId="9" fillId="0" borderId="0" xfId="10" applyFont="1" applyFill="1" applyBorder="1" applyAlignment="1">
      <alignment horizontal="center" vertical="center"/>
    </xf>
    <xf numFmtId="43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43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5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43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5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6" fillId="2" borderId="0" xfId="20" applyFont="1" applyFill="1" applyAlignment="1">
      <alignment horizontal="center" vertical="center"/>
    </xf>
    <xf numFmtId="0" fontId="36" fillId="0" borderId="0" xfId="20" applyFont="1"/>
    <xf numFmtId="0" fontId="37" fillId="0" borderId="0" xfId="20" applyFont="1" applyAlignment="1">
      <alignment horizontal="center" vertical="center"/>
    </xf>
    <xf numFmtId="167" fontId="37" fillId="0" borderId="0" xfId="20" applyNumberFormat="1" applyFont="1" applyAlignment="1">
      <alignment horizontal="center" vertical="center"/>
    </xf>
    <xf numFmtId="0" fontId="36" fillId="0" borderId="0" xfId="20" applyFont="1" applyAlignment="1">
      <alignment horizontal="left"/>
    </xf>
    <xf numFmtId="167" fontId="37" fillId="2" borderId="0" xfId="20" applyNumberFormat="1" applyFont="1" applyFill="1" applyAlignment="1">
      <alignment horizontal="center" vertical="center"/>
    </xf>
    <xf numFmtId="0" fontId="37" fillId="2" borderId="0" xfId="20" applyFont="1" applyFill="1" applyAlignment="1">
      <alignment horizontal="center" vertical="center"/>
    </xf>
    <xf numFmtId="43" fontId="37" fillId="2" borderId="2" xfId="21" applyFont="1" applyFill="1" applyBorder="1" applyAlignment="1">
      <alignment horizontal="center" vertical="center" wrapText="1"/>
    </xf>
    <xf numFmtId="167" fontId="37" fillId="2" borderId="2" xfId="21" applyNumberFormat="1" applyFont="1" applyFill="1" applyBorder="1" applyAlignment="1">
      <alignment horizontal="center" vertical="center" wrapText="1"/>
    </xf>
    <xf numFmtId="0" fontId="37" fillId="2" borderId="2" xfId="20" applyFont="1" applyFill="1" applyBorder="1" applyAlignment="1">
      <alignment horizontal="center" vertical="center"/>
    </xf>
    <xf numFmtId="17" fontId="37" fillId="2" borderId="2" xfId="18" applyNumberFormat="1" applyFont="1" applyFill="1" applyBorder="1" applyAlignment="1">
      <alignment horizontal="center" vertical="center"/>
    </xf>
    <xf numFmtId="0" fontId="36" fillId="0" borderId="0" xfId="20" applyFont="1" applyAlignment="1">
      <alignment horizontal="center" vertical="center"/>
    </xf>
    <xf numFmtId="165" fontId="36" fillId="10" borderId="2" xfId="20" applyNumberFormat="1" applyFont="1" applyFill="1" applyBorder="1" applyAlignment="1">
      <alignment horizontal="left" vertical="center"/>
    </xf>
    <xf numFmtId="165" fontId="36" fillId="10" borderId="1" xfId="20" applyNumberFormat="1" applyFont="1" applyFill="1" applyBorder="1" applyAlignment="1">
      <alignment horizontal="center" vertical="center"/>
    </xf>
    <xf numFmtId="173" fontId="36" fillId="10" borderId="2" xfId="20" applyNumberFormat="1" applyFont="1" applyFill="1" applyBorder="1" applyAlignment="1">
      <alignment horizontal="center" vertical="center"/>
    </xf>
    <xf numFmtId="165" fontId="36" fillId="10" borderId="2" xfId="20" applyNumberFormat="1" applyFont="1" applyFill="1" applyBorder="1" applyAlignment="1">
      <alignment horizontal="center" vertical="center"/>
    </xf>
    <xf numFmtId="0" fontId="36" fillId="10" borderId="0" xfId="20" applyFont="1" applyFill="1" applyAlignment="1">
      <alignment horizontal="center" vertical="center"/>
    </xf>
    <xf numFmtId="0" fontId="37" fillId="0" borderId="0" xfId="20" applyFont="1" applyAlignment="1">
      <alignment vertical="center"/>
    </xf>
    <xf numFmtId="0" fontId="37" fillId="0" borderId="0" xfId="20" applyFont="1" applyAlignment="1">
      <alignment horizontal="left" vertical="center"/>
    </xf>
    <xf numFmtId="43" fontId="37" fillId="0" borderId="0" xfId="21" applyFont="1" applyFill="1" applyBorder="1" applyAlignment="1">
      <alignment horizontal="center" vertical="center"/>
    </xf>
    <xf numFmtId="167" fontId="37" fillId="0" borderId="0" xfId="21" applyNumberFormat="1" applyFont="1" applyFill="1" applyBorder="1" applyAlignment="1">
      <alignment horizontal="center" vertical="center"/>
    </xf>
    <xf numFmtId="167" fontId="37" fillId="0" borderId="0" xfId="21" applyNumberFormat="1" applyFont="1" applyFill="1" applyBorder="1" applyAlignment="1"/>
    <xf numFmtId="0" fontId="36" fillId="0" borderId="0" xfId="20" applyFont="1" applyAlignment="1">
      <alignment horizontal="left" vertical="center"/>
    </xf>
    <xf numFmtId="165" fontId="37" fillId="0" borderId="0" xfId="20" applyNumberFormat="1" applyFont="1" applyAlignment="1">
      <alignment vertical="center"/>
    </xf>
    <xf numFmtId="0" fontId="36" fillId="0" borderId="0" xfId="20" applyFont="1" applyAlignment="1">
      <alignment horizontal="center"/>
    </xf>
    <xf numFmtId="43" fontId="36" fillId="0" borderId="0" xfId="21" applyFont="1" applyFill="1" applyBorder="1" applyAlignment="1">
      <alignment horizontal="center"/>
    </xf>
    <xf numFmtId="167" fontId="36" fillId="0" borderId="0" xfId="21" applyNumberFormat="1" applyFont="1" applyFill="1" applyBorder="1" applyAlignment="1">
      <alignment horizontal="center"/>
    </xf>
    <xf numFmtId="167" fontId="36" fillId="0" borderId="0" xfId="20" applyNumberFormat="1" applyFont="1"/>
    <xf numFmtId="4" fontId="36" fillId="0" borderId="0" xfId="20" applyNumberFormat="1" applyFont="1" applyAlignment="1">
      <alignment horizontal="center" vertical="center"/>
    </xf>
    <xf numFmtId="164" fontId="36" fillId="0" borderId="0" xfId="20" applyNumberFormat="1" applyFont="1" applyAlignment="1">
      <alignment horizontal="center"/>
    </xf>
    <xf numFmtId="4" fontId="36" fillId="0" borderId="0" xfId="20" applyNumberFormat="1" applyFont="1" applyAlignment="1">
      <alignment horizontal="center"/>
    </xf>
    <xf numFmtId="43" fontId="36" fillId="0" borderId="0" xfId="21" applyFont="1" applyFill="1" applyAlignment="1">
      <alignment horizontal="center"/>
    </xf>
    <xf numFmtId="167" fontId="36" fillId="0" borderId="0" xfId="21" applyNumberFormat="1" applyFont="1" applyFill="1" applyAlignment="1">
      <alignment horizontal="center"/>
    </xf>
    <xf numFmtId="43" fontId="36" fillId="0" borderId="0" xfId="20" applyNumberFormat="1" applyFont="1" applyAlignment="1">
      <alignment horizontal="center" vertical="center"/>
    </xf>
    <xf numFmtId="43" fontId="36" fillId="2" borderId="0" xfId="21" applyFont="1" applyFill="1" applyAlignment="1">
      <alignment horizontal="center"/>
    </xf>
    <xf numFmtId="167" fontId="36" fillId="2" borderId="0" xfId="21" applyNumberFormat="1" applyFont="1" applyFill="1" applyAlignment="1">
      <alignment horizontal="center"/>
    </xf>
    <xf numFmtId="167" fontId="36" fillId="2" borderId="0" xfId="20" applyNumberFormat="1" applyFont="1" applyFill="1"/>
    <xf numFmtId="165" fontId="34" fillId="10" borderId="1" xfId="20" applyNumberFormat="1" applyFont="1" applyFill="1" applyBorder="1" applyAlignment="1">
      <alignment horizontal="center" vertical="center"/>
    </xf>
    <xf numFmtId="0" fontId="36" fillId="10" borderId="2" xfId="20" applyFont="1" applyFill="1" applyBorder="1" applyAlignment="1">
      <alignment horizontal="center" vertical="center"/>
    </xf>
    <xf numFmtId="167" fontId="36" fillId="10" borderId="2" xfId="20" applyNumberFormat="1" applyFont="1" applyFill="1" applyBorder="1" applyAlignment="1">
      <alignment horizontal="center" vertical="center"/>
    </xf>
    <xf numFmtId="165" fontId="36" fillId="0" borderId="2" xfId="20" applyNumberFormat="1" applyFont="1" applyBorder="1" applyAlignment="1">
      <alignment horizontal="left" vertical="center"/>
    </xf>
    <xf numFmtId="165" fontId="36" fillId="0" borderId="1" xfId="20" applyNumberFormat="1" applyFont="1" applyBorder="1" applyAlignment="1">
      <alignment horizontal="center" vertical="center"/>
    </xf>
    <xf numFmtId="173" fontId="36" fillId="0" borderId="2" xfId="20" applyNumberFormat="1" applyFont="1" applyBorder="1" applyAlignment="1">
      <alignment horizontal="center" vertical="center"/>
    </xf>
    <xf numFmtId="165" fontId="36" fillId="0" borderId="2" xfId="20" applyNumberFormat="1" applyFont="1" applyBorder="1" applyAlignment="1">
      <alignment horizontal="center" vertical="center"/>
    </xf>
    <xf numFmtId="172" fontId="36" fillId="0" borderId="1" xfId="20" applyNumberFormat="1" applyFont="1" applyBorder="1" applyAlignment="1">
      <alignment horizontal="center" vertical="center"/>
    </xf>
    <xf numFmtId="173" fontId="36" fillId="0" borderId="1" xfId="20" applyNumberFormat="1" applyFont="1" applyBorder="1" applyAlignment="1">
      <alignment horizontal="center" vertical="center"/>
    </xf>
    <xf numFmtId="165" fontId="36" fillId="0" borderId="1" xfId="20" applyNumberFormat="1" applyFont="1" applyBorder="1" applyAlignment="1">
      <alignment horizontal="left" vertical="center"/>
    </xf>
    <xf numFmtId="43" fontId="37" fillId="0" borderId="0" xfId="21" applyFont="1" applyFill="1" applyBorder="1" applyAlignment="1">
      <alignment vertical="center"/>
    </xf>
    <xf numFmtId="167" fontId="39" fillId="0" borderId="0" xfId="21" applyNumberFormat="1" applyFont="1" applyFill="1" applyBorder="1" applyAlignment="1">
      <alignment vertical="center"/>
    </xf>
    <xf numFmtId="43" fontId="37" fillId="0" borderId="0" xfId="21" applyFont="1" applyFill="1" applyBorder="1" applyAlignment="1">
      <alignment horizontal="left" vertical="center"/>
    </xf>
    <xf numFmtId="167" fontId="37" fillId="0" borderId="0" xfId="21" applyNumberFormat="1" applyFont="1" applyFill="1" applyBorder="1" applyAlignment="1">
      <alignment vertical="center"/>
    </xf>
    <xf numFmtId="165" fontId="37" fillId="0" borderId="0" xfId="21" applyNumberFormat="1" applyFont="1" applyFill="1" applyBorder="1" applyAlignment="1">
      <alignment vertical="center"/>
    </xf>
    <xf numFmtId="165" fontId="36" fillId="10" borderId="1" xfId="20" applyNumberFormat="1" applyFont="1" applyFill="1" applyBorder="1" applyAlignment="1">
      <alignment horizontal="left" vertical="center"/>
    </xf>
    <xf numFmtId="165" fontId="36" fillId="0" borderId="12" xfId="20" applyNumberFormat="1" applyFont="1" applyBorder="1" applyAlignment="1">
      <alignment horizontal="center" vertical="center"/>
    </xf>
    <xf numFmtId="165" fontId="36" fillId="0" borderId="56" xfId="20" applyNumberFormat="1" applyFont="1" applyBorder="1" applyAlignment="1">
      <alignment horizontal="center" vertical="center"/>
    </xf>
    <xf numFmtId="165" fontId="36" fillId="0" borderId="13" xfId="20" applyNumberFormat="1" applyFont="1" applyBorder="1" applyAlignment="1">
      <alignment horizontal="center" vertical="center"/>
    </xf>
    <xf numFmtId="172" fontId="37" fillId="0" borderId="13" xfId="20" applyNumberFormat="1" applyFont="1" applyBorder="1" applyAlignment="1">
      <alignment horizontal="center" vertical="center"/>
    </xf>
    <xf numFmtId="165" fontId="37" fillId="0" borderId="8" xfId="20" applyNumberFormat="1" applyFont="1" applyBorder="1" applyAlignment="1">
      <alignment horizontal="center" vertical="center"/>
    </xf>
    <xf numFmtId="173" fontId="37" fillId="0" borderId="8" xfId="20" applyNumberFormat="1" applyFont="1" applyBorder="1" applyAlignment="1">
      <alignment horizontal="center" vertical="center"/>
    </xf>
    <xf numFmtId="165" fontId="37" fillId="0" borderId="47" xfId="20" applyNumberFormat="1" applyFont="1" applyBorder="1" applyAlignment="1">
      <alignment horizontal="center" vertical="center"/>
    </xf>
    <xf numFmtId="165" fontId="37" fillId="0" borderId="13" xfId="20" applyNumberFormat="1" applyFont="1" applyBorder="1" applyAlignment="1">
      <alignment horizontal="center" vertical="center"/>
    </xf>
    <xf numFmtId="173" fontId="37" fillId="0" borderId="13" xfId="20" applyNumberFormat="1" applyFont="1" applyBorder="1" applyAlignment="1">
      <alignment horizontal="center" vertical="center"/>
    </xf>
    <xf numFmtId="165" fontId="42" fillId="0" borderId="1" xfId="20" applyNumberFormat="1" applyFont="1" applyBorder="1" applyAlignment="1">
      <alignment horizontal="center" vertical="center"/>
    </xf>
    <xf numFmtId="165" fontId="42" fillId="0" borderId="12" xfId="20" applyNumberFormat="1" applyFont="1" applyBorder="1" applyAlignment="1">
      <alignment horizontal="center" vertical="center"/>
    </xf>
    <xf numFmtId="165" fontId="42" fillId="10" borderId="1" xfId="20" applyNumberFormat="1" applyFont="1" applyFill="1" applyBorder="1" applyAlignment="1">
      <alignment horizontal="center" vertical="center"/>
    </xf>
    <xf numFmtId="172" fontId="42" fillId="10" borderId="2" xfId="20" applyNumberFormat="1" applyFont="1" applyFill="1" applyBorder="1" applyAlignment="1">
      <alignment horizontal="center" vertical="center"/>
    </xf>
    <xf numFmtId="173" fontId="42" fillId="10" borderId="2" xfId="20" applyNumberFormat="1" applyFont="1" applyFill="1" applyBorder="1" applyAlignment="1">
      <alignment horizontal="center" vertical="center"/>
    </xf>
    <xf numFmtId="165" fontId="36" fillId="0" borderId="0" xfId="20" applyNumberFormat="1" applyFont="1" applyAlignment="1">
      <alignment horizontal="center" vertical="center"/>
    </xf>
    <xf numFmtId="165" fontId="36" fillId="0" borderId="15" xfId="20" applyNumberFormat="1" applyFont="1" applyBorder="1" applyAlignment="1">
      <alignment horizontal="center" vertical="center"/>
    </xf>
    <xf numFmtId="172" fontId="37" fillId="0" borderId="15" xfId="20" applyNumberFormat="1" applyFont="1" applyBorder="1" applyAlignment="1">
      <alignment horizontal="center" vertical="center"/>
    </xf>
    <xf numFmtId="165" fontId="37" fillId="0" borderId="20" xfId="20" applyNumberFormat="1" applyFont="1" applyBorder="1" applyAlignment="1">
      <alignment horizontal="center" vertical="center"/>
    </xf>
    <xf numFmtId="173" fontId="37" fillId="0" borderId="20" xfId="20" applyNumberFormat="1" applyFont="1" applyBorder="1" applyAlignment="1">
      <alignment horizontal="center" vertical="center"/>
    </xf>
    <xf numFmtId="0" fontId="37" fillId="0" borderId="7" xfId="20" applyFont="1" applyBorder="1" applyAlignment="1">
      <alignment vertical="center"/>
    </xf>
    <xf numFmtId="0" fontId="37" fillId="0" borderId="8" xfId="20" applyFont="1" applyBorder="1" applyAlignment="1">
      <alignment vertical="center"/>
    </xf>
    <xf numFmtId="43" fontId="37" fillId="0" borderId="8" xfId="21" applyFont="1" applyFill="1" applyBorder="1" applyAlignment="1">
      <alignment vertical="center"/>
    </xf>
    <xf numFmtId="167" fontId="39" fillId="0" borderId="8" xfId="21" applyNumberFormat="1" applyFont="1" applyFill="1" applyBorder="1" applyAlignment="1">
      <alignment vertical="center"/>
    </xf>
    <xf numFmtId="43" fontId="37" fillId="0" borderId="8" xfId="21" applyFont="1" applyFill="1" applyBorder="1" applyAlignment="1">
      <alignment horizontal="left" vertical="center"/>
    </xf>
    <xf numFmtId="167" fontId="37" fillId="0" borderId="13" xfId="21" applyNumberFormat="1" applyFont="1" applyFill="1" applyBorder="1" applyAlignment="1">
      <alignment vertical="center"/>
    </xf>
    <xf numFmtId="165" fontId="37" fillId="10" borderId="64" xfId="20" applyNumberFormat="1" applyFont="1" applyFill="1" applyBorder="1" applyAlignment="1">
      <alignment horizontal="center" vertical="center"/>
    </xf>
    <xf numFmtId="165" fontId="37" fillId="10" borderId="40" xfId="20" applyNumberFormat="1" applyFont="1" applyFill="1" applyBorder="1" applyAlignment="1">
      <alignment horizontal="center" vertical="center"/>
    </xf>
    <xf numFmtId="172" fontId="37" fillId="10" borderId="40" xfId="20" applyNumberFormat="1" applyFont="1" applyFill="1" applyBorder="1" applyAlignment="1">
      <alignment horizontal="center" vertical="center"/>
    </xf>
    <xf numFmtId="173" fontId="37" fillId="10" borderId="40" xfId="20" applyNumberFormat="1" applyFont="1" applyFill="1" applyBorder="1" applyAlignment="1">
      <alignment horizontal="center" vertical="center"/>
    </xf>
    <xf numFmtId="173" fontId="37" fillId="10" borderId="25" xfId="20" applyNumberFormat="1" applyFont="1" applyFill="1" applyBorder="1" applyAlignment="1">
      <alignment horizontal="center" vertical="center"/>
    </xf>
    <xf numFmtId="165" fontId="37" fillId="10" borderId="29" xfId="20" applyNumberFormat="1" applyFont="1" applyFill="1" applyBorder="1" applyAlignment="1">
      <alignment horizontal="center" vertical="center"/>
    </xf>
    <xf numFmtId="165" fontId="36" fillId="10" borderId="34" xfId="20" applyNumberFormat="1" applyFont="1" applyFill="1" applyBorder="1" applyAlignment="1">
      <alignment horizontal="left" vertical="center"/>
    </xf>
    <xf numFmtId="165" fontId="36" fillId="10" borderId="26" xfId="20" applyNumberFormat="1" applyFont="1" applyFill="1" applyBorder="1" applyAlignment="1">
      <alignment horizontal="center" vertical="center"/>
    </xf>
    <xf numFmtId="172" fontId="36" fillId="10" borderId="26" xfId="20" applyNumberFormat="1" applyFont="1" applyFill="1" applyBorder="1" applyAlignment="1">
      <alignment horizontal="center" vertical="center"/>
    </xf>
    <xf numFmtId="173" fontId="36" fillId="10" borderId="26" xfId="20" applyNumberFormat="1" applyFont="1" applyFill="1" applyBorder="1" applyAlignment="1">
      <alignment horizontal="center" vertical="center"/>
    </xf>
    <xf numFmtId="165" fontId="36" fillId="10" borderId="35" xfId="20" applyNumberFormat="1" applyFont="1" applyFill="1" applyBorder="1" applyAlignment="1">
      <alignment horizontal="center" vertical="center"/>
    </xf>
    <xf numFmtId="0" fontId="36" fillId="10" borderId="65" xfId="20" applyFont="1" applyFill="1" applyBorder="1" applyAlignment="1">
      <alignment horizontal="center" vertical="center"/>
    </xf>
    <xf numFmtId="0" fontId="36" fillId="10" borderId="4" xfId="20" applyFont="1" applyFill="1" applyBorder="1" applyAlignment="1">
      <alignment horizontal="center" vertical="center"/>
    </xf>
    <xf numFmtId="165" fontId="36" fillId="10" borderId="22" xfId="20" applyNumberFormat="1" applyFont="1" applyFill="1" applyBorder="1" applyAlignment="1">
      <alignment horizontal="left" vertical="center"/>
    </xf>
    <xf numFmtId="165" fontId="36" fillId="10" borderId="38" xfId="20" applyNumberFormat="1" applyFont="1" applyFill="1" applyBorder="1" applyAlignment="1">
      <alignment horizontal="center" vertical="center"/>
    </xf>
    <xf numFmtId="172" fontId="36" fillId="10" borderId="38" xfId="20" applyNumberFormat="1" applyFont="1" applyFill="1" applyBorder="1" applyAlignment="1">
      <alignment horizontal="center" vertical="center"/>
    </xf>
    <xf numFmtId="173" fontId="36" fillId="10" borderId="38" xfId="20" applyNumberFormat="1" applyFont="1" applyFill="1" applyBorder="1" applyAlignment="1">
      <alignment horizontal="center" vertical="center"/>
    </xf>
    <xf numFmtId="165" fontId="36" fillId="10" borderId="39" xfId="20" applyNumberFormat="1" applyFont="1" applyFill="1" applyBorder="1" applyAlignment="1">
      <alignment horizontal="center" vertical="center"/>
    </xf>
    <xf numFmtId="165" fontId="37" fillId="4" borderId="15" xfId="20" applyNumberFormat="1" applyFont="1" applyFill="1" applyBorder="1" applyAlignment="1">
      <alignment horizontal="center" vertical="center"/>
    </xf>
    <xf numFmtId="172" fontId="37" fillId="4" borderId="15" xfId="20" applyNumberFormat="1" applyFont="1" applyFill="1" applyBorder="1" applyAlignment="1">
      <alignment horizontal="center" vertical="center"/>
    </xf>
    <xf numFmtId="173" fontId="37" fillId="4" borderId="15" xfId="20" applyNumberFormat="1" applyFont="1" applyFill="1" applyBorder="1" applyAlignment="1">
      <alignment horizontal="center" vertical="center"/>
    </xf>
    <xf numFmtId="165" fontId="37" fillId="0" borderId="4" xfId="20" applyNumberFormat="1" applyFont="1" applyBorder="1" applyAlignment="1">
      <alignment horizontal="center" vertical="center"/>
    </xf>
    <xf numFmtId="165" fontId="37" fillId="0" borderId="4" xfId="20" applyNumberFormat="1" applyFont="1" applyBorder="1" applyAlignment="1">
      <alignment horizontal="left" vertical="center"/>
    </xf>
    <xf numFmtId="165" fontId="37" fillId="0" borderId="41" xfId="20" applyNumberFormat="1" applyFont="1" applyBorder="1" applyAlignment="1">
      <alignment horizontal="center" vertical="center"/>
    </xf>
    <xf numFmtId="172" fontId="37" fillId="0" borderId="41" xfId="20" applyNumberFormat="1" applyFont="1" applyBorder="1" applyAlignment="1">
      <alignment horizontal="center" vertical="center"/>
    </xf>
    <xf numFmtId="165" fontId="36" fillId="0" borderId="26" xfId="20" applyNumberFormat="1" applyFont="1" applyBorder="1" applyAlignment="1">
      <alignment horizontal="center" vertical="center"/>
    </xf>
    <xf numFmtId="0" fontId="42" fillId="10" borderId="2" xfId="20" applyFont="1" applyFill="1" applyBorder="1" applyAlignment="1">
      <alignment horizontal="center" vertical="center"/>
    </xf>
    <xf numFmtId="167" fontId="42" fillId="10" borderId="2" xfId="20" applyNumberFormat="1" applyFont="1" applyFill="1" applyBorder="1" applyAlignment="1">
      <alignment horizontal="center" vertical="center"/>
    </xf>
    <xf numFmtId="165" fontId="42" fillId="10" borderId="2" xfId="20" applyNumberFormat="1" applyFont="1" applyFill="1" applyBorder="1" applyAlignment="1">
      <alignment horizontal="center" vertical="center"/>
    </xf>
    <xf numFmtId="172" fontId="43" fillId="0" borderId="1" xfId="20" applyNumberFormat="1" applyFont="1" applyBorder="1" applyAlignment="1">
      <alignment horizontal="center" vertical="center"/>
    </xf>
    <xf numFmtId="165" fontId="43" fillId="0" borderId="1" xfId="20" applyNumberFormat="1" applyFont="1" applyBorder="1" applyAlignment="1">
      <alignment horizontal="center" vertical="center"/>
    </xf>
    <xf numFmtId="172" fontId="43" fillId="0" borderId="12" xfId="20" applyNumberFormat="1" applyFont="1" applyBorder="1" applyAlignment="1">
      <alignment horizontal="center" vertical="center"/>
    </xf>
    <xf numFmtId="173" fontId="43" fillId="0" borderId="41" xfId="20" applyNumberFormat="1" applyFont="1" applyBorder="1" applyAlignment="1">
      <alignment horizontal="center" vertical="center"/>
    </xf>
    <xf numFmtId="165" fontId="43" fillId="0" borderId="41" xfId="20" applyNumberFormat="1" applyFont="1" applyBorder="1" applyAlignment="1">
      <alignment horizontal="center" vertical="center"/>
    </xf>
    <xf numFmtId="165" fontId="43" fillId="0" borderId="32" xfId="20" applyNumberFormat="1" applyFont="1" applyBorder="1" applyAlignment="1">
      <alignment horizontal="center" vertical="center"/>
    </xf>
    <xf numFmtId="164" fontId="36" fillId="10" borderId="2" xfId="20" applyNumberFormat="1" applyFont="1" applyFill="1" applyBorder="1" applyAlignment="1">
      <alignment horizontal="center" vertical="center"/>
    </xf>
    <xf numFmtId="173" fontId="37" fillId="10" borderId="19" xfId="20" applyNumberFormat="1" applyFont="1" applyFill="1" applyBorder="1" applyAlignment="1">
      <alignment horizontal="center" vertical="center"/>
    </xf>
    <xf numFmtId="0" fontId="37" fillId="10" borderId="25" xfId="20" applyFont="1" applyFill="1" applyBorder="1" applyAlignment="1">
      <alignment horizontal="left" vertical="center" wrapText="1"/>
    </xf>
    <xf numFmtId="165" fontId="36" fillId="0" borderId="58" xfId="20" applyNumberFormat="1" applyFont="1" applyBorder="1" applyAlignment="1">
      <alignment horizontal="center" vertical="center"/>
    </xf>
    <xf numFmtId="165" fontId="36" fillId="0" borderId="41" xfId="20" applyNumberFormat="1" applyFont="1" applyBorder="1" applyAlignment="1">
      <alignment horizontal="center" vertical="center"/>
    </xf>
    <xf numFmtId="165" fontId="37" fillId="0" borderId="8" xfId="21" applyNumberFormat="1" applyFont="1" applyFill="1" applyBorder="1" applyAlignment="1">
      <alignment vertical="center"/>
    </xf>
    <xf numFmtId="167" fontId="37" fillId="0" borderId="8" xfId="21" applyNumberFormat="1" applyFont="1" applyFill="1" applyBorder="1" applyAlignment="1">
      <alignment vertical="center"/>
    </xf>
    <xf numFmtId="167" fontId="37" fillId="0" borderId="47" xfId="21" applyNumberFormat="1" applyFont="1" applyFill="1" applyBorder="1" applyAlignment="1">
      <alignment vertical="center"/>
    </xf>
    <xf numFmtId="165" fontId="36" fillId="0" borderId="34" xfId="20" applyNumberFormat="1" applyFont="1" applyBorder="1" applyAlignment="1">
      <alignment horizontal="left" vertical="center"/>
    </xf>
    <xf numFmtId="165" fontId="36" fillId="0" borderId="35" xfId="20" applyNumberFormat="1" applyFont="1" applyBorder="1" applyAlignment="1">
      <alignment horizontal="center" vertical="center"/>
    </xf>
    <xf numFmtId="165" fontId="36" fillId="0" borderId="37" xfId="20" applyNumberFormat="1" applyFont="1" applyBorder="1" applyAlignment="1">
      <alignment horizontal="center" vertical="center"/>
    </xf>
    <xf numFmtId="165" fontId="36" fillId="0" borderId="38" xfId="20" applyNumberFormat="1" applyFont="1" applyBorder="1" applyAlignment="1">
      <alignment horizontal="left" vertical="center"/>
    </xf>
    <xf numFmtId="0" fontId="36" fillId="4" borderId="0" xfId="20" applyFont="1" applyFill="1" applyAlignment="1">
      <alignment horizontal="center" vertical="center"/>
    </xf>
    <xf numFmtId="0" fontId="38" fillId="4" borderId="15" xfId="20" applyFont="1" applyFill="1" applyBorder="1" applyAlignment="1">
      <alignment horizontal="left" vertical="center" wrapText="1"/>
    </xf>
    <xf numFmtId="0" fontId="36" fillId="4" borderId="20" xfId="20" applyFont="1" applyFill="1" applyBorder="1" applyAlignment="1">
      <alignment horizontal="center" vertical="center"/>
    </xf>
    <xf numFmtId="165" fontId="38" fillId="4" borderId="15" xfId="20" applyNumberFormat="1" applyFont="1" applyFill="1" applyBorder="1" applyAlignment="1">
      <alignment horizontal="center" vertical="center"/>
    </xf>
    <xf numFmtId="165" fontId="36" fillId="4" borderId="15" xfId="20" applyNumberFormat="1" applyFont="1" applyFill="1" applyBorder="1" applyAlignment="1">
      <alignment horizontal="left" vertical="center"/>
    </xf>
    <xf numFmtId="165" fontId="36" fillId="4" borderId="15" xfId="20" applyNumberFormat="1" applyFont="1" applyFill="1" applyBorder="1" applyAlignment="1">
      <alignment horizontal="center" vertical="center"/>
    </xf>
    <xf numFmtId="165" fontId="36" fillId="0" borderId="26" xfId="20" applyNumberFormat="1" applyFont="1" applyBorder="1" applyAlignment="1">
      <alignment horizontal="left" vertical="center"/>
    </xf>
    <xf numFmtId="165" fontId="41" fillId="0" borderId="26" xfId="20" applyNumberFormat="1" applyFont="1" applyBorder="1" applyAlignment="1">
      <alignment horizontal="center" vertical="center"/>
    </xf>
    <xf numFmtId="165" fontId="42" fillId="0" borderId="26" xfId="20" applyNumberFormat="1" applyFont="1" applyBorder="1" applyAlignment="1">
      <alignment horizontal="center" vertical="center"/>
    </xf>
    <xf numFmtId="165" fontId="42" fillId="0" borderId="34" xfId="20" applyNumberFormat="1" applyFont="1" applyBorder="1" applyAlignment="1">
      <alignment horizontal="center" vertical="center"/>
    </xf>
    <xf numFmtId="165" fontId="42" fillId="0" borderId="35" xfId="20" applyNumberFormat="1" applyFont="1" applyBorder="1" applyAlignment="1">
      <alignment horizontal="center" vertical="center"/>
    </xf>
    <xf numFmtId="165" fontId="43" fillId="0" borderId="37" xfId="20" applyNumberFormat="1" applyFont="1" applyBorder="1" applyAlignment="1">
      <alignment horizontal="center" vertical="center"/>
    </xf>
    <xf numFmtId="165" fontId="43" fillId="0" borderId="43" xfId="20" applyNumberFormat="1" applyFont="1" applyBorder="1" applyAlignment="1">
      <alignment horizontal="center" vertical="center"/>
    </xf>
    <xf numFmtId="165" fontId="42" fillId="0" borderId="37" xfId="20" applyNumberFormat="1" applyFont="1" applyBorder="1" applyAlignment="1">
      <alignment horizontal="center" vertical="center"/>
    </xf>
    <xf numFmtId="165" fontId="42" fillId="0" borderId="43" xfId="20" applyNumberFormat="1" applyFont="1" applyBorder="1" applyAlignment="1">
      <alignment horizontal="center" vertical="center"/>
    </xf>
    <xf numFmtId="165" fontId="36" fillId="10" borderId="38" xfId="20" applyNumberFormat="1" applyFont="1" applyFill="1" applyBorder="1" applyAlignment="1">
      <alignment horizontal="left" vertical="center"/>
    </xf>
    <xf numFmtId="165" fontId="36" fillId="10" borderId="26" xfId="20" applyNumberFormat="1" applyFont="1" applyFill="1" applyBorder="1" applyAlignment="1">
      <alignment horizontal="left" vertical="center"/>
    </xf>
    <xf numFmtId="165" fontId="36" fillId="0" borderId="66" xfId="20" applyNumberFormat="1" applyFont="1" applyBorder="1" applyAlignment="1">
      <alignment horizontal="center" vertical="center"/>
    </xf>
    <xf numFmtId="165" fontId="36" fillId="0" borderId="40" xfId="20" applyNumberFormat="1" applyFont="1" applyBorder="1" applyAlignment="1">
      <alignment horizontal="center" vertical="center"/>
    </xf>
    <xf numFmtId="172" fontId="37" fillId="0" borderId="40" xfId="20" applyNumberFormat="1" applyFont="1" applyBorder="1" applyAlignment="1">
      <alignment horizontal="center" vertical="center"/>
    </xf>
    <xf numFmtId="165" fontId="37" fillId="0" borderId="25" xfId="20" applyNumberFormat="1" applyFont="1" applyBorder="1" applyAlignment="1">
      <alignment horizontal="center" vertical="center"/>
    </xf>
    <xf numFmtId="173" fontId="37" fillId="0" borderId="25" xfId="20" applyNumberFormat="1" applyFont="1" applyBorder="1" applyAlignment="1">
      <alignment horizontal="center" vertical="center"/>
    </xf>
    <xf numFmtId="165" fontId="37" fillId="0" borderId="29" xfId="20" applyNumberFormat="1" applyFont="1" applyBorder="1" applyAlignment="1">
      <alignment horizontal="center" vertical="center"/>
    </xf>
    <xf numFmtId="165" fontId="37" fillId="0" borderId="62" xfId="20" applyNumberFormat="1" applyFont="1" applyBorder="1" applyAlignment="1">
      <alignment horizontal="center" vertical="center"/>
    </xf>
    <xf numFmtId="165" fontId="36" fillId="0" borderId="59" xfId="20" applyNumberFormat="1" applyFont="1" applyBorder="1" applyAlignment="1">
      <alignment horizontal="center" vertical="center"/>
    </xf>
    <xf numFmtId="173" fontId="37" fillId="0" borderId="4" xfId="20" applyNumberFormat="1" applyFont="1" applyBorder="1" applyAlignment="1">
      <alignment horizontal="center" vertical="center"/>
    </xf>
    <xf numFmtId="165" fontId="37" fillId="0" borderId="32" xfId="20" applyNumberFormat="1" applyFont="1" applyBorder="1" applyAlignment="1">
      <alignment horizontal="center" vertical="center"/>
    </xf>
    <xf numFmtId="0" fontId="36" fillId="0" borderId="44" xfId="20" applyFont="1" applyBorder="1" applyAlignment="1">
      <alignment horizontal="center" vertical="center"/>
    </xf>
    <xf numFmtId="0" fontId="36" fillId="0" borderId="6" xfId="20" applyFont="1" applyBorder="1" applyAlignment="1">
      <alignment horizontal="center" vertical="center"/>
    </xf>
    <xf numFmtId="0" fontId="36" fillId="2" borderId="6" xfId="20" applyFont="1" applyFill="1" applyBorder="1" applyAlignment="1">
      <alignment horizontal="center" vertical="center"/>
    </xf>
    <xf numFmtId="172" fontId="36" fillId="2" borderId="12" xfId="20" applyNumberFormat="1" applyFont="1" applyFill="1" applyBorder="1" applyAlignment="1">
      <alignment horizontal="center" vertical="center"/>
    </xf>
    <xf numFmtId="172" fontId="36" fillId="2" borderId="6" xfId="20" applyNumberFormat="1" applyFont="1" applyFill="1" applyBorder="1" applyAlignment="1">
      <alignment horizontal="center" vertical="center"/>
    </xf>
    <xf numFmtId="165" fontId="34" fillId="10" borderId="26" xfId="20" applyNumberFormat="1" applyFont="1" applyFill="1" applyBorder="1" applyAlignment="1">
      <alignment horizontal="center" vertical="center"/>
    </xf>
    <xf numFmtId="0" fontId="42" fillId="10" borderId="34" xfId="20" applyFont="1" applyFill="1" applyBorder="1" applyAlignment="1">
      <alignment horizontal="center" vertical="center"/>
    </xf>
    <xf numFmtId="173" fontId="42" fillId="10" borderId="34" xfId="20" applyNumberFormat="1" applyFont="1" applyFill="1" applyBorder="1" applyAlignment="1">
      <alignment horizontal="center" vertical="center"/>
    </xf>
    <xf numFmtId="167" fontId="42" fillId="10" borderId="34" xfId="20" applyNumberFormat="1" applyFont="1" applyFill="1" applyBorder="1" applyAlignment="1">
      <alignment horizontal="center" vertical="center"/>
    </xf>
    <xf numFmtId="165" fontId="36" fillId="10" borderId="34" xfId="20" applyNumberFormat="1" applyFont="1" applyFill="1" applyBorder="1" applyAlignment="1">
      <alignment horizontal="center" vertical="center"/>
    </xf>
    <xf numFmtId="165" fontId="36" fillId="10" borderId="37" xfId="20" applyNumberFormat="1" applyFont="1" applyFill="1" applyBorder="1" applyAlignment="1">
      <alignment horizontal="center" vertical="center"/>
    </xf>
    <xf numFmtId="0" fontId="36" fillId="10" borderId="22" xfId="20" applyFont="1" applyFill="1" applyBorder="1" applyAlignment="1">
      <alignment horizontal="center" vertical="center"/>
    </xf>
    <xf numFmtId="165" fontId="42" fillId="10" borderId="38" xfId="20" applyNumberFormat="1" applyFont="1" applyFill="1" applyBorder="1" applyAlignment="1">
      <alignment horizontal="center" vertical="center"/>
    </xf>
    <xf numFmtId="173" fontId="42" fillId="10" borderId="22" xfId="20" applyNumberFormat="1" applyFont="1" applyFill="1" applyBorder="1" applyAlignment="1">
      <alignment horizontal="center" vertical="center"/>
    </xf>
    <xf numFmtId="165" fontId="42" fillId="10" borderId="22" xfId="20" applyNumberFormat="1" applyFont="1" applyFill="1" applyBorder="1" applyAlignment="1">
      <alignment horizontal="center" vertical="center"/>
    </xf>
    <xf numFmtId="165" fontId="36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5" fontId="37" fillId="0" borderId="19" xfId="20" applyNumberFormat="1" applyFont="1" applyBorder="1" applyAlignment="1">
      <alignment horizontal="left" vertical="center"/>
    </xf>
    <xf numFmtId="165" fontId="37" fillId="0" borderId="14" xfId="20" applyNumberFormat="1" applyFont="1" applyBorder="1" applyAlignment="1">
      <alignment horizontal="center" vertical="center"/>
    </xf>
    <xf numFmtId="0" fontId="36" fillId="0" borderId="19" xfId="20" applyFont="1" applyBorder="1" applyAlignment="1">
      <alignment horizontal="center" vertical="center"/>
    </xf>
    <xf numFmtId="165" fontId="36" fillId="0" borderId="14" xfId="20" applyNumberFormat="1" applyFont="1" applyBorder="1" applyAlignment="1">
      <alignment horizontal="center" vertical="center"/>
    </xf>
    <xf numFmtId="174" fontId="45" fillId="0" borderId="30" xfId="23" applyNumberFormat="1" applyFont="1" applyBorder="1" applyAlignment="1">
      <alignment horizontal="right" vertical="center" wrapText="1"/>
    </xf>
    <xf numFmtId="174" fontId="45" fillId="0" borderId="14" xfId="23" applyNumberFormat="1" applyFont="1" applyBorder="1" applyAlignment="1">
      <alignment horizontal="right" vertical="center" wrapText="1"/>
    </xf>
    <xf numFmtId="165" fontId="43" fillId="0" borderId="14" xfId="20" applyNumberFormat="1" applyFont="1" applyBorder="1" applyAlignment="1">
      <alignment horizontal="center" vertical="center"/>
    </xf>
    <xf numFmtId="165" fontId="43" fillId="0" borderId="30" xfId="20" applyNumberFormat="1" applyFont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7" fillId="10" borderId="25" xfId="20" applyFont="1" applyFill="1" applyBorder="1" applyAlignment="1">
      <alignment horizontal="center" vertical="center"/>
    </xf>
    <xf numFmtId="165" fontId="37" fillId="10" borderId="25" xfId="20" applyNumberFormat="1" applyFont="1" applyFill="1" applyBorder="1" applyAlignment="1">
      <alignment horizontal="center" vertical="center"/>
    </xf>
    <xf numFmtId="165" fontId="37" fillId="10" borderId="40" xfId="20" applyNumberFormat="1" applyFont="1" applyFill="1" applyBorder="1" applyAlignment="1">
      <alignment horizontal="left" vertical="center"/>
    </xf>
    <xf numFmtId="0" fontId="37" fillId="4" borderId="31" xfId="20" applyFont="1" applyFill="1" applyBorder="1" applyAlignment="1">
      <alignment horizontal="center" vertical="center"/>
    </xf>
    <xf numFmtId="0" fontId="37" fillId="4" borderId="4" xfId="20" applyFont="1" applyFill="1" applyBorder="1" applyAlignment="1">
      <alignment horizontal="left" vertical="center" wrapText="1"/>
    </xf>
    <xf numFmtId="0" fontId="37" fillId="4" borderId="4" xfId="20" applyFont="1" applyFill="1" applyBorder="1" applyAlignment="1">
      <alignment horizontal="center" vertical="center"/>
    </xf>
    <xf numFmtId="165" fontId="37" fillId="4" borderId="4" xfId="20" applyNumberFormat="1" applyFont="1" applyFill="1" applyBorder="1" applyAlignment="1">
      <alignment horizontal="center" vertical="center"/>
    </xf>
    <xf numFmtId="165" fontId="37" fillId="4" borderId="4" xfId="20" applyNumberFormat="1" applyFont="1" applyFill="1" applyBorder="1" applyAlignment="1">
      <alignment horizontal="left" vertical="center"/>
    </xf>
    <xf numFmtId="165" fontId="37" fillId="4" borderId="41" xfId="20" applyNumberFormat="1" applyFont="1" applyFill="1" applyBorder="1" applyAlignment="1">
      <alignment horizontal="center" vertical="center"/>
    </xf>
    <xf numFmtId="172" fontId="37" fillId="4" borderId="41" xfId="20" applyNumberFormat="1" applyFont="1" applyFill="1" applyBorder="1" applyAlignment="1">
      <alignment horizontal="center" vertical="center"/>
    </xf>
    <xf numFmtId="173" fontId="37" fillId="4" borderId="41" xfId="20" applyNumberFormat="1" applyFont="1" applyFill="1" applyBorder="1" applyAlignment="1">
      <alignment horizontal="center" vertical="center"/>
    </xf>
    <xf numFmtId="173" fontId="37" fillId="4" borderId="4" xfId="20" applyNumberFormat="1" applyFont="1" applyFill="1" applyBorder="1" applyAlignment="1">
      <alignment horizontal="center" vertical="center"/>
    </xf>
    <xf numFmtId="165" fontId="37" fillId="4" borderId="32" xfId="20" applyNumberFormat="1" applyFont="1" applyFill="1" applyBorder="1" applyAlignment="1">
      <alignment horizontal="center" vertical="center"/>
    </xf>
    <xf numFmtId="0" fontId="36" fillId="0" borderId="2" xfId="20" applyFont="1" applyBorder="1" applyAlignment="1">
      <alignment horizontal="center" vertical="center"/>
    </xf>
    <xf numFmtId="165" fontId="36" fillId="0" borderId="12" xfId="20" applyNumberFormat="1" applyFont="1" applyBorder="1" applyAlignment="1">
      <alignment horizontal="left" vertical="center"/>
    </xf>
    <xf numFmtId="0" fontId="36" fillId="0" borderId="15" xfId="20" applyFont="1" applyBorder="1" applyAlignment="1">
      <alignment horizontal="center" vertical="center"/>
    </xf>
    <xf numFmtId="173" fontId="36" fillId="10" borderId="6" xfId="20" applyNumberFormat="1" applyFont="1" applyFill="1" applyBorder="1" applyAlignment="1">
      <alignment horizontal="center" vertical="center"/>
    </xf>
    <xf numFmtId="173" fontId="41" fillId="0" borderId="2" xfId="20" applyNumberFormat="1" applyFont="1" applyBorder="1" applyAlignment="1">
      <alignment horizontal="center" vertical="center"/>
    </xf>
    <xf numFmtId="0" fontId="36" fillId="0" borderId="1" xfId="20" applyFont="1" applyBorder="1" applyAlignment="1">
      <alignment horizontal="center" vertical="center"/>
    </xf>
    <xf numFmtId="165" fontId="41" fillId="0" borderId="2" xfId="20" applyNumberFormat="1" applyFont="1" applyBorder="1" applyAlignment="1">
      <alignment horizontal="center" vertical="center"/>
    </xf>
    <xf numFmtId="165" fontId="41" fillId="0" borderId="37" xfId="20" applyNumberFormat="1" applyFont="1" applyBorder="1" applyAlignment="1">
      <alignment horizontal="center" vertical="center"/>
    </xf>
    <xf numFmtId="165" fontId="41" fillId="0" borderId="1" xfId="20" applyNumberFormat="1" applyFont="1" applyBorder="1" applyAlignment="1">
      <alignment horizontal="center" vertical="center"/>
    </xf>
    <xf numFmtId="165" fontId="42" fillId="0" borderId="14" xfId="20" applyNumberFormat="1" applyFont="1" applyBorder="1" applyAlignment="1">
      <alignment horizontal="center" vertical="center"/>
    </xf>
    <xf numFmtId="165" fontId="42" fillId="0" borderId="2" xfId="20" applyNumberFormat="1" applyFont="1" applyBorder="1" applyAlignment="1">
      <alignment horizontal="center" vertical="center"/>
    </xf>
    <xf numFmtId="164" fontId="37" fillId="0" borderId="0" xfId="20" applyNumberFormat="1" applyFont="1" applyAlignment="1">
      <alignment vertical="center"/>
    </xf>
    <xf numFmtId="0" fontId="36" fillId="10" borderId="25" xfId="20" applyFont="1" applyFill="1" applyBorder="1" applyAlignment="1">
      <alignment horizontal="center" vertical="center"/>
    </xf>
    <xf numFmtId="0" fontId="36" fillId="10" borderId="20" xfId="20" applyFont="1" applyFill="1" applyBorder="1" applyAlignment="1">
      <alignment horizontal="center" vertical="center"/>
    </xf>
    <xf numFmtId="43" fontId="37" fillId="2" borderId="17" xfId="21" applyFont="1" applyFill="1" applyBorder="1" applyAlignment="1">
      <alignment horizontal="center" vertical="center" wrapText="1"/>
    </xf>
    <xf numFmtId="43" fontId="37" fillId="2" borderId="16" xfId="21" applyFont="1" applyFill="1" applyBorder="1" applyAlignment="1">
      <alignment horizontal="center" vertical="center" wrapText="1"/>
    </xf>
    <xf numFmtId="173" fontId="42" fillId="11" borderId="2" xfId="20" applyNumberFormat="1" applyFont="1" applyFill="1" applyBorder="1" applyAlignment="1">
      <alignment horizontal="center" vertical="center"/>
    </xf>
    <xf numFmtId="173" fontId="42" fillId="11" borderId="6" xfId="20" applyNumberFormat="1" applyFont="1" applyFill="1" applyBorder="1" applyAlignment="1">
      <alignment horizontal="center" vertical="center"/>
    </xf>
    <xf numFmtId="165" fontId="36" fillId="10" borderId="6" xfId="20" applyNumberFormat="1" applyFont="1" applyFill="1" applyBorder="1" applyAlignment="1">
      <alignment horizontal="center" vertical="center"/>
    </xf>
    <xf numFmtId="165" fontId="36" fillId="0" borderId="19" xfId="20" applyNumberFormat="1" applyFont="1" applyBorder="1" applyAlignment="1">
      <alignment horizontal="center" vertical="center"/>
    </xf>
    <xf numFmtId="0" fontId="37" fillId="0" borderId="31" xfId="20" applyFont="1" applyBorder="1" applyAlignment="1">
      <alignment vertical="center"/>
    </xf>
    <xf numFmtId="0" fontId="37" fillId="0" borderId="4" xfId="20" applyFont="1" applyBorder="1" applyAlignment="1">
      <alignment vertical="center"/>
    </xf>
    <xf numFmtId="17" fontId="37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7" fillId="0" borderId="2" xfId="20" applyFont="1" applyBorder="1" applyAlignment="1">
      <alignment horizontal="center" vertical="center"/>
    </xf>
    <xf numFmtId="43" fontId="37" fillId="2" borderId="6" xfId="21" applyFont="1" applyFill="1" applyBorder="1" applyAlignment="1">
      <alignment horizontal="center" vertical="center" wrapText="1"/>
    </xf>
    <xf numFmtId="0" fontId="36" fillId="10" borderId="7" xfId="20" applyFont="1" applyFill="1" applyBorder="1" applyAlignment="1">
      <alignment horizontal="center" vertical="center"/>
    </xf>
    <xf numFmtId="0" fontId="37" fillId="10" borderId="8" xfId="20" applyFont="1" applyFill="1" applyBorder="1" applyAlignment="1">
      <alignment horizontal="left" vertical="center" wrapText="1"/>
    </xf>
    <xf numFmtId="165" fontId="36" fillId="10" borderId="8" xfId="20" applyNumberFormat="1" applyFont="1" applyFill="1" applyBorder="1" applyAlignment="1">
      <alignment horizontal="center" vertical="center"/>
    </xf>
    <xf numFmtId="0" fontId="37" fillId="0" borderId="7" xfId="20" applyFont="1" applyBorder="1" applyAlignment="1">
      <alignment horizontal="center" vertical="center"/>
    </xf>
    <xf numFmtId="0" fontId="37" fillId="0" borderId="8" xfId="20" applyFont="1" applyBorder="1" applyAlignment="1">
      <alignment horizontal="left" vertical="center" wrapText="1"/>
    </xf>
    <xf numFmtId="167" fontId="37" fillId="0" borderId="61" xfId="21" applyNumberFormat="1" applyFont="1" applyFill="1" applyBorder="1" applyAlignment="1">
      <alignment vertical="center"/>
    </xf>
    <xf numFmtId="0" fontId="37" fillId="10" borderId="7" xfId="20" applyFont="1" applyFill="1" applyBorder="1" applyAlignment="1">
      <alignment horizontal="center" vertical="center"/>
    </xf>
    <xf numFmtId="172" fontId="37" fillId="6" borderId="13" xfId="20" applyNumberFormat="1" applyFont="1" applyFill="1" applyBorder="1" applyAlignment="1">
      <alignment horizontal="center" vertical="center"/>
    </xf>
    <xf numFmtId="165" fontId="37" fillId="6" borderId="47" xfId="20" applyNumberFormat="1" applyFont="1" applyFill="1" applyBorder="1" applyAlignment="1">
      <alignment horizontal="center" vertical="center"/>
    </xf>
    <xf numFmtId="1" fontId="38" fillId="2" borderId="34" xfId="20" applyNumberFormat="1" applyFont="1" applyFill="1" applyBorder="1" applyAlignment="1">
      <alignment horizontal="center" vertical="center"/>
    </xf>
    <xf numFmtId="1" fontId="38" fillId="2" borderId="2" xfId="20" applyNumberFormat="1" applyFont="1" applyFill="1" applyBorder="1" applyAlignment="1">
      <alignment horizontal="center" vertical="center"/>
    </xf>
    <xf numFmtId="1" fontId="38" fillId="2" borderId="22" xfId="20" applyNumberFormat="1" applyFont="1" applyFill="1" applyBorder="1" applyAlignment="1">
      <alignment horizontal="center" vertical="center"/>
    </xf>
    <xf numFmtId="1" fontId="38" fillId="2" borderId="6" xfId="20" applyNumberFormat="1" applyFont="1" applyFill="1" applyBorder="1" applyAlignment="1">
      <alignment horizontal="center" vertical="center"/>
    </xf>
    <xf numFmtId="1" fontId="49" fillId="2" borderId="8" xfId="20" applyNumberFormat="1" applyFont="1" applyFill="1" applyBorder="1" applyAlignment="1">
      <alignment horizontal="center" vertical="center"/>
    </xf>
    <xf numFmtId="43" fontId="47" fillId="4" borderId="6" xfId="21" applyFont="1" applyFill="1" applyBorder="1" applyAlignment="1">
      <alignment horizontal="center" vertical="center" wrapText="1"/>
    </xf>
    <xf numFmtId="0" fontId="38" fillId="2" borderId="8" xfId="20" applyFont="1" applyFill="1" applyBorder="1" applyAlignment="1">
      <alignment horizontal="left" vertical="center" wrapText="1"/>
    </xf>
    <xf numFmtId="0" fontId="36" fillId="0" borderId="0" xfId="20" applyFont="1" applyAlignment="1">
      <alignment wrapText="1"/>
    </xf>
    <xf numFmtId="43" fontId="38" fillId="2" borderId="35" xfId="21" applyFont="1" applyFill="1" applyBorder="1" applyAlignment="1">
      <alignment horizontal="center" vertical="center" wrapText="1"/>
    </xf>
    <xf numFmtId="43" fontId="49" fillId="2" borderId="37" xfId="21" applyFont="1" applyFill="1" applyBorder="1" applyAlignment="1">
      <alignment horizontal="center" vertical="center" wrapText="1"/>
    </xf>
    <xf numFmtId="4" fontId="38" fillId="2" borderId="34" xfId="20" applyNumberFormat="1" applyFont="1" applyFill="1" applyBorder="1" applyAlignment="1">
      <alignment horizontal="center" vertical="center"/>
    </xf>
    <xf numFmtId="4" fontId="38" fillId="2" borderId="2" xfId="20" applyNumberFormat="1" applyFont="1" applyFill="1" applyBorder="1" applyAlignment="1">
      <alignment horizontal="center" vertical="center"/>
    </xf>
    <xf numFmtId="4" fontId="38" fillId="2" borderId="25" xfId="21" applyNumberFormat="1" applyFont="1" applyFill="1" applyBorder="1" applyAlignment="1">
      <alignment horizontal="center" vertical="center" wrapText="1"/>
    </xf>
    <xf numFmtId="4" fontId="38" fillId="2" borderId="22" xfId="20" applyNumberFormat="1" applyFont="1" applyFill="1" applyBorder="1" applyAlignment="1">
      <alignment horizontal="center" vertical="center"/>
    </xf>
    <xf numFmtId="4" fontId="49" fillId="2" borderId="8" xfId="20" applyNumberFormat="1" applyFont="1" applyFill="1" applyBorder="1" applyAlignment="1">
      <alignment horizontal="center" vertical="center"/>
    </xf>
    <xf numFmtId="4" fontId="38" fillId="2" borderId="25" xfId="20" applyNumberFormat="1" applyFont="1" applyFill="1" applyBorder="1" applyAlignment="1">
      <alignment horizontal="center" vertical="center"/>
    </xf>
    <xf numFmtId="167" fontId="36" fillId="0" borderId="0" xfId="21" applyNumberFormat="1" applyFont="1" applyFill="1" applyAlignment="1">
      <alignment horizontal="center" vertical="center"/>
    </xf>
    <xf numFmtId="167" fontId="36" fillId="2" borderId="0" xfId="21" applyNumberFormat="1" applyFont="1" applyFill="1" applyAlignment="1">
      <alignment horizontal="center" vertical="center"/>
    </xf>
    <xf numFmtId="175" fontId="38" fillId="2" borderId="8" xfId="21" applyNumberFormat="1" applyFont="1" applyFill="1" applyBorder="1" applyAlignment="1">
      <alignment horizontal="center" vertical="center" wrapText="1"/>
    </xf>
    <xf numFmtId="167" fontId="36" fillId="0" borderId="0" xfId="21" applyNumberFormat="1" applyFont="1" applyFill="1" applyBorder="1" applyAlignment="1">
      <alignment horizontal="center" vertical="center"/>
    </xf>
    <xf numFmtId="1" fontId="38" fillId="6" borderId="34" xfId="20" applyNumberFormat="1" applyFont="1" applyFill="1" applyBorder="1" applyAlignment="1">
      <alignment horizontal="center" vertical="center"/>
    </xf>
    <xf numFmtId="4" fontId="38" fillId="6" borderId="34" xfId="20" applyNumberFormat="1" applyFont="1" applyFill="1" applyBorder="1" applyAlignment="1">
      <alignment horizontal="center" vertical="center"/>
    </xf>
    <xf numFmtId="4" fontId="38" fillId="6" borderId="34" xfId="21" applyNumberFormat="1" applyFont="1" applyFill="1" applyBorder="1" applyAlignment="1">
      <alignment horizontal="center" vertical="center" wrapText="1"/>
    </xf>
    <xf numFmtId="43" fontId="38" fillId="6" borderId="35" xfId="21" applyFont="1" applyFill="1" applyBorder="1" applyAlignment="1">
      <alignment horizontal="center" vertical="center" wrapText="1"/>
    </xf>
    <xf numFmtId="1" fontId="38" fillId="6" borderId="2" xfId="20" applyNumberFormat="1" applyFont="1" applyFill="1" applyBorder="1" applyAlignment="1">
      <alignment horizontal="center" vertical="center"/>
    </xf>
    <xf numFmtId="4" fontId="38" fillId="6" borderId="2" xfId="20" applyNumberFormat="1" applyFont="1" applyFill="1" applyBorder="1" applyAlignment="1">
      <alignment horizontal="center" vertical="center"/>
    </xf>
    <xf numFmtId="4" fontId="38" fillId="6" borderId="6" xfId="21" applyNumberFormat="1" applyFont="1" applyFill="1" applyBorder="1" applyAlignment="1">
      <alignment horizontal="center" vertical="center" wrapText="1"/>
    </xf>
    <xf numFmtId="43" fontId="38" fillId="6" borderId="37" xfId="21" applyFont="1" applyFill="1" applyBorder="1" applyAlignment="1">
      <alignment horizontal="center" vertical="center" wrapText="1"/>
    </xf>
    <xf numFmtId="4" fontId="38" fillId="6" borderId="6" xfId="20" applyNumberFormat="1" applyFont="1" applyFill="1" applyBorder="1" applyAlignment="1">
      <alignment horizontal="center" vertical="center"/>
    </xf>
    <xf numFmtId="43" fontId="38" fillId="6" borderId="43" xfId="21" applyFont="1" applyFill="1" applyBorder="1" applyAlignment="1">
      <alignment horizontal="center" vertical="center" wrapText="1"/>
    </xf>
    <xf numFmtId="1" fontId="38" fillId="6" borderId="22" xfId="20" applyNumberFormat="1" applyFont="1" applyFill="1" applyBorder="1" applyAlignment="1">
      <alignment horizontal="center" vertical="center"/>
    </xf>
    <xf numFmtId="4" fontId="38" fillId="6" borderId="22" xfId="20" applyNumberFormat="1" applyFont="1" applyFill="1" applyBorder="1" applyAlignment="1">
      <alignment horizontal="center" vertical="center"/>
    </xf>
    <xf numFmtId="4" fontId="49" fillId="6" borderId="22" xfId="20" applyNumberFormat="1" applyFont="1" applyFill="1" applyBorder="1" applyAlignment="1">
      <alignment horizontal="center" vertical="center"/>
    </xf>
    <xf numFmtId="4" fontId="38" fillId="6" borderId="67" xfId="20" applyNumberFormat="1" applyFont="1" applyFill="1" applyBorder="1" applyAlignment="1">
      <alignment horizontal="center" vertical="center"/>
    </xf>
    <xf numFmtId="43" fontId="38" fillId="6" borderId="39" xfId="21" applyFont="1" applyFill="1" applyBorder="1" applyAlignment="1">
      <alignment horizontal="center" vertical="center" wrapText="1"/>
    </xf>
    <xf numFmtId="1" fontId="45" fillId="6" borderId="2" xfId="20" applyNumberFormat="1" applyFont="1" applyFill="1" applyBorder="1" applyAlignment="1">
      <alignment horizontal="center" vertical="center"/>
    </xf>
    <xf numFmtId="4" fontId="38" fillId="6" borderId="3" xfId="20" applyNumberFormat="1" applyFont="1" applyFill="1" applyBorder="1" applyAlignment="1">
      <alignment horizontal="center" vertical="center"/>
    </xf>
    <xf numFmtId="0" fontId="38" fillId="6" borderId="2" xfId="20" applyFont="1" applyFill="1" applyBorder="1" applyAlignment="1">
      <alignment horizontal="center" vertical="center"/>
    </xf>
    <xf numFmtId="1" fontId="38" fillId="6" borderId="6" xfId="20" applyNumberFormat="1" applyFont="1" applyFill="1" applyBorder="1" applyAlignment="1">
      <alignment horizontal="center" vertical="center"/>
    </xf>
    <xf numFmtId="4" fontId="38" fillId="6" borderId="1" xfId="20" applyNumberFormat="1" applyFont="1" applyFill="1" applyBorder="1" applyAlignment="1">
      <alignment horizontal="center" vertical="center"/>
    </xf>
    <xf numFmtId="176" fontId="38" fillId="2" borderId="7" xfId="21" applyNumberFormat="1" applyFont="1" applyFill="1" applyBorder="1" applyAlignment="1">
      <alignment horizontal="center" vertical="center" wrapText="1"/>
    </xf>
    <xf numFmtId="4" fontId="38" fillId="2" borderId="8" xfId="20" applyNumberFormat="1" applyFont="1" applyFill="1" applyBorder="1" applyAlignment="1">
      <alignment horizontal="center" vertical="center"/>
    </xf>
    <xf numFmtId="43" fontId="38" fillId="2" borderId="47" xfId="21" applyFont="1" applyFill="1" applyBorder="1" applyAlignment="1">
      <alignment horizontal="center" vertical="center" wrapText="1"/>
    </xf>
    <xf numFmtId="176" fontId="38" fillId="6" borderId="7" xfId="21" applyNumberFormat="1" applyFont="1" applyFill="1" applyBorder="1" applyAlignment="1">
      <alignment horizontal="center" vertical="center" wrapText="1"/>
    </xf>
    <xf numFmtId="0" fontId="38" fillId="6" borderId="8" xfId="20" applyFont="1" applyFill="1" applyBorder="1" applyAlignment="1">
      <alignment horizontal="left" vertical="center" wrapText="1"/>
    </xf>
    <xf numFmtId="175" fontId="38" fillId="6" borderId="8" xfId="21" applyNumberFormat="1" applyFont="1" applyFill="1" applyBorder="1" applyAlignment="1">
      <alignment horizontal="center" vertical="center" wrapText="1"/>
    </xf>
    <xf numFmtId="4" fontId="38" fillId="6" borderId="8" xfId="20" applyNumberFormat="1" applyFont="1" applyFill="1" applyBorder="1" applyAlignment="1">
      <alignment horizontal="center" vertical="center"/>
    </xf>
    <xf numFmtId="43" fontId="38" fillId="6" borderId="47" xfId="21" applyFont="1" applyFill="1" applyBorder="1" applyAlignment="1">
      <alignment horizontal="center" vertical="center" wrapText="1"/>
    </xf>
    <xf numFmtId="1" fontId="38" fillId="2" borderId="25" xfId="20" applyNumberFormat="1" applyFont="1" applyFill="1" applyBorder="1" applyAlignment="1">
      <alignment horizontal="center" vertical="center"/>
    </xf>
    <xf numFmtId="4" fontId="38" fillId="6" borderId="25" xfId="20" applyNumberFormat="1" applyFont="1" applyFill="1" applyBorder="1" applyAlignment="1">
      <alignment horizontal="center" vertical="center"/>
    </xf>
    <xf numFmtId="43" fontId="38" fillId="6" borderId="29" xfId="21" applyFont="1" applyFill="1" applyBorder="1" applyAlignment="1">
      <alignment horizontal="center" vertical="center" wrapText="1"/>
    </xf>
    <xf numFmtId="1" fontId="45" fillId="2" borderId="8" xfId="20" applyNumberFormat="1" applyFont="1" applyFill="1" applyBorder="1" applyAlignment="1">
      <alignment horizontal="center" vertical="center"/>
    </xf>
    <xf numFmtId="4" fontId="45" fillId="2" borderId="8" xfId="20" applyNumberFormat="1" applyFont="1" applyFill="1" applyBorder="1" applyAlignment="1">
      <alignment horizontal="center" vertical="center"/>
    </xf>
    <xf numFmtId="0" fontId="36" fillId="2" borderId="0" xfId="20" applyFont="1" applyFill="1"/>
    <xf numFmtId="1" fontId="38" fillId="6" borderId="8" xfId="20" applyNumberFormat="1" applyFont="1" applyFill="1" applyBorder="1" applyAlignment="1">
      <alignment horizontal="center" vertical="center"/>
    </xf>
    <xf numFmtId="1" fontId="38" fillId="6" borderId="25" xfId="20" applyNumberFormat="1" applyFont="1" applyFill="1" applyBorder="1" applyAlignment="1">
      <alignment horizontal="center" vertical="center"/>
    </xf>
    <xf numFmtId="1" fontId="45" fillId="6" borderId="25" xfId="20" applyNumberFormat="1" applyFont="1" applyFill="1" applyBorder="1" applyAlignment="1">
      <alignment horizontal="center" vertical="center"/>
    </xf>
    <xf numFmtId="0" fontId="38" fillId="2" borderId="37" xfId="20" applyFont="1" applyFill="1" applyBorder="1" applyAlignment="1">
      <alignment horizontal="center" vertical="center" wrapText="1"/>
    </xf>
    <xf numFmtId="0" fontId="38" fillId="6" borderId="39" xfId="20" applyFont="1" applyFill="1" applyBorder="1" applyAlignment="1">
      <alignment vertical="top" wrapText="1"/>
    </xf>
    <xf numFmtId="0" fontId="39" fillId="11" borderId="7" xfId="20" applyFont="1" applyFill="1" applyBorder="1" applyAlignment="1">
      <alignment vertical="center"/>
    </xf>
    <xf numFmtId="0" fontId="39" fillId="11" borderId="8" xfId="20" applyFont="1" applyFill="1" applyBorder="1" applyAlignment="1">
      <alignment vertical="center" wrapText="1"/>
    </xf>
    <xf numFmtId="167" fontId="39" fillId="11" borderId="8" xfId="21" applyNumberFormat="1" applyFont="1" applyFill="1" applyBorder="1" applyAlignment="1">
      <alignment horizontal="center" vertical="center"/>
    </xf>
    <xf numFmtId="167" fontId="39" fillId="11" borderId="47" xfId="21" applyNumberFormat="1" applyFont="1" applyFill="1" applyBorder="1" applyAlignment="1">
      <alignment vertical="center"/>
    </xf>
    <xf numFmtId="43" fontId="49" fillId="2" borderId="39" xfId="21" applyFont="1" applyFill="1" applyBorder="1" applyAlignment="1">
      <alignment horizontal="center" vertical="center" wrapText="1"/>
    </xf>
    <xf numFmtId="43" fontId="49" fillId="2" borderId="47" xfId="21" applyFont="1" applyFill="1" applyBorder="1" applyAlignment="1">
      <alignment horizontal="center" vertical="center" wrapText="1"/>
    </xf>
    <xf numFmtId="4" fontId="38" fillId="2" borderId="28" xfId="20" applyNumberFormat="1" applyFont="1" applyFill="1" applyBorder="1" applyAlignment="1">
      <alignment horizontal="center" vertical="center"/>
    </xf>
    <xf numFmtId="43" fontId="38" fillId="2" borderId="37" xfId="21" applyFont="1" applyFill="1" applyBorder="1" applyAlignment="1">
      <alignment horizontal="center" vertical="center" wrapText="1"/>
    </xf>
    <xf numFmtId="1" fontId="38" fillId="6" borderId="19" xfId="20" applyNumberFormat="1" applyFont="1" applyFill="1" applyBorder="1" applyAlignment="1">
      <alignment horizontal="center" vertical="center"/>
    </xf>
    <xf numFmtId="4" fontId="38" fillId="6" borderId="19" xfId="20" applyNumberFormat="1" applyFont="1" applyFill="1" applyBorder="1" applyAlignment="1">
      <alignment horizontal="center" vertical="center"/>
    </xf>
    <xf numFmtId="4" fontId="38" fillId="6" borderId="14" xfId="20" applyNumberFormat="1" applyFont="1" applyFill="1" applyBorder="1" applyAlignment="1">
      <alignment horizontal="center" vertical="center"/>
    </xf>
    <xf numFmtId="43" fontId="38" fillId="6" borderId="30" xfId="21" applyFont="1" applyFill="1" applyBorder="1" applyAlignment="1">
      <alignment horizontal="center" vertical="center" wrapText="1"/>
    </xf>
    <xf numFmtId="4" fontId="38" fillId="6" borderId="20" xfId="20" applyNumberFormat="1" applyFont="1" applyFill="1" applyBorder="1" applyAlignment="1">
      <alignment horizontal="center" vertical="center"/>
    </xf>
    <xf numFmtId="0" fontId="38" fillId="6" borderId="30" xfId="20" applyFont="1" applyFill="1" applyBorder="1" applyAlignment="1">
      <alignment vertical="top" wrapText="1"/>
    </xf>
    <xf numFmtId="1" fontId="38" fillId="2" borderId="2" xfId="20" applyNumberFormat="1" applyFont="1" applyFill="1" applyBorder="1" applyAlignment="1">
      <alignment horizontal="center" vertical="center" wrapText="1"/>
    </xf>
    <xf numFmtId="1" fontId="45" fillId="2" borderId="34" xfId="20" applyNumberFormat="1" applyFont="1" applyFill="1" applyBorder="1" applyAlignment="1">
      <alignment horizontal="center" vertical="center"/>
    </xf>
    <xf numFmtId="165" fontId="38" fillId="2" borderId="37" xfId="20" applyNumberFormat="1" applyFont="1" applyFill="1" applyBorder="1" applyAlignment="1">
      <alignment horizontal="center" vertical="center"/>
    </xf>
    <xf numFmtId="4" fontId="49" fillId="6" borderId="6" xfId="20" applyNumberFormat="1" applyFont="1" applyFill="1" applyBorder="1" applyAlignment="1">
      <alignment horizontal="center" vertical="center"/>
    </xf>
    <xf numFmtId="43" fontId="47" fillId="4" borderId="17" xfId="21" applyFont="1" applyFill="1" applyBorder="1" applyAlignment="1">
      <alignment horizontal="center" vertical="center" wrapText="1"/>
    </xf>
    <xf numFmtId="4" fontId="38" fillId="6" borderId="4" xfId="20" applyNumberFormat="1" applyFont="1" applyFill="1" applyBorder="1" applyAlignment="1">
      <alignment horizontal="center" vertical="center"/>
    </xf>
    <xf numFmtId="43" fontId="38" fillId="2" borderId="39" xfId="21" applyFont="1" applyFill="1" applyBorder="1" applyAlignment="1">
      <alignment horizontal="center" vertical="center" wrapText="1"/>
    </xf>
    <xf numFmtId="4" fontId="38" fillId="2" borderId="6" xfId="20" applyNumberFormat="1" applyFont="1" applyFill="1" applyBorder="1" applyAlignment="1">
      <alignment horizontal="center" vertical="center"/>
    </xf>
    <xf numFmtId="0" fontId="38" fillId="2" borderId="39" xfId="20" applyFont="1" applyFill="1" applyBorder="1" applyAlignment="1">
      <alignment vertical="top" wrapText="1"/>
    </xf>
    <xf numFmtId="4" fontId="51" fillId="6" borderId="34" xfId="20" applyNumberFormat="1" applyFont="1" applyFill="1" applyBorder="1" applyAlignment="1">
      <alignment horizontal="center" vertical="center"/>
    </xf>
    <xf numFmtId="4" fontId="51" fillId="6" borderId="2" xfId="20" applyNumberFormat="1" applyFont="1" applyFill="1" applyBorder="1" applyAlignment="1">
      <alignment horizontal="center" vertical="center"/>
    </xf>
    <xf numFmtId="4" fontId="51" fillId="6" borderId="22" xfId="20" applyNumberFormat="1" applyFont="1" applyFill="1" applyBorder="1" applyAlignment="1">
      <alignment horizontal="center" vertical="center"/>
    </xf>
    <xf numFmtId="4" fontId="51" fillId="2" borderId="34" xfId="20" applyNumberFormat="1" applyFont="1" applyFill="1" applyBorder="1" applyAlignment="1">
      <alignment horizontal="center" vertical="center"/>
    </xf>
    <xf numFmtId="4" fontId="51" fillId="2" borderId="2" xfId="20" applyNumberFormat="1" applyFont="1" applyFill="1" applyBorder="1" applyAlignment="1">
      <alignment horizontal="center" vertical="center"/>
    </xf>
    <xf numFmtId="4" fontId="51" fillId="6" borderId="6" xfId="20" applyNumberFormat="1" applyFont="1" applyFill="1" applyBorder="1" applyAlignment="1">
      <alignment horizontal="center" vertical="center"/>
    </xf>
    <xf numFmtId="4" fontId="51" fillId="2" borderId="22" xfId="20" applyNumberFormat="1" applyFont="1" applyFill="1" applyBorder="1" applyAlignment="1">
      <alignment horizontal="center" vertical="center"/>
    </xf>
    <xf numFmtId="4" fontId="51" fillId="2" borderId="2" xfId="21" applyNumberFormat="1" applyFont="1" applyFill="1" applyBorder="1" applyAlignment="1">
      <alignment horizontal="center" vertical="center" wrapText="1"/>
    </xf>
    <xf numFmtId="4" fontId="51" fillId="6" borderId="19" xfId="20" applyNumberFormat="1" applyFont="1" applyFill="1" applyBorder="1" applyAlignment="1">
      <alignment horizontal="center" vertical="center"/>
    </xf>
    <xf numFmtId="4" fontId="51" fillId="6" borderId="14" xfId="20" applyNumberFormat="1" applyFont="1" applyFill="1" applyBorder="1" applyAlignment="1">
      <alignment horizontal="center" vertical="center"/>
    </xf>
    <xf numFmtId="4" fontId="51" fillId="6" borderId="1" xfId="20" applyNumberFormat="1" applyFont="1" applyFill="1" applyBorder="1" applyAlignment="1">
      <alignment horizontal="center" vertical="center"/>
    </xf>
    <xf numFmtId="4" fontId="51" fillId="2" borderId="1" xfId="20" applyNumberFormat="1" applyFont="1" applyFill="1" applyBorder="1" applyAlignment="1">
      <alignment horizontal="center" vertical="center"/>
    </xf>
    <xf numFmtId="4" fontId="51" fillId="6" borderId="8" xfId="21" applyNumberFormat="1" applyFont="1" applyFill="1" applyBorder="1" applyAlignment="1">
      <alignment horizontal="center" vertical="center" wrapText="1"/>
    </xf>
    <xf numFmtId="4" fontId="51" fillId="6" borderId="8" xfId="20" applyNumberFormat="1" applyFont="1" applyFill="1" applyBorder="1" applyAlignment="1">
      <alignment horizontal="center" vertical="center"/>
    </xf>
    <xf numFmtId="4" fontId="51" fillId="6" borderId="25" xfId="20" applyNumberFormat="1" applyFont="1" applyFill="1" applyBorder="1" applyAlignment="1">
      <alignment horizontal="center" vertical="center"/>
    </xf>
    <xf numFmtId="4" fontId="51" fillId="2" borderId="8" xfId="20" applyNumberFormat="1" applyFont="1" applyFill="1" applyBorder="1" applyAlignment="1">
      <alignment horizontal="center" vertical="center"/>
    </xf>
    <xf numFmtId="4" fontId="51" fillId="6" borderId="20" xfId="20" applyNumberFormat="1" applyFont="1" applyFill="1" applyBorder="1" applyAlignment="1">
      <alignment horizontal="center" vertical="center"/>
    </xf>
    <xf numFmtId="4" fontId="51" fillId="2" borderId="26" xfId="20" applyNumberFormat="1" applyFont="1" applyFill="1" applyBorder="1" applyAlignment="1">
      <alignment horizontal="center" vertical="center"/>
    </xf>
    <xf numFmtId="4" fontId="51" fillId="2" borderId="38" xfId="20" applyNumberFormat="1" applyFont="1" applyFill="1" applyBorder="1" applyAlignment="1">
      <alignment horizontal="center" vertical="center"/>
    </xf>
    <xf numFmtId="4" fontId="51" fillId="2" borderId="28" xfId="20" applyNumberFormat="1" applyFont="1" applyFill="1" applyBorder="1" applyAlignment="1">
      <alignment horizontal="center" vertical="center"/>
    </xf>
    <xf numFmtId="0" fontId="38" fillId="2" borderId="20" xfId="20" applyFont="1" applyFill="1" applyBorder="1" applyAlignment="1">
      <alignment horizontal="left" vertical="center" wrapText="1"/>
    </xf>
    <xf numFmtId="175" fontId="38" fillId="2" borderId="20" xfId="21" applyNumberFormat="1" applyFont="1" applyFill="1" applyBorder="1" applyAlignment="1">
      <alignment horizontal="center" vertical="center" wrapText="1"/>
    </xf>
    <xf numFmtId="176" fontId="51" fillId="2" borderId="36" xfId="21" applyNumberFormat="1" applyFont="1" applyFill="1" applyBorder="1" applyAlignment="1">
      <alignment horizontal="center" vertical="center" wrapText="1"/>
    </xf>
    <xf numFmtId="4" fontId="51" fillId="2" borderId="25" xfId="20" applyNumberFormat="1" applyFont="1" applyFill="1" applyBorder="1" applyAlignment="1">
      <alignment horizontal="center" vertical="center"/>
    </xf>
    <xf numFmtId="176" fontId="36" fillId="0" borderId="0" xfId="20" applyNumberFormat="1" applyFont="1"/>
    <xf numFmtId="167" fontId="37" fillId="0" borderId="0" xfId="21" applyNumberFormat="1" applyFont="1" applyFill="1" applyAlignment="1">
      <alignment horizontal="right" vertical="center"/>
    </xf>
    <xf numFmtId="1" fontId="38" fillId="2" borderId="20" xfId="20" applyNumberFormat="1" applyFont="1" applyFill="1" applyBorder="1" applyAlignment="1">
      <alignment horizontal="center" vertical="center"/>
    </xf>
    <xf numFmtId="4" fontId="51" fillId="2" borderId="19" xfId="21" applyNumberFormat="1" applyFont="1" applyFill="1" applyBorder="1" applyAlignment="1">
      <alignment horizontal="center" vertical="center" wrapText="1"/>
    </xf>
    <xf numFmtId="4" fontId="38" fillId="2" borderId="20" xfId="20" applyNumberFormat="1" applyFont="1" applyFill="1" applyBorder="1" applyAlignment="1">
      <alignment horizontal="center" vertical="center"/>
    </xf>
    <xf numFmtId="43" fontId="38" fillId="2" borderId="30" xfId="21" applyFont="1" applyFill="1" applyBorder="1" applyAlignment="1">
      <alignment horizontal="center" vertical="center" wrapText="1"/>
    </xf>
    <xf numFmtId="4" fontId="51" fillId="2" borderId="15" xfId="20" applyNumberFormat="1" applyFont="1" applyFill="1" applyBorder="1" applyAlignment="1">
      <alignment horizontal="center" vertical="center"/>
    </xf>
    <xf numFmtId="175" fontId="38" fillId="2" borderId="15" xfId="21" applyNumberFormat="1" applyFont="1" applyFill="1" applyBorder="1" applyAlignment="1">
      <alignment horizontal="center" vertical="center" wrapText="1"/>
    </xf>
    <xf numFmtId="4" fontId="51" fillId="2" borderId="6" xfId="20" applyNumberFormat="1" applyFont="1" applyFill="1" applyBorder="1" applyAlignment="1">
      <alignment horizontal="center" vertical="center"/>
    </xf>
    <xf numFmtId="43" fontId="38" fillId="2" borderId="43" xfId="21" applyFont="1" applyFill="1" applyBorder="1" applyAlignment="1">
      <alignment horizontal="center" vertical="center" wrapText="1"/>
    </xf>
    <xf numFmtId="4" fontId="49" fillId="2" borderId="22" xfId="20" applyNumberFormat="1" applyFont="1" applyFill="1" applyBorder="1" applyAlignment="1">
      <alignment horizontal="center" vertical="center"/>
    </xf>
    <xf numFmtId="4" fontId="49" fillId="2" borderId="6" xfId="20" applyNumberFormat="1" applyFont="1" applyFill="1" applyBorder="1" applyAlignment="1">
      <alignment horizontal="center" vertical="center"/>
    </xf>
    <xf numFmtId="4" fontId="49" fillId="2" borderId="2" xfId="20" applyNumberFormat="1" applyFont="1" applyFill="1" applyBorder="1" applyAlignment="1">
      <alignment horizontal="center" vertical="center"/>
    </xf>
    <xf numFmtId="4" fontId="51" fillId="2" borderId="4" xfId="20" applyNumberFormat="1" applyFont="1" applyFill="1" applyBorder="1" applyAlignment="1">
      <alignment horizontal="center" vertical="center"/>
    </xf>
    <xf numFmtId="43" fontId="38" fillId="2" borderId="29" xfId="21" applyFont="1" applyFill="1" applyBorder="1" applyAlignment="1">
      <alignment horizontal="center" vertical="center" wrapText="1"/>
    </xf>
    <xf numFmtId="0" fontId="38" fillId="2" borderId="62" xfId="20" applyFont="1" applyFill="1" applyBorder="1" applyAlignment="1">
      <alignment vertical="top" wrapText="1"/>
    </xf>
    <xf numFmtId="0" fontId="38" fillId="2" borderId="35" xfId="20" applyFont="1" applyFill="1" applyBorder="1" applyAlignment="1">
      <alignment vertical="top" wrapText="1"/>
    </xf>
    <xf numFmtId="4" fontId="38" fillId="2" borderId="4" xfId="20" applyNumberFormat="1" applyFont="1" applyFill="1" applyBorder="1" applyAlignment="1">
      <alignment horizontal="center" vertical="center"/>
    </xf>
    <xf numFmtId="43" fontId="38" fillId="2" borderId="32" xfId="21" applyFont="1" applyFill="1" applyBorder="1" applyAlignment="1">
      <alignment horizontal="center" vertical="center" wrapText="1"/>
    </xf>
    <xf numFmtId="1" fontId="38" fillId="2" borderId="4" xfId="20" applyNumberFormat="1" applyFont="1" applyFill="1" applyBorder="1" applyAlignment="1">
      <alignment horizontal="center" vertical="center"/>
    </xf>
    <xf numFmtId="0" fontId="38" fillId="2" borderId="2" xfId="20" applyFont="1" applyFill="1" applyBorder="1" applyAlignment="1">
      <alignment horizontal="left" vertical="center" wrapText="1"/>
    </xf>
    <xf numFmtId="175" fontId="38" fillId="2" borderId="2" xfId="21" applyNumberFormat="1" applyFont="1" applyFill="1" applyBorder="1" applyAlignment="1">
      <alignment horizontal="center" vertical="center" wrapText="1"/>
    </xf>
    <xf numFmtId="4" fontId="51" fillId="2" borderId="19" xfId="20" applyNumberFormat="1" applyFont="1" applyFill="1" applyBorder="1" applyAlignment="1">
      <alignment horizontal="center" vertical="center"/>
    </xf>
    <xf numFmtId="4" fontId="51" fillId="2" borderId="20" xfId="20" applyNumberFormat="1" applyFont="1" applyFill="1" applyBorder="1" applyAlignment="1">
      <alignment horizontal="center" vertical="center"/>
    </xf>
    <xf numFmtId="43" fontId="38" fillId="2" borderId="62" xfId="21" applyFont="1" applyFill="1" applyBorder="1" applyAlignment="1">
      <alignment horizontal="center" vertical="center" wrapText="1"/>
    </xf>
    <xf numFmtId="4" fontId="49" fillId="2" borderId="19" xfId="21" applyNumberFormat="1" applyFont="1" applyFill="1" applyBorder="1" applyAlignment="1">
      <alignment horizontal="center" vertical="center" wrapText="1"/>
    </xf>
    <xf numFmtId="4" fontId="49" fillId="6" borderId="2" xfId="20" applyNumberFormat="1" applyFont="1" applyFill="1" applyBorder="1" applyAlignment="1">
      <alignment horizontal="center" vertical="center"/>
    </xf>
    <xf numFmtId="4" fontId="49" fillId="6" borderId="25" xfId="20" applyNumberFormat="1" applyFont="1" applyFill="1" applyBorder="1" applyAlignment="1">
      <alignment horizontal="center" vertical="center"/>
    </xf>
    <xf numFmtId="1" fontId="45" fillId="2" borderId="2" xfId="20" applyNumberFormat="1" applyFont="1" applyFill="1" applyBorder="1" applyAlignment="1">
      <alignment horizontal="center" vertical="center"/>
    </xf>
    <xf numFmtId="43" fontId="38" fillId="2" borderId="2" xfId="21" applyFont="1" applyFill="1" applyBorder="1" applyAlignment="1">
      <alignment horizontal="center" vertical="center" wrapText="1"/>
    </xf>
    <xf numFmtId="165" fontId="38" fillId="2" borderId="2" xfId="20" applyNumberFormat="1" applyFont="1" applyFill="1" applyBorder="1" applyAlignment="1">
      <alignment horizontal="center" vertical="center"/>
    </xf>
    <xf numFmtId="0" fontId="38" fillId="2" borderId="2" xfId="20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vertical="top" wrapText="1"/>
    </xf>
    <xf numFmtId="176" fontId="38" fillId="2" borderId="2" xfId="21" applyNumberFormat="1" applyFont="1" applyFill="1" applyBorder="1" applyAlignment="1">
      <alignment horizontal="center" vertical="center" wrapText="1"/>
    </xf>
    <xf numFmtId="43" fontId="49" fillId="5" borderId="43" xfId="21" applyFont="1" applyFill="1" applyBorder="1" applyAlignment="1">
      <alignment horizontal="center" vertical="center" wrapText="1"/>
    </xf>
    <xf numFmtId="43" fontId="49" fillId="5" borderId="30" xfId="21" applyFont="1" applyFill="1" applyBorder="1" applyAlignment="1">
      <alignment horizontal="center" vertical="center" wrapText="1"/>
    </xf>
    <xf numFmtId="0" fontId="49" fillId="5" borderId="2" xfId="20" applyFont="1" applyFill="1" applyBorder="1" applyAlignment="1">
      <alignment vertical="top" wrapText="1"/>
    </xf>
    <xf numFmtId="43" fontId="49" fillId="5" borderId="39" xfId="21" applyFont="1" applyFill="1" applyBorder="1" applyAlignment="1">
      <alignment horizontal="center" vertical="center" wrapText="1"/>
    </xf>
    <xf numFmtId="167" fontId="41" fillId="5" borderId="0" xfId="21" applyNumberFormat="1" applyFont="1" applyFill="1" applyAlignment="1">
      <alignment horizontal="center" vertical="center"/>
    </xf>
    <xf numFmtId="4" fontId="45" fillId="5" borderId="19" xfId="21" applyNumberFormat="1" applyFont="1" applyFill="1" applyBorder="1" applyAlignment="1">
      <alignment horizontal="center" vertical="center" wrapText="1"/>
    </xf>
    <xf numFmtId="4" fontId="45" fillId="5" borderId="6" xfId="20" applyNumberFormat="1" applyFont="1" applyFill="1" applyBorder="1" applyAlignment="1">
      <alignment horizontal="center" vertical="center"/>
    </xf>
    <xf numFmtId="171" fontId="52" fillId="5" borderId="2" xfId="20" applyNumberFormat="1" applyFont="1" applyFill="1" applyBorder="1" applyAlignment="1">
      <alignment horizontal="center" vertical="center"/>
    </xf>
    <xf numFmtId="4" fontId="52" fillId="5" borderId="2" xfId="20" applyNumberFormat="1" applyFont="1" applyFill="1" applyBorder="1" applyAlignment="1">
      <alignment horizontal="center" vertical="center"/>
    </xf>
    <xf numFmtId="4" fontId="52" fillId="5" borderId="6" xfId="20" applyNumberFormat="1" applyFont="1" applyFill="1" applyBorder="1" applyAlignment="1">
      <alignment horizontal="center" vertical="center"/>
    </xf>
    <xf numFmtId="43" fontId="49" fillId="5" borderId="2" xfId="21" applyFont="1" applyFill="1" applyBorder="1" applyAlignment="1">
      <alignment horizontal="center" vertical="center" wrapText="1"/>
    </xf>
    <xf numFmtId="4" fontId="37" fillId="0" borderId="0" xfId="20" applyNumberFormat="1" applyFont="1" applyAlignment="1">
      <alignment horizontal="center" vertical="center"/>
    </xf>
    <xf numFmtId="4" fontId="39" fillId="0" borderId="0" xfId="20" applyNumberFormat="1" applyFont="1" applyAlignment="1">
      <alignment horizontal="center" vertical="center"/>
    </xf>
    <xf numFmtId="177" fontId="37" fillId="0" borderId="0" xfId="20" applyNumberFormat="1" applyFont="1" applyAlignment="1">
      <alignment horizontal="center" vertical="center"/>
    </xf>
    <xf numFmtId="1" fontId="38" fillId="0" borderId="6" xfId="20" applyNumberFormat="1" applyFont="1" applyFill="1" applyBorder="1" applyAlignment="1">
      <alignment horizontal="center" vertical="center"/>
    </xf>
    <xf numFmtId="4" fontId="51" fillId="0" borderId="19" xfId="20" applyNumberFormat="1" applyFont="1" applyFill="1" applyBorder="1" applyAlignment="1">
      <alignment horizontal="center" vertical="center"/>
    </xf>
    <xf numFmtId="4" fontId="51" fillId="0" borderId="19" xfId="21" applyNumberFormat="1" applyFont="1" applyFill="1" applyBorder="1" applyAlignment="1">
      <alignment horizontal="center" vertical="center" wrapText="1"/>
    </xf>
    <xf numFmtId="4" fontId="38" fillId="0" borderId="6" xfId="20" applyNumberFormat="1" applyFont="1" applyFill="1" applyBorder="1" applyAlignment="1">
      <alignment horizontal="center" vertical="center"/>
    </xf>
    <xf numFmtId="43" fontId="38" fillId="0" borderId="30" xfId="21" applyFont="1" applyFill="1" applyBorder="1" applyAlignment="1">
      <alignment horizontal="center" vertical="center" wrapText="1"/>
    </xf>
    <xf numFmtId="4" fontId="36" fillId="2" borderId="0" xfId="20" applyNumberFormat="1" applyFont="1" applyFill="1" applyAlignment="1">
      <alignment horizontal="center" vertical="center"/>
    </xf>
    <xf numFmtId="4" fontId="49" fillId="5" borderId="2" xfId="20" applyNumberFormat="1" applyFont="1" applyFill="1" applyBorder="1" applyAlignment="1">
      <alignment horizontal="center" vertical="center"/>
    </xf>
    <xf numFmtId="0" fontId="36" fillId="5" borderId="0" xfId="20" applyFont="1" applyFill="1" applyAlignment="1">
      <alignment horizontal="center" vertical="center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43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43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43" fontId="25" fillId="4" borderId="27" xfId="10" applyFont="1" applyFill="1" applyBorder="1" applyAlignment="1">
      <alignment horizontal="center" vertical="center" wrapText="1"/>
    </xf>
    <xf numFmtId="43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48" fillId="0" borderId="0" xfId="20" applyFont="1" applyAlignment="1">
      <alignment horizontal="center" vertical="center" wrapText="1"/>
    </xf>
    <xf numFmtId="0" fontId="48" fillId="0" borderId="16" xfId="20" applyFont="1" applyBorder="1" applyAlignment="1">
      <alignment horizontal="center" vertical="center" wrapText="1"/>
    </xf>
    <xf numFmtId="43" fontId="47" fillId="4" borderId="6" xfId="21" applyFont="1" applyFill="1" applyBorder="1" applyAlignment="1">
      <alignment horizontal="center" vertical="center" wrapText="1"/>
    </xf>
    <xf numFmtId="43" fontId="47" fillId="4" borderId="20" xfId="21" applyFont="1" applyFill="1" applyBorder="1" applyAlignment="1">
      <alignment horizontal="center" vertical="center" wrapText="1"/>
    </xf>
    <xf numFmtId="0" fontId="47" fillId="4" borderId="2" xfId="20" applyFont="1" applyFill="1" applyBorder="1" applyAlignment="1">
      <alignment horizontal="center" vertical="center" wrapText="1"/>
    </xf>
    <xf numFmtId="0" fontId="47" fillId="4" borderId="6" xfId="20" applyFont="1" applyFill="1" applyBorder="1" applyAlignment="1">
      <alignment horizontal="center" vertical="center" wrapText="1"/>
    </xf>
    <xf numFmtId="167" fontId="47" fillId="4" borderId="6" xfId="21" applyNumberFormat="1" applyFont="1" applyFill="1" applyBorder="1" applyAlignment="1">
      <alignment horizontal="center" vertical="center" wrapText="1"/>
    </xf>
    <xf numFmtId="167" fontId="47" fillId="4" borderId="20" xfId="21" applyNumberFormat="1" applyFont="1" applyFill="1" applyBorder="1" applyAlignment="1">
      <alignment horizontal="center" vertical="center" wrapText="1"/>
    </xf>
    <xf numFmtId="43" fontId="47" fillId="4" borderId="12" xfId="21" applyFont="1" applyFill="1" applyBorder="1" applyAlignment="1">
      <alignment horizontal="center" vertical="center" wrapText="1"/>
    </xf>
    <xf numFmtId="43" fontId="47" fillId="4" borderId="17" xfId="21" applyFont="1" applyFill="1" applyBorder="1" applyAlignment="1">
      <alignment horizontal="center" vertical="center" wrapText="1"/>
    </xf>
    <xf numFmtId="176" fontId="51" fillId="6" borderId="24" xfId="21" applyNumberFormat="1" applyFont="1" applyFill="1" applyBorder="1" applyAlignment="1">
      <alignment horizontal="center" vertical="center" wrapText="1"/>
    </xf>
    <xf numFmtId="176" fontId="51" fillId="6" borderId="36" xfId="21" applyNumberFormat="1" applyFont="1" applyFill="1" applyBorder="1" applyAlignment="1">
      <alignment horizontal="center" vertical="center" wrapText="1"/>
    </xf>
    <xf numFmtId="176" fontId="51" fillId="6" borderId="31" xfId="21" applyNumberFormat="1" applyFont="1" applyFill="1" applyBorder="1" applyAlignment="1">
      <alignment horizontal="center" vertical="center" wrapText="1"/>
    </xf>
    <xf numFmtId="0" fontId="38" fillId="6" borderId="25" xfId="20" applyFont="1" applyFill="1" applyBorder="1" applyAlignment="1">
      <alignment horizontal="left" vertical="center" wrapText="1"/>
    </xf>
    <xf numFmtId="0" fontId="38" fillId="6" borderId="20" xfId="20" applyFont="1" applyFill="1" applyBorder="1" applyAlignment="1">
      <alignment horizontal="left" vertical="center" wrapText="1"/>
    </xf>
    <xf numFmtId="0" fontId="38" fillId="6" borderId="4" xfId="20" applyFont="1" applyFill="1" applyBorder="1" applyAlignment="1">
      <alignment horizontal="left" vertical="center" wrapText="1"/>
    </xf>
    <xf numFmtId="175" fontId="38" fillId="6" borderId="25" xfId="21" applyNumberFormat="1" applyFont="1" applyFill="1" applyBorder="1" applyAlignment="1">
      <alignment horizontal="center" vertical="center" wrapText="1"/>
    </xf>
    <xf numFmtId="175" fontId="38" fillId="6" borderId="20" xfId="21" applyNumberFormat="1" applyFont="1" applyFill="1" applyBorder="1" applyAlignment="1">
      <alignment horizontal="center" vertical="center" wrapText="1"/>
    </xf>
    <xf numFmtId="175" fontId="38" fillId="6" borderId="4" xfId="21" applyNumberFormat="1" applyFont="1" applyFill="1" applyBorder="1" applyAlignment="1">
      <alignment horizontal="center" vertical="center" wrapText="1"/>
    </xf>
    <xf numFmtId="176" fontId="51" fillId="2" borderId="24" xfId="21" applyNumberFormat="1" applyFont="1" applyFill="1" applyBorder="1" applyAlignment="1">
      <alignment horizontal="center" vertical="center" wrapText="1"/>
    </xf>
    <xf numFmtId="176" fontId="51" fillId="2" borderId="36" xfId="21" applyNumberFormat="1" applyFont="1" applyFill="1" applyBorder="1" applyAlignment="1">
      <alignment horizontal="center" vertical="center" wrapText="1"/>
    </xf>
    <xf numFmtId="0" fontId="38" fillId="2" borderId="25" xfId="20" applyFont="1" applyFill="1" applyBorder="1" applyAlignment="1">
      <alignment horizontal="left" vertical="center" wrapText="1"/>
    </xf>
    <xf numFmtId="0" fontId="38" fillId="2" borderId="20" xfId="20" applyFont="1" applyFill="1" applyBorder="1" applyAlignment="1">
      <alignment horizontal="left" vertical="center" wrapText="1"/>
    </xf>
    <xf numFmtId="175" fontId="38" fillId="2" borderId="25" xfId="21" applyNumberFormat="1" applyFont="1" applyFill="1" applyBorder="1" applyAlignment="1">
      <alignment horizontal="center" vertical="center" wrapText="1"/>
    </xf>
    <xf numFmtId="175" fontId="38" fillId="2" borderId="20" xfId="21" applyNumberFormat="1" applyFont="1" applyFill="1" applyBorder="1" applyAlignment="1">
      <alignment horizontal="center" vertical="center" wrapText="1"/>
    </xf>
    <xf numFmtId="176" fontId="38" fillId="6" borderId="24" xfId="21" applyNumberFormat="1" applyFont="1" applyFill="1" applyBorder="1" applyAlignment="1">
      <alignment horizontal="center" vertical="center" wrapText="1"/>
    </xf>
    <xf numFmtId="176" fontId="38" fillId="6" borderId="36" xfId="21" applyNumberFormat="1" applyFont="1" applyFill="1" applyBorder="1" applyAlignment="1">
      <alignment horizontal="center" vertical="center" wrapText="1"/>
    </xf>
    <xf numFmtId="176" fontId="38" fillId="6" borderId="31" xfId="21" applyNumberFormat="1" applyFont="1" applyFill="1" applyBorder="1" applyAlignment="1">
      <alignment horizontal="center" vertical="center" wrapText="1"/>
    </xf>
    <xf numFmtId="176" fontId="38" fillId="2" borderId="24" xfId="21" applyNumberFormat="1" applyFont="1" applyFill="1" applyBorder="1" applyAlignment="1">
      <alignment horizontal="center" vertical="center" wrapText="1"/>
    </xf>
    <xf numFmtId="176" fontId="38" fillId="2" borderId="36" xfId="21" applyNumberFormat="1" applyFont="1" applyFill="1" applyBorder="1" applyAlignment="1">
      <alignment horizontal="center" vertical="center" wrapText="1"/>
    </xf>
    <xf numFmtId="176" fontId="38" fillId="2" borderId="31" xfId="21" applyNumberFormat="1" applyFont="1" applyFill="1" applyBorder="1" applyAlignment="1">
      <alignment horizontal="center" vertical="center" wrapText="1"/>
    </xf>
    <xf numFmtId="0" fontId="38" fillId="2" borderId="25" xfId="20" applyFont="1" applyFill="1" applyBorder="1" applyAlignment="1">
      <alignment horizontal="center" vertical="center" wrapText="1"/>
    </xf>
    <xf numFmtId="0" fontId="38" fillId="2" borderId="20" xfId="20" applyFont="1" applyFill="1" applyBorder="1" applyAlignment="1">
      <alignment horizontal="center" vertical="center" wrapText="1"/>
    </xf>
    <xf numFmtId="0" fontId="38" fillId="2" borderId="4" xfId="20" applyFont="1" applyFill="1" applyBorder="1" applyAlignment="1">
      <alignment horizontal="center" vertical="center" wrapText="1"/>
    </xf>
    <xf numFmtId="175" fontId="38" fillId="2" borderId="4" xfId="21" applyNumberFormat="1" applyFont="1" applyFill="1" applyBorder="1" applyAlignment="1">
      <alignment horizontal="center" vertical="center" wrapText="1"/>
    </xf>
    <xf numFmtId="0" fontId="38" fillId="2" borderId="4" xfId="20" applyFont="1" applyFill="1" applyBorder="1" applyAlignment="1">
      <alignment horizontal="left" vertical="center" wrapText="1"/>
    </xf>
    <xf numFmtId="176" fontId="38" fillId="6" borderId="64" xfId="21" applyNumberFormat="1" applyFont="1" applyFill="1" applyBorder="1" applyAlignment="1">
      <alignment horizontal="center" vertical="center" wrapText="1"/>
    </xf>
    <xf numFmtId="176" fontId="38" fillId="6" borderId="55" xfId="21" applyNumberFormat="1" applyFont="1" applyFill="1" applyBorder="1" applyAlignment="1">
      <alignment horizontal="center" vertical="center" wrapText="1"/>
    </xf>
    <xf numFmtId="0" fontId="38" fillId="2" borderId="24" xfId="20" applyFont="1" applyFill="1" applyBorder="1" applyAlignment="1">
      <alignment horizontal="center" vertical="center"/>
    </xf>
    <xf numFmtId="0" fontId="38" fillId="2" borderId="31" xfId="20" applyFont="1" applyFill="1" applyBorder="1" applyAlignment="1">
      <alignment horizontal="center" vertical="center"/>
    </xf>
    <xf numFmtId="175" fontId="38" fillId="2" borderId="25" xfId="20" applyNumberFormat="1" applyFont="1" applyFill="1" applyBorder="1" applyAlignment="1">
      <alignment horizontal="center" vertical="center"/>
    </xf>
    <xf numFmtId="175" fontId="38" fillId="2" borderId="4" xfId="20" applyNumberFormat="1" applyFont="1" applyFill="1" applyBorder="1" applyAlignment="1">
      <alignment horizontal="center" vertical="center"/>
    </xf>
    <xf numFmtId="0" fontId="36" fillId="0" borderId="17" xfId="20" applyFont="1" applyBorder="1" applyAlignment="1">
      <alignment horizontal="center" vertical="center"/>
    </xf>
    <xf numFmtId="0" fontId="36" fillId="0" borderId="0" xfId="20" applyFont="1" applyAlignment="1">
      <alignment horizontal="center" vertical="center"/>
    </xf>
    <xf numFmtId="176" fontId="38" fillId="2" borderId="33" xfId="21" applyNumberFormat="1" applyFont="1" applyFill="1" applyBorder="1" applyAlignment="1">
      <alignment horizontal="center" vertical="center" wrapText="1"/>
    </xf>
    <xf numFmtId="176" fontId="38" fillId="2" borderId="18" xfId="21" applyNumberFormat="1" applyFont="1" applyFill="1" applyBorder="1" applyAlignment="1">
      <alignment horizontal="center" vertical="center" wrapText="1"/>
    </xf>
    <xf numFmtId="176" fontId="38" fillId="2" borderId="21" xfId="21" applyNumberFormat="1" applyFont="1" applyFill="1" applyBorder="1" applyAlignment="1">
      <alignment horizontal="center" vertical="center" wrapText="1"/>
    </xf>
    <xf numFmtId="0" fontId="38" fillId="2" borderId="34" xfId="20" applyFont="1" applyFill="1" applyBorder="1" applyAlignment="1">
      <alignment horizontal="left" vertical="center" wrapText="1"/>
    </xf>
    <xf numFmtId="0" fontId="38" fillId="2" borderId="2" xfId="20" applyFont="1" applyFill="1" applyBorder="1" applyAlignment="1">
      <alignment horizontal="left" vertical="center" wrapText="1"/>
    </xf>
    <xf numFmtId="0" fontId="38" fillId="2" borderId="22" xfId="20" applyFont="1" applyFill="1" applyBorder="1" applyAlignment="1">
      <alignment horizontal="left" vertical="center" wrapText="1"/>
    </xf>
    <xf numFmtId="175" fontId="38" fillId="2" borderId="34" xfId="21" applyNumberFormat="1" applyFont="1" applyFill="1" applyBorder="1" applyAlignment="1">
      <alignment horizontal="center" vertical="center" wrapText="1"/>
    </xf>
    <xf numFmtId="175" fontId="38" fillId="2" borderId="2" xfId="21" applyNumberFormat="1" applyFont="1" applyFill="1" applyBorder="1" applyAlignment="1">
      <alignment horizontal="center" vertical="center" wrapText="1"/>
    </xf>
    <xf numFmtId="175" fontId="38" fillId="2" borderId="22" xfId="21" applyNumberFormat="1" applyFont="1" applyFill="1" applyBorder="1" applyAlignment="1">
      <alignment horizontal="center" vertical="center" wrapText="1"/>
    </xf>
    <xf numFmtId="0" fontId="38" fillId="6" borderId="36" xfId="20" applyFont="1" applyFill="1" applyBorder="1" applyAlignment="1">
      <alignment horizontal="center" vertical="center"/>
    </xf>
    <xf numFmtId="0" fontId="38" fillId="6" borderId="31" xfId="20" applyFont="1" applyFill="1" applyBorder="1" applyAlignment="1">
      <alignment horizontal="center" vertical="center"/>
    </xf>
    <xf numFmtId="175" fontId="38" fillId="6" borderId="20" xfId="20" applyNumberFormat="1" applyFont="1" applyFill="1" applyBorder="1" applyAlignment="1">
      <alignment horizontal="center" vertical="center"/>
    </xf>
    <xf numFmtId="175" fontId="38" fillId="6" borderId="4" xfId="20" applyNumberFormat="1" applyFont="1" applyFill="1" applyBorder="1" applyAlignment="1">
      <alignment horizontal="center" vertical="center"/>
    </xf>
    <xf numFmtId="176" fontId="38" fillId="2" borderId="2" xfId="21" applyNumberFormat="1" applyFont="1" applyFill="1" applyBorder="1" applyAlignment="1">
      <alignment horizontal="center" vertical="center" wrapText="1"/>
    </xf>
    <xf numFmtId="173" fontId="43" fillId="0" borderId="25" xfId="20" applyNumberFormat="1" applyFont="1" applyBorder="1" applyAlignment="1">
      <alignment horizontal="center" vertical="center"/>
    </xf>
    <xf numFmtId="173" fontId="43" fillId="0" borderId="20" xfId="20" applyNumberFormat="1" applyFont="1" applyBorder="1" applyAlignment="1">
      <alignment horizontal="center" vertical="center"/>
    </xf>
    <xf numFmtId="173" fontId="37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6" fillId="0" borderId="24" xfId="20" applyFont="1" applyBorder="1" applyAlignment="1">
      <alignment horizontal="center" vertical="center"/>
    </xf>
    <xf numFmtId="0" fontId="36" fillId="0" borderId="36" xfId="20" applyFont="1" applyBorder="1" applyAlignment="1">
      <alignment horizontal="center" vertical="center"/>
    </xf>
    <xf numFmtId="0" fontId="36" fillId="0" borderId="31" xfId="20" applyFont="1" applyBorder="1" applyAlignment="1">
      <alignment horizontal="center" vertical="center"/>
    </xf>
    <xf numFmtId="0" fontId="38" fillId="0" borderId="25" xfId="20" applyFont="1" applyBorder="1" applyAlignment="1">
      <alignment horizontal="left" vertical="center" wrapText="1"/>
    </xf>
    <xf numFmtId="0" fontId="38" fillId="0" borderId="20" xfId="20" applyFont="1" applyBorder="1" applyAlignment="1">
      <alignment horizontal="left" vertical="center" wrapText="1"/>
    </xf>
    <xf numFmtId="0" fontId="38" fillId="0" borderId="4" xfId="20" applyFont="1" applyBorder="1" applyAlignment="1">
      <alignment horizontal="left" vertical="center" wrapText="1"/>
    </xf>
    <xf numFmtId="0" fontId="36" fillId="0" borderId="25" xfId="20" applyFont="1" applyBorder="1" applyAlignment="1">
      <alignment horizontal="center" vertical="center"/>
    </xf>
    <xf numFmtId="0" fontId="36" fillId="0" borderId="20" xfId="20" applyFont="1" applyBorder="1" applyAlignment="1">
      <alignment horizontal="center" vertical="center"/>
    </xf>
    <xf numFmtId="0" fontId="36" fillId="0" borderId="4" xfId="20" applyFont="1" applyBorder="1" applyAlignment="1">
      <alignment horizontal="center" vertical="center"/>
    </xf>
    <xf numFmtId="165" fontId="38" fillId="0" borderId="25" xfId="20" applyNumberFormat="1" applyFont="1" applyBorder="1" applyAlignment="1">
      <alignment horizontal="center" vertical="center"/>
    </xf>
    <xf numFmtId="165" fontId="38" fillId="0" borderId="20" xfId="20" applyNumberFormat="1" applyFont="1" applyBorder="1" applyAlignment="1">
      <alignment horizontal="center" vertical="center"/>
    </xf>
    <xf numFmtId="165" fontId="38" fillId="0" borderId="4" xfId="20" applyNumberFormat="1" applyFont="1" applyBorder="1" applyAlignment="1">
      <alignment horizontal="center" vertical="center"/>
    </xf>
    <xf numFmtId="165" fontId="43" fillId="0" borderId="25" xfId="20" applyNumberFormat="1" applyFont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6" fillId="10" borderId="25" xfId="20" applyFont="1" applyFill="1" applyBorder="1" applyAlignment="1">
      <alignment horizontal="center" vertical="center"/>
    </xf>
    <xf numFmtId="0" fontId="36" fillId="10" borderId="20" xfId="20" applyFont="1" applyFill="1" applyBorder="1" applyAlignment="1">
      <alignment horizontal="center" vertical="center"/>
    </xf>
    <xf numFmtId="165" fontId="38" fillId="10" borderId="25" xfId="20" applyNumberFormat="1" applyFont="1" applyFill="1" applyBorder="1" applyAlignment="1">
      <alignment horizontal="center" vertical="center"/>
    </xf>
    <xf numFmtId="165" fontId="38" fillId="10" borderId="20" xfId="20" applyNumberFormat="1" applyFont="1" applyFill="1" applyBorder="1" applyAlignment="1">
      <alignment horizontal="center" vertical="center"/>
    </xf>
    <xf numFmtId="165" fontId="38" fillId="10" borderId="4" xfId="20" applyNumberFormat="1" applyFont="1" applyFill="1" applyBorder="1" applyAlignment="1">
      <alignment horizontal="center" vertical="center"/>
    </xf>
    <xf numFmtId="173" fontId="43" fillId="10" borderId="25" xfId="20" applyNumberFormat="1" applyFont="1" applyFill="1" applyBorder="1" applyAlignment="1">
      <alignment horizontal="center" vertical="center"/>
    </xf>
    <xf numFmtId="173" fontId="43" fillId="10" borderId="20" xfId="20" applyNumberFormat="1" applyFont="1" applyFill="1" applyBorder="1" applyAlignment="1">
      <alignment horizontal="center" vertical="center"/>
    </xf>
    <xf numFmtId="173" fontId="43" fillId="10" borderId="4" xfId="20" applyNumberFormat="1" applyFont="1" applyFill="1" applyBorder="1" applyAlignment="1">
      <alignment horizontal="center" vertical="center"/>
    </xf>
    <xf numFmtId="0" fontId="36" fillId="10" borderId="24" xfId="20" applyFont="1" applyFill="1" applyBorder="1" applyAlignment="1">
      <alignment horizontal="center" vertical="center"/>
    </xf>
    <xf numFmtId="0" fontId="37" fillId="10" borderId="25" xfId="20" applyFont="1" applyFill="1" applyBorder="1" applyAlignment="1">
      <alignment horizontal="left" vertical="center" wrapText="1"/>
    </xf>
    <xf numFmtId="0" fontId="37" fillId="10" borderId="20" xfId="20" applyFont="1" applyFill="1" applyBorder="1" applyAlignment="1">
      <alignment horizontal="left" vertical="center" wrapText="1"/>
    </xf>
    <xf numFmtId="0" fontId="37" fillId="10" borderId="4" xfId="20" applyFont="1" applyFill="1" applyBorder="1" applyAlignment="1">
      <alignment horizontal="left" vertical="center" wrapText="1"/>
    </xf>
    <xf numFmtId="165" fontId="38" fillId="10" borderId="25" xfId="20" applyNumberFormat="1" applyFont="1" applyFill="1" applyBorder="1" applyAlignment="1">
      <alignment horizontal="left" vertical="center"/>
    </xf>
    <xf numFmtId="165" fontId="38" fillId="10" borderId="20" xfId="20" applyNumberFormat="1" applyFont="1" applyFill="1" applyBorder="1" applyAlignment="1">
      <alignment horizontal="left" vertical="center"/>
    </xf>
    <xf numFmtId="165" fontId="38" fillId="10" borderId="4" xfId="20" applyNumberFormat="1" applyFont="1" applyFill="1" applyBorder="1" applyAlignment="1">
      <alignment horizontal="left" vertical="center"/>
    </xf>
    <xf numFmtId="0" fontId="37" fillId="0" borderId="36" xfId="20" applyFont="1" applyBorder="1" applyAlignment="1">
      <alignment horizontal="center" vertical="center"/>
    </xf>
    <xf numFmtId="0" fontId="37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7" fillId="0" borderId="20" xfId="20" applyFont="1" applyBorder="1" applyAlignment="1">
      <alignment horizontal="center" vertical="center"/>
    </xf>
    <xf numFmtId="173" fontId="43" fillId="0" borderId="19" xfId="2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36" fillId="10" borderId="36" xfId="20" applyFont="1" applyFill="1" applyBorder="1" applyAlignment="1">
      <alignment horizontal="center" vertical="center"/>
    </xf>
    <xf numFmtId="0" fontId="36" fillId="10" borderId="31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0" fontId="37" fillId="0" borderId="12" xfId="20" applyFont="1" applyBorder="1" applyAlignment="1">
      <alignment horizontal="center" vertical="center"/>
    </xf>
    <xf numFmtId="0" fontId="37" fillId="0" borderId="17" xfId="20" applyFont="1" applyBorder="1" applyAlignment="1">
      <alignment horizontal="center" vertical="center"/>
    </xf>
    <xf numFmtId="0" fontId="37" fillId="0" borderId="11" xfId="20" applyFont="1" applyBorder="1" applyAlignment="1">
      <alignment horizontal="center" vertical="center"/>
    </xf>
    <xf numFmtId="0" fontId="37" fillId="0" borderId="14" xfId="20" applyFont="1" applyBorder="1" applyAlignment="1">
      <alignment horizontal="center" vertical="center"/>
    </xf>
    <xf numFmtId="0" fontId="37" fillId="0" borderId="16" xfId="20" applyFont="1" applyBorder="1" applyAlignment="1">
      <alignment horizontal="center" vertical="center"/>
    </xf>
    <xf numFmtId="0" fontId="37" fillId="0" borderId="10" xfId="20" applyFont="1" applyBorder="1" applyAlignment="1">
      <alignment horizontal="center" vertical="center"/>
    </xf>
    <xf numFmtId="43" fontId="37" fillId="2" borderId="1" xfId="21" applyFont="1" applyFill="1" applyBorder="1" applyAlignment="1">
      <alignment horizontal="center" vertical="center" wrapText="1"/>
    </xf>
    <xf numFmtId="43" fontId="37" fillId="2" borderId="3" xfId="21" applyFont="1" applyFill="1" applyBorder="1" applyAlignment="1">
      <alignment horizontal="center" vertical="center" wrapText="1"/>
    </xf>
    <xf numFmtId="0" fontId="37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7" fillId="0" borderId="6" xfId="20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43" fontId="37" fillId="2" borderId="12" xfId="21" applyFont="1" applyFill="1" applyBorder="1" applyAlignment="1">
      <alignment horizontal="center" vertical="center" wrapText="1"/>
    </xf>
    <xf numFmtId="43" fontId="37" fillId="2" borderId="11" xfId="21" applyFont="1" applyFill="1" applyBorder="1" applyAlignment="1">
      <alignment horizontal="center" vertical="center" wrapText="1"/>
    </xf>
    <xf numFmtId="43" fontId="37" fillId="2" borderId="14" xfId="21" applyFont="1" applyFill="1" applyBorder="1" applyAlignment="1">
      <alignment horizontal="center" vertical="center" wrapText="1"/>
    </xf>
    <xf numFmtId="43" fontId="37" fillId="2" borderId="10" xfId="21" applyFont="1" applyFill="1" applyBorder="1" applyAlignment="1">
      <alignment horizontal="center" vertical="center" wrapText="1"/>
    </xf>
    <xf numFmtId="17" fontId="37" fillId="2" borderId="6" xfId="18" applyNumberFormat="1" applyFont="1" applyFill="1" applyBorder="1" applyAlignment="1">
      <alignment horizontal="center" vertical="center"/>
    </xf>
    <xf numFmtId="17" fontId="37" fillId="2" borderId="20" xfId="18" applyNumberFormat="1" applyFont="1" applyFill="1" applyBorder="1" applyAlignment="1">
      <alignment horizontal="center" vertical="center"/>
    </xf>
    <xf numFmtId="17" fontId="37" fillId="2" borderId="19" xfId="18" applyNumberFormat="1" applyFont="1" applyFill="1" applyBorder="1" applyAlignment="1">
      <alignment horizontal="center" vertical="center"/>
    </xf>
    <xf numFmtId="43" fontId="37" fillId="2" borderId="63" xfId="21" applyFont="1" applyFill="1" applyBorder="1" applyAlignment="1">
      <alignment horizontal="center" vertical="center" wrapText="1"/>
    </xf>
    <xf numFmtId="43" fontId="37" fillId="2" borderId="17" xfId="21" applyFont="1" applyFill="1" applyBorder="1" applyAlignment="1">
      <alignment horizontal="center" vertical="center" wrapText="1"/>
    </xf>
    <xf numFmtId="43" fontId="37" fillId="2" borderId="16" xfId="21" applyFont="1" applyFill="1" applyBorder="1" applyAlignment="1">
      <alignment horizontal="center" vertical="center" wrapText="1"/>
    </xf>
    <xf numFmtId="0" fontId="39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  <xf numFmtId="1" fontId="45" fillId="12" borderId="2" xfId="20" applyNumberFormat="1" applyFont="1" applyFill="1" applyBorder="1" applyAlignment="1">
      <alignment horizontal="center" vertical="center"/>
    </xf>
    <xf numFmtId="4" fontId="45" fillId="12" borderId="2" xfId="20" applyNumberFormat="1" applyFont="1" applyFill="1" applyBorder="1" applyAlignment="1">
      <alignment horizontal="center" vertical="center"/>
    </xf>
    <xf numFmtId="1" fontId="49" fillId="12" borderId="8" xfId="20" applyNumberFormat="1" applyFont="1" applyFill="1" applyBorder="1" applyAlignment="1">
      <alignment horizontal="center" vertical="center"/>
    </xf>
    <xf numFmtId="4" fontId="49" fillId="12" borderId="8" xfId="20" applyNumberFormat="1" applyFont="1" applyFill="1" applyBorder="1" applyAlignment="1">
      <alignment horizontal="center" vertical="center"/>
    </xf>
    <xf numFmtId="1" fontId="49" fillId="12" borderId="2" xfId="20" applyNumberFormat="1" applyFont="1" applyFill="1" applyBorder="1" applyAlignment="1">
      <alignment horizontal="center" vertical="center"/>
    </xf>
    <xf numFmtId="4" fontId="49" fillId="12" borderId="2" xfId="20" applyNumberFormat="1" applyFont="1" applyFill="1" applyBorder="1" applyAlignment="1">
      <alignment horizontal="center" vertical="center"/>
    </xf>
    <xf numFmtId="1" fontId="49" fillId="12" borderId="6" xfId="20" applyNumberFormat="1" applyFont="1" applyFill="1" applyBorder="1" applyAlignment="1">
      <alignment horizontal="center" vertical="center"/>
    </xf>
    <xf numFmtId="4" fontId="49" fillId="12" borderId="6" xfId="20" applyNumberFormat="1" applyFont="1" applyFill="1" applyBorder="1" applyAlignment="1">
      <alignment horizontal="center" vertical="center"/>
    </xf>
    <xf numFmtId="1" fontId="52" fillId="12" borderId="2" xfId="20" applyNumberFormat="1" applyFont="1" applyFill="1" applyBorder="1" applyAlignment="1">
      <alignment horizontal="center" vertical="center"/>
    </xf>
    <xf numFmtId="171" fontId="52" fillId="12" borderId="2" xfId="20" applyNumberFormat="1" applyFont="1" applyFill="1" applyBorder="1" applyAlignment="1">
      <alignment horizontal="center" vertical="center"/>
    </xf>
    <xf numFmtId="1" fontId="49" fillId="12" borderId="4" xfId="20" applyNumberFormat="1" applyFont="1" applyFill="1" applyBorder="1" applyAlignment="1">
      <alignment horizontal="center" vertical="center"/>
    </xf>
    <xf numFmtId="4" fontId="49" fillId="12" borderId="22" xfId="20" applyNumberFormat="1" applyFont="1" applyFill="1" applyBorder="1" applyAlignment="1">
      <alignment horizontal="center" vertical="center"/>
    </xf>
    <xf numFmtId="4" fontId="49" fillId="12" borderId="19" xfId="20" applyNumberFormat="1" applyFont="1" applyFill="1" applyBorder="1" applyAlignment="1">
      <alignment horizontal="center" vertical="center"/>
    </xf>
    <xf numFmtId="1" fontId="45" fillId="12" borderId="6" xfId="20" applyNumberFormat="1" applyFont="1" applyFill="1" applyBorder="1" applyAlignment="1">
      <alignment horizontal="center" vertical="center"/>
    </xf>
    <xf numFmtId="4" fontId="45" fillId="12" borderId="19" xfId="20" applyNumberFormat="1" applyFont="1" applyFill="1" applyBorder="1" applyAlignment="1">
      <alignment horizontal="center" vertical="center"/>
    </xf>
  </cellXfs>
  <cellStyles count="25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6">
    <dxf>
      <fill>
        <patternFill patternType="solid">
          <fgColor rgb="FFD87C01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5"/>
    </tableStyle>
    <tableStyle name="Стиль таблицы 2" pivot="0" count="2">
      <tableStyleElement type="headerRow" dxfId="14"/>
      <tableStyleElement type="totalRow" dxfId="13"/>
    </tableStyle>
    <tableStyle name="Стиль таблицы 3" pivot="0" count="2">
      <tableStyleElement type="firstRowStripe" dxfId="12"/>
      <tableStyleElement type="secondRowStripe" dxfId="11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10" dataDxfId="8" headerRowBorderDxfId="9" tableBorderDxfId="7">
  <autoFilter ref="A3:F18"/>
  <tableColumns count="6">
    <tableColumn id="1" name="№ п/п" dataDxfId="6" dataCellStyle="Обычный 13 2"/>
    <tableColumn id="2" name="Вид робіт (витрат)" dataDxfId="5" dataCellStyle="Обычный 13 2"/>
    <tableColumn id="4" name="ознака робіт" dataDxfId="4" dataCellStyle="Обычный 13 2"/>
    <tableColumn id="5" name="Номер ДЦ" dataDxfId="3"/>
    <tableColumn id="7" name="Сумма" dataDxfId="2" dataCellStyle="Обычный 13 2"/>
    <tableColumn id="8" name="Статус" dataDxfId="1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710" t="s">
        <v>37</v>
      </c>
      <c r="B5" s="710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710" t="s">
        <v>24</v>
      </c>
      <c r="B6" s="710"/>
      <c r="C6" s="82"/>
      <c r="D6" s="711"/>
      <c r="E6" s="711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710" t="s">
        <v>38</v>
      </c>
      <c r="B7" s="710"/>
      <c r="C7" s="710"/>
      <c r="D7" s="710"/>
      <c r="E7" s="710"/>
      <c r="F7" s="710"/>
      <c r="G7" s="710"/>
      <c r="H7" s="710"/>
      <c r="I7" s="710"/>
      <c r="J7" s="82"/>
      <c r="L7" s="61"/>
      <c r="V7" s="62"/>
      <c r="W7" s="63"/>
    </row>
    <row r="8" spans="1:23" s="60" customFormat="1" ht="12.75" customHeight="1" x14ac:dyDescent="0.25">
      <c r="A8" s="710" t="s">
        <v>39</v>
      </c>
      <c r="B8" s="710"/>
      <c r="C8" s="710"/>
      <c r="D8" s="710"/>
      <c r="E8" s="710"/>
      <c r="F8" s="710"/>
      <c r="G8" s="710"/>
      <c r="H8" s="710"/>
      <c r="I8" s="710"/>
      <c r="J8" s="82"/>
      <c r="L8" s="61"/>
      <c r="V8" s="62"/>
      <c r="W8" s="63"/>
    </row>
    <row r="9" spans="1:23" s="60" customFormat="1" ht="12.75" customHeight="1" x14ac:dyDescent="0.25">
      <c r="A9" s="709" t="s">
        <v>40</v>
      </c>
      <c r="B9" s="709"/>
      <c r="C9" s="709"/>
      <c r="D9" s="709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712" t="s">
        <v>0</v>
      </c>
      <c r="B11" s="712"/>
      <c r="C11" s="712"/>
      <c r="D11" s="712"/>
      <c r="E11" s="712"/>
      <c r="F11" s="712"/>
      <c r="G11" s="712"/>
      <c r="H11" s="712"/>
      <c r="I11" s="712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713" t="s">
        <v>1</v>
      </c>
      <c r="B13" s="696" t="s">
        <v>2</v>
      </c>
      <c r="C13" s="713" t="s">
        <v>13</v>
      </c>
      <c r="D13" s="714" t="s">
        <v>3</v>
      </c>
      <c r="E13" s="715" t="s">
        <v>14</v>
      </c>
      <c r="F13" s="716" t="s">
        <v>27</v>
      </c>
      <c r="G13" s="716"/>
      <c r="H13" s="714" t="s">
        <v>17</v>
      </c>
      <c r="I13" s="714"/>
      <c r="J13" s="697" t="s">
        <v>30</v>
      </c>
      <c r="K13" s="698"/>
      <c r="L13" s="699"/>
      <c r="M13" s="696" t="s">
        <v>26</v>
      </c>
      <c r="N13" s="696"/>
      <c r="O13" s="696"/>
      <c r="P13" s="696"/>
      <c r="Q13" s="696" t="s">
        <v>29</v>
      </c>
      <c r="R13" s="696"/>
      <c r="S13" s="696"/>
      <c r="T13" s="696"/>
      <c r="U13" s="696"/>
      <c r="V13" s="703" t="s">
        <v>34</v>
      </c>
      <c r="W13" s="704"/>
    </row>
    <row r="14" spans="1:23" s="3" customFormat="1" ht="20.25" customHeight="1" x14ac:dyDescent="0.25">
      <c r="A14" s="713"/>
      <c r="B14" s="696"/>
      <c r="C14" s="713"/>
      <c r="D14" s="714"/>
      <c r="E14" s="715"/>
      <c r="F14" s="714" t="s">
        <v>41</v>
      </c>
      <c r="G14" s="714"/>
      <c r="H14" s="714"/>
      <c r="I14" s="714"/>
      <c r="J14" s="700"/>
      <c r="K14" s="701"/>
      <c r="L14" s="702"/>
      <c r="M14" s="696"/>
      <c r="N14" s="696"/>
      <c r="O14" s="696"/>
      <c r="P14" s="696"/>
      <c r="Q14" s="696"/>
      <c r="R14" s="696"/>
      <c r="S14" s="696"/>
      <c r="T14" s="696"/>
      <c r="U14" s="696"/>
      <c r="V14" s="705"/>
      <c r="W14" s="706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705"/>
      <c r="W15" s="706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95" t="s">
        <v>32</v>
      </c>
      <c r="U16" s="695"/>
      <c r="V16" s="707"/>
      <c r="W16" s="708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26" t="s">
        <v>93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</row>
    <row r="2" spans="1:13" ht="16.2" thickBot="1" x14ac:dyDescent="0.3">
      <c r="M2" s="216"/>
    </row>
    <row r="3" spans="1:13" ht="31.5" customHeight="1" x14ac:dyDescent="0.25">
      <c r="A3" s="736" t="s">
        <v>84</v>
      </c>
      <c r="B3" s="738" t="s">
        <v>82</v>
      </c>
      <c r="C3" s="738" t="s">
        <v>86</v>
      </c>
      <c r="D3" s="738" t="s">
        <v>85</v>
      </c>
      <c r="E3" s="727" t="s">
        <v>83</v>
      </c>
      <c r="F3" s="731" t="s">
        <v>90</v>
      </c>
      <c r="G3" s="732"/>
      <c r="H3" s="733"/>
      <c r="I3" s="729" t="s">
        <v>9</v>
      </c>
      <c r="J3" s="734" t="s">
        <v>91</v>
      </c>
      <c r="K3" s="734"/>
      <c r="L3" s="735"/>
      <c r="M3" s="729" t="s">
        <v>50</v>
      </c>
    </row>
    <row r="4" spans="1:13" x14ac:dyDescent="0.25">
      <c r="A4" s="737"/>
      <c r="B4" s="739"/>
      <c r="C4" s="739"/>
      <c r="D4" s="739"/>
      <c r="E4" s="728"/>
      <c r="F4" s="145" t="s">
        <v>87</v>
      </c>
      <c r="G4" s="135" t="s">
        <v>88</v>
      </c>
      <c r="H4" s="135" t="s">
        <v>89</v>
      </c>
      <c r="I4" s="730"/>
      <c r="J4" s="143" t="s">
        <v>87</v>
      </c>
      <c r="K4" s="135" t="s">
        <v>88</v>
      </c>
      <c r="L4" s="135" t="s">
        <v>89</v>
      </c>
      <c r="M4" s="730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20">
        <v>4</v>
      </c>
      <c r="B6" s="717" t="s">
        <v>97</v>
      </c>
      <c r="C6" s="723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21"/>
      <c r="B7" s="718"/>
      <c r="C7" s="724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21"/>
      <c r="B8" s="718"/>
      <c r="C8" s="724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22"/>
      <c r="B9" s="719"/>
      <c r="C9" s="725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746" t="s">
        <v>84</v>
      </c>
      <c r="B2" s="746" t="s">
        <v>99</v>
      </c>
      <c r="C2" s="746" t="s">
        <v>86</v>
      </c>
      <c r="D2" s="746" t="s">
        <v>51</v>
      </c>
      <c r="E2" s="740" t="s">
        <v>100</v>
      </c>
      <c r="F2" s="741"/>
      <c r="G2" s="742"/>
      <c r="H2" s="743" t="s">
        <v>101</v>
      </c>
      <c r="I2" s="744"/>
      <c r="J2" s="744"/>
      <c r="K2" s="744"/>
      <c r="L2" s="744"/>
      <c r="M2" s="745"/>
      <c r="N2" s="740" t="s">
        <v>102</v>
      </c>
      <c r="O2" s="741"/>
      <c r="P2" s="742"/>
    </row>
    <row r="3" spans="1:16" ht="16.2" thickBot="1" x14ac:dyDescent="0.3">
      <c r="A3" s="747"/>
      <c r="B3" s="747"/>
      <c r="C3" s="747"/>
      <c r="D3" s="747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748">
        <v>4</v>
      </c>
      <c r="B4" s="751" t="s">
        <v>109</v>
      </c>
      <c r="C4" s="751" t="s">
        <v>94</v>
      </c>
      <c r="D4" s="751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749"/>
      <c r="B5" s="752"/>
      <c r="C5" s="752"/>
      <c r="D5" s="752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749"/>
      <c r="B6" s="752"/>
      <c r="C6" s="752"/>
      <c r="D6" s="752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749"/>
      <c r="B7" s="752"/>
      <c r="C7" s="752"/>
      <c r="D7" s="752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749"/>
      <c r="B8" s="752"/>
      <c r="C8" s="752"/>
      <c r="D8" s="753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749"/>
      <c r="B9" s="752"/>
      <c r="C9" s="752"/>
      <c r="D9" s="754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749"/>
      <c r="B10" s="752"/>
      <c r="C10" s="752"/>
      <c r="D10" s="755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749"/>
      <c r="B11" s="752"/>
      <c r="C11" s="752"/>
      <c r="D11" s="756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749"/>
      <c r="B12" s="752"/>
      <c r="C12" s="752"/>
      <c r="D12" s="751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749"/>
      <c r="B13" s="752"/>
      <c r="C13" s="752"/>
      <c r="D13" s="752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749"/>
      <c r="B14" s="752"/>
      <c r="C14" s="752"/>
      <c r="D14" s="753"/>
      <c r="E14" s="249"/>
      <c r="F14" s="260"/>
      <c r="G14" s="268"/>
      <c r="H14" s="224"/>
      <c r="I14" s="225">
        <f>SUM(I12:I13)</f>
        <v>0</v>
      </c>
      <c r="J14" s="254">
        <f>SUM(J12:J13)</f>
        <v>0</v>
      </c>
      <c r="K14" s="254">
        <f>SUM(K12:K13)</f>
        <v>0</v>
      </c>
      <c r="L14" s="255"/>
      <c r="M14" s="256"/>
      <c r="N14" s="267"/>
      <c r="O14" s="260"/>
      <c r="P14" s="268"/>
    </row>
    <row r="15" spans="1:16" ht="31.2" x14ac:dyDescent="0.25">
      <c r="A15" s="749"/>
      <c r="B15" s="752"/>
      <c r="C15" s="752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750"/>
      <c r="B16" s="753"/>
      <c r="C16" s="753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>J8+J11+J14+J16</f>
        <v>29423.64</v>
      </c>
      <c r="K17" s="265">
        <f>K8+K11+K14+K16</f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6"/>
  <sheetViews>
    <sheetView showWhiteSpace="0" zoomScaleNormal="100" zoomScaleSheetLayoutView="70" workbookViewId="0">
      <pane xSplit="2" ySplit="4" topLeftCell="C80" activePane="bottomRight" state="frozen"/>
      <selection pane="topRight" activeCell="C1" sqref="C1"/>
      <selection pane="bottomLeft" activeCell="A6" sqref="A6"/>
      <selection pane="bottomRight" activeCell="H98" sqref="H98"/>
    </sheetView>
  </sheetViews>
  <sheetFormatPr defaultColWidth="9.109375" defaultRowHeight="12" x14ac:dyDescent="0.25"/>
  <cols>
    <col min="1" max="1" width="9" style="308" customWidth="1"/>
    <col min="2" max="2" width="33.77734375" style="540" customWidth="1"/>
    <col min="3" max="3" width="17.6640625" style="550" customWidth="1"/>
    <col min="4" max="4" width="7.21875" style="550" customWidth="1"/>
    <col min="5" max="5" width="21.109375" style="550" bestFit="1" customWidth="1"/>
    <col min="6" max="6" width="20.44140625" style="550" bestFit="1" customWidth="1"/>
    <col min="7" max="8" width="19.44140625" style="550" customWidth="1"/>
    <col min="9" max="9" width="30.77734375" style="342" customWidth="1"/>
    <col min="10" max="16384" width="9.109375" style="308"/>
  </cols>
  <sheetData>
    <row r="1" spans="1:9" ht="16.95" customHeight="1" x14ac:dyDescent="0.25">
      <c r="A1" s="757" t="s">
        <v>207</v>
      </c>
      <c r="B1" s="757"/>
      <c r="C1" s="757"/>
      <c r="D1" s="757"/>
      <c r="E1" s="757"/>
      <c r="F1" s="757"/>
      <c r="G1" s="757"/>
      <c r="H1" s="757"/>
      <c r="I1" s="757"/>
    </row>
    <row r="2" spans="1:9" ht="57" customHeight="1" x14ac:dyDescent="0.25">
      <c r="A2" s="758"/>
      <c r="B2" s="758"/>
      <c r="C2" s="758"/>
      <c r="D2" s="758"/>
      <c r="E2" s="758"/>
      <c r="F2" s="758"/>
      <c r="G2" s="758"/>
      <c r="H2" s="758"/>
      <c r="I2" s="758"/>
    </row>
    <row r="3" spans="1:9" ht="24" customHeight="1" x14ac:dyDescent="0.25">
      <c r="A3" s="759" t="s">
        <v>124</v>
      </c>
      <c r="B3" s="761" t="s">
        <v>185</v>
      </c>
      <c r="C3" s="763" t="s">
        <v>188</v>
      </c>
      <c r="D3" s="765" t="s">
        <v>189</v>
      </c>
      <c r="E3" s="766"/>
      <c r="F3" s="766"/>
      <c r="G3" s="766"/>
      <c r="H3" s="610"/>
      <c r="I3" s="759" t="s">
        <v>211</v>
      </c>
    </row>
    <row r="4" spans="1:9" ht="73.8" customHeight="1" thickBot="1" x14ac:dyDescent="0.3">
      <c r="A4" s="760"/>
      <c r="B4" s="762"/>
      <c r="C4" s="764"/>
      <c r="D4" s="538" t="s">
        <v>126</v>
      </c>
      <c r="E4" s="538" t="s">
        <v>190</v>
      </c>
      <c r="F4" s="538" t="s">
        <v>187</v>
      </c>
      <c r="G4" s="538" t="s">
        <v>186</v>
      </c>
      <c r="H4" s="538">
        <v>0.05</v>
      </c>
      <c r="I4" s="760"/>
    </row>
    <row r="5" spans="1:9" ht="15.6" x14ac:dyDescent="0.25">
      <c r="A5" s="767" t="s">
        <v>53</v>
      </c>
      <c r="B5" s="770" t="s">
        <v>191</v>
      </c>
      <c r="C5" s="773">
        <v>20014627.07</v>
      </c>
      <c r="D5" s="553">
        <v>1</v>
      </c>
      <c r="E5" s="615">
        <v>1104052.82</v>
      </c>
      <c r="F5" s="555"/>
      <c r="G5" s="554">
        <f>E5-F5</f>
        <v>1104052.82</v>
      </c>
      <c r="H5" s="601">
        <f>G5*$H$4</f>
        <v>55202.641000000003</v>
      </c>
      <c r="I5" s="556"/>
    </row>
    <row r="6" spans="1:9" ht="15.6" x14ac:dyDescent="0.25">
      <c r="A6" s="768"/>
      <c r="B6" s="771"/>
      <c r="C6" s="774"/>
      <c r="D6" s="557">
        <v>3</v>
      </c>
      <c r="E6" s="616">
        <v>2033549.68</v>
      </c>
      <c r="F6" s="559"/>
      <c r="G6" s="558">
        <f t="shared" ref="G6:G83" si="0">E6-F6</f>
        <v>2033549.68</v>
      </c>
      <c r="H6" s="558">
        <f t="shared" ref="H6:H73" si="1">G6*$H$4</f>
        <v>101677.484</v>
      </c>
      <c r="I6" s="560"/>
    </row>
    <row r="7" spans="1:9" ht="15.6" x14ac:dyDescent="0.25">
      <c r="A7" s="768"/>
      <c r="B7" s="771"/>
      <c r="C7" s="774"/>
      <c r="D7" s="557">
        <v>6</v>
      </c>
      <c r="E7" s="616">
        <v>1313878.48</v>
      </c>
      <c r="F7" s="559"/>
      <c r="G7" s="558">
        <f t="shared" si="0"/>
        <v>1313878.48</v>
      </c>
      <c r="H7" s="558">
        <f t="shared" si="1"/>
        <v>65693.923999999999</v>
      </c>
      <c r="I7" s="560"/>
    </row>
    <row r="8" spans="1:9" ht="15.6" x14ac:dyDescent="0.25">
      <c r="A8" s="768"/>
      <c r="B8" s="771"/>
      <c r="C8" s="774"/>
      <c r="D8" s="557">
        <v>8</v>
      </c>
      <c r="E8" s="616">
        <v>199967</v>
      </c>
      <c r="F8" s="559"/>
      <c r="G8" s="558">
        <f t="shared" si="0"/>
        <v>199967</v>
      </c>
      <c r="H8" s="558">
        <f t="shared" si="1"/>
        <v>9998.35</v>
      </c>
      <c r="I8" s="560"/>
    </row>
    <row r="9" spans="1:9" ht="15.6" x14ac:dyDescent="0.25">
      <c r="A9" s="768"/>
      <c r="B9" s="771"/>
      <c r="C9" s="774"/>
      <c r="D9" s="557">
        <v>11</v>
      </c>
      <c r="E9" s="616">
        <v>1611409.02</v>
      </c>
      <c r="F9" s="559"/>
      <c r="G9" s="561">
        <f t="shared" si="0"/>
        <v>1611409.02</v>
      </c>
      <c r="H9" s="558">
        <f t="shared" si="1"/>
        <v>80570.451000000001</v>
      </c>
      <c r="I9" s="562"/>
    </row>
    <row r="10" spans="1:9" ht="16.2" thickBot="1" x14ac:dyDescent="0.3">
      <c r="A10" s="769"/>
      <c r="B10" s="772"/>
      <c r="C10" s="775"/>
      <c r="D10" s="563">
        <v>25</v>
      </c>
      <c r="E10" s="617">
        <v>813895.61</v>
      </c>
      <c r="F10" s="565"/>
      <c r="G10" s="566">
        <f t="shared" si="0"/>
        <v>813895.61</v>
      </c>
      <c r="H10" s="561">
        <f t="shared" si="1"/>
        <v>40694.780500000001</v>
      </c>
      <c r="I10" s="567"/>
    </row>
    <row r="11" spans="1:9" ht="15.6" x14ac:dyDescent="0.25">
      <c r="A11" s="776" t="s">
        <v>80</v>
      </c>
      <c r="B11" s="778" t="s">
        <v>191</v>
      </c>
      <c r="C11" s="780">
        <v>20014627.07</v>
      </c>
      <c r="D11" s="533">
        <v>1</v>
      </c>
      <c r="E11" s="618">
        <v>347360.34</v>
      </c>
      <c r="F11" s="545"/>
      <c r="G11" s="543">
        <f t="shared" si="0"/>
        <v>347360.34</v>
      </c>
      <c r="H11" s="554">
        <f t="shared" si="1"/>
        <v>17368.017000000003</v>
      </c>
      <c r="I11" s="541"/>
    </row>
    <row r="12" spans="1:9" ht="15.6" x14ac:dyDescent="0.25">
      <c r="A12" s="777"/>
      <c r="B12" s="779"/>
      <c r="C12" s="781"/>
      <c r="D12" s="536">
        <v>6</v>
      </c>
      <c r="E12" s="619">
        <v>417492.3</v>
      </c>
      <c r="F12" s="622">
        <v>286103.05200000003</v>
      </c>
      <c r="G12" s="613">
        <f t="shared" si="0"/>
        <v>131389.24799999996</v>
      </c>
      <c r="H12" s="561">
        <f t="shared" si="1"/>
        <v>6569.4623999999985</v>
      </c>
      <c r="I12" s="599"/>
    </row>
    <row r="13" spans="1:9" ht="15.6" x14ac:dyDescent="0.25">
      <c r="A13" s="637"/>
      <c r="B13" s="635"/>
      <c r="C13" s="636"/>
      <c r="D13" s="536">
        <v>11</v>
      </c>
      <c r="E13" s="661">
        <v>822049.38</v>
      </c>
      <c r="F13" s="642"/>
      <c r="G13" s="613">
        <f t="shared" si="0"/>
        <v>822049.38</v>
      </c>
      <c r="H13" s="561">
        <f t="shared" si="1"/>
        <v>41102.469000000005</v>
      </c>
      <c r="I13" s="644"/>
    </row>
    <row r="14" spans="1:9" ht="15.6" x14ac:dyDescent="0.25">
      <c r="A14" s="637"/>
      <c r="B14" s="635"/>
      <c r="C14" s="636"/>
      <c r="D14" s="536">
        <v>12</v>
      </c>
      <c r="E14" s="661">
        <v>684914.94</v>
      </c>
      <c r="F14" s="642"/>
      <c r="G14" s="613">
        <f t="shared" si="0"/>
        <v>684914.94</v>
      </c>
      <c r="H14" s="561">
        <f t="shared" si="1"/>
        <v>34245.746999999996</v>
      </c>
      <c r="I14" s="644">
        <v>361156.39</v>
      </c>
    </row>
    <row r="15" spans="1:9" ht="16.2" thickBot="1" x14ac:dyDescent="0.3">
      <c r="A15" s="637"/>
      <c r="B15" s="635"/>
      <c r="C15" s="636"/>
      <c r="D15" s="536">
        <v>16</v>
      </c>
      <c r="E15" s="661">
        <v>218313.38</v>
      </c>
      <c r="F15" s="642">
        <v>110221.33</v>
      </c>
      <c r="G15" s="613">
        <f t="shared" si="0"/>
        <v>108092.05</v>
      </c>
      <c r="H15" s="561">
        <f t="shared" si="1"/>
        <v>5404.6025000000009</v>
      </c>
      <c r="I15" s="644">
        <v>93848.44</v>
      </c>
    </row>
    <row r="16" spans="1:9" ht="15.6" x14ac:dyDescent="0.25">
      <c r="A16" s="767" t="s">
        <v>53</v>
      </c>
      <c r="B16" s="770" t="s">
        <v>192</v>
      </c>
      <c r="C16" s="773">
        <v>162902614.16</v>
      </c>
      <c r="D16" s="553">
        <v>2</v>
      </c>
      <c r="E16" s="615">
        <v>1727848.62</v>
      </c>
      <c r="F16" s="615">
        <v>1136749.97</v>
      </c>
      <c r="G16" s="554">
        <f t="shared" si="0"/>
        <v>591098.65000000014</v>
      </c>
      <c r="H16" s="554">
        <f t="shared" si="1"/>
        <v>29554.93250000001</v>
      </c>
      <c r="I16" s="556"/>
    </row>
    <row r="17" spans="1:9" ht="15.6" x14ac:dyDescent="0.25">
      <c r="A17" s="768"/>
      <c r="B17" s="771"/>
      <c r="C17" s="774"/>
      <c r="D17" s="568">
        <v>4</v>
      </c>
      <c r="E17" s="616">
        <v>1624658.88</v>
      </c>
      <c r="F17" s="616">
        <v>1070029.25</v>
      </c>
      <c r="G17" s="569">
        <f t="shared" si="0"/>
        <v>554629.62999999989</v>
      </c>
      <c r="H17" s="558">
        <f t="shared" si="1"/>
        <v>27731.481499999994</v>
      </c>
      <c r="I17" s="560"/>
    </row>
    <row r="18" spans="1:9" ht="15.6" x14ac:dyDescent="0.25">
      <c r="A18" s="768"/>
      <c r="B18" s="771"/>
      <c r="C18" s="774"/>
      <c r="D18" s="568">
        <v>5</v>
      </c>
      <c r="E18" s="616">
        <v>3749612.99</v>
      </c>
      <c r="F18" s="616">
        <v>2385655.9700000002</v>
      </c>
      <c r="G18" s="569">
        <f t="shared" si="0"/>
        <v>1363957.02</v>
      </c>
      <c r="H18" s="558">
        <f t="shared" si="1"/>
        <v>68197.85100000001</v>
      </c>
      <c r="I18" s="560"/>
    </row>
    <row r="19" spans="1:9" ht="15.6" x14ac:dyDescent="0.25">
      <c r="A19" s="768"/>
      <c r="B19" s="771"/>
      <c r="C19" s="774"/>
      <c r="D19" s="557">
        <v>7</v>
      </c>
      <c r="E19" s="616">
        <v>2005376.27</v>
      </c>
      <c r="F19" s="616">
        <v>1250791.49</v>
      </c>
      <c r="G19" s="569">
        <f t="shared" si="0"/>
        <v>754584.78</v>
      </c>
      <c r="H19" s="558">
        <f t="shared" si="1"/>
        <v>37729.239000000001</v>
      </c>
      <c r="I19" s="560"/>
    </row>
    <row r="20" spans="1:9" ht="15.6" x14ac:dyDescent="0.25">
      <c r="A20" s="768"/>
      <c r="B20" s="771"/>
      <c r="C20" s="774"/>
      <c r="D20" s="557">
        <v>9</v>
      </c>
      <c r="E20" s="616">
        <v>69765.179999999993</v>
      </c>
      <c r="F20" s="616">
        <v>23460.58</v>
      </c>
      <c r="G20" s="569">
        <f t="shared" si="0"/>
        <v>46304.599999999991</v>
      </c>
      <c r="H20" s="558">
        <f t="shared" si="1"/>
        <v>2315.2299999999996</v>
      </c>
      <c r="I20" s="560"/>
    </row>
    <row r="21" spans="1:9" ht="15.6" x14ac:dyDescent="0.25">
      <c r="A21" s="768"/>
      <c r="B21" s="771"/>
      <c r="C21" s="774"/>
      <c r="D21" s="557">
        <v>10</v>
      </c>
      <c r="E21" s="616">
        <v>2279032.85</v>
      </c>
      <c r="F21" s="616">
        <v>1496361.84</v>
      </c>
      <c r="G21" s="569">
        <f t="shared" si="0"/>
        <v>782671.01</v>
      </c>
      <c r="H21" s="558">
        <f t="shared" si="1"/>
        <v>39133.550500000005</v>
      </c>
      <c r="I21" s="560"/>
    </row>
    <row r="22" spans="1:9" ht="15.6" x14ac:dyDescent="0.25">
      <c r="A22" s="768"/>
      <c r="B22" s="771"/>
      <c r="C22" s="774"/>
      <c r="D22" s="557">
        <v>12</v>
      </c>
      <c r="E22" s="616">
        <v>1660579.03</v>
      </c>
      <c r="F22" s="616">
        <v>1247326.5</v>
      </c>
      <c r="G22" s="569">
        <f t="shared" si="0"/>
        <v>413252.53</v>
      </c>
      <c r="H22" s="558">
        <f t="shared" si="1"/>
        <v>20662.626500000002</v>
      </c>
      <c r="I22" s="560"/>
    </row>
    <row r="23" spans="1:9" ht="15.6" x14ac:dyDescent="0.25">
      <c r="A23" s="768"/>
      <c r="B23" s="771"/>
      <c r="C23" s="774"/>
      <c r="D23" s="557">
        <v>13</v>
      </c>
      <c r="E23" s="616">
        <v>2493224.0499999998</v>
      </c>
      <c r="F23" s="616">
        <v>1822416.35</v>
      </c>
      <c r="G23" s="569">
        <f t="shared" si="0"/>
        <v>670807.69999999972</v>
      </c>
      <c r="H23" s="558">
        <f t="shared" si="1"/>
        <v>33540.384999999987</v>
      </c>
      <c r="I23" s="560"/>
    </row>
    <row r="24" spans="1:9" ht="15.6" x14ac:dyDescent="0.25">
      <c r="A24" s="768"/>
      <c r="B24" s="771"/>
      <c r="C24" s="774"/>
      <c r="D24" s="557">
        <v>14</v>
      </c>
      <c r="E24" s="616">
        <v>3270399.41</v>
      </c>
      <c r="F24" s="616">
        <v>1938746.54</v>
      </c>
      <c r="G24" s="569">
        <f t="shared" si="0"/>
        <v>1331652.8700000001</v>
      </c>
      <c r="H24" s="558">
        <f t="shared" si="1"/>
        <v>66582.643500000006</v>
      </c>
      <c r="I24" s="560"/>
    </row>
    <row r="25" spans="1:9" ht="15.6" x14ac:dyDescent="0.25">
      <c r="A25" s="768"/>
      <c r="B25" s="771"/>
      <c r="C25" s="774"/>
      <c r="D25" s="557">
        <v>15</v>
      </c>
      <c r="E25" s="616">
        <v>118627.25</v>
      </c>
      <c r="F25" s="616">
        <v>64327.07</v>
      </c>
      <c r="G25" s="569">
        <f t="shared" si="0"/>
        <v>54300.18</v>
      </c>
      <c r="H25" s="558">
        <f t="shared" si="1"/>
        <v>2715.009</v>
      </c>
      <c r="I25" s="560"/>
    </row>
    <row r="26" spans="1:9" ht="36.6" customHeight="1" x14ac:dyDescent="0.25">
      <c r="A26" s="768"/>
      <c r="B26" s="771"/>
      <c r="C26" s="774"/>
      <c r="D26" s="570">
        <v>16</v>
      </c>
      <c r="E26" s="616">
        <v>140758.31</v>
      </c>
      <c r="F26" s="616">
        <v>65382.58</v>
      </c>
      <c r="G26" s="569">
        <f t="shared" si="0"/>
        <v>75375.73</v>
      </c>
      <c r="H26" s="558">
        <f t="shared" si="1"/>
        <v>3768.7865000000002</v>
      </c>
      <c r="I26" s="560"/>
    </row>
    <row r="27" spans="1:9" ht="15.6" x14ac:dyDescent="0.25">
      <c r="A27" s="768"/>
      <c r="B27" s="771"/>
      <c r="C27" s="774"/>
      <c r="D27" s="570">
        <v>17</v>
      </c>
      <c r="E27" s="616">
        <v>1287044.8600000001</v>
      </c>
      <c r="F27" s="616">
        <v>657865.79</v>
      </c>
      <c r="G27" s="569">
        <f t="shared" si="0"/>
        <v>629179.07000000007</v>
      </c>
      <c r="H27" s="558">
        <f t="shared" si="1"/>
        <v>31458.953500000003</v>
      </c>
      <c r="I27" s="560"/>
    </row>
    <row r="28" spans="1:9" ht="15.6" x14ac:dyDescent="0.25">
      <c r="A28" s="768"/>
      <c r="B28" s="771"/>
      <c r="C28" s="774"/>
      <c r="D28" s="570">
        <v>18</v>
      </c>
      <c r="E28" s="616">
        <v>609343.34</v>
      </c>
      <c r="F28" s="616">
        <v>411655.51</v>
      </c>
      <c r="G28" s="569">
        <f t="shared" si="0"/>
        <v>197687.82999999996</v>
      </c>
      <c r="H28" s="558">
        <f t="shared" si="1"/>
        <v>9884.3914999999979</v>
      </c>
      <c r="I28" s="560"/>
    </row>
    <row r="29" spans="1:9" ht="15.6" x14ac:dyDescent="0.25">
      <c r="A29" s="768"/>
      <c r="B29" s="771"/>
      <c r="C29" s="774"/>
      <c r="D29" s="570">
        <v>19</v>
      </c>
      <c r="E29" s="616">
        <v>753745</v>
      </c>
      <c r="F29" s="616">
        <v>494320.5</v>
      </c>
      <c r="G29" s="569">
        <f t="shared" si="0"/>
        <v>259424.5</v>
      </c>
      <c r="H29" s="558">
        <f t="shared" si="1"/>
        <v>12971.225</v>
      </c>
      <c r="I29" s="560"/>
    </row>
    <row r="30" spans="1:9" ht="15.6" x14ac:dyDescent="0.25">
      <c r="A30" s="768"/>
      <c r="B30" s="771"/>
      <c r="C30" s="774"/>
      <c r="D30" s="557">
        <v>20</v>
      </c>
      <c r="E30" s="616">
        <v>16538270.630000001</v>
      </c>
      <c r="F30" s="616">
        <v>11186556.91</v>
      </c>
      <c r="G30" s="569">
        <f t="shared" si="0"/>
        <v>5351713.7200000007</v>
      </c>
      <c r="H30" s="558">
        <f t="shared" si="1"/>
        <v>267585.68600000005</v>
      </c>
      <c r="I30" s="560"/>
    </row>
    <row r="31" spans="1:9" ht="15.6" x14ac:dyDescent="0.25">
      <c r="A31" s="768"/>
      <c r="B31" s="771"/>
      <c r="C31" s="774"/>
      <c r="D31" s="571">
        <v>21</v>
      </c>
      <c r="E31" s="620">
        <v>4337508.26</v>
      </c>
      <c r="F31" s="620">
        <v>2567795.46</v>
      </c>
      <c r="G31" s="569">
        <f t="shared" si="0"/>
        <v>1769712.7999999998</v>
      </c>
      <c r="H31" s="558">
        <f>G31*$H$4</f>
        <v>88485.64</v>
      </c>
      <c r="I31" s="560">
        <v>173938.36</v>
      </c>
    </row>
    <row r="32" spans="1:9" ht="15.6" x14ac:dyDescent="0.25">
      <c r="A32" s="768"/>
      <c r="B32" s="771"/>
      <c r="C32" s="774"/>
      <c r="D32" s="571">
        <v>22</v>
      </c>
      <c r="E32" s="620">
        <v>385970.59</v>
      </c>
      <c r="F32" s="620">
        <v>246206.07999999999</v>
      </c>
      <c r="G32" s="569">
        <f t="shared" si="0"/>
        <v>139764.51000000004</v>
      </c>
      <c r="H32" s="558">
        <f t="shared" si="1"/>
        <v>6988.2255000000023</v>
      </c>
      <c r="I32" s="560"/>
    </row>
    <row r="33" spans="1:9" ht="15.6" x14ac:dyDescent="0.25">
      <c r="A33" s="768"/>
      <c r="B33" s="771"/>
      <c r="C33" s="774"/>
      <c r="D33" s="557">
        <v>23</v>
      </c>
      <c r="E33" s="616">
        <v>161785.29999999999</v>
      </c>
      <c r="F33" s="616">
        <v>114506.5</v>
      </c>
      <c r="G33" s="569">
        <f t="shared" si="0"/>
        <v>47278.799999999988</v>
      </c>
      <c r="H33" s="558">
        <f t="shared" si="1"/>
        <v>2363.9399999999996</v>
      </c>
      <c r="I33" s="560"/>
    </row>
    <row r="34" spans="1:9" ht="15.6" x14ac:dyDescent="0.25">
      <c r="A34" s="768"/>
      <c r="B34" s="771"/>
      <c r="C34" s="774"/>
      <c r="D34" s="571">
        <v>24</v>
      </c>
      <c r="E34" s="620">
        <v>934814.87</v>
      </c>
      <c r="F34" s="620">
        <v>659633.56999999995</v>
      </c>
      <c r="G34" s="569">
        <f t="shared" si="0"/>
        <v>275181.30000000005</v>
      </c>
      <c r="H34" s="558">
        <f t="shared" si="1"/>
        <v>13759.065000000002</v>
      </c>
      <c r="I34" s="560"/>
    </row>
    <row r="35" spans="1:9" ht="15.6" x14ac:dyDescent="0.25">
      <c r="A35" s="768"/>
      <c r="B35" s="771"/>
      <c r="C35" s="774"/>
      <c r="D35" s="557">
        <v>26</v>
      </c>
      <c r="E35" s="616">
        <v>3821318.12</v>
      </c>
      <c r="F35" s="616">
        <v>1993560.91</v>
      </c>
      <c r="G35" s="569">
        <f t="shared" si="0"/>
        <v>1827757.2100000002</v>
      </c>
      <c r="H35" s="558">
        <f t="shared" si="1"/>
        <v>91387.86050000001</v>
      </c>
      <c r="I35" s="560">
        <v>48097.85</v>
      </c>
    </row>
    <row r="36" spans="1:9" ht="15.6" x14ac:dyDescent="0.25">
      <c r="A36" s="768"/>
      <c r="B36" s="771"/>
      <c r="C36" s="774"/>
      <c r="D36" s="557">
        <v>27</v>
      </c>
      <c r="E36" s="616">
        <v>99444.07</v>
      </c>
      <c r="F36" s="616">
        <v>53924.74</v>
      </c>
      <c r="G36" s="569">
        <f t="shared" si="0"/>
        <v>45519.330000000009</v>
      </c>
      <c r="H36" s="558">
        <f t="shared" si="1"/>
        <v>2275.9665000000005</v>
      </c>
      <c r="I36" s="560"/>
    </row>
    <row r="37" spans="1:9" ht="16.2" thickBot="1" x14ac:dyDescent="0.3">
      <c r="A37" s="769"/>
      <c r="B37" s="772"/>
      <c r="C37" s="775"/>
      <c r="D37" s="563">
        <v>28</v>
      </c>
      <c r="E37" s="617">
        <v>3571179.26</v>
      </c>
      <c r="F37" s="617">
        <v>1894071.28</v>
      </c>
      <c r="G37" s="566">
        <f t="shared" si="0"/>
        <v>1677107.9799999997</v>
      </c>
      <c r="H37" s="561">
        <f t="shared" si="1"/>
        <v>83855.39899999999</v>
      </c>
      <c r="I37" s="567">
        <v>49656.25</v>
      </c>
    </row>
    <row r="38" spans="1:9" ht="15.6" x14ac:dyDescent="0.25">
      <c r="A38" s="776" t="s">
        <v>80</v>
      </c>
      <c r="B38" s="778" t="s">
        <v>192</v>
      </c>
      <c r="C38" s="780">
        <v>109088145.76000001</v>
      </c>
      <c r="D38" s="533">
        <v>2</v>
      </c>
      <c r="E38" s="618">
        <v>269317.93</v>
      </c>
      <c r="F38" s="618">
        <v>142532.85999999999</v>
      </c>
      <c r="G38" s="598">
        <f t="shared" si="0"/>
        <v>126785.07</v>
      </c>
      <c r="H38" s="554">
        <f t="shared" si="1"/>
        <v>6339.2535000000007</v>
      </c>
      <c r="I38" s="541">
        <v>9678</v>
      </c>
    </row>
    <row r="39" spans="1:9" ht="15.6" x14ac:dyDescent="0.25">
      <c r="A39" s="777"/>
      <c r="B39" s="779"/>
      <c r="C39" s="781"/>
      <c r="D39" s="534">
        <v>3</v>
      </c>
      <c r="E39" s="619">
        <v>169670.14</v>
      </c>
      <c r="F39" s="626">
        <v>77050.8</v>
      </c>
      <c r="G39" s="544">
        <f t="shared" si="0"/>
        <v>92619.340000000011</v>
      </c>
      <c r="H39" s="558">
        <f t="shared" si="1"/>
        <v>4630.9670000000006</v>
      </c>
      <c r="I39" s="599">
        <v>30756</v>
      </c>
    </row>
    <row r="40" spans="1:9" s="586" customFormat="1" ht="15.6" x14ac:dyDescent="0.25">
      <c r="A40" s="777"/>
      <c r="B40" s="779"/>
      <c r="C40" s="781"/>
      <c r="D40" s="534">
        <v>5</v>
      </c>
      <c r="E40" s="647">
        <v>1546476.01</v>
      </c>
      <c r="F40" s="619">
        <v>956213.03</v>
      </c>
      <c r="G40" s="613">
        <f>E40-F40</f>
        <v>590262.98</v>
      </c>
      <c r="H40" s="558">
        <f t="shared" si="1"/>
        <v>29513.149000000001</v>
      </c>
      <c r="I40" s="648"/>
    </row>
    <row r="41" spans="1:9" s="586" customFormat="1" ht="15.6" x14ac:dyDescent="0.25">
      <c r="A41" s="637"/>
      <c r="B41" s="635"/>
      <c r="C41" s="646"/>
      <c r="D41" s="641">
        <v>7</v>
      </c>
      <c r="E41" s="647">
        <v>120551.08</v>
      </c>
      <c r="F41" s="645">
        <v>65370.23</v>
      </c>
      <c r="G41" s="613">
        <f t="shared" ref="G41:G45" si="2">E41-F41</f>
        <v>55180.85</v>
      </c>
      <c r="H41" s="604">
        <f t="shared" si="1"/>
        <v>2759.0425</v>
      </c>
      <c r="I41" s="648"/>
    </row>
    <row r="42" spans="1:9" s="586" customFormat="1" ht="15.6" x14ac:dyDescent="0.25">
      <c r="A42" s="637"/>
      <c r="B42" s="635"/>
      <c r="C42" s="646"/>
      <c r="D42" s="534">
        <v>13</v>
      </c>
      <c r="E42" s="619">
        <v>41463.550000000003</v>
      </c>
      <c r="F42" s="619">
        <v>22482.959999999999</v>
      </c>
      <c r="G42" s="544">
        <f t="shared" si="2"/>
        <v>18980.590000000004</v>
      </c>
      <c r="H42" s="558">
        <f t="shared" si="1"/>
        <v>949.02950000000021</v>
      </c>
      <c r="I42" s="599"/>
    </row>
    <row r="43" spans="1:9" s="586" customFormat="1" ht="15.6" x14ac:dyDescent="0.25">
      <c r="A43" s="637"/>
      <c r="B43" s="635"/>
      <c r="C43" s="646"/>
      <c r="D43" s="534">
        <v>18</v>
      </c>
      <c r="E43" s="619">
        <v>62344.46</v>
      </c>
      <c r="F43" s="619">
        <v>33801.83</v>
      </c>
      <c r="G43" s="544">
        <f t="shared" si="2"/>
        <v>28542.629999999997</v>
      </c>
      <c r="H43" s="558">
        <f t="shared" si="1"/>
        <v>1427.1315</v>
      </c>
      <c r="I43" s="599"/>
    </row>
    <row r="44" spans="1:9" s="586" customFormat="1" ht="15.6" x14ac:dyDescent="0.25">
      <c r="A44" s="637"/>
      <c r="B44" s="635"/>
      <c r="C44" s="646"/>
      <c r="D44" s="534">
        <v>15</v>
      </c>
      <c r="E44" s="619">
        <v>101715.43</v>
      </c>
      <c r="F44" s="619">
        <v>68348.149999999994</v>
      </c>
      <c r="G44" s="544">
        <f t="shared" si="2"/>
        <v>33367.279999999999</v>
      </c>
      <c r="H44" s="558">
        <f t="shared" si="1"/>
        <v>1668.364</v>
      </c>
      <c r="I44" s="599">
        <v>27166.16</v>
      </c>
    </row>
    <row r="45" spans="1:9" s="586" customFormat="1" ht="15.6" x14ac:dyDescent="0.25">
      <c r="A45" s="637"/>
      <c r="B45" s="635"/>
      <c r="C45" s="646"/>
      <c r="D45" s="534">
        <v>17</v>
      </c>
      <c r="E45" s="619">
        <v>77659.3</v>
      </c>
      <c r="F45" s="619">
        <v>42094.5</v>
      </c>
      <c r="G45" s="544">
        <f t="shared" si="2"/>
        <v>35564.800000000003</v>
      </c>
      <c r="H45" s="558">
        <f t="shared" si="1"/>
        <v>1778.2400000000002</v>
      </c>
      <c r="I45" s="599"/>
    </row>
    <row r="46" spans="1:9" s="586" customFormat="1" ht="15.6" x14ac:dyDescent="0.25">
      <c r="A46" s="637"/>
      <c r="B46" s="635"/>
      <c r="C46" s="646"/>
      <c r="D46" s="536">
        <v>4</v>
      </c>
      <c r="E46" s="619">
        <v>5519057.6900000004</v>
      </c>
      <c r="F46" s="619">
        <v>3911446.37</v>
      </c>
      <c r="G46" s="544">
        <f t="shared" ref="G46:G48" si="3">E46-F46</f>
        <v>1607611.3200000003</v>
      </c>
      <c r="H46" s="558">
        <f t="shared" ref="H46:H48" si="4">G46*$H$4</f>
        <v>80380.566000000021</v>
      </c>
      <c r="I46" s="599"/>
    </row>
    <row r="47" spans="1:9" s="586" customFormat="1" ht="15.6" x14ac:dyDescent="0.25">
      <c r="A47" s="637"/>
      <c r="B47" s="635"/>
      <c r="C47" s="646"/>
      <c r="D47" s="534">
        <v>9</v>
      </c>
      <c r="E47" s="619">
        <v>1837963.4</v>
      </c>
      <c r="F47" s="619">
        <v>1103292.77</v>
      </c>
      <c r="G47" s="544">
        <f t="shared" si="3"/>
        <v>734670.62999999989</v>
      </c>
      <c r="H47" s="558">
        <f t="shared" si="4"/>
        <v>36733.531499999997</v>
      </c>
      <c r="I47" s="599">
        <v>569500.68000000005</v>
      </c>
    </row>
    <row r="48" spans="1:9" s="586" customFormat="1" ht="16.2" thickBot="1" x14ac:dyDescent="0.3">
      <c r="A48" s="637"/>
      <c r="B48" s="635"/>
      <c r="C48" s="646"/>
      <c r="D48" s="658">
        <v>10</v>
      </c>
      <c r="E48" s="652">
        <v>922398.04</v>
      </c>
      <c r="F48" s="652">
        <v>595594.28</v>
      </c>
      <c r="G48" s="656">
        <f t="shared" si="3"/>
        <v>326803.76</v>
      </c>
      <c r="H48" s="611">
        <f t="shared" si="4"/>
        <v>16340.188000000002</v>
      </c>
      <c r="I48" s="657">
        <v>254897.8</v>
      </c>
    </row>
    <row r="49" spans="1:9" ht="15.6" x14ac:dyDescent="0.25">
      <c r="A49" s="782" t="s">
        <v>69</v>
      </c>
      <c r="B49" s="770" t="s">
        <v>193</v>
      </c>
      <c r="C49" s="773">
        <v>1479619.45</v>
      </c>
      <c r="D49" s="600">
        <v>1</v>
      </c>
      <c r="E49" s="623">
        <v>522833.08</v>
      </c>
      <c r="F49" s="624">
        <v>5679.92</v>
      </c>
      <c r="G49" s="602">
        <f t="shared" si="0"/>
        <v>517153.16000000003</v>
      </c>
      <c r="H49" s="601">
        <f t="shared" si="1"/>
        <v>25857.658000000003</v>
      </c>
      <c r="I49" s="603"/>
    </row>
    <row r="50" spans="1:9" ht="15.6" x14ac:dyDescent="0.25">
      <c r="A50" s="783"/>
      <c r="B50" s="771"/>
      <c r="C50" s="774"/>
      <c r="D50" s="557">
        <v>2</v>
      </c>
      <c r="E50" s="616">
        <v>295471.78000000003</v>
      </c>
      <c r="F50" s="625">
        <v>2825.02</v>
      </c>
      <c r="G50" s="572">
        <f t="shared" si="0"/>
        <v>292646.76</v>
      </c>
      <c r="H50" s="558">
        <f t="shared" si="1"/>
        <v>14632.338000000002</v>
      </c>
      <c r="I50" s="560"/>
    </row>
    <row r="51" spans="1:9" ht="15.6" x14ac:dyDescent="0.25">
      <c r="A51" s="783"/>
      <c r="B51" s="771"/>
      <c r="C51" s="774"/>
      <c r="D51" s="557">
        <v>3</v>
      </c>
      <c r="E51" s="616">
        <v>246436.9</v>
      </c>
      <c r="F51" s="572"/>
      <c r="G51" s="572">
        <f t="shared" si="0"/>
        <v>246436.9</v>
      </c>
      <c r="H51" s="558">
        <f t="shared" si="1"/>
        <v>12321.845000000001</v>
      </c>
      <c r="I51" s="560"/>
    </row>
    <row r="52" spans="1:9" ht="15.6" x14ac:dyDescent="0.25">
      <c r="A52" s="783"/>
      <c r="B52" s="771"/>
      <c r="C52" s="774"/>
      <c r="D52" s="557">
        <v>4</v>
      </c>
      <c r="E52" s="616">
        <v>497995.15</v>
      </c>
      <c r="F52" s="625">
        <v>62358.89</v>
      </c>
      <c r="G52" s="572">
        <f t="shared" si="0"/>
        <v>435636.26</v>
      </c>
      <c r="H52" s="558">
        <f t="shared" si="1"/>
        <v>21781.813000000002</v>
      </c>
      <c r="I52" s="560"/>
    </row>
    <row r="53" spans="1:9" ht="15.6" x14ac:dyDescent="0.25">
      <c r="A53" s="783"/>
      <c r="B53" s="771"/>
      <c r="C53" s="774"/>
      <c r="D53" s="557">
        <v>5</v>
      </c>
      <c r="E53" s="616">
        <v>487575.25</v>
      </c>
      <c r="F53" s="625">
        <v>27245.59</v>
      </c>
      <c r="G53" s="572">
        <f t="shared" si="0"/>
        <v>460329.66</v>
      </c>
      <c r="H53" s="558">
        <f t="shared" si="1"/>
        <v>23016.483</v>
      </c>
      <c r="I53" s="560"/>
    </row>
    <row r="54" spans="1:9" ht="15.6" x14ac:dyDescent="0.25">
      <c r="A54" s="783"/>
      <c r="B54" s="771"/>
      <c r="C54" s="774"/>
      <c r="D54" s="557">
        <v>6</v>
      </c>
      <c r="E54" s="616">
        <v>1996.56</v>
      </c>
      <c r="F54" s="572"/>
      <c r="G54" s="572">
        <f t="shared" si="0"/>
        <v>1996.56</v>
      </c>
      <c r="H54" s="558">
        <f t="shared" si="1"/>
        <v>99.828000000000003</v>
      </c>
      <c r="I54" s="560"/>
    </row>
    <row r="55" spans="1:9" ht="15.6" x14ac:dyDescent="0.25">
      <c r="A55" s="783"/>
      <c r="B55" s="771"/>
      <c r="C55" s="774"/>
      <c r="D55" s="557">
        <v>7</v>
      </c>
      <c r="E55" s="616">
        <v>188324.6</v>
      </c>
      <c r="F55" s="625">
        <v>8597.7000000000007</v>
      </c>
      <c r="G55" s="572">
        <f t="shared" si="0"/>
        <v>179726.9</v>
      </c>
      <c r="H55" s="558">
        <f t="shared" si="1"/>
        <v>8986.3449999999993</v>
      </c>
      <c r="I55" s="560"/>
    </row>
    <row r="56" spans="1:9" ht="15.6" x14ac:dyDescent="0.25">
      <c r="A56" s="783"/>
      <c r="B56" s="771"/>
      <c r="C56" s="774"/>
      <c r="D56" s="571">
        <v>8</v>
      </c>
      <c r="E56" s="620">
        <v>56042.29</v>
      </c>
      <c r="F56" s="561"/>
      <c r="G56" s="561">
        <f>E56-F56</f>
        <v>56042.29</v>
      </c>
      <c r="H56" s="558">
        <f t="shared" si="1"/>
        <v>2802.1145000000001</v>
      </c>
      <c r="I56" s="562"/>
    </row>
    <row r="57" spans="1:9" ht="16.2" thickBot="1" x14ac:dyDescent="0.3">
      <c r="A57" s="783"/>
      <c r="B57" s="771"/>
      <c r="C57" s="774"/>
      <c r="D57" s="571">
        <v>9</v>
      </c>
      <c r="E57" s="620">
        <v>144257.29</v>
      </c>
      <c r="F57" s="609"/>
      <c r="G57" s="561">
        <f>E57-F57</f>
        <v>144257.29</v>
      </c>
      <c r="H57" s="558">
        <f>G57*$H$4</f>
        <v>7212.8645000000006</v>
      </c>
      <c r="I57" s="542"/>
    </row>
    <row r="58" spans="1:9" s="586" customFormat="1" ht="16.2" thickBot="1" x14ac:dyDescent="0.3">
      <c r="A58" s="573" t="s">
        <v>70</v>
      </c>
      <c r="B58" s="539" t="s">
        <v>194</v>
      </c>
      <c r="C58" s="551">
        <v>98309.75</v>
      </c>
      <c r="D58" s="537"/>
      <c r="E58" s="547"/>
      <c r="F58" s="547"/>
      <c r="G58" s="547"/>
      <c r="H58" s="582"/>
      <c r="I58" s="597"/>
    </row>
    <row r="59" spans="1:9" s="586" customFormat="1" ht="16.2" thickBot="1" x14ac:dyDescent="0.3">
      <c r="A59" s="576" t="s">
        <v>71</v>
      </c>
      <c r="B59" s="577" t="s">
        <v>195</v>
      </c>
      <c r="C59" s="578">
        <v>117953.48</v>
      </c>
      <c r="D59" s="587">
        <v>1</v>
      </c>
      <c r="E59" s="627">
        <v>117953.48</v>
      </c>
      <c r="F59" s="628">
        <v>47269.38</v>
      </c>
      <c r="G59" s="579">
        <f>E59-F59</f>
        <v>70684.100000000006</v>
      </c>
      <c r="H59" s="582">
        <f t="shared" si="1"/>
        <v>3534.2050000000004</v>
      </c>
      <c r="I59" s="580"/>
    </row>
    <row r="60" spans="1:9" s="586" customFormat="1" ht="16.2" thickBot="1" x14ac:dyDescent="0.3">
      <c r="A60" s="573" t="s">
        <v>72</v>
      </c>
      <c r="B60" s="539" t="s">
        <v>196</v>
      </c>
      <c r="C60" s="551">
        <v>314090.69</v>
      </c>
      <c r="D60" s="537"/>
      <c r="E60" s="547"/>
      <c r="F60" s="547"/>
      <c r="G60" s="574"/>
      <c r="H60" s="579">
        <f t="shared" si="1"/>
        <v>0</v>
      </c>
      <c r="I60" s="575"/>
    </row>
    <row r="61" spans="1:9" s="586" customFormat="1" ht="15.6" x14ac:dyDescent="0.25">
      <c r="A61" s="782" t="s">
        <v>73</v>
      </c>
      <c r="B61" s="770" t="s">
        <v>193</v>
      </c>
      <c r="C61" s="773">
        <v>925268.22</v>
      </c>
      <c r="D61" s="588">
        <v>1</v>
      </c>
      <c r="E61" s="629">
        <v>462990.42</v>
      </c>
      <c r="F61" s="615">
        <v>26515.61</v>
      </c>
      <c r="G61" s="554">
        <f t="shared" si="0"/>
        <v>436474.81</v>
      </c>
      <c r="H61" s="582">
        <f t="shared" si="1"/>
        <v>21823.7405</v>
      </c>
      <c r="I61" s="556"/>
    </row>
    <row r="62" spans="1:9" s="586" customFormat="1" ht="16.2" thickBot="1" x14ac:dyDescent="0.3">
      <c r="A62" s="784"/>
      <c r="B62" s="772"/>
      <c r="C62" s="775"/>
      <c r="D62" s="563">
        <v>2</v>
      </c>
      <c r="E62" s="617">
        <v>413678.99</v>
      </c>
      <c r="F62" s="617">
        <v>24709.37</v>
      </c>
      <c r="G62" s="564">
        <f t="shared" si="0"/>
        <v>388969.62</v>
      </c>
      <c r="H62" s="564">
        <f t="shared" si="1"/>
        <v>19448.481</v>
      </c>
      <c r="I62" s="567"/>
    </row>
    <row r="63" spans="1:9" s="586" customFormat="1" ht="15.6" x14ac:dyDescent="0.25">
      <c r="A63" s="785" t="s">
        <v>74</v>
      </c>
      <c r="B63" s="788" t="s">
        <v>197</v>
      </c>
      <c r="C63" s="780">
        <v>1907190.76</v>
      </c>
      <c r="D63" s="581">
        <v>1</v>
      </c>
      <c r="E63" s="618">
        <v>605497.75</v>
      </c>
      <c r="F63" s="618">
        <v>440574.54</v>
      </c>
      <c r="G63" s="548">
        <f t="shared" si="0"/>
        <v>164923.21000000002</v>
      </c>
      <c r="H63" s="582">
        <f t="shared" si="1"/>
        <v>8246.1605000000018</v>
      </c>
      <c r="I63" s="653"/>
    </row>
    <row r="64" spans="1:9" s="586" customFormat="1" ht="16.2" thickBot="1" x14ac:dyDescent="0.3">
      <c r="A64" s="786"/>
      <c r="B64" s="789"/>
      <c r="C64" s="781"/>
      <c r="D64" s="535">
        <v>2</v>
      </c>
      <c r="E64" s="652">
        <v>224442.72</v>
      </c>
      <c r="F64" s="652">
        <v>163309.9</v>
      </c>
      <c r="G64" s="546">
        <f t="shared" ref="G64" si="5">E64-F64</f>
        <v>61132.820000000007</v>
      </c>
      <c r="H64" s="561">
        <f t="shared" ref="H64" si="6">G64*$H$4</f>
        <v>3056.6410000000005</v>
      </c>
      <c r="I64" s="612"/>
    </row>
    <row r="65" spans="1:9" s="586" customFormat="1" ht="16.2" thickBot="1" x14ac:dyDescent="0.3">
      <c r="A65" s="787"/>
      <c r="B65" s="790"/>
      <c r="C65" s="791"/>
      <c r="D65" s="535">
        <v>3</v>
      </c>
      <c r="E65" s="652">
        <v>303821.78000000003</v>
      </c>
      <c r="F65" s="652">
        <v>221068.15</v>
      </c>
      <c r="G65" s="546">
        <f t="shared" si="0"/>
        <v>82753.630000000034</v>
      </c>
      <c r="H65" s="561">
        <f t="shared" si="1"/>
        <v>4137.6815000000015</v>
      </c>
      <c r="I65" s="612"/>
    </row>
    <row r="66" spans="1:9" s="586" customFormat="1" ht="15.6" x14ac:dyDescent="0.25">
      <c r="A66" s="782" t="s">
        <v>77</v>
      </c>
      <c r="B66" s="770" t="s">
        <v>198</v>
      </c>
      <c r="C66" s="773">
        <v>554589.34</v>
      </c>
      <c r="D66" s="600">
        <v>1</v>
      </c>
      <c r="E66" s="631">
        <v>233757.78</v>
      </c>
      <c r="F66" s="631">
        <v>8682.01</v>
      </c>
      <c r="G66" s="554">
        <f t="shared" si="0"/>
        <v>225075.77</v>
      </c>
      <c r="H66" s="554">
        <f t="shared" si="1"/>
        <v>11253.788500000001</v>
      </c>
      <c r="I66" s="603"/>
    </row>
    <row r="67" spans="1:9" s="586" customFormat="1" ht="15.6" x14ac:dyDescent="0.25">
      <c r="A67" s="783"/>
      <c r="B67" s="771"/>
      <c r="C67" s="774"/>
      <c r="D67" s="571">
        <v>2</v>
      </c>
      <c r="E67" s="620">
        <v>143598.18</v>
      </c>
      <c r="F67" s="620">
        <v>7947.46</v>
      </c>
      <c r="G67" s="561">
        <f>E67-F67</f>
        <v>135650.72</v>
      </c>
      <c r="H67" s="558">
        <f t="shared" ref="H67" si="7">G67*$H$4</f>
        <v>6782.5360000000001</v>
      </c>
      <c r="I67" s="562"/>
    </row>
    <row r="68" spans="1:9" s="586" customFormat="1" ht="16.2" thickBot="1" x14ac:dyDescent="0.3">
      <c r="A68" s="783"/>
      <c r="B68" s="771"/>
      <c r="C68" s="774"/>
      <c r="D68" s="571">
        <v>3</v>
      </c>
      <c r="E68" s="620">
        <v>112681.46</v>
      </c>
      <c r="F68" s="620"/>
      <c r="G68" s="561">
        <f>E68-F68</f>
        <v>112681.46</v>
      </c>
      <c r="H68" s="558">
        <f t="shared" si="1"/>
        <v>5634.0730000000003</v>
      </c>
      <c r="I68" s="562"/>
    </row>
    <row r="69" spans="1:9" s="586" customFormat="1" ht="15.6" x14ac:dyDescent="0.25">
      <c r="A69" s="785" t="s">
        <v>78</v>
      </c>
      <c r="B69" s="778" t="s">
        <v>199</v>
      </c>
      <c r="C69" s="780">
        <v>205250.65</v>
      </c>
      <c r="D69" s="581">
        <v>1</v>
      </c>
      <c r="E69" s="618">
        <v>36249.65</v>
      </c>
      <c r="F69" s="632">
        <v>15042.564</v>
      </c>
      <c r="G69" s="543">
        <f t="shared" si="0"/>
        <v>21207.086000000003</v>
      </c>
      <c r="H69" s="554">
        <f t="shared" si="1"/>
        <v>1060.3543000000002</v>
      </c>
      <c r="I69" s="541"/>
    </row>
    <row r="70" spans="1:9" s="586" customFormat="1" ht="15.6" x14ac:dyDescent="0.25">
      <c r="A70" s="786"/>
      <c r="B70" s="779"/>
      <c r="C70" s="781"/>
      <c r="D70" s="536">
        <v>2</v>
      </c>
      <c r="E70" s="619">
        <v>29584.9</v>
      </c>
      <c r="F70" s="626">
        <v>14808.288</v>
      </c>
      <c r="G70" s="544">
        <f t="shared" si="0"/>
        <v>14776.612000000001</v>
      </c>
      <c r="H70" s="558">
        <f t="shared" si="1"/>
        <v>738.83060000000012</v>
      </c>
      <c r="I70" s="599"/>
    </row>
    <row r="71" spans="1:9" s="586" customFormat="1" ht="16.2" thickBot="1" x14ac:dyDescent="0.3">
      <c r="A71" s="787"/>
      <c r="B71" s="792"/>
      <c r="C71" s="791"/>
      <c r="D71" s="535">
        <v>3</v>
      </c>
      <c r="E71" s="621">
        <v>120872.34</v>
      </c>
      <c r="F71" s="633">
        <v>95553.5</v>
      </c>
      <c r="G71" s="546">
        <f t="shared" si="0"/>
        <v>25318.839999999997</v>
      </c>
      <c r="H71" s="564">
        <f t="shared" si="1"/>
        <v>1265.942</v>
      </c>
      <c r="I71" s="596"/>
    </row>
    <row r="72" spans="1:9" s="586" customFormat="1" ht="69" customHeight="1" thickBot="1" x14ac:dyDescent="0.3">
      <c r="A72" s="576" t="s">
        <v>158</v>
      </c>
      <c r="B72" s="577" t="s">
        <v>200</v>
      </c>
      <c r="C72" s="579">
        <v>174395.3</v>
      </c>
      <c r="D72" s="587">
        <v>1</v>
      </c>
      <c r="E72" s="628">
        <v>174395.3</v>
      </c>
      <c r="F72" s="628">
        <v>46495.02</v>
      </c>
      <c r="G72" s="579">
        <f t="shared" si="0"/>
        <v>127900.28</v>
      </c>
      <c r="H72" s="611">
        <f t="shared" si="1"/>
        <v>6395.0140000000001</v>
      </c>
      <c r="I72" s="580">
        <v>10160</v>
      </c>
    </row>
    <row r="73" spans="1:9" s="586" customFormat="1" ht="16.2" thickBot="1" x14ac:dyDescent="0.3">
      <c r="A73" s="573" t="s">
        <v>79</v>
      </c>
      <c r="B73" s="539" t="s">
        <v>201</v>
      </c>
      <c r="C73" s="551">
        <v>67237.36</v>
      </c>
      <c r="D73" s="584">
        <v>1</v>
      </c>
      <c r="E73" s="630">
        <v>63923.6</v>
      </c>
      <c r="F73" s="630">
        <v>27543.26</v>
      </c>
      <c r="G73" s="585">
        <f t="shared" si="0"/>
        <v>36380.339999999997</v>
      </c>
      <c r="H73" s="611">
        <f t="shared" si="1"/>
        <v>1819.0169999999998</v>
      </c>
      <c r="I73" s="575"/>
    </row>
    <row r="74" spans="1:9" s="586" customFormat="1" ht="15.6" x14ac:dyDescent="0.25">
      <c r="A74" s="793" t="s">
        <v>75</v>
      </c>
      <c r="B74" s="770" t="s">
        <v>202</v>
      </c>
      <c r="C74" s="773">
        <v>428355.98</v>
      </c>
      <c r="D74" s="589">
        <v>1</v>
      </c>
      <c r="E74" s="629">
        <v>282271.15999999997</v>
      </c>
      <c r="F74" s="615">
        <v>14016.42</v>
      </c>
      <c r="G74" s="554">
        <f t="shared" si="0"/>
        <v>268254.74</v>
      </c>
      <c r="H74" s="601">
        <f t="shared" ref="H74:H83" si="8">G74*$H$4</f>
        <v>13412.737000000001</v>
      </c>
      <c r="I74" s="583"/>
    </row>
    <row r="75" spans="1:9" s="586" customFormat="1" ht="34.200000000000003" customHeight="1" thickBot="1" x14ac:dyDescent="0.3">
      <c r="A75" s="794"/>
      <c r="B75" s="771"/>
      <c r="C75" s="774"/>
      <c r="D75" s="571">
        <v>2</v>
      </c>
      <c r="E75" s="620">
        <v>139618.48000000001</v>
      </c>
      <c r="F75" s="631">
        <v>5490.97</v>
      </c>
      <c r="G75" s="561">
        <f t="shared" si="0"/>
        <v>134127.51</v>
      </c>
      <c r="H75" s="564">
        <f t="shared" si="8"/>
        <v>6706.375500000001</v>
      </c>
      <c r="I75" s="562"/>
    </row>
    <row r="76" spans="1:9" s="586" customFormat="1" ht="15.6" x14ac:dyDescent="0.25">
      <c r="A76" s="801" t="s">
        <v>204</v>
      </c>
      <c r="B76" s="804" t="s">
        <v>203</v>
      </c>
      <c r="C76" s="807">
        <v>11216410.33</v>
      </c>
      <c r="D76" s="607">
        <v>1</v>
      </c>
      <c r="E76" s="618">
        <v>4613140.4800000004</v>
      </c>
      <c r="F76" s="634">
        <v>3179903.08</v>
      </c>
      <c r="G76" s="543">
        <f t="shared" si="0"/>
        <v>1433237.4000000004</v>
      </c>
      <c r="H76" s="601">
        <f t="shared" si="8"/>
        <v>71661.870000000024</v>
      </c>
      <c r="I76" s="541"/>
    </row>
    <row r="77" spans="1:9" s="307" customFormat="1" ht="15.6" x14ac:dyDescent="0.25">
      <c r="A77" s="802"/>
      <c r="B77" s="805"/>
      <c r="C77" s="808"/>
      <c r="D77" s="534">
        <v>2</v>
      </c>
      <c r="E77" s="626">
        <v>648268.93000000005</v>
      </c>
      <c r="F77" s="619">
        <v>426955.2</v>
      </c>
      <c r="G77" s="544">
        <f t="shared" si="0"/>
        <v>221313.73000000004</v>
      </c>
      <c r="H77" s="558">
        <f t="shared" si="8"/>
        <v>11065.686500000003</v>
      </c>
      <c r="I77" s="608"/>
    </row>
    <row r="78" spans="1:9" s="307" customFormat="1" ht="15.6" x14ac:dyDescent="0.25">
      <c r="A78" s="802"/>
      <c r="B78" s="805"/>
      <c r="C78" s="808"/>
      <c r="D78" s="606">
        <v>3</v>
      </c>
      <c r="E78" s="626">
        <v>764834.02</v>
      </c>
      <c r="F78" s="619">
        <v>513158.52</v>
      </c>
      <c r="G78" s="544">
        <f t="shared" si="0"/>
        <v>251675.5</v>
      </c>
      <c r="H78" s="558">
        <f t="shared" si="8"/>
        <v>12583.775000000001</v>
      </c>
      <c r="I78" s="590"/>
    </row>
    <row r="79" spans="1:9" s="307" customFormat="1" ht="16.2" thickBot="1" x14ac:dyDescent="0.3">
      <c r="A79" s="803"/>
      <c r="B79" s="806"/>
      <c r="C79" s="809"/>
      <c r="D79" s="535">
        <v>4</v>
      </c>
      <c r="E79" s="633">
        <v>459693.22</v>
      </c>
      <c r="F79" s="621">
        <v>315541.51</v>
      </c>
      <c r="G79" s="613">
        <f t="shared" si="0"/>
        <v>144151.70999999996</v>
      </c>
      <c r="H79" s="558">
        <f t="shared" si="8"/>
        <v>7207.5854999999983</v>
      </c>
      <c r="I79" s="614"/>
    </row>
    <row r="80" spans="1:9" s="307" customFormat="1" ht="15.6" x14ac:dyDescent="0.25">
      <c r="A80" s="810" t="s">
        <v>53</v>
      </c>
      <c r="B80" s="771" t="s">
        <v>205</v>
      </c>
      <c r="C80" s="812">
        <v>790018.98</v>
      </c>
      <c r="D80" s="600">
        <v>1</v>
      </c>
      <c r="E80" s="623">
        <v>323673.21999999997</v>
      </c>
      <c r="F80" s="615">
        <v>223053.1</v>
      </c>
      <c r="G80" s="554">
        <f t="shared" si="0"/>
        <v>100620.11999999997</v>
      </c>
      <c r="H80" s="554">
        <f t="shared" si="8"/>
        <v>5031.0059999999985</v>
      </c>
      <c r="I80" s="605"/>
    </row>
    <row r="81" spans="1:9" s="307" customFormat="1" ht="16.2" thickBot="1" x14ac:dyDescent="0.3">
      <c r="A81" s="811"/>
      <c r="B81" s="772"/>
      <c r="C81" s="813"/>
      <c r="D81" s="563">
        <v>2</v>
      </c>
      <c r="E81" s="617">
        <v>254891.88</v>
      </c>
      <c r="F81" s="617">
        <v>176125.27</v>
      </c>
      <c r="G81" s="564">
        <f t="shared" si="0"/>
        <v>78766.610000000015</v>
      </c>
      <c r="H81" s="561">
        <f t="shared" si="8"/>
        <v>3938.3305000000009</v>
      </c>
      <c r="I81" s="591"/>
    </row>
    <row r="82" spans="1:9" s="307" customFormat="1" ht="15.6" x14ac:dyDescent="0.25">
      <c r="A82" s="795" t="s">
        <v>69</v>
      </c>
      <c r="B82" s="788" t="s">
        <v>206</v>
      </c>
      <c r="C82" s="797">
        <v>164975.04000000001</v>
      </c>
      <c r="D82" s="581">
        <v>1</v>
      </c>
      <c r="E82" s="638">
        <v>98455.63</v>
      </c>
      <c r="F82" s="638">
        <v>69126.91</v>
      </c>
      <c r="G82" s="543">
        <f t="shared" si="0"/>
        <v>29328.720000000001</v>
      </c>
      <c r="H82" s="582">
        <f t="shared" si="8"/>
        <v>1466.4360000000001</v>
      </c>
      <c r="I82" s="655"/>
    </row>
    <row r="83" spans="1:9" s="307" customFormat="1" ht="16.2" thickBot="1" x14ac:dyDescent="0.3">
      <c r="A83" s="796"/>
      <c r="B83" s="790"/>
      <c r="C83" s="798"/>
      <c r="D83" s="535">
        <v>2</v>
      </c>
      <c r="E83" s="621">
        <v>17098.009999999998</v>
      </c>
      <c r="F83" s="621">
        <v>11916.01</v>
      </c>
      <c r="G83" s="643">
        <f t="shared" si="0"/>
        <v>5181.9999999999982</v>
      </c>
      <c r="H83" s="564">
        <f t="shared" si="8"/>
        <v>259.09999999999991</v>
      </c>
      <c r="I83" s="654"/>
    </row>
    <row r="84" spans="1:9" s="324" customFormat="1" ht="22.95" customHeight="1" thickBot="1" x14ac:dyDescent="0.3">
      <c r="A84" s="592"/>
      <c r="B84" s="593" t="s">
        <v>47</v>
      </c>
      <c r="C84" s="594"/>
      <c r="D84" s="594"/>
      <c r="E84" s="594">
        <f>SUM(E5:E83)</f>
        <v>84962133.400000036</v>
      </c>
      <c r="F84" s="594">
        <f>SUM(F5:F83)</f>
        <v>46377410.714000009</v>
      </c>
      <c r="G84" s="594">
        <f>SUM(G5:G83)</f>
        <v>38584722.686000019</v>
      </c>
      <c r="H84" s="594">
        <f>SUM(H5:H83)</f>
        <v>1929236.1343</v>
      </c>
      <c r="I84" s="595"/>
    </row>
    <row r="85" spans="1:9" x14ac:dyDescent="0.25">
      <c r="C85" s="549"/>
      <c r="D85" s="549"/>
      <c r="E85" s="549"/>
      <c r="F85" s="549"/>
      <c r="G85" s="549"/>
      <c r="H85" s="549"/>
      <c r="I85" s="339"/>
    </row>
    <row r="86" spans="1:9" x14ac:dyDescent="0.25">
      <c r="C86" s="549"/>
      <c r="D86" s="549"/>
      <c r="E86" s="549"/>
      <c r="F86" s="549"/>
      <c r="G86" s="549"/>
      <c r="H86" s="549"/>
      <c r="I86" s="339"/>
    </row>
    <row r="87" spans="1:9" x14ac:dyDescent="0.25">
      <c r="A87" s="799" t="s">
        <v>210</v>
      </c>
      <c r="B87" s="540" t="s">
        <v>208</v>
      </c>
      <c r="C87" s="549"/>
      <c r="D87" s="549"/>
      <c r="E87" s="549">
        <f>E5+E16+E6+E17+E18+E7+E19+E8+E20+E21+E9</f>
        <v>17719151.789999999</v>
      </c>
      <c r="F87" s="549"/>
      <c r="G87" s="549"/>
      <c r="H87" s="549"/>
      <c r="I87" s="339"/>
    </row>
    <row r="88" spans="1:9" x14ac:dyDescent="0.25">
      <c r="A88" s="800"/>
      <c r="B88" s="540" t="s">
        <v>209</v>
      </c>
      <c r="C88" s="549"/>
      <c r="D88" s="549"/>
      <c r="E88" s="549">
        <f>E22+E23+E24+E25+E26+E27+E28+E29+E30+E31+E32+E33+E34+E10+E35+E36+E37+E11+E38+E39+E40+E12+E13+E14+E15+E41+E42+E43+E44+E45+E46+E47+E48</f>
        <v>54156655.329999991</v>
      </c>
      <c r="F88" s="549"/>
      <c r="G88" s="549"/>
      <c r="H88" s="549"/>
      <c r="I88" s="339"/>
    </row>
    <row r="89" spans="1:9" x14ac:dyDescent="0.25">
      <c r="C89" s="549"/>
      <c r="D89" s="549"/>
      <c r="E89" s="640">
        <f>SUM(E87:E88)</f>
        <v>71875807.11999999</v>
      </c>
      <c r="F89" s="549"/>
      <c r="G89" s="549"/>
      <c r="H89" s="549"/>
      <c r="I89" s="339"/>
    </row>
    <row r="90" spans="1:9" x14ac:dyDescent="0.25">
      <c r="A90" s="308" t="s">
        <v>69</v>
      </c>
      <c r="C90" s="552"/>
      <c r="D90" s="549"/>
      <c r="E90" s="640">
        <f>E49+E50+E51+E52+E53+E54+E55+E56+E57</f>
        <v>2440932.9000000004</v>
      </c>
      <c r="F90" s="549"/>
      <c r="G90" s="549"/>
      <c r="H90" s="549"/>
      <c r="I90" s="339"/>
    </row>
    <row r="91" spans="1:9" x14ac:dyDescent="0.25">
      <c r="A91" s="308" t="s">
        <v>71</v>
      </c>
      <c r="C91" s="549"/>
      <c r="D91" s="549"/>
      <c r="E91" s="640">
        <f>E59</f>
        <v>117953.48</v>
      </c>
      <c r="F91" s="549"/>
      <c r="G91" s="549"/>
      <c r="H91" s="549"/>
      <c r="I91" s="339"/>
    </row>
    <row r="92" spans="1:9" x14ac:dyDescent="0.25">
      <c r="A92" s="308" t="s">
        <v>73</v>
      </c>
      <c r="C92" s="549"/>
      <c r="D92" s="549"/>
      <c r="E92" s="640">
        <f>E61+E62</f>
        <v>876669.40999999992</v>
      </c>
      <c r="F92" s="549"/>
      <c r="G92" s="549"/>
      <c r="H92" s="549"/>
      <c r="I92" s="339"/>
    </row>
    <row r="93" spans="1:9" x14ac:dyDescent="0.25">
      <c r="A93" s="308" t="s">
        <v>74</v>
      </c>
      <c r="C93" s="549"/>
      <c r="D93" s="549"/>
      <c r="E93" s="640">
        <f>E63+E65+E64</f>
        <v>1133762.25</v>
      </c>
      <c r="F93" s="549"/>
      <c r="G93" s="549"/>
      <c r="H93" s="549"/>
      <c r="I93" s="339"/>
    </row>
    <row r="94" spans="1:9" x14ac:dyDescent="0.25">
      <c r="A94" s="308" t="s">
        <v>77</v>
      </c>
      <c r="C94" s="549"/>
      <c r="D94" s="549"/>
      <c r="E94" s="640">
        <f>E66+E68+E67</f>
        <v>490037.42</v>
      </c>
      <c r="F94" s="549"/>
      <c r="G94" s="549"/>
      <c r="H94" s="549"/>
      <c r="I94" s="339"/>
    </row>
    <row r="95" spans="1:9" x14ac:dyDescent="0.25">
      <c r="A95" s="308" t="s">
        <v>78</v>
      </c>
      <c r="C95" s="549"/>
      <c r="D95" s="549"/>
      <c r="E95" s="640">
        <f>E69+E70+E71</f>
        <v>186706.89</v>
      </c>
      <c r="F95" s="549"/>
      <c r="G95" s="549"/>
      <c r="H95" s="549"/>
      <c r="I95" s="339"/>
    </row>
    <row r="96" spans="1:9" x14ac:dyDescent="0.25">
      <c r="A96" s="308" t="s">
        <v>76</v>
      </c>
      <c r="C96" s="549"/>
      <c r="D96" s="549"/>
      <c r="E96" s="640">
        <f>E72</f>
        <v>174395.3</v>
      </c>
      <c r="F96" s="549"/>
      <c r="G96" s="549"/>
      <c r="H96" s="549"/>
      <c r="I96" s="339"/>
    </row>
    <row r="97" spans="1:9" x14ac:dyDescent="0.25">
      <c r="A97" s="308" t="s">
        <v>79</v>
      </c>
      <c r="C97" s="549"/>
      <c r="D97" s="549"/>
      <c r="E97" s="640">
        <f>E73</f>
        <v>63923.6</v>
      </c>
      <c r="F97" s="549"/>
      <c r="G97" s="549"/>
      <c r="H97" s="549"/>
      <c r="I97" s="339"/>
    </row>
    <row r="98" spans="1:9" x14ac:dyDescent="0.25">
      <c r="A98" s="308" t="s">
        <v>75</v>
      </c>
      <c r="C98" s="549"/>
      <c r="D98" s="549"/>
      <c r="E98" s="640">
        <f>E74+E75</f>
        <v>421889.64</v>
      </c>
      <c r="F98" s="549"/>
      <c r="G98" s="549"/>
      <c r="H98" s="549"/>
      <c r="I98" s="339"/>
    </row>
    <row r="99" spans="1:9" x14ac:dyDescent="0.25">
      <c r="A99" s="639" t="str">
        <f>A76</f>
        <v>№F-20231127-1</v>
      </c>
      <c r="C99" s="549"/>
      <c r="D99" s="549"/>
      <c r="E99" s="640">
        <f>E76+E77+E78+E79</f>
        <v>6485936.6499999994</v>
      </c>
      <c r="F99" s="549"/>
      <c r="G99" s="549"/>
      <c r="H99" s="549"/>
      <c r="I99" s="339"/>
    </row>
    <row r="100" spans="1:9" x14ac:dyDescent="0.25">
      <c r="A100" s="308" t="s">
        <v>53</v>
      </c>
      <c r="C100" s="549"/>
      <c r="D100" s="549"/>
      <c r="E100" s="640">
        <f>E80+E81</f>
        <v>578565.1</v>
      </c>
      <c r="F100" s="549"/>
      <c r="G100" s="549"/>
      <c r="H100" s="549"/>
      <c r="I100" s="339"/>
    </row>
    <row r="101" spans="1:9" x14ac:dyDescent="0.25">
      <c r="A101" s="308" t="s">
        <v>69</v>
      </c>
      <c r="C101" s="549"/>
      <c r="D101" s="549"/>
      <c r="E101" s="640">
        <f>E82+E83</f>
        <v>115553.64</v>
      </c>
      <c r="F101" s="549"/>
      <c r="G101" s="549"/>
      <c r="H101" s="549"/>
      <c r="I101" s="339"/>
    </row>
    <row r="102" spans="1:9" x14ac:dyDescent="0.25">
      <c r="C102" s="549"/>
      <c r="D102" s="549"/>
      <c r="E102" s="549"/>
      <c r="F102" s="549"/>
      <c r="G102" s="549"/>
      <c r="H102" s="549"/>
      <c r="I102" s="339"/>
    </row>
    <row r="103" spans="1:9" x14ac:dyDescent="0.25">
      <c r="C103" s="549"/>
      <c r="D103" s="549"/>
      <c r="E103" s="549"/>
      <c r="F103" s="549"/>
      <c r="G103" s="549"/>
      <c r="H103" s="549"/>
      <c r="I103" s="339"/>
    </row>
    <row r="104" spans="1:9" x14ac:dyDescent="0.25">
      <c r="C104" s="549"/>
      <c r="D104" s="549"/>
      <c r="E104" s="549"/>
      <c r="F104" s="549"/>
      <c r="G104" s="549"/>
      <c r="H104" s="549"/>
      <c r="I104" s="339"/>
    </row>
    <row r="105" spans="1:9" x14ac:dyDescent="0.25">
      <c r="C105" s="549"/>
      <c r="D105" s="549"/>
      <c r="E105" s="549"/>
      <c r="F105" s="549"/>
      <c r="G105" s="549"/>
      <c r="H105" s="549"/>
      <c r="I105" s="339"/>
    </row>
    <row r="106" spans="1:9" x14ac:dyDescent="0.25">
      <c r="C106" s="549"/>
      <c r="D106" s="549"/>
      <c r="E106" s="549"/>
      <c r="F106" s="549"/>
      <c r="G106" s="549"/>
      <c r="H106" s="549"/>
      <c r="I106" s="339"/>
    </row>
  </sheetData>
  <autoFilter ref="A4:AF84"/>
  <mergeCells count="46">
    <mergeCell ref="A82:A83"/>
    <mergeCell ref="B82:B83"/>
    <mergeCell ref="C82:C83"/>
    <mergeCell ref="A87:A88"/>
    <mergeCell ref="A76:A79"/>
    <mergeCell ref="B76:B79"/>
    <mergeCell ref="C76:C79"/>
    <mergeCell ref="A80:A81"/>
    <mergeCell ref="B80:B81"/>
    <mergeCell ref="C80:C81"/>
    <mergeCell ref="A69:A71"/>
    <mergeCell ref="B69:B71"/>
    <mergeCell ref="C69:C71"/>
    <mergeCell ref="A74:A75"/>
    <mergeCell ref="B74:B75"/>
    <mergeCell ref="C74:C75"/>
    <mergeCell ref="A63:A65"/>
    <mergeCell ref="B63:B65"/>
    <mergeCell ref="C63:C65"/>
    <mergeCell ref="A66:A68"/>
    <mergeCell ref="B66:B68"/>
    <mergeCell ref="C66:C68"/>
    <mergeCell ref="A49:A57"/>
    <mergeCell ref="B49:B57"/>
    <mergeCell ref="C49:C57"/>
    <mergeCell ref="A61:A62"/>
    <mergeCell ref="B61:B62"/>
    <mergeCell ref="C61:C62"/>
    <mergeCell ref="A16:A37"/>
    <mergeCell ref="B16:B37"/>
    <mergeCell ref="C16:C37"/>
    <mergeCell ref="A38:A40"/>
    <mergeCell ref="B38:B40"/>
    <mergeCell ref="C38:C40"/>
    <mergeCell ref="A5:A10"/>
    <mergeCell ref="B5:B10"/>
    <mergeCell ref="C5:C10"/>
    <mergeCell ref="A11:A12"/>
    <mergeCell ref="B11:B12"/>
    <mergeCell ref="C11:C12"/>
    <mergeCell ref="A1:I2"/>
    <mergeCell ref="A3:A4"/>
    <mergeCell ref="B3:B4"/>
    <mergeCell ref="C3:C4"/>
    <mergeCell ref="D3:G3"/>
    <mergeCell ref="I3:I4"/>
  </mergeCells>
  <pageMargins left="3.937007874015748E-2" right="0.23622047244094491" top="0.74803149606299213" bottom="0.74803149606299213" header="0.31496062992125984" footer="0.31496062992125984"/>
  <pageSetup paperSize="9" scale="81" fitToHeight="0" orientation="landscape" verticalDpi="300" r:id="rId1"/>
  <rowBreaks count="2" manualBreakCount="2">
    <brk id="35" max="8" man="1"/>
    <brk id="76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M118"/>
  <sheetViews>
    <sheetView tabSelected="1" showWhiteSpace="0" zoomScale="82" zoomScaleNormal="82" zoomScaleSheetLayoutView="70" workbookViewId="0">
      <pane xSplit="2" ySplit="4" topLeftCell="C73" activePane="bottomRight" state="frozen"/>
      <selection pane="topRight" activeCell="C1" sqref="C1"/>
      <selection pane="bottomLeft" activeCell="A6" sqref="A6"/>
      <selection pane="bottomRight" activeCell="D91" activeCellId="3" sqref="D16:G54 D65:G65 D73:G74 D91:G91"/>
    </sheetView>
  </sheetViews>
  <sheetFormatPr defaultColWidth="9.109375" defaultRowHeight="12" x14ac:dyDescent="0.25"/>
  <cols>
    <col min="1" max="1" width="9" style="308" customWidth="1"/>
    <col min="2" max="2" width="33.77734375" style="540" customWidth="1"/>
    <col min="3" max="3" width="17.6640625" style="550" customWidth="1"/>
    <col min="4" max="4" width="7.21875" style="550" customWidth="1"/>
    <col min="5" max="5" width="21.109375" style="550" bestFit="1" customWidth="1"/>
    <col min="6" max="6" width="20.44140625" style="550" bestFit="1" customWidth="1"/>
    <col min="7" max="8" width="19.44140625" style="550" customWidth="1"/>
    <col min="9" max="9" width="30.77734375" style="342" customWidth="1"/>
    <col min="10" max="10" width="17.6640625" style="308" customWidth="1"/>
    <col min="11" max="11" width="21.33203125" style="308" customWidth="1"/>
    <col min="12" max="16384" width="9.109375" style="308"/>
  </cols>
  <sheetData>
    <row r="1" spans="1:9" ht="16.95" customHeight="1" x14ac:dyDescent="0.25">
      <c r="A1" s="757" t="s">
        <v>207</v>
      </c>
      <c r="B1" s="757"/>
      <c r="C1" s="757"/>
      <c r="D1" s="757"/>
      <c r="E1" s="757"/>
      <c r="F1" s="757"/>
      <c r="G1" s="757"/>
      <c r="H1" s="757"/>
      <c r="I1" s="757"/>
    </row>
    <row r="2" spans="1:9" ht="57" customHeight="1" x14ac:dyDescent="0.25">
      <c r="A2" s="758"/>
      <c r="B2" s="758"/>
      <c r="C2" s="758"/>
      <c r="D2" s="758"/>
      <c r="E2" s="758"/>
      <c r="F2" s="758"/>
      <c r="G2" s="758"/>
      <c r="H2" s="758"/>
      <c r="I2" s="758"/>
    </row>
    <row r="3" spans="1:9" ht="24" customHeight="1" x14ac:dyDescent="0.25">
      <c r="A3" s="759" t="s">
        <v>124</v>
      </c>
      <c r="B3" s="761" t="s">
        <v>185</v>
      </c>
      <c r="C3" s="763" t="s">
        <v>188</v>
      </c>
      <c r="D3" s="765" t="s">
        <v>189</v>
      </c>
      <c r="E3" s="766"/>
      <c r="F3" s="766"/>
      <c r="G3" s="766"/>
      <c r="H3" s="610"/>
      <c r="I3" s="759" t="s">
        <v>211</v>
      </c>
    </row>
    <row r="4" spans="1:9" ht="73.8" customHeight="1" x14ac:dyDescent="0.25">
      <c r="A4" s="760"/>
      <c r="B4" s="762"/>
      <c r="C4" s="764"/>
      <c r="D4" s="538" t="s">
        <v>126</v>
      </c>
      <c r="E4" s="538" t="s">
        <v>190</v>
      </c>
      <c r="F4" s="538" t="s">
        <v>187</v>
      </c>
      <c r="G4" s="538" t="s">
        <v>186</v>
      </c>
      <c r="H4" s="538">
        <v>0.05</v>
      </c>
      <c r="I4" s="760"/>
    </row>
    <row r="5" spans="1:9" ht="15.6" hidden="1" x14ac:dyDescent="0.25">
      <c r="A5" s="767" t="s">
        <v>53</v>
      </c>
      <c r="B5" s="770" t="s">
        <v>191</v>
      </c>
      <c r="C5" s="773">
        <v>20014627.07</v>
      </c>
      <c r="D5" s="553">
        <v>1</v>
      </c>
      <c r="E5" s="615">
        <v>1104052.82</v>
      </c>
      <c r="F5" s="555"/>
      <c r="G5" s="554">
        <f>E5-F5</f>
        <v>1104052.82</v>
      </c>
      <c r="H5" s="601">
        <f>G5*$H$4</f>
        <v>55202.641000000003</v>
      </c>
      <c r="I5" s="556"/>
    </row>
    <row r="6" spans="1:9" ht="15.6" hidden="1" x14ac:dyDescent="0.25">
      <c r="A6" s="768"/>
      <c r="B6" s="771"/>
      <c r="C6" s="774"/>
      <c r="D6" s="557">
        <v>3</v>
      </c>
      <c r="E6" s="616">
        <v>2033549.68</v>
      </c>
      <c r="F6" s="559"/>
      <c r="G6" s="558">
        <f t="shared" ref="G6:G95" si="0">E6-F6</f>
        <v>2033549.68</v>
      </c>
      <c r="H6" s="558">
        <f t="shared" ref="H6:H83" si="1">G6*$H$4</f>
        <v>101677.484</v>
      </c>
      <c r="I6" s="560"/>
    </row>
    <row r="7" spans="1:9" ht="15.6" hidden="1" x14ac:dyDescent="0.25">
      <c r="A7" s="768"/>
      <c r="B7" s="771"/>
      <c r="C7" s="774"/>
      <c r="D7" s="557">
        <v>6</v>
      </c>
      <c r="E7" s="616">
        <v>1313878.48</v>
      </c>
      <c r="F7" s="559"/>
      <c r="G7" s="558">
        <f t="shared" si="0"/>
        <v>1313878.48</v>
      </c>
      <c r="H7" s="558">
        <f t="shared" si="1"/>
        <v>65693.923999999999</v>
      </c>
      <c r="I7" s="560"/>
    </row>
    <row r="8" spans="1:9" ht="15.6" hidden="1" x14ac:dyDescent="0.25">
      <c r="A8" s="768"/>
      <c r="B8" s="771"/>
      <c r="C8" s="774"/>
      <c r="D8" s="557">
        <v>8</v>
      </c>
      <c r="E8" s="616">
        <v>199967</v>
      </c>
      <c r="F8" s="559"/>
      <c r="G8" s="558">
        <f t="shared" si="0"/>
        <v>199967</v>
      </c>
      <c r="H8" s="558">
        <f t="shared" si="1"/>
        <v>9998.35</v>
      </c>
      <c r="I8" s="560"/>
    </row>
    <row r="9" spans="1:9" ht="15.6" hidden="1" x14ac:dyDescent="0.25">
      <c r="A9" s="768"/>
      <c r="B9" s="771"/>
      <c r="C9" s="774"/>
      <c r="D9" s="557">
        <v>11</v>
      </c>
      <c r="E9" s="616">
        <v>1611409.02</v>
      </c>
      <c r="F9" s="559"/>
      <c r="G9" s="561">
        <f t="shared" si="0"/>
        <v>1611409.02</v>
      </c>
      <c r="H9" s="558">
        <f t="shared" si="1"/>
        <v>80570.451000000001</v>
      </c>
      <c r="I9" s="562"/>
    </row>
    <row r="10" spans="1:9" ht="16.2" hidden="1" thickBot="1" x14ac:dyDescent="0.3">
      <c r="A10" s="769"/>
      <c r="B10" s="772"/>
      <c r="C10" s="775"/>
      <c r="D10" s="563">
        <v>25</v>
      </c>
      <c r="E10" s="617">
        <v>813895.61</v>
      </c>
      <c r="F10" s="565"/>
      <c r="G10" s="566">
        <f t="shared" si="0"/>
        <v>813895.61</v>
      </c>
      <c r="H10" s="561">
        <f t="shared" si="1"/>
        <v>40694.780500000001</v>
      </c>
      <c r="I10" s="567"/>
    </row>
    <row r="11" spans="1:9" ht="15.6" hidden="1" x14ac:dyDescent="0.25">
      <c r="A11" s="776" t="s">
        <v>80</v>
      </c>
      <c r="B11" s="778" t="s">
        <v>191</v>
      </c>
      <c r="C11" s="780">
        <v>20014627.07</v>
      </c>
      <c r="D11" s="533">
        <v>1</v>
      </c>
      <c r="E11" s="618">
        <v>347360.34</v>
      </c>
      <c r="F11" s="545"/>
      <c r="G11" s="543">
        <f t="shared" si="0"/>
        <v>347360.34</v>
      </c>
      <c r="H11" s="554">
        <f t="shared" si="1"/>
        <v>17368.017000000003</v>
      </c>
      <c r="I11" s="541"/>
    </row>
    <row r="12" spans="1:9" ht="15.6" hidden="1" x14ac:dyDescent="0.25">
      <c r="A12" s="777"/>
      <c r="B12" s="779"/>
      <c r="C12" s="781"/>
      <c r="D12" s="536">
        <v>6</v>
      </c>
      <c r="E12" s="619">
        <v>417492.3</v>
      </c>
      <c r="F12" s="622">
        <v>286103.05200000003</v>
      </c>
      <c r="G12" s="613">
        <f t="shared" si="0"/>
        <v>131389.24799999996</v>
      </c>
      <c r="H12" s="561">
        <f t="shared" si="1"/>
        <v>6569.4623999999985</v>
      </c>
      <c r="I12" s="599"/>
    </row>
    <row r="13" spans="1:9" ht="15.6" hidden="1" x14ac:dyDescent="0.25">
      <c r="A13" s="637"/>
      <c r="B13" s="635"/>
      <c r="C13" s="636"/>
      <c r="D13" s="687">
        <v>11</v>
      </c>
      <c r="E13" s="688">
        <v>822049.38</v>
      </c>
      <c r="F13" s="689"/>
      <c r="G13" s="690">
        <f t="shared" si="0"/>
        <v>822049.38</v>
      </c>
      <c r="H13" s="690">
        <f t="shared" si="1"/>
        <v>41102.469000000005</v>
      </c>
      <c r="I13" s="691"/>
    </row>
    <row r="14" spans="1:9" ht="15.6" hidden="1" x14ac:dyDescent="0.25">
      <c r="A14" s="637"/>
      <c r="B14" s="635"/>
      <c r="C14" s="636"/>
      <c r="D14" s="536">
        <v>12</v>
      </c>
      <c r="E14" s="661">
        <v>684914.94</v>
      </c>
      <c r="F14" s="642"/>
      <c r="G14" s="613">
        <f t="shared" si="0"/>
        <v>684914.94</v>
      </c>
      <c r="H14" s="561">
        <f t="shared" si="1"/>
        <v>34245.746999999996</v>
      </c>
      <c r="I14" s="644">
        <v>361156.39</v>
      </c>
    </row>
    <row r="15" spans="1:9" ht="15.6" hidden="1" x14ac:dyDescent="0.25">
      <c r="A15" s="637"/>
      <c r="B15" s="635"/>
      <c r="C15" s="636"/>
      <c r="D15" s="536">
        <v>16</v>
      </c>
      <c r="E15" s="661">
        <v>218313.38</v>
      </c>
      <c r="F15" s="642">
        <v>110221.33</v>
      </c>
      <c r="G15" s="613">
        <f t="shared" ref="G15" si="2">E15-F15</f>
        <v>108092.05</v>
      </c>
      <c r="H15" s="561">
        <f t="shared" ref="H15" si="3">G15*$H$4</f>
        <v>5404.6025000000009</v>
      </c>
      <c r="I15" s="644">
        <v>93847.44</v>
      </c>
    </row>
    <row r="16" spans="1:9" ht="62.4" x14ac:dyDescent="0.25">
      <c r="A16" s="637"/>
      <c r="B16" s="635"/>
      <c r="C16" s="636"/>
      <c r="D16" s="899">
        <v>8</v>
      </c>
      <c r="E16" s="905">
        <v>147281.76</v>
      </c>
      <c r="F16" s="664"/>
      <c r="G16" s="650">
        <f t="shared" ref="G16:G20" si="4">E16-F16</f>
        <v>147281.76</v>
      </c>
      <c r="H16" s="609">
        <f t="shared" ref="H16:H20" si="5">G16*$H$4</f>
        <v>7364.0880000000006</v>
      </c>
      <c r="I16" s="674" t="s">
        <v>218</v>
      </c>
    </row>
    <row r="17" spans="1:11" ht="31.2" x14ac:dyDescent="0.25">
      <c r="A17" s="637"/>
      <c r="B17" s="635"/>
      <c r="C17" s="636"/>
      <c r="D17" s="899">
        <v>19</v>
      </c>
      <c r="E17" s="905">
        <v>263678.28000000003</v>
      </c>
      <c r="F17" s="664"/>
      <c r="G17" s="650">
        <f t="shared" ref="G17" si="6">E17-F17</f>
        <v>263678.28000000003</v>
      </c>
      <c r="H17" s="609">
        <f t="shared" ref="H17" si="7">G17*$H$4</f>
        <v>13183.914000000002</v>
      </c>
      <c r="I17" s="673" t="s">
        <v>216</v>
      </c>
      <c r="K17" s="685">
        <f>E17+E18+E19+E20+E73+E74</f>
        <v>2522316.6700000004</v>
      </c>
    </row>
    <row r="18" spans="1:11" ht="31.2" x14ac:dyDescent="0.25">
      <c r="A18" s="637"/>
      <c r="B18" s="635"/>
      <c r="C18" s="636"/>
      <c r="D18" s="906">
        <v>20</v>
      </c>
      <c r="E18" s="907">
        <v>189159.72</v>
      </c>
      <c r="F18" s="678"/>
      <c r="G18" s="679">
        <f t="shared" si="4"/>
        <v>189159.72</v>
      </c>
      <c r="H18" s="679">
        <f t="shared" si="5"/>
        <v>9457.9860000000008</v>
      </c>
      <c r="I18" s="673" t="s">
        <v>219</v>
      </c>
      <c r="K18" s="684">
        <f>SUM(E17:E20)</f>
        <v>1590282.4500000002</v>
      </c>
    </row>
    <row r="19" spans="1:11" ht="31.2" x14ac:dyDescent="0.25">
      <c r="A19" s="637"/>
      <c r="B19" s="635"/>
      <c r="C19" s="636"/>
      <c r="D19" s="906">
        <v>21</v>
      </c>
      <c r="E19" s="907">
        <v>570551.65</v>
      </c>
      <c r="F19" s="678"/>
      <c r="G19" s="679">
        <f t="shared" si="4"/>
        <v>570551.65</v>
      </c>
      <c r="H19" s="679">
        <f t="shared" si="5"/>
        <v>28527.582500000004</v>
      </c>
      <c r="I19" s="673" t="s">
        <v>219</v>
      </c>
      <c r="K19" s="686">
        <f>E73+E74</f>
        <v>932034.22</v>
      </c>
    </row>
    <row r="20" spans="1:11" ht="31.2" x14ac:dyDescent="0.25">
      <c r="A20" s="637"/>
      <c r="B20" s="635"/>
      <c r="C20" s="636"/>
      <c r="D20" s="906">
        <v>22</v>
      </c>
      <c r="E20" s="907">
        <v>566892.80000000005</v>
      </c>
      <c r="F20" s="678"/>
      <c r="G20" s="679">
        <f t="shared" si="4"/>
        <v>566892.80000000005</v>
      </c>
      <c r="H20" s="679">
        <f t="shared" si="5"/>
        <v>28344.640000000003</v>
      </c>
      <c r="I20" s="673" t="s">
        <v>219</v>
      </c>
    </row>
    <row r="21" spans="1:11" ht="15.6" hidden="1" x14ac:dyDescent="0.25">
      <c r="A21" s="767" t="s">
        <v>53</v>
      </c>
      <c r="B21" s="770" t="s">
        <v>192</v>
      </c>
      <c r="C21" s="773">
        <v>162902614.16</v>
      </c>
      <c r="D21" s="553">
        <v>2</v>
      </c>
      <c r="E21" s="615">
        <v>1727848.62</v>
      </c>
      <c r="F21" s="615">
        <v>1136749.97</v>
      </c>
      <c r="G21" s="554">
        <f t="shared" si="0"/>
        <v>591098.65000000014</v>
      </c>
      <c r="H21" s="554">
        <f t="shared" si="1"/>
        <v>29554.93250000001</v>
      </c>
      <c r="I21" s="556"/>
    </row>
    <row r="22" spans="1:11" ht="15.6" hidden="1" x14ac:dyDescent="0.25">
      <c r="A22" s="768"/>
      <c r="B22" s="771"/>
      <c r="C22" s="774"/>
      <c r="D22" s="568">
        <v>4</v>
      </c>
      <c r="E22" s="616">
        <v>1624658.88</v>
      </c>
      <c r="F22" s="616">
        <v>1070029.25</v>
      </c>
      <c r="G22" s="569">
        <f t="shared" si="0"/>
        <v>554629.62999999989</v>
      </c>
      <c r="H22" s="558">
        <f t="shared" si="1"/>
        <v>27731.481499999994</v>
      </c>
      <c r="I22" s="560"/>
    </row>
    <row r="23" spans="1:11" ht="15.6" hidden="1" x14ac:dyDescent="0.25">
      <c r="A23" s="768"/>
      <c r="B23" s="771"/>
      <c r="C23" s="774"/>
      <c r="D23" s="568">
        <v>5</v>
      </c>
      <c r="E23" s="616">
        <v>3749612.99</v>
      </c>
      <c r="F23" s="616">
        <v>2385655.9700000002</v>
      </c>
      <c r="G23" s="569">
        <f t="shared" si="0"/>
        <v>1363957.02</v>
      </c>
      <c r="H23" s="558">
        <f t="shared" si="1"/>
        <v>68197.85100000001</v>
      </c>
      <c r="I23" s="560"/>
    </row>
    <row r="24" spans="1:11" ht="15.6" hidden="1" x14ac:dyDescent="0.25">
      <c r="A24" s="768"/>
      <c r="B24" s="771"/>
      <c r="C24" s="774"/>
      <c r="D24" s="557">
        <v>7</v>
      </c>
      <c r="E24" s="616">
        <v>2005376.27</v>
      </c>
      <c r="F24" s="616">
        <v>1250791.49</v>
      </c>
      <c r="G24" s="569">
        <f t="shared" si="0"/>
        <v>754584.78</v>
      </c>
      <c r="H24" s="558">
        <f t="shared" si="1"/>
        <v>37729.239000000001</v>
      </c>
      <c r="I24" s="560"/>
    </row>
    <row r="25" spans="1:11" ht="15.6" hidden="1" x14ac:dyDescent="0.25">
      <c r="A25" s="768"/>
      <c r="B25" s="771"/>
      <c r="C25" s="774"/>
      <c r="D25" s="557">
        <v>9</v>
      </c>
      <c r="E25" s="616">
        <v>69765.179999999993</v>
      </c>
      <c r="F25" s="616">
        <v>23460.58</v>
      </c>
      <c r="G25" s="569">
        <f t="shared" si="0"/>
        <v>46304.599999999991</v>
      </c>
      <c r="H25" s="558">
        <f t="shared" si="1"/>
        <v>2315.2299999999996</v>
      </c>
      <c r="I25" s="560"/>
    </row>
    <row r="26" spans="1:11" ht="15.6" hidden="1" x14ac:dyDescent="0.25">
      <c r="A26" s="768"/>
      <c r="B26" s="771"/>
      <c r="C26" s="774"/>
      <c r="D26" s="557">
        <v>10</v>
      </c>
      <c r="E26" s="616">
        <v>2279032.85</v>
      </c>
      <c r="F26" s="616">
        <v>1496361.84</v>
      </c>
      <c r="G26" s="569">
        <f t="shared" si="0"/>
        <v>782671.01</v>
      </c>
      <c r="H26" s="558">
        <f t="shared" si="1"/>
        <v>39133.550500000005</v>
      </c>
      <c r="I26" s="560"/>
    </row>
    <row r="27" spans="1:11" ht="15.6" hidden="1" x14ac:dyDescent="0.25">
      <c r="A27" s="768"/>
      <c r="B27" s="771"/>
      <c r="C27" s="774"/>
      <c r="D27" s="557">
        <v>12</v>
      </c>
      <c r="E27" s="616">
        <v>1660579.03</v>
      </c>
      <c r="F27" s="616">
        <v>1247326.5</v>
      </c>
      <c r="G27" s="569">
        <f t="shared" si="0"/>
        <v>413252.53</v>
      </c>
      <c r="H27" s="558">
        <f t="shared" si="1"/>
        <v>20662.626500000002</v>
      </c>
      <c r="I27" s="560"/>
    </row>
    <row r="28" spans="1:11" ht="15.6" hidden="1" x14ac:dyDescent="0.25">
      <c r="A28" s="768"/>
      <c r="B28" s="771"/>
      <c r="C28" s="774"/>
      <c r="D28" s="557">
        <v>13</v>
      </c>
      <c r="E28" s="616">
        <v>2493224.0499999998</v>
      </c>
      <c r="F28" s="616">
        <v>1822416.35</v>
      </c>
      <c r="G28" s="569">
        <f t="shared" si="0"/>
        <v>670807.69999999972</v>
      </c>
      <c r="H28" s="558">
        <f t="shared" si="1"/>
        <v>33540.384999999987</v>
      </c>
      <c r="I28" s="560"/>
    </row>
    <row r="29" spans="1:11" ht="15.6" hidden="1" x14ac:dyDescent="0.25">
      <c r="A29" s="768"/>
      <c r="B29" s="771"/>
      <c r="C29" s="774"/>
      <c r="D29" s="557">
        <v>14</v>
      </c>
      <c r="E29" s="616">
        <v>3270399.41</v>
      </c>
      <c r="F29" s="616">
        <v>1938746.54</v>
      </c>
      <c r="G29" s="569">
        <f t="shared" si="0"/>
        <v>1331652.8700000001</v>
      </c>
      <c r="H29" s="558">
        <f t="shared" si="1"/>
        <v>66582.643500000006</v>
      </c>
      <c r="I29" s="560"/>
    </row>
    <row r="30" spans="1:11" ht="15.6" hidden="1" x14ac:dyDescent="0.25">
      <c r="A30" s="768"/>
      <c r="B30" s="771"/>
      <c r="C30" s="774"/>
      <c r="D30" s="557">
        <v>15</v>
      </c>
      <c r="E30" s="616">
        <v>118627.25</v>
      </c>
      <c r="F30" s="616">
        <v>64327.07</v>
      </c>
      <c r="G30" s="569">
        <f t="shared" si="0"/>
        <v>54300.18</v>
      </c>
      <c r="H30" s="558">
        <f t="shared" si="1"/>
        <v>2715.009</v>
      </c>
      <c r="I30" s="560"/>
    </row>
    <row r="31" spans="1:11" ht="36.6" hidden="1" customHeight="1" x14ac:dyDescent="0.25">
      <c r="A31" s="768"/>
      <c r="B31" s="771"/>
      <c r="C31" s="774"/>
      <c r="D31" s="570">
        <v>16</v>
      </c>
      <c r="E31" s="616">
        <v>140758.31</v>
      </c>
      <c r="F31" s="616">
        <v>65382.58</v>
      </c>
      <c r="G31" s="569">
        <f t="shared" si="0"/>
        <v>75375.73</v>
      </c>
      <c r="H31" s="558">
        <f t="shared" si="1"/>
        <v>3768.7865000000002</v>
      </c>
      <c r="I31" s="560"/>
    </row>
    <row r="32" spans="1:11" ht="15.6" hidden="1" x14ac:dyDescent="0.25">
      <c r="A32" s="768"/>
      <c r="B32" s="771"/>
      <c r="C32" s="774"/>
      <c r="D32" s="570">
        <v>17</v>
      </c>
      <c r="E32" s="616">
        <v>1287044.8600000001</v>
      </c>
      <c r="F32" s="616">
        <v>657865.79</v>
      </c>
      <c r="G32" s="569">
        <f t="shared" si="0"/>
        <v>629179.07000000007</v>
      </c>
      <c r="H32" s="558">
        <f t="shared" si="1"/>
        <v>31458.953500000003</v>
      </c>
      <c r="I32" s="560"/>
    </row>
    <row r="33" spans="1:9" ht="15.6" hidden="1" x14ac:dyDescent="0.25">
      <c r="A33" s="768"/>
      <c r="B33" s="771"/>
      <c r="C33" s="774"/>
      <c r="D33" s="570">
        <v>18</v>
      </c>
      <c r="E33" s="616">
        <v>609343.34</v>
      </c>
      <c r="F33" s="616">
        <v>411655.51</v>
      </c>
      <c r="G33" s="569">
        <f t="shared" si="0"/>
        <v>197687.82999999996</v>
      </c>
      <c r="H33" s="558">
        <f t="shared" si="1"/>
        <v>9884.3914999999979</v>
      </c>
      <c r="I33" s="560"/>
    </row>
    <row r="34" spans="1:9" ht="15.6" hidden="1" x14ac:dyDescent="0.25">
      <c r="A34" s="768"/>
      <c r="B34" s="771"/>
      <c r="C34" s="774"/>
      <c r="D34" s="570">
        <v>19</v>
      </c>
      <c r="E34" s="616">
        <v>753745</v>
      </c>
      <c r="F34" s="616">
        <v>494320.5</v>
      </c>
      <c r="G34" s="569">
        <f t="shared" si="0"/>
        <v>259424.5</v>
      </c>
      <c r="H34" s="558">
        <f t="shared" si="1"/>
        <v>12971.225</v>
      </c>
      <c r="I34" s="560"/>
    </row>
    <row r="35" spans="1:9" ht="15.6" hidden="1" x14ac:dyDescent="0.25">
      <c r="A35" s="768"/>
      <c r="B35" s="771"/>
      <c r="C35" s="774"/>
      <c r="D35" s="557">
        <v>20</v>
      </c>
      <c r="E35" s="616">
        <v>16538270.630000001</v>
      </c>
      <c r="F35" s="616">
        <v>11186556.91</v>
      </c>
      <c r="G35" s="569">
        <f t="shared" si="0"/>
        <v>5351713.7200000007</v>
      </c>
      <c r="H35" s="558">
        <f t="shared" si="1"/>
        <v>267585.68600000005</v>
      </c>
      <c r="I35" s="560"/>
    </row>
    <row r="36" spans="1:9" ht="15.6" hidden="1" x14ac:dyDescent="0.25">
      <c r="A36" s="768"/>
      <c r="B36" s="771"/>
      <c r="C36" s="774"/>
      <c r="D36" s="571">
        <v>21</v>
      </c>
      <c r="E36" s="620">
        <v>4337508.26</v>
      </c>
      <c r="F36" s="620">
        <v>2567795.46</v>
      </c>
      <c r="G36" s="569">
        <f t="shared" si="0"/>
        <v>1769712.7999999998</v>
      </c>
      <c r="H36" s="558">
        <f>G36*$H$4</f>
        <v>88485.64</v>
      </c>
      <c r="I36" s="560">
        <v>173938.36</v>
      </c>
    </row>
    <row r="37" spans="1:9" ht="15.6" hidden="1" x14ac:dyDescent="0.25">
      <c r="A37" s="768"/>
      <c r="B37" s="771"/>
      <c r="C37" s="774"/>
      <c r="D37" s="571">
        <v>22</v>
      </c>
      <c r="E37" s="620">
        <v>385970.59</v>
      </c>
      <c r="F37" s="620">
        <v>246206.07999999999</v>
      </c>
      <c r="G37" s="569">
        <f t="shared" si="0"/>
        <v>139764.51000000004</v>
      </c>
      <c r="H37" s="558">
        <f t="shared" si="1"/>
        <v>6988.2255000000023</v>
      </c>
      <c r="I37" s="560"/>
    </row>
    <row r="38" spans="1:9" ht="15.6" hidden="1" x14ac:dyDescent="0.25">
      <c r="A38" s="768"/>
      <c r="B38" s="771"/>
      <c r="C38" s="774"/>
      <c r="D38" s="557">
        <v>23</v>
      </c>
      <c r="E38" s="616">
        <v>161785.29999999999</v>
      </c>
      <c r="F38" s="616">
        <v>114506.5</v>
      </c>
      <c r="G38" s="569">
        <f t="shared" si="0"/>
        <v>47278.799999999988</v>
      </c>
      <c r="H38" s="558">
        <f t="shared" si="1"/>
        <v>2363.9399999999996</v>
      </c>
      <c r="I38" s="560"/>
    </row>
    <row r="39" spans="1:9" ht="15.6" hidden="1" x14ac:dyDescent="0.25">
      <c r="A39" s="768"/>
      <c r="B39" s="771"/>
      <c r="C39" s="774"/>
      <c r="D39" s="571">
        <v>24</v>
      </c>
      <c r="E39" s="620">
        <v>934814.87</v>
      </c>
      <c r="F39" s="620">
        <v>659633.56999999995</v>
      </c>
      <c r="G39" s="569">
        <f t="shared" si="0"/>
        <v>275181.30000000005</v>
      </c>
      <c r="H39" s="558">
        <f t="shared" si="1"/>
        <v>13759.065000000002</v>
      </c>
      <c r="I39" s="560"/>
    </row>
    <row r="40" spans="1:9" ht="15.6" hidden="1" x14ac:dyDescent="0.25">
      <c r="A40" s="768"/>
      <c r="B40" s="771"/>
      <c r="C40" s="774"/>
      <c r="D40" s="557">
        <v>26</v>
      </c>
      <c r="E40" s="616">
        <v>3821318.12</v>
      </c>
      <c r="F40" s="616">
        <v>1993560.91</v>
      </c>
      <c r="G40" s="569">
        <f t="shared" si="0"/>
        <v>1827757.2100000002</v>
      </c>
      <c r="H40" s="558">
        <f t="shared" si="1"/>
        <v>91387.86050000001</v>
      </c>
      <c r="I40" s="560">
        <v>48097.85</v>
      </c>
    </row>
    <row r="41" spans="1:9" ht="15.6" hidden="1" x14ac:dyDescent="0.25">
      <c r="A41" s="768"/>
      <c r="B41" s="771"/>
      <c r="C41" s="774"/>
      <c r="D41" s="557">
        <v>27</v>
      </c>
      <c r="E41" s="616">
        <v>99444.07</v>
      </c>
      <c r="F41" s="616">
        <v>53924.74</v>
      </c>
      <c r="G41" s="569">
        <f t="shared" si="0"/>
        <v>45519.330000000009</v>
      </c>
      <c r="H41" s="558">
        <f t="shared" si="1"/>
        <v>2275.9665000000005</v>
      </c>
      <c r="I41" s="560"/>
    </row>
    <row r="42" spans="1:9" ht="16.2" hidden="1" thickBot="1" x14ac:dyDescent="0.3">
      <c r="A42" s="769"/>
      <c r="B42" s="772"/>
      <c r="C42" s="775"/>
      <c r="D42" s="563">
        <v>28</v>
      </c>
      <c r="E42" s="617">
        <v>3571179.26</v>
      </c>
      <c r="F42" s="617">
        <v>1894071.28</v>
      </c>
      <c r="G42" s="566">
        <f t="shared" si="0"/>
        <v>1677107.9799999997</v>
      </c>
      <c r="H42" s="561">
        <f t="shared" si="1"/>
        <v>83855.39899999999</v>
      </c>
      <c r="I42" s="567">
        <v>49656.25</v>
      </c>
    </row>
    <row r="43" spans="1:9" ht="15.6" hidden="1" x14ac:dyDescent="0.25">
      <c r="A43" s="776" t="s">
        <v>80</v>
      </c>
      <c r="B43" s="778" t="s">
        <v>192</v>
      </c>
      <c r="C43" s="780">
        <v>109088145.76000001</v>
      </c>
      <c r="D43" s="533">
        <v>2</v>
      </c>
      <c r="E43" s="618">
        <v>269317.93</v>
      </c>
      <c r="F43" s="618">
        <v>142532.85999999999</v>
      </c>
      <c r="G43" s="598">
        <f t="shared" si="0"/>
        <v>126785.07</v>
      </c>
      <c r="H43" s="554">
        <f t="shared" si="1"/>
        <v>6339.2535000000007</v>
      </c>
      <c r="I43" s="541">
        <v>9678</v>
      </c>
    </row>
    <row r="44" spans="1:9" ht="15.6" hidden="1" x14ac:dyDescent="0.25">
      <c r="A44" s="777"/>
      <c r="B44" s="779"/>
      <c r="C44" s="781"/>
      <c r="D44" s="534">
        <v>3</v>
      </c>
      <c r="E44" s="619">
        <v>169670.14</v>
      </c>
      <c r="F44" s="626">
        <v>77050.8</v>
      </c>
      <c r="G44" s="544">
        <f t="shared" si="0"/>
        <v>92619.340000000011</v>
      </c>
      <c r="H44" s="558">
        <f t="shared" si="1"/>
        <v>4630.9670000000006</v>
      </c>
      <c r="I44" s="599">
        <v>30756</v>
      </c>
    </row>
    <row r="45" spans="1:9" s="586" customFormat="1" ht="15.6" hidden="1" x14ac:dyDescent="0.25">
      <c r="A45" s="777"/>
      <c r="B45" s="779"/>
      <c r="C45" s="781"/>
      <c r="D45" s="534">
        <v>5</v>
      </c>
      <c r="E45" s="647">
        <v>1546476.01</v>
      </c>
      <c r="F45" s="619">
        <v>956213.03</v>
      </c>
      <c r="G45" s="613">
        <f>E45-F45</f>
        <v>590262.98</v>
      </c>
      <c r="H45" s="558">
        <f t="shared" si="1"/>
        <v>29513.149000000001</v>
      </c>
      <c r="I45" s="648"/>
    </row>
    <row r="46" spans="1:9" s="586" customFormat="1" ht="15.6" hidden="1" x14ac:dyDescent="0.25">
      <c r="A46" s="637"/>
      <c r="B46" s="635"/>
      <c r="C46" s="646"/>
      <c r="D46" s="641">
        <v>7</v>
      </c>
      <c r="E46" s="647">
        <v>120551.08</v>
      </c>
      <c r="F46" s="645">
        <v>65370.23</v>
      </c>
      <c r="G46" s="613">
        <f t="shared" ref="G46:G53" si="8">E46-F46</f>
        <v>55180.85</v>
      </c>
      <c r="H46" s="604">
        <f t="shared" si="1"/>
        <v>2759.0425</v>
      </c>
      <c r="I46" s="648"/>
    </row>
    <row r="47" spans="1:9" s="586" customFormat="1" ht="15.6" hidden="1" x14ac:dyDescent="0.25">
      <c r="A47" s="637"/>
      <c r="B47" s="635"/>
      <c r="C47" s="646"/>
      <c r="D47" s="534">
        <v>13</v>
      </c>
      <c r="E47" s="619">
        <v>41463.550000000003</v>
      </c>
      <c r="F47" s="619">
        <v>22482.959999999999</v>
      </c>
      <c r="G47" s="544">
        <f t="shared" si="8"/>
        <v>18980.590000000004</v>
      </c>
      <c r="H47" s="558">
        <f t="shared" si="1"/>
        <v>949.02950000000021</v>
      </c>
      <c r="I47" s="599"/>
    </row>
    <row r="48" spans="1:9" s="586" customFormat="1" ht="15.6" hidden="1" x14ac:dyDescent="0.25">
      <c r="A48" s="637"/>
      <c r="B48" s="635"/>
      <c r="C48" s="646"/>
      <c r="D48" s="534">
        <v>18</v>
      </c>
      <c r="E48" s="619">
        <v>62344.46</v>
      </c>
      <c r="F48" s="619">
        <v>33801.83</v>
      </c>
      <c r="G48" s="544">
        <f t="shared" si="8"/>
        <v>28542.629999999997</v>
      </c>
      <c r="H48" s="558">
        <f t="shared" si="1"/>
        <v>1427.1315</v>
      </c>
      <c r="I48" s="599"/>
    </row>
    <row r="49" spans="1:11" s="586" customFormat="1" ht="15.6" hidden="1" x14ac:dyDescent="0.25">
      <c r="A49" s="637"/>
      <c r="B49" s="635"/>
      <c r="C49" s="646"/>
      <c r="D49" s="534">
        <v>15</v>
      </c>
      <c r="E49" s="619">
        <v>101715.43</v>
      </c>
      <c r="F49" s="619">
        <v>68348.149999999994</v>
      </c>
      <c r="G49" s="544">
        <f t="shared" si="8"/>
        <v>33367.279999999999</v>
      </c>
      <c r="H49" s="558">
        <f t="shared" si="1"/>
        <v>1668.364</v>
      </c>
      <c r="I49" s="599">
        <v>27166.16</v>
      </c>
    </row>
    <row r="50" spans="1:11" s="586" customFormat="1" ht="15.6" hidden="1" x14ac:dyDescent="0.25">
      <c r="A50" s="637"/>
      <c r="B50" s="635"/>
      <c r="C50" s="646"/>
      <c r="D50" s="534">
        <v>17</v>
      </c>
      <c r="E50" s="619">
        <v>77659.3</v>
      </c>
      <c r="F50" s="619">
        <v>42094.5</v>
      </c>
      <c r="G50" s="544">
        <f t="shared" si="8"/>
        <v>35564.800000000003</v>
      </c>
      <c r="H50" s="558">
        <f t="shared" si="1"/>
        <v>1778.2400000000002</v>
      </c>
      <c r="I50" s="599"/>
    </row>
    <row r="51" spans="1:11" s="586" customFormat="1" ht="15.6" hidden="1" x14ac:dyDescent="0.25">
      <c r="A51" s="637"/>
      <c r="B51" s="635"/>
      <c r="C51" s="646"/>
      <c r="D51" s="536">
        <v>4</v>
      </c>
      <c r="E51" s="619">
        <v>5519057.6900000004</v>
      </c>
      <c r="F51" s="619">
        <v>3911446.37</v>
      </c>
      <c r="G51" s="544">
        <f t="shared" si="8"/>
        <v>1607611.3200000003</v>
      </c>
      <c r="H51" s="558">
        <f t="shared" si="1"/>
        <v>80380.566000000021</v>
      </c>
      <c r="I51" s="599"/>
    </row>
    <row r="52" spans="1:11" s="586" customFormat="1" ht="15.6" hidden="1" x14ac:dyDescent="0.25">
      <c r="A52" s="637"/>
      <c r="B52" s="635"/>
      <c r="C52" s="646"/>
      <c r="D52" s="534">
        <v>9</v>
      </c>
      <c r="E52" s="619">
        <v>1837963.4</v>
      </c>
      <c r="F52" s="619">
        <v>1103292.77</v>
      </c>
      <c r="G52" s="544">
        <f t="shared" si="8"/>
        <v>734670.62999999989</v>
      </c>
      <c r="H52" s="558">
        <f t="shared" si="1"/>
        <v>36733.531499999997</v>
      </c>
      <c r="I52" s="599">
        <v>569500.68000000005</v>
      </c>
    </row>
    <row r="53" spans="1:11" s="586" customFormat="1" ht="15.6" hidden="1" x14ac:dyDescent="0.25">
      <c r="A53" s="637"/>
      <c r="B53" s="635"/>
      <c r="C53" s="646"/>
      <c r="D53" s="534">
        <v>10</v>
      </c>
      <c r="E53" s="647">
        <v>922398.04</v>
      </c>
      <c r="F53" s="647">
        <v>595594.28</v>
      </c>
      <c r="G53" s="613">
        <f t="shared" si="8"/>
        <v>326803.76</v>
      </c>
      <c r="H53" s="561">
        <f t="shared" si="1"/>
        <v>16340.188000000002</v>
      </c>
      <c r="I53" s="648">
        <v>254895.8</v>
      </c>
    </row>
    <row r="54" spans="1:11" s="586" customFormat="1" ht="94.2" thickBot="1" x14ac:dyDescent="0.3">
      <c r="A54" s="637"/>
      <c r="B54" s="635"/>
      <c r="C54" s="646"/>
      <c r="D54" s="903">
        <v>14</v>
      </c>
      <c r="E54" s="904">
        <v>140030.92000000001</v>
      </c>
      <c r="F54" s="649">
        <v>78038.64</v>
      </c>
      <c r="G54" s="649">
        <f t="shared" ref="G54" si="9">E54-F54</f>
        <v>61992.280000000013</v>
      </c>
      <c r="H54" s="565">
        <f t="shared" ref="H54" si="10">G54*$H$4</f>
        <v>3099.6140000000009</v>
      </c>
      <c r="I54" s="676" t="s">
        <v>215</v>
      </c>
    </row>
    <row r="55" spans="1:11" ht="15.6" hidden="1" x14ac:dyDescent="0.25">
      <c r="A55" s="782" t="s">
        <v>69</v>
      </c>
      <c r="B55" s="770" t="s">
        <v>193</v>
      </c>
      <c r="C55" s="773">
        <v>1479619.45</v>
      </c>
      <c r="D55" s="600">
        <v>1</v>
      </c>
      <c r="E55" s="623">
        <v>522833.08</v>
      </c>
      <c r="F55" s="624">
        <v>5679.92</v>
      </c>
      <c r="G55" s="602">
        <f t="shared" si="0"/>
        <v>517153.16000000003</v>
      </c>
      <c r="H55" s="601">
        <f t="shared" si="1"/>
        <v>25857.658000000003</v>
      </c>
      <c r="I55" s="603"/>
    </row>
    <row r="56" spans="1:11" ht="15.6" hidden="1" x14ac:dyDescent="0.25">
      <c r="A56" s="783"/>
      <c r="B56" s="771"/>
      <c r="C56" s="774"/>
      <c r="D56" s="557">
        <v>2</v>
      </c>
      <c r="E56" s="616">
        <v>295471.78000000003</v>
      </c>
      <c r="F56" s="625">
        <v>2825.02</v>
      </c>
      <c r="G56" s="572">
        <f t="shared" si="0"/>
        <v>292646.76</v>
      </c>
      <c r="H56" s="558">
        <f t="shared" si="1"/>
        <v>14632.338000000002</v>
      </c>
      <c r="I56" s="560"/>
    </row>
    <row r="57" spans="1:11" ht="15.6" hidden="1" x14ac:dyDescent="0.25">
      <c r="A57" s="783"/>
      <c r="B57" s="771"/>
      <c r="C57" s="774"/>
      <c r="D57" s="557">
        <v>3</v>
      </c>
      <c r="E57" s="616">
        <v>246436.9</v>
      </c>
      <c r="F57" s="572"/>
      <c r="G57" s="572">
        <f t="shared" si="0"/>
        <v>246436.9</v>
      </c>
      <c r="H57" s="558">
        <f t="shared" si="1"/>
        <v>12321.845000000001</v>
      </c>
      <c r="I57" s="560"/>
    </row>
    <row r="58" spans="1:11" ht="15.6" hidden="1" x14ac:dyDescent="0.25">
      <c r="A58" s="783"/>
      <c r="B58" s="771"/>
      <c r="C58" s="774"/>
      <c r="D58" s="557">
        <v>4</v>
      </c>
      <c r="E58" s="616">
        <v>497995.15</v>
      </c>
      <c r="F58" s="625">
        <v>62358.89</v>
      </c>
      <c r="G58" s="572">
        <f t="shared" si="0"/>
        <v>435636.26</v>
      </c>
      <c r="H58" s="558">
        <f t="shared" si="1"/>
        <v>21781.813000000002</v>
      </c>
      <c r="I58" s="560"/>
    </row>
    <row r="59" spans="1:11" ht="15.6" hidden="1" x14ac:dyDescent="0.25">
      <c r="A59" s="783"/>
      <c r="B59" s="771"/>
      <c r="C59" s="774"/>
      <c r="D59" s="557">
        <v>5</v>
      </c>
      <c r="E59" s="616">
        <v>487575.25</v>
      </c>
      <c r="F59" s="625">
        <v>27245.59</v>
      </c>
      <c r="G59" s="572">
        <f t="shared" si="0"/>
        <v>460329.66</v>
      </c>
      <c r="H59" s="558">
        <f t="shared" si="1"/>
        <v>23016.483</v>
      </c>
      <c r="I59" s="560"/>
    </row>
    <row r="60" spans="1:11" ht="15.6" hidden="1" x14ac:dyDescent="0.25">
      <c r="A60" s="783"/>
      <c r="B60" s="771"/>
      <c r="C60" s="774"/>
      <c r="D60" s="557">
        <v>6</v>
      </c>
      <c r="E60" s="616">
        <v>1996.56</v>
      </c>
      <c r="F60" s="572"/>
      <c r="G60" s="572">
        <f t="shared" si="0"/>
        <v>1996.56</v>
      </c>
      <c r="H60" s="558">
        <f t="shared" si="1"/>
        <v>99.828000000000003</v>
      </c>
      <c r="I60" s="560"/>
    </row>
    <row r="61" spans="1:11" ht="15.6" hidden="1" x14ac:dyDescent="0.25">
      <c r="A61" s="783"/>
      <c r="B61" s="771"/>
      <c r="C61" s="774"/>
      <c r="D61" s="557">
        <v>7</v>
      </c>
      <c r="E61" s="616">
        <v>188324.6</v>
      </c>
      <c r="F61" s="625">
        <v>8597.7000000000007</v>
      </c>
      <c r="G61" s="572">
        <f t="shared" si="0"/>
        <v>179726.9</v>
      </c>
      <c r="H61" s="558">
        <f t="shared" si="1"/>
        <v>8986.3449999999993</v>
      </c>
      <c r="I61" s="560"/>
    </row>
    <row r="62" spans="1:11" ht="15.6" hidden="1" x14ac:dyDescent="0.25">
      <c r="A62" s="783"/>
      <c r="B62" s="771"/>
      <c r="C62" s="774"/>
      <c r="D62" s="571">
        <v>8</v>
      </c>
      <c r="E62" s="620">
        <v>56042.29</v>
      </c>
      <c r="F62" s="561"/>
      <c r="G62" s="561">
        <f>E62-F62</f>
        <v>56042.29</v>
      </c>
      <c r="H62" s="558">
        <f t="shared" si="1"/>
        <v>2802.1145000000001</v>
      </c>
      <c r="I62" s="562"/>
    </row>
    <row r="63" spans="1:11" ht="15.6" hidden="1" x14ac:dyDescent="0.25">
      <c r="A63" s="783"/>
      <c r="B63" s="771"/>
      <c r="C63" s="774"/>
      <c r="D63" s="571">
        <v>9</v>
      </c>
      <c r="E63" s="620">
        <v>144257.29</v>
      </c>
      <c r="F63" s="609"/>
      <c r="G63" s="561">
        <f>E63-F63</f>
        <v>144257.29</v>
      </c>
      <c r="H63" s="558">
        <f>G63*$H$4</f>
        <v>7212.8645000000006</v>
      </c>
      <c r="I63" s="542"/>
    </row>
    <row r="64" spans="1:11" ht="31.8" thickBot="1" x14ac:dyDescent="0.3">
      <c r="A64" s="783"/>
      <c r="B64" s="771"/>
      <c r="C64" s="774"/>
      <c r="D64" s="899">
        <v>10</v>
      </c>
      <c r="F64" s="609">
        <v>10981.94</v>
      </c>
      <c r="G64" s="609">
        <f>K64-F64</f>
        <v>219259.5</v>
      </c>
      <c r="H64" s="665">
        <f>G64*$H$4</f>
        <v>10962.975</v>
      </c>
      <c r="I64" s="673" t="s">
        <v>216</v>
      </c>
      <c r="K64" s="900">
        <v>230241.44</v>
      </c>
    </row>
    <row r="65" spans="1:11" s="586" customFormat="1" ht="16.2" thickBot="1" x14ac:dyDescent="0.3">
      <c r="A65" s="573" t="s">
        <v>70</v>
      </c>
      <c r="B65" s="539" t="s">
        <v>194</v>
      </c>
      <c r="C65" s="551">
        <v>98309.75</v>
      </c>
      <c r="D65" s="895">
        <v>1</v>
      </c>
      <c r="E65" s="896">
        <v>98309.75</v>
      </c>
      <c r="F65" s="547">
        <v>56127.67</v>
      </c>
      <c r="G65" s="547">
        <f>E65-F65</f>
        <v>42182.080000000002</v>
      </c>
      <c r="H65" s="666">
        <f>G65*$H$4</f>
        <v>2109.1040000000003</v>
      </c>
      <c r="I65" s="597" t="s">
        <v>212</v>
      </c>
    </row>
    <row r="66" spans="1:11" s="586" customFormat="1" ht="16.2" hidden="1" thickBot="1" x14ac:dyDescent="0.3">
      <c r="A66" s="576" t="s">
        <v>71</v>
      </c>
      <c r="B66" s="577" t="s">
        <v>195</v>
      </c>
      <c r="C66" s="578">
        <v>117953.48</v>
      </c>
      <c r="D66" s="587">
        <v>1</v>
      </c>
      <c r="E66" s="627">
        <v>117953.48</v>
      </c>
      <c r="F66" s="628">
        <v>47269.38</v>
      </c>
      <c r="G66" s="579">
        <f>E66-F66</f>
        <v>70684.100000000006</v>
      </c>
      <c r="H66" s="582">
        <f t="shared" si="1"/>
        <v>3534.2050000000004</v>
      </c>
      <c r="I66" s="580"/>
    </row>
    <row r="67" spans="1:11" s="586" customFormat="1" ht="16.2" hidden="1" thickBot="1" x14ac:dyDescent="0.3">
      <c r="A67" s="573" t="s">
        <v>72</v>
      </c>
      <c r="B67" s="539" t="s">
        <v>196</v>
      </c>
      <c r="C67" s="551">
        <v>314090.69</v>
      </c>
      <c r="D67" s="537"/>
      <c r="E67" s="547"/>
      <c r="F67" s="547"/>
      <c r="G67" s="574"/>
      <c r="H67" s="579">
        <f t="shared" si="1"/>
        <v>0</v>
      </c>
      <c r="I67" s="575"/>
    </row>
    <row r="68" spans="1:11" s="586" customFormat="1" ht="15.6" hidden="1" x14ac:dyDescent="0.25">
      <c r="A68" s="782" t="s">
        <v>73</v>
      </c>
      <c r="B68" s="770" t="s">
        <v>193</v>
      </c>
      <c r="C68" s="773">
        <v>925268.22</v>
      </c>
      <c r="D68" s="588">
        <v>1</v>
      </c>
      <c r="E68" s="629">
        <v>462990.42</v>
      </c>
      <c r="F68" s="615">
        <v>26515.61</v>
      </c>
      <c r="G68" s="554">
        <f t="shared" si="0"/>
        <v>436474.81</v>
      </c>
      <c r="H68" s="582">
        <f t="shared" si="1"/>
        <v>21823.7405</v>
      </c>
      <c r="I68" s="556"/>
    </row>
    <row r="69" spans="1:11" s="586" customFormat="1" ht="16.2" hidden="1" thickBot="1" x14ac:dyDescent="0.3">
      <c r="A69" s="784"/>
      <c r="B69" s="772"/>
      <c r="C69" s="775"/>
      <c r="D69" s="563">
        <v>2</v>
      </c>
      <c r="E69" s="617">
        <v>413678.99</v>
      </c>
      <c r="F69" s="617">
        <v>24709.37</v>
      </c>
      <c r="G69" s="564">
        <f t="shared" si="0"/>
        <v>388969.62</v>
      </c>
      <c r="H69" s="564">
        <f t="shared" si="1"/>
        <v>19448.481</v>
      </c>
      <c r="I69" s="567"/>
    </row>
    <row r="70" spans="1:11" s="586" customFormat="1" ht="15.6" hidden="1" x14ac:dyDescent="0.25">
      <c r="A70" s="785" t="s">
        <v>74</v>
      </c>
      <c r="B70" s="788" t="s">
        <v>197</v>
      </c>
      <c r="C70" s="780">
        <v>1907190.76</v>
      </c>
      <c r="D70" s="581">
        <v>1</v>
      </c>
      <c r="E70" s="618">
        <v>605497.75</v>
      </c>
      <c r="F70" s="618">
        <v>440574.54</v>
      </c>
      <c r="G70" s="548">
        <f t="shared" si="0"/>
        <v>164923.21000000002</v>
      </c>
      <c r="H70" s="582">
        <f t="shared" si="1"/>
        <v>8246.1605000000018</v>
      </c>
      <c r="I70" s="653"/>
    </row>
    <row r="71" spans="1:11" s="586" customFormat="1" ht="15.6" hidden="1" x14ac:dyDescent="0.25">
      <c r="A71" s="786"/>
      <c r="B71" s="789"/>
      <c r="C71" s="781"/>
      <c r="D71" s="536">
        <v>2</v>
      </c>
      <c r="E71" s="662">
        <v>224442.72</v>
      </c>
      <c r="F71" s="619">
        <v>163309.9</v>
      </c>
      <c r="G71" s="544">
        <f t="shared" si="0"/>
        <v>61132.820000000007</v>
      </c>
      <c r="H71" s="561">
        <f t="shared" si="1"/>
        <v>3056.6410000000005</v>
      </c>
      <c r="I71" s="599"/>
    </row>
    <row r="72" spans="1:11" s="586" customFormat="1" ht="15.6" hidden="1" x14ac:dyDescent="0.25">
      <c r="A72" s="786"/>
      <c r="B72" s="789"/>
      <c r="C72" s="781"/>
      <c r="D72" s="536">
        <v>3</v>
      </c>
      <c r="E72" s="647">
        <v>303821.78000000003</v>
      </c>
      <c r="F72" s="662">
        <v>221068.15</v>
      </c>
      <c r="G72" s="544">
        <f t="shared" ref="G72:G73" si="11">E72-F72</f>
        <v>82753.630000000034</v>
      </c>
      <c r="H72" s="561">
        <f t="shared" ref="H72:H73" si="12">G72*$H$4</f>
        <v>4137.6815000000015</v>
      </c>
      <c r="I72" s="663"/>
    </row>
    <row r="73" spans="1:11" s="586" customFormat="1" ht="31.2" x14ac:dyDescent="0.25">
      <c r="A73" s="786"/>
      <c r="B73" s="789"/>
      <c r="C73" s="781"/>
      <c r="D73" s="901">
        <v>4</v>
      </c>
      <c r="E73" s="902">
        <v>511254.29</v>
      </c>
      <c r="F73" s="680">
        <f>310000.34*1.2</f>
        <v>372000.408</v>
      </c>
      <c r="G73" s="681">
        <f t="shared" si="11"/>
        <v>139253.88199999998</v>
      </c>
      <c r="H73" s="682">
        <f t="shared" si="12"/>
        <v>6962.6940999999997</v>
      </c>
      <c r="I73" s="673" t="s">
        <v>219</v>
      </c>
    </row>
    <row r="74" spans="1:11" s="586" customFormat="1" ht="31.8" thickBot="1" x14ac:dyDescent="0.3">
      <c r="A74" s="787"/>
      <c r="B74" s="790"/>
      <c r="C74" s="791"/>
      <c r="D74" s="901">
        <v>5</v>
      </c>
      <c r="E74" s="902">
        <v>420779.93</v>
      </c>
      <c r="F74" s="680">
        <v>306169.07999999996</v>
      </c>
      <c r="G74" s="681">
        <f t="shared" si="0"/>
        <v>114610.85000000003</v>
      </c>
      <c r="H74" s="681">
        <f t="shared" si="1"/>
        <v>5730.5425000000023</v>
      </c>
      <c r="I74" s="683" t="s">
        <v>219</v>
      </c>
    </row>
    <row r="75" spans="1:11" s="586" customFormat="1" ht="15.6" hidden="1" x14ac:dyDescent="0.25">
      <c r="A75" s="782" t="s">
        <v>77</v>
      </c>
      <c r="B75" s="770" t="s">
        <v>198</v>
      </c>
      <c r="C75" s="773">
        <v>554589.34</v>
      </c>
      <c r="D75" s="600">
        <v>1</v>
      </c>
      <c r="E75" s="631">
        <v>233757.78</v>
      </c>
      <c r="F75" s="631">
        <v>8682.01</v>
      </c>
      <c r="G75" s="601">
        <f t="shared" si="0"/>
        <v>225075.77</v>
      </c>
      <c r="H75" s="601">
        <f t="shared" si="1"/>
        <v>11253.788500000001</v>
      </c>
      <c r="I75" s="603"/>
    </row>
    <row r="76" spans="1:11" s="586" customFormat="1" ht="15.6" hidden="1" x14ac:dyDescent="0.25">
      <c r="A76" s="783"/>
      <c r="B76" s="771"/>
      <c r="C76" s="774"/>
      <c r="D76" s="571">
        <v>2</v>
      </c>
      <c r="E76" s="620">
        <v>143598.18</v>
      </c>
      <c r="F76" s="620">
        <v>7947.46</v>
      </c>
      <c r="G76" s="561">
        <f>E76-F76</f>
        <v>135650.72</v>
      </c>
      <c r="H76" s="558">
        <f t="shared" si="1"/>
        <v>6782.5360000000001</v>
      </c>
      <c r="I76" s="562"/>
    </row>
    <row r="77" spans="1:11" s="586" customFormat="1" ht="15.6" hidden="1" x14ac:dyDescent="0.25">
      <c r="A77" s="783"/>
      <c r="B77" s="771"/>
      <c r="C77" s="774"/>
      <c r="D77" s="571">
        <v>3</v>
      </c>
      <c r="E77" s="620">
        <v>112681.46</v>
      </c>
      <c r="F77" s="620"/>
      <c r="G77" s="561">
        <f>E77-F77</f>
        <v>112681.46</v>
      </c>
      <c r="H77" s="558">
        <f t="shared" ref="H77" si="13">G77*$H$4</f>
        <v>5634.0730000000003</v>
      </c>
      <c r="I77" s="562"/>
    </row>
    <row r="78" spans="1:11" s="586" customFormat="1" ht="31.2" x14ac:dyDescent="0.25">
      <c r="A78" s="783"/>
      <c r="B78" s="771"/>
      <c r="C78" s="774"/>
      <c r="D78" s="899">
        <v>4</v>
      </c>
      <c r="F78" s="609"/>
      <c r="G78" s="609">
        <f>K78-F78</f>
        <v>17776.28</v>
      </c>
      <c r="H78" s="665">
        <f t="shared" si="1"/>
        <v>888.81399999999996</v>
      </c>
      <c r="I78" s="673" t="s">
        <v>216</v>
      </c>
      <c r="K78" s="900">
        <v>17776.28</v>
      </c>
    </row>
    <row r="79" spans="1:11" s="586" customFormat="1" ht="15.6" hidden="1" x14ac:dyDescent="0.25">
      <c r="A79" s="785" t="s">
        <v>78</v>
      </c>
      <c r="B79" s="778" t="s">
        <v>199</v>
      </c>
      <c r="C79" s="780">
        <v>205250.65</v>
      </c>
      <c r="D79" s="581">
        <v>1</v>
      </c>
      <c r="E79" s="618">
        <v>36249.65</v>
      </c>
      <c r="F79" s="632">
        <v>15042.564</v>
      </c>
      <c r="G79" s="543">
        <f t="shared" si="0"/>
        <v>21207.086000000003</v>
      </c>
      <c r="H79" s="554">
        <f t="shared" si="1"/>
        <v>1060.3543000000002</v>
      </c>
      <c r="I79" s="541"/>
    </row>
    <row r="80" spans="1:11" s="586" customFormat="1" ht="15.6" hidden="1" x14ac:dyDescent="0.25">
      <c r="A80" s="786"/>
      <c r="B80" s="779"/>
      <c r="C80" s="781"/>
      <c r="D80" s="536">
        <v>2</v>
      </c>
      <c r="E80" s="619">
        <v>29584.9</v>
      </c>
      <c r="F80" s="626">
        <v>14808.288</v>
      </c>
      <c r="G80" s="544">
        <f t="shared" si="0"/>
        <v>14776.612000000001</v>
      </c>
      <c r="H80" s="558">
        <f t="shared" si="1"/>
        <v>738.83060000000012</v>
      </c>
      <c r="I80" s="599"/>
    </row>
    <row r="81" spans="1:13" s="586" customFormat="1" ht="16.2" hidden="1" thickBot="1" x14ac:dyDescent="0.3">
      <c r="A81" s="787"/>
      <c r="B81" s="792"/>
      <c r="C81" s="791"/>
      <c r="D81" s="535">
        <v>3</v>
      </c>
      <c r="E81" s="621">
        <v>120872.34</v>
      </c>
      <c r="F81" s="633">
        <v>95553.5</v>
      </c>
      <c r="G81" s="546">
        <f t="shared" si="0"/>
        <v>25318.839999999997</v>
      </c>
      <c r="H81" s="564">
        <f t="shared" si="1"/>
        <v>1265.942</v>
      </c>
      <c r="I81" s="596"/>
    </row>
    <row r="82" spans="1:13" s="586" customFormat="1" ht="69" hidden="1" customHeight="1" thickBot="1" x14ac:dyDescent="0.3">
      <c r="A82" s="576" t="s">
        <v>158</v>
      </c>
      <c r="B82" s="577" t="s">
        <v>200</v>
      </c>
      <c r="C82" s="579">
        <v>174395.3</v>
      </c>
      <c r="D82" s="587">
        <v>1</v>
      </c>
      <c r="E82" s="628">
        <v>174395.3</v>
      </c>
      <c r="F82" s="628">
        <v>46495.02</v>
      </c>
      <c r="G82" s="579">
        <f t="shared" si="0"/>
        <v>127900.28</v>
      </c>
      <c r="H82" s="611">
        <f t="shared" si="1"/>
        <v>6395.0140000000001</v>
      </c>
      <c r="I82" s="580">
        <v>10160</v>
      </c>
    </row>
    <row r="83" spans="1:13" s="586" customFormat="1" ht="16.2" hidden="1" thickBot="1" x14ac:dyDescent="0.3">
      <c r="A83" s="573" t="s">
        <v>79</v>
      </c>
      <c r="B83" s="539" t="s">
        <v>201</v>
      </c>
      <c r="C83" s="551">
        <v>67237.36</v>
      </c>
      <c r="D83" s="584">
        <v>1</v>
      </c>
      <c r="E83" s="630">
        <v>63923.6</v>
      </c>
      <c r="F83" s="630">
        <v>27543.26</v>
      </c>
      <c r="G83" s="585">
        <f t="shared" si="0"/>
        <v>36380.339999999997</v>
      </c>
      <c r="H83" s="611">
        <f t="shared" si="1"/>
        <v>1819.0169999999998</v>
      </c>
      <c r="I83" s="575"/>
    </row>
    <row r="84" spans="1:13" s="586" customFormat="1" ht="15.6" hidden="1" x14ac:dyDescent="0.25">
      <c r="A84" s="793" t="s">
        <v>75</v>
      </c>
      <c r="B84" s="770" t="s">
        <v>202</v>
      </c>
      <c r="C84" s="773">
        <v>428355.98</v>
      </c>
      <c r="D84" s="589">
        <v>1</v>
      </c>
      <c r="E84" s="629">
        <v>282271.15999999997</v>
      </c>
      <c r="F84" s="615">
        <v>14016.42</v>
      </c>
      <c r="G84" s="554">
        <f t="shared" si="0"/>
        <v>268254.74</v>
      </c>
      <c r="H84" s="601">
        <f t="shared" ref="H84:H95" si="14">G84*$H$4</f>
        <v>13412.737000000001</v>
      </c>
      <c r="I84" s="583"/>
    </row>
    <row r="85" spans="1:13" s="586" customFormat="1" ht="34.200000000000003" hidden="1" customHeight="1" x14ac:dyDescent="0.25">
      <c r="A85" s="794"/>
      <c r="B85" s="771"/>
      <c r="C85" s="774"/>
      <c r="D85" s="571">
        <v>2</v>
      </c>
      <c r="E85" s="620">
        <v>139618.48000000001</v>
      </c>
      <c r="F85" s="631">
        <v>5490.97</v>
      </c>
      <c r="G85" s="561">
        <f t="shared" si="0"/>
        <v>134127.51</v>
      </c>
      <c r="H85" s="561">
        <f t="shared" si="14"/>
        <v>6706.375500000001</v>
      </c>
      <c r="I85" s="562"/>
    </row>
    <row r="86" spans="1:13" s="586" customFormat="1" ht="15.6" hidden="1" x14ac:dyDescent="0.25">
      <c r="A86" s="814" t="s">
        <v>204</v>
      </c>
      <c r="B86" s="805" t="s">
        <v>203</v>
      </c>
      <c r="C86" s="808">
        <v>11216410.33</v>
      </c>
      <c r="D86" s="667">
        <v>1</v>
      </c>
      <c r="E86" s="619">
        <v>4613140.4800000004</v>
      </c>
      <c r="F86" s="619">
        <v>3179903.08</v>
      </c>
      <c r="G86" s="544">
        <f t="shared" si="0"/>
        <v>1433237.4000000004</v>
      </c>
      <c r="H86" s="558">
        <f t="shared" si="14"/>
        <v>71661.870000000024</v>
      </c>
      <c r="I86" s="668"/>
    </row>
    <row r="87" spans="1:13" s="307" customFormat="1" ht="15.6" hidden="1" x14ac:dyDescent="0.25">
      <c r="A87" s="814"/>
      <c r="B87" s="805"/>
      <c r="C87" s="808"/>
      <c r="D87" s="534">
        <v>2</v>
      </c>
      <c r="E87" s="619">
        <v>648268.93000000005</v>
      </c>
      <c r="F87" s="619">
        <v>426955.2</v>
      </c>
      <c r="G87" s="544">
        <f t="shared" si="0"/>
        <v>221313.73000000004</v>
      </c>
      <c r="H87" s="558">
        <f t="shared" si="14"/>
        <v>11065.686500000003</v>
      </c>
      <c r="I87" s="669"/>
    </row>
    <row r="88" spans="1:13" s="307" customFormat="1" ht="15.6" hidden="1" x14ac:dyDescent="0.25">
      <c r="A88" s="814"/>
      <c r="B88" s="805"/>
      <c r="C88" s="808"/>
      <c r="D88" s="606">
        <v>3</v>
      </c>
      <c r="E88" s="619">
        <v>764834.02</v>
      </c>
      <c r="F88" s="619">
        <v>513158.52</v>
      </c>
      <c r="G88" s="544">
        <f t="shared" si="0"/>
        <v>251675.5</v>
      </c>
      <c r="H88" s="558">
        <f t="shared" si="14"/>
        <v>12583.775000000001</v>
      </c>
      <c r="I88" s="670"/>
    </row>
    <row r="89" spans="1:13" s="307" customFormat="1" ht="15.6" hidden="1" x14ac:dyDescent="0.25">
      <c r="A89" s="814"/>
      <c r="B89" s="805"/>
      <c r="C89" s="808"/>
      <c r="D89" s="534">
        <v>4</v>
      </c>
      <c r="E89" s="619">
        <v>459693.22</v>
      </c>
      <c r="F89" s="619">
        <v>315541.51</v>
      </c>
      <c r="G89" s="544">
        <f t="shared" ref="G89" si="15">E89-F89</f>
        <v>144151.70999999996</v>
      </c>
      <c r="H89" s="558">
        <f t="shared" ref="H89" si="16">G89*$H$4</f>
        <v>7207.5854999999983</v>
      </c>
      <c r="I89" s="671"/>
    </row>
    <row r="90" spans="1:13" s="307" customFormat="1" ht="62.4" x14ac:dyDescent="0.25">
      <c r="A90" s="814"/>
      <c r="B90" s="805"/>
      <c r="C90" s="808"/>
      <c r="D90" s="897">
        <v>5</v>
      </c>
      <c r="F90" s="693">
        <v>281949.09999999998</v>
      </c>
      <c r="G90" s="693">
        <f>K90-F90</f>
        <v>151474.71000000002</v>
      </c>
      <c r="H90" s="693">
        <f>G90*$H$4</f>
        <v>7573.7355000000016</v>
      </c>
      <c r="I90" s="675" t="s">
        <v>217</v>
      </c>
      <c r="K90" s="898">
        <v>433423.81</v>
      </c>
    </row>
    <row r="91" spans="1:13" s="307" customFormat="1" ht="31.2" x14ac:dyDescent="0.25">
      <c r="A91" s="672"/>
      <c r="B91" s="659"/>
      <c r="C91" s="660"/>
      <c r="D91" s="893">
        <v>6</v>
      </c>
      <c r="E91" s="894">
        <v>65730.59</v>
      </c>
      <c r="F91" s="694"/>
      <c r="G91" s="693">
        <v>0</v>
      </c>
      <c r="H91" s="693">
        <f>G91*$H$4</f>
        <v>0</v>
      </c>
      <c r="I91" s="673" t="s">
        <v>216</v>
      </c>
      <c r="J91" s="651">
        <v>48968.6</v>
      </c>
      <c r="K91" s="651">
        <v>48968.6</v>
      </c>
      <c r="L91" s="307" t="s">
        <v>220</v>
      </c>
      <c r="M91" s="692">
        <f>J91-E91</f>
        <v>-16761.989999999998</v>
      </c>
    </row>
    <row r="92" spans="1:13" s="307" customFormat="1" ht="15.6" hidden="1" x14ac:dyDescent="0.25">
      <c r="A92" s="810" t="s">
        <v>53</v>
      </c>
      <c r="B92" s="771" t="s">
        <v>205</v>
      </c>
      <c r="C92" s="812">
        <v>790018.98</v>
      </c>
      <c r="D92" s="600">
        <v>1</v>
      </c>
      <c r="E92" s="623">
        <v>323673.21999999997</v>
      </c>
      <c r="F92" s="623">
        <v>223053.1</v>
      </c>
      <c r="G92" s="601">
        <f t="shared" si="0"/>
        <v>100620.11999999997</v>
      </c>
      <c r="H92" s="601">
        <f t="shared" si="14"/>
        <v>5031.0059999999985</v>
      </c>
      <c r="I92" s="605"/>
    </row>
    <row r="93" spans="1:13" s="307" customFormat="1" ht="16.2" hidden="1" thickBot="1" x14ac:dyDescent="0.3">
      <c r="A93" s="811"/>
      <c r="B93" s="772"/>
      <c r="C93" s="813"/>
      <c r="D93" s="563">
        <v>2</v>
      </c>
      <c r="E93" s="617">
        <v>254891.88</v>
      </c>
      <c r="F93" s="617">
        <v>176125.27</v>
      </c>
      <c r="G93" s="564">
        <f t="shared" si="0"/>
        <v>78766.610000000015</v>
      </c>
      <c r="H93" s="561">
        <f t="shared" si="14"/>
        <v>3938.3305000000009</v>
      </c>
      <c r="I93" s="591"/>
    </row>
    <row r="94" spans="1:13" s="307" customFormat="1" ht="15.6" hidden="1" x14ac:dyDescent="0.25">
      <c r="A94" s="795" t="s">
        <v>69</v>
      </c>
      <c r="B94" s="788" t="s">
        <v>206</v>
      </c>
      <c r="C94" s="797">
        <v>164975.04000000001</v>
      </c>
      <c r="D94" s="581">
        <v>1</v>
      </c>
      <c r="E94" s="638">
        <v>98455.63</v>
      </c>
      <c r="F94" s="638">
        <v>69126.91</v>
      </c>
      <c r="G94" s="543">
        <f t="shared" si="0"/>
        <v>29328.720000000001</v>
      </c>
      <c r="H94" s="582">
        <f t="shared" si="14"/>
        <v>1466.4360000000001</v>
      </c>
      <c r="I94" s="655"/>
    </row>
    <row r="95" spans="1:13" s="307" customFormat="1" ht="16.2" hidden="1" thickBot="1" x14ac:dyDescent="0.3">
      <c r="A95" s="796"/>
      <c r="B95" s="790"/>
      <c r="C95" s="798"/>
      <c r="D95" s="535">
        <v>2</v>
      </c>
      <c r="E95" s="621">
        <v>17098.009999999998</v>
      </c>
      <c r="F95" s="621">
        <v>11916.01</v>
      </c>
      <c r="G95" s="643">
        <f t="shared" si="0"/>
        <v>5181.9999999999982</v>
      </c>
      <c r="H95" s="564">
        <f t="shared" si="14"/>
        <v>259.09999999999991</v>
      </c>
      <c r="I95" s="654"/>
    </row>
    <row r="96" spans="1:13" s="324" customFormat="1" ht="22.95" hidden="1" customHeight="1" thickBot="1" x14ac:dyDescent="0.3">
      <c r="A96" s="592"/>
      <c r="B96" s="593" t="s">
        <v>47</v>
      </c>
      <c r="C96" s="594"/>
      <c r="D96" s="594"/>
      <c r="E96" s="594">
        <f>SUM(E5:E95)</f>
        <v>87935803.090000048</v>
      </c>
      <c r="F96" s="594">
        <f>SUM(F5:F95)</f>
        <v>47482677.552000009</v>
      </c>
      <c r="G96" s="594">
        <f>SUM(G5:G95)</f>
        <v>41068836.478000008</v>
      </c>
      <c r="H96" s="594">
        <f>SUM(H5:H95)</f>
        <v>2053441.8239000002</v>
      </c>
      <c r="I96" s="595"/>
    </row>
    <row r="97" spans="1:9" x14ac:dyDescent="0.25">
      <c r="C97" s="549"/>
      <c r="D97" s="549"/>
      <c r="E97" s="549"/>
      <c r="F97" s="549"/>
      <c r="G97" s="549"/>
      <c r="H97" s="549"/>
      <c r="I97" s="339"/>
    </row>
    <row r="98" spans="1:9" x14ac:dyDescent="0.25">
      <c r="C98" s="549" t="s">
        <v>213</v>
      </c>
      <c r="D98" s="549"/>
      <c r="E98" s="549">
        <f>E96-E16-E17-E18-E19-E20-E54-K64-E65-E73-E74-K78-K90</f>
        <v>84346422.460000023</v>
      </c>
      <c r="F98" s="549"/>
      <c r="G98" s="549"/>
      <c r="H98" s="549"/>
      <c r="I98" s="339"/>
    </row>
    <row r="99" spans="1:9" x14ac:dyDescent="0.25">
      <c r="A99" s="799"/>
      <c r="C99" s="677" t="s">
        <v>214</v>
      </c>
      <c r="D99" s="677"/>
      <c r="E99" s="677">
        <f>E16+E17+E18+E19+E20+E54+K64+E65+E73+E74+K78+K90+J91+E91</f>
        <v>3704079.8200000003</v>
      </c>
      <c r="F99" s="549"/>
      <c r="G99" s="549"/>
      <c r="H99" s="549"/>
      <c r="I99" s="339"/>
    </row>
    <row r="100" spans="1:9" x14ac:dyDescent="0.25">
      <c r="A100" s="800"/>
      <c r="C100" s="549"/>
      <c r="D100" s="549"/>
      <c r="E100" s="549"/>
      <c r="F100" s="549"/>
      <c r="G100" s="549"/>
      <c r="H100" s="549"/>
      <c r="I100" s="339"/>
    </row>
    <row r="101" spans="1:9" x14ac:dyDescent="0.25">
      <c r="C101" s="549"/>
      <c r="D101" s="549"/>
      <c r="E101" s="640"/>
      <c r="F101" s="549"/>
      <c r="G101" s="549"/>
      <c r="H101" s="549"/>
      <c r="I101" s="339"/>
    </row>
    <row r="102" spans="1:9" x14ac:dyDescent="0.25">
      <c r="C102" s="552"/>
      <c r="D102" s="549"/>
      <c r="E102" s="640"/>
      <c r="F102" s="549"/>
      <c r="G102" s="549"/>
      <c r="H102" s="549"/>
      <c r="I102" s="339"/>
    </row>
    <row r="103" spans="1:9" x14ac:dyDescent="0.25">
      <c r="C103" s="549"/>
      <c r="D103" s="549"/>
      <c r="E103" s="640"/>
      <c r="F103" s="549"/>
      <c r="G103" s="549"/>
      <c r="H103" s="549"/>
      <c r="I103" s="339"/>
    </row>
    <row r="104" spans="1:9" x14ac:dyDescent="0.25">
      <c r="C104" s="549"/>
      <c r="D104" s="549"/>
      <c r="E104" s="640"/>
      <c r="F104" s="549"/>
      <c r="G104" s="549"/>
      <c r="H104" s="549"/>
      <c r="I104" s="339"/>
    </row>
    <row r="105" spans="1:9" x14ac:dyDescent="0.25">
      <c r="C105" s="549"/>
      <c r="D105" s="549"/>
      <c r="E105" s="640"/>
      <c r="F105" s="549"/>
      <c r="G105" s="549"/>
      <c r="H105" s="549"/>
      <c r="I105" s="339"/>
    </row>
    <row r="106" spans="1:9" x14ac:dyDescent="0.25">
      <c r="C106" s="549"/>
      <c r="D106" s="549"/>
      <c r="E106" s="640"/>
      <c r="F106" s="549"/>
      <c r="G106" s="549"/>
      <c r="H106" s="549"/>
      <c r="I106" s="339"/>
    </row>
    <row r="107" spans="1:9" x14ac:dyDescent="0.25">
      <c r="C107" s="549"/>
      <c r="D107" s="549"/>
      <c r="E107" s="640"/>
      <c r="F107" s="549"/>
      <c r="G107" s="549"/>
      <c r="H107" s="549"/>
      <c r="I107" s="339"/>
    </row>
    <row r="108" spans="1:9" x14ac:dyDescent="0.25">
      <c r="C108" s="549"/>
      <c r="D108" s="549"/>
      <c r="E108" s="640"/>
      <c r="F108" s="549"/>
      <c r="G108" s="549"/>
      <c r="H108" s="549"/>
      <c r="I108" s="339"/>
    </row>
    <row r="109" spans="1:9" x14ac:dyDescent="0.25">
      <c r="C109" s="549"/>
      <c r="D109" s="549"/>
      <c r="E109" s="640"/>
      <c r="F109" s="549"/>
      <c r="G109" s="549"/>
      <c r="H109" s="549"/>
      <c r="I109" s="339"/>
    </row>
    <row r="110" spans="1:9" x14ac:dyDescent="0.25">
      <c r="C110" s="549"/>
      <c r="D110" s="549"/>
      <c r="E110" s="640"/>
      <c r="F110" s="549"/>
      <c r="G110" s="549"/>
      <c r="H110" s="549"/>
      <c r="I110" s="339"/>
    </row>
    <row r="111" spans="1:9" x14ac:dyDescent="0.25">
      <c r="A111" s="639"/>
      <c r="C111" s="549"/>
      <c r="D111" s="549"/>
      <c r="E111" s="640"/>
      <c r="F111" s="549"/>
      <c r="G111" s="549"/>
      <c r="H111" s="549"/>
      <c r="I111" s="339"/>
    </row>
    <row r="112" spans="1:9" x14ac:dyDescent="0.25">
      <c r="C112" s="549"/>
      <c r="D112" s="549"/>
      <c r="E112" s="640"/>
      <c r="F112" s="549"/>
      <c r="G112" s="549"/>
      <c r="H112" s="549"/>
      <c r="I112" s="339"/>
    </row>
    <row r="113" spans="3:9" x14ac:dyDescent="0.25">
      <c r="C113" s="549"/>
      <c r="D113" s="549"/>
      <c r="E113" s="640"/>
      <c r="F113" s="549"/>
      <c r="G113" s="549"/>
      <c r="H113" s="549"/>
      <c r="I113" s="339"/>
    </row>
    <row r="114" spans="3:9" x14ac:dyDescent="0.25">
      <c r="C114" s="549"/>
      <c r="D114" s="549"/>
      <c r="E114" s="549"/>
      <c r="F114" s="549"/>
      <c r="G114" s="549"/>
      <c r="H114" s="549"/>
      <c r="I114" s="339"/>
    </row>
    <row r="115" spans="3:9" x14ac:dyDescent="0.25">
      <c r="C115" s="549"/>
      <c r="D115" s="549"/>
      <c r="E115" s="549"/>
      <c r="F115" s="549"/>
      <c r="G115" s="549"/>
      <c r="H115" s="549"/>
      <c r="I115" s="339"/>
    </row>
    <row r="116" spans="3:9" x14ac:dyDescent="0.25">
      <c r="C116" s="549"/>
      <c r="D116" s="549"/>
      <c r="E116" s="549"/>
      <c r="F116" s="549"/>
      <c r="G116" s="549"/>
      <c r="H116" s="549"/>
      <c r="I116" s="339"/>
    </row>
    <row r="117" spans="3:9" x14ac:dyDescent="0.25">
      <c r="C117" s="549"/>
      <c r="D117" s="549"/>
      <c r="E117" s="549"/>
      <c r="F117" s="549"/>
      <c r="G117" s="549"/>
      <c r="H117" s="549"/>
      <c r="I117" s="339"/>
    </row>
    <row r="118" spans="3:9" x14ac:dyDescent="0.25">
      <c r="C118" s="549"/>
      <c r="D118" s="549"/>
      <c r="E118" s="549"/>
      <c r="F118" s="549"/>
      <c r="G118" s="549"/>
      <c r="H118" s="549"/>
      <c r="I118" s="339"/>
    </row>
  </sheetData>
  <autoFilter ref="A4:AB96">
    <filterColumn colId="3">
      <colorFilter dxfId="0"/>
    </filterColumn>
  </autoFilter>
  <mergeCells count="46">
    <mergeCell ref="A94:A95"/>
    <mergeCell ref="B94:B95"/>
    <mergeCell ref="C94:C95"/>
    <mergeCell ref="A99:A100"/>
    <mergeCell ref="A86:A90"/>
    <mergeCell ref="B86:B90"/>
    <mergeCell ref="C86:C90"/>
    <mergeCell ref="A92:A93"/>
    <mergeCell ref="B92:B93"/>
    <mergeCell ref="C92:C93"/>
    <mergeCell ref="A79:A81"/>
    <mergeCell ref="B79:B81"/>
    <mergeCell ref="C79:C81"/>
    <mergeCell ref="A84:A85"/>
    <mergeCell ref="B84:B85"/>
    <mergeCell ref="C84:C85"/>
    <mergeCell ref="A70:A74"/>
    <mergeCell ref="B70:B74"/>
    <mergeCell ref="C70:C74"/>
    <mergeCell ref="A75:A78"/>
    <mergeCell ref="B75:B78"/>
    <mergeCell ref="C75:C78"/>
    <mergeCell ref="A55:A64"/>
    <mergeCell ref="B55:B64"/>
    <mergeCell ref="C55:C64"/>
    <mergeCell ref="A68:A69"/>
    <mergeCell ref="B68:B69"/>
    <mergeCell ref="C68:C69"/>
    <mergeCell ref="A21:A42"/>
    <mergeCell ref="B21:B42"/>
    <mergeCell ref="C21:C42"/>
    <mergeCell ref="A43:A45"/>
    <mergeCell ref="B43:B45"/>
    <mergeCell ref="C43:C45"/>
    <mergeCell ref="A5:A10"/>
    <mergeCell ref="B5:B10"/>
    <mergeCell ref="C5:C10"/>
    <mergeCell ref="A11:A12"/>
    <mergeCell ref="B11:B12"/>
    <mergeCell ref="C11:C12"/>
    <mergeCell ref="A1:I2"/>
    <mergeCell ref="A3:A4"/>
    <mergeCell ref="B3:B4"/>
    <mergeCell ref="C3:C4"/>
    <mergeCell ref="D3:G3"/>
    <mergeCell ref="I3:I4"/>
  </mergeCells>
  <phoneticPr fontId="53" type="noConversion"/>
  <pageMargins left="3.937007874015748E-2" right="0.23622047244094491" top="0.74803149606299213" bottom="0.74803149606299213" header="0.31496062992125984" footer="0.31496062992125984"/>
  <pageSetup paperSize="9" scale="81" fitToHeight="0" orientation="landscape" verticalDpi="300" r:id="rId1"/>
  <rowBreaks count="2" manualBreakCount="2">
    <brk id="40" max="8" man="1"/>
    <brk id="86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873" t="s">
        <v>149</v>
      </c>
      <c r="B2" s="873"/>
      <c r="C2" s="873"/>
      <c r="D2" s="873"/>
      <c r="E2" s="873"/>
      <c r="F2" s="873"/>
      <c r="G2" s="873"/>
      <c r="H2" s="873"/>
      <c r="I2" s="873"/>
      <c r="J2" s="873"/>
      <c r="K2" s="873"/>
      <c r="L2" s="873"/>
      <c r="M2" s="873"/>
      <c r="N2" s="873"/>
      <c r="O2" s="873"/>
      <c r="P2" s="873"/>
      <c r="Q2" s="873"/>
      <c r="R2" s="873"/>
      <c r="S2" s="873"/>
      <c r="T2" s="873"/>
      <c r="U2" s="873"/>
      <c r="V2" s="873"/>
      <c r="W2" s="873"/>
      <c r="X2" s="873"/>
      <c r="Y2" s="873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874" t="s">
        <v>118</v>
      </c>
      <c r="B4" s="877" t="s">
        <v>2</v>
      </c>
      <c r="C4" s="879" t="s">
        <v>119</v>
      </c>
      <c r="D4" s="880"/>
      <c r="E4" s="883" t="s">
        <v>120</v>
      </c>
      <c r="F4" s="871" t="s">
        <v>121</v>
      </c>
      <c r="G4" s="886"/>
      <c r="H4" s="886"/>
      <c r="I4" s="886"/>
      <c r="J4" s="886"/>
      <c r="K4" s="886"/>
      <c r="L4" s="886"/>
      <c r="M4" s="886"/>
      <c r="N4" s="886"/>
      <c r="O4" s="886"/>
      <c r="P4" s="886"/>
      <c r="Q4" s="886"/>
      <c r="R4" s="886"/>
      <c r="S4" s="886"/>
      <c r="T4" s="886"/>
      <c r="U4" s="886"/>
      <c r="V4" s="886"/>
      <c r="W4" s="872"/>
      <c r="X4" s="512"/>
      <c r="Y4" s="879" t="s">
        <v>122</v>
      </c>
      <c r="Z4" s="887"/>
      <c r="AA4" s="880"/>
      <c r="AB4" s="865" t="s">
        <v>123</v>
      </c>
      <c r="AC4" s="866"/>
      <c r="AD4" s="867"/>
    </row>
    <row r="5" spans="1:30" ht="15.45" customHeight="1" x14ac:dyDescent="0.25">
      <c r="A5" s="875"/>
      <c r="B5" s="857"/>
      <c r="C5" s="881"/>
      <c r="D5" s="882"/>
      <c r="E5" s="884"/>
      <c r="F5" s="871" t="s">
        <v>143</v>
      </c>
      <c r="G5" s="872"/>
      <c r="H5" s="871" t="s">
        <v>144</v>
      </c>
      <c r="I5" s="872"/>
      <c r="J5" s="871" t="s">
        <v>145</v>
      </c>
      <c r="K5" s="872"/>
      <c r="L5" s="871" t="s">
        <v>156</v>
      </c>
      <c r="M5" s="872"/>
      <c r="N5" s="871" t="s">
        <v>155</v>
      </c>
      <c r="O5" s="872"/>
      <c r="P5" s="871" t="s">
        <v>159</v>
      </c>
      <c r="Q5" s="872"/>
      <c r="R5" s="871" t="s">
        <v>166</v>
      </c>
      <c r="S5" s="872"/>
      <c r="T5" s="871"/>
      <c r="U5" s="872"/>
      <c r="V5" s="871"/>
      <c r="W5" s="872"/>
      <c r="X5" s="513"/>
      <c r="Y5" s="881"/>
      <c r="Z5" s="888"/>
      <c r="AA5" s="882"/>
      <c r="AB5" s="868"/>
      <c r="AC5" s="869"/>
      <c r="AD5" s="870"/>
    </row>
    <row r="6" spans="1:30" ht="27.75" customHeight="1" x14ac:dyDescent="0.25">
      <c r="A6" s="876"/>
      <c r="B6" s="878"/>
      <c r="C6" s="314" t="s">
        <v>124</v>
      </c>
      <c r="D6" s="315" t="s">
        <v>125</v>
      </c>
      <c r="E6" s="885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847">
        <v>1</v>
      </c>
      <c r="B8" s="862" t="s">
        <v>95</v>
      </c>
      <c r="C8" s="839" t="s">
        <v>53</v>
      </c>
      <c r="D8" s="841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844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860"/>
      <c r="B9" s="863"/>
      <c r="C9" s="840"/>
      <c r="D9" s="842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845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860"/>
      <c r="B10" s="863"/>
      <c r="C10" s="840"/>
      <c r="D10" s="842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845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860"/>
      <c r="B11" s="863"/>
      <c r="C11" s="840"/>
      <c r="D11" s="842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845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860"/>
      <c r="B12" s="863"/>
      <c r="C12" s="840"/>
      <c r="D12" s="842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845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860"/>
      <c r="B13" s="863"/>
      <c r="C13" s="840"/>
      <c r="D13" s="842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845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860"/>
      <c r="B14" s="863"/>
      <c r="C14" s="840"/>
      <c r="D14" s="842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845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860"/>
      <c r="B15" s="863"/>
      <c r="C15" s="840"/>
      <c r="D15" s="842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845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860"/>
      <c r="B16" s="863"/>
      <c r="C16" s="840"/>
      <c r="D16" s="842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845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860"/>
      <c r="B17" s="863"/>
      <c r="C17" s="840"/>
      <c r="D17" s="842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845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860"/>
      <c r="B18" s="863"/>
      <c r="C18" s="840"/>
      <c r="D18" s="842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845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860"/>
      <c r="B19" s="863"/>
      <c r="C19" s="840"/>
      <c r="D19" s="842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845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860"/>
      <c r="B20" s="863"/>
      <c r="C20" s="840"/>
      <c r="D20" s="842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845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860"/>
      <c r="B21" s="863"/>
      <c r="C21" s="818"/>
      <c r="D21" s="842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845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861"/>
      <c r="B22" s="864"/>
      <c r="C22" s="834"/>
      <c r="D22" s="843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846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854">
        <v>2</v>
      </c>
      <c r="B25" s="855" t="s">
        <v>157</v>
      </c>
      <c r="C25" s="857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858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836"/>
      <c r="B26" s="856"/>
      <c r="C26" s="834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859"/>
      <c r="AB26" s="418"/>
      <c r="AC26" s="418"/>
      <c r="AD26" s="419"/>
    </row>
    <row r="27" spans="1:30" s="323" customFormat="1" ht="12" customHeight="1" x14ac:dyDescent="0.25">
      <c r="A27" s="847">
        <v>3</v>
      </c>
      <c r="B27" s="848" t="s">
        <v>98</v>
      </c>
      <c r="C27" s="510"/>
      <c r="D27" s="851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835"/>
      <c r="B28" s="849"/>
      <c r="C28" s="511"/>
      <c r="D28" s="852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836"/>
      <c r="B29" s="850"/>
      <c r="C29" s="397"/>
      <c r="D29" s="853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819">
        <f>A8+1</f>
        <v>2</v>
      </c>
      <c r="B30" s="822" t="s">
        <v>152</v>
      </c>
      <c r="C30" s="825" t="s">
        <v>69</v>
      </c>
      <c r="D30" s="828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817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820"/>
      <c r="B31" s="823"/>
      <c r="C31" s="826"/>
      <c r="D31" s="829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818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820"/>
      <c r="B32" s="823"/>
      <c r="C32" s="818"/>
      <c r="D32" s="829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818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820"/>
      <c r="B33" s="823"/>
      <c r="C33" s="818"/>
      <c r="D33" s="829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818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820"/>
      <c r="B34" s="823"/>
      <c r="C34" s="818"/>
      <c r="D34" s="829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818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820"/>
      <c r="B35" s="823"/>
      <c r="C35" s="818"/>
      <c r="D35" s="829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818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820"/>
      <c r="B36" s="823"/>
      <c r="C36" s="818"/>
      <c r="D36" s="829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818"/>
      <c r="AB36" s="350">
        <f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820"/>
      <c r="B37" s="823"/>
      <c r="C37" s="818"/>
      <c r="D37" s="829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818"/>
      <c r="AB37" s="350">
        <f>Z37</f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820"/>
      <c r="B38" s="823"/>
      <c r="C38" s="818"/>
      <c r="D38" s="829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818"/>
      <c r="AB38" s="350">
        <f>Z38</f>
        <v>282807.74</v>
      </c>
      <c r="AC38" s="350">
        <f t="shared" ref="AC38:AC44" si="0">AB38-AD38</f>
        <v>157013.31</v>
      </c>
      <c r="AD38" s="430">
        <v>125794.43</v>
      </c>
    </row>
    <row r="39" spans="1:30" s="323" customFormat="1" ht="12" customHeight="1" x14ac:dyDescent="0.25">
      <c r="A39" s="820"/>
      <c r="B39" s="823"/>
      <c r="C39" s="818"/>
      <c r="D39" s="829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818"/>
      <c r="AB39" s="502">
        <v>236670.38</v>
      </c>
      <c r="AC39" s="504">
        <f t="shared" si="0"/>
        <v>135826.63</v>
      </c>
      <c r="AD39" s="505">
        <v>100843.75</v>
      </c>
    </row>
    <row r="40" spans="1:30" s="323" customFormat="1" ht="12" customHeight="1" x14ac:dyDescent="0.25">
      <c r="A40" s="820"/>
      <c r="B40" s="823"/>
      <c r="C40" s="818"/>
      <c r="D40" s="829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X39+#REF!+#REF!+#REF!+#REF!</f>
        <v>#REF!</v>
      </c>
      <c r="Y40" s="506" t="s">
        <v>79</v>
      </c>
      <c r="Z40" s="514">
        <v>78675.94</v>
      </c>
      <c r="AA40" s="818"/>
      <c r="AB40" s="502">
        <v>78675.94</v>
      </c>
      <c r="AC40" s="504">
        <f t="shared" si="0"/>
        <v>32607.32</v>
      </c>
      <c r="AD40" s="505">
        <v>46068.62</v>
      </c>
    </row>
    <row r="41" spans="1:30" s="323" customFormat="1" ht="12" customHeight="1" x14ac:dyDescent="0.25">
      <c r="A41" s="820"/>
      <c r="B41" s="823"/>
      <c r="C41" s="818"/>
      <c r="D41" s="829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818"/>
      <c r="AB41" s="502">
        <f>Z41</f>
        <v>75489.289999999994</v>
      </c>
      <c r="AC41" s="504">
        <f t="shared" si="0"/>
        <v>31514.699999999997</v>
      </c>
      <c r="AD41" s="504">
        <v>43974.59</v>
      </c>
    </row>
    <row r="42" spans="1:30" s="323" customFormat="1" ht="12" customHeight="1" x14ac:dyDescent="0.25">
      <c r="A42" s="820"/>
      <c r="B42" s="823"/>
      <c r="C42" s="818"/>
      <c r="D42" s="829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818"/>
      <c r="AB42" s="502">
        <f>Z42</f>
        <v>372782.87</v>
      </c>
      <c r="AC42" s="504">
        <f t="shared" si="0"/>
        <v>152785.19</v>
      </c>
      <c r="AD42" s="504">
        <v>219997.68</v>
      </c>
    </row>
    <row r="43" spans="1:30" s="323" customFormat="1" ht="12" customHeight="1" x14ac:dyDescent="0.25">
      <c r="A43" s="820"/>
      <c r="B43" s="823"/>
      <c r="C43" s="818"/>
      <c r="D43" s="829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818"/>
      <c r="AB43" s="502">
        <f>Z43</f>
        <v>356228.86</v>
      </c>
      <c r="AC43" s="504">
        <f t="shared" si="0"/>
        <v>201417.03999999998</v>
      </c>
      <c r="AD43" s="504">
        <v>154811.82</v>
      </c>
    </row>
    <row r="44" spans="1:30" s="323" customFormat="1" ht="12" customHeight="1" x14ac:dyDescent="0.25">
      <c r="A44" s="820"/>
      <c r="B44" s="823"/>
      <c r="C44" s="818"/>
      <c r="D44" s="829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818"/>
      <c r="AB44" s="502">
        <f>Z44</f>
        <v>3667.91</v>
      </c>
      <c r="AC44" s="504">
        <f t="shared" si="0"/>
        <v>2114.5099999999998</v>
      </c>
      <c r="AD44" s="504">
        <v>1553.4</v>
      </c>
    </row>
    <row r="45" spans="1:30" s="323" customFormat="1" ht="12" customHeight="1" thickBot="1" x14ac:dyDescent="0.3">
      <c r="A45" s="821"/>
      <c r="B45" s="824"/>
      <c r="C45" s="834"/>
      <c r="D45" s="830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819">
        <v>3</v>
      </c>
      <c r="B47" s="822" t="s">
        <v>146</v>
      </c>
      <c r="C47" s="825" t="s">
        <v>70</v>
      </c>
      <c r="D47" s="828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831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820"/>
      <c r="B48" s="823"/>
      <c r="C48" s="826"/>
      <c r="D48" s="829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832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820"/>
      <c r="B49" s="823"/>
      <c r="C49" s="826"/>
      <c r="D49" s="829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832"/>
      <c r="AB49" s="415">
        <f>Z49</f>
        <v>197627.09</v>
      </c>
      <c r="AC49" s="415"/>
      <c r="AD49" s="443"/>
    </row>
    <row r="50" spans="1:30" s="323" customFormat="1" ht="12" customHeight="1" x14ac:dyDescent="0.25">
      <c r="A50" s="820"/>
      <c r="B50" s="823"/>
      <c r="C50" s="826"/>
      <c r="D50" s="829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832"/>
      <c r="AB50" s="415"/>
      <c r="AC50" s="415"/>
      <c r="AD50" s="443"/>
    </row>
    <row r="51" spans="1:30" s="323" customFormat="1" ht="12" customHeight="1" thickBot="1" x14ac:dyDescent="0.3">
      <c r="A51" s="820"/>
      <c r="B51" s="823"/>
      <c r="C51" s="826"/>
      <c r="D51" s="829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833"/>
      <c r="AB51" s="415"/>
      <c r="AC51" s="415"/>
      <c r="AD51" s="444"/>
    </row>
    <row r="52" spans="1:30" s="323" customFormat="1" ht="12.6" customHeight="1" thickBot="1" x14ac:dyDescent="0.3">
      <c r="A52" s="821"/>
      <c r="B52" s="824"/>
      <c r="C52" s="827"/>
      <c r="D52" s="830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819">
        <v>4</v>
      </c>
      <c r="B53" s="822" t="s">
        <v>151</v>
      </c>
      <c r="C53" s="825" t="s">
        <v>71</v>
      </c>
      <c r="D53" s="828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815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835"/>
      <c r="B54" s="837"/>
      <c r="C54" s="818"/>
      <c r="D54" s="818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816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835"/>
      <c r="B55" s="837"/>
      <c r="C55" s="818"/>
      <c r="D55" s="818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816"/>
      <c r="AB55" s="369">
        <f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835"/>
      <c r="B56" s="837"/>
      <c r="C56" s="818"/>
      <c r="D56" s="818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816"/>
      <c r="AB56" s="369">
        <f>Z56</f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835"/>
      <c r="B57" s="837"/>
      <c r="C57" s="818"/>
      <c r="D57" s="818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816"/>
      <c r="AB57" s="370"/>
      <c r="AC57" s="370"/>
      <c r="AD57" s="446"/>
    </row>
    <row r="58" spans="1:30" s="323" customFormat="1" ht="13.2" customHeight="1" thickBot="1" x14ac:dyDescent="0.3">
      <c r="A58" s="836"/>
      <c r="B58" s="838"/>
      <c r="C58" s="834"/>
      <c r="D58" s="834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819">
        <v>5</v>
      </c>
      <c r="B59" s="822" t="s">
        <v>154</v>
      </c>
      <c r="C59" s="825" t="s">
        <v>72</v>
      </c>
      <c r="D59" s="828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835"/>
      <c r="B60" s="837"/>
      <c r="C60" s="818"/>
      <c r="D60" s="818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835"/>
      <c r="B61" s="837"/>
      <c r="C61" s="818"/>
      <c r="D61" s="818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835"/>
      <c r="B62" s="837"/>
      <c r="C62" s="818"/>
      <c r="D62" s="818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835"/>
      <c r="B63" s="837"/>
      <c r="C63" s="818"/>
      <c r="D63" s="818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836"/>
      <c r="B64" s="838"/>
      <c r="C64" s="834"/>
      <c r="D64" s="834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889" t="s">
        <v>181</v>
      </c>
      <c r="B2" s="889"/>
      <c r="C2" s="889"/>
      <c r="D2" s="890"/>
      <c r="E2" s="890"/>
    </row>
    <row r="3" spans="1:5" ht="15" customHeight="1" x14ac:dyDescent="0.25">
      <c r="A3" s="309"/>
      <c r="B3" s="309"/>
      <c r="C3" s="309"/>
      <c r="D3" s="869" t="s">
        <v>182</v>
      </c>
      <c r="E3" s="869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860">
        <v>1</v>
      </c>
      <c r="B5" s="863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860"/>
      <c r="B6" s="863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860"/>
      <c r="B7" s="863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860"/>
      <c r="B8" s="863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860"/>
      <c r="B9" s="863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860"/>
      <c r="B10" s="863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860"/>
      <c r="B11" s="863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860"/>
      <c r="B12" s="863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860"/>
      <c r="B13" s="863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860"/>
      <c r="B14" s="863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860"/>
      <c r="B15" s="863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860"/>
      <c r="B16" s="863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860"/>
      <c r="B17" s="863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860"/>
      <c r="B18" s="863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860"/>
      <c r="B19" s="863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820">
        <f>A5+1</f>
        <v>2</v>
      </c>
      <c r="B23" s="823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820"/>
      <c r="B24" s="823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820"/>
      <c r="B25" s="823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820"/>
      <c r="B26" s="823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820"/>
      <c r="B27" s="823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820"/>
      <c r="B28" s="823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820"/>
      <c r="B29" s="823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820"/>
      <c r="B30" s="823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820"/>
      <c r="B31" s="823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820"/>
      <c r="B32" s="823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820"/>
      <c r="B33" s="823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820"/>
      <c r="B34" s="823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820"/>
      <c r="B35" s="823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820"/>
      <c r="B36" s="823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820"/>
      <c r="B37" s="823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820"/>
      <c r="B38" s="823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820"/>
      <c r="B39" s="823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820"/>
      <c r="B40" s="823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820"/>
      <c r="B41" s="823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820"/>
      <c r="B42" s="823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819">
        <v>3</v>
      </c>
      <c r="B43" s="822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820"/>
      <c r="B44" s="823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820"/>
      <c r="B45" s="823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820"/>
      <c r="B46" s="823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821"/>
      <c r="B47" s="824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819">
        <v>4</v>
      </c>
      <c r="B48" s="822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835"/>
      <c r="B49" s="837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835"/>
      <c r="B50" s="837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835"/>
      <c r="B51" s="837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891" t="s">
        <v>6</v>
      </c>
      <c r="B1" s="891"/>
      <c r="C1" s="891"/>
      <c r="D1" s="891"/>
      <c r="E1" s="891"/>
      <c r="F1" s="891"/>
    </row>
    <row r="2" spans="1:8" s="91" customFormat="1" ht="12.75" customHeight="1" x14ac:dyDescent="0.25">
      <c r="A2" s="892"/>
      <c r="B2" s="892"/>
      <c r="C2" s="892"/>
      <c r="D2" s="892"/>
      <c r="E2" s="892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Закриті АВР з мат. зам</vt:lpstr>
      <vt:lpstr>Закриті АВР+незакриті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'Закриті АВР з мат. зам'!Область_печати</vt:lpstr>
      <vt:lpstr>'Закриті АВР+незакриті'!Область_печати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i.steblianko</cp:lastModifiedBy>
  <cp:lastPrinted>2024-08-21T05:36:00Z</cp:lastPrinted>
  <dcterms:created xsi:type="dcterms:W3CDTF">2016-07-15T13:11:41Z</dcterms:created>
  <dcterms:modified xsi:type="dcterms:W3CDTF">2024-12-23T16:05:24Z</dcterms:modified>
</cp:coreProperties>
</file>
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обота (Валя)\КМД\"/>
    </mc:Choice>
  </mc:AlternateContent>
  <bookViews>
    <workbookView xWindow="0" yWindow="-120" windowWidth="28800" windowHeight="12624" tabRatio="564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РеєстрАВР!$A$5:$AM$28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'!$A$2:$I$14</definedName>
    <definedName name="_xlnm.Print_Area" localSheetId="4">РеєстрАВР!$A$1:$L$28</definedName>
  </definedNames>
  <calcPr calcId="152511"/>
</workbook>
</file>

<file path=xl/calcChain.xml><?xml version="1.0" encoding="utf-8"?>
<calcChain xmlns="http://schemas.openxmlformats.org/spreadsheetml/2006/main">
  <c r="F28" i="27" l="1"/>
  <c r="G28" i="27"/>
  <c r="H28" i="27"/>
  <c r="E8" i="27"/>
  <c r="E7" i="27" l="1"/>
  <c r="E10" i="27" l="1"/>
  <c r="E14" i="22" l="1"/>
  <c r="F14" i="22"/>
  <c r="E9" i="27" l="1"/>
  <c r="E6" i="27" l="1"/>
  <c r="D14" i="22" l="1"/>
  <c r="C28" i="27" l="1"/>
  <c r="C14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<sst xmlns="http://schemas.openxmlformats.org/spreadsheetml/2006/main" count="487" uniqueCount="227">
  <si>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</si>
  <si>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</si>
  <si>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</si>
  <si>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</si>
  <si>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</si>
  <si>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</si>
  <si>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</si>
  <si>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</si>
  <si>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</si>
  <si>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</si>
  <si>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</si>
  <si>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</si>
  <si>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</si>
  <si>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</si>
  <si>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</si>
  <si>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</si>
  <si>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</si>
  <si>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</si>
  <si>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</si>
  <si>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</si>
  <si>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</si>
  <si>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</si>
  <si>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</si>
  <si>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</si>
  <si>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</si>
  <si>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</si>
  <si>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</si>
  <si>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</si>
  <si>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</si>
  <si>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</si>
  <si>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</si>
  <si>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</si>
  <si>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</si>
  <si>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</si>
  <si>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</si>
  <si>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</si>
  <si>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</si>
  <si>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</si>
  <si>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</si>
  <si>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</si>
  <si>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</si>
  <si>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</si>
  <si>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</si>
  <si>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</si>
  <si>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</si>
  <si>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</si>
  <si>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</si>
  <si>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</si>
  <si>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</si>
  <si>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</si>
  <si>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</si>
  <si>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</si>
  <si>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</si>
  <si>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</si>
  <si>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</si>
  <si>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</si>
  <si>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</si>
  <si>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</si>
  <si>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</si>
  <si>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</si>
  <si>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</si>
  <si>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</si>
  <si>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</si>
  <si>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</si>
  <si>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</si>
  <si>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</si>
  <si>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</si>
  <si>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</si>
  <si>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</si>
  <si>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</si>
  <si>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</si>
  <si>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</si>
  <si>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</si>
  <si>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</si>
  <si>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</si>
  <si>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</si>
  <si>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</si>
  <si>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</si>
  <si>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</si>
  <si>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</si>
  <si>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</si>
  <si>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</si>
  <si>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</si>
  <si>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</si>
  <si>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</si>
  <si>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</si>
  <si>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</si>
  <si>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</si>
  <si>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</si>
  <si>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</si>
  <si>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</si>
  <si>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</si>
  <si>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</si>
  <si>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</si>
  <si>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</si>
  <si>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</si>
  <si>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</si>
  <si>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</si>
  <si>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</si>
  <si>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</si>
  <si>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</si>
  <si>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</si>
  <si>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</si>
  <si>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</si>
  <si>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</si>
  <si>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</si>
  <si>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</si>
  <si>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</si>
  <si>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</si>
  <si>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</si>
  <si>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</si>
  <si>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</si>
  <si>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</si>
  <si>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</si>
  <si>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</si>
  <si>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</si>
  <si>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</si>
  <si>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</si>
  <si>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</si>
  <si>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</si>
  <si>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</si>
  <si>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</si>
  <si>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</si>
  <si>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</si>
  <si>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</si>
  <si>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</si>
  <si>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</si>
  <si>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</si>
  <si>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</si>
  <si>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</si>
  <si>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</si>
  <si>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</si>
  <si>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</si>
  <si>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</si>
  <si>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</si>
  <si>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</si>
  <si>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</si>
  <si>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</si>
  <si>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</si>
  <si>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</si>
  <si>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</si>
  <si>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</si>
  <si>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</si>
  <si>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</si>
  <si>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</si>
  <si>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</si>
  <si>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</si>
  <si>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</si>
  <si>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</si>
  <si>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</si>
  <si>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</si>
  <si>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</si>
  <si>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</si>
  <si>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</si>
  <si>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</si>
  <si>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</si>
  <si>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</si>
  <si>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</si>
  <si>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</si>
  <si>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</si>
  <si>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</si>
  <si>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</si>
  <si>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</si>
  <si>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</si>
  <si>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</si>
  <si>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</si>
  <si>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</si>
  <si>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</si>
  <si>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</si>
  <si>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</si>
  <si>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</si>
  <si>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</si>
  <si>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</si>
  <si>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</si>
  <si>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</si>
  <si>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</si>
  <si>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</si>
  <si>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</si>
  <si>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</si>
  <si>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</si>
  <si>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</si>
  <si>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</si>
  <si>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</si>
  <si>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</si>
  <si>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</si>
  <si>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</si>
  <si>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</si>
  <si>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</si>
  <si>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</si>
  <si>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</si>
  <si>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</si>
  <si>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</si>
  <si>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</si>
  <si>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</si>
  <si>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</si>
  <si>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</si>
  <si>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№20</t>
  </si>
  <si>
    <t>Оригінал в офісі</t>
  </si>
  <si>
    <t>Всього, грн з ПДВ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</si>
  <si>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</si>
  <si>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</si>
  <si>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</si>
  <si>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</si>
  <si>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</si>
  <si>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</si>
  <si>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</si>
  <si>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</si>
  <si>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</si>
  <si>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</si>
  <si>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СОРТИРОВКА по актам</t>
  </si>
  <si>
    <t xml:space="preserve"> Реєстр актів виконаних робіт по об'єкту "Нове будівництво виробничого - складського комплексу по вул. Путрівська в с.Путрівка, Фастівського району, Київської області , що здійснюється в 2023 році"</t>
  </si>
  <si>
    <t xml:space="preserve"> Реєстр ДЦ  по об'єкту "Нове будівництво виробничого - складського комплексу по вул. Путрівська в с.Путрівка, Фастівського району, Київської області , що здійснюється в 2023 році"</t>
  </si>
  <si>
    <t xml:space="preserve">Підготовчі роботи </t>
  </si>
  <si>
    <t>Резервуар фільтрації</t>
  </si>
  <si>
    <t>Пожежні резервуари. Насосна станція протипожежного призначення.</t>
  </si>
  <si>
    <t>13 09 2024</t>
  </si>
  <si>
    <t>02 10 2024</t>
  </si>
  <si>
    <t>Списання мат.</t>
  </si>
  <si>
    <t xml:space="preserve">31 10 2024 </t>
  </si>
  <si>
    <t>04 11 2024</t>
  </si>
  <si>
    <t>Робота генератора</t>
  </si>
  <si>
    <t>ДУ №1</t>
  </si>
  <si>
    <t>ДУ №2</t>
  </si>
  <si>
    <t>08 11 2024</t>
  </si>
  <si>
    <t>11 11 2024</t>
  </si>
  <si>
    <t xml:space="preserve">11 11 2024 </t>
  </si>
  <si>
    <t xml:space="preserve">19 11 2024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</si>
</sst>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</numFmts>
  <fonts count="5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rgb="FFFF3399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752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43" fontId="37" fillId="2" borderId="0" xfId="20" applyNumberFormat="1" applyFont="1" applyFill="1" applyBorder="1" applyAlignment="1">
      <alignment horizontal="center" vertical="center"/>
    </xf>
    <xf numFmtId="164" fontId="48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0" fontId="49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horizontal="center" vertical="center" wrapText="1"/>
    </xf>
    <xf numFmtId="164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0" fontId="51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76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175" fontId="49" fillId="10" borderId="2" xfId="20" applyNumberFormat="1" applyFont="1" applyFill="1" applyBorder="1" applyAlignment="1">
      <alignment vertical="center" wrapText="1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6" xfId="20" applyNumberFormat="1" applyFont="1" applyFill="1" applyBorder="1" applyAlignment="1">
      <alignment horizontal="center" vertical="center"/>
    </xf>
    <xf numFmtId="164" fontId="49" fillId="10" borderId="19" xfId="20" applyNumberFormat="1" applyFont="1" applyFill="1" applyBorder="1" applyAlignment="1">
      <alignment vertical="center"/>
    </xf>
    <xf numFmtId="167" fontId="48" fillId="0" borderId="2" xfId="21" applyNumberFormat="1" applyFont="1" applyFill="1" applyBorder="1" applyAlignment="1">
      <alignment horizontal="center" vertical="center"/>
    </xf>
    <xf numFmtId="1" fontId="52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left" vertical="center" wrapText="1"/>
    </xf>
    <xf numFmtId="1" fontId="49" fillId="10" borderId="3" xfId="20" applyNumberFormat="1" applyFont="1" applyFill="1" applyBorder="1" applyAlignment="1">
      <alignment horizontal="center" vertical="center"/>
    </xf>
    <xf numFmtId="1" fontId="52" fillId="10" borderId="3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left" vertical="center" wrapText="1"/>
    </xf>
    <xf numFmtId="164" fontId="49" fillId="10" borderId="19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center" vertical="center"/>
    </xf>
    <xf numFmtId="164" fontId="49" fillId="10" borderId="20" xfId="20" applyNumberFormat="1" applyFont="1" applyFill="1" applyBorder="1" applyAlignment="1">
      <alignment horizontal="center" vertical="center"/>
    </xf>
    <xf numFmtId="164" fontId="48" fillId="10" borderId="6" xfId="20" applyNumberFormat="1" applyFont="1" applyFill="1" applyBorder="1" applyAlignment="1">
      <alignment horizontal="center" vertical="center"/>
    </xf>
    <xf numFmtId="176" fontId="49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horizontal="center" vertical="center"/>
    </xf>
    <xf numFmtId="175" fontId="49" fillId="10" borderId="19" xfId="20" applyNumberFormat="1" applyFont="1" applyFill="1" applyBorder="1" applyAlignment="1">
      <alignment horizontal="center" vertical="center"/>
    </xf>
    <xf numFmtId="175" fontId="49" fillId="10" borderId="2" xfId="20" applyNumberFormat="1" applyFont="1" applyFill="1" applyBorder="1" applyAlignment="1">
      <alignment horizontal="center" vertical="center"/>
    </xf>
    <xf numFmtId="0" fontId="49" fillId="10" borderId="6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vertical="center" wrapText="1"/>
    </xf>
    <xf numFmtId="0" fontId="39" fillId="0" borderId="6" xfId="20" applyFont="1" applyBorder="1" applyAlignment="1">
      <alignment horizontal="center" vertical="center" wrapText="1"/>
    </xf>
    <xf numFmtId="0" fontId="39" fillId="0" borderId="0" xfId="20" applyFont="1" applyBorder="1" applyAlignment="1">
      <alignment horizontal="center" vertical="center" wrapText="1"/>
    </xf>
    <xf numFmtId="0" fontId="49" fillId="10" borderId="14" xfId="20" applyFont="1" applyFill="1" applyBorder="1" applyAlignment="1">
      <alignment horizontal="center" vertical="center"/>
    </xf>
    <xf numFmtId="1" fontId="49" fillId="10" borderId="10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vertical="center" wrapText="1"/>
    </xf>
    <xf numFmtId="0" fontId="49" fillId="10" borderId="12" xfId="20" applyFont="1" applyFill="1" applyBorder="1" applyAlignment="1">
      <alignment horizontal="left" vertical="center" wrapText="1"/>
    </xf>
    <xf numFmtId="164" fontId="49" fillId="10" borderId="11" xfId="20" applyNumberFormat="1" applyFont="1" applyFill="1" applyBorder="1" applyAlignment="1">
      <alignment horizontal="center" vertical="center"/>
    </xf>
    <xf numFmtId="0" fontId="49" fillId="10" borderId="14" xfId="20" applyFont="1" applyFill="1" applyBorder="1" applyAlignment="1">
      <alignment horizontal="left" vertical="center" wrapText="1"/>
    </xf>
    <xf numFmtId="164" fontId="49" fillId="10" borderId="10" xfId="20" applyNumberFormat="1" applyFont="1" applyFill="1" applyBorder="1" applyAlignment="1">
      <alignment horizontal="center" vertical="center"/>
    </xf>
    <xf numFmtId="164" fontId="51" fillId="10" borderId="2" xfId="20" applyNumberFormat="1" applyFont="1" applyFill="1" applyBorder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5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165" fontId="48" fillId="4" borderId="26" xfId="21" applyFont="1" applyFill="1" applyBorder="1" applyAlignment="1">
      <alignment horizontal="center" vertical="center" wrapText="1"/>
    </xf>
    <xf numFmtId="165" fontId="48" fillId="4" borderId="28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4" xfId="21" applyFont="1" applyFill="1" applyBorder="1" applyAlignment="1">
      <alignment horizontal="center" vertical="center" wrapText="1"/>
    </xf>
    <xf numFmtId="165" fontId="48" fillId="4" borderId="29" xfId="21" applyFont="1" applyFill="1" applyBorder="1" applyAlignment="1">
      <alignment horizontal="center" vertical="center" wrapText="1"/>
    </xf>
    <xf numFmtId="165" fontId="48" fillId="4" borderId="62" xfId="21" applyFont="1" applyFill="1" applyBorder="1" applyAlignment="1">
      <alignment horizontal="center" vertical="center" wrapText="1"/>
    </xf>
    <xf numFmtId="165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66" xfId="21" applyFont="1" applyFill="1" applyBorder="1" applyAlignment="1">
      <alignment horizontal="center" vertical="center" wrapText="1"/>
    </xf>
    <xf numFmtId="165" fontId="48" fillId="4" borderId="67" xfId="21" applyFont="1" applyFill="1" applyBorder="1" applyAlignment="1">
      <alignment horizontal="center" vertical="center" wrapText="1"/>
    </xf>
    <xf numFmtId="165" fontId="48" fillId="4" borderId="14" xfId="21" applyFont="1" applyFill="1" applyBorder="1" applyAlignment="1">
      <alignment horizontal="center" vertical="center" wrapText="1"/>
    </xf>
    <xf numFmtId="165" fontId="48" fillId="4" borderId="16" xfId="21" applyFont="1" applyFill="1" applyBorder="1" applyAlignment="1">
      <alignment horizontal="center" vertical="center" wrapText="1"/>
    </xf>
    <xf numFmtId="165" fontId="48" fillId="4" borderId="10" xfId="21" applyFont="1" applyFill="1" applyBorder="1" applyAlignment="1">
      <alignment horizontal="center" vertical="center" wrapText="1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3399"/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592" t="s">
        <v>37</v>
      </c>
      <c r="B5" s="592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592" t="s">
        <v>24</v>
      </c>
      <c r="B6" s="592"/>
      <c r="C6" s="82"/>
      <c r="D6" s="593"/>
      <c r="E6" s="593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592" t="s">
        <v>38</v>
      </c>
      <c r="B7" s="592"/>
      <c r="C7" s="592"/>
      <c r="D7" s="592"/>
      <c r="E7" s="592"/>
      <c r="F7" s="592"/>
      <c r="G7" s="592"/>
      <c r="H7" s="592"/>
      <c r="I7" s="592"/>
      <c r="J7" s="82"/>
      <c r="L7" s="61"/>
      <c r="V7" s="62"/>
      <c r="W7" s="63"/>
    </row>
    <row r="8" spans="1:23" s="60" customFormat="1" ht="12.75" customHeight="1" x14ac:dyDescent="0.25">
      <c r="A8" s="592" t="s">
        <v>39</v>
      </c>
      <c r="B8" s="592"/>
      <c r="C8" s="592"/>
      <c r="D8" s="592"/>
      <c r="E8" s="592"/>
      <c r="F8" s="592"/>
      <c r="G8" s="592"/>
      <c r="H8" s="592"/>
      <c r="I8" s="592"/>
      <c r="J8" s="82"/>
      <c r="L8" s="61"/>
      <c r="V8" s="62"/>
      <c r="W8" s="63"/>
    </row>
    <row r="9" spans="1:23" s="60" customFormat="1" ht="12.75" customHeight="1" x14ac:dyDescent="0.25">
      <c r="A9" s="591" t="s">
        <v>40</v>
      </c>
      <c r="B9" s="591"/>
      <c r="C9" s="591"/>
      <c r="D9" s="591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585" t="s">
        <v>0</v>
      </c>
      <c r="B11" s="585"/>
      <c r="C11" s="585"/>
      <c r="D11" s="585"/>
      <c r="E11" s="585"/>
      <c r="F11" s="585"/>
      <c r="G11" s="585"/>
      <c r="H11" s="585"/>
      <c r="I11" s="585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586" t="s">
        <v>1</v>
      </c>
      <c r="B13" s="587" t="s">
        <v>2</v>
      </c>
      <c r="C13" s="586" t="s">
        <v>13</v>
      </c>
      <c r="D13" s="588" t="s">
        <v>3</v>
      </c>
      <c r="E13" s="589" t="s">
        <v>14</v>
      </c>
      <c r="F13" s="590" t="s">
        <v>27</v>
      </c>
      <c r="G13" s="590"/>
      <c r="H13" s="588" t="s">
        <v>17</v>
      </c>
      <c r="I13" s="588"/>
      <c r="J13" s="595" t="s">
        <v>30</v>
      </c>
      <c r="K13" s="596"/>
      <c r="L13" s="597"/>
      <c r="M13" s="587" t="s">
        <v>26</v>
      </c>
      <c r="N13" s="587"/>
      <c r="O13" s="587"/>
      <c r="P13" s="587"/>
      <c r="Q13" s="587" t="s">
        <v>29</v>
      </c>
      <c r="R13" s="587"/>
      <c r="S13" s="587"/>
      <c r="T13" s="587"/>
      <c r="U13" s="587"/>
      <c r="V13" s="601" t="s">
        <v>34</v>
      </c>
      <c r="W13" s="602"/>
    </row>
    <row r="14" spans="1:23" s="3" customFormat="1" ht="20.25" customHeight="1" x14ac:dyDescent="0.25">
      <c r="A14" s="586"/>
      <c r="B14" s="587"/>
      <c r="C14" s="586"/>
      <c r="D14" s="588"/>
      <c r="E14" s="589"/>
      <c r="F14" s="588" t="s">
        <v>41</v>
      </c>
      <c r="G14" s="588"/>
      <c r="H14" s="588"/>
      <c r="I14" s="588"/>
      <c r="J14" s="598"/>
      <c r="K14" s="599"/>
      <c r="L14" s="600"/>
      <c r="M14" s="587"/>
      <c r="N14" s="587"/>
      <c r="O14" s="587"/>
      <c r="P14" s="587"/>
      <c r="Q14" s="587"/>
      <c r="R14" s="587"/>
      <c r="S14" s="587"/>
      <c r="T14" s="587"/>
      <c r="U14" s="587"/>
      <c r="V14" s="603"/>
      <c r="W14" s="604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03"/>
      <c r="W15" s="604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594" t="s">
        <v>32</v>
      </c>
      <c r="U16" s="594"/>
      <c r="V16" s="605"/>
      <c r="W16" s="606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16" t="s">
        <v>93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</row>
    <row r="2" spans="1:13" ht="16.2" thickBot="1" x14ac:dyDescent="0.3">
      <c r="M2" s="216"/>
    </row>
    <row r="3" spans="1:13" ht="31.5" customHeight="1" x14ac:dyDescent="0.25">
      <c r="A3" s="626" t="s">
        <v>84</v>
      </c>
      <c r="B3" s="628" t="s">
        <v>82</v>
      </c>
      <c r="C3" s="628" t="s">
        <v>86</v>
      </c>
      <c r="D3" s="628" t="s">
        <v>85</v>
      </c>
      <c r="E3" s="617" t="s">
        <v>83</v>
      </c>
      <c r="F3" s="621" t="s">
        <v>90</v>
      </c>
      <c r="G3" s="622"/>
      <c r="H3" s="623"/>
      <c r="I3" s="619" t="s">
        <v>9</v>
      </c>
      <c r="J3" s="624" t="s">
        <v>91</v>
      </c>
      <c r="K3" s="624"/>
      <c r="L3" s="625"/>
      <c r="M3" s="619" t="s">
        <v>50</v>
      </c>
    </row>
    <row r="4" spans="1:13" x14ac:dyDescent="0.25">
      <c r="A4" s="627"/>
      <c r="B4" s="629"/>
      <c r="C4" s="629"/>
      <c r="D4" s="629"/>
      <c r="E4" s="618"/>
      <c r="F4" s="145" t="s">
        <v>87</v>
      </c>
      <c r="G4" s="135" t="s">
        <v>88</v>
      </c>
      <c r="H4" s="135" t="s">
        <v>89</v>
      </c>
      <c r="I4" s="620"/>
      <c r="J4" s="143" t="s">
        <v>87</v>
      </c>
      <c r="K4" s="135" t="s">
        <v>88</v>
      </c>
      <c r="L4" s="135" t="s">
        <v>89</v>
      </c>
      <c r="M4" s="620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10">
        <v>4</v>
      </c>
      <c r="B6" s="607" t="s">
        <v>97</v>
      </c>
      <c r="C6" s="613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11"/>
      <c r="B7" s="608"/>
      <c r="C7" s="614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11"/>
      <c r="B8" s="608"/>
      <c r="C8" s="614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12"/>
      <c r="B9" s="609"/>
      <c r="C9" s="615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45" t="s">
        <v>84</v>
      </c>
      <c r="B2" s="645" t="s">
        <v>99</v>
      </c>
      <c r="C2" s="645" t="s">
        <v>86</v>
      </c>
      <c r="D2" s="645" t="s">
        <v>51</v>
      </c>
      <c r="E2" s="639" t="s">
        <v>100</v>
      </c>
      <c r="F2" s="640"/>
      <c r="G2" s="641"/>
      <c r="H2" s="642" t="s">
        <v>101</v>
      </c>
      <c r="I2" s="643"/>
      <c r="J2" s="643"/>
      <c r="K2" s="643"/>
      <c r="L2" s="643"/>
      <c r="M2" s="644"/>
      <c r="N2" s="639" t="s">
        <v>102</v>
      </c>
      <c r="O2" s="640"/>
      <c r="P2" s="641"/>
    </row>
    <row r="3" spans="1:16" ht="16.2" thickBot="1" x14ac:dyDescent="0.3">
      <c r="A3" s="646"/>
      <c r="B3" s="646"/>
      <c r="C3" s="646"/>
      <c r="D3" s="646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30">
        <v>4</v>
      </c>
      <c r="B4" s="633" t="s">
        <v>109</v>
      </c>
      <c r="C4" s="633" t="s">
        <v>94</v>
      </c>
      <c r="D4" s="633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31"/>
      <c r="B5" s="634"/>
      <c r="C5" s="634"/>
      <c r="D5" s="634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31"/>
      <c r="B6" s="634"/>
      <c r="C6" s="634"/>
      <c r="D6" s="634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31"/>
      <c r="B7" s="634"/>
      <c r="C7" s="634"/>
      <c r="D7" s="634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31"/>
      <c r="B8" s="634"/>
      <c r="C8" s="634"/>
      <c r="D8" s="635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31"/>
      <c r="B9" s="634"/>
      <c r="C9" s="634"/>
      <c r="D9" s="636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31"/>
      <c r="B10" s="634"/>
      <c r="C10" s="634"/>
      <c r="D10" s="637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31"/>
      <c r="B11" s="634"/>
      <c r="C11" s="634"/>
      <c r="D11" s="638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31"/>
      <c r="B12" s="634"/>
      <c r="C12" s="634"/>
      <c r="D12" s="633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31"/>
      <c r="B13" s="634"/>
      <c r="C13" s="634"/>
      <c r="D13" s="634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31"/>
      <c r="B14" s="634"/>
      <c r="C14" s="634"/>
      <c r="D14" s="635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31"/>
      <c r="B15" s="634"/>
      <c r="C15" s="634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32"/>
      <c r="B16" s="635"/>
      <c r="C16" s="635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0"/>
  <sheetViews>
    <sheetView showWhiteSpace="0" zoomScale="81" zoomScaleNormal="81" zoomScaleSheetLayoutView="76" workbookViewId="0">
      <pane ySplit="5" topLeftCell="A6" activePane="bottomLeft" state="frozen"/>
      <selection pane="bottomLeft" activeCell="E9" sqref="E9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647" t="s">
        <v>211</v>
      </c>
      <c r="B1" s="647"/>
      <c r="C1" s="647"/>
      <c r="D1" s="647"/>
      <c r="E1" s="647"/>
      <c r="F1" s="647"/>
      <c r="G1" s="647"/>
      <c r="H1" s="647"/>
      <c r="I1" s="647"/>
    </row>
    <row r="2" spans="1:36" ht="59.4" customHeight="1" thickBot="1" x14ac:dyDescent="0.3">
      <c r="A2" s="647"/>
      <c r="B2" s="647"/>
      <c r="C2" s="647"/>
      <c r="D2" s="647"/>
      <c r="E2" s="647"/>
      <c r="F2" s="647"/>
      <c r="G2" s="647"/>
      <c r="H2" s="647"/>
      <c r="I2" s="647"/>
    </row>
    <row r="3" spans="1:36" ht="17.399999999999999" customHeight="1" x14ac:dyDescent="0.25">
      <c r="A3" s="648" t="s">
        <v>124</v>
      </c>
      <c r="B3" s="661" t="s">
        <v>185</v>
      </c>
      <c r="C3" s="651" t="s">
        <v>191</v>
      </c>
      <c r="D3" s="651" t="s">
        <v>192</v>
      </c>
      <c r="E3" s="651" t="s">
        <v>194</v>
      </c>
      <c r="F3" s="651" t="s">
        <v>186</v>
      </c>
      <c r="G3" s="654" t="s">
        <v>9</v>
      </c>
      <c r="H3" s="655"/>
      <c r="I3" s="658" t="s">
        <v>190</v>
      </c>
    </row>
    <row r="4" spans="1:36" ht="21" customHeight="1" x14ac:dyDescent="0.25">
      <c r="A4" s="649"/>
      <c r="B4" s="662"/>
      <c r="C4" s="652"/>
      <c r="D4" s="652"/>
      <c r="E4" s="652"/>
      <c r="F4" s="652"/>
      <c r="G4" s="656"/>
      <c r="H4" s="656" t="s">
        <v>189</v>
      </c>
      <c r="I4" s="659"/>
    </row>
    <row r="5" spans="1:36" ht="30" customHeight="1" thickBot="1" x14ac:dyDescent="0.3">
      <c r="A5" s="650"/>
      <c r="B5" s="663"/>
      <c r="C5" s="653"/>
      <c r="D5" s="653"/>
      <c r="E5" s="653"/>
      <c r="F5" s="653"/>
      <c r="G5" s="657"/>
      <c r="H5" s="657"/>
      <c r="I5" s="660"/>
    </row>
    <row r="6" spans="1:36" s="323" customFormat="1" ht="49.2" customHeight="1" x14ac:dyDescent="0.25">
      <c r="A6" s="566" t="s">
        <v>53</v>
      </c>
      <c r="B6" s="564" t="s">
        <v>212</v>
      </c>
      <c r="C6" s="565">
        <v>6911341.5800000001</v>
      </c>
      <c r="D6" s="571">
        <v>1659729.7630374997</v>
      </c>
      <c r="E6" s="570">
        <v>8571071.343037501</v>
      </c>
      <c r="F6" s="558">
        <v>6008752.151541125</v>
      </c>
      <c r="G6" s="543" t="s">
        <v>187</v>
      </c>
      <c r="H6" s="565" t="s">
        <v>215</v>
      </c>
      <c r="I6" s="565"/>
      <c r="J6" s="533" t="s">
        <v>199</v>
      </c>
      <c r="K6" s="554" t="s">
        <v>205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52" t="s">
        <v>221</v>
      </c>
      <c r="B7" s="551" t="s">
        <v>213</v>
      </c>
      <c r="C7" s="549">
        <v>3212962.4</v>
      </c>
      <c r="D7" s="572">
        <v>2179694.1143955933</v>
      </c>
      <c r="E7" s="568">
        <v>5392656.5143955927</v>
      </c>
      <c r="F7" s="557">
        <v>4087279.8236969076</v>
      </c>
      <c r="G7" s="543" t="s">
        <v>187</v>
      </c>
      <c r="H7" s="557" t="s">
        <v>216</v>
      </c>
      <c r="I7" s="573"/>
      <c r="J7" s="307" t="s">
        <v>188</v>
      </c>
      <c r="K7" s="554" t="s">
        <v>206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552" t="s">
        <v>222</v>
      </c>
      <c r="B8" s="545" t="s">
        <v>214</v>
      </c>
      <c r="C8" s="540">
        <v>5519308.1999999993</v>
      </c>
      <c r="D8" s="549">
        <v>5640919.8693417767</v>
      </c>
      <c r="E8" s="539">
        <v>11160228.069341775</v>
      </c>
      <c r="F8" s="540">
        <v>8725800.9573433846</v>
      </c>
      <c r="G8" s="584" t="s">
        <v>193</v>
      </c>
      <c r="H8" s="549" t="s">
        <v>219</v>
      </c>
      <c r="I8" s="574"/>
      <c r="J8" s="533" t="s">
        <v>193</v>
      </c>
      <c r="K8" s="554" t="s">
        <v>207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6.6" customHeight="1" x14ac:dyDescent="0.25">
      <c r="A9" s="552" t="s">
        <v>71</v>
      </c>
      <c r="B9" s="545" t="s">
        <v>220</v>
      </c>
      <c r="C9" s="540"/>
      <c r="D9" s="549"/>
      <c r="E9" s="539">
        <v>123240</v>
      </c>
      <c r="F9" s="540">
        <v>54392</v>
      </c>
      <c r="G9" s="584" t="s">
        <v>193</v>
      </c>
      <c r="H9" s="549" t="s">
        <v>223</v>
      </c>
      <c r="I9" s="540"/>
      <c r="J9" s="307" t="s">
        <v>187</v>
      </c>
      <c r="K9" s="554" t="s">
        <v>203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552" t="s">
        <v>72</v>
      </c>
      <c r="B10" s="545"/>
      <c r="C10" s="540"/>
      <c r="D10" s="549"/>
      <c r="E10" s="539"/>
      <c r="F10" s="540"/>
      <c r="G10" s="543"/>
      <c r="H10" s="549"/>
      <c r="I10" s="540"/>
      <c r="J10" s="534" t="s">
        <v>197</v>
      </c>
      <c r="K10" s="554" t="s">
        <v>208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52" t="s">
        <v>73</v>
      </c>
      <c r="B11" s="556"/>
      <c r="C11" s="549"/>
      <c r="D11" s="549"/>
      <c r="E11" s="539"/>
      <c r="F11" s="549"/>
      <c r="G11" s="543"/>
      <c r="H11" s="543"/>
      <c r="I11" s="543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552" t="s">
        <v>74</v>
      </c>
      <c r="B12" s="556"/>
      <c r="C12" s="549"/>
      <c r="D12" s="549"/>
      <c r="E12" s="539"/>
      <c r="F12" s="549"/>
      <c r="G12" s="543"/>
      <c r="H12" s="543"/>
      <c r="I12" s="543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52" t="s">
        <v>77</v>
      </c>
      <c r="B13" s="551"/>
      <c r="C13" s="540"/>
      <c r="D13" s="540"/>
      <c r="E13" s="544"/>
      <c r="F13" s="540"/>
      <c r="G13" s="549"/>
      <c r="H13" s="543"/>
      <c r="I13" s="549"/>
      <c r="J13" s="537"/>
      <c r="K13" s="538"/>
      <c r="L13" s="536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4" customFormat="1" ht="22.95" customHeight="1" x14ac:dyDescent="0.25">
      <c r="A14" s="546"/>
      <c r="B14" s="546" t="s">
        <v>47</v>
      </c>
      <c r="C14" s="547">
        <f>SUM(C6:C13)</f>
        <v>15643612.18</v>
      </c>
      <c r="D14" s="547">
        <f>SUM(D6:D13)</f>
        <v>9480343.7467748709</v>
      </c>
      <c r="E14" s="547">
        <f>SUM(E6:E13)</f>
        <v>25247195.926774867</v>
      </c>
      <c r="F14" s="547">
        <f>SUM(F6:F13)</f>
        <v>18876224.932581417</v>
      </c>
      <c r="G14" s="547"/>
      <c r="H14" s="547"/>
      <c r="I14" s="547"/>
    </row>
    <row r="15" spans="1:36" x14ac:dyDescent="0.25">
      <c r="C15" s="339"/>
      <c r="D15" s="339"/>
      <c r="E15" s="339"/>
      <c r="F15" s="339"/>
      <c r="G15" s="339"/>
      <c r="H15" s="339"/>
      <c r="I15" s="339"/>
    </row>
    <row r="16" spans="1:36" x14ac:dyDescent="0.25">
      <c r="C16" s="339"/>
      <c r="D16" s="339"/>
      <c r="E16" s="339"/>
      <c r="F16" s="339"/>
      <c r="G16" s="339"/>
      <c r="H16" s="339"/>
      <c r="I16" s="339"/>
    </row>
    <row r="17" spans="3:9" x14ac:dyDescent="0.25">
      <c r="C17" s="339"/>
      <c r="D17" s="339"/>
      <c r="E17" s="339"/>
      <c r="F17" s="339"/>
      <c r="G17" s="339"/>
      <c r="H17" s="339"/>
      <c r="I17" s="339"/>
    </row>
    <row r="18" spans="3:9" x14ac:dyDescent="0.25">
      <c r="C18" s="339"/>
      <c r="D18" s="339"/>
      <c r="E18" s="339"/>
      <c r="F18" s="339"/>
      <c r="G18" s="339"/>
      <c r="H18" s="339"/>
      <c r="I18" s="339"/>
    </row>
    <row r="19" spans="3:9" x14ac:dyDescent="0.25">
      <c r="C19" s="339"/>
      <c r="D19" s="339"/>
      <c r="E19" s="339"/>
      <c r="F19" s="339"/>
      <c r="G19" s="339"/>
      <c r="H19" s="339"/>
      <c r="I19" s="339"/>
    </row>
    <row r="20" spans="3:9" x14ac:dyDescent="0.25">
      <c r="C20" s="339"/>
      <c r="D20" s="339"/>
      <c r="E20" s="339"/>
      <c r="F20" s="339"/>
      <c r="G20" s="339"/>
      <c r="H20" s="339"/>
      <c r="I20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3"/>
  <sheetViews>
    <sheetView tabSelected="1" showWhiteSpace="0" zoomScale="73" zoomScaleNormal="73" zoomScaleSheetLayoutView="36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29" sqref="F29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0.6640625" style="342" customWidth="1"/>
    <col min="4" max="4" width="8.6640625" style="342" customWidth="1"/>
    <col min="5" max="5" width="19.88671875" style="342" customWidth="1" outlineLevel="1"/>
    <col min="6" max="6" width="21.6640625" style="342" customWidth="1"/>
    <col min="7" max="8" width="19.88671875" style="342" customWidth="1"/>
    <col min="9" max="9" width="24.109375" style="342" customWidth="1"/>
    <col min="10" max="11" width="18.5546875" style="342" customWidth="1"/>
    <col min="12" max="12" width="39.109375" style="342" customWidth="1"/>
    <col min="13" max="13" width="21.5546875" style="308" customWidth="1"/>
    <col min="14" max="14" width="36.77734375" style="308" customWidth="1"/>
    <col min="15" max="15" width="16.44140625" style="308" customWidth="1"/>
    <col min="16" max="16384" width="9.109375" style="308"/>
  </cols>
  <sheetData>
    <row r="1" spans="1:39" ht="16.95" customHeight="1" x14ac:dyDescent="0.25">
      <c r="A1" s="647" t="s">
        <v>210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</row>
    <row r="2" spans="1:39" ht="59.4" customHeight="1" thickBot="1" x14ac:dyDescent="0.3">
      <c r="A2" s="664"/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</row>
    <row r="3" spans="1:39" ht="17.399999999999999" customHeight="1" x14ac:dyDescent="0.25">
      <c r="A3" s="648" t="s">
        <v>124</v>
      </c>
      <c r="B3" s="661" t="s">
        <v>185</v>
      </c>
      <c r="C3" s="651" t="s">
        <v>194</v>
      </c>
      <c r="D3" s="665" t="s">
        <v>195</v>
      </c>
      <c r="E3" s="666"/>
      <c r="F3" s="666"/>
      <c r="G3" s="666"/>
      <c r="H3" s="666"/>
      <c r="I3" s="666"/>
      <c r="J3" s="667"/>
      <c r="K3" s="672" t="s">
        <v>217</v>
      </c>
      <c r="L3" s="658" t="s">
        <v>190</v>
      </c>
    </row>
    <row r="4" spans="1:39" ht="12.6" customHeight="1" x14ac:dyDescent="0.25">
      <c r="A4" s="649"/>
      <c r="B4" s="662"/>
      <c r="C4" s="652"/>
      <c r="D4" s="668"/>
      <c r="E4" s="669"/>
      <c r="F4" s="669"/>
      <c r="G4" s="669"/>
      <c r="H4" s="669"/>
      <c r="I4" s="669"/>
      <c r="J4" s="670"/>
      <c r="K4" s="673"/>
      <c r="L4" s="659"/>
    </row>
    <row r="5" spans="1:39" ht="40.950000000000003" customHeight="1" thickBot="1" x14ac:dyDescent="0.3">
      <c r="A5" s="650"/>
      <c r="B5" s="671"/>
      <c r="C5" s="652"/>
      <c r="D5" s="553" t="s">
        <v>126</v>
      </c>
      <c r="E5" s="553" t="s">
        <v>209</v>
      </c>
      <c r="F5" s="553" t="s">
        <v>198</v>
      </c>
      <c r="G5" s="553" t="s">
        <v>192</v>
      </c>
      <c r="H5" s="553" t="s">
        <v>191</v>
      </c>
      <c r="I5" s="553" t="s">
        <v>9</v>
      </c>
      <c r="J5" s="553" t="s">
        <v>189</v>
      </c>
      <c r="K5" s="657"/>
      <c r="L5" s="660"/>
    </row>
    <row r="6" spans="1:39" s="323" customFormat="1" ht="49.2" customHeight="1" x14ac:dyDescent="0.25">
      <c r="A6" s="577" t="s">
        <v>53</v>
      </c>
      <c r="B6" s="580" t="s">
        <v>212</v>
      </c>
      <c r="C6" s="581">
        <v>6911341.5800000001</v>
      </c>
      <c r="D6" s="578" t="s">
        <v>53</v>
      </c>
      <c r="E6" s="569">
        <f t="shared" ref="E6:E10" si="0">IFERROR(VALUE(MID(D6,2,LEN(D6)-1)),"")</f>
        <v>1</v>
      </c>
      <c r="F6" s="570">
        <v>984600.24</v>
      </c>
      <c r="G6" s="565"/>
      <c r="H6" s="565">
        <v>984600.24</v>
      </c>
      <c r="I6" s="548" t="s">
        <v>187</v>
      </c>
      <c r="J6" s="557" t="s">
        <v>218</v>
      </c>
      <c r="K6" s="567"/>
      <c r="L6" s="567"/>
      <c r="M6" s="533" t="s">
        <v>200</v>
      </c>
      <c r="N6" s="554" t="s">
        <v>201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</row>
    <row r="7" spans="1:39" s="323" customFormat="1" ht="52.95" customHeight="1" x14ac:dyDescent="0.25">
      <c r="A7" s="577" t="s">
        <v>53</v>
      </c>
      <c r="B7" s="582"/>
      <c r="C7" s="583"/>
      <c r="D7" s="578" t="s">
        <v>69</v>
      </c>
      <c r="E7" s="569">
        <f t="shared" ref="E7:E8" si="1">IFERROR(VALUE(MID(D7,2,LEN(D7)-1)),"")</f>
        <v>2</v>
      </c>
      <c r="F7" s="568">
        <v>1252857.3600000001</v>
      </c>
      <c r="G7" s="549"/>
      <c r="H7" s="557">
        <v>1252857.3600000001</v>
      </c>
      <c r="I7" s="548" t="s">
        <v>187</v>
      </c>
      <c r="J7" s="557" t="s">
        <v>218</v>
      </c>
      <c r="K7" s="557"/>
      <c r="L7" s="542"/>
      <c r="M7" s="307"/>
      <c r="N7" s="536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</row>
    <row r="8" spans="1:39" s="323" customFormat="1" ht="52.95" customHeight="1" x14ac:dyDescent="0.25">
      <c r="A8" s="577" t="s">
        <v>53</v>
      </c>
      <c r="B8" s="582"/>
      <c r="C8" s="583"/>
      <c r="D8" s="578" t="s">
        <v>70</v>
      </c>
      <c r="E8" s="569">
        <f t="shared" si="1"/>
        <v>3</v>
      </c>
      <c r="F8" s="568">
        <v>1416306.48</v>
      </c>
      <c r="G8" s="549"/>
      <c r="H8" s="557">
        <v>1416306.48</v>
      </c>
      <c r="I8" s="548" t="s">
        <v>187</v>
      </c>
      <c r="J8" s="557" t="s">
        <v>225</v>
      </c>
      <c r="K8" s="557"/>
      <c r="L8" s="542"/>
      <c r="M8" s="307"/>
      <c r="N8" s="536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</row>
    <row r="9" spans="1:39" s="323" customFormat="1" ht="52.95" customHeight="1" x14ac:dyDescent="0.25">
      <c r="A9" s="577" t="s">
        <v>53</v>
      </c>
      <c r="B9" s="582"/>
      <c r="C9" s="583"/>
      <c r="D9" s="578" t="s">
        <v>71</v>
      </c>
      <c r="E9" s="569">
        <f t="shared" si="0"/>
        <v>4</v>
      </c>
      <c r="F9" s="568">
        <v>106236.09</v>
      </c>
      <c r="G9" s="549">
        <v>80296.09</v>
      </c>
      <c r="H9" s="557">
        <v>25940</v>
      </c>
      <c r="I9" s="548" t="s">
        <v>193</v>
      </c>
      <c r="J9" s="557" t="s">
        <v>226</v>
      </c>
      <c r="K9" s="557"/>
      <c r="L9" s="542"/>
      <c r="M9" s="307"/>
      <c r="N9" s="536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</row>
    <row r="10" spans="1:39" s="323" customFormat="1" ht="46.2" customHeight="1" x14ac:dyDescent="0.25">
      <c r="A10" s="552" t="s">
        <v>221</v>
      </c>
      <c r="B10" s="579" t="s">
        <v>213</v>
      </c>
      <c r="C10" s="581">
        <v>5392656.5143955927</v>
      </c>
      <c r="D10" s="541" t="s">
        <v>53</v>
      </c>
      <c r="E10" s="569">
        <f t="shared" si="0"/>
        <v>1</v>
      </c>
      <c r="F10" s="539">
        <v>530072.60988</v>
      </c>
      <c r="G10" s="549">
        <v>250580.20988000004</v>
      </c>
      <c r="H10" s="549">
        <v>279492.40000000002</v>
      </c>
      <c r="I10" s="548" t="s">
        <v>187</v>
      </c>
      <c r="J10" s="557" t="s">
        <v>224</v>
      </c>
      <c r="K10" s="557"/>
      <c r="L10" s="543"/>
      <c r="M10" s="533" t="s">
        <v>193</v>
      </c>
      <c r="N10" s="554" t="s">
        <v>202</v>
      </c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</row>
    <row r="11" spans="1:39" s="323" customFormat="1" ht="39.75" customHeight="1" x14ac:dyDescent="0.25">
      <c r="A11" s="552" t="s">
        <v>71</v>
      </c>
      <c r="B11" s="545"/>
      <c r="C11" s="545"/>
      <c r="D11" s="541"/>
      <c r="E11" s="550"/>
      <c r="F11" s="539"/>
      <c r="G11" s="549"/>
      <c r="H11" s="549"/>
      <c r="I11" s="549"/>
      <c r="J11" s="557"/>
      <c r="K11" s="557"/>
      <c r="L11" s="542"/>
      <c r="M11" s="307" t="s">
        <v>187</v>
      </c>
      <c r="N11" s="554" t="s">
        <v>203</v>
      </c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</row>
    <row r="12" spans="1:39" s="323" customFormat="1" ht="39.75" customHeight="1" x14ac:dyDescent="0.25">
      <c r="A12" s="552" t="s">
        <v>72</v>
      </c>
      <c r="B12" s="545"/>
      <c r="C12" s="545"/>
      <c r="D12" s="541"/>
      <c r="E12" s="550"/>
      <c r="F12" s="539"/>
      <c r="G12" s="549"/>
      <c r="H12" s="549"/>
      <c r="I12" s="549"/>
      <c r="J12" s="557"/>
      <c r="K12" s="557"/>
      <c r="L12" s="540"/>
      <c r="M12" s="533"/>
      <c r="N12" s="575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</row>
    <row r="13" spans="1:39" s="323" customFormat="1" ht="39.75" customHeight="1" x14ac:dyDescent="0.25">
      <c r="A13" s="552" t="s">
        <v>73</v>
      </c>
      <c r="B13" s="545"/>
      <c r="C13" s="545"/>
      <c r="D13" s="541"/>
      <c r="E13" s="550"/>
      <c r="F13" s="539"/>
      <c r="G13" s="549"/>
      <c r="H13" s="549"/>
      <c r="I13" s="549"/>
      <c r="J13" s="557"/>
      <c r="K13" s="557"/>
      <c r="L13" s="540"/>
      <c r="M13" s="533"/>
      <c r="N13" s="576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</row>
    <row r="14" spans="1:39" s="323" customFormat="1" ht="39.75" customHeight="1" x14ac:dyDescent="0.25">
      <c r="A14" s="552" t="s">
        <v>74</v>
      </c>
      <c r="B14" s="545"/>
      <c r="C14" s="545"/>
      <c r="D14" s="560"/>
      <c r="E14" s="550"/>
      <c r="F14" s="539"/>
      <c r="G14" s="549"/>
      <c r="H14" s="549"/>
      <c r="I14" s="548"/>
      <c r="J14" s="557"/>
      <c r="K14" s="557"/>
      <c r="L14" s="555"/>
      <c r="M14" s="533"/>
      <c r="N14" s="576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</row>
    <row r="15" spans="1:39" s="323" customFormat="1" ht="38.25" customHeight="1" x14ac:dyDescent="0.25">
      <c r="A15" s="552" t="s">
        <v>77</v>
      </c>
      <c r="B15" s="545"/>
      <c r="C15" s="545"/>
      <c r="D15" s="562"/>
      <c r="E15" s="550"/>
      <c r="F15" s="539"/>
      <c r="G15" s="549"/>
      <c r="H15" s="549"/>
      <c r="I15" s="549"/>
      <c r="J15" s="549"/>
      <c r="K15" s="549"/>
      <c r="L15" s="543"/>
      <c r="M15" s="307"/>
      <c r="N15" s="576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</row>
    <row r="16" spans="1:39" s="323" customFormat="1" ht="38.25" customHeight="1" x14ac:dyDescent="0.25">
      <c r="A16" s="552" t="s">
        <v>78</v>
      </c>
      <c r="B16" s="545"/>
      <c r="C16" s="545"/>
      <c r="D16" s="562"/>
      <c r="E16" s="550"/>
      <c r="F16" s="539"/>
      <c r="G16" s="549"/>
      <c r="H16" s="549"/>
      <c r="I16" s="549"/>
      <c r="J16" s="557"/>
      <c r="K16" s="557"/>
      <c r="L16" s="543"/>
      <c r="M16" s="307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</row>
    <row r="17" spans="1:39" s="323" customFormat="1" ht="38.25" customHeight="1" x14ac:dyDescent="0.25">
      <c r="A17" s="552" t="s">
        <v>76</v>
      </c>
      <c r="B17" s="545"/>
      <c r="C17" s="545"/>
      <c r="D17" s="562"/>
      <c r="E17" s="550"/>
      <c r="F17" s="539"/>
      <c r="G17" s="549"/>
      <c r="H17" s="549"/>
      <c r="I17" s="549"/>
      <c r="J17" s="557"/>
      <c r="K17" s="557"/>
      <c r="L17" s="543"/>
      <c r="M17" s="307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</row>
    <row r="18" spans="1:39" s="323" customFormat="1" ht="38.25" customHeight="1" x14ac:dyDescent="0.25">
      <c r="A18" s="552" t="s">
        <v>79</v>
      </c>
      <c r="B18" s="545"/>
      <c r="C18" s="545"/>
      <c r="D18" s="562"/>
      <c r="E18" s="550"/>
      <c r="F18" s="539"/>
      <c r="G18" s="549"/>
      <c r="H18" s="549"/>
      <c r="I18" s="549"/>
      <c r="J18" s="557"/>
      <c r="K18" s="557"/>
      <c r="L18" s="542"/>
      <c r="M18" s="307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</row>
    <row r="19" spans="1:39" s="323" customFormat="1" ht="38.25" customHeight="1" x14ac:dyDescent="0.25">
      <c r="A19" s="552" t="s">
        <v>75</v>
      </c>
      <c r="B19" s="545"/>
      <c r="C19" s="545"/>
      <c r="D19" s="562"/>
      <c r="E19" s="550"/>
      <c r="F19" s="539"/>
      <c r="G19" s="549"/>
      <c r="H19" s="549"/>
      <c r="I19" s="549"/>
      <c r="J19" s="543"/>
      <c r="K19" s="543"/>
      <c r="L19" s="555"/>
      <c r="M19" s="307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</row>
    <row r="20" spans="1:39" s="323" customFormat="1" ht="38.25" customHeight="1" x14ac:dyDescent="0.25">
      <c r="A20" s="552" t="s">
        <v>80</v>
      </c>
      <c r="B20" s="545"/>
      <c r="C20" s="545"/>
      <c r="D20" s="562"/>
      <c r="E20" s="550"/>
      <c r="F20" s="539"/>
      <c r="G20" s="549"/>
      <c r="H20" s="549"/>
      <c r="I20" s="549"/>
      <c r="J20" s="557"/>
      <c r="K20" s="557"/>
      <c r="L20" s="555"/>
      <c r="M20" s="307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</row>
    <row r="21" spans="1:39" s="323" customFormat="1" ht="38.25" customHeight="1" x14ac:dyDescent="0.25">
      <c r="A21" s="552" t="s">
        <v>81</v>
      </c>
      <c r="B21" s="545"/>
      <c r="C21" s="545"/>
      <c r="D21" s="563"/>
      <c r="E21" s="550"/>
      <c r="F21" s="539"/>
      <c r="G21" s="549"/>
      <c r="H21" s="549"/>
      <c r="I21" s="548"/>
      <c r="J21" s="557"/>
      <c r="K21" s="557"/>
      <c r="L21" s="555"/>
      <c r="M21" s="307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</row>
    <row r="22" spans="1:39" s="323" customFormat="1" ht="36" customHeight="1" x14ac:dyDescent="0.25">
      <c r="A22" s="552" t="s">
        <v>158</v>
      </c>
      <c r="B22" s="545"/>
      <c r="C22" s="545"/>
      <c r="D22" s="562"/>
      <c r="E22" s="550"/>
      <c r="F22" s="539"/>
      <c r="G22" s="549"/>
      <c r="H22" s="549"/>
      <c r="I22" s="549"/>
      <c r="J22" s="557"/>
      <c r="K22" s="557"/>
      <c r="L22" s="543"/>
      <c r="M22" s="534" t="s">
        <v>197</v>
      </c>
      <c r="N22" s="554" t="s">
        <v>204</v>
      </c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</row>
    <row r="23" spans="1:39" s="323" customFormat="1" ht="33" customHeight="1" x14ac:dyDescent="0.25">
      <c r="A23" s="552" t="s">
        <v>169</v>
      </c>
      <c r="B23" s="545"/>
      <c r="C23" s="545"/>
      <c r="D23" s="562"/>
      <c r="E23" s="550"/>
      <c r="F23" s="539"/>
      <c r="G23" s="549"/>
      <c r="H23" s="549"/>
      <c r="I23" s="549"/>
      <c r="J23" s="549"/>
      <c r="K23" s="549"/>
      <c r="L23" s="543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</row>
    <row r="24" spans="1:39" s="323" customFormat="1" ht="32.4" customHeight="1" x14ac:dyDescent="0.25">
      <c r="A24" s="552" t="s">
        <v>170</v>
      </c>
      <c r="B24" s="545"/>
      <c r="C24" s="545"/>
      <c r="D24" s="562"/>
      <c r="E24" s="550"/>
      <c r="F24" s="539"/>
      <c r="G24" s="549"/>
      <c r="H24" s="549"/>
      <c r="I24" s="542"/>
      <c r="J24" s="549"/>
      <c r="K24" s="549"/>
      <c r="L24" s="543"/>
      <c r="M24" s="318"/>
      <c r="N24" s="535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</row>
    <row r="25" spans="1:39" s="323" customFormat="1" ht="32.4" customHeight="1" x14ac:dyDescent="0.25">
      <c r="A25" s="552" t="s">
        <v>171</v>
      </c>
      <c r="B25" s="545"/>
      <c r="C25" s="545"/>
      <c r="D25" s="562"/>
      <c r="E25" s="550"/>
      <c r="F25" s="539"/>
      <c r="G25" s="549"/>
      <c r="H25" s="549"/>
      <c r="I25" s="549"/>
      <c r="J25" s="557"/>
      <c r="K25" s="557"/>
      <c r="L25" s="543"/>
      <c r="M25" s="318"/>
      <c r="N25" s="535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</row>
    <row r="26" spans="1:39" s="323" customFormat="1" ht="32.4" customHeight="1" x14ac:dyDescent="0.25">
      <c r="A26" s="552" t="s">
        <v>172</v>
      </c>
      <c r="B26" s="545"/>
      <c r="C26" s="545"/>
      <c r="D26" s="562"/>
      <c r="E26" s="550"/>
      <c r="F26" s="539"/>
      <c r="G26" s="549"/>
      <c r="H26" s="549"/>
      <c r="I26" s="549"/>
      <c r="J26" s="557"/>
      <c r="K26" s="557"/>
      <c r="L26" s="561"/>
      <c r="M26" s="318"/>
      <c r="N26" s="535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</row>
    <row r="27" spans="1:39" s="323" customFormat="1" ht="38.25" customHeight="1" x14ac:dyDescent="0.25">
      <c r="A27" s="552" t="s">
        <v>196</v>
      </c>
      <c r="B27" s="545"/>
      <c r="C27" s="545"/>
      <c r="D27" s="563"/>
      <c r="E27" s="550"/>
      <c r="F27" s="539"/>
      <c r="G27" s="549"/>
      <c r="H27" s="549"/>
      <c r="I27" s="548"/>
      <c r="J27" s="557"/>
      <c r="K27" s="557"/>
      <c r="L27" s="555"/>
      <c r="M27" s="307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</row>
    <row r="28" spans="1:39" s="324" customFormat="1" ht="22.95" customHeight="1" x14ac:dyDescent="0.25">
      <c r="A28" s="546"/>
      <c r="B28" s="546" t="s">
        <v>47</v>
      </c>
      <c r="C28" s="547">
        <f>SUM(C6:C27)</f>
        <v>12303998.094395593</v>
      </c>
      <c r="D28" s="559"/>
      <c r="E28" s="559"/>
      <c r="F28" s="547">
        <f>SUM(F6:F27)</f>
        <v>4290072.7798800003</v>
      </c>
      <c r="G28" s="547">
        <f>SUM(G6:G27)</f>
        <v>330876.29988000006</v>
      </c>
      <c r="H28" s="547">
        <f>SUM(H6:H27)</f>
        <v>3959196.48</v>
      </c>
      <c r="I28" s="547"/>
      <c r="J28" s="547"/>
      <c r="K28" s="547"/>
      <c r="L28" s="547"/>
    </row>
    <row r="29" spans="1:39" x14ac:dyDescent="0.25">
      <c r="C29" s="339"/>
      <c r="D29" s="339"/>
      <c r="E29" s="339"/>
      <c r="F29" s="339"/>
      <c r="G29" s="339"/>
      <c r="H29" s="339"/>
      <c r="I29" s="339"/>
      <c r="J29" s="339"/>
      <c r="K29" s="339"/>
      <c r="L29" s="339"/>
    </row>
    <row r="30" spans="1:39" x14ac:dyDescent="0.25">
      <c r="C30" s="339"/>
      <c r="D30" s="339"/>
      <c r="E30" s="339"/>
      <c r="F30" s="339"/>
      <c r="G30" s="339"/>
      <c r="H30" s="339"/>
      <c r="I30" s="339"/>
      <c r="J30" s="339"/>
      <c r="K30" s="339"/>
      <c r="L30" s="339"/>
    </row>
    <row r="31" spans="1:39" x14ac:dyDescent="0.25">
      <c r="C31" s="339"/>
      <c r="D31" s="339"/>
      <c r="E31" s="339"/>
      <c r="F31" s="339"/>
      <c r="G31" s="339"/>
      <c r="H31" s="339"/>
      <c r="I31" s="339"/>
      <c r="J31" s="339"/>
      <c r="K31" s="339"/>
      <c r="L31" s="339"/>
    </row>
    <row r="32" spans="1:39" x14ac:dyDescent="0.25">
      <c r="C32" s="339"/>
      <c r="D32" s="339"/>
      <c r="E32" s="339"/>
      <c r="F32" s="339"/>
      <c r="G32" s="339"/>
      <c r="H32" s="339"/>
      <c r="I32" s="339"/>
      <c r="J32" s="339"/>
      <c r="K32" s="339"/>
      <c r="L32" s="339"/>
    </row>
    <row r="33" spans="3:12" x14ac:dyDescent="0.25">
      <c r="C33" s="339"/>
      <c r="D33" s="339"/>
      <c r="E33" s="339"/>
      <c r="F33" s="339"/>
      <c r="G33" s="339"/>
      <c r="H33" s="339"/>
      <c r="I33" s="339"/>
      <c r="J33" s="339"/>
      <c r="K33" s="339"/>
      <c r="L33" s="339"/>
    </row>
  </sheetData>
  <autoFilter ref="A5:AM28"/>
  <mergeCells count="7">
    <mergeCell ref="A1:L2"/>
    <mergeCell ref="L3:L5"/>
    <mergeCell ref="D3:J4"/>
    <mergeCell ref="A3:A5"/>
    <mergeCell ref="B3:B5"/>
    <mergeCell ref="C3:C5"/>
    <mergeCell ref="K3:K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6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674" t="s">
        <v>149</v>
      </c>
      <c r="B2" s="674"/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4"/>
      <c r="P2" s="674"/>
      <c r="Q2" s="674"/>
      <c r="R2" s="674"/>
      <c r="S2" s="674"/>
      <c r="T2" s="674"/>
      <c r="U2" s="674"/>
      <c r="V2" s="674"/>
      <c r="W2" s="674"/>
      <c r="X2" s="674"/>
      <c r="Y2" s="674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675" t="s">
        <v>118</v>
      </c>
      <c r="B4" s="678" t="s">
        <v>2</v>
      </c>
      <c r="C4" s="681" t="s">
        <v>119</v>
      </c>
      <c r="D4" s="682"/>
      <c r="E4" s="685" t="s">
        <v>120</v>
      </c>
      <c r="F4" s="688" t="s">
        <v>121</v>
      </c>
      <c r="G4" s="689"/>
      <c r="H4" s="689"/>
      <c r="I4" s="689"/>
      <c r="J4" s="689"/>
      <c r="K4" s="689"/>
      <c r="L4" s="689"/>
      <c r="M4" s="689"/>
      <c r="N4" s="689"/>
      <c r="O4" s="689"/>
      <c r="P4" s="689"/>
      <c r="Q4" s="689"/>
      <c r="R4" s="689"/>
      <c r="S4" s="689"/>
      <c r="T4" s="689"/>
      <c r="U4" s="689"/>
      <c r="V4" s="689"/>
      <c r="W4" s="690"/>
      <c r="X4" s="512"/>
      <c r="Y4" s="681" t="s">
        <v>122</v>
      </c>
      <c r="Z4" s="691"/>
      <c r="AA4" s="682"/>
      <c r="AB4" s="693" t="s">
        <v>123</v>
      </c>
      <c r="AC4" s="694"/>
      <c r="AD4" s="695"/>
    </row>
    <row r="5" spans="1:30" ht="15.45" customHeight="1" x14ac:dyDescent="0.25">
      <c r="A5" s="676"/>
      <c r="B5" s="679"/>
      <c r="C5" s="683"/>
      <c r="D5" s="684"/>
      <c r="E5" s="686"/>
      <c r="F5" s="688" t="s">
        <v>143</v>
      </c>
      <c r="G5" s="690"/>
      <c r="H5" s="688" t="s">
        <v>144</v>
      </c>
      <c r="I5" s="690"/>
      <c r="J5" s="688" t="s">
        <v>145</v>
      </c>
      <c r="K5" s="690"/>
      <c r="L5" s="688" t="s">
        <v>156</v>
      </c>
      <c r="M5" s="690"/>
      <c r="N5" s="688" t="s">
        <v>155</v>
      </c>
      <c r="O5" s="690"/>
      <c r="P5" s="688" t="s">
        <v>159</v>
      </c>
      <c r="Q5" s="690"/>
      <c r="R5" s="688" t="s">
        <v>166</v>
      </c>
      <c r="S5" s="690"/>
      <c r="T5" s="688"/>
      <c r="U5" s="690"/>
      <c r="V5" s="688"/>
      <c r="W5" s="690"/>
      <c r="X5" s="513"/>
      <c r="Y5" s="683"/>
      <c r="Z5" s="692"/>
      <c r="AA5" s="684"/>
      <c r="AB5" s="696"/>
      <c r="AC5" s="697"/>
      <c r="AD5" s="698"/>
    </row>
    <row r="6" spans="1:30" ht="27.75" customHeight="1" x14ac:dyDescent="0.25">
      <c r="A6" s="677"/>
      <c r="B6" s="680"/>
      <c r="C6" s="314" t="s">
        <v>124</v>
      </c>
      <c r="D6" s="315" t="s">
        <v>125</v>
      </c>
      <c r="E6" s="687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09">
        <v>1</v>
      </c>
      <c r="B8" s="725" t="s">
        <v>95</v>
      </c>
      <c r="C8" s="699" t="s">
        <v>53</v>
      </c>
      <c r="D8" s="703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06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23"/>
      <c r="B9" s="726"/>
      <c r="C9" s="700"/>
      <c r="D9" s="704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07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23"/>
      <c r="B10" s="726"/>
      <c r="C10" s="700"/>
      <c r="D10" s="704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07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23"/>
      <c r="B11" s="726"/>
      <c r="C11" s="700"/>
      <c r="D11" s="704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07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23"/>
      <c r="B12" s="726"/>
      <c r="C12" s="700"/>
      <c r="D12" s="704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07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23"/>
      <c r="B13" s="726"/>
      <c r="C13" s="700"/>
      <c r="D13" s="704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07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23"/>
      <c r="B14" s="726"/>
      <c r="C14" s="700"/>
      <c r="D14" s="704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07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23"/>
      <c r="B15" s="726"/>
      <c r="C15" s="700"/>
      <c r="D15" s="704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07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23"/>
      <c r="B16" s="726"/>
      <c r="C16" s="700"/>
      <c r="D16" s="704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07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23"/>
      <c r="B17" s="726"/>
      <c r="C17" s="700"/>
      <c r="D17" s="704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07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23"/>
      <c r="B18" s="726"/>
      <c r="C18" s="700"/>
      <c r="D18" s="704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07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23"/>
      <c r="B19" s="726"/>
      <c r="C19" s="700"/>
      <c r="D19" s="704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07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23"/>
      <c r="B20" s="726"/>
      <c r="C20" s="700"/>
      <c r="D20" s="704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07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23"/>
      <c r="B21" s="726"/>
      <c r="C21" s="701"/>
      <c r="D21" s="704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07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24"/>
      <c r="B22" s="727"/>
      <c r="C22" s="702"/>
      <c r="D22" s="705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08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18">
        <v>2</v>
      </c>
      <c r="B25" s="719" t="s">
        <v>157</v>
      </c>
      <c r="C25" s="679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21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11"/>
      <c r="B26" s="720"/>
      <c r="C26" s="702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22"/>
      <c r="AB26" s="418"/>
      <c r="AC26" s="418"/>
      <c r="AD26" s="419"/>
    </row>
    <row r="27" spans="1:30" s="323" customFormat="1" ht="12" customHeight="1" x14ac:dyDescent="0.25">
      <c r="A27" s="709">
        <v>3</v>
      </c>
      <c r="B27" s="712" t="s">
        <v>98</v>
      </c>
      <c r="C27" s="510"/>
      <c r="D27" s="715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10"/>
      <c r="B28" s="713"/>
      <c r="C28" s="511"/>
      <c r="D28" s="716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11"/>
      <c r="B29" s="714"/>
      <c r="C29" s="397"/>
      <c r="D29" s="717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28">
        <f>A8+1</f>
        <v>2</v>
      </c>
      <c r="B30" s="729" t="s">
        <v>152</v>
      </c>
      <c r="C30" s="732" t="s">
        <v>69</v>
      </c>
      <c r="D30" s="733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36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37"/>
      <c r="B31" s="739"/>
      <c r="C31" s="741"/>
      <c r="D31" s="743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01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37"/>
      <c r="B32" s="739"/>
      <c r="C32" s="701"/>
      <c r="D32" s="743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01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37"/>
      <c r="B33" s="739"/>
      <c r="C33" s="701"/>
      <c r="D33" s="743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01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37"/>
      <c r="B34" s="739"/>
      <c r="C34" s="701"/>
      <c r="D34" s="743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01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37"/>
      <c r="B35" s="739"/>
      <c r="C35" s="701"/>
      <c r="D35" s="743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01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37"/>
      <c r="B36" s="739"/>
      <c r="C36" s="701"/>
      <c r="D36" s="743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01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37"/>
      <c r="B37" s="739"/>
      <c r="C37" s="701"/>
      <c r="D37" s="743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01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37"/>
      <c r="B38" s="739"/>
      <c r="C38" s="701"/>
      <c r="D38" s="743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01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37"/>
      <c r="B39" s="739"/>
      <c r="C39" s="701"/>
      <c r="D39" s="743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01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37"/>
      <c r="B40" s="739"/>
      <c r="C40" s="701"/>
      <c r="D40" s="743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01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37"/>
      <c r="B41" s="739"/>
      <c r="C41" s="701"/>
      <c r="D41" s="743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01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37"/>
      <c r="B42" s="739"/>
      <c r="C42" s="701"/>
      <c r="D42" s="743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01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37"/>
      <c r="B43" s="739"/>
      <c r="C43" s="701"/>
      <c r="D43" s="743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01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37"/>
      <c r="B44" s="739"/>
      <c r="C44" s="701"/>
      <c r="D44" s="743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01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38"/>
      <c r="B45" s="740"/>
      <c r="C45" s="702"/>
      <c r="D45" s="744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28">
        <v>3</v>
      </c>
      <c r="B47" s="729" t="s">
        <v>146</v>
      </c>
      <c r="C47" s="732" t="s">
        <v>70</v>
      </c>
      <c r="D47" s="733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45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37"/>
      <c r="B48" s="739"/>
      <c r="C48" s="741"/>
      <c r="D48" s="743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46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37"/>
      <c r="B49" s="739"/>
      <c r="C49" s="741"/>
      <c r="D49" s="743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46"/>
      <c r="AB49" s="415">
        <f>Z49</f>
        <v>197627.09</v>
      </c>
      <c r="AC49" s="415"/>
      <c r="AD49" s="443"/>
    </row>
    <row r="50" spans="1:30" s="323" customFormat="1" ht="12" customHeight="1" x14ac:dyDescent="0.25">
      <c r="A50" s="737"/>
      <c r="B50" s="739"/>
      <c r="C50" s="741"/>
      <c r="D50" s="743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46"/>
      <c r="AB50" s="415"/>
      <c r="AC50" s="415"/>
      <c r="AD50" s="443"/>
    </row>
    <row r="51" spans="1:30" s="323" customFormat="1" ht="12" customHeight="1" thickBot="1" x14ac:dyDescent="0.3">
      <c r="A51" s="737"/>
      <c r="B51" s="739"/>
      <c r="C51" s="741"/>
      <c r="D51" s="743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47"/>
      <c r="AB51" s="415"/>
      <c r="AC51" s="415"/>
      <c r="AD51" s="444"/>
    </row>
    <row r="52" spans="1:30" s="323" customFormat="1" ht="12.6" customHeight="1" thickBot="1" x14ac:dyDescent="0.3">
      <c r="A52" s="738"/>
      <c r="B52" s="740"/>
      <c r="C52" s="742"/>
      <c r="D52" s="744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28">
        <v>4</v>
      </c>
      <c r="B53" s="729" t="s">
        <v>151</v>
      </c>
      <c r="C53" s="732" t="s">
        <v>71</v>
      </c>
      <c r="D53" s="733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34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10"/>
      <c r="B54" s="730"/>
      <c r="C54" s="701"/>
      <c r="D54" s="701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35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10"/>
      <c r="B55" s="730"/>
      <c r="C55" s="701"/>
      <c r="D55" s="701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35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10"/>
      <c r="B56" s="730"/>
      <c r="C56" s="701"/>
      <c r="D56" s="701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35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10"/>
      <c r="B57" s="730"/>
      <c r="C57" s="701"/>
      <c r="D57" s="701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35"/>
      <c r="AB57" s="370"/>
      <c r="AC57" s="370"/>
      <c r="AD57" s="446"/>
    </row>
    <row r="58" spans="1:30" s="323" customFormat="1" ht="13.2" customHeight="1" thickBot="1" x14ac:dyDescent="0.3">
      <c r="A58" s="711"/>
      <c r="B58" s="731"/>
      <c r="C58" s="702"/>
      <c r="D58" s="702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28">
        <v>5</v>
      </c>
      <c r="B59" s="729" t="s">
        <v>154</v>
      </c>
      <c r="C59" s="732" t="s">
        <v>72</v>
      </c>
      <c r="D59" s="733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10"/>
      <c r="B60" s="730"/>
      <c r="C60" s="701"/>
      <c r="D60" s="701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10"/>
      <c r="B61" s="730"/>
      <c r="C61" s="701"/>
      <c r="D61" s="701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10"/>
      <c r="B62" s="730"/>
      <c r="C62" s="701"/>
      <c r="D62" s="701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10"/>
      <c r="B63" s="730"/>
      <c r="C63" s="701"/>
      <c r="D63" s="701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11"/>
      <c r="B64" s="731"/>
      <c r="C64" s="702"/>
      <c r="D64" s="702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48" t="s">
        <v>181</v>
      </c>
      <c r="B2" s="748"/>
      <c r="C2" s="748"/>
      <c r="D2" s="749"/>
      <c r="E2" s="749"/>
    </row>
    <row r="3" spans="1:5" ht="15" customHeight="1" x14ac:dyDescent="0.25">
      <c r="A3" s="309"/>
      <c r="B3" s="309"/>
      <c r="C3" s="309"/>
      <c r="D3" s="697" t="s">
        <v>182</v>
      </c>
      <c r="E3" s="697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23">
        <v>1</v>
      </c>
      <c r="B5" s="726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23"/>
      <c r="B6" s="726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23"/>
      <c r="B7" s="726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23"/>
      <c r="B8" s="726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23"/>
      <c r="B9" s="726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23"/>
      <c r="B10" s="726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23"/>
      <c r="B11" s="726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23"/>
      <c r="B12" s="726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23"/>
      <c r="B13" s="726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23"/>
      <c r="B14" s="726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23"/>
      <c r="B15" s="726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23"/>
      <c r="B16" s="726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23"/>
      <c r="B17" s="726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23"/>
      <c r="B18" s="726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23"/>
      <c r="B19" s="726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37">
        <f>A5+1</f>
        <v>2</v>
      </c>
      <c r="B23" s="739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37"/>
      <c r="B24" s="739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37"/>
      <c r="B25" s="739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37"/>
      <c r="B26" s="739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37"/>
      <c r="B27" s="739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37"/>
      <c r="B28" s="739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37"/>
      <c r="B29" s="739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37"/>
      <c r="B30" s="739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37"/>
      <c r="B31" s="739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37"/>
      <c r="B32" s="739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37"/>
      <c r="B33" s="739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37"/>
      <c r="B34" s="739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37"/>
      <c r="B35" s="739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37"/>
      <c r="B36" s="739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37"/>
      <c r="B37" s="739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37"/>
      <c r="B38" s="739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37"/>
      <c r="B39" s="739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37"/>
      <c r="B40" s="739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37"/>
      <c r="B41" s="739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37"/>
      <c r="B42" s="739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28">
        <v>3</v>
      </c>
      <c r="B43" s="729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37"/>
      <c r="B44" s="739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37"/>
      <c r="B45" s="739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37"/>
      <c r="B46" s="739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38"/>
      <c r="B47" s="740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28">
        <v>4</v>
      </c>
      <c r="B48" s="729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10"/>
      <c r="B49" s="730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10"/>
      <c r="B50" s="730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10"/>
      <c r="B51" s="730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750" t="s">
        <v>6</v>
      </c>
      <c r="B1" s="750"/>
      <c r="C1" s="750"/>
      <c r="D1" s="750"/>
      <c r="E1" s="750"/>
      <c r="F1" s="750"/>
    </row>
    <row r="2" spans="1:8" s="91" customFormat="1" ht="12.75" customHeight="1" x14ac:dyDescent="0.25">
      <c r="A2" s="751"/>
      <c r="B2" s="751"/>
      <c r="C2" s="751"/>
      <c r="D2" s="751"/>
      <c r="E2" s="751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2024-09-30T08:37:48Z</cp:lastPrinted>
  <dcterms:created xsi:type="dcterms:W3CDTF">2016-07-15T13:11:41Z</dcterms:created>
  <dcterms:modified xsi:type="dcterms:W3CDTF">2024-11-19T12:38:21Z</dcterms:modified>
</cp:coreProperties>
</file>
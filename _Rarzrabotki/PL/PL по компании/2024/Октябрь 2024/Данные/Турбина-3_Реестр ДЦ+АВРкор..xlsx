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ТУРБИНА 3\Накопление\Реестр АВР\"/>
    </mc:Choice>
  </mc:AlternateContent>
  <bookViews>
    <workbookView xWindow="28680" yWindow="-120" windowWidth="29040" windowHeight="15840" firstSheet="3" activeTab="4"/>
  </bookViews>
  <sheets>
    <sheet name="ноябрь" sheetId="10" state="hidden" r:id="rId1"/>
    <sheet name="Реєстр ДЦ" sheetId="18" state="hidden" r:id="rId2"/>
    <sheet name="Реєстр АВР" sheetId="19" state="hidden" r:id="rId3"/>
    <sheet name="Реєстр ДЦ " sheetId="22" r:id="rId4"/>
    <sheet name="РеєстрАВР" sheetId="27" r:id="rId5"/>
    <sheet name="Реєстр ДЦ  (2)" sheetId="28" state="hidden" r:id="rId6"/>
    <sheet name="10 акт переносится" sheetId="25" state="hidden" r:id="rId7"/>
    <sheet name="материал Ладижин" sheetId="26" state="hidden" r:id="rId8"/>
    <sheet name="Пожарка подрядчик" sheetId="17" state="hidden" r:id="rId9"/>
    <sheet name="Лист1" sheetId="15" state="hidden" r:id="rId10"/>
  </sheets>
  <definedNames>
    <definedName name="_xlnm._FilterDatabase" localSheetId="6" hidden="1">'10 акт переносится'!$A$7:$AD$31</definedName>
    <definedName name="_xlnm._FilterDatabase" localSheetId="7" hidden="1">'материал Ладижин'!$A$5:$E$24</definedName>
    <definedName name="_xlnm._FilterDatabase" localSheetId="0" hidden="1">ноябрь!$A$15:$N$19</definedName>
    <definedName name="_xlnm._FilterDatabase" localSheetId="8" hidden="1">'Пожарка подрядчик'!$A$4:$H$17</definedName>
    <definedName name="_xlnm._FilterDatabase" localSheetId="3" hidden="1">'Реєстр ДЦ '!$A$7:$I$7</definedName>
    <definedName name="_xlnm._FilterDatabase" localSheetId="5" hidden="1">'Реєстр ДЦ  (2)'!$A$6:$H$6</definedName>
    <definedName name="_xlnm._FilterDatabase" localSheetId="4" hidden="1">РеєстрАВР!$A$4:$AI$102</definedName>
    <definedName name="_xlnm.Print_Area" localSheetId="6">'10 акт переносится'!$A$2:$Y$72</definedName>
    <definedName name="_xlnm.Print_Area" localSheetId="7">'материал Ладижин'!$A$2:$C$59</definedName>
    <definedName name="_xlnm.Print_Area" localSheetId="0">ноябрь!$A$1:$I$27</definedName>
    <definedName name="_xlnm.Print_Area" localSheetId="8">'Пожарка подрядчик'!$A$1:$F$23</definedName>
    <definedName name="_xlnm.Print_Area" localSheetId="2">'Реєстр АВР'!$A$1:$P$18</definedName>
    <definedName name="_xlnm.Print_Area" localSheetId="3">'Реєстр ДЦ '!$A$2:$I$36</definedName>
    <definedName name="_xlnm.Print_Area" localSheetId="5">'Реєстр ДЦ  (2)'!$A$2:$J$35</definedName>
    <definedName name="_xlnm.Print_Area" localSheetId="4">РеєстрАВР!$A$1:$J$103</definedName>
  </definedNames>
  <calcPr calcId="152511"/>
</workbook>
</file>

<file path=xl/calcChain.xml><?xml version="1.0" encoding="utf-8"?>
<calcChain xmlns="http://schemas.openxmlformats.org/spreadsheetml/2006/main">
  <c r="G25" i="27" l="1"/>
  <c r="G18" i="27"/>
  <c r="E102" i="27" l="1"/>
  <c r="G96" i="27"/>
  <c r="G86" i="27"/>
  <c r="G83" i="27"/>
  <c r="G82" i="27"/>
  <c r="G64" i="27"/>
  <c r="G57" i="27"/>
  <c r="G54" i="27"/>
  <c r="G51" i="27"/>
  <c r="G45" i="27"/>
  <c r="G32" i="27"/>
  <c r="G27" i="27"/>
  <c r="G24" i="27"/>
  <c r="G17" i="27"/>
  <c r="F65" i="27" l="1"/>
  <c r="G9" i="27" l="1"/>
  <c r="D32" i="22" l="1"/>
  <c r="E32" i="22"/>
  <c r="F89" i="27" l="1"/>
  <c r="G89" i="27" s="1"/>
  <c r="G75" i="27"/>
  <c r="F71" i="27"/>
  <c r="F69" i="27"/>
  <c r="G69" i="27" s="1"/>
  <c r="F63" i="27"/>
  <c r="G63" i="27" s="1"/>
  <c r="F60" i="27"/>
  <c r="G60" i="27" s="1"/>
  <c r="F50" i="27" l="1"/>
  <c r="G50" i="27" s="1"/>
  <c r="G95" i="27"/>
  <c r="G94" i="27"/>
  <c r="G93" i="27"/>
  <c r="G92" i="27"/>
  <c r="G91" i="27"/>
  <c r="F30" i="27"/>
  <c r="G30" i="27" s="1"/>
  <c r="G36" i="27"/>
  <c r="G7" i="27"/>
  <c r="G8" i="27"/>
  <c r="G10" i="27"/>
  <c r="G11" i="27"/>
  <c r="G13" i="27"/>
  <c r="G14" i="27"/>
  <c r="G15" i="27"/>
  <c r="G23" i="27"/>
  <c r="G33" i="27"/>
  <c r="G34" i="27"/>
  <c r="G38" i="27"/>
  <c r="G39" i="27"/>
  <c r="G40" i="27"/>
  <c r="G42" i="27"/>
  <c r="G47" i="27"/>
  <c r="G49" i="27"/>
  <c r="G59" i="27"/>
  <c r="G66" i="27"/>
  <c r="G68" i="27"/>
  <c r="G72" i="27"/>
  <c r="G73" i="27"/>
  <c r="G76" i="27"/>
  <c r="G79" i="27"/>
  <c r="G85" i="27"/>
  <c r="G88" i="27"/>
  <c r="G90" i="27"/>
  <c r="G100" i="27"/>
  <c r="G101" i="27"/>
  <c r="G6" i="27"/>
  <c r="F36" i="22" l="1"/>
  <c r="F31" i="22" l="1"/>
  <c r="D31" i="22" l="1"/>
  <c r="D36" i="22" s="1"/>
  <c r="F81" i="27" l="1"/>
  <c r="G81" i="27" s="1"/>
  <c r="F78" i="27"/>
  <c r="G78" i="27" s="1"/>
  <c r="F74" i="27"/>
  <c r="G74" i="27" s="1"/>
  <c r="F62" i="27"/>
  <c r="G62" i="27" s="1"/>
  <c r="F53" i="27"/>
  <c r="G53" i="27" s="1"/>
  <c r="F20" i="27" l="1"/>
  <c r="G20" i="27" s="1"/>
  <c r="F44" i="27" l="1"/>
  <c r="G44" i="27" s="1"/>
  <c r="F29" i="27"/>
  <c r="G29" i="27" s="1"/>
  <c r="F22" i="27"/>
  <c r="G22" i="27" s="1"/>
  <c r="F19" i="27"/>
  <c r="G19" i="27" s="1"/>
  <c r="F99" i="27" l="1"/>
  <c r="G99" i="27" s="1"/>
  <c r="F87" i="27"/>
  <c r="G87" i="27" s="1"/>
  <c r="F84" i="27"/>
  <c r="G84" i="27" s="1"/>
  <c r="F80" i="27"/>
  <c r="G80" i="27" s="1"/>
  <c r="F77" i="27"/>
  <c r="G77" i="27" s="1"/>
  <c r="F70" i="27"/>
  <c r="G70" i="27" s="1"/>
  <c r="F67" i="27"/>
  <c r="G67" i="27" s="1"/>
  <c r="F61" i="27"/>
  <c r="G61" i="27" s="1"/>
  <c r="F58" i="27"/>
  <c r="G58" i="27" s="1"/>
  <c r="F56" i="27"/>
  <c r="E56" i="27" s="1"/>
  <c r="H101" i="27" s="1"/>
  <c r="F52" i="27"/>
  <c r="G52" i="27" s="1"/>
  <c r="F48" i="27"/>
  <c r="G48" i="27" s="1"/>
  <c r="G56" i="27" l="1"/>
  <c r="F98" i="27"/>
  <c r="G98" i="27" s="1"/>
  <c r="F43" i="27"/>
  <c r="G43" i="27" s="1"/>
  <c r="K39" i="27"/>
  <c r="F41" i="27"/>
  <c r="G41" i="27" s="1"/>
  <c r="K36" i="27"/>
  <c r="F37" i="27"/>
  <c r="G37" i="27" s="1"/>
  <c r="F31" i="27"/>
  <c r="G31" i="27" s="1"/>
  <c r="F28" i="27"/>
  <c r="G28" i="27" s="1"/>
  <c r="K26" i="27"/>
  <c r="F26" i="27"/>
  <c r="G26" i="27" s="1"/>
  <c r="F21" i="27"/>
  <c r="G21" i="27" s="1"/>
  <c r="K15" i="27"/>
  <c r="F16" i="27"/>
  <c r="G16" i="27" s="1"/>
  <c r="K11" i="27"/>
  <c r="K10" i="27"/>
  <c r="K7" i="27"/>
  <c r="K6" i="27"/>
  <c r="F12" i="27"/>
  <c r="G12" i="27" l="1"/>
  <c r="E30" i="22"/>
  <c r="D29" i="22" l="1"/>
  <c r="F55" i="27" l="1"/>
  <c r="F102" i="27" s="1"/>
  <c r="G55" i="27" l="1"/>
  <c r="G102" i="27" s="1"/>
  <c r="A8" i="22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7" i="22"/>
  <c r="E35" i="28"/>
  <c r="D35" i="28"/>
  <c r="C35" i="28"/>
  <c r="C102" i="27" l="1"/>
  <c r="E36" i="22"/>
  <c r="G103" i="27" l="1"/>
  <c r="F103" i="27"/>
  <c r="E103" i="27"/>
  <c r="C103" i="27" l="1"/>
  <c r="E48" i="26" l="1"/>
  <c r="E49" i="26"/>
  <c r="E50" i="26"/>
  <c r="E43" i="26"/>
  <c r="E44" i="26"/>
  <c r="E45" i="26"/>
  <c r="E46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22" i="26"/>
  <c r="E21" i="26"/>
  <c r="E47" i="26" l="1"/>
  <c r="E42" i="26"/>
  <c r="E51" i="26"/>
  <c r="E6" i="26" l="1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5" i="26"/>
  <c r="E20" i="26" l="1"/>
  <c r="E52" i="26" s="1"/>
  <c r="A23" i="26"/>
  <c r="X39" i="25" l="1"/>
  <c r="X40" i="25" s="1"/>
  <c r="W65" i="25" l="1"/>
  <c r="U65" i="25"/>
  <c r="Q65" i="25"/>
  <c r="O65" i="25"/>
  <c r="K65" i="25"/>
  <c r="I65" i="25"/>
  <c r="AD58" i="25"/>
  <c r="Z58" i="25"/>
  <c r="AB56" i="25"/>
  <c r="AC56" i="25" s="1"/>
  <c r="AC58" i="25" s="1"/>
  <c r="M56" i="25"/>
  <c r="AB55" i="25"/>
  <c r="M55" i="25"/>
  <c r="AB54" i="25"/>
  <c r="M54" i="25"/>
  <c r="AB53" i="25"/>
  <c r="AD52" i="25"/>
  <c r="AB49" i="25"/>
  <c r="Z48" i="25"/>
  <c r="AB48" i="25" s="1"/>
  <c r="AC47" i="25"/>
  <c r="AB44" i="25"/>
  <c r="AC44" i="25" s="1"/>
  <c r="AB43" i="25"/>
  <c r="AC43" i="25" s="1"/>
  <c r="AB42" i="25"/>
  <c r="AC42" i="25" s="1"/>
  <c r="S42" i="25"/>
  <c r="S65" i="25" s="1"/>
  <c r="AB41" i="25"/>
  <c r="AC41" i="25" s="1"/>
  <c r="AC40" i="25"/>
  <c r="AC39" i="25"/>
  <c r="Z38" i="25"/>
  <c r="AB38" i="25" s="1"/>
  <c r="AC38" i="25" s="1"/>
  <c r="Z37" i="25"/>
  <c r="AB37" i="25" s="1"/>
  <c r="AB36" i="25"/>
  <c r="M36" i="25"/>
  <c r="AC35" i="25"/>
  <c r="AB31" i="25"/>
  <c r="Z31" i="25"/>
  <c r="AD30" i="25"/>
  <c r="AC30" i="25" s="1"/>
  <c r="D30" i="25"/>
  <c r="A30" i="25"/>
  <c r="AB27" i="25"/>
  <c r="AA27" i="25" s="1"/>
  <c r="Z27" i="25"/>
  <c r="AC25" i="25"/>
  <c r="AB25" i="25" s="1"/>
  <c r="AA25" i="25" s="1"/>
  <c r="AD23" i="25"/>
  <c r="Z22" i="25"/>
  <c r="AB22" i="25" s="1"/>
  <c r="AC21" i="25"/>
  <c r="Z21" i="25"/>
  <c r="AC20" i="25"/>
  <c r="Z19" i="25"/>
  <c r="AB19" i="25" s="1"/>
  <c r="AB18" i="25"/>
  <c r="M18" i="25"/>
  <c r="Z17" i="25"/>
  <c r="AB17" i="25" s="1"/>
  <c r="AC17" i="25" s="1"/>
  <c r="Z15" i="25"/>
  <c r="AB11" i="25"/>
  <c r="G8" i="25"/>
  <c r="G65" i="25" s="1"/>
  <c r="AC23" i="25" l="1"/>
  <c r="AA53" i="25"/>
  <c r="AC45" i="25"/>
  <c r="AB58" i="25"/>
  <c r="M65" i="25"/>
  <c r="Z23" i="25"/>
  <c r="Z45" i="25"/>
  <c r="V33" i="25" s="1"/>
  <c r="AB45" i="25"/>
  <c r="AD45" i="25" s="1"/>
  <c r="AD65" i="25" s="1"/>
  <c r="AA30" i="25"/>
  <c r="AF66" i="25" s="1"/>
  <c r="AC48" i="25"/>
  <c r="AC52" i="25" s="1"/>
  <c r="AA47" i="25"/>
  <c r="AB52" i="25"/>
  <c r="Z52" i="25"/>
  <c r="AC27" i="25"/>
  <c r="D65" i="25"/>
  <c r="AB15" i="25"/>
  <c r="AA8" i="25" s="1"/>
  <c r="AC65" i="25" l="1"/>
  <c r="Z65" i="25"/>
  <c r="AA65" i="25"/>
  <c r="AB23" i="25"/>
  <c r="AB65" i="25" s="1"/>
  <c r="I5" i="19" l="1"/>
  <c r="I4" i="19"/>
  <c r="I8" i="19" l="1"/>
  <c r="J7" i="19"/>
  <c r="J4" i="19" l="1"/>
  <c r="F15" i="19" l="1"/>
  <c r="F12" i="19" l="1"/>
  <c r="K14" i="19"/>
  <c r="J14" i="19"/>
  <c r="I14" i="19"/>
  <c r="K16" i="19"/>
  <c r="J16" i="19"/>
  <c r="O15" i="19" s="1"/>
  <c r="I16" i="19"/>
  <c r="J11" i="19"/>
  <c r="I11" i="19"/>
  <c r="K9" i="19"/>
  <c r="K11" i="19" s="1"/>
  <c r="F9" i="19"/>
  <c r="E9" i="19"/>
  <c r="N9" i="19" s="1"/>
  <c r="G6" i="18"/>
  <c r="F4" i="19" s="1"/>
  <c r="O9" i="19" l="1"/>
  <c r="O12" i="19"/>
  <c r="K7" i="19"/>
  <c r="J6" i="19" l="1"/>
  <c r="K6" i="19" s="1"/>
  <c r="K7" i="18" l="1"/>
  <c r="J7" i="18"/>
  <c r="L7" i="18" l="1"/>
  <c r="H9" i="18"/>
  <c r="F9" i="18"/>
  <c r="E15" i="19" s="1"/>
  <c r="G15" i="19" l="1"/>
  <c r="P15" i="19" s="1"/>
  <c r="N15" i="19"/>
  <c r="G9" i="18"/>
  <c r="I17" i="19" l="1"/>
  <c r="K5" i="19"/>
  <c r="J8" i="19" l="1"/>
  <c r="K4" i="19"/>
  <c r="K8" i="19" s="1"/>
  <c r="G8" i="18"/>
  <c r="G10" i="18" s="1"/>
  <c r="F8" i="18"/>
  <c r="F6" i="18"/>
  <c r="H7" i="18"/>
  <c r="G9" i="19" s="1"/>
  <c r="P9" i="19" s="1"/>
  <c r="E4" i="19" l="1"/>
  <c r="N4" i="19" s="1"/>
  <c r="F10" i="18"/>
  <c r="F11" i="18" s="1"/>
  <c r="H8" i="18"/>
  <c r="E12" i="19"/>
  <c r="K17" i="19"/>
  <c r="J17" i="19"/>
  <c r="O4" i="19"/>
  <c r="N12" i="19" l="1"/>
  <c r="G12" i="19"/>
  <c r="P12" i="19" s="1"/>
  <c r="I18" i="19" l="1"/>
  <c r="J18" i="19" l="1"/>
  <c r="K18" i="19"/>
  <c r="H6" i="18"/>
  <c r="G4" i="19" l="1"/>
  <c r="P4" i="19" s="1"/>
  <c r="H10" i="18"/>
  <c r="G11" i="18" l="1"/>
  <c r="H11" i="18" l="1"/>
  <c r="E18" i="17" l="1"/>
  <c r="A5" i="17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E18" i="19" l="1"/>
  <c r="N18" i="19"/>
  <c r="F18" i="19"/>
  <c r="O18" i="19"/>
  <c r="G20" i="10"/>
  <c r="P18" i="19" l="1"/>
  <c r="G18" i="19"/>
  <c r="G17" i="10"/>
  <c r="G18" i="10"/>
  <c r="G19" i="10"/>
  <c r="G21" i="10" l="1"/>
  <c r="L18" i="10"/>
  <c r="K18" i="10"/>
  <c r="K17" i="10"/>
  <c r="J17" i="10" s="1"/>
  <c r="K19" i="10"/>
  <c r="L19" i="10"/>
  <c r="H19" i="10"/>
  <c r="I19" i="10"/>
  <c r="H18" i="10"/>
  <c r="E18" i="10"/>
  <c r="J19" i="10" l="1"/>
  <c r="J18" i="10"/>
  <c r="R19" i="10"/>
  <c r="Q19" i="10"/>
  <c r="V19" i="10" s="1"/>
  <c r="O18" i="10"/>
  <c r="R18" i="10" s="1"/>
  <c r="M19" i="10"/>
  <c r="T19" i="10" s="1"/>
  <c r="N18" i="10"/>
  <c r="Q18" i="10" s="1"/>
  <c r="V18" i="10" s="1"/>
  <c r="I18" i="10" l="1"/>
  <c r="S19" i="10"/>
  <c r="U19" i="10"/>
  <c r="M18" i="10"/>
  <c r="R17" i="10"/>
  <c r="N17" i="10"/>
  <c r="M17" i="10" s="1"/>
  <c r="T17" i="10" s="1"/>
  <c r="U18" i="10" l="1"/>
  <c r="T18" i="10"/>
  <c r="S18" i="10"/>
  <c r="Q17" i="10" l="1"/>
  <c r="V17" i="10" s="1"/>
  <c r="S17" i="10" l="1"/>
  <c r="U17" i="10"/>
  <c r="H17" i="10"/>
</calcChain>
</file>

<file path=xl/comments1.xml><?xml version="1.0" encoding="utf-8"?>
<comments xmlns="http://schemas.openxmlformats.org/spreadsheetml/2006/main">
  <authors>
    <author>PTO</author>
  </authors>
  <commentList>
    <comment ref="Z37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оригинал с визой заказчика +
</t>
        </r>
      </text>
    </comment>
    <comment ref="S39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0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1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2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 согл зак</t>
        </r>
      </text>
    </comment>
    <comment ref="Z42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должна быть расходная накладная
</t>
        </r>
      </text>
    </comment>
    <comment ref="S43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4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Z48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есть оригинал
</t>
        </r>
      </text>
    </comment>
  </commentList>
</comments>
</file>

<file path=xl/sharedStrings.xml><?xml version="1.0" encoding="utf-8"?>
<sst xmlns="http://schemas.openxmlformats.org/spreadsheetml/2006/main" count="742" uniqueCount="363">
  <si>
    <t xml:space="preserve"> РЕЄСТР АКТІВ ВИКОНАНИХ РОБІТ ПО ОБ'ЄКТУ </t>
  </si>
  <si>
    <t>№ п/п</t>
  </si>
  <si>
    <t>Вид робіт (витрат)</t>
  </si>
  <si>
    <t>ДЦ</t>
  </si>
  <si>
    <t>ВСЬОГО</t>
  </si>
  <si>
    <t xml:space="preserve"> </t>
  </si>
  <si>
    <t xml:space="preserve"> РЕЄСТР ДОГОВІРНИХ ЦІН</t>
  </si>
  <si>
    <t>Погоджено __________________________</t>
  </si>
  <si>
    <t>Номер ДЦ</t>
  </si>
  <si>
    <t>Статус</t>
  </si>
  <si>
    <t>ознака робіт</t>
  </si>
  <si>
    <t>палі</t>
  </si>
  <si>
    <t>Сумма</t>
  </si>
  <si>
    <t>Найменування робіт</t>
  </si>
  <si>
    <t>Сума ДЦ</t>
  </si>
  <si>
    <t>мат-ли</t>
  </si>
  <si>
    <t>всього</t>
  </si>
  <si>
    <t>Всего управлінський облік</t>
  </si>
  <si>
    <t>12103-1</t>
  </si>
  <si>
    <t>Розробка котловану</t>
  </si>
  <si>
    <t>12102-1</t>
  </si>
  <si>
    <t>палі кран</t>
  </si>
  <si>
    <t>12104-1</t>
  </si>
  <si>
    <t>грунт</t>
  </si>
  <si>
    <r>
      <t xml:space="preserve">Генпідрядник:  </t>
    </r>
    <r>
      <rPr>
        <sz val="10"/>
        <color indexed="8"/>
        <rFont val="Times New Roman"/>
        <family val="1"/>
        <charset val="204"/>
      </rPr>
      <t>ТОВ "ДИПРОІНБУД"</t>
    </r>
  </si>
  <si>
    <t>робота</t>
  </si>
  <si>
    <t>Підрядник</t>
  </si>
  <si>
    <t>Управлінський облік</t>
  </si>
  <si>
    <t>найменув.</t>
  </si>
  <si>
    <t>Перевірка</t>
  </si>
  <si>
    <t>Діпроинбуд</t>
  </si>
  <si>
    <t>Индустрія</t>
  </si>
  <si>
    <t>перевірка</t>
  </si>
  <si>
    <t>зараб. 3%</t>
  </si>
  <si>
    <t>г/п</t>
  </si>
  <si>
    <t>Палі основні</t>
  </si>
  <si>
    <t>Фундамент</t>
  </si>
  <si>
    <r>
      <t>Замовник:</t>
    </r>
    <r>
      <rPr>
        <sz val="10"/>
        <color indexed="8"/>
        <rFont val="Times New Roman"/>
        <family val="1"/>
        <charset val="204"/>
      </rPr>
      <t xml:space="preserve"> ТОВ "СІА"</t>
    </r>
  </si>
  <si>
    <r>
      <t>Найменування будови та її адреса -</t>
    </r>
    <r>
      <rPr>
        <sz val="10"/>
        <color indexed="8"/>
        <rFont val="Times New Roman"/>
        <family val="1"/>
        <charset val="204"/>
      </rPr>
      <t xml:space="preserve"> Будівництво житлово-громадської забудови з об’єктами соціальної та інженерно-транспортної інфраструктури по вул. Євгена Сверстюка, 4 (колишня вул. Марини Раскової) у Дніпровському районі м. Києва.</t>
    </r>
  </si>
  <si>
    <r>
      <t xml:space="preserve">Найменування об'єкта - </t>
    </r>
    <r>
      <rPr>
        <sz val="10"/>
        <color indexed="8"/>
        <rFont val="Times New Roman"/>
        <family val="1"/>
        <charset val="204"/>
      </rPr>
      <t>Житловий будинок № 3, секції 5 та 6.</t>
    </r>
  </si>
  <si>
    <r>
      <t xml:space="preserve">Договір: </t>
    </r>
    <r>
      <rPr>
        <sz val="10"/>
        <color indexed="8"/>
        <rFont val="Times New Roman"/>
        <family val="1"/>
        <charset val="204"/>
      </rPr>
      <t>№14/08/2017-ГПР-III/ГЛ від 14.08.2017 р.</t>
    </r>
  </si>
  <si>
    <t>листопад 2017()</t>
  </si>
  <si>
    <t>Палі під баштовий кран</t>
  </si>
  <si>
    <t>12102-1/1</t>
  </si>
  <si>
    <t>12103-1/1</t>
  </si>
  <si>
    <t>12104-1/1</t>
  </si>
  <si>
    <t>Зняття електроенергії</t>
  </si>
  <si>
    <t>ВСЬОГО:</t>
  </si>
  <si>
    <t>Виконав: __________________Кириченко Р.Л.          097-434-82-92</t>
  </si>
  <si>
    <t>г/п доп</t>
  </si>
  <si>
    <t>Примітки</t>
  </si>
  <si>
    <t>№ Договору</t>
  </si>
  <si>
    <t>погоджено</t>
  </si>
  <si>
    <t>№1</t>
  </si>
  <si>
    <t>Монтаж системи газ.пожежогасіння машинного приміщення ЛТПП секц.5</t>
  </si>
  <si>
    <t>пожарка</t>
  </si>
  <si>
    <t>Монтаж системи газ.пожежогасіння машинного приміщення ЛТПП секц.6</t>
  </si>
  <si>
    <t>Монтаж системи контролю загазованості секц.5</t>
  </si>
  <si>
    <t>Монтаж системи контролю загазованості секц.6</t>
  </si>
  <si>
    <t>Монтаж автоматичної системи оповіщення людей про пожежу секц.5</t>
  </si>
  <si>
    <t>Монтаж системи автоматичної пожежної сигналізації секц.5</t>
  </si>
  <si>
    <t>Монтаж системи автоматичної пожежної сигналізації секц.6</t>
  </si>
  <si>
    <t>Монтаж системи автоматизації протидимного захисту секц.5</t>
  </si>
  <si>
    <t>Монтаж системи автоматизації протидимного захисту секц.6</t>
  </si>
  <si>
    <t>Монтаж системи димовидалення (технологічна частина) секц.5</t>
  </si>
  <si>
    <t>Монтаж системи димовидалення (технологічна частина) секц.6</t>
  </si>
  <si>
    <t>Монтаж системи димовидалення (технологічна частина) секц.5 (дод.роботи)</t>
  </si>
  <si>
    <t>Монтаж автоматичної системи оповіщення людей про пожежу секц.6</t>
  </si>
  <si>
    <t>Монтаж системи димовидалення (технологічна частина) секц.6 (дод.роботи)</t>
  </si>
  <si>
    <t>№2</t>
  </si>
  <si>
    <t>№3</t>
  </si>
  <si>
    <t>№4</t>
  </si>
  <si>
    <t>№5</t>
  </si>
  <si>
    <t>№6</t>
  </si>
  <si>
    <t>№7</t>
  </si>
  <si>
    <t>№12</t>
  </si>
  <si>
    <t>№10</t>
  </si>
  <si>
    <t>№8</t>
  </si>
  <si>
    <t>№9</t>
  </si>
  <si>
    <t>№11</t>
  </si>
  <si>
    <t>№13</t>
  </si>
  <si>
    <t>№14</t>
  </si>
  <si>
    <t>Об'єкт</t>
  </si>
  <si>
    <t>№, дата Договору</t>
  </si>
  <si>
    <t>№ з/п</t>
  </si>
  <si>
    <t>Найменування робіт (витрат)</t>
  </si>
  <si>
    <t>Замовник</t>
  </si>
  <si>
    <t>Разом</t>
  </si>
  <si>
    <t>Матеріали</t>
  </si>
  <si>
    <t>Робота</t>
  </si>
  <si>
    <t>ДЦ до Договру, грн. з ПДВ</t>
  </si>
  <si>
    <t>Собівартість, грн. з ПДВ</t>
  </si>
  <si>
    <t>Підписаний</t>
  </si>
  <si>
    <t>ДОВІДКА по об'єктам ТОВ "ІНДАСТРІАЛБУД"</t>
  </si>
  <si>
    <t>ПрАТ "МХП"</t>
  </si>
  <si>
    <t>Будівництво каркасу оліє-пресового цеху №2 з трансформаторною підстанцією, м.Ладижин, Вінницька область</t>
  </si>
  <si>
    <t>№389-10 від 19.02.2021</t>
  </si>
  <si>
    <r>
      <t xml:space="preserve">«Нове будівництво олієпресового цеху по переробці насіння соняшника потужністю 1200т/добу з допоміжними будівлями та спорудами
внутрішньогосподарського комплексу по виробництву кормів" </t>
    </r>
    <r>
      <rPr>
        <b/>
        <sz val="12"/>
        <rFont val="Calibri"/>
        <family val="2"/>
        <charset val="204"/>
        <scheme val="minor"/>
      </rPr>
      <t>м.Ладижин</t>
    </r>
    <r>
      <rPr>
        <sz val="12"/>
        <rFont val="Calibri"/>
        <family val="2"/>
        <charset val="204"/>
        <scheme val="minor"/>
      </rPr>
      <t>, Вінницької області»</t>
    </r>
  </si>
  <si>
    <t>Додаткові роботи по монтажу/демонтажу з/б балок каркасу, згідно дефектного акту №1</t>
  </si>
  <si>
    <t>Найменування об'єкту</t>
  </si>
  <si>
    <t>Загальна вартість Договору з урах.ДУ</t>
  </si>
  <si>
    <t>Сума АВР</t>
  </si>
  <si>
    <t>Залишок по Договору</t>
  </si>
  <si>
    <t xml:space="preserve">№ </t>
  </si>
  <si>
    <t>Дата</t>
  </si>
  <si>
    <t>Влаштування фундаментів допоміжних споруд оліє-пресового цеху по переробці насіння соняшника 1200т/добу</t>
  </si>
  <si>
    <t>Погоджено замовником</t>
  </si>
  <si>
    <t>На розгляді у замовника</t>
  </si>
  <si>
    <t xml:space="preserve">№396-10 від 31.03.2021      </t>
  </si>
  <si>
    <t>«Нове будівництво олієпресового цеху по переробці насіння соняшника потужністю 1200т/добу з допоміжними будівлями та спорудами внутрішньогосподарського комплексу по виробництву кормів" м.Ладижин, Вінницької області»</t>
  </si>
  <si>
    <t>Д/У№1 до дог. №389-10 від 19.02.2021</t>
  </si>
  <si>
    <t>Мурування ТП</t>
  </si>
  <si>
    <t>№396-10 від 31.03.2021</t>
  </si>
  <si>
    <t>Нет номера договора</t>
  </si>
  <si>
    <t>травень 2021</t>
  </si>
  <si>
    <t>Д/У№1 до дог.№389-10 від 19.02.2021</t>
  </si>
  <si>
    <t>Внутр. погодження</t>
  </si>
  <si>
    <t>травень 2022</t>
  </si>
  <si>
    <t>Акт №1</t>
  </si>
  <si>
    <t>Договірна ціна</t>
  </si>
  <si>
    <t>Зміст актів виконаних робіт</t>
  </si>
  <si>
    <t>Управлінський облік 2021 р.</t>
  </si>
  <si>
    <t>Всього управлінський облік</t>
  </si>
  <si>
    <t>ТОВ "ІНДАСТРІАЛБУД"</t>
  </si>
  <si>
    <t>№ ДЦ</t>
  </si>
  <si>
    <t>Сумма ДЦ</t>
  </si>
  <si>
    <t xml:space="preserve">№ акта </t>
  </si>
  <si>
    <t>сума, грн з ПДВ</t>
  </si>
  <si>
    <t>№ акта</t>
  </si>
  <si>
    <t>загальна сума</t>
  </si>
  <si>
    <t>земля та фундаменти 7.1-7.9, 12.1-12.3</t>
  </si>
  <si>
    <t>земля 10.6, 10.12</t>
  </si>
  <si>
    <t>земля, фундаменти 7.1-7.9, 12.1-12.3</t>
  </si>
  <si>
    <t>земля 8.1-8.4</t>
  </si>
  <si>
    <t>земля, фундаменти 16.2</t>
  </si>
  <si>
    <t>земля, фунд.7.1-7.9, 8.1-8.4, з/б 16.2</t>
  </si>
  <si>
    <t>земля, щеб., арм.7.1-7.9, 8.1-8.4, з/б 16.2</t>
  </si>
  <si>
    <t>бет.подг., фунд, гідроіз.7.1-7-9,8.1-8.4,16.2</t>
  </si>
  <si>
    <t>земля, фунд.7.1-7.9, 8.1-8.4, м/к 16.2</t>
  </si>
  <si>
    <t>перевез, засипка, ущільн 7.1-7.9, 12.1-12.3</t>
  </si>
  <si>
    <t>фундаменти зерносушарки</t>
  </si>
  <si>
    <t>земля, фундаменти ПРм1 9.5-9.6</t>
  </si>
  <si>
    <t>земля, фундаменти ПРм1 9.7-9.8</t>
  </si>
  <si>
    <t>квітень 2021 р.</t>
  </si>
  <si>
    <t>травень 2021 р.</t>
  </si>
  <si>
    <t>червень 2021 р.</t>
  </si>
  <si>
    <t>Виготовлення і монтаж металоконструкцій ТХ</t>
  </si>
  <si>
    <t xml:space="preserve">Виконавець: __________________ </t>
  </si>
  <si>
    <t>всего</t>
  </si>
  <si>
    <r>
      <t xml:space="preserve"> </t>
    </r>
    <r>
      <rPr>
        <b/>
        <sz val="12"/>
        <rFont val="Times New Roman"/>
        <family val="1"/>
        <charset val="204"/>
      </rPr>
      <t>Реєстр актів виконаних робіт по об'єкту "Ладижин -2"</t>
    </r>
  </si>
  <si>
    <t>ДУ 2</t>
  </si>
  <si>
    <t>Влаштування фундаментів допоміжних споруд оліє-пресового цеху по переробці насіння соняшника 1200т/добу ДУ 2</t>
  </si>
  <si>
    <t>Влаштування фундаментів допоміжних споруд оліє-пресового цеху по переробці насіння соняшника 1200т/добу  №396-10 від 23.03.2021 ДУ 1</t>
  </si>
  <si>
    <t>-</t>
  </si>
  <si>
    <t>ТП 2</t>
  </si>
  <si>
    <t>серпень 2021 р.</t>
  </si>
  <si>
    <t>липень 2021 р.</t>
  </si>
  <si>
    <t>ДУ 2 від 19.02.2021 Влаштування шпильок під балки покриття ОПЦ №2</t>
  </si>
  <si>
    <t>№15</t>
  </si>
  <si>
    <t>вересень 2021 р.</t>
  </si>
  <si>
    <t>ВО 27</t>
  </si>
  <si>
    <t>ВО 24</t>
  </si>
  <si>
    <t>ВО 23</t>
  </si>
  <si>
    <t>ВО 25</t>
  </si>
  <si>
    <t>ВО 26</t>
  </si>
  <si>
    <t>ВО 22</t>
  </si>
  <si>
    <t>жовтень 2021 р.</t>
  </si>
  <si>
    <t xml:space="preserve">№14 </t>
  </si>
  <si>
    <t xml:space="preserve">№15 </t>
  </si>
  <si>
    <t>№16</t>
  </si>
  <si>
    <t>№17</t>
  </si>
  <si>
    <t>№18</t>
  </si>
  <si>
    <t>№19</t>
  </si>
  <si>
    <r>
      <t xml:space="preserve">Будівництво каркасу оліє-пресового цеху №2 з трансформаторною підстанцією, м.Ладижин, Вінницька область </t>
    </r>
    <r>
      <rPr>
        <b/>
        <sz val="12"/>
        <rFont val="Times New Roman"/>
        <family val="1"/>
        <charset val="204"/>
      </rPr>
      <t>№389-10 від 19.02.2021</t>
    </r>
  </si>
  <si>
    <t>ДУ 2 від 19.02.2021 Влаштування шпильок під балки покриття ОПЦ №2 №389-10 від 19.02.2021 ДУ 2 від 19.02.2021</t>
  </si>
  <si>
    <t>Додаткові роботи по монтажу/демонтажу з/б балок каркасу, згідно дефектного акту №1 Д/У№1 до дог. №389-10 від 19.02.2021</t>
  </si>
  <si>
    <r>
      <t xml:space="preserve">Виготовлення і монтаж металоконструкцій ТХ </t>
    </r>
    <r>
      <rPr>
        <b/>
        <sz val="12"/>
        <rFont val="Times New Roman"/>
        <family val="1"/>
        <charset val="204"/>
      </rPr>
      <t xml:space="preserve">№406-10 від 02.06.2021                                              </t>
    </r>
    <r>
      <rPr>
        <sz val="12"/>
        <rFont val="Times New Roman"/>
        <family val="1"/>
        <charset val="204"/>
      </rPr>
      <t xml:space="preserve">                                                                                                                                                             </t>
    </r>
  </si>
  <si>
    <r>
      <t xml:space="preserve">Влаштування фундаментів допоміжних споруд оліє-пресового цеху по переробці насіння соняшника 1200т/добу  </t>
    </r>
    <r>
      <rPr>
        <b/>
        <sz val="12"/>
        <rFont val="Times New Roman"/>
        <family val="1"/>
        <charset val="204"/>
      </rPr>
      <t>№396-10 від 23.03.2021 ДУ 1</t>
    </r>
  </si>
  <si>
    <r>
      <t xml:space="preserve">Влаштування фундаментів допоміжних споруд оліє-пресового цеху по переробці насіння соняшника 1200т/добу </t>
    </r>
    <r>
      <rPr>
        <b/>
        <sz val="12"/>
        <rFont val="Times New Roman"/>
        <family val="1"/>
        <charset val="204"/>
      </rPr>
      <t>до додаткової угоди №2 від "13" липня 2021  До  дог №396-10 від 23.03.2021</t>
    </r>
  </si>
  <si>
    <t>п/п</t>
  </si>
  <si>
    <t>ДОГОВІР</t>
  </si>
  <si>
    <t>АВР "Ладижин -2"</t>
  </si>
  <si>
    <t>МАТЕРІАЛИ</t>
  </si>
  <si>
    <t>БЕЗ ПДВ</t>
  </si>
  <si>
    <t>З ПДВ</t>
  </si>
  <si>
    <t>Найменування договірної ціни</t>
  </si>
  <si>
    <t>Погоджено Замовником</t>
  </si>
  <si>
    <t>На внутрішньому погодженні</t>
  </si>
  <si>
    <t xml:space="preserve">Дата </t>
  </si>
  <si>
    <t>Коментарі</t>
  </si>
  <si>
    <t>Роботи з ПДВ, грн</t>
  </si>
  <si>
    <t>Матеріали з ПДВ, грн</t>
  </si>
  <si>
    <t>Подано на Замовника</t>
  </si>
  <si>
    <t>Всього по ДЦ  з ПДВ, грн</t>
  </si>
  <si>
    <t>АКТИ</t>
  </si>
  <si>
    <t>Оригінал в офісі</t>
  </si>
  <si>
    <t>Всього, грн з ПДВ</t>
  </si>
  <si>
    <t xml:space="preserve"> Реєстр ДЦ  по об'єкту "_______________________________ "</t>
  </si>
  <si>
    <t xml:space="preserve"> Реєстр актів виконаних робіт по об'єкту "___________________________________________________"</t>
  </si>
  <si>
    <t>Варіанти статусу</t>
  </si>
  <si>
    <t>заповнюємо колонку коментарі з датою коли буде оригінал</t>
  </si>
  <si>
    <t>не заповнюємо колонку коментарі</t>
  </si>
  <si>
    <t>заповнюємо колонку коли замовник обіцяє погодити, зауваження якщо є</t>
  </si>
  <si>
    <t>Побажання до коментарів (основне)</t>
  </si>
  <si>
    <t>Для заповнення колонки статус</t>
  </si>
  <si>
    <t>Для заповнення колонки коментарі</t>
  </si>
  <si>
    <t>*********Вимоги</t>
  </si>
  <si>
    <t>ДЦ у відділі ВТВ</t>
  </si>
  <si>
    <t>заповнюємо колонку коли отримали інформацію і планова дата ССДЦ, або ДЦ  ДУ планується і вказуємо що маємо отримати інформацію</t>
  </si>
  <si>
    <t>заповнюємо колонку зауваження до ССДЦ якщо є і на кому затримка в погодженні</t>
  </si>
  <si>
    <t>Влаштування фундамента під турбіну та кран-балку</t>
  </si>
  <si>
    <t>Влаштування металоконструкцій площадок, огорож та сходів в машинному залі</t>
  </si>
  <si>
    <t xml:space="preserve">Поставка та монтаж кран-балки вантажопідйомністю-10т
</t>
  </si>
  <si>
    <t xml:space="preserve">Монтаж системи масляного охолодження турбіни </t>
  </si>
  <si>
    <t xml:space="preserve">Монтаж і обв'язування турбіни та генератора </t>
  </si>
  <si>
    <t>Влаштування додаткової вентиляції операторської</t>
  </si>
  <si>
    <t xml:space="preserve">Монтаж та обв'язування конденсатора  </t>
  </si>
  <si>
    <t>Влаштування промислової підлоги</t>
  </si>
  <si>
    <t>Влаштування паропроводу.</t>
  </si>
  <si>
    <t xml:space="preserve">Влаштування дренажів. </t>
  </si>
  <si>
    <t>Влаштування конденсаторопровода</t>
  </si>
  <si>
    <t>Оздоблювальні роботи</t>
  </si>
  <si>
    <t>Влаштування благоустрою території</t>
  </si>
  <si>
    <t>Влаштування утеплення паропроводів</t>
  </si>
  <si>
    <t>Влаштування системи кондиціювання в ТП-2</t>
  </si>
  <si>
    <t>Загальнобудівельні роботи по влаштуванню приміщення ТП 2</t>
  </si>
  <si>
    <t>Влаштування зовнішніх мереж водопроводу  каналізації К 2</t>
  </si>
  <si>
    <t>Електромонтажні роботи п.2.1</t>
  </si>
  <si>
    <t>Пусконалагоджувальні роботи</t>
  </si>
  <si>
    <t>Випробування кабельних трас</t>
  </si>
  <si>
    <t>Випробування трубопроводів</t>
  </si>
  <si>
    <t>Перебазування дільниці</t>
  </si>
  <si>
    <t xml:space="preserve"> Реєстр ДЦ  по об'єкту "Комплекс будівельно-монтажних та пусконалагоджувальних робіт з монтажу та підключення турбогенераторної установки для виробництва електричної енергії на базі парової турбіни "</t>
  </si>
  <si>
    <t>Договір №З-12</t>
  </si>
  <si>
    <t>Договір</t>
  </si>
  <si>
    <t>№ З-12</t>
  </si>
  <si>
    <t>Піскоструменеве очищення металоконструкцій</t>
  </si>
  <si>
    <t>підписано. Оригінал договору в офісі</t>
  </si>
  <si>
    <t>Обслуговування (ревізія) Турбіни</t>
  </si>
  <si>
    <t>Машинний зал</t>
  </si>
  <si>
    <t>Щитова ГРП 6, трансформаторні підстанції ТП 2, ТП 3</t>
  </si>
  <si>
    <t>Зовнішні мережі та естакади</t>
  </si>
  <si>
    <t>Електропостачання (ЕП1). Реконструкція ГПП-35/6кВ</t>
  </si>
  <si>
    <t>Вартість  обладнання ГПП-35/6кВ ЕП1</t>
  </si>
  <si>
    <t>Електропостачання (ЕП2). ГРП-6кВ</t>
  </si>
  <si>
    <t>Обладнання ГРП-6кВ ЕП2</t>
  </si>
  <si>
    <t>Електропостачання (ЕП3). Кабельні мережі</t>
  </si>
  <si>
    <t>Силове електрообладнання (ЕМ1). Будівля котельної</t>
  </si>
  <si>
    <t>Придбання силового електрообладнання (ЕМ1). Будівля котельної</t>
  </si>
  <si>
    <t>Силове електрообладнання (ЕМ2). Реконструкція ТП-2</t>
  </si>
  <si>
    <t>Придбання силового електрообладнання (ЕМ2). Реконструкція ТП-2</t>
  </si>
  <si>
    <t>Електроосвітлення (ЕО)</t>
  </si>
  <si>
    <t>Релейний захист (РЗ1). Реконструкція ГПП-35/6кВ</t>
  </si>
  <si>
    <t>Автоматизована система технічного обліку (АСТОЕ)</t>
  </si>
  <si>
    <t>Устаткування автоматизованої системи технічного обліку (АСТОЕ)</t>
  </si>
  <si>
    <t xml:space="preserve">Автоматизація технологічних процесів АТХ </t>
  </si>
  <si>
    <t>Устаткування автоматизації технологічних процесів АТХ</t>
  </si>
  <si>
    <t>Захисне заземлення та зрівнювання потенціалів (ЗЗ)</t>
  </si>
  <si>
    <t>№2/1</t>
  </si>
  <si>
    <t>№2/2</t>
  </si>
  <si>
    <t>№2/3</t>
  </si>
  <si>
    <t>№2/4</t>
  </si>
  <si>
    <t>№2/5</t>
  </si>
  <si>
    <t>№2/6</t>
  </si>
  <si>
    <t>№2/7</t>
  </si>
  <si>
    <t>№2/8</t>
  </si>
  <si>
    <t>№2/9</t>
  </si>
  <si>
    <t>№2/10</t>
  </si>
  <si>
    <t>№2/11</t>
  </si>
  <si>
    <t>№2/12</t>
  </si>
  <si>
    <t>"2/13</t>
  </si>
  <si>
    <t>Релейний захист (РЗ2). Реконструкція ГПП-35/6кВ</t>
  </si>
  <si>
    <t>№2/14</t>
  </si>
  <si>
    <t>№2/15</t>
  </si>
  <si>
    <t>"2/16</t>
  </si>
  <si>
    <t>согласовано (ОК в почте от Резниченко)</t>
  </si>
  <si>
    <t>Дефектовка ГПП</t>
  </si>
  <si>
    <r>
      <t xml:space="preserve">после пересчета ДЦ, в новую редакцию будут включены данные работы. Объемы фактические подписаны Резниченко, </t>
    </r>
    <r>
      <rPr>
        <b/>
        <sz val="10"/>
        <rFont val="Times New Roman"/>
        <family val="1"/>
        <charset val="204"/>
      </rPr>
      <t>закрыто в АВР №3</t>
    </r>
  </si>
  <si>
    <t>№3/1</t>
  </si>
  <si>
    <t>№3/2</t>
  </si>
  <si>
    <t>№3/3</t>
  </si>
  <si>
    <t>Сумма по АВР</t>
  </si>
  <si>
    <t>№3/4</t>
  </si>
  <si>
    <t>закрыто 100%</t>
  </si>
  <si>
    <t>закрыто по факту</t>
  </si>
  <si>
    <t>№3/5</t>
  </si>
  <si>
    <t>№3/6</t>
  </si>
  <si>
    <t>№3/7</t>
  </si>
  <si>
    <t>№3/8</t>
  </si>
  <si>
    <t>№3/9</t>
  </si>
  <si>
    <t>№3/10</t>
  </si>
  <si>
    <t>№3/11</t>
  </si>
  <si>
    <t>№3/12</t>
  </si>
  <si>
    <t>закрыто  по факту</t>
  </si>
  <si>
    <r>
      <t xml:space="preserve">после пересчета ДЦ, в новую редакцию будут включены данные работы. Объемы фактические подписаны Резниченко, закрыто </t>
    </r>
    <r>
      <rPr>
        <b/>
        <sz val="11"/>
        <color theme="1"/>
        <rFont val="Times New Roman"/>
        <family val="1"/>
        <charset val="204"/>
      </rPr>
      <t>в АВР №4</t>
    </r>
  </si>
  <si>
    <t>№4/1</t>
  </si>
  <si>
    <t>№4/2</t>
  </si>
  <si>
    <t>№4/3</t>
  </si>
  <si>
    <t>№4/4</t>
  </si>
  <si>
    <t>закрито 100%</t>
  </si>
  <si>
    <t>№4/5</t>
  </si>
  <si>
    <t>№4/6</t>
  </si>
  <si>
    <t>№4/7</t>
  </si>
  <si>
    <t>№4/8</t>
  </si>
  <si>
    <t>№4/9</t>
  </si>
  <si>
    <t>№4/10</t>
  </si>
  <si>
    <t>№4/11</t>
  </si>
  <si>
    <t>№4/12</t>
  </si>
  <si>
    <t>№4/13</t>
  </si>
  <si>
    <t>Додаткові роботи ГПП</t>
  </si>
  <si>
    <t>№4/14</t>
  </si>
  <si>
    <t>№5/1</t>
  </si>
  <si>
    <t>№5/2</t>
  </si>
  <si>
    <t>№5/3</t>
  </si>
  <si>
    <t>№5/4</t>
  </si>
  <si>
    <t>№5/5</t>
  </si>
  <si>
    <t>№6/1</t>
  </si>
  <si>
    <t>№6/2</t>
  </si>
  <si>
    <t>№6/3</t>
  </si>
  <si>
    <t>№6.4</t>
  </si>
  <si>
    <t>№6/5</t>
  </si>
  <si>
    <t>№6/6</t>
  </si>
  <si>
    <t>№6/7</t>
  </si>
  <si>
    <t>№6/8</t>
  </si>
  <si>
    <t>№6/9</t>
  </si>
  <si>
    <t>№6/10</t>
  </si>
  <si>
    <t>подписан. Оригинал в офисе</t>
  </si>
  <si>
    <t>Технічне забезпечення шефмонтажних та пусконалагоджувальних робіт. Інжинірингові послуги (супровід та узгодження дозвільної документації в Запоріжжяобленерго)</t>
  </si>
  <si>
    <t>№ З-34</t>
  </si>
  <si>
    <t>№7/1</t>
  </si>
  <si>
    <t>№7/4</t>
  </si>
  <si>
    <t>№7/8</t>
  </si>
  <si>
    <t>№7/9</t>
  </si>
  <si>
    <t>№7/11</t>
  </si>
  <si>
    <t>№7/12</t>
  </si>
  <si>
    <t>№7/13</t>
  </si>
  <si>
    <t>№7/14</t>
  </si>
  <si>
    <t>№7/15</t>
  </si>
  <si>
    <r>
      <t xml:space="preserve">Оригинал на подписи у Закерничного </t>
    </r>
    <r>
      <rPr>
        <i/>
        <sz val="14"/>
        <rFont val="Times New Roman"/>
        <family val="1"/>
        <charset val="204"/>
      </rPr>
      <t>(ДЦ будет подписано директором после уточнения даты начала ПНР)</t>
    </r>
  </si>
  <si>
    <t>Доп. Работы (согласно подписанных дефектных актов)</t>
  </si>
  <si>
    <t>№7/2</t>
  </si>
  <si>
    <t>№7/3</t>
  </si>
  <si>
    <t>№7/5</t>
  </si>
  <si>
    <t>№7/6</t>
  </si>
  <si>
    <t>№7/7</t>
  </si>
  <si>
    <t>№7/10</t>
  </si>
  <si>
    <t>оплачено</t>
  </si>
  <si>
    <t>№8/1</t>
  </si>
  <si>
    <t>№8/2</t>
  </si>
  <si>
    <t>№8/3</t>
  </si>
  <si>
    <t>№8/4</t>
  </si>
  <si>
    <t>№8/5</t>
  </si>
  <si>
    <t>№8/6</t>
  </si>
  <si>
    <t>№8/7</t>
  </si>
  <si>
    <t>№8/8</t>
  </si>
  <si>
    <t>№8/9</t>
  </si>
  <si>
    <t>№8/10</t>
  </si>
  <si>
    <t>№8/11</t>
  </si>
  <si>
    <t>№8/12</t>
  </si>
  <si>
    <t>№8/13</t>
  </si>
  <si>
    <t>№9/1</t>
  </si>
  <si>
    <t>№9/2</t>
  </si>
  <si>
    <t>подписано. Оригинал передан в офис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</si>
</sst>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3" formatCode="_-* #,##0.00\ _₽_-;\-* #,##0.00\ _₽_-;_-* &quot;-&quot;??\ _₽_-;_-@_-"/>
    <numFmt numFmtId="164" formatCode="_-* #,##0.00\ _₴_-;\-* #,##0.00\ _₴_-;_-* &quot;-&quot;??\ _₴_-;_-@_-"/>
    <numFmt numFmtId="165" formatCode="_-* #,##0.00_₴_-;\-* #,##0.00_₴_-;_-* &quot;-&quot;??_₴_-;_-@_-"/>
    <numFmt numFmtId="166" formatCode="_-* #,##0.00_р_._-;\-* #,##0.00_р_._-;_-* &quot;-&quot;??_р_._-;_-@_-"/>
    <numFmt numFmtId="167" formatCode="#,##0.00\ _₴"/>
    <numFmt numFmtId="168" formatCode="#,##0.0\ _₴"/>
    <numFmt numFmtId="169" formatCode="#,##0.000\ _₴"/>
    <numFmt numFmtId="170" formatCode="_-* #,##0.00\ _г_р_н_._-;\-* #,##0.00\ _г_р_н_._-;_-* &quot;-&quot;??\ _г_р_н_._-;_-@_-"/>
    <numFmt numFmtId="171" formatCode="#,##0.00\ _₽;[Red]#,##0.00\ _₽"/>
    <numFmt numFmtId="172" formatCode="#,##0\ _₴"/>
    <numFmt numFmtId="173" formatCode="_-* #,##0.00\ _₴_-;\-* #,##0.00\ _₴_-;_-* &quot;-&quot;\ _₴_-;_-@_-"/>
    <numFmt numFmtId="174" formatCode="#,##0.00\ _₽"/>
    <numFmt numFmtId="175" formatCode="#,##0.00_ ;\-#,##0.00\ "/>
  </numFmts>
  <fonts count="59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0"/>
      <color indexed="8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0"/>
      <name val="Arial Cyr"/>
      <charset val="204"/>
    </font>
    <font>
      <b/>
      <sz val="10"/>
      <color theme="1"/>
      <name val="Arial"/>
      <family val="2"/>
      <charset val="204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 Cyr"/>
      <family val="2"/>
      <charset val="204"/>
    </font>
    <font>
      <b/>
      <sz val="12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i/>
      <sz val="12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8"/>
      <name val="Arial Cyr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9"/>
      <color indexed="81"/>
      <name val="Tahoma"/>
      <family val="2"/>
      <charset val="204"/>
    </font>
    <font>
      <sz val="9"/>
      <color rgb="FFFF0000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10"/>
      <color theme="1"/>
      <name val="Arial Cyr"/>
      <charset val="204"/>
    </font>
    <font>
      <sz val="12"/>
      <color theme="1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name val="Times New Roman"/>
      <family val="1"/>
      <charset val="204"/>
    </font>
    <font>
      <sz val="14"/>
      <color rgb="FF0070C0"/>
      <name val="Times New Roman"/>
      <family val="1"/>
      <charset val="204"/>
    </font>
    <font>
      <u/>
      <sz val="11"/>
      <name val="Times New Roman"/>
      <family val="1"/>
      <charset val="204"/>
    </font>
    <font>
      <b/>
      <sz val="12"/>
      <name val="Arial Cyr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i/>
      <sz val="14"/>
      <name val="Times New Roman"/>
      <family val="1"/>
      <charset val="204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26">
    <xf numFmtId="0" fontId="0" fillId="0" borderId="0"/>
    <xf numFmtId="0" fontId="6" fillId="0" borderId="0"/>
    <xf numFmtId="165" fontId="6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0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22" fillId="0" borderId="0"/>
    <xf numFmtId="0" fontId="12" fillId="0" borderId="0"/>
    <xf numFmtId="0" fontId="24" fillId="0" borderId="0"/>
    <xf numFmtId="0" fontId="10" fillId="0" borderId="0"/>
    <xf numFmtId="0" fontId="4" fillId="0" borderId="0"/>
    <xf numFmtId="0" fontId="22" fillId="0" borderId="0"/>
    <xf numFmtId="170" fontId="2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2" fillId="0" borderId="0"/>
    <xf numFmtId="0" fontId="22" fillId="0" borderId="0"/>
    <xf numFmtId="0" fontId="1" fillId="0" borderId="0"/>
    <xf numFmtId="43" fontId="12" fillId="0" borderId="0" applyFont="0" applyFill="0" applyBorder="0" applyAlignment="0" applyProtection="0"/>
  </cellStyleXfs>
  <cellXfs count="920">
    <xf numFmtId="0" fontId="0" fillId="0" borderId="0" xfId="0"/>
    <xf numFmtId="0" fontId="14" fillId="2" borderId="2" xfId="3" applyFont="1" applyFill="1" applyBorder="1" applyAlignment="1">
      <alignment horizontal="left" vertical="top" wrapText="1"/>
    </xf>
    <xf numFmtId="4" fontId="15" fillId="2" borderId="2" xfId="1" applyNumberFormat="1" applyFont="1" applyFill="1" applyBorder="1" applyAlignment="1">
      <alignment horizontal="left" vertical="top"/>
    </xf>
    <xf numFmtId="0" fontId="14" fillId="0" borderId="0" xfId="1" applyFont="1"/>
    <xf numFmtId="0" fontId="18" fillId="0" borderId="0" xfId="1" applyFont="1"/>
    <xf numFmtId="167" fontId="14" fillId="0" borderId="0" xfId="1" applyNumberFormat="1" applyFont="1"/>
    <xf numFmtId="0" fontId="16" fillId="2" borderId="0" xfId="1" applyFont="1" applyFill="1" applyAlignment="1">
      <alignment horizontal="left" wrapText="1"/>
    </xf>
    <xf numFmtId="167" fontId="19" fillId="0" borderId="0" xfId="1" applyNumberFormat="1" applyFont="1" applyAlignment="1">
      <alignment horizontal="center" vertical="center"/>
    </xf>
    <xf numFmtId="167" fontId="19" fillId="2" borderId="0" xfId="1" applyNumberFormat="1" applyFont="1" applyFill="1" applyAlignment="1">
      <alignment horizontal="center" vertical="center"/>
    </xf>
    <xf numFmtId="0" fontId="19" fillId="2" borderId="0" xfId="1" applyFont="1" applyFill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4" fillId="2" borderId="2" xfId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horizontal="center" vertical="center"/>
    </xf>
    <xf numFmtId="167" fontId="14" fillId="2" borderId="2" xfId="1" applyNumberFormat="1" applyFont="1" applyFill="1" applyBorder="1" applyAlignment="1">
      <alignment vertical="center"/>
    </xf>
    <xf numFmtId="49" fontId="14" fillId="2" borderId="2" xfId="1" applyNumberFormat="1" applyFont="1" applyFill="1" applyBorder="1" applyAlignment="1">
      <alignment vertical="center"/>
    </xf>
    <xf numFmtId="4" fontId="14" fillId="2" borderId="2" xfId="1" applyNumberFormat="1" applyFont="1" applyFill="1" applyBorder="1" applyAlignment="1">
      <alignment vertical="center"/>
    </xf>
    <xf numFmtId="167" fontId="18" fillId="2" borderId="2" xfId="1" applyNumberFormat="1" applyFont="1" applyFill="1" applyBorder="1" applyAlignment="1">
      <alignment vertical="center"/>
    </xf>
    <xf numFmtId="167" fontId="14" fillId="0" borderId="2" xfId="1" applyNumberFormat="1" applyFont="1" applyBorder="1" applyAlignment="1">
      <alignment vertical="center"/>
    </xf>
    <xf numFmtId="0" fontId="14" fillId="2" borderId="2" xfId="1" applyFont="1" applyFill="1" applyBorder="1" applyAlignment="1">
      <alignment vertical="center" wrapText="1"/>
    </xf>
    <xf numFmtId="167" fontId="18" fillId="2" borderId="2" xfId="1" applyNumberFormat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vertical="center"/>
    </xf>
    <xf numFmtId="0" fontId="14" fillId="0" borderId="0" xfId="1" applyFont="1" applyAlignment="1">
      <alignment vertical="center"/>
    </xf>
    <xf numFmtId="49" fontId="19" fillId="2" borderId="2" xfId="2" applyNumberFormat="1" applyFont="1" applyFill="1" applyBorder="1" applyAlignment="1">
      <alignment vertical="center"/>
    </xf>
    <xf numFmtId="167" fontId="19" fillId="2" borderId="2" xfId="2" applyNumberFormat="1" applyFont="1" applyFill="1" applyBorder="1" applyAlignment="1">
      <alignment vertical="center"/>
    </xf>
    <xf numFmtId="0" fontId="19" fillId="0" borderId="2" xfId="1" applyFont="1" applyBorder="1" applyAlignment="1">
      <alignment vertical="center"/>
    </xf>
    <xf numFmtId="0" fontId="19" fillId="0" borderId="0" xfId="1" applyFont="1" applyAlignment="1">
      <alignment vertical="center"/>
    </xf>
    <xf numFmtId="0" fontId="19" fillId="0" borderId="0" xfId="1" applyFont="1" applyAlignment="1">
      <alignment horizontal="center" vertical="center"/>
    </xf>
    <xf numFmtId="0" fontId="21" fillId="0" borderId="0" xfId="1" applyFont="1" applyAlignment="1">
      <alignment vertical="center"/>
    </xf>
    <xf numFmtId="167" fontId="19" fillId="0" borderId="0" xfId="1" applyNumberFormat="1" applyFont="1" applyAlignment="1">
      <alignment vertical="center"/>
    </xf>
    <xf numFmtId="0" fontId="14" fillId="0" borderId="0" xfId="1" applyFont="1" applyAlignment="1">
      <alignment horizontal="left" vertical="center"/>
    </xf>
    <xf numFmtId="0" fontId="14" fillId="0" borderId="0" xfId="1" applyFont="1" applyAlignment="1">
      <alignment horizontal="center"/>
    </xf>
    <xf numFmtId="0" fontId="18" fillId="0" borderId="0" xfId="1" applyFont="1" applyAlignment="1">
      <alignment horizontal="center"/>
    </xf>
    <xf numFmtId="167" fontId="14" fillId="0" borderId="0" xfId="1" applyNumberFormat="1" applyFont="1" applyAlignment="1">
      <alignment horizontal="center"/>
    </xf>
    <xf numFmtId="0" fontId="15" fillId="0" borderId="0" xfId="1" applyFont="1"/>
    <xf numFmtId="165" fontId="14" fillId="2" borderId="0" xfId="2" applyFont="1" applyFill="1" applyAlignment="1">
      <alignment horizontal="center"/>
    </xf>
    <xf numFmtId="167" fontId="14" fillId="2" borderId="0" xfId="2" applyNumberFormat="1" applyFont="1" applyFill="1" applyAlignment="1">
      <alignment horizontal="center"/>
    </xf>
    <xf numFmtId="167" fontId="15" fillId="2" borderId="0" xfId="1" applyNumberFormat="1" applyFont="1" applyFill="1"/>
    <xf numFmtId="167" fontId="15" fillId="0" borderId="0" xfId="1" applyNumberFormat="1" applyFont="1"/>
    <xf numFmtId="0" fontId="15" fillId="2" borderId="0" xfId="1" applyFont="1" applyFill="1" applyAlignment="1">
      <alignment horizontal="center" vertical="center"/>
    </xf>
    <xf numFmtId="167" fontId="14" fillId="2" borderId="2" xfId="1" applyNumberFormat="1" applyFont="1" applyFill="1" applyBorder="1" applyAlignment="1">
      <alignment horizontal="center" vertical="center"/>
    </xf>
    <xf numFmtId="167" fontId="14" fillId="2" borderId="2" xfId="1" applyNumberFormat="1" applyFont="1" applyFill="1" applyBorder="1" applyAlignment="1">
      <alignment horizontal="left" vertical="center"/>
    </xf>
    <xf numFmtId="167" fontId="14" fillId="0" borderId="2" xfId="1" applyNumberFormat="1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17" fontId="20" fillId="2" borderId="2" xfId="3" applyNumberFormat="1" applyFont="1" applyFill="1" applyBorder="1" applyAlignment="1">
      <alignment horizontal="center" vertical="center"/>
    </xf>
    <xf numFmtId="17" fontId="18" fillId="2" borderId="2" xfId="3" applyNumberFormat="1" applyFont="1" applyFill="1" applyBorder="1" applyAlignment="1">
      <alignment horizontal="center" vertical="center"/>
    </xf>
    <xf numFmtId="167" fontId="19" fillId="2" borderId="2" xfId="3" applyNumberFormat="1" applyFont="1" applyFill="1" applyBorder="1" applyAlignment="1">
      <alignment horizontal="center"/>
    </xf>
    <xf numFmtId="0" fontId="19" fillId="2" borderId="2" xfId="3" applyFont="1" applyFill="1" applyBorder="1" applyAlignment="1">
      <alignment horizontal="center"/>
    </xf>
    <xf numFmtId="0" fontId="20" fillId="2" borderId="2" xfId="3" applyFont="1" applyFill="1" applyBorder="1" applyAlignment="1">
      <alignment horizontal="center"/>
    </xf>
    <xf numFmtId="17" fontId="14" fillId="2" borderId="2" xfId="3" applyNumberFormat="1" applyFont="1" applyFill="1" applyBorder="1" applyAlignment="1">
      <alignment horizontal="center" vertical="center"/>
    </xf>
    <xf numFmtId="167" fontId="14" fillId="2" borderId="2" xfId="3" applyNumberFormat="1" applyFont="1" applyFill="1" applyBorder="1" applyAlignment="1">
      <alignment horizontal="center"/>
    </xf>
    <xf numFmtId="0" fontId="14" fillId="2" borderId="2" xfId="3" applyFont="1" applyFill="1" applyBorder="1" applyAlignment="1">
      <alignment horizontal="center"/>
    </xf>
    <xf numFmtId="0" fontId="15" fillId="2" borderId="2" xfId="3" applyFont="1" applyFill="1" applyBorder="1" applyAlignment="1">
      <alignment horizontal="center"/>
    </xf>
    <xf numFmtId="168" fontId="14" fillId="0" borderId="2" xfId="1" applyNumberFormat="1" applyFont="1" applyBorder="1" applyAlignment="1">
      <alignment horizontal="center" vertical="center"/>
    </xf>
    <xf numFmtId="169" fontId="14" fillId="0" borderId="0" xfId="1" applyNumberFormat="1" applyFont="1" applyAlignment="1">
      <alignment horizontal="center" vertical="center"/>
    </xf>
    <xf numFmtId="169" fontId="14" fillId="0" borderId="2" xfId="1" applyNumberFormat="1" applyFont="1" applyBorder="1" applyAlignment="1">
      <alignment horizontal="center" vertical="center"/>
    </xf>
    <xf numFmtId="169" fontId="19" fillId="0" borderId="0" xfId="1" applyNumberFormat="1" applyFont="1" applyAlignment="1">
      <alignment horizontal="center" vertical="center"/>
    </xf>
    <xf numFmtId="169" fontId="15" fillId="0" borderId="0" xfId="1" applyNumberFormat="1" applyFont="1" applyAlignment="1">
      <alignment horizontal="center" vertical="center"/>
    </xf>
    <xf numFmtId="167" fontId="14" fillId="3" borderId="0" xfId="1" applyNumberFormat="1" applyFont="1" applyFill="1"/>
    <xf numFmtId="167" fontId="16" fillId="2" borderId="0" xfId="1" applyNumberFormat="1" applyFont="1" applyFill="1" applyAlignment="1">
      <alignment horizontal="left" wrapText="1"/>
    </xf>
    <xf numFmtId="167" fontId="15" fillId="2" borderId="0" xfId="1" applyNumberFormat="1" applyFont="1" applyFill="1" applyAlignment="1">
      <alignment horizontal="left"/>
    </xf>
    <xf numFmtId="0" fontId="14" fillId="2" borderId="0" xfId="1" applyFont="1" applyFill="1"/>
    <xf numFmtId="0" fontId="18" fillId="2" borderId="0" xfId="1" applyFont="1" applyFill="1"/>
    <xf numFmtId="167" fontId="14" fillId="2" borderId="0" xfId="1" applyNumberFormat="1" applyFont="1" applyFill="1"/>
    <xf numFmtId="169" fontId="14" fillId="2" borderId="0" xfId="1" applyNumberFormat="1" applyFont="1" applyFill="1" applyAlignment="1">
      <alignment horizontal="center" vertical="center"/>
    </xf>
    <xf numFmtId="167" fontId="16" fillId="2" borderId="0" xfId="2" applyNumberFormat="1" applyFont="1" applyFill="1" applyBorder="1" applyAlignment="1">
      <alignment horizontal="left" vertical="center" wrapText="1"/>
    </xf>
    <xf numFmtId="167" fontId="16" fillId="2" borderId="0" xfId="1" applyNumberFormat="1" applyFont="1" applyFill="1" applyAlignment="1">
      <alignment horizontal="left" vertical="center" wrapText="1"/>
    </xf>
    <xf numFmtId="0" fontId="14" fillId="2" borderId="2" xfId="1" applyFont="1" applyFill="1" applyBorder="1" applyAlignment="1">
      <alignment horizontal="center" vertical="top" wrapText="1"/>
    </xf>
    <xf numFmtId="0" fontId="14" fillId="2" borderId="2" xfId="1" applyFont="1" applyFill="1" applyBorder="1" applyAlignment="1">
      <alignment horizontal="left" vertical="center" wrapText="1"/>
    </xf>
    <xf numFmtId="165" fontId="19" fillId="0" borderId="0" xfId="2" applyFont="1" applyFill="1" applyBorder="1" applyAlignment="1">
      <alignment horizontal="center" vertical="center"/>
    </xf>
    <xf numFmtId="167" fontId="19" fillId="0" borderId="0" xfId="2" applyNumberFormat="1" applyFont="1" applyFill="1" applyBorder="1" applyAlignment="1">
      <alignment horizontal="center" vertical="center"/>
    </xf>
    <xf numFmtId="167" fontId="19" fillId="0" borderId="0" xfId="2" applyNumberFormat="1" applyFont="1" applyFill="1" applyBorder="1" applyAlignment="1"/>
    <xf numFmtId="165" fontId="14" fillId="0" borderId="0" xfId="2" applyFont="1" applyFill="1" applyBorder="1" applyAlignment="1">
      <alignment horizontal="center"/>
    </xf>
    <xf numFmtId="167" fontId="14" fillId="0" borderId="0" xfId="2" applyNumberFormat="1" applyFont="1" applyFill="1" applyBorder="1" applyAlignment="1">
      <alignment horizontal="center"/>
    </xf>
    <xf numFmtId="4" fontId="14" fillId="0" borderId="0" xfId="1" applyNumberFormat="1" applyFont="1" applyAlignment="1">
      <alignment horizontal="center" vertical="center"/>
    </xf>
    <xf numFmtId="165" fontId="14" fillId="0" borderId="0" xfId="2" applyFont="1" applyFill="1" applyAlignment="1">
      <alignment horizontal="center"/>
    </xf>
    <xf numFmtId="167" fontId="14" fillId="0" borderId="0" xfId="2" applyNumberFormat="1" applyFont="1" applyFill="1" applyAlignment="1">
      <alignment horizontal="center"/>
    </xf>
    <xf numFmtId="165" fontId="15" fillId="0" borderId="0" xfId="1" applyNumberFormat="1" applyFont="1" applyAlignment="1">
      <alignment horizontal="center" vertical="center"/>
    </xf>
    <xf numFmtId="4" fontId="15" fillId="0" borderId="0" xfId="1" applyNumberFormat="1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9" fillId="2" borderId="0" xfId="2" applyNumberFormat="1" applyFont="1" applyFill="1" applyBorder="1" applyAlignment="1">
      <alignment vertical="center"/>
    </xf>
    <xf numFmtId="165" fontId="19" fillId="2" borderId="0" xfId="2" applyFont="1" applyFill="1" applyBorder="1" applyAlignment="1">
      <alignment horizontal="right" vertical="center"/>
    </xf>
    <xf numFmtId="0" fontId="19" fillId="0" borderId="2" xfId="1" applyFont="1" applyBorder="1" applyAlignment="1">
      <alignment horizontal="center" vertical="center"/>
    </xf>
    <xf numFmtId="0" fontId="16" fillId="2" borderId="0" xfId="1" applyFont="1" applyFill="1" applyAlignment="1">
      <alignment horizontal="left" vertical="center" wrapText="1"/>
    </xf>
    <xf numFmtId="167" fontId="21" fillId="2" borderId="2" xfId="3" applyNumberFormat="1" applyFont="1" applyFill="1" applyBorder="1" applyAlignment="1">
      <alignment horizontal="center"/>
    </xf>
    <xf numFmtId="0" fontId="19" fillId="0" borderId="2" xfId="1" applyFont="1" applyBorder="1" applyAlignment="1">
      <alignment horizontal="left" vertical="center"/>
    </xf>
    <xf numFmtId="165" fontId="19" fillId="0" borderId="2" xfId="2" applyFont="1" applyFill="1" applyBorder="1" applyAlignment="1">
      <alignment horizontal="center" vertical="center"/>
    </xf>
    <xf numFmtId="167" fontId="19" fillId="0" borderId="2" xfId="2" applyNumberFormat="1" applyFont="1" applyFill="1" applyBorder="1" applyAlignment="1">
      <alignment horizontal="center" vertical="center"/>
    </xf>
    <xf numFmtId="167" fontId="19" fillId="0" borderId="2" xfId="2" applyNumberFormat="1" applyFont="1" applyFill="1" applyBorder="1" applyAlignment="1"/>
    <xf numFmtId="0" fontId="19" fillId="0" borderId="0" xfId="1" applyFont="1" applyAlignment="1">
      <alignment horizontal="left" vertical="center"/>
    </xf>
    <xf numFmtId="0" fontId="14" fillId="0" borderId="2" xfId="1" applyFont="1" applyBorder="1" applyAlignment="1">
      <alignment vertical="center"/>
    </xf>
    <xf numFmtId="49" fontId="14" fillId="2" borderId="2" xfId="1" applyNumberFormat="1" applyFont="1" applyFill="1" applyBorder="1" applyAlignment="1">
      <alignment horizontal="center" vertical="center"/>
    </xf>
    <xf numFmtId="0" fontId="10" fillId="0" borderId="0" xfId="9" applyFont="1"/>
    <xf numFmtId="0" fontId="10" fillId="0" borderId="0" xfId="9" applyFont="1" applyAlignment="1">
      <alignment vertical="center"/>
    </xf>
    <xf numFmtId="0" fontId="10" fillId="0" borderId="0" xfId="9" applyFont="1" applyAlignment="1">
      <alignment horizontal="center" vertical="top"/>
    </xf>
    <xf numFmtId="0" fontId="10" fillId="0" borderId="0" xfId="9" applyFont="1" applyAlignment="1">
      <alignment horizontal="left" vertical="center"/>
    </xf>
    <xf numFmtId="49" fontId="10" fillId="0" borderId="0" xfId="9" applyNumberFormat="1" applyFont="1" applyAlignment="1">
      <alignment horizontal="center" vertical="center" wrapText="1"/>
    </xf>
    <xf numFmtId="4" fontId="13" fillId="0" borderId="0" xfId="9" applyNumberFormat="1" applyFont="1"/>
    <xf numFmtId="165" fontId="10" fillId="0" borderId="0" xfId="10" applyFont="1" applyFill="1" applyBorder="1" applyAlignment="1">
      <alignment horizontal="center" vertical="center"/>
    </xf>
    <xf numFmtId="0" fontId="9" fillId="0" borderId="0" xfId="9" applyFont="1" applyAlignment="1">
      <alignment vertical="center"/>
    </xf>
    <xf numFmtId="0" fontId="10" fillId="0" borderId="0" xfId="9" applyFont="1" applyAlignment="1">
      <alignment horizontal="center" vertical="center"/>
    </xf>
    <xf numFmtId="0" fontId="9" fillId="0" borderId="0" xfId="9" applyFont="1" applyAlignment="1">
      <alignment horizontal="left"/>
    </xf>
    <xf numFmtId="165" fontId="9" fillId="0" borderId="0" xfId="10" applyFont="1" applyFill="1" applyBorder="1" applyAlignment="1">
      <alignment horizontal="center" vertical="center"/>
    </xf>
    <xf numFmtId="165" fontId="9" fillId="0" borderId="0" xfId="10" applyFont="1" applyFill="1" applyBorder="1" applyAlignment="1">
      <alignment horizontal="right"/>
    </xf>
    <xf numFmtId="0" fontId="10" fillId="0" borderId="0" xfId="9" applyFont="1" applyAlignment="1">
      <alignment horizontal="center"/>
    </xf>
    <xf numFmtId="4" fontId="11" fillId="0" borderId="0" xfId="9" applyNumberFormat="1" applyFont="1" applyAlignment="1">
      <alignment horizontal="right"/>
    </xf>
    <xf numFmtId="0" fontId="8" fillId="0" borderId="0" xfId="9" applyFont="1"/>
    <xf numFmtId="0" fontId="11" fillId="0" borderId="2" xfId="9" applyFont="1" applyBorder="1" applyAlignment="1">
      <alignment horizontal="center" vertical="center" wrapText="1"/>
    </xf>
    <xf numFmtId="0" fontId="9" fillId="0" borderId="5" xfId="9" applyFont="1" applyBorder="1" applyAlignment="1">
      <alignment horizontal="center" vertical="center" wrapText="1"/>
    </xf>
    <xf numFmtId="0" fontId="9" fillId="0" borderId="4" xfId="9" applyFont="1" applyBorder="1" applyAlignment="1">
      <alignment horizontal="center" vertical="center"/>
    </xf>
    <xf numFmtId="0" fontId="9" fillId="0" borderId="4" xfId="9" applyFont="1" applyBorder="1" applyAlignment="1">
      <alignment horizontal="center" vertical="center" wrapText="1"/>
    </xf>
    <xf numFmtId="165" fontId="9" fillId="0" borderId="4" xfId="10" applyFont="1" applyFill="1" applyBorder="1" applyAlignment="1">
      <alignment horizontal="center" vertical="center" wrapText="1"/>
    </xf>
    <xf numFmtId="17" fontId="9" fillId="0" borderId="4" xfId="9" applyNumberFormat="1" applyFont="1" applyBorder="1" applyAlignment="1">
      <alignment horizontal="center" vertical="center" wrapText="1"/>
    </xf>
    <xf numFmtId="49" fontId="10" fillId="0" borderId="1" xfId="3" applyNumberFormat="1" applyFont="1" applyBorder="1" applyAlignment="1">
      <alignment horizontal="center" vertical="center" wrapText="1"/>
    </xf>
    <xf numFmtId="0" fontId="10" fillId="0" borderId="7" xfId="9" applyFont="1" applyBorder="1" applyAlignment="1">
      <alignment horizontal="center" vertical="top"/>
    </xf>
    <xf numFmtId="0" fontId="10" fillId="0" borderId="8" xfId="9" applyFont="1" applyBorder="1" applyAlignment="1">
      <alignment horizontal="left" vertical="top" wrapText="1"/>
    </xf>
    <xf numFmtId="49" fontId="10" fillId="0" borderId="13" xfId="9" applyNumberFormat="1" applyFont="1" applyBorder="1" applyAlignment="1">
      <alignment horizontal="left" vertical="center" wrapText="1"/>
    </xf>
    <xf numFmtId="0" fontId="11" fillId="0" borderId="8" xfId="9" applyFont="1" applyBorder="1" applyAlignment="1">
      <alignment horizontal="left" vertical="center" wrapText="1"/>
    </xf>
    <xf numFmtId="164" fontId="9" fillId="0" borderId="8" xfId="9" applyNumberFormat="1" applyFont="1" applyBorder="1" applyAlignment="1">
      <alignment horizontal="right" vertical="top"/>
    </xf>
    <xf numFmtId="14" fontId="10" fillId="0" borderId="8" xfId="9" applyNumberFormat="1" applyFont="1" applyBorder="1" applyAlignment="1">
      <alignment horizontal="left" vertical="top"/>
    </xf>
    <xf numFmtId="0" fontId="10" fillId="0" borderId="0" xfId="9" applyFont="1" applyAlignment="1">
      <alignment horizontal="left" vertical="top" wrapText="1"/>
    </xf>
    <xf numFmtId="49" fontId="10" fillId="0" borderId="0" xfId="9" applyNumberFormat="1" applyFont="1" applyAlignment="1">
      <alignment horizontal="left" vertical="center" wrapText="1"/>
    </xf>
    <xf numFmtId="0" fontId="11" fillId="0" borderId="0" xfId="9" applyFont="1" applyAlignment="1">
      <alignment horizontal="left" vertical="center" wrapText="1"/>
    </xf>
    <xf numFmtId="4" fontId="10" fillId="0" borderId="0" xfId="9" applyNumberFormat="1" applyFont="1" applyAlignment="1">
      <alignment horizontal="left" vertical="top"/>
    </xf>
    <xf numFmtId="14" fontId="10" fillId="0" borderId="0" xfId="9" applyNumberFormat="1" applyFont="1" applyAlignment="1">
      <alignment horizontal="left" vertical="top"/>
    </xf>
    <xf numFmtId="165" fontId="10" fillId="0" borderId="0" xfId="10" applyFont="1" applyFill="1" applyAlignment="1">
      <alignment horizontal="center" vertical="center"/>
    </xf>
    <xf numFmtId="0" fontId="8" fillId="0" borderId="0" xfId="9" applyFont="1" applyAlignment="1">
      <alignment horizontal="right"/>
    </xf>
    <xf numFmtId="0" fontId="10" fillId="0" borderId="3" xfId="9" applyFont="1" applyBorder="1" applyAlignment="1">
      <alignment horizontal="center" vertical="center"/>
    </xf>
    <xf numFmtId="0" fontId="10" fillId="0" borderId="2" xfId="3" applyFont="1" applyBorder="1" applyAlignment="1">
      <alignment horizontal="left" vertical="center" wrapText="1"/>
    </xf>
    <xf numFmtId="14" fontId="10" fillId="0" borderId="2" xfId="9" applyNumberFormat="1" applyFont="1" applyBorder="1" applyAlignment="1">
      <alignment horizontal="center" vertical="center"/>
    </xf>
    <xf numFmtId="164" fontId="10" fillId="0" borderId="3" xfId="3" applyNumberFormat="1" applyFont="1" applyBorder="1" applyAlignment="1">
      <alignment horizontal="right" vertical="center"/>
    </xf>
    <xf numFmtId="0" fontId="9" fillId="0" borderId="0" xfId="9" applyFont="1" applyAlignment="1">
      <alignment horizontal="center" vertical="center"/>
    </xf>
    <xf numFmtId="2" fontId="10" fillId="0" borderId="0" xfId="9" applyNumberFormat="1" applyFont="1" applyAlignment="1">
      <alignment vertical="center"/>
    </xf>
    <xf numFmtId="0" fontId="26" fillId="0" borderId="0" xfId="0" applyFont="1" applyAlignment="1">
      <alignment vertical="center"/>
    </xf>
    <xf numFmtId="0" fontId="26" fillId="0" borderId="2" xfId="0" applyFont="1" applyBorder="1" applyAlignment="1">
      <alignment vertical="center" wrapText="1"/>
    </xf>
    <xf numFmtId="4" fontId="28" fillId="0" borderId="2" xfId="0" applyNumberFormat="1" applyFont="1" applyBorder="1" applyAlignment="1">
      <alignment vertical="center"/>
    </xf>
    <xf numFmtId="0" fontId="28" fillId="4" borderId="2" xfId="0" applyFont="1" applyFill="1" applyBorder="1" applyAlignment="1">
      <alignment horizontal="center" vertical="center"/>
    </xf>
    <xf numFmtId="0" fontId="25" fillId="4" borderId="31" xfId="9" applyFont="1" applyFill="1" applyBorder="1" applyAlignment="1">
      <alignment horizontal="center" vertical="center" wrapText="1"/>
    </xf>
    <xf numFmtId="0" fontId="25" fillId="4" borderId="4" xfId="9" applyFont="1" applyFill="1" applyBorder="1" applyAlignment="1">
      <alignment horizontal="center" vertical="center" wrapText="1"/>
    </xf>
    <xf numFmtId="0" fontId="25" fillId="4" borderId="32" xfId="9" applyFont="1" applyFill="1" applyBorder="1" applyAlignment="1">
      <alignment horizontal="center" vertical="center" wrapText="1"/>
    </xf>
    <xf numFmtId="0" fontId="29" fillId="0" borderId="2" xfId="0" applyFont="1" applyBorder="1" applyAlignment="1">
      <alignment vertical="center" wrapText="1"/>
    </xf>
    <xf numFmtId="4" fontId="28" fillId="0" borderId="34" xfId="0" applyNumberFormat="1" applyFont="1" applyBorder="1" applyAlignment="1">
      <alignment vertical="center"/>
    </xf>
    <xf numFmtId="0" fontId="26" fillId="0" borderId="34" xfId="0" applyFont="1" applyBorder="1" applyAlignment="1">
      <alignment vertical="center" wrapText="1"/>
    </xf>
    <xf numFmtId="0" fontId="25" fillId="4" borderId="41" xfId="9" applyFont="1" applyFill="1" applyBorder="1" applyAlignment="1">
      <alignment horizontal="center" vertical="center" wrapText="1"/>
    </xf>
    <xf numFmtId="0" fontId="27" fillId="4" borderId="3" xfId="0" applyFont="1" applyFill="1" applyBorder="1" applyAlignment="1">
      <alignment horizontal="center" vertical="center" wrapText="1"/>
    </xf>
    <xf numFmtId="0" fontId="25" fillId="4" borderId="5" xfId="9" applyFont="1" applyFill="1" applyBorder="1" applyAlignment="1">
      <alignment horizontal="center" vertical="center" wrapText="1"/>
    </xf>
    <xf numFmtId="0" fontId="27" fillId="4" borderId="18" xfId="0" applyFont="1" applyFill="1" applyBorder="1" applyAlignment="1">
      <alignment horizontal="center" vertical="center" wrapText="1"/>
    </xf>
    <xf numFmtId="4" fontId="30" fillId="0" borderId="18" xfId="0" applyNumberFormat="1" applyFont="1" applyBorder="1" applyAlignment="1">
      <alignment vertical="center" wrapText="1"/>
    </xf>
    <xf numFmtId="0" fontId="29" fillId="0" borderId="37" xfId="0" applyFont="1" applyBorder="1" applyAlignment="1">
      <alignment vertical="center" wrapText="1"/>
    </xf>
    <xf numFmtId="0" fontId="26" fillId="0" borderId="37" xfId="0" applyFont="1" applyBorder="1" applyAlignment="1">
      <alignment vertical="center" wrapText="1"/>
    </xf>
    <xf numFmtId="0" fontId="26" fillId="0" borderId="35" xfId="0" applyFont="1" applyBorder="1" applyAlignment="1">
      <alignment vertical="center" wrapText="1"/>
    </xf>
    <xf numFmtId="0" fontId="29" fillId="0" borderId="43" xfId="0" applyFont="1" applyBorder="1" applyAlignment="1">
      <alignment vertical="center" wrapText="1"/>
    </xf>
    <xf numFmtId="4" fontId="30" fillId="0" borderId="33" xfId="0" applyNumberFormat="1" applyFont="1" applyBorder="1" applyAlignment="1">
      <alignment vertical="center" wrapText="1"/>
    </xf>
    <xf numFmtId="4" fontId="29" fillId="0" borderId="34" xfId="0" applyNumberFormat="1" applyFont="1" applyBorder="1" applyAlignment="1">
      <alignment vertical="center"/>
    </xf>
    <xf numFmtId="0" fontId="29" fillId="0" borderId="35" xfId="0" applyFont="1" applyBorder="1" applyAlignment="1">
      <alignment vertical="center" wrapText="1"/>
    </xf>
    <xf numFmtId="0" fontId="26" fillId="0" borderId="26" xfId="0" applyFont="1" applyBorder="1" applyAlignment="1">
      <alignment vertical="center" wrapText="1"/>
    </xf>
    <xf numFmtId="0" fontId="29" fillId="0" borderId="30" xfId="0" applyFont="1" applyBorder="1" applyAlignment="1">
      <alignment vertical="center" wrapText="1"/>
    </xf>
    <xf numFmtId="4" fontId="30" fillId="0" borderId="23" xfId="0" applyNumberFormat="1" applyFont="1" applyBorder="1" applyAlignment="1">
      <alignment vertical="center" wrapText="1"/>
    </xf>
    <xf numFmtId="4" fontId="29" fillId="0" borderId="19" xfId="0" applyNumberFormat="1" applyFont="1" applyBorder="1" applyAlignment="1">
      <alignment vertical="center"/>
    </xf>
    <xf numFmtId="0" fontId="29" fillId="0" borderId="12" xfId="0" applyFont="1" applyBorder="1" applyAlignment="1">
      <alignment vertical="center"/>
    </xf>
    <xf numFmtId="0" fontId="29" fillId="0" borderId="6" xfId="0" applyFont="1" applyBorder="1" applyAlignment="1">
      <alignment vertical="center" wrapText="1"/>
    </xf>
    <xf numFmtId="4" fontId="30" fillId="0" borderId="36" xfId="0" applyNumberFormat="1" applyFont="1" applyBorder="1" applyAlignment="1">
      <alignment vertical="center" wrapText="1"/>
    </xf>
    <xf numFmtId="4" fontId="29" fillId="0" borderId="20" xfId="0" applyNumberFormat="1" applyFont="1" applyBorder="1" applyAlignment="1">
      <alignment vertical="center"/>
    </xf>
    <xf numFmtId="4" fontId="29" fillId="0" borderId="2" xfId="0" applyNumberFormat="1" applyFont="1" applyBorder="1" applyAlignment="1">
      <alignment vertical="center"/>
    </xf>
    <xf numFmtId="0" fontId="26" fillId="6" borderId="44" xfId="0" applyFont="1" applyFill="1" applyBorder="1" applyAlignment="1">
      <alignment vertical="center"/>
    </xf>
    <xf numFmtId="0" fontId="26" fillId="6" borderId="6" xfId="0" applyFont="1" applyFill="1" applyBorder="1" applyAlignment="1">
      <alignment vertical="center"/>
    </xf>
    <xf numFmtId="0" fontId="26" fillId="6" borderId="12" xfId="0" applyFont="1" applyFill="1" applyBorder="1" applyAlignment="1">
      <alignment vertical="center"/>
    </xf>
    <xf numFmtId="4" fontId="25" fillId="6" borderId="46" xfId="0" applyNumberFormat="1" applyFont="1" applyFill="1" applyBorder="1" applyAlignment="1">
      <alignment vertical="center"/>
    </xf>
    <xf numFmtId="4" fontId="26" fillId="6" borderId="12" xfId="0" applyNumberFormat="1" applyFont="1" applyFill="1" applyBorder="1" applyAlignment="1">
      <alignment vertical="center"/>
    </xf>
    <xf numFmtId="4" fontId="26" fillId="6" borderId="6" xfId="0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vertical="center"/>
    </xf>
    <xf numFmtId="0" fontId="26" fillId="6" borderId="11" xfId="0" applyFont="1" applyFill="1" applyBorder="1" applyAlignment="1">
      <alignment vertical="center"/>
    </xf>
    <xf numFmtId="0" fontId="25" fillId="7" borderId="7" xfId="0" applyFont="1" applyFill="1" applyBorder="1" applyAlignment="1">
      <alignment vertical="center"/>
    </xf>
    <xf numFmtId="0" fontId="25" fillId="7" borderId="8" xfId="0" applyFont="1" applyFill="1" applyBorder="1" applyAlignment="1">
      <alignment vertical="center"/>
    </xf>
    <xf numFmtId="0" fontId="25" fillId="7" borderId="47" xfId="0" applyFont="1" applyFill="1" applyBorder="1" applyAlignment="1">
      <alignment vertical="center"/>
    </xf>
    <xf numFmtId="4" fontId="25" fillId="7" borderId="8" xfId="0" applyNumberFormat="1" applyFont="1" applyFill="1" applyBorder="1" applyAlignment="1">
      <alignment vertical="center"/>
    </xf>
    <xf numFmtId="0" fontId="28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14" fontId="33" fillId="8" borderId="0" xfId="0" applyNumberFormat="1" applyFont="1" applyFill="1" applyAlignment="1">
      <alignment vertical="center"/>
    </xf>
    <xf numFmtId="0" fontId="28" fillId="0" borderId="22" xfId="0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7" fillId="4" borderId="21" xfId="0" applyFont="1" applyFill="1" applyBorder="1" applyAlignment="1">
      <alignment horizontal="center" vertical="center" wrapText="1"/>
    </xf>
    <xf numFmtId="0" fontId="27" fillId="4" borderId="22" xfId="0" applyFont="1" applyFill="1" applyBorder="1" applyAlignment="1">
      <alignment horizontal="center" vertical="center"/>
    </xf>
    <xf numFmtId="0" fontId="27" fillId="4" borderId="39" xfId="0" applyFont="1" applyFill="1" applyBorder="1" applyAlignment="1">
      <alignment horizontal="center" vertical="center"/>
    </xf>
    <xf numFmtId="0" fontId="27" fillId="0" borderId="22" xfId="0" applyFont="1" applyBorder="1" applyAlignment="1">
      <alignment horizontal="center" vertical="center" wrapText="1"/>
    </xf>
    <xf numFmtId="0" fontId="28" fillId="0" borderId="38" xfId="0" applyFont="1" applyBorder="1" applyAlignment="1">
      <alignment horizontal="center" vertical="center"/>
    </xf>
    <xf numFmtId="0" fontId="28" fillId="4" borderId="22" xfId="0" applyFont="1" applyFill="1" applyBorder="1" applyAlignment="1">
      <alignment horizontal="center" vertical="center"/>
    </xf>
    <xf numFmtId="0" fontId="28" fillId="4" borderId="39" xfId="0" applyFont="1" applyFill="1" applyBorder="1" applyAlignment="1">
      <alignment horizontal="center" vertical="center"/>
    </xf>
    <xf numFmtId="4" fontId="27" fillId="0" borderId="33" xfId="0" applyNumberFormat="1" applyFont="1" applyBorder="1" applyAlignment="1">
      <alignment vertical="center"/>
    </xf>
    <xf numFmtId="0" fontId="28" fillId="0" borderId="35" xfId="0" applyFont="1" applyBorder="1" applyAlignment="1">
      <alignment vertical="center" wrapText="1"/>
    </xf>
    <xf numFmtId="4" fontId="27" fillId="4" borderId="23" xfId="0" applyNumberFormat="1" applyFont="1" applyFill="1" applyBorder="1" applyAlignment="1">
      <alignment vertical="center"/>
    </xf>
    <xf numFmtId="4" fontId="28" fillId="4" borderId="19" xfId="0" applyNumberFormat="1" applyFont="1" applyFill="1" applyBorder="1" applyAlignment="1">
      <alignment vertical="center"/>
    </xf>
    <xf numFmtId="4" fontId="28" fillId="4" borderId="30" xfId="0" applyNumberFormat="1" applyFont="1" applyFill="1" applyBorder="1" applyAlignment="1">
      <alignment vertical="center"/>
    </xf>
    <xf numFmtId="0" fontId="27" fillId="4" borderId="18" xfId="0" applyFont="1" applyFill="1" applyBorder="1" applyAlignment="1">
      <alignment vertical="center"/>
    </xf>
    <xf numFmtId="4" fontId="27" fillId="0" borderId="18" xfId="0" applyNumberFormat="1" applyFont="1" applyBorder="1" applyAlignment="1">
      <alignment vertical="center"/>
    </xf>
    <xf numFmtId="0" fontId="28" fillId="4" borderId="18" xfId="0" applyFont="1" applyFill="1" applyBorder="1" applyAlignment="1">
      <alignment vertical="center"/>
    </xf>
    <xf numFmtId="0" fontId="28" fillId="4" borderId="2" xfId="0" applyFont="1" applyFill="1" applyBorder="1" applyAlignment="1">
      <alignment vertical="center"/>
    </xf>
    <xf numFmtId="0" fontId="28" fillId="4" borderId="37" xfId="0" applyFont="1" applyFill="1" applyBorder="1" applyAlignment="1">
      <alignment vertical="center"/>
    </xf>
    <xf numFmtId="0" fontId="28" fillId="0" borderId="37" xfId="0" applyFont="1" applyBorder="1" applyAlignment="1">
      <alignment vertical="center" wrapText="1"/>
    </xf>
    <xf numFmtId="4" fontId="28" fillId="4" borderId="35" xfId="0" applyNumberFormat="1" applyFont="1" applyFill="1" applyBorder="1" applyAlignment="1">
      <alignment vertical="center"/>
    </xf>
    <xf numFmtId="4" fontId="27" fillId="4" borderId="33" xfId="0" applyNumberFormat="1" applyFont="1" applyFill="1" applyBorder="1" applyAlignment="1">
      <alignment vertical="center"/>
    </xf>
    <xf numFmtId="4" fontId="28" fillId="0" borderId="0" xfId="0" applyNumberFormat="1" applyFont="1" applyAlignment="1">
      <alignment vertical="center"/>
    </xf>
    <xf numFmtId="4" fontId="27" fillId="8" borderId="56" xfId="0" applyNumberFormat="1" applyFont="1" applyFill="1" applyBorder="1" applyAlignment="1">
      <alignment vertical="center"/>
    </xf>
    <xf numFmtId="4" fontId="27" fillId="8" borderId="8" xfId="0" applyNumberFormat="1" applyFont="1" applyFill="1" applyBorder="1" applyAlignment="1">
      <alignment vertical="center"/>
    </xf>
    <xf numFmtId="4" fontId="27" fillId="8" borderId="57" xfId="0" applyNumberFormat="1" applyFont="1" applyFill="1" applyBorder="1" applyAlignment="1">
      <alignment vertical="center"/>
    </xf>
    <xf numFmtId="4" fontId="27" fillId="0" borderId="59" xfId="0" applyNumberFormat="1" applyFont="1" applyBorder="1" applyAlignment="1">
      <alignment vertical="center"/>
    </xf>
    <xf numFmtId="0" fontId="28" fillId="0" borderId="60" xfId="0" applyFont="1" applyBorder="1" applyAlignment="1">
      <alignment vertical="center"/>
    </xf>
    <xf numFmtId="0" fontId="29" fillId="0" borderId="1" xfId="0" applyFont="1" applyBorder="1" applyAlignment="1">
      <alignment vertical="center" wrapText="1"/>
    </xf>
    <xf numFmtId="4" fontId="27" fillId="8" borderId="61" xfId="0" applyNumberFormat="1" applyFont="1" applyFill="1" applyBorder="1" applyAlignment="1">
      <alignment vertical="center"/>
    </xf>
    <xf numFmtId="0" fontId="28" fillId="0" borderId="0" xfId="0" applyFont="1" applyAlignment="1">
      <alignment horizontal="right" vertical="center"/>
    </xf>
    <xf numFmtId="0" fontId="28" fillId="0" borderId="45" xfId="0" applyFont="1" applyBorder="1" applyAlignment="1">
      <alignment horizontal="right" vertical="center"/>
    </xf>
    <xf numFmtId="3" fontId="27" fillId="0" borderId="51" xfId="0" applyNumberFormat="1" applyFont="1" applyBorder="1" applyAlignment="1">
      <alignment horizontal="right" vertical="center"/>
    </xf>
    <xf numFmtId="0" fontId="27" fillId="0" borderId="53" xfId="0" applyFont="1" applyBorder="1" applyAlignment="1">
      <alignment horizontal="right" vertical="center"/>
    </xf>
    <xf numFmtId="3" fontId="27" fillId="0" borderId="42" xfId="0" applyNumberFormat="1" applyFont="1" applyBorder="1" applyAlignment="1">
      <alignment horizontal="right" vertical="center"/>
    </xf>
    <xf numFmtId="0" fontId="28" fillId="0" borderId="58" xfId="0" applyFont="1" applyBorder="1" applyAlignment="1">
      <alignment horizontal="right" vertical="center"/>
    </xf>
    <xf numFmtId="0" fontId="25" fillId="0" borderId="53" xfId="0" applyFont="1" applyBorder="1" applyAlignment="1">
      <alignment horizontal="right" vertical="center"/>
    </xf>
    <xf numFmtId="4" fontId="26" fillId="0" borderId="2" xfId="0" applyNumberFormat="1" applyFont="1" applyBorder="1" applyAlignment="1">
      <alignment vertical="center"/>
    </xf>
    <xf numFmtId="14" fontId="32" fillId="0" borderId="0" xfId="0" applyNumberFormat="1" applyFont="1" applyAlignment="1">
      <alignment vertical="center"/>
    </xf>
    <xf numFmtId="0" fontId="26" fillId="0" borderId="1" xfId="0" applyFont="1" applyBorder="1" applyAlignment="1">
      <alignment vertical="center" wrapText="1"/>
    </xf>
    <xf numFmtId="3" fontId="25" fillId="0" borderId="42" xfId="0" applyNumberFormat="1" applyFont="1" applyBorder="1" applyAlignment="1">
      <alignment horizontal="right" vertical="center"/>
    </xf>
    <xf numFmtId="4" fontId="25" fillId="0" borderId="33" xfId="0" applyNumberFormat="1" applyFont="1" applyBorder="1" applyAlignment="1">
      <alignment vertical="center"/>
    </xf>
    <xf numFmtId="4" fontId="26" fillId="0" borderId="34" xfId="0" applyNumberFormat="1" applyFont="1" applyBorder="1" applyAlignment="1">
      <alignment vertical="center"/>
    </xf>
    <xf numFmtId="14" fontId="26" fillId="0" borderId="26" xfId="0" applyNumberFormat="1" applyFont="1" applyBorder="1" applyAlignment="1">
      <alignment vertical="center"/>
    </xf>
    <xf numFmtId="0" fontId="28" fillId="0" borderId="26" xfId="0" applyFont="1" applyBorder="1" applyAlignment="1">
      <alignment vertical="center"/>
    </xf>
    <xf numFmtId="0" fontId="27" fillId="4" borderId="4" xfId="0" applyFont="1" applyFill="1" applyBorder="1" applyAlignment="1">
      <alignment vertical="center"/>
    </xf>
    <xf numFmtId="0" fontId="27" fillId="0" borderId="58" xfId="0" applyFont="1" applyBorder="1" applyAlignment="1">
      <alignment horizontal="right" vertical="center"/>
    </xf>
    <xf numFmtId="4" fontId="27" fillId="5" borderId="31" xfId="0" applyNumberFormat="1" applyFont="1" applyFill="1" applyBorder="1" applyAlignment="1">
      <alignment vertical="center"/>
    </xf>
    <xf numFmtId="10" fontId="29" fillId="0" borderId="37" xfId="0" applyNumberFormat="1" applyFont="1" applyBorder="1" applyAlignment="1">
      <alignment vertical="center"/>
    </xf>
    <xf numFmtId="0" fontId="26" fillId="5" borderId="34" xfId="0" applyFont="1" applyFill="1" applyBorder="1" applyAlignment="1">
      <alignment vertical="center"/>
    </xf>
    <xf numFmtId="0" fontId="26" fillId="5" borderId="35" xfId="0" applyFont="1" applyFill="1" applyBorder="1" applyAlignment="1">
      <alignment vertical="center" wrapText="1"/>
    </xf>
    <xf numFmtId="0" fontId="26" fillId="5" borderId="28" xfId="0" applyFont="1" applyFill="1" applyBorder="1" applyAlignment="1">
      <alignment vertical="center"/>
    </xf>
    <xf numFmtId="4" fontId="29" fillId="0" borderId="1" xfId="0" applyNumberFormat="1" applyFont="1" applyBorder="1" applyAlignment="1">
      <alignment vertical="center"/>
    </xf>
    <xf numFmtId="0" fontId="26" fillId="5" borderId="3" xfId="0" applyFont="1" applyFill="1" applyBorder="1" applyAlignment="1">
      <alignment vertical="center"/>
    </xf>
    <xf numFmtId="0" fontId="26" fillId="5" borderId="2" xfId="0" applyFont="1" applyFill="1" applyBorder="1" applyAlignment="1">
      <alignment vertical="center"/>
    </xf>
    <xf numFmtId="0" fontId="26" fillId="5" borderId="37" xfId="0" applyFont="1" applyFill="1" applyBorder="1" applyAlignment="1">
      <alignment vertical="center"/>
    </xf>
    <xf numFmtId="0" fontId="26" fillId="0" borderId="11" xfId="0" applyFont="1" applyBorder="1" applyAlignment="1">
      <alignment vertical="center"/>
    </xf>
    <xf numFmtId="0" fontId="26" fillId="0" borderId="6" xfId="0" applyFont="1" applyBorder="1" applyAlignment="1">
      <alignment vertical="center"/>
    </xf>
    <xf numFmtId="0" fontId="26" fillId="0" borderId="43" xfId="0" applyFont="1" applyBorder="1" applyAlignment="1">
      <alignment vertical="center"/>
    </xf>
    <xf numFmtId="0" fontId="28" fillId="4" borderId="23" xfId="0" applyFont="1" applyFill="1" applyBorder="1" applyAlignment="1">
      <alignment vertical="center"/>
    </xf>
    <xf numFmtId="0" fontId="28" fillId="4" borderId="19" xfId="0" applyFont="1" applyFill="1" applyBorder="1" applyAlignment="1">
      <alignment vertical="center"/>
    </xf>
    <xf numFmtId="0" fontId="28" fillId="4" borderId="30" xfId="0" applyFont="1" applyFill="1" applyBorder="1" applyAlignment="1">
      <alignment vertical="center"/>
    </xf>
    <xf numFmtId="4" fontId="25" fillId="0" borderId="18" xfId="0" applyNumberFormat="1" applyFont="1" applyBorder="1" applyAlignment="1">
      <alignment vertical="center"/>
    </xf>
    <xf numFmtId="14" fontId="26" fillId="0" borderId="1" xfId="0" applyNumberFormat="1" applyFont="1" applyBorder="1" applyAlignment="1">
      <alignment vertical="center"/>
    </xf>
    <xf numFmtId="4" fontId="30" fillId="4" borderId="33" xfId="0" applyNumberFormat="1" applyFont="1" applyFill="1" applyBorder="1" applyAlignment="1">
      <alignment vertical="center"/>
    </xf>
    <xf numFmtId="4" fontId="30" fillId="4" borderId="23" xfId="0" applyNumberFormat="1" applyFont="1" applyFill="1" applyBorder="1" applyAlignment="1">
      <alignment vertical="center"/>
    </xf>
    <xf numFmtId="0" fontId="28" fillId="0" borderId="14" xfId="0" applyFont="1" applyBorder="1" applyAlignment="1">
      <alignment vertical="center"/>
    </xf>
    <xf numFmtId="0" fontId="28" fillId="0" borderId="61" xfId="0" applyFont="1" applyBorder="1" applyAlignment="1">
      <alignment horizontal="center" vertical="center" wrapText="1"/>
    </xf>
    <xf numFmtId="0" fontId="30" fillId="4" borderId="36" xfId="0" applyFont="1" applyFill="1" applyBorder="1" applyAlignment="1">
      <alignment vertical="center"/>
    </xf>
    <xf numFmtId="0" fontId="27" fillId="0" borderId="55" xfId="0" applyFont="1" applyBorder="1" applyAlignment="1">
      <alignment horizontal="right" vertical="center"/>
    </xf>
    <xf numFmtId="4" fontId="30" fillId="0" borderId="23" xfId="0" applyNumberFormat="1" applyFont="1" applyBorder="1" applyAlignment="1">
      <alignment vertical="center"/>
    </xf>
    <xf numFmtId="0" fontId="27" fillId="4" borderId="31" xfId="0" applyFont="1" applyFill="1" applyBorder="1" applyAlignment="1">
      <alignment vertical="center"/>
    </xf>
    <xf numFmtId="4" fontId="30" fillId="5" borderId="36" xfId="0" applyNumberFormat="1" applyFont="1" applyFill="1" applyBorder="1" applyAlignment="1">
      <alignment vertical="center"/>
    </xf>
    <xf numFmtId="4" fontId="29" fillId="5" borderId="20" xfId="0" applyNumberFormat="1" applyFont="1" applyFill="1" applyBorder="1" applyAlignment="1">
      <alignment vertical="center"/>
    </xf>
    <xf numFmtId="0" fontId="28" fillId="5" borderId="15" xfId="0" applyFont="1" applyFill="1" applyBorder="1" applyAlignment="1">
      <alignment vertical="center"/>
    </xf>
    <xf numFmtId="0" fontId="28" fillId="5" borderId="62" xfId="0" applyFont="1" applyFill="1" applyBorder="1" applyAlignment="1">
      <alignment vertical="center" wrapText="1"/>
    </xf>
    <xf numFmtId="4" fontId="28" fillId="5" borderId="4" xfId="0" applyNumberFormat="1" applyFont="1" applyFill="1" applyBorder="1" applyAlignment="1">
      <alignment vertical="center"/>
    </xf>
    <xf numFmtId="0" fontId="28" fillId="5" borderId="41" xfId="0" applyFont="1" applyFill="1" applyBorder="1" applyAlignment="1">
      <alignment vertical="center"/>
    </xf>
    <xf numFmtId="0" fontId="28" fillId="5" borderId="32" xfId="0" applyFont="1" applyFill="1" applyBorder="1" applyAlignment="1">
      <alignment vertical="center" wrapText="1"/>
    </xf>
    <xf numFmtId="4" fontId="27" fillId="4" borderId="58" xfId="0" applyNumberFormat="1" applyFont="1" applyFill="1" applyBorder="1" applyAlignment="1">
      <alignment vertical="center"/>
    </xf>
    <xf numFmtId="0" fontId="27" fillId="4" borderId="60" xfId="0" applyFont="1" applyFill="1" applyBorder="1" applyAlignment="1">
      <alignment vertical="center"/>
    </xf>
    <xf numFmtId="0" fontId="28" fillId="4" borderId="58" xfId="0" applyFont="1" applyFill="1" applyBorder="1" applyAlignment="1">
      <alignment vertical="center"/>
    </xf>
    <xf numFmtId="0" fontId="28" fillId="4" borderId="4" xfId="0" applyFont="1" applyFill="1" applyBorder="1" applyAlignment="1">
      <alignment vertical="center"/>
    </xf>
    <xf numFmtId="0" fontId="28" fillId="4" borderId="60" xfId="0" applyFont="1" applyFill="1" applyBorder="1" applyAlignment="1">
      <alignment vertical="center"/>
    </xf>
    <xf numFmtId="0" fontId="28" fillId="0" borderId="61" xfId="0" applyFont="1" applyBorder="1" applyAlignment="1">
      <alignment horizontal="center" vertical="center"/>
    </xf>
    <xf numFmtId="0" fontId="28" fillId="0" borderId="61" xfId="0" applyFont="1" applyBorder="1" applyAlignment="1">
      <alignment vertical="center" wrapText="1"/>
    </xf>
    <xf numFmtId="4" fontId="27" fillId="9" borderId="58" xfId="0" applyNumberFormat="1" applyFont="1" applyFill="1" applyBorder="1" applyAlignment="1">
      <alignment vertical="center"/>
    </xf>
    <xf numFmtId="4" fontId="27" fillId="9" borderId="13" xfId="0" applyNumberFormat="1" applyFont="1" applyFill="1" applyBorder="1" applyAlignment="1">
      <alignment vertical="center"/>
    </xf>
    <xf numFmtId="0" fontId="28" fillId="9" borderId="47" xfId="0" applyFont="1" applyFill="1" applyBorder="1" applyAlignment="1">
      <alignment vertical="center"/>
    </xf>
    <xf numFmtId="0" fontId="28" fillId="4" borderId="31" xfId="0" applyFont="1" applyFill="1" applyBorder="1" applyAlignment="1">
      <alignment vertical="center"/>
    </xf>
    <xf numFmtId="0" fontId="28" fillId="4" borderId="32" xfId="0" applyFont="1" applyFill="1" applyBorder="1" applyAlignment="1">
      <alignment vertical="center"/>
    </xf>
    <xf numFmtId="0" fontId="28" fillId="0" borderId="1" xfId="0" applyFont="1" applyBorder="1" applyAlignment="1">
      <alignment vertical="center"/>
    </xf>
    <xf numFmtId="0" fontId="30" fillId="4" borderId="18" xfId="0" applyFont="1" applyFill="1" applyBorder="1" applyAlignment="1">
      <alignment vertical="center"/>
    </xf>
    <xf numFmtId="0" fontId="27" fillId="0" borderId="54" xfId="0" applyFont="1" applyBorder="1" applyAlignment="1">
      <alignment horizontal="right" vertical="center"/>
    </xf>
    <xf numFmtId="0" fontId="25" fillId="4" borderId="31" xfId="0" applyFont="1" applyFill="1" applyBorder="1" applyAlignment="1">
      <alignment vertical="center"/>
    </xf>
    <xf numFmtId="0" fontId="25" fillId="0" borderId="58" xfId="0" applyFont="1" applyBorder="1" applyAlignment="1">
      <alignment horizontal="right" vertical="center"/>
    </xf>
    <xf numFmtId="4" fontId="25" fillId="5" borderId="31" xfId="0" applyNumberFormat="1" applyFont="1" applyFill="1" applyBorder="1" applyAlignment="1">
      <alignment vertical="center"/>
    </xf>
    <xf numFmtId="4" fontId="26" fillId="5" borderId="4" xfId="0" applyNumberFormat="1" applyFont="1" applyFill="1" applyBorder="1" applyAlignment="1">
      <alignment vertical="center"/>
    </xf>
    <xf numFmtId="14" fontId="26" fillId="5" borderId="41" xfId="0" applyNumberFormat="1" applyFont="1" applyFill="1" applyBorder="1" applyAlignment="1">
      <alignment vertical="center"/>
    </xf>
    <xf numFmtId="0" fontId="26" fillId="5" borderId="32" xfId="0" applyFont="1" applyFill="1" applyBorder="1" applyAlignment="1">
      <alignment vertical="center" wrapText="1"/>
    </xf>
    <xf numFmtId="0" fontId="26" fillId="4" borderId="31" xfId="0" applyFont="1" applyFill="1" applyBorder="1" applyAlignment="1">
      <alignment vertical="center"/>
    </xf>
    <xf numFmtId="0" fontId="26" fillId="4" borderId="4" xfId="0" applyFont="1" applyFill="1" applyBorder="1" applyAlignment="1">
      <alignment vertical="center"/>
    </xf>
    <xf numFmtId="0" fontId="26" fillId="4" borderId="32" xfId="0" applyFont="1" applyFill="1" applyBorder="1" applyAlignment="1">
      <alignment vertical="center"/>
    </xf>
    <xf numFmtId="4" fontId="28" fillId="4" borderId="34" xfId="0" applyNumberFormat="1" applyFont="1" applyFill="1" applyBorder="1" applyAlignment="1">
      <alignment vertical="center"/>
    </xf>
    <xf numFmtId="4" fontId="29" fillId="4" borderId="19" xfId="0" applyNumberFormat="1" applyFont="1" applyFill="1" applyBorder="1" applyAlignment="1">
      <alignment vertical="center"/>
    </xf>
    <xf numFmtId="4" fontId="29" fillId="4" borderId="30" xfId="0" applyNumberFormat="1" applyFont="1" applyFill="1" applyBorder="1" applyAlignment="1">
      <alignment vertical="center"/>
    </xf>
    <xf numFmtId="0" fontId="29" fillId="4" borderId="2" xfId="0" applyFont="1" applyFill="1" applyBorder="1" applyAlignment="1">
      <alignment vertical="center"/>
    </xf>
    <xf numFmtId="0" fontId="29" fillId="4" borderId="37" xfId="0" applyFont="1" applyFill="1" applyBorder="1" applyAlignment="1">
      <alignment vertical="center"/>
    </xf>
    <xf numFmtId="0" fontId="29" fillId="4" borderId="20" xfId="0" applyFont="1" applyFill="1" applyBorder="1" applyAlignment="1">
      <alignment vertical="center"/>
    </xf>
    <xf numFmtId="0" fontId="29" fillId="4" borderId="62" xfId="0" applyFont="1" applyFill="1" applyBorder="1" applyAlignment="1">
      <alignment vertical="center"/>
    </xf>
    <xf numFmtId="0" fontId="29" fillId="0" borderId="42" xfId="0" applyFont="1" applyBorder="1" applyAlignment="1">
      <alignment horizontal="center" vertical="center" wrapText="1"/>
    </xf>
    <xf numFmtId="4" fontId="29" fillId="4" borderId="34" xfId="0" applyNumberFormat="1" applyFont="1" applyFill="1" applyBorder="1" applyAlignment="1">
      <alignment vertical="center"/>
    </xf>
    <xf numFmtId="4" fontId="29" fillId="4" borderId="35" xfId="0" applyNumberFormat="1" applyFont="1" applyFill="1" applyBorder="1" applyAlignment="1">
      <alignment vertical="center"/>
    </xf>
    <xf numFmtId="0" fontId="30" fillId="0" borderId="42" xfId="0" applyFont="1" applyBorder="1" applyAlignment="1">
      <alignment horizontal="right" vertical="center"/>
    </xf>
    <xf numFmtId="4" fontId="30" fillId="0" borderId="33" xfId="0" applyNumberFormat="1" applyFont="1" applyBorder="1" applyAlignment="1">
      <alignment vertical="center"/>
    </xf>
    <xf numFmtId="0" fontId="29" fillId="0" borderId="26" xfId="0" applyFont="1" applyBorder="1" applyAlignment="1">
      <alignment vertical="center"/>
    </xf>
    <xf numFmtId="0" fontId="29" fillId="0" borderId="58" xfId="0" applyFont="1" applyBorder="1" applyAlignment="1">
      <alignment vertical="center" wrapText="1"/>
    </xf>
    <xf numFmtId="4" fontId="30" fillId="4" borderId="31" xfId="0" applyNumberFormat="1" applyFont="1" applyFill="1" applyBorder="1" applyAlignment="1">
      <alignment vertical="center"/>
    </xf>
    <xf numFmtId="0" fontId="30" fillId="4" borderId="4" xfId="0" applyFont="1" applyFill="1" applyBorder="1" applyAlignment="1">
      <alignment vertical="center"/>
    </xf>
    <xf numFmtId="0" fontId="30" fillId="4" borderId="32" xfId="0" applyFont="1" applyFill="1" applyBorder="1" applyAlignment="1">
      <alignment vertical="center"/>
    </xf>
    <xf numFmtId="0" fontId="30" fillId="0" borderId="58" xfId="0" applyFont="1" applyBorder="1" applyAlignment="1">
      <alignment horizontal="right" vertical="center"/>
    </xf>
    <xf numFmtId="4" fontId="30" fillId="5" borderId="58" xfId="0" applyNumberFormat="1" applyFont="1" applyFill="1" applyBorder="1" applyAlignment="1">
      <alignment vertical="center"/>
    </xf>
    <xf numFmtId="4" fontId="30" fillId="5" borderId="41" xfId="0" applyNumberFormat="1" applyFont="1" applyFill="1" applyBorder="1" applyAlignment="1">
      <alignment vertical="center"/>
    </xf>
    <xf numFmtId="4" fontId="30" fillId="5" borderId="22" xfId="0" applyNumberFormat="1" applyFont="1" applyFill="1" applyBorder="1" applyAlignment="1">
      <alignment vertical="center"/>
    </xf>
    <xf numFmtId="0" fontId="29" fillId="5" borderId="32" xfId="0" applyFont="1" applyFill="1" applyBorder="1" applyAlignment="1">
      <alignment vertical="center"/>
    </xf>
    <xf numFmtId="0" fontId="29" fillId="4" borderId="31" xfId="0" applyFont="1" applyFill="1" applyBorder="1" applyAlignment="1">
      <alignment vertical="center"/>
    </xf>
    <xf numFmtId="0" fontId="29" fillId="4" borderId="4" xfId="0" applyFont="1" applyFill="1" applyBorder="1" applyAlignment="1">
      <alignment vertical="center"/>
    </xf>
    <xf numFmtId="0" fontId="29" fillId="4" borderId="32" xfId="0" applyFont="1" applyFill="1" applyBorder="1" applyAlignment="1">
      <alignment vertical="center"/>
    </xf>
    <xf numFmtId="14" fontId="26" fillId="0" borderId="1" xfId="0" applyNumberFormat="1" applyFont="1" applyBorder="1" applyAlignment="1">
      <alignment horizontal="right" vertical="center" wrapText="1"/>
    </xf>
    <xf numFmtId="0" fontId="37" fillId="2" borderId="0" xfId="20" applyFont="1" applyFill="1" applyAlignment="1">
      <alignment horizontal="center" vertical="center"/>
    </xf>
    <xf numFmtId="0" fontId="37" fillId="0" borderId="0" xfId="20" applyFont="1"/>
    <xf numFmtId="0" fontId="38" fillId="0" borderId="0" xfId="20" applyFont="1" applyAlignment="1">
      <alignment horizontal="center" vertical="center"/>
    </xf>
    <xf numFmtId="167" fontId="38" fillId="0" borderId="0" xfId="20" applyNumberFormat="1" applyFont="1" applyAlignment="1">
      <alignment horizontal="center" vertical="center"/>
    </xf>
    <xf numFmtId="0" fontId="37" fillId="0" borderId="0" xfId="20" applyFont="1" applyAlignment="1">
      <alignment horizontal="left"/>
    </xf>
    <xf numFmtId="167" fontId="38" fillId="2" borderId="0" xfId="20" applyNumberFormat="1" applyFont="1" applyFill="1" applyAlignment="1">
      <alignment horizontal="center" vertical="center"/>
    </xf>
    <xf numFmtId="0" fontId="38" fillId="2" borderId="0" xfId="20" applyFont="1" applyFill="1" applyAlignment="1">
      <alignment horizontal="center" vertical="center"/>
    </xf>
    <xf numFmtId="165" fontId="38" fillId="2" borderId="2" xfId="21" applyFont="1" applyFill="1" applyBorder="1" applyAlignment="1">
      <alignment horizontal="center" vertical="center" wrapText="1"/>
    </xf>
    <xf numFmtId="167" fontId="38" fillId="2" borderId="2" xfId="21" applyNumberFormat="1" applyFont="1" applyFill="1" applyBorder="1" applyAlignment="1">
      <alignment horizontal="center" vertical="center" wrapText="1"/>
    </xf>
    <xf numFmtId="0" fontId="38" fillId="2" borderId="2" xfId="20" applyFont="1" applyFill="1" applyBorder="1" applyAlignment="1">
      <alignment horizontal="center" vertical="center"/>
    </xf>
    <xf numFmtId="17" fontId="38" fillId="2" borderId="2" xfId="18" applyNumberFormat="1" applyFont="1" applyFill="1" applyBorder="1" applyAlignment="1">
      <alignment horizontal="center" vertical="center"/>
    </xf>
    <xf numFmtId="0" fontId="37" fillId="0" borderId="0" xfId="20" applyFont="1" applyAlignment="1">
      <alignment horizontal="center" vertical="center"/>
    </xf>
    <xf numFmtId="164" fontId="37" fillId="10" borderId="2" xfId="20" applyNumberFormat="1" applyFont="1" applyFill="1" applyBorder="1" applyAlignment="1">
      <alignment horizontal="left" vertical="center"/>
    </xf>
    <xf numFmtId="164" fontId="37" fillId="10" borderId="1" xfId="20" applyNumberFormat="1" applyFont="1" applyFill="1" applyBorder="1" applyAlignment="1">
      <alignment horizontal="center" vertical="center"/>
    </xf>
    <xf numFmtId="173" fontId="37" fillId="10" borderId="2" xfId="20" applyNumberFormat="1" applyFont="1" applyFill="1" applyBorder="1" applyAlignment="1">
      <alignment horizontal="center" vertical="center"/>
    </xf>
    <xf numFmtId="164" fontId="37" fillId="10" borderId="2" xfId="20" applyNumberFormat="1" applyFont="1" applyFill="1" applyBorder="1" applyAlignment="1">
      <alignment horizontal="center" vertical="center"/>
    </xf>
    <xf numFmtId="0" fontId="37" fillId="10" borderId="0" xfId="20" applyFont="1" applyFill="1" applyAlignment="1">
      <alignment horizontal="center" vertical="center"/>
    </xf>
    <xf numFmtId="0" fontId="38" fillId="0" borderId="0" xfId="20" applyFont="1" applyAlignment="1">
      <alignment vertical="center"/>
    </xf>
    <xf numFmtId="0" fontId="38" fillId="0" borderId="0" xfId="20" applyFont="1" applyAlignment="1">
      <alignment horizontal="left" vertical="center"/>
    </xf>
    <xf numFmtId="165" fontId="38" fillId="0" borderId="0" xfId="21" applyFont="1" applyFill="1" applyBorder="1" applyAlignment="1">
      <alignment horizontal="center" vertical="center"/>
    </xf>
    <xf numFmtId="167" fontId="38" fillId="0" borderId="0" xfId="21" applyNumberFormat="1" applyFont="1" applyFill="1" applyBorder="1" applyAlignment="1">
      <alignment horizontal="center" vertical="center"/>
    </xf>
    <xf numFmtId="167" fontId="38" fillId="0" borderId="0" xfId="21" applyNumberFormat="1" applyFont="1" applyFill="1" applyBorder="1" applyAlignment="1"/>
    <xf numFmtId="0" fontId="37" fillId="0" borderId="0" xfId="20" applyFont="1" applyAlignment="1">
      <alignment horizontal="left" vertical="center"/>
    </xf>
    <xf numFmtId="164" fontId="38" fillId="0" borderId="0" xfId="20" applyNumberFormat="1" applyFont="1" applyAlignment="1">
      <alignment vertical="center"/>
    </xf>
    <xf numFmtId="0" fontId="37" fillId="0" borderId="0" xfId="20" applyFont="1" applyAlignment="1">
      <alignment horizontal="center"/>
    </xf>
    <xf numFmtId="165" fontId="37" fillId="0" borderId="0" xfId="21" applyFont="1" applyFill="1" applyBorder="1" applyAlignment="1">
      <alignment horizontal="center"/>
    </xf>
    <xf numFmtId="167" fontId="37" fillId="0" borderId="0" xfId="21" applyNumberFormat="1" applyFont="1" applyFill="1" applyBorder="1" applyAlignment="1">
      <alignment horizontal="center"/>
    </xf>
    <xf numFmtId="167" fontId="37" fillId="0" borderId="0" xfId="20" applyNumberFormat="1" applyFont="1"/>
    <xf numFmtId="4" fontId="37" fillId="0" borderId="0" xfId="20" applyNumberFormat="1" applyFont="1" applyAlignment="1">
      <alignment horizontal="center" vertical="center"/>
    </xf>
    <xf numFmtId="43" fontId="37" fillId="0" borderId="0" xfId="20" applyNumberFormat="1" applyFont="1" applyAlignment="1">
      <alignment horizontal="center"/>
    </xf>
    <xf numFmtId="4" fontId="37" fillId="0" borderId="0" xfId="20" applyNumberFormat="1" applyFont="1" applyAlignment="1">
      <alignment horizontal="center"/>
    </xf>
    <xf numFmtId="165" fontId="37" fillId="0" borderId="0" xfId="21" applyFont="1" applyFill="1" applyAlignment="1">
      <alignment horizontal="center"/>
    </xf>
    <xf numFmtId="167" fontId="37" fillId="0" borderId="0" xfId="21" applyNumberFormat="1" applyFont="1" applyFill="1" applyAlignment="1">
      <alignment horizontal="center"/>
    </xf>
    <xf numFmtId="165" fontId="37" fillId="0" borderId="0" xfId="20" applyNumberFormat="1" applyFont="1" applyAlignment="1">
      <alignment horizontal="center" vertical="center"/>
    </xf>
    <xf numFmtId="165" fontId="37" fillId="2" borderId="0" xfId="21" applyFont="1" applyFill="1" applyAlignment="1">
      <alignment horizontal="center"/>
    </xf>
    <xf numFmtId="167" fontId="37" fillId="2" borderId="0" xfId="21" applyNumberFormat="1" applyFont="1" applyFill="1" applyAlignment="1">
      <alignment horizontal="center"/>
    </xf>
    <xf numFmtId="167" fontId="37" fillId="2" borderId="0" xfId="20" applyNumberFormat="1" applyFont="1" applyFill="1"/>
    <xf numFmtId="164" fontId="34" fillId="10" borderId="1" xfId="20" applyNumberFormat="1" applyFont="1" applyFill="1" applyBorder="1" applyAlignment="1">
      <alignment horizontal="center" vertical="center"/>
    </xf>
    <xf numFmtId="0" fontId="37" fillId="10" borderId="2" xfId="20" applyFont="1" applyFill="1" applyBorder="1" applyAlignment="1">
      <alignment horizontal="center" vertical="center"/>
    </xf>
    <xf numFmtId="167" fontId="37" fillId="10" borderId="2" xfId="20" applyNumberFormat="1" applyFont="1" applyFill="1" applyBorder="1" applyAlignment="1">
      <alignment horizontal="center" vertical="center"/>
    </xf>
    <xf numFmtId="164" fontId="37" fillId="0" borderId="2" xfId="20" applyNumberFormat="1" applyFont="1" applyBorder="1" applyAlignment="1">
      <alignment horizontal="left" vertical="center"/>
    </xf>
    <xf numFmtId="164" fontId="37" fillId="0" borderId="1" xfId="20" applyNumberFormat="1" applyFont="1" applyBorder="1" applyAlignment="1">
      <alignment horizontal="center" vertical="center"/>
    </xf>
    <xf numFmtId="173" fontId="37" fillId="0" borderId="2" xfId="20" applyNumberFormat="1" applyFont="1" applyBorder="1" applyAlignment="1">
      <alignment horizontal="center" vertical="center"/>
    </xf>
    <xf numFmtId="164" fontId="37" fillId="0" borderId="2" xfId="20" applyNumberFormat="1" applyFont="1" applyBorder="1" applyAlignment="1">
      <alignment horizontal="center" vertical="center"/>
    </xf>
    <xf numFmtId="172" fontId="37" fillId="0" borderId="1" xfId="20" applyNumberFormat="1" applyFont="1" applyBorder="1" applyAlignment="1">
      <alignment horizontal="center" vertical="center"/>
    </xf>
    <xf numFmtId="173" fontId="37" fillId="0" borderId="1" xfId="20" applyNumberFormat="1" applyFont="1" applyBorder="1" applyAlignment="1">
      <alignment horizontal="center" vertical="center"/>
    </xf>
    <xf numFmtId="164" fontId="37" fillId="0" borderId="1" xfId="20" applyNumberFormat="1" applyFont="1" applyBorder="1" applyAlignment="1">
      <alignment horizontal="left" vertical="center"/>
    </xf>
    <xf numFmtId="165" fontId="38" fillId="0" borderId="0" xfId="21" applyFont="1" applyFill="1" applyBorder="1" applyAlignment="1">
      <alignment vertical="center"/>
    </xf>
    <xf numFmtId="167" fontId="40" fillId="0" borderId="0" xfId="21" applyNumberFormat="1" applyFont="1" applyFill="1" applyBorder="1" applyAlignment="1">
      <alignment vertical="center"/>
    </xf>
    <xf numFmtId="165" fontId="38" fillId="0" borderId="0" xfId="21" applyFont="1" applyFill="1" applyBorder="1" applyAlignment="1">
      <alignment horizontal="left" vertical="center"/>
    </xf>
    <xf numFmtId="167" fontId="38" fillId="0" borderId="0" xfId="21" applyNumberFormat="1" applyFont="1" applyFill="1" applyBorder="1" applyAlignment="1">
      <alignment vertical="center"/>
    </xf>
    <xf numFmtId="164" fontId="38" fillId="0" borderId="0" xfId="21" applyNumberFormat="1" applyFont="1" applyFill="1" applyBorder="1" applyAlignment="1">
      <alignment vertical="center"/>
    </xf>
    <xf numFmtId="164" fontId="37" fillId="10" borderId="1" xfId="20" applyNumberFormat="1" applyFont="1" applyFill="1" applyBorder="1" applyAlignment="1">
      <alignment horizontal="left" vertical="center"/>
    </xf>
    <xf numFmtId="164" fontId="37" fillId="0" borderId="12" xfId="20" applyNumberFormat="1" applyFont="1" applyBorder="1" applyAlignment="1">
      <alignment horizontal="center" vertical="center"/>
    </xf>
    <xf numFmtId="164" fontId="37" fillId="0" borderId="56" xfId="20" applyNumberFormat="1" applyFont="1" applyBorder="1" applyAlignment="1">
      <alignment horizontal="center" vertical="center"/>
    </xf>
    <xf numFmtId="164" fontId="37" fillId="0" borderId="13" xfId="20" applyNumberFormat="1" applyFont="1" applyBorder="1" applyAlignment="1">
      <alignment horizontal="center" vertical="center"/>
    </xf>
    <xf numFmtId="172" fontId="38" fillId="0" borderId="13" xfId="20" applyNumberFormat="1" applyFont="1" applyBorder="1" applyAlignment="1">
      <alignment horizontal="center" vertical="center"/>
    </xf>
    <xf numFmtId="164" fontId="38" fillId="0" borderId="8" xfId="20" applyNumberFormat="1" applyFont="1" applyBorder="1" applyAlignment="1">
      <alignment horizontal="center" vertical="center"/>
    </xf>
    <xf numFmtId="173" fontId="38" fillId="0" borderId="8" xfId="20" applyNumberFormat="1" applyFont="1" applyBorder="1" applyAlignment="1">
      <alignment horizontal="center" vertical="center"/>
    </xf>
    <xf numFmtId="164" fontId="38" fillId="0" borderId="47" xfId="20" applyNumberFormat="1" applyFont="1" applyBorder="1" applyAlignment="1">
      <alignment horizontal="center" vertical="center"/>
    </xf>
    <xf numFmtId="164" fontId="38" fillId="0" borderId="13" xfId="20" applyNumberFormat="1" applyFont="1" applyBorder="1" applyAlignment="1">
      <alignment horizontal="center" vertical="center"/>
    </xf>
    <xf numFmtId="173" fontId="38" fillId="0" borderId="13" xfId="20" applyNumberFormat="1" applyFont="1" applyBorder="1" applyAlignment="1">
      <alignment horizontal="center" vertical="center"/>
    </xf>
    <xf numFmtId="164" fontId="43" fillId="0" borderId="1" xfId="20" applyNumberFormat="1" applyFont="1" applyBorder="1" applyAlignment="1">
      <alignment horizontal="center" vertical="center"/>
    </xf>
    <xf numFmtId="164" fontId="43" fillId="0" borderId="12" xfId="20" applyNumberFormat="1" applyFont="1" applyBorder="1" applyAlignment="1">
      <alignment horizontal="center" vertical="center"/>
    </xf>
    <xf numFmtId="164" fontId="43" fillId="10" borderId="1" xfId="20" applyNumberFormat="1" applyFont="1" applyFill="1" applyBorder="1" applyAlignment="1">
      <alignment horizontal="center" vertical="center"/>
    </xf>
    <xf numFmtId="172" fontId="43" fillId="10" borderId="2" xfId="20" applyNumberFormat="1" applyFont="1" applyFill="1" applyBorder="1" applyAlignment="1">
      <alignment horizontal="center" vertical="center"/>
    </xf>
    <xf numFmtId="173" fontId="43" fillId="10" borderId="2" xfId="20" applyNumberFormat="1" applyFont="1" applyFill="1" applyBorder="1" applyAlignment="1">
      <alignment horizontal="center" vertical="center"/>
    </xf>
    <xf numFmtId="164" fontId="37" fillId="0" borderId="0" xfId="20" applyNumberFormat="1" applyFont="1" applyAlignment="1">
      <alignment horizontal="center" vertical="center"/>
    </xf>
    <xf numFmtId="164" fontId="37" fillId="0" borderId="15" xfId="20" applyNumberFormat="1" applyFont="1" applyBorder="1" applyAlignment="1">
      <alignment horizontal="center" vertical="center"/>
    </xf>
    <xf numFmtId="172" fontId="38" fillId="0" borderId="15" xfId="20" applyNumberFormat="1" applyFont="1" applyBorder="1" applyAlignment="1">
      <alignment horizontal="center" vertical="center"/>
    </xf>
    <xf numFmtId="164" fontId="38" fillId="0" borderId="20" xfId="20" applyNumberFormat="1" applyFont="1" applyBorder="1" applyAlignment="1">
      <alignment horizontal="center" vertical="center"/>
    </xf>
    <xf numFmtId="173" fontId="38" fillId="0" borderId="20" xfId="20" applyNumberFormat="1" applyFont="1" applyBorder="1" applyAlignment="1">
      <alignment horizontal="center" vertical="center"/>
    </xf>
    <xf numFmtId="0" fontId="38" fillId="0" borderId="7" xfId="20" applyFont="1" applyBorder="1" applyAlignment="1">
      <alignment vertical="center"/>
    </xf>
    <xf numFmtId="0" fontId="38" fillId="0" borderId="8" xfId="20" applyFont="1" applyBorder="1" applyAlignment="1">
      <alignment vertical="center"/>
    </xf>
    <xf numFmtId="165" fontId="38" fillId="0" borderId="8" xfId="21" applyFont="1" applyFill="1" applyBorder="1" applyAlignment="1">
      <alignment vertical="center"/>
    </xf>
    <xf numFmtId="167" fontId="40" fillId="0" borderId="8" xfId="21" applyNumberFormat="1" applyFont="1" applyFill="1" applyBorder="1" applyAlignment="1">
      <alignment vertical="center"/>
    </xf>
    <xf numFmtId="165" fontId="38" fillId="0" borderId="8" xfId="21" applyFont="1" applyFill="1" applyBorder="1" applyAlignment="1">
      <alignment horizontal="left" vertical="center"/>
    </xf>
    <xf numFmtId="167" fontId="38" fillId="0" borderId="13" xfId="21" applyNumberFormat="1" applyFont="1" applyFill="1" applyBorder="1" applyAlignment="1">
      <alignment vertical="center"/>
    </xf>
    <xf numFmtId="164" fontId="38" fillId="10" borderId="64" xfId="20" applyNumberFormat="1" applyFont="1" applyFill="1" applyBorder="1" applyAlignment="1">
      <alignment horizontal="center" vertical="center"/>
    </xf>
    <xf numFmtId="164" fontId="38" fillId="10" borderId="40" xfId="20" applyNumberFormat="1" applyFont="1" applyFill="1" applyBorder="1" applyAlignment="1">
      <alignment horizontal="center" vertical="center"/>
    </xf>
    <xf numFmtId="172" fontId="38" fillId="10" borderId="40" xfId="20" applyNumberFormat="1" applyFont="1" applyFill="1" applyBorder="1" applyAlignment="1">
      <alignment horizontal="center" vertical="center"/>
    </xf>
    <xf numFmtId="173" fontId="38" fillId="10" borderId="40" xfId="20" applyNumberFormat="1" applyFont="1" applyFill="1" applyBorder="1" applyAlignment="1">
      <alignment horizontal="center" vertical="center"/>
    </xf>
    <xf numFmtId="173" fontId="38" fillId="10" borderId="25" xfId="20" applyNumberFormat="1" applyFont="1" applyFill="1" applyBorder="1" applyAlignment="1">
      <alignment horizontal="center" vertical="center"/>
    </xf>
    <xf numFmtId="164" fontId="38" fillId="10" borderId="29" xfId="20" applyNumberFormat="1" applyFont="1" applyFill="1" applyBorder="1" applyAlignment="1">
      <alignment horizontal="center" vertical="center"/>
    </xf>
    <xf numFmtId="164" fontId="37" fillId="10" borderId="34" xfId="20" applyNumberFormat="1" applyFont="1" applyFill="1" applyBorder="1" applyAlignment="1">
      <alignment horizontal="left" vertical="center"/>
    </xf>
    <xf numFmtId="164" fontId="37" fillId="10" borderId="26" xfId="20" applyNumberFormat="1" applyFont="1" applyFill="1" applyBorder="1" applyAlignment="1">
      <alignment horizontal="center" vertical="center"/>
    </xf>
    <xf numFmtId="172" fontId="37" fillId="10" borderId="26" xfId="20" applyNumberFormat="1" applyFont="1" applyFill="1" applyBorder="1" applyAlignment="1">
      <alignment horizontal="center" vertical="center"/>
    </xf>
    <xf numFmtId="173" fontId="37" fillId="10" borderId="26" xfId="20" applyNumberFormat="1" applyFont="1" applyFill="1" applyBorder="1" applyAlignment="1">
      <alignment horizontal="center" vertical="center"/>
    </xf>
    <xf numFmtId="164" fontId="37" fillId="10" borderId="35" xfId="20" applyNumberFormat="1" applyFont="1" applyFill="1" applyBorder="1" applyAlignment="1">
      <alignment horizontal="center" vertical="center"/>
    </xf>
    <xf numFmtId="0" fontId="37" fillId="10" borderId="65" xfId="20" applyFont="1" applyFill="1" applyBorder="1" applyAlignment="1">
      <alignment horizontal="center" vertical="center"/>
    </xf>
    <xf numFmtId="0" fontId="37" fillId="10" borderId="4" xfId="20" applyFont="1" applyFill="1" applyBorder="1" applyAlignment="1">
      <alignment horizontal="center" vertical="center"/>
    </xf>
    <xf numFmtId="164" fontId="37" fillId="10" borderId="22" xfId="20" applyNumberFormat="1" applyFont="1" applyFill="1" applyBorder="1" applyAlignment="1">
      <alignment horizontal="left" vertical="center"/>
    </xf>
    <xf numFmtId="164" fontId="37" fillId="10" borderId="38" xfId="20" applyNumberFormat="1" applyFont="1" applyFill="1" applyBorder="1" applyAlignment="1">
      <alignment horizontal="center" vertical="center"/>
    </xf>
    <xf numFmtId="172" fontId="37" fillId="10" borderId="38" xfId="20" applyNumberFormat="1" applyFont="1" applyFill="1" applyBorder="1" applyAlignment="1">
      <alignment horizontal="center" vertical="center"/>
    </xf>
    <xf numFmtId="173" fontId="37" fillId="10" borderId="38" xfId="20" applyNumberFormat="1" applyFont="1" applyFill="1" applyBorder="1" applyAlignment="1">
      <alignment horizontal="center" vertical="center"/>
    </xf>
    <xf numFmtId="164" fontId="37" fillId="10" borderId="39" xfId="20" applyNumberFormat="1" applyFont="1" applyFill="1" applyBorder="1" applyAlignment="1">
      <alignment horizontal="center" vertical="center"/>
    </xf>
    <xf numFmtId="164" fontId="38" fillId="4" borderId="15" xfId="20" applyNumberFormat="1" applyFont="1" applyFill="1" applyBorder="1" applyAlignment="1">
      <alignment horizontal="center" vertical="center"/>
    </xf>
    <xf numFmtId="172" fontId="38" fillId="4" borderId="15" xfId="20" applyNumberFormat="1" applyFont="1" applyFill="1" applyBorder="1" applyAlignment="1">
      <alignment horizontal="center" vertical="center"/>
    </xf>
    <xf numFmtId="173" fontId="38" fillId="4" borderId="15" xfId="20" applyNumberFormat="1" applyFont="1" applyFill="1" applyBorder="1" applyAlignment="1">
      <alignment horizontal="center" vertical="center"/>
    </xf>
    <xf numFmtId="164" fontId="38" fillId="0" borderId="4" xfId="20" applyNumberFormat="1" applyFont="1" applyBorder="1" applyAlignment="1">
      <alignment horizontal="center" vertical="center"/>
    </xf>
    <xf numFmtId="164" fontId="38" fillId="0" borderId="4" xfId="20" applyNumberFormat="1" applyFont="1" applyBorder="1" applyAlignment="1">
      <alignment horizontal="left" vertical="center"/>
    </xf>
    <xf numFmtId="164" fontId="38" fillId="0" borderId="41" xfId="20" applyNumberFormat="1" applyFont="1" applyBorder="1" applyAlignment="1">
      <alignment horizontal="center" vertical="center"/>
    </xf>
    <xf numFmtId="172" fontId="38" fillId="0" borderId="41" xfId="20" applyNumberFormat="1" applyFont="1" applyBorder="1" applyAlignment="1">
      <alignment horizontal="center" vertical="center"/>
    </xf>
    <xf numFmtId="164" fontId="37" fillId="0" borderId="26" xfId="20" applyNumberFormat="1" applyFont="1" applyBorder="1" applyAlignment="1">
      <alignment horizontal="center" vertical="center"/>
    </xf>
    <xf numFmtId="0" fontId="43" fillId="10" borderId="2" xfId="20" applyFont="1" applyFill="1" applyBorder="1" applyAlignment="1">
      <alignment horizontal="center" vertical="center"/>
    </xf>
    <xf numFmtId="167" fontId="43" fillId="10" borderId="2" xfId="20" applyNumberFormat="1" applyFont="1" applyFill="1" applyBorder="1" applyAlignment="1">
      <alignment horizontal="center" vertical="center"/>
    </xf>
    <xf numFmtId="164" fontId="43" fillId="10" borderId="2" xfId="20" applyNumberFormat="1" applyFont="1" applyFill="1" applyBorder="1" applyAlignment="1">
      <alignment horizontal="center" vertical="center"/>
    </xf>
    <xf numFmtId="172" fontId="44" fillId="0" borderId="1" xfId="20" applyNumberFormat="1" applyFont="1" applyBorder="1" applyAlignment="1">
      <alignment horizontal="center" vertical="center"/>
    </xf>
    <xf numFmtId="164" fontId="44" fillId="0" borderId="1" xfId="20" applyNumberFormat="1" applyFont="1" applyBorder="1" applyAlignment="1">
      <alignment horizontal="center" vertical="center"/>
    </xf>
    <xf numFmtId="172" fontId="44" fillId="0" borderId="12" xfId="20" applyNumberFormat="1" applyFont="1" applyBorder="1" applyAlignment="1">
      <alignment horizontal="center" vertical="center"/>
    </xf>
    <xf numFmtId="173" fontId="44" fillId="0" borderId="41" xfId="20" applyNumberFormat="1" applyFont="1" applyBorder="1" applyAlignment="1">
      <alignment horizontal="center" vertical="center"/>
    </xf>
    <xf numFmtId="164" fontId="44" fillId="0" borderId="41" xfId="20" applyNumberFormat="1" applyFont="1" applyBorder="1" applyAlignment="1">
      <alignment horizontal="center" vertical="center"/>
    </xf>
    <xf numFmtId="164" fontId="44" fillId="0" borderId="32" xfId="20" applyNumberFormat="1" applyFont="1" applyBorder="1" applyAlignment="1">
      <alignment horizontal="center" vertical="center"/>
    </xf>
    <xf numFmtId="43" fontId="37" fillId="10" borderId="2" xfId="20" applyNumberFormat="1" applyFont="1" applyFill="1" applyBorder="1" applyAlignment="1">
      <alignment horizontal="center" vertical="center"/>
    </xf>
    <xf numFmtId="173" fontId="38" fillId="10" borderId="19" xfId="20" applyNumberFormat="1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left" vertical="center" wrapText="1"/>
    </xf>
    <xf numFmtId="164" fontId="37" fillId="0" borderId="58" xfId="20" applyNumberFormat="1" applyFont="1" applyBorder="1" applyAlignment="1">
      <alignment horizontal="center" vertical="center"/>
    </xf>
    <xf numFmtId="164" fontId="37" fillId="0" borderId="41" xfId="20" applyNumberFormat="1" applyFont="1" applyBorder="1" applyAlignment="1">
      <alignment horizontal="center" vertical="center"/>
    </xf>
    <xf numFmtId="164" fontId="38" fillId="0" borderId="8" xfId="21" applyNumberFormat="1" applyFont="1" applyFill="1" applyBorder="1" applyAlignment="1">
      <alignment vertical="center"/>
    </xf>
    <xf numFmtId="167" fontId="38" fillId="0" borderId="8" xfId="21" applyNumberFormat="1" applyFont="1" applyFill="1" applyBorder="1" applyAlignment="1">
      <alignment vertical="center"/>
    </xf>
    <xf numFmtId="167" fontId="38" fillId="0" borderId="47" xfId="21" applyNumberFormat="1" applyFont="1" applyFill="1" applyBorder="1" applyAlignment="1">
      <alignment vertical="center"/>
    </xf>
    <xf numFmtId="164" fontId="37" fillId="0" borderId="34" xfId="20" applyNumberFormat="1" applyFont="1" applyBorder="1" applyAlignment="1">
      <alignment horizontal="left" vertical="center"/>
    </xf>
    <xf numFmtId="164" fontId="37" fillId="0" borderId="35" xfId="20" applyNumberFormat="1" applyFont="1" applyBorder="1" applyAlignment="1">
      <alignment horizontal="center" vertical="center"/>
    </xf>
    <xf numFmtId="164" fontId="37" fillId="0" borderId="37" xfId="20" applyNumberFormat="1" applyFont="1" applyBorder="1" applyAlignment="1">
      <alignment horizontal="center" vertical="center"/>
    </xf>
    <xf numFmtId="164" fontId="37" fillId="0" borderId="38" xfId="20" applyNumberFormat="1" applyFont="1" applyBorder="1" applyAlignment="1">
      <alignment horizontal="left" vertical="center"/>
    </xf>
    <xf numFmtId="0" fontId="37" fillId="4" borderId="0" xfId="20" applyFont="1" applyFill="1" applyAlignment="1">
      <alignment horizontal="center" vertical="center"/>
    </xf>
    <xf numFmtId="0" fontId="39" fillId="4" borderId="15" xfId="20" applyFont="1" applyFill="1" applyBorder="1" applyAlignment="1">
      <alignment horizontal="left" vertical="center" wrapText="1"/>
    </xf>
    <xf numFmtId="0" fontId="37" fillId="4" borderId="20" xfId="20" applyFont="1" applyFill="1" applyBorder="1" applyAlignment="1">
      <alignment horizontal="center" vertical="center"/>
    </xf>
    <xf numFmtId="164" fontId="39" fillId="4" borderId="15" xfId="20" applyNumberFormat="1" applyFont="1" applyFill="1" applyBorder="1" applyAlignment="1">
      <alignment horizontal="center" vertical="center"/>
    </xf>
    <xf numFmtId="164" fontId="37" fillId="4" borderId="15" xfId="20" applyNumberFormat="1" applyFont="1" applyFill="1" applyBorder="1" applyAlignment="1">
      <alignment horizontal="left" vertical="center"/>
    </xf>
    <xf numFmtId="164" fontId="37" fillId="4" borderId="15" xfId="20" applyNumberFormat="1" applyFont="1" applyFill="1" applyBorder="1" applyAlignment="1">
      <alignment horizontal="center" vertical="center"/>
    </xf>
    <xf numFmtId="164" fontId="37" fillId="0" borderId="26" xfId="20" applyNumberFormat="1" applyFont="1" applyBorder="1" applyAlignment="1">
      <alignment horizontal="left" vertical="center"/>
    </xf>
    <xf numFmtId="164" fontId="42" fillId="0" borderId="26" xfId="20" applyNumberFormat="1" applyFont="1" applyBorder="1" applyAlignment="1">
      <alignment horizontal="center" vertical="center"/>
    </xf>
    <xf numFmtId="164" fontId="43" fillId="0" borderId="26" xfId="20" applyNumberFormat="1" applyFont="1" applyBorder="1" applyAlignment="1">
      <alignment horizontal="center" vertical="center"/>
    </xf>
    <xf numFmtId="164" fontId="43" fillId="0" borderId="34" xfId="20" applyNumberFormat="1" applyFont="1" applyBorder="1" applyAlignment="1">
      <alignment horizontal="center" vertical="center"/>
    </xf>
    <xf numFmtId="164" fontId="43" fillId="0" borderId="35" xfId="20" applyNumberFormat="1" applyFont="1" applyBorder="1" applyAlignment="1">
      <alignment horizontal="center" vertical="center"/>
    </xf>
    <xf numFmtId="164" fontId="44" fillId="0" borderId="37" xfId="20" applyNumberFormat="1" applyFont="1" applyBorder="1" applyAlignment="1">
      <alignment horizontal="center" vertical="center"/>
    </xf>
    <xf numFmtId="164" fontId="44" fillId="0" borderId="43" xfId="20" applyNumberFormat="1" applyFont="1" applyBorder="1" applyAlignment="1">
      <alignment horizontal="center" vertical="center"/>
    </xf>
    <xf numFmtId="164" fontId="43" fillId="0" borderId="37" xfId="20" applyNumberFormat="1" applyFont="1" applyBorder="1" applyAlignment="1">
      <alignment horizontal="center" vertical="center"/>
    </xf>
    <xf numFmtId="164" fontId="43" fillId="0" borderId="43" xfId="20" applyNumberFormat="1" applyFont="1" applyBorder="1" applyAlignment="1">
      <alignment horizontal="center" vertical="center"/>
    </xf>
    <xf numFmtId="164" fontId="37" fillId="10" borderId="38" xfId="20" applyNumberFormat="1" applyFont="1" applyFill="1" applyBorder="1" applyAlignment="1">
      <alignment horizontal="left" vertical="center"/>
    </xf>
    <xf numFmtId="164" fontId="37" fillId="10" borderId="26" xfId="20" applyNumberFormat="1" applyFont="1" applyFill="1" applyBorder="1" applyAlignment="1">
      <alignment horizontal="left" vertical="center"/>
    </xf>
    <xf numFmtId="164" fontId="37" fillId="0" borderId="66" xfId="20" applyNumberFormat="1" applyFont="1" applyBorder="1" applyAlignment="1">
      <alignment horizontal="center" vertical="center"/>
    </xf>
    <xf numFmtId="164" fontId="37" fillId="0" borderId="40" xfId="20" applyNumberFormat="1" applyFont="1" applyBorder="1" applyAlignment="1">
      <alignment horizontal="center" vertical="center"/>
    </xf>
    <xf numFmtId="172" fontId="38" fillId="0" borderId="40" xfId="20" applyNumberFormat="1" applyFont="1" applyBorder="1" applyAlignment="1">
      <alignment horizontal="center" vertical="center"/>
    </xf>
    <xf numFmtId="164" fontId="38" fillId="0" borderId="25" xfId="20" applyNumberFormat="1" applyFont="1" applyBorder="1" applyAlignment="1">
      <alignment horizontal="center" vertical="center"/>
    </xf>
    <xf numFmtId="173" fontId="38" fillId="0" borderId="25" xfId="20" applyNumberFormat="1" applyFont="1" applyBorder="1" applyAlignment="1">
      <alignment horizontal="center" vertical="center"/>
    </xf>
    <xf numFmtId="164" fontId="38" fillId="0" borderId="29" xfId="20" applyNumberFormat="1" applyFont="1" applyBorder="1" applyAlignment="1">
      <alignment horizontal="center" vertical="center"/>
    </xf>
    <xf numFmtId="164" fontId="38" fillId="0" borderId="62" xfId="20" applyNumberFormat="1" applyFont="1" applyBorder="1" applyAlignment="1">
      <alignment horizontal="center" vertical="center"/>
    </xf>
    <xf numFmtId="164" fontId="37" fillId="0" borderId="59" xfId="20" applyNumberFormat="1" applyFont="1" applyBorder="1" applyAlignment="1">
      <alignment horizontal="center" vertical="center"/>
    </xf>
    <xf numFmtId="173" fontId="38" fillId="0" borderId="4" xfId="20" applyNumberFormat="1" applyFont="1" applyBorder="1" applyAlignment="1">
      <alignment horizontal="center" vertical="center"/>
    </xf>
    <xf numFmtId="164" fontId="38" fillId="0" borderId="32" xfId="20" applyNumberFormat="1" applyFont="1" applyBorder="1" applyAlignment="1">
      <alignment horizontal="center" vertical="center"/>
    </xf>
    <xf numFmtId="0" fontId="37" fillId="0" borderId="44" xfId="20" applyFont="1" applyBorder="1" applyAlignment="1">
      <alignment horizontal="center" vertical="center"/>
    </xf>
    <xf numFmtId="0" fontId="37" fillId="0" borderId="6" xfId="20" applyFont="1" applyBorder="1" applyAlignment="1">
      <alignment horizontal="center" vertical="center"/>
    </xf>
    <xf numFmtId="0" fontId="37" fillId="2" borderId="6" xfId="20" applyFont="1" applyFill="1" applyBorder="1" applyAlignment="1">
      <alignment horizontal="center" vertical="center"/>
    </xf>
    <xf numFmtId="172" fontId="37" fillId="2" borderId="12" xfId="20" applyNumberFormat="1" applyFont="1" applyFill="1" applyBorder="1" applyAlignment="1">
      <alignment horizontal="center" vertical="center"/>
    </xf>
    <xf numFmtId="172" fontId="37" fillId="2" borderId="6" xfId="20" applyNumberFormat="1" applyFont="1" applyFill="1" applyBorder="1" applyAlignment="1">
      <alignment horizontal="center" vertical="center"/>
    </xf>
    <xf numFmtId="164" fontId="34" fillId="10" borderId="26" xfId="20" applyNumberFormat="1" applyFont="1" applyFill="1" applyBorder="1" applyAlignment="1">
      <alignment horizontal="center" vertical="center"/>
    </xf>
    <xf numFmtId="0" fontId="43" fillId="10" borderId="34" xfId="20" applyFont="1" applyFill="1" applyBorder="1" applyAlignment="1">
      <alignment horizontal="center" vertical="center"/>
    </xf>
    <xf numFmtId="173" fontId="43" fillId="10" borderId="34" xfId="20" applyNumberFormat="1" applyFont="1" applyFill="1" applyBorder="1" applyAlignment="1">
      <alignment horizontal="center" vertical="center"/>
    </xf>
    <xf numFmtId="167" fontId="43" fillId="10" borderId="34" xfId="20" applyNumberFormat="1" applyFont="1" applyFill="1" applyBorder="1" applyAlignment="1">
      <alignment horizontal="center" vertical="center"/>
    </xf>
    <xf numFmtId="164" fontId="37" fillId="10" borderId="34" xfId="20" applyNumberFormat="1" applyFont="1" applyFill="1" applyBorder="1" applyAlignment="1">
      <alignment horizontal="center" vertical="center"/>
    </xf>
    <xf numFmtId="164" fontId="37" fillId="10" borderId="37" xfId="20" applyNumberFormat="1" applyFont="1" applyFill="1" applyBorder="1" applyAlignment="1">
      <alignment horizontal="center" vertical="center"/>
    </xf>
    <xf numFmtId="0" fontId="37" fillId="10" borderId="22" xfId="20" applyFont="1" applyFill="1" applyBorder="1" applyAlignment="1">
      <alignment horizontal="center" vertical="center"/>
    </xf>
    <xf numFmtId="164" fontId="43" fillId="10" borderId="38" xfId="20" applyNumberFormat="1" applyFont="1" applyFill="1" applyBorder="1" applyAlignment="1">
      <alignment horizontal="center" vertical="center"/>
    </xf>
    <xf numFmtId="173" fontId="43" fillId="10" borderId="22" xfId="20" applyNumberFormat="1" applyFont="1" applyFill="1" applyBorder="1" applyAlignment="1">
      <alignment horizontal="center" vertical="center"/>
    </xf>
    <xf numFmtId="164" fontId="43" fillId="10" borderId="22" xfId="20" applyNumberFormat="1" applyFont="1" applyFill="1" applyBorder="1" applyAlignment="1">
      <alignment horizontal="center" vertical="center"/>
    </xf>
    <xf numFmtId="164" fontId="37" fillId="10" borderId="22" xfId="20" applyNumberFormat="1" applyFont="1" applyFill="1" applyBorder="1" applyAlignment="1">
      <alignment horizontal="center" vertical="center"/>
    </xf>
    <xf numFmtId="171" fontId="35" fillId="0" borderId="19" xfId="18" applyNumberFormat="1" applyFont="1" applyBorder="1" applyAlignment="1">
      <alignment horizontal="center" vertical="center" wrapText="1"/>
    </xf>
    <xf numFmtId="164" fontId="38" fillId="0" borderId="19" xfId="20" applyNumberFormat="1" applyFont="1" applyBorder="1" applyAlignment="1">
      <alignment horizontal="left" vertical="center"/>
    </xf>
    <xf numFmtId="164" fontId="38" fillId="0" borderId="14" xfId="20" applyNumberFormat="1" applyFont="1" applyBorder="1" applyAlignment="1">
      <alignment horizontal="center" vertical="center"/>
    </xf>
    <xf numFmtId="0" fontId="37" fillId="0" borderId="19" xfId="20" applyFont="1" applyBorder="1" applyAlignment="1">
      <alignment horizontal="center" vertical="center"/>
    </xf>
    <xf numFmtId="164" fontId="37" fillId="0" borderId="14" xfId="20" applyNumberFormat="1" applyFont="1" applyBorder="1" applyAlignment="1">
      <alignment horizontal="center" vertical="center"/>
    </xf>
    <xf numFmtId="174" fontId="46" fillId="0" borderId="30" xfId="23" applyNumberFormat="1" applyFont="1" applyBorder="1" applyAlignment="1">
      <alignment horizontal="right" vertical="center" wrapText="1"/>
    </xf>
    <xf numFmtId="174" fontId="46" fillId="0" borderId="14" xfId="23" applyNumberFormat="1" applyFont="1" applyBorder="1" applyAlignment="1">
      <alignment horizontal="right" vertical="center" wrapText="1"/>
    </xf>
    <xf numFmtId="164" fontId="44" fillId="0" borderId="14" xfId="20" applyNumberFormat="1" applyFont="1" applyBorder="1" applyAlignment="1">
      <alignment horizontal="center" vertical="center"/>
    </xf>
    <xf numFmtId="164" fontId="44" fillId="0" borderId="30" xfId="20" applyNumberFormat="1" applyFont="1" applyBorder="1" applyAlignment="1">
      <alignment horizontal="center" vertical="center"/>
    </xf>
    <xf numFmtId="0" fontId="38" fillId="10" borderId="24" xfId="20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center" vertical="center"/>
    </xf>
    <xf numFmtId="164" fontId="38" fillId="10" borderId="25" xfId="20" applyNumberFormat="1" applyFont="1" applyFill="1" applyBorder="1" applyAlignment="1">
      <alignment horizontal="center" vertical="center"/>
    </xf>
    <xf numFmtId="164" fontId="38" fillId="10" borderId="40" xfId="20" applyNumberFormat="1" applyFont="1" applyFill="1" applyBorder="1" applyAlignment="1">
      <alignment horizontal="left" vertical="center"/>
    </xf>
    <xf numFmtId="0" fontId="38" fillId="4" borderId="31" xfId="20" applyFont="1" applyFill="1" applyBorder="1" applyAlignment="1">
      <alignment horizontal="center" vertical="center"/>
    </xf>
    <xf numFmtId="0" fontId="38" fillId="4" borderId="4" xfId="20" applyFont="1" applyFill="1" applyBorder="1" applyAlignment="1">
      <alignment horizontal="left" vertical="center" wrapText="1"/>
    </xf>
    <xf numFmtId="0" fontId="38" fillId="4" borderId="4" xfId="20" applyFont="1" applyFill="1" applyBorder="1" applyAlignment="1">
      <alignment horizontal="center" vertical="center"/>
    </xf>
    <xf numFmtId="164" fontId="38" fillId="4" borderId="4" xfId="20" applyNumberFormat="1" applyFont="1" applyFill="1" applyBorder="1" applyAlignment="1">
      <alignment horizontal="center" vertical="center"/>
    </xf>
    <xf numFmtId="164" fontId="38" fillId="4" borderId="4" xfId="20" applyNumberFormat="1" applyFont="1" applyFill="1" applyBorder="1" applyAlignment="1">
      <alignment horizontal="left" vertical="center"/>
    </xf>
    <xf numFmtId="164" fontId="38" fillId="4" borderId="41" xfId="20" applyNumberFormat="1" applyFont="1" applyFill="1" applyBorder="1" applyAlignment="1">
      <alignment horizontal="center" vertical="center"/>
    </xf>
    <xf numFmtId="172" fontId="38" fillId="4" borderId="41" xfId="20" applyNumberFormat="1" applyFont="1" applyFill="1" applyBorder="1" applyAlignment="1">
      <alignment horizontal="center" vertical="center"/>
    </xf>
    <xf numFmtId="173" fontId="38" fillId="4" borderId="41" xfId="20" applyNumberFormat="1" applyFont="1" applyFill="1" applyBorder="1" applyAlignment="1">
      <alignment horizontal="center" vertical="center"/>
    </xf>
    <xf numFmtId="173" fontId="38" fillId="4" borderId="4" xfId="20" applyNumberFormat="1" applyFont="1" applyFill="1" applyBorder="1" applyAlignment="1">
      <alignment horizontal="center" vertical="center"/>
    </xf>
    <xf numFmtId="164" fontId="38" fillId="4" borderId="32" xfId="20" applyNumberFormat="1" applyFont="1" applyFill="1" applyBorder="1" applyAlignment="1">
      <alignment horizontal="center" vertical="center"/>
    </xf>
    <xf numFmtId="0" fontId="37" fillId="0" borderId="2" xfId="20" applyFont="1" applyBorder="1" applyAlignment="1">
      <alignment horizontal="center" vertical="center"/>
    </xf>
    <xf numFmtId="164" fontId="37" fillId="0" borderId="12" xfId="20" applyNumberFormat="1" applyFont="1" applyBorder="1" applyAlignment="1">
      <alignment horizontal="left" vertical="center"/>
    </xf>
    <xf numFmtId="0" fontId="37" fillId="0" borderId="15" xfId="20" applyFont="1" applyBorder="1" applyAlignment="1">
      <alignment horizontal="center" vertical="center"/>
    </xf>
    <xf numFmtId="173" fontId="37" fillId="10" borderId="6" xfId="20" applyNumberFormat="1" applyFont="1" applyFill="1" applyBorder="1" applyAlignment="1">
      <alignment horizontal="center" vertical="center"/>
    </xf>
    <xf numFmtId="173" fontId="42" fillId="0" borderId="2" xfId="20" applyNumberFormat="1" applyFont="1" applyBorder="1" applyAlignment="1">
      <alignment horizontal="center" vertical="center"/>
    </xf>
    <xf numFmtId="0" fontId="37" fillId="0" borderId="1" xfId="20" applyFont="1" applyBorder="1" applyAlignment="1">
      <alignment horizontal="center" vertical="center"/>
    </xf>
    <xf numFmtId="164" fontId="42" fillId="0" borderId="2" xfId="20" applyNumberFormat="1" applyFont="1" applyBorder="1" applyAlignment="1">
      <alignment horizontal="center" vertical="center"/>
    </xf>
    <xf numFmtId="164" fontId="42" fillId="0" borderId="37" xfId="20" applyNumberFormat="1" applyFont="1" applyBorder="1" applyAlignment="1">
      <alignment horizontal="center" vertical="center"/>
    </xf>
    <xf numFmtId="164" fontId="42" fillId="0" borderId="1" xfId="20" applyNumberFormat="1" applyFont="1" applyBorder="1" applyAlignment="1">
      <alignment horizontal="center" vertical="center"/>
    </xf>
    <xf numFmtId="164" fontId="43" fillId="0" borderId="14" xfId="20" applyNumberFormat="1" applyFont="1" applyBorder="1" applyAlignment="1">
      <alignment horizontal="center" vertical="center"/>
    </xf>
    <xf numFmtId="164" fontId="43" fillId="0" borderId="2" xfId="20" applyNumberFormat="1" applyFont="1" applyBorder="1" applyAlignment="1">
      <alignment horizontal="center" vertical="center"/>
    </xf>
    <xf numFmtId="43" fontId="38" fillId="0" borderId="0" xfId="20" applyNumberFormat="1" applyFont="1" applyAlignment="1">
      <alignment vertical="center"/>
    </xf>
    <xf numFmtId="0" fontId="37" fillId="10" borderId="25" xfId="20" applyFont="1" applyFill="1" applyBorder="1" applyAlignment="1">
      <alignment horizontal="center" vertical="center"/>
    </xf>
    <xf numFmtId="0" fontId="37" fillId="10" borderId="20" xfId="20" applyFont="1" applyFill="1" applyBorder="1" applyAlignment="1">
      <alignment horizontal="center" vertical="center"/>
    </xf>
    <xf numFmtId="165" fontId="38" fillId="2" borderId="17" xfId="21" applyFont="1" applyFill="1" applyBorder="1" applyAlignment="1">
      <alignment horizontal="center" vertical="center" wrapText="1"/>
    </xf>
    <xf numFmtId="165" fontId="38" fillId="2" borderId="16" xfId="21" applyFont="1" applyFill="1" applyBorder="1" applyAlignment="1">
      <alignment horizontal="center" vertical="center" wrapText="1"/>
    </xf>
    <xf numFmtId="173" fontId="43" fillId="11" borderId="2" xfId="20" applyNumberFormat="1" applyFont="1" applyFill="1" applyBorder="1" applyAlignment="1">
      <alignment horizontal="center" vertical="center"/>
    </xf>
    <xf numFmtId="173" fontId="43" fillId="11" borderId="6" xfId="20" applyNumberFormat="1" applyFont="1" applyFill="1" applyBorder="1" applyAlignment="1">
      <alignment horizontal="center" vertical="center"/>
    </xf>
    <xf numFmtId="164" fontId="37" fillId="10" borderId="6" xfId="20" applyNumberFormat="1" applyFont="1" applyFill="1" applyBorder="1" applyAlignment="1">
      <alignment horizontal="center" vertical="center"/>
    </xf>
    <xf numFmtId="164" fontId="37" fillId="0" borderId="19" xfId="20" applyNumberFormat="1" applyFont="1" applyBorder="1" applyAlignment="1">
      <alignment horizontal="center" vertical="center"/>
    </xf>
    <xf numFmtId="0" fontId="38" fillId="0" borderId="31" xfId="20" applyFont="1" applyBorder="1" applyAlignment="1">
      <alignment vertical="center"/>
    </xf>
    <xf numFmtId="0" fontId="38" fillId="0" borderId="4" xfId="20" applyFont="1" applyBorder="1" applyAlignment="1">
      <alignment vertical="center"/>
    </xf>
    <xf numFmtId="17" fontId="38" fillId="2" borderId="6" xfId="18" applyNumberFormat="1" applyFont="1" applyFill="1" applyBorder="1" applyAlignment="1">
      <alignment horizontal="center" vertical="center"/>
    </xf>
    <xf numFmtId="0" fontId="8" fillId="0" borderId="2" xfId="20" applyFont="1" applyBorder="1" applyAlignment="1">
      <alignment horizontal="center" vertical="center" wrapText="1"/>
    </xf>
    <xf numFmtId="0" fontId="38" fillId="0" borderId="2" xfId="20" applyFont="1" applyBorder="1" applyAlignment="1">
      <alignment horizontal="center" vertical="center"/>
    </xf>
    <xf numFmtId="165" fontId="38" fillId="2" borderId="6" xfId="21" applyFont="1" applyFill="1" applyBorder="1" applyAlignment="1">
      <alignment horizontal="center" vertical="center" wrapText="1"/>
    </xf>
    <xf numFmtId="0" fontId="37" fillId="10" borderId="7" xfId="20" applyFont="1" applyFill="1" applyBorder="1" applyAlignment="1">
      <alignment horizontal="center" vertical="center"/>
    </xf>
    <xf numFmtId="0" fontId="38" fillId="10" borderId="8" xfId="20" applyFont="1" applyFill="1" applyBorder="1" applyAlignment="1">
      <alignment horizontal="left" vertical="center" wrapText="1"/>
    </xf>
    <xf numFmtId="164" fontId="37" fillId="10" borderId="8" xfId="20" applyNumberFormat="1" applyFont="1" applyFill="1" applyBorder="1" applyAlignment="1">
      <alignment horizontal="center" vertical="center"/>
    </xf>
    <xf numFmtId="0" fontId="38" fillId="0" borderId="7" xfId="20" applyFont="1" applyBorder="1" applyAlignment="1">
      <alignment horizontal="center" vertical="center"/>
    </xf>
    <xf numFmtId="0" fontId="38" fillId="0" borderId="8" xfId="20" applyFont="1" applyBorder="1" applyAlignment="1">
      <alignment horizontal="left" vertical="center" wrapText="1"/>
    </xf>
    <xf numFmtId="167" fontId="38" fillId="0" borderId="61" xfId="21" applyNumberFormat="1" applyFont="1" applyFill="1" applyBorder="1" applyAlignment="1">
      <alignment vertical="center"/>
    </xf>
    <xf numFmtId="0" fontId="38" fillId="10" borderId="7" xfId="20" applyFont="1" applyFill="1" applyBorder="1" applyAlignment="1">
      <alignment horizontal="center" vertical="center"/>
    </xf>
    <xf numFmtId="172" fontId="38" fillId="6" borderId="13" xfId="20" applyNumberFormat="1" applyFont="1" applyFill="1" applyBorder="1" applyAlignment="1">
      <alignment horizontal="center" vertical="center"/>
    </xf>
    <xf numFmtId="164" fontId="38" fillId="6" borderId="47" xfId="20" applyNumberFormat="1" applyFont="1" applyFill="1" applyBorder="1" applyAlignment="1">
      <alignment horizontal="center" vertical="center"/>
    </xf>
    <xf numFmtId="0" fontId="48" fillId="0" borderId="2" xfId="20" applyFont="1" applyBorder="1" applyAlignment="1">
      <alignment vertical="center"/>
    </xf>
    <xf numFmtId="167" fontId="48" fillId="0" borderId="2" xfId="21" applyNumberFormat="1" applyFont="1" applyFill="1" applyBorder="1" applyAlignment="1">
      <alignment vertical="center"/>
    </xf>
    <xf numFmtId="0" fontId="49" fillId="12" borderId="2" xfId="20" applyFont="1" applyFill="1" applyBorder="1" applyAlignment="1">
      <alignment horizontal="center" vertical="center"/>
    </xf>
    <xf numFmtId="0" fontId="50" fillId="0" borderId="0" xfId="20" applyFont="1" applyAlignment="1">
      <alignment horizontal="center" vertical="center" wrapText="1"/>
    </xf>
    <xf numFmtId="0" fontId="49" fillId="0" borderId="2" xfId="20" applyFont="1" applyFill="1" applyBorder="1" applyAlignment="1">
      <alignment horizontal="center" vertical="center"/>
    </xf>
    <xf numFmtId="0" fontId="49" fillId="0" borderId="2" xfId="20" applyFont="1" applyFill="1" applyBorder="1" applyAlignment="1">
      <alignment horizontal="left" vertical="center" wrapText="1"/>
    </xf>
    <xf numFmtId="164" fontId="49" fillId="0" borderId="2" xfId="20" applyNumberFormat="1" applyFont="1" applyFill="1" applyBorder="1" applyAlignment="1">
      <alignment horizontal="center" vertical="center"/>
    </xf>
    <xf numFmtId="164" fontId="48" fillId="0" borderId="2" xfId="20" applyNumberFormat="1" applyFont="1" applyFill="1" applyBorder="1" applyAlignment="1">
      <alignment horizontal="center" vertical="center"/>
    </xf>
    <xf numFmtId="164" fontId="49" fillId="0" borderId="6" xfId="20" applyNumberFormat="1" applyFont="1" applyFill="1" applyBorder="1" applyAlignment="1">
      <alignment horizontal="center" vertical="center"/>
    </xf>
    <xf numFmtId="164" fontId="48" fillId="0" borderId="6" xfId="20" applyNumberFormat="1" applyFont="1" applyFill="1" applyBorder="1" applyAlignment="1">
      <alignment horizontal="center" vertical="center"/>
    </xf>
    <xf numFmtId="0" fontId="49" fillId="0" borderId="2" xfId="20" applyNumberFormat="1" applyFont="1" applyFill="1" applyBorder="1" applyAlignment="1">
      <alignment horizontal="center" vertical="center" wrapText="1"/>
    </xf>
    <xf numFmtId="0" fontId="49" fillId="0" borderId="2" xfId="20" applyFont="1" applyFill="1" applyBorder="1" applyAlignment="1">
      <alignment vertical="center" wrapText="1"/>
    </xf>
    <xf numFmtId="0" fontId="51" fillId="0" borderId="2" xfId="20" applyNumberFormat="1" applyFont="1" applyFill="1" applyBorder="1" applyAlignment="1">
      <alignment horizontal="center" vertical="center" wrapText="1"/>
    </xf>
    <xf numFmtId="0" fontId="39" fillId="0" borderId="2" xfId="20" applyFont="1" applyBorder="1" applyAlignment="1">
      <alignment horizontal="center" vertical="center" wrapText="1"/>
    </xf>
    <xf numFmtId="0" fontId="35" fillId="0" borderId="2" xfId="20" applyFont="1" applyBorder="1" applyAlignment="1">
      <alignment horizontal="center" vertical="center"/>
    </xf>
    <xf numFmtId="0" fontId="49" fillId="0" borderId="19" xfId="20" applyFont="1" applyFill="1" applyBorder="1" applyAlignment="1">
      <alignment horizontal="center" vertical="center"/>
    </xf>
    <xf numFmtId="0" fontId="49" fillId="0" borderId="19" xfId="20" applyFont="1" applyFill="1" applyBorder="1" applyAlignment="1">
      <alignment horizontal="left" vertical="center" wrapText="1"/>
    </xf>
    <xf numFmtId="164" fontId="49" fillId="0" borderId="19" xfId="20" applyNumberFormat="1" applyFont="1" applyFill="1" applyBorder="1" applyAlignment="1">
      <alignment horizontal="center" vertical="center"/>
    </xf>
    <xf numFmtId="175" fontId="49" fillId="0" borderId="19" xfId="20" applyNumberFormat="1" applyFont="1" applyFill="1" applyBorder="1" applyAlignment="1">
      <alignment horizontal="center" vertical="center"/>
    </xf>
    <xf numFmtId="164" fontId="48" fillId="0" borderId="19" xfId="20" applyNumberFormat="1" applyFont="1" applyFill="1" applyBorder="1" applyAlignment="1">
      <alignment horizontal="center" vertical="center"/>
    </xf>
    <xf numFmtId="175" fontId="49" fillId="0" borderId="2" xfId="20" applyNumberFormat="1" applyFont="1" applyFill="1" applyBorder="1" applyAlignment="1">
      <alignment horizontal="center" vertical="center"/>
    </xf>
    <xf numFmtId="0" fontId="49" fillId="0" borderId="6" xfId="20" applyNumberFormat="1" applyFont="1" applyFill="1" applyBorder="1" applyAlignment="1">
      <alignment horizontal="center" vertical="center" wrapText="1"/>
    </xf>
    <xf numFmtId="164" fontId="49" fillId="0" borderId="2" xfId="20" applyNumberFormat="1" applyFont="1" applyFill="1" applyBorder="1" applyAlignment="1">
      <alignment vertical="center"/>
    </xf>
    <xf numFmtId="164" fontId="49" fillId="0" borderId="20" xfId="20" applyNumberFormat="1" applyFont="1" applyFill="1" applyBorder="1" applyAlignment="1">
      <alignment vertical="center"/>
    </xf>
    <xf numFmtId="164" fontId="49" fillId="0" borderId="14" xfId="20" applyNumberFormat="1" applyFont="1" applyFill="1" applyBorder="1" applyAlignment="1">
      <alignment horizontal="center" vertical="center"/>
    </xf>
    <xf numFmtId="0" fontId="38" fillId="0" borderId="2" xfId="20" applyFont="1" applyBorder="1" applyAlignment="1">
      <alignment vertical="center"/>
    </xf>
    <xf numFmtId="14" fontId="39" fillId="5" borderId="2" xfId="20" applyNumberFormat="1" applyFont="1" applyFill="1" applyBorder="1" applyAlignment="1">
      <alignment horizontal="center" vertical="center"/>
    </xf>
    <xf numFmtId="0" fontId="39" fillId="5" borderId="2" xfId="20" applyFont="1" applyFill="1" applyBorder="1" applyAlignment="1">
      <alignment horizontal="center" vertical="center"/>
    </xf>
    <xf numFmtId="43" fontId="39" fillId="5" borderId="2" xfId="20" applyNumberFormat="1" applyFont="1" applyFill="1" applyBorder="1" applyAlignment="1">
      <alignment horizontal="center" vertical="center"/>
    </xf>
    <xf numFmtId="0" fontId="52" fillId="0" borderId="2" xfId="20" applyFont="1" applyBorder="1" applyAlignment="1">
      <alignment horizontal="center" vertical="center"/>
    </xf>
    <xf numFmtId="164" fontId="49" fillId="0" borderId="19" xfId="20" applyNumberFormat="1" applyFont="1" applyFill="1" applyBorder="1" applyAlignment="1">
      <alignment vertical="center"/>
    </xf>
    <xf numFmtId="0" fontId="49" fillId="0" borderId="2" xfId="20" applyFont="1" applyFill="1" applyBorder="1" applyAlignment="1">
      <alignment vertical="top" wrapText="1"/>
    </xf>
    <xf numFmtId="0" fontId="49" fillId="13" borderId="19" xfId="20" applyFont="1" applyFill="1" applyBorder="1" applyAlignment="1">
      <alignment horizontal="center" vertical="center"/>
    </xf>
    <xf numFmtId="0" fontId="49" fillId="13" borderId="2" xfId="20" applyFont="1" applyFill="1" applyBorder="1" applyAlignment="1">
      <alignment horizontal="left" vertical="center" wrapText="1"/>
    </xf>
    <xf numFmtId="0" fontId="49" fillId="13" borderId="2" xfId="20" applyFont="1" applyFill="1" applyBorder="1" applyAlignment="1">
      <alignment horizontal="center" vertical="center" wrapText="1"/>
    </xf>
    <xf numFmtId="164" fontId="49" fillId="13" borderId="2" xfId="20" applyNumberFormat="1" applyFont="1" applyFill="1" applyBorder="1" applyAlignment="1">
      <alignment horizontal="center" vertical="center"/>
    </xf>
    <xf numFmtId="175" fontId="49" fillId="13" borderId="2" xfId="20" applyNumberFormat="1" applyFont="1" applyFill="1" applyBorder="1" applyAlignment="1">
      <alignment horizontal="center" vertical="center"/>
    </xf>
    <xf numFmtId="164" fontId="48" fillId="13" borderId="6" xfId="20" applyNumberFormat="1" applyFont="1" applyFill="1" applyBorder="1" applyAlignment="1">
      <alignment horizontal="center" vertical="center"/>
    </xf>
    <xf numFmtId="164" fontId="49" fillId="13" borderId="2" xfId="20" applyNumberFormat="1" applyFont="1" applyFill="1" applyBorder="1" applyAlignment="1">
      <alignment horizontal="center" vertical="center" wrapText="1"/>
    </xf>
    <xf numFmtId="14" fontId="49" fillId="13" borderId="6" xfId="20" applyNumberFormat="1" applyFont="1" applyFill="1" applyBorder="1" applyAlignment="1">
      <alignment horizontal="center" vertical="center"/>
    </xf>
    <xf numFmtId="14" fontId="49" fillId="0" borderId="6" xfId="20" applyNumberFormat="1" applyFont="1" applyFill="1" applyBorder="1" applyAlignment="1">
      <alignment horizontal="center" vertical="center"/>
    </xf>
    <xf numFmtId="0" fontId="49" fillId="2" borderId="19" xfId="20" applyFont="1" applyFill="1" applyBorder="1" applyAlignment="1">
      <alignment horizontal="center" vertical="center"/>
    </xf>
    <xf numFmtId="0" fontId="49" fillId="2" borderId="2" xfId="20" applyFont="1" applyFill="1" applyBorder="1" applyAlignment="1">
      <alignment vertical="center" wrapText="1"/>
    </xf>
    <xf numFmtId="0" fontId="49" fillId="2" borderId="2" xfId="20" applyFont="1" applyFill="1" applyBorder="1" applyAlignment="1">
      <alignment horizontal="center" vertical="center" wrapText="1"/>
    </xf>
    <xf numFmtId="164" fontId="49" fillId="2" borderId="2" xfId="20" applyNumberFormat="1" applyFont="1" applyFill="1" applyBorder="1" applyAlignment="1">
      <alignment vertical="center"/>
    </xf>
    <xf numFmtId="164" fontId="49" fillId="2" borderId="2" xfId="20" applyNumberFormat="1" applyFont="1" applyFill="1" applyBorder="1" applyAlignment="1">
      <alignment horizontal="center" vertical="center"/>
    </xf>
    <xf numFmtId="164" fontId="48" fillId="2" borderId="2" xfId="20" applyNumberFormat="1" applyFont="1" applyFill="1" applyBorder="1" applyAlignment="1">
      <alignment horizontal="center" vertical="center"/>
    </xf>
    <xf numFmtId="164" fontId="49" fillId="2" borderId="2" xfId="20" applyNumberFormat="1" applyFont="1" applyFill="1" applyBorder="1" applyAlignment="1">
      <alignment horizontal="center" vertical="center" wrapText="1"/>
    </xf>
    <xf numFmtId="14" fontId="49" fillId="2" borderId="2" xfId="20" applyNumberFormat="1" applyFont="1" applyFill="1" applyBorder="1" applyAlignment="1">
      <alignment horizontal="center" vertical="center"/>
    </xf>
    <xf numFmtId="0" fontId="49" fillId="2" borderId="2" xfId="20" applyNumberFormat="1" applyFont="1" applyFill="1" applyBorder="1" applyAlignment="1">
      <alignment horizontal="center" vertical="center" wrapText="1"/>
    </xf>
    <xf numFmtId="0" fontId="14" fillId="13" borderId="2" xfId="20" applyNumberFormat="1" applyFont="1" applyFill="1" applyBorder="1" applyAlignment="1">
      <alignment horizontal="center" vertical="center" wrapText="1"/>
    </xf>
    <xf numFmtId="0" fontId="43" fillId="0" borderId="0" xfId="20" applyFont="1" applyAlignment="1">
      <alignment horizontal="center" vertical="center"/>
    </xf>
    <xf numFmtId="0" fontId="43" fillId="10" borderId="0" xfId="20" applyFont="1" applyFill="1" applyAlignment="1">
      <alignment horizontal="center" vertical="center"/>
    </xf>
    <xf numFmtId="0" fontId="49" fillId="14" borderId="2" xfId="20" applyFont="1" applyFill="1" applyBorder="1" applyAlignment="1">
      <alignment horizontal="center" vertical="center"/>
    </xf>
    <xf numFmtId="164" fontId="49" fillId="14" borderId="2" xfId="20" applyNumberFormat="1" applyFont="1" applyFill="1" applyBorder="1" applyAlignment="1">
      <alignment horizontal="center" vertical="center"/>
    </xf>
    <xf numFmtId="43" fontId="49" fillId="14" borderId="6" xfId="25" applyFont="1" applyFill="1" applyBorder="1" applyAlignment="1">
      <alignment horizontal="center" vertical="center"/>
    </xf>
    <xf numFmtId="0" fontId="49" fillId="2" borderId="2" xfId="20" applyFont="1" applyFill="1" applyBorder="1" applyAlignment="1">
      <alignment horizontal="center" vertical="center"/>
    </xf>
    <xf numFmtId="43" fontId="49" fillId="2" borderId="6" xfId="25" applyFont="1" applyFill="1" applyBorder="1" applyAlignment="1">
      <alignment horizontal="center" vertical="center"/>
    </xf>
    <xf numFmtId="1" fontId="49" fillId="14" borderId="2" xfId="20" applyNumberFormat="1" applyFont="1" applyFill="1" applyBorder="1" applyAlignment="1">
      <alignment horizontal="center" vertical="center"/>
    </xf>
    <xf numFmtId="164" fontId="48" fillId="14" borderId="2" xfId="20" applyNumberFormat="1" applyFont="1" applyFill="1" applyBorder="1" applyAlignment="1">
      <alignment horizontal="center" vertical="center"/>
    </xf>
    <xf numFmtId="43" fontId="49" fillId="0" borderId="0" xfId="25" applyFont="1" applyAlignment="1">
      <alignment horizontal="center"/>
    </xf>
    <xf numFmtId="43" fontId="49" fillId="0" borderId="0" xfId="25" applyFont="1" applyAlignment="1">
      <alignment horizontal="center" vertical="center"/>
    </xf>
    <xf numFmtId="43" fontId="48" fillId="0" borderId="0" xfId="25" applyFont="1" applyAlignment="1">
      <alignment horizontal="center" vertical="center"/>
    </xf>
    <xf numFmtId="43" fontId="49" fillId="2" borderId="0" xfId="25" applyFont="1" applyFill="1" applyAlignment="1">
      <alignment horizontal="center" vertical="center"/>
    </xf>
    <xf numFmtId="0" fontId="54" fillId="13" borderId="19" xfId="20" applyFont="1" applyFill="1" applyBorder="1" applyAlignment="1">
      <alignment horizontal="center" vertical="center"/>
    </xf>
    <xf numFmtId="0" fontId="54" fillId="13" borderId="2" xfId="20" applyFont="1" applyFill="1" applyBorder="1" applyAlignment="1">
      <alignment vertical="center" wrapText="1"/>
    </xf>
    <xf numFmtId="0" fontId="54" fillId="13" borderId="2" xfId="20" applyFont="1" applyFill="1" applyBorder="1" applyAlignment="1">
      <alignment horizontal="center" vertical="center" wrapText="1"/>
    </xf>
    <xf numFmtId="164" fontId="54" fillId="13" borderId="2" xfId="20" applyNumberFormat="1" applyFont="1" applyFill="1" applyBorder="1" applyAlignment="1">
      <alignment vertical="center"/>
    </xf>
    <xf numFmtId="164" fontId="54" fillId="13" borderId="2" xfId="20" applyNumberFormat="1" applyFont="1" applyFill="1" applyBorder="1" applyAlignment="1">
      <alignment horizontal="center" vertical="center"/>
    </xf>
    <xf numFmtId="164" fontId="55" fillId="13" borderId="2" xfId="20" applyNumberFormat="1" applyFont="1" applyFill="1" applyBorder="1" applyAlignment="1">
      <alignment horizontal="center" vertical="center"/>
    </xf>
    <xf numFmtId="0" fontId="54" fillId="13" borderId="2" xfId="20" applyNumberFormat="1" applyFont="1" applyFill="1" applyBorder="1" applyAlignment="1">
      <alignment horizontal="center" vertical="center" wrapText="1"/>
    </xf>
    <xf numFmtId="14" fontId="54" fillId="13" borderId="2" xfId="20" applyNumberFormat="1" applyFont="1" applyFill="1" applyBorder="1" applyAlignment="1">
      <alignment horizontal="center" vertical="center"/>
    </xf>
    <xf numFmtId="0" fontId="56" fillId="13" borderId="2" xfId="20" applyNumberFormat="1" applyFont="1" applyFill="1" applyBorder="1" applyAlignment="1">
      <alignment horizontal="center" vertical="center" wrapText="1"/>
    </xf>
    <xf numFmtId="0" fontId="39" fillId="14" borderId="2" xfId="20" applyNumberFormat="1" applyFont="1" applyFill="1" applyBorder="1" applyAlignment="1">
      <alignment horizontal="center" vertical="center" wrapText="1"/>
    </xf>
    <xf numFmtId="0" fontId="46" fillId="14" borderId="2" xfId="20" applyNumberFormat="1" applyFont="1" applyFill="1" applyBorder="1" applyAlignment="1">
      <alignment horizontal="center" vertical="center" wrapText="1"/>
    </xf>
    <xf numFmtId="164" fontId="49" fillId="0" borderId="19" xfId="20" applyNumberFormat="1" applyFont="1" applyFill="1" applyBorder="1" applyAlignment="1">
      <alignment horizontal="center" vertical="center" wrapText="1"/>
    </xf>
    <xf numFmtId="14" fontId="49" fillId="0" borderId="19" xfId="20" applyNumberFormat="1" applyFont="1" applyFill="1" applyBorder="1" applyAlignment="1">
      <alignment horizontal="center" vertical="center"/>
    </xf>
    <xf numFmtId="164" fontId="49" fillId="0" borderId="19" xfId="20" applyNumberFormat="1" applyFont="1" applyFill="1" applyBorder="1" applyAlignment="1">
      <alignment horizontal="center" vertical="center" wrapText="1"/>
    </xf>
    <xf numFmtId="0" fontId="46" fillId="0" borderId="2" xfId="20" applyNumberFormat="1" applyFont="1" applyFill="1" applyBorder="1" applyAlignment="1">
      <alignment horizontal="center" vertical="center" wrapText="1"/>
    </xf>
    <xf numFmtId="43" fontId="49" fillId="2" borderId="0" xfId="25" applyFont="1" applyFill="1" applyBorder="1" applyAlignment="1">
      <alignment horizontal="center" vertical="center"/>
    </xf>
    <xf numFmtId="0" fontId="46" fillId="2" borderId="2" xfId="20" applyNumberFormat="1" applyFont="1" applyFill="1" applyBorder="1" applyAlignment="1">
      <alignment horizontal="center" vertical="center" wrapText="1"/>
    </xf>
    <xf numFmtId="0" fontId="56" fillId="2" borderId="6" xfId="20" applyNumberFormat="1" applyFont="1" applyFill="1" applyBorder="1" applyAlignment="1">
      <alignment horizontal="center" vertical="center"/>
    </xf>
    <xf numFmtId="43" fontId="49" fillId="6" borderId="0" xfId="25" applyFont="1" applyFill="1" applyAlignment="1">
      <alignment horizontal="center" vertical="center"/>
    </xf>
    <xf numFmtId="0" fontId="37" fillId="6" borderId="0" xfId="20" applyFont="1" applyFill="1" applyAlignment="1">
      <alignment horizontal="center" vertical="center"/>
    </xf>
    <xf numFmtId="165" fontId="55" fillId="4" borderId="6" xfId="21" applyFont="1" applyFill="1" applyBorder="1" applyAlignment="1">
      <alignment horizontal="center" vertical="center" wrapText="1"/>
    </xf>
    <xf numFmtId="0" fontId="55" fillId="4" borderId="6" xfId="21" applyNumberFormat="1" applyFont="1" applyFill="1" applyBorder="1" applyAlignment="1">
      <alignment horizontal="center" vertical="center" wrapText="1"/>
    </xf>
    <xf numFmtId="0" fontId="55" fillId="0" borderId="2" xfId="20" applyFont="1" applyFill="1" applyBorder="1" applyAlignment="1">
      <alignment horizontal="left" vertical="center" wrapText="1"/>
    </xf>
    <xf numFmtId="164" fontId="54" fillId="0" borderId="2" xfId="20" applyNumberFormat="1" applyFont="1" applyFill="1" applyBorder="1" applyAlignment="1">
      <alignment horizontal="center" vertical="center"/>
    </xf>
    <xf numFmtId="1" fontId="54" fillId="0" borderId="2" xfId="20" applyNumberFormat="1" applyFont="1" applyFill="1" applyBorder="1" applyAlignment="1">
      <alignment horizontal="center" vertical="center"/>
    </xf>
    <xf numFmtId="164" fontId="55" fillId="0" borderId="2" xfId="20" applyNumberFormat="1" applyFont="1" applyFill="1" applyBorder="1" applyAlignment="1">
      <alignment horizontal="center" vertical="center"/>
    </xf>
    <xf numFmtId="43" fontId="54" fillId="0" borderId="2" xfId="25" applyFont="1" applyFill="1" applyBorder="1" applyAlignment="1">
      <alignment horizontal="center" vertical="center"/>
    </xf>
    <xf numFmtId="0" fontId="54" fillId="0" borderId="6" xfId="20" applyNumberFormat="1" applyFont="1" applyFill="1" applyBorder="1" applyAlignment="1">
      <alignment horizontal="center" vertical="center"/>
    </xf>
    <xf numFmtId="164" fontId="54" fillId="0" borderId="6" xfId="20" applyNumberFormat="1" applyFont="1" applyFill="1" applyBorder="1" applyAlignment="1">
      <alignment horizontal="center" vertical="center"/>
    </xf>
    <xf numFmtId="0" fontId="54" fillId="14" borderId="2" xfId="20" applyFont="1" applyFill="1" applyBorder="1" applyAlignment="1">
      <alignment horizontal="left" vertical="center" wrapText="1"/>
    </xf>
    <xf numFmtId="164" fontId="54" fillId="14" borderId="6" xfId="20" applyNumberFormat="1" applyFont="1" applyFill="1" applyBorder="1" applyAlignment="1">
      <alignment horizontal="center" vertical="center"/>
    </xf>
    <xf numFmtId="1" fontId="54" fillId="14" borderId="2" xfId="20" applyNumberFormat="1" applyFont="1" applyFill="1" applyBorder="1" applyAlignment="1">
      <alignment horizontal="center" vertical="center" wrapText="1"/>
    </xf>
    <xf numFmtId="164" fontId="55" fillId="14" borderId="6" xfId="20" applyNumberFormat="1" applyFont="1" applyFill="1" applyBorder="1" applyAlignment="1">
      <alignment horizontal="center" vertical="center"/>
    </xf>
    <xf numFmtId="164" fontId="54" fillId="14" borderId="2" xfId="20" applyNumberFormat="1" applyFont="1" applyFill="1" applyBorder="1" applyAlignment="1">
      <alignment horizontal="center" vertical="center"/>
    </xf>
    <xf numFmtId="43" fontId="54" fillId="14" borderId="6" xfId="25" applyFont="1" applyFill="1" applyBorder="1" applyAlignment="1">
      <alignment horizontal="center" vertical="center"/>
    </xf>
    <xf numFmtId="164" fontId="46" fillId="14" borderId="2" xfId="20" applyNumberFormat="1" applyFont="1" applyFill="1" applyBorder="1" applyAlignment="1">
      <alignment horizontal="center" vertical="center" wrapText="1"/>
    </xf>
    <xf numFmtId="0" fontId="54" fillId="14" borderId="6" xfId="20" applyNumberFormat="1" applyFont="1" applyFill="1" applyBorder="1" applyAlignment="1">
      <alignment horizontal="center" vertical="center"/>
    </xf>
    <xf numFmtId="0" fontId="54" fillId="14" borderId="2" xfId="20" applyNumberFormat="1" applyFont="1" applyFill="1" applyBorder="1" applyAlignment="1">
      <alignment horizontal="center" vertical="center" wrapText="1"/>
    </xf>
    <xf numFmtId="43" fontId="54" fillId="2" borderId="6" xfId="25" applyFont="1" applyFill="1" applyBorder="1" applyAlignment="1">
      <alignment horizontal="center" vertical="center"/>
    </xf>
    <xf numFmtId="0" fontId="54" fillId="0" borderId="2" xfId="20" applyNumberFormat="1" applyFont="1" applyFill="1" applyBorder="1" applyAlignment="1">
      <alignment horizontal="center" vertical="center"/>
    </xf>
    <xf numFmtId="1" fontId="54" fillId="2" borderId="2" xfId="20" applyNumberFormat="1" applyFont="1" applyFill="1" applyBorder="1" applyAlignment="1">
      <alignment horizontal="center" vertical="center"/>
    </xf>
    <xf numFmtId="164" fontId="55" fillId="2" borderId="2" xfId="20" applyNumberFormat="1" applyFont="1" applyFill="1" applyBorder="1" applyAlignment="1">
      <alignment horizontal="center" vertical="center"/>
    </xf>
    <xf numFmtId="164" fontId="54" fillId="2" borderId="2" xfId="20" applyNumberFormat="1" applyFont="1" applyFill="1" applyBorder="1" applyAlignment="1">
      <alignment horizontal="center" vertical="center"/>
    </xf>
    <xf numFmtId="0" fontId="54" fillId="2" borderId="6" xfId="20" applyNumberFormat="1" applyFont="1" applyFill="1" applyBorder="1" applyAlignment="1">
      <alignment horizontal="center" vertical="center"/>
    </xf>
    <xf numFmtId="1" fontId="54" fillId="14" borderId="2" xfId="20" applyNumberFormat="1" applyFont="1" applyFill="1" applyBorder="1" applyAlignment="1">
      <alignment horizontal="center" vertical="center"/>
    </xf>
    <xf numFmtId="164" fontId="55" fillId="14" borderId="2" xfId="20" applyNumberFormat="1" applyFont="1" applyFill="1" applyBorder="1" applyAlignment="1">
      <alignment horizontal="center" vertical="center"/>
    </xf>
    <xf numFmtId="1" fontId="54" fillId="0" borderId="2" xfId="20" applyNumberFormat="1" applyFont="1" applyFill="1" applyBorder="1" applyAlignment="1">
      <alignment horizontal="center" vertical="center" wrapText="1"/>
    </xf>
    <xf numFmtId="164" fontId="55" fillId="0" borderId="6" xfId="20" applyNumberFormat="1" applyFont="1" applyFill="1" applyBorder="1" applyAlignment="1">
      <alignment horizontal="center" vertical="center"/>
    </xf>
    <xf numFmtId="0" fontId="54" fillId="14" borderId="2" xfId="20" applyNumberFormat="1" applyFont="1" applyFill="1" applyBorder="1" applyAlignment="1">
      <alignment horizontal="center" vertical="center"/>
    </xf>
    <xf numFmtId="0" fontId="54" fillId="2" borderId="2" xfId="20" applyNumberFormat="1" applyFont="1" applyFill="1" applyBorder="1" applyAlignment="1">
      <alignment horizontal="center" vertical="center"/>
    </xf>
    <xf numFmtId="14" fontId="54" fillId="2" borderId="6" xfId="20" applyNumberFormat="1" applyFont="1" applyFill="1" applyBorder="1" applyAlignment="1">
      <alignment horizontal="center" vertical="center"/>
    </xf>
    <xf numFmtId="14" fontId="54" fillId="14" borderId="6" xfId="20" applyNumberFormat="1" applyFont="1" applyFill="1" applyBorder="1" applyAlignment="1">
      <alignment horizontal="center" vertical="center"/>
    </xf>
    <xf numFmtId="164" fontId="54" fillId="2" borderId="6" xfId="20" applyNumberFormat="1" applyFont="1" applyFill="1" applyBorder="1" applyAlignment="1">
      <alignment horizontal="center" vertical="center"/>
    </xf>
    <xf numFmtId="1" fontId="54" fillId="2" borderId="2" xfId="20" applyNumberFormat="1" applyFont="1" applyFill="1" applyBorder="1" applyAlignment="1">
      <alignment horizontal="center" vertical="center" wrapText="1"/>
    </xf>
    <xf numFmtId="164" fontId="55" fillId="2" borderId="6" xfId="20" applyNumberFormat="1" applyFont="1" applyFill="1" applyBorder="1" applyAlignment="1">
      <alignment horizontal="center" vertical="center"/>
    </xf>
    <xf numFmtId="164" fontId="46" fillId="2" borderId="2" xfId="20" applyNumberFormat="1" applyFont="1" applyFill="1" applyBorder="1" applyAlignment="1">
      <alignment horizontal="center" vertical="center" wrapText="1"/>
    </xf>
    <xf numFmtId="0" fontId="54" fillId="2" borderId="2" xfId="20" applyNumberFormat="1" applyFont="1" applyFill="1" applyBorder="1" applyAlignment="1">
      <alignment horizontal="center" vertical="center" wrapText="1"/>
    </xf>
    <xf numFmtId="0" fontId="54" fillId="0" borderId="2" xfId="20" applyFont="1" applyFill="1" applyBorder="1" applyAlignment="1">
      <alignment vertical="center" wrapText="1"/>
    </xf>
    <xf numFmtId="0" fontId="54" fillId="0" borderId="2" xfId="20" applyNumberFormat="1" applyFont="1" applyFill="1" applyBorder="1" applyAlignment="1">
      <alignment vertical="top" wrapText="1"/>
    </xf>
    <xf numFmtId="164" fontId="46" fillId="0" borderId="2" xfId="20" applyNumberFormat="1" applyFont="1" applyFill="1" applyBorder="1" applyAlignment="1">
      <alignment horizontal="center" vertical="center"/>
    </xf>
    <xf numFmtId="0" fontId="54" fillId="0" borderId="2" xfId="20" applyNumberFormat="1" applyFont="1" applyFill="1" applyBorder="1" applyAlignment="1">
      <alignment horizontal="center" vertical="center" wrapText="1"/>
    </xf>
    <xf numFmtId="0" fontId="55" fillId="0" borderId="2" xfId="20" applyFont="1" applyFill="1" applyBorder="1" applyAlignment="1">
      <alignment vertical="center" wrapText="1"/>
    </xf>
    <xf numFmtId="164" fontId="46" fillId="0" borderId="2" xfId="20" applyNumberFormat="1" applyFont="1" applyFill="1" applyBorder="1" applyAlignment="1">
      <alignment horizontal="center" vertical="center" wrapText="1"/>
    </xf>
    <xf numFmtId="14" fontId="54" fillId="0" borderId="6" xfId="20" applyNumberFormat="1" applyFont="1" applyFill="1" applyBorder="1" applyAlignment="1">
      <alignment horizontal="center" vertical="center"/>
    </xf>
    <xf numFmtId="0" fontId="54" fillId="14" borderId="2" xfId="20" applyFont="1" applyFill="1" applyBorder="1" applyAlignment="1">
      <alignment vertical="center" wrapText="1"/>
    </xf>
    <xf numFmtId="0" fontId="54" fillId="0" borderId="2" xfId="20" applyFont="1" applyFill="1" applyBorder="1" applyAlignment="1">
      <alignment horizontal="left" vertical="center" wrapText="1"/>
    </xf>
    <xf numFmtId="164" fontId="46" fillId="2" borderId="2" xfId="20" applyNumberFormat="1" applyFont="1" applyFill="1" applyBorder="1" applyAlignment="1">
      <alignment horizontal="center" vertical="center"/>
    </xf>
    <xf numFmtId="0" fontId="54" fillId="2" borderId="2" xfId="20" applyFont="1" applyFill="1" applyBorder="1" applyAlignment="1">
      <alignment vertical="center" wrapText="1"/>
    </xf>
    <xf numFmtId="0" fontId="55" fillId="0" borderId="2" xfId="20" applyFont="1" applyBorder="1" applyAlignment="1">
      <alignment vertical="center"/>
    </xf>
    <xf numFmtId="167" fontId="55" fillId="0" borderId="2" xfId="21" applyNumberFormat="1" applyFont="1" applyFill="1" applyBorder="1" applyAlignment="1">
      <alignment vertical="center"/>
    </xf>
    <xf numFmtId="0" fontId="55" fillId="0" borderId="2" xfId="21" applyNumberFormat="1" applyFont="1" applyFill="1" applyBorder="1" applyAlignment="1">
      <alignment vertical="center"/>
    </xf>
    <xf numFmtId="0" fontId="54" fillId="12" borderId="2" xfId="20" applyFont="1" applyFill="1" applyBorder="1" applyAlignment="1">
      <alignment horizontal="left" vertical="center" wrapText="1"/>
    </xf>
    <xf numFmtId="164" fontId="55" fillId="12" borderId="2" xfId="20" applyNumberFormat="1" applyFont="1" applyFill="1" applyBorder="1" applyAlignment="1">
      <alignment vertical="center" wrapText="1"/>
    </xf>
    <xf numFmtId="164" fontId="54" fillId="12" borderId="2" xfId="20" applyNumberFormat="1" applyFont="1" applyFill="1" applyBorder="1" applyAlignment="1">
      <alignment vertical="center"/>
    </xf>
    <xf numFmtId="164" fontId="54" fillId="12" borderId="2" xfId="20" applyNumberFormat="1" applyFont="1" applyFill="1" applyBorder="1" applyAlignment="1">
      <alignment horizontal="center" vertical="center"/>
    </xf>
    <xf numFmtId="0" fontId="54" fillId="12" borderId="2" xfId="20" applyNumberFormat="1" applyFont="1" applyFill="1" applyBorder="1" applyAlignment="1">
      <alignment horizontal="center" vertical="center"/>
    </xf>
    <xf numFmtId="0" fontId="43" fillId="0" borderId="0" xfId="20" applyFont="1"/>
    <xf numFmtId="167" fontId="43" fillId="0" borderId="0" xfId="21" applyNumberFormat="1" applyFont="1" applyFill="1" applyAlignment="1">
      <alignment horizontal="center"/>
    </xf>
    <xf numFmtId="0" fontId="43" fillId="0" borderId="0" xfId="21" applyNumberFormat="1" applyFont="1" applyFill="1" applyAlignment="1">
      <alignment horizontal="center"/>
    </xf>
    <xf numFmtId="0" fontId="43" fillId="0" borderId="0" xfId="20" applyFont="1" applyAlignment="1">
      <alignment vertical="center"/>
    </xf>
    <xf numFmtId="167" fontId="43" fillId="2" borderId="0" xfId="21" applyNumberFormat="1" applyFont="1" applyFill="1" applyAlignment="1">
      <alignment horizontal="center"/>
    </xf>
    <xf numFmtId="0" fontId="43" fillId="2" borderId="0" xfId="21" applyNumberFormat="1" applyFont="1" applyFill="1" applyAlignment="1">
      <alignment horizontal="center"/>
    </xf>
    <xf numFmtId="0" fontId="34" fillId="14" borderId="2" xfId="20" applyNumberFormat="1" applyFont="1" applyFill="1" applyBorder="1" applyAlignment="1">
      <alignment horizontal="center" vertical="center"/>
    </xf>
    <xf numFmtId="0" fontId="34" fillId="14" borderId="6" xfId="20" applyNumberFormat="1" applyFont="1" applyFill="1" applyBorder="1" applyAlignment="1">
      <alignment horizontal="center" vertical="center"/>
    </xf>
    <xf numFmtId="43" fontId="49" fillId="14" borderId="0" xfId="25" applyFont="1" applyFill="1" applyAlignment="1">
      <alignment horizontal="center" vertical="center"/>
    </xf>
    <xf numFmtId="0" fontId="37" fillId="14" borderId="0" xfId="20" applyFont="1" applyFill="1" applyAlignment="1">
      <alignment horizontal="center" vertical="center"/>
    </xf>
    <xf numFmtId="164" fontId="54" fillId="0" borderId="19" xfId="20" applyNumberFormat="1" applyFont="1" applyFill="1" applyBorder="1" applyAlignment="1">
      <alignment horizontal="center" vertical="center"/>
    </xf>
    <xf numFmtId="0" fontId="54" fillId="14" borderId="19" xfId="20" applyNumberFormat="1" applyFont="1" applyFill="1" applyBorder="1" applyAlignment="1">
      <alignment horizontal="center" vertical="center" wrapText="1"/>
    </xf>
    <xf numFmtId="164" fontId="54" fillId="5" borderId="2" xfId="20" applyNumberFormat="1" applyFont="1" applyFill="1" applyBorder="1" applyAlignment="1">
      <alignment horizontal="center" vertical="center"/>
    </xf>
    <xf numFmtId="0" fontId="54" fillId="14" borderId="6" xfId="20" applyNumberFormat="1" applyFont="1" applyFill="1" applyBorder="1" applyAlignment="1">
      <alignment horizontal="center" vertical="center" wrapText="1"/>
    </xf>
    <xf numFmtId="167" fontId="21" fillId="2" borderId="2" xfId="3" applyNumberFormat="1" applyFont="1" applyFill="1" applyBorder="1" applyAlignment="1">
      <alignment horizontal="center"/>
    </xf>
    <xf numFmtId="0" fontId="19" fillId="0" borderId="2" xfId="1" applyFont="1" applyBorder="1" applyAlignment="1">
      <alignment horizontal="center" vertical="center"/>
    </xf>
    <xf numFmtId="0" fontId="19" fillId="0" borderId="12" xfId="1" applyFont="1" applyBorder="1" applyAlignment="1">
      <alignment horizontal="center" vertical="center"/>
    </xf>
    <xf numFmtId="0" fontId="19" fillId="0" borderId="17" xfId="1" applyFont="1" applyBorder="1" applyAlignment="1">
      <alignment horizontal="center" vertical="center"/>
    </xf>
    <xf numFmtId="0" fontId="19" fillId="0" borderId="11" xfId="1" applyFont="1" applyBorder="1" applyAlignment="1">
      <alignment horizontal="center" vertical="center"/>
    </xf>
    <xf numFmtId="0" fontId="19" fillId="0" borderId="14" xfId="1" applyFont="1" applyBorder="1" applyAlignment="1">
      <alignment horizontal="center" vertical="center"/>
    </xf>
    <xf numFmtId="0" fontId="19" fillId="0" borderId="16" xfId="1" applyFont="1" applyBorder="1" applyAlignment="1">
      <alignment horizontal="center" vertical="center"/>
    </xf>
    <xf numFmtId="0" fontId="19" fillId="0" borderId="10" xfId="1" applyFont="1" applyBorder="1" applyAlignment="1">
      <alignment horizontal="center" vertical="center"/>
    </xf>
    <xf numFmtId="167" fontId="14" fillId="0" borderId="12" xfId="1" applyNumberFormat="1" applyFont="1" applyBorder="1" applyAlignment="1">
      <alignment horizontal="center" vertical="center"/>
    </xf>
    <xf numFmtId="167" fontId="14" fillId="0" borderId="11" xfId="1" applyNumberFormat="1" applyFont="1" applyBorder="1" applyAlignment="1">
      <alignment horizontal="center" vertical="center"/>
    </xf>
    <xf numFmtId="167" fontId="14" fillId="0" borderId="15" xfId="1" applyNumberFormat="1" applyFont="1" applyBorder="1" applyAlignment="1">
      <alignment horizontal="center" vertical="center"/>
    </xf>
    <xf numFmtId="167" fontId="14" fillId="0" borderId="9" xfId="1" applyNumberFormat="1" applyFont="1" applyBorder="1" applyAlignment="1">
      <alignment horizontal="center" vertical="center"/>
    </xf>
    <xf numFmtId="167" fontId="14" fillId="0" borderId="14" xfId="1" applyNumberFormat="1" applyFont="1" applyBorder="1" applyAlignment="1">
      <alignment horizontal="center" vertical="center"/>
    </xf>
    <xf numFmtId="167" fontId="14" fillId="0" borderId="10" xfId="1" applyNumberFormat="1" applyFont="1" applyBorder="1" applyAlignment="1">
      <alignment horizontal="center" vertical="center"/>
    </xf>
    <xf numFmtId="0" fontId="16" fillId="2" borderId="0" xfId="1" applyFont="1" applyFill="1" applyAlignment="1">
      <alignment wrapText="1"/>
    </xf>
    <xf numFmtId="0" fontId="16" fillId="2" borderId="0" xfId="1" applyFont="1" applyFill="1" applyAlignment="1">
      <alignment horizontal="left" vertical="center" wrapText="1"/>
    </xf>
    <xf numFmtId="165" fontId="16" fillId="2" borderId="0" xfId="2" applyFont="1" applyFill="1" applyBorder="1" applyAlignment="1">
      <alignment horizontal="left" vertical="center" wrapText="1"/>
    </xf>
    <xf numFmtId="0" fontId="19" fillId="0" borderId="0" xfId="1" applyFont="1" applyAlignment="1">
      <alignment horizontal="center" vertical="center"/>
    </xf>
    <xf numFmtId="0" fontId="19" fillId="0" borderId="2" xfId="1" applyFont="1" applyBorder="1" applyAlignment="1">
      <alignment horizontal="center" vertical="center" wrapText="1"/>
    </xf>
    <xf numFmtId="165" fontId="19" fillId="2" borderId="2" xfId="2" applyFont="1" applyFill="1" applyBorder="1" applyAlignment="1">
      <alignment horizontal="center" vertical="center" wrapText="1"/>
    </xf>
    <xf numFmtId="167" fontId="19" fillId="2" borderId="2" xfId="2" applyNumberFormat="1" applyFont="1" applyFill="1" applyBorder="1" applyAlignment="1">
      <alignment horizontal="center" vertical="center" wrapText="1"/>
    </xf>
    <xf numFmtId="17" fontId="19" fillId="2" borderId="2" xfId="1" applyNumberFormat="1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 wrapText="1"/>
    </xf>
    <xf numFmtId="0" fontId="26" fillId="0" borderId="24" xfId="0" applyFont="1" applyBorder="1" applyAlignment="1">
      <alignment horizontal="center" vertical="center"/>
    </xf>
    <xf numFmtId="0" fontId="26" fillId="0" borderId="36" xfId="0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5" fillId="4" borderId="40" xfId="9" applyFont="1" applyFill="1" applyBorder="1" applyAlignment="1">
      <alignment horizontal="center" vertical="center" wrapText="1"/>
    </xf>
    <xf numFmtId="0" fontId="25" fillId="4" borderId="14" xfId="9" applyFont="1" applyFill="1" applyBorder="1" applyAlignment="1">
      <alignment horizontal="center" vertical="center" wrapText="1"/>
    </xf>
    <xf numFmtId="17" fontId="25" fillId="4" borderId="29" xfId="9" applyNumberFormat="1" applyFont="1" applyFill="1" applyBorder="1" applyAlignment="1">
      <alignment horizontal="center" vertical="center" wrapText="1"/>
    </xf>
    <xf numFmtId="17" fontId="25" fillId="4" borderId="30" xfId="9" applyNumberFormat="1" applyFont="1" applyFill="1" applyBorder="1" applyAlignment="1">
      <alignment horizontal="center" vertical="center" wrapText="1"/>
    </xf>
    <xf numFmtId="0" fontId="25" fillId="4" borderId="42" xfId="9" applyFont="1" applyFill="1" applyBorder="1" applyAlignment="1">
      <alignment horizontal="center" vertical="center" wrapText="1"/>
    </xf>
    <xf numFmtId="0" fontId="25" fillId="4" borderId="27" xfId="9" applyFont="1" applyFill="1" applyBorder="1" applyAlignment="1">
      <alignment horizontal="center" vertical="center" wrapText="1"/>
    </xf>
    <xf numFmtId="0" fontId="25" fillId="4" borderId="28" xfId="9" applyFont="1" applyFill="1" applyBorder="1" applyAlignment="1">
      <alignment horizontal="center" vertical="center" wrapText="1"/>
    </xf>
    <xf numFmtId="165" fontId="25" fillId="4" borderId="27" xfId="10" applyFont="1" applyFill="1" applyBorder="1" applyAlignment="1">
      <alignment horizontal="center" vertical="center" wrapText="1"/>
    </xf>
    <xf numFmtId="165" fontId="25" fillId="4" borderId="28" xfId="10" applyFont="1" applyFill="1" applyBorder="1" applyAlignment="1">
      <alignment horizontal="center" vertical="center" wrapText="1"/>
    </xf>
    <xf numFmtId="0" fontId="25" fillId="4" borderId="24" xfId="9" applyFont="1" applyFill="1" applyBorder="1" applyAlignment="1">
      <alignment horizontal="center" vertical="center" wrapText="1"/>
    </xf>
    <xf numFmtId="0" fontId="25" fillId="4" borderId="23" xfId="9" applyFont="1" applyFill="1" applyBorder="1" applyAlignment="1">
      <alignment horizontal="center" vertical="center" wrapText="1"/>
    </xf>
    <xf numFmtId="0" fontId="25" fillId="4" borderId="25" xfId="9" applyFont="1" applyFill="1" applyBorder="1" applyAlignment="1">
      <alignment horizontal="center" vertical="center" wrapText="1"/>
    </xf>
    <xf numFmtId="0" fontId="25" fillId="4" borderId="19" xfId="9" applyFont="1" applyFill="1" applyBorder="1" applyAlignment="1">
      <alignment horizontal="center" vertical="center" wrapText="1"/>
    </xf>
    <xf numFmtId="0" fontId="27" fillId="4" borderId="42" xfId="0" applyFont="1" applyFill="1" applyBorder="1" applyAlignment="1">
      <alignment horizontal="center" vertical="center" wrapText="1"/>
    </xf>
    <xf numFmtId="0" fontId="27" fillId="4" borderId="27" xfId="0" applyFont="1" applyFill="1" applyBorder="1" applyAlignment="1">
      <alignment horizontal="center" vertical="center" wrapText="1"/>
    </xf>
    <xf numFmtId="0" fontId="27" fillId="4" borderId="49" xfId="0" applyFont="1" applyFill="1" applyBorder="1" applyAlignment="1">
      <alignment horizontal="center" vertical="center" wrapText="1"/>
    </xf>
    <xf numFmtId="0" fontId="27" fillId="5" borderId="42" xfId="0" applyFont="1" applyFill="1" applyBorder="1" applyAlignment="1">
      <alignment horizontal="center" vertical="center" wrapText="1"/>
    </xf>
    <xf numFmtId="0" fontId="27" fillId="5" borderId="27" xfId="0" applyFont="1" applyFill="1" applyBorder="1" applyAlignment="1">
      <alignment horizontal="center" vertical="center" wrapText="1"/>
    </xf>
    <xf numFmtId="0" fontId="27" fillId="5" borderId="49" xfId="0" applyFont="1" applyFill="1" applyBorder="1" applyAlignment="1">
      <alignment horizontal="center" vertical="center" wrapText="1"/>
    </xf>
    <xf numFmtId="0" fontId="27" fillId="0" borderId="48" xfId="0" applyFont="1" applyBorder="1" applyAlignment="1">
      <alignment horizontal="center" vertical="center" wrapText="1"/>
    </xf>
    <xf numFmtId="0" fontId="27" fillId="0" borderId="50" xfId="0" applyFont="1" applyBorder="1" applyAlignment="1">
      <alignment horizontal="center" vertical="center" wrapText="1"/>
    </xf>
    <xf numFmtId="0" fontId="28" fillId="0" borderId="48" xfId="0" applyFont="1" applyBorder="1" applyAlignment="1">
      <alignment horizontal="center" vertical="center"/>
    </xf>
    <xf numFmtId="0" fontId="28" fillId="0" borderId="52" xfId="0" applyFont="1" applyBorder="1" applyAlignment="1">
      <alignment horizontal="center" vertical="center"/>
    </xf>
    <xf numFmtId="0" fontId="28" fillId="0" borderId="50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 wrapText="1"/>
    </xf>
    <xf numFmtId="0" fontId="28" fillId="0" borderId="52" xfId="0" applyFont="1" applyBorder="1" applyAlignment="1">
      <alignment horizontal="center" vertical="center" wrapText="1"/>
    </xf>
    <xf numFmtId="0" fontId="28" fillId="0" borderId="50" xfId="0" applyFont="1" applyBorder="1" applyAlignment="1">
      <alignment horizontal="center" vertical="center" wrapText="1"/>
    </xf>
    <xf numFmtId="0" fontId="29" fillId="0" borderId="48" xfId="0" applyFont="1" applyBorder="1" applyAlignment="1">
      <alignment horizontal="center" vertical="center" wrapText="1"/>
    </xf>
    <xf numFmtId="0" fontId="29" fillId="0" borderId="52" xfId="0" applyFont="1" applyBorder="1" applyAlignment="1">
      <alignment horizontal="center" vertical="center" wrapText="1"/>
    </xf>
    <xf numFmtId="0" fontId="29" fillId="0" borderId="50" xfId="0" applyFont="1" applyBorder="1" applyAlignment="1">
      <alignment horizontal="center" vertical="center" wrapText="1"/>
    </xf>
    <xf numFmtId="0" fontId="50" fillId="0" borderId="0" xfId="20" applyFont="1" applyAlignment="1">
      <alignment horizontal="center" vertical="center" wrapText="1"/>
    </xf>
    <xf numFmtId="165" fontId="48" fillId="4" borderId="24" xfId="21" applyFont="1" applyFill="1" applyBorder="1" applyAlignment="1">
      <alignment horizontal="center" vertical="center" wrapText="1"/>
    </xf>
    <xf numFmtId="165" fontId="48" fillId="4" borderId="36" xfId="21" applyFont="1" applyFill="1" applyBorder="1" applyAlignment="1">
      <alignment horizontal="center" vertical="center" wrapText="1"/>
    </xf>
    <xf numFmtId="167" fontId="48" fillId="4" borderId="25" xfId="21" applyNumberFormat="1" applyFont="1" applyFill="1" applyBorder="1" applyAlignment="1">
      <alignment horizontal="center" vertical="center" wrapText="1"/>
    </xf>
    <xf numFmtId="167" fontId="48" fillId="4" borderId="20" xfId="21" applyNumberFormat="1" applyFont="1" applyFill="1" applyBorder="1" applyAlignment="1">
      <alignment horizontal="center" vertical="center" wrapText="1"/>
    </xf>
    <xf numFmtId="165" fontId="48" fillId="4" borderId="25" xfId="21" applyFont="1" applyFill="1" applyBorder="1" applyAlignment="1">
      <alignment horizontal="center" vertical="center" wrapText="1"/>
    </xf>
    <xf numFmtId="165" fontId="48" fillId="4" borderId="20" xfId="21" applyFont="1" applyFill="1" applyBorder="1" applyAlignment="1">
      <alignment horizontal="center" vertical="center" wrapText="1"/>
    </xf>
    <xf numFmtId="0" fontId="48" fillId="4" borderId="34" xfId="20" applyFont="1" applyFill="1" applyBorder="1" applyAlignment="1">
      <alignment horizontal="center" vertical="center"/>
    </xf>
    <xf numFmtId="0" fontId="48" fillId="4" borderId="6" xfId="2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164" fontId="48" fillId="0" borderId="6" xfId="20" applyNumberFormat="1" applyFont="1" applyFill="1" applyBorder="1" applyAlignment="1">
      <alignment horizontal="center" vertical="center"/>
    </xf>
    <xf numFmtId="164" fontId="48" fillId="0" borderId="19" xfId="20" applyNumberFormat="1" applyFont="1" applyFill="1" applyBorder="1" applyAlignment="1">
      <alignment horizontal="center" vertical="center"/>
    </xf>
    <xf numFmtId="0" fontId="50" fillId="0" borderId="59" xfId="20" applyFont="1" applyBorder="1" applyAlignment="1">
      <alignment horizontal="center" vertical="center" wrapText="1"/>
    </xf>
    <xf numFmtId="0" fontId="48" fillId="4" borderId="25" xfId="20" applyFont="1" applyFill="1" applyBorder="1" applyAlignment="1">
      <alignment horizontal="center" vertical="center"/>
    </xf>
    <xf numFmtId="0" fontId="48" fillId="4" borderId="20" xfId="20" applyFont="1" applyFill="1" applyBorder="1" applyAlignment="1">
      <alignment horizontal="center" vertical="center"/>
    </xf>
    <xf numFmtId="0" fontId="49" fillId="0" borderId="20" xfId="20" applyFont="1" applyFill="1" applyBorder="1" applyAlignment="1">
      <alignment horizontal="center" vertical="center" wrapText="1"/>
    </xf>
    <xf numFmtId="0" fontId="49" fillId="0" borderId="19" xfId="20" applyFont="1" applyFill="1" applyBorder="1" applyAlignment="1">
      <alignment horizontal="center" vertical="center" wrapText="1"/>
    </xf>
    <xf numFmtId="164" fontId="49" fillId="0" borderId="20" xfId="20" applyNumberFormat="1" applyFont="1" applyFill="1" applyBorder="1" applyAlignment="1">
      <alignment horizontal="center" vertical="center" wrapText="1"/>
    </xf>
    <xf numFmtId="164" fontId="49" fillId="0" borderId="19" xfId="20" applyNumberFormat="1" applyFont="1" applyFill="1" applyBorder="1" applyAlignment="1">
      <alignment horizontal="center" vertical="center" wrapText="1"/>
    </xf>
    <xf numFmtId="0" fontId="54" fillId="0" borderId="12" xfId="20" applyFont="1" applyFill="1" applyBorder="1" applyAlignment="1">
      <alignment horizontal="left" vertical="center" wrapText="1"/>
    </xf>
    <xf numFmtId="0" fontId="54" fillId="0" borderId="11" xfId="20" applyFont="1" applyFill="1" applyBorder="1" applyAlignment="1">
      <alignment horizontal="left" vertical="center" wrapText="1"/>
    </xf>
    <xf numFmtId="0" fontId="54" fillId="0" borderId="15" xfId="20" applyFont="1" applyFill="1" applyBorder="1" applyAlignment="1">
      <alignment horizontal="left" vertical="center" wrapText="1"/>
    </xf>
    <xf numFmtId="0" fontId="54" fillId="0" borderId="9" xfId="20" applyFont="1" applyFill="1" applyBorder="1" applyAlignment="1">
      <alignment horizontal="left" vertical="center" wrapText="1"/>
    </xf>
    <xf numFmtId="0" fontId="54" fillId="0" borderId="14" xfId="20" applyFont="1" applyFill="1" applyBorder="1" applyAlignment="1">
      <alignment horizontal="left" vertical="center" wrapText="1"/>
    </xf>
    <xf numFmtId="0" fontId="54" fillId="0" borderId="10" xfId="20" applyFont="1" applyFill="1" applyBorder="1" applyAlignment="1">
      <alignment horizontal="left" vertical="center" wrapText="1"/>
    </xf>
    <xf numFmtId="0" fontId="54" fillId="14" borderId="12" xfId="20" applyFont="1" applyFill="1" applyBorder="1" applyAlignment="1">
      <alignment horizontal="left" vertical="center" wrapText="1"/>
    </xf>
    <xf numFmtId="0" fontId="54" fillId="14" borderId="11" xfId="20" applyFont="1" applyFill="1" applyBorder="1" applyAlignment="1">
      <alignment horizontal="left" vertical="center" wrapText="1"/>
    </xf>
    <xf numFmtId="0" fontId="54" fillId="14" borderId="15" xfId="20" applyFont="1" applyFill="1" applyBorder="1" applyAlignment="1">
      <alignment horizontal="left" vertical="center" wrapText="1"/>
    </xf>
    <xf numFmtId="0" fontId="54" fillId="14" borderId="9" xfId="20" applyFont="1" applyFill="1" applyBorder="1" applyAlignment="1">
      <alignment horizontal="left" vertical="center" wrapText="1"/>
    </xf>
    <xf numFmtId="0" fontId="54" fillId="14" borderId="14" xfId="20" applyFont="1" applyFill="1" applyBorder="1" applyAlignment="1">
      <alignment horizontal="left" vertical="center" wrapText="1"/>
    </xf>
    <xf numFmtId="0" fontId="54" fillId="14" borderId="10" xfId="20" applyFont="1" applyFill="1" applyBorder="1" applyAlignment="1">
      <alignment horizontal="left" vertical="center" wrapText="1"/>
    </xf>
    <xf numFmtId="43" fontId="54" fillId="14" borderId="12" xfId="25" applyFont="1" applyFill="1" applyBorder="1" applyAlignment="1">
      <alignment horizontal="left" vertical="center" wrapText="1"/>
    </xf>
    <xf numFmtId="43" fontId="54" fillId="14" borderId="11" xfId="25" applyFont="1" applyFill="1" applyBorder="1" applyAlignment="1">
      <alignment horizontal="left" vertical="center" wrapText="1"/>
    </xf>
    <xf numFmtId="43" fontId="54" fillId="14" borderId="15" xfId="25" applyFont="1" applyFill="1" applyBorder="1" applyAlignment="1">
      <alignment horizontal="left" vertical="center" wrapText="1"/>
    </xf>
    <xf numFmtId="43" fontId="54" fillId="14" borderId="9" xfId="25" applyFont="1" applyFill="1" applyBorder="1" applyAlignment="1">
      <alignment horizontal="left" vertical="center" wrapText="1"/>
    </xf>
    <xf numFmtId="43" fontId="54" fillId="14" borderId="14" xfId="25" applyFont="1" applyFill="1" applyBorder="1" applyAlignment="1">
      <alignment horizontal="left" vertical="center" wrapText="1"/>
    </xf>
    <xf numFmtId="43" fontId="54" fillId="14" borderId="10" xfId="25" applyFont="1" applyFill="1" applyBorder="1" applyAlignment="1">
      <alignment horizontal="left" vertical="center" wrapText="1"/>
    </xf>
    <xf numFmtId="164" fontId="54" fillId="14" borderId="6" xfId="20" applyNumberFormat="1" applyFont="1" applyFill="1" applyBorder="1" applyAlignment="1">
      <alignment horizontal="center" vertical="center"/>
    </xf>
    <xf numFmtId="164" fontId="54" fillId="14" borderId="20" xfId="20" applyNumberFormat="1" applyFont="1" applyFill="1" applyBorder="1" applyAlignment="1">
      <alignment horizontal="center" vertical="center"/>
    </xf>
    <xf numFmtId="164" fontId="54" fillId="14" borderId="19" xfId="20" applyNumberFormat="1" applyFont="1" applyFill="1" applyBorder="1" applyAlignment="1">
      <alignment horizontal="center" vertical="center"/>
    </xf>
    <xf numFmtId="0" fontId="55" fillId="0" borderId="12" xfId="20" applyFont="1" applyFill="1" applyBorder="1" applyAlignment="1">
      <alignment horizontal="left" vertical="center" wrapText="1"/>
    </xf>
    <xf numFmtId="0" fontId="55" fillId="0" borderId="11" xfId="20" applyFont="1" applyFill="1" applyBorder="1" applyAlignment="1">
      <alignment horizontal="left" vertical="center" wrapText="1"/>
    </xf>
    <xf numFmtId="0" fontId="55" fillId="0" borderId="15" xfId="20" applyFont="1" applyFill="1" applyBorder="1" applyAlignment="1">
      <alignment horizontal="left" vertical="center" wrapText="1"/>
    </xf>
    <xf numFmtId="0" fontId="55" fillId="0" borderId="9" xfId="20" applyFont="1" applyFill="1" applyBorder="1" applyAlignment="1">
      <alignment horizontal="left" vertical="center" wrapText="1"/>
    </xf>
    <xf numFmtId="0" fontId="55" fillId="0" borderId="14" xfId="20" applyFont="1" applyFill="1" applyBorder="1" applyAlignment="1">
      <alignment horizontal="left" vertical="center" wrapText="1"/>
    </xf>
    <xf numFmtId="0" fontId="55" fillId="0" borderId="10" xfId="20" applyFont="1" applyFill="1" applyBorder="1" applyAlignment="1">
      <alignment horizontal="left" vertical="center" wrapText="1"/>
    </xf>
    <xf numFmtId="43" fontId="49" fillId="0" borderId="15" xfId="25" applyFont="1" applyBorder="1" applyAlignment="1">
      <alignment horizontal="center" vertical="center"/>
    </xf>
    <xf numFmtId="0" fontId="54" fillId="0" borderId="6" xfId="20" applyNumberFormat="1" applyFont="1" applyFill="1" applyBorder="1" applyAlignment="1">
      <alignment horizontal="center" vertical="center" wrapText="1"/>
    </xf>
    <xf numFmtId="0" fontId="54" fillId="0" borderId="19" xfId="20" applyNumberFormat="1" applyFont="1" applyFill="1" applyBorder="1" applyAlignment="1">
      <alignment horizontal="center" vertical="center" wrapText="1"/>
    </xf>
    <xf numFmtId="164" fontId="54" fillId="0" borderId="6" xfId="20" applyNumberFormat="1" applyFont="1" applyFill="1" applyBorder="1" applyAlignment="1">
      <alignment horizontal="center" vertical="center"/>
    </xf>
    <xf numFmtId="164" fontId="54" fillId="0" borderId="19" xfId="20" applyNumberFormat="1" applyFont="1" applyFill="1" applyBorder="1" applyAlignment="1">
      <alignment horizontal="center" vertical="center"/>
    </xf>
    <xf numFmtId="0" fontId="54" fillId="14" borderId="6" xfId="20" applyNumberFormat="1" applyFont="1" applyFill="1" applyBorder="1" applyAlignment="1">
      <alignment horizontal="center" vertical="center" wrapText="1"/>
    </xf>
    <xf numFmtId="0" fontId="54" fillId="14" borderId="19" xfId="20" applyNumberFormat="1" applyFont="1" applyFill="1" applyBorder="1" applyAlignment="1">
      <alignment horizontal="center" vertical="center" wrapText="1"/>
    </xf>
    <xf numFmtId="0" fontId="54" fillId="2" borderId="12" xfId="20" applyFont="1" applyFill="1" applyBorder="1" applyAlignment="1">
      <alignment horizontal="left" vertical="center" wrapText="1"/>
    </xf>
    <xf numFmtId="0" fontId="54" fillId="2" borderId="11" xfId="20" applyFont="1" applyFill="1" applyBorder="1" applyAlignment="1">
      <alignment horizontal="left" vertical="center" wrapText="1"/>
    </xf>
    <xf numFmtId="0" fontId="54" fillId="2" borderId="14" xfId="20" applyFont="1" applyFill="1" applyBorder="1" applyAlignment="1">
      <alignment horizontal="left" vertical="center" wrapText="1"/>
    </xf>
    <xf numFmtId="0" fontId="54" fillId="2" borderId="10" xfId="20" applyFont="1" applyFill="1" applyBorder="1" applyAlignment="1">
      <alignment horizontal="left" vertical="center" wrapText="1"/>
    </xf>
    <xf numFmtId="0" fontId="49" fillId="14" borderId="12" xfId="20" applyFont="1" applyFill="1" applyBorder="1" applyAlignment="1">
      <alignment horizontal="left" vertical="center" wrapText="1"/>
    </xf>
    <xf numFmtId="0" fontId="49" fillId="14" borderId="11" xfId="20" applyFont="1" applyFill="1" applyBorder="1" applyAlignment="1">
      <alignment horizontal="left" vertical="center" wrapText="1"/>
    </xf>
    <xf numFmtId="0" fontId="49" fillId="14" borderId="15" xfId="20" applyFont="1" applyFill="1" applyBorder="1" applyAlignment="1">
      <alignment horizontal="left" vertical="center" wrapText="1"/>
    </xf>
    <xf numFmtId="0" fontId="49" fillId="14" borderId="9" xfId="20" applyFont="1" applyFill="1" applyBorder="1" applyAlignment="1">
      <alignment horizontal="left" vertical="center" wrapText="1"/>
    </xf>
    <xf numFmtId="0" fontId="49" fillId="14" borderId="14" xfId="20" applyFont="1" applyFill="1" applyBorder="1" applyAlignment="1">
      <alignment horizontal="left" vertical="center" wrapText="1"/>
    </xf>
    <xf numFmtId="0" fontId="49" fillId="14" borderId="10" xfId="20" applyFont="1" applyFill="1" applyBorder="1" applyAlignment="1">
      <alignment horizontal="left" vertical="center" wrapText="1"/>
    </xf>
    <xf numFmtId="0" fontId="54" fillId="0" borderId="20" xfId="20" applyNumberFormat="1" applyFont="1" applyFill="1" applyBorder="1" applyAlignment="1">
      <alignment horizontal="center" vertical="center" wrapText="1"/>
    </xf>
    <xf numFmtId="0" fontId="54" fillId="2" borderId="6" xfId="20" applyNumberFormat="1" applyFont="1" applyFill="1" applyBorder="1" applyAlignment="1">
      <alignment horizontal="center" vertical="top" wrapText="1"/>
    </xf>
    <xf numFmtId="0" fontId="54" fillId="2" borderId="19" xfId="20" applyNumberFormat="1" applyFont="1" applyFill="1" applyBorder="1" applyAlignment="1">
      <alignment horizontal="center" vertical="top" wrapText="1"/>
    </xf>
    <xf numFmtId="0" fontId="49" fillId="14" borderId="6" xfId="20" applyNumberFormat="1" applyFont="1" applyFill="1" applyBorder="1" applyAlignment="1">
      <alignment horizontal="center" vertical="center" wrapText="1"/>
    </xf>
    <xf numFmtId="0" fontId="49" fillId="14" borderId="20" xfId="20" applyNumberFormat="1" applyFont="1" applyFill="1" applyBorder="1" applyAlignment="1">
      <alignment horizontal="center" vertical="center" wrapText="1"/>
    </xf>
    <xf numFmtId="0" fontId="49" fillId="14" borderId="19" xfId="20" applyNumberFormat="1" applyFont="1" applyFill="1" applyBorder="1" applyAlignment="1">
      <alignment horizontal="center" vertical="center" wrapText="1"/>
    </xf>
    <xf numFmtId="0" fontId="54" fillId="14" borderId="20" xfId="20" applyNumberFormat="1" applyFont="1" applyFill="1" applyBorder="1" applyAlignment="1">
      <alignment horizontal="center" vertical="center" wrapText="1"/>
    </xf>
    <xf numFmtId="0" fontId="50" fillId="0" borderId="16" xfId="20" applyFont="1" applyBorder="1" applyAlignment="1">
      <alignment horizontal="center" vertical="center" wrapText="1"/>
    </xf>
    <xf numFmtId="165" fontId="55" fillId="4" borderId="6" xfId="21" applyFont="1" applyFill="1" applyBorder="1" applyAlignment="1">
      <alignment horizontal="center" vertical="center" wrapText="1"/>
    </xf>
    <xf numFmtId="165" fontId="55" fillId="4" borderId="19" xfId="21" applyFont="1" applyFill="1" applyBorder="1" applyAlignment="1">
      <alignment horizontal="center" vertical="center" wrapText="1"/>
    </xf>
    <xf numFmtId="165" fontId="55" fillId="4" borderId="12" xfId="21" applyFont="1" applyFill="1" applyBorder="1" applyAlignment="1">
      <alignment horizontal="center" vertical="center" wrapText="1"/>
    </xf>
    <xf numFmtId="165" fontId="55" fillId="4" borderId="17" xfId="21" applyFont="1" applyFill="1" applyBorder="1" applyAlignment="1">
      <alignment horizontal="center" vertical="center" wrapText="1"/>
    </xf>
    <xf numFmtId="165" fontId="55" fillId="4" borderId="11" xfId="21" applyFont="1" applyFill="1" applyBorder="1" applyAlignment="1">
      <alignment horizontal="center" vertical="center" wrapText="1"/>
    </xf>
    <xf numFmtId="165" fontId="48" fillId="4" borderId="6" xfId="21" applyFont="1" applyFill="1" applyBorder="1" applyAlignment="1">
      <alignment horizontal="center" vertical="center" wrapText="1"/>
    </xf>
    <xf numFmtId="165" fontId="48" fillId="4" borderId="19" xfId="21" applyFont="1" applyFill="1" applyBorder="1" applyAlignment="1">
      <alignment horizontal="center" vertical="center" wrapText="1"/>
    </xf>
    <xf numFmtId="0" fontId="55" fillId="4" borderId="2" xfId="20" applyFont="1" applyFill="1" applyBorder="1" applyAlignment="1">
      <alignment horizontal="center" vertical="center"/>
    </xf>
    <xf numFmtId="167" fontId="55" fillId="4" borderId="6" xfId="21" applyNumberFormat="1" applyFont="1" applyFill="1" applyBorder="1" applyAlignment="1">
      <alignment horizontal="center" vertical="center" wrapText="1"/>
    </xf>
    <xf numFmtId="167" fontId="55" fillId="4" borderId="19" xfId="21" applyNumberFormat="1" applyFont="1" applyFill="1" applyBorder="1" applyAlignment="1">
      <alignment horizontal="center" vertical="center" wrapText="1"/>
    </xf>
    <xf numFmtId="0" fontId="54" fillId="2" borderId="6" xfId="20" applyNumberFormat="1" applyFont="1" applyFill="1" applyBorder="1" applyAlignment="1">
      <alignment horizontal="center" vertical="center" wrapText="1"/>
    </xf>
    <xf numFmtId="0" fontId="54" fillId="2" borderId="19" xfId="20" applyNumberFormat="1" applyFont="1" applyFill="1" applyBorder="1" applyAlignment="1">
      <alignment horizontal="center" vertical="center" wrapText="1"/>
    </xf>
    <xf numFmtId="164" fontId="54" fillId="2" borderId="6" xfId="20" applyNumberFormat="1" applyFont="1" applyFill="1" applyBorder="1" applyAlignment="1">
      <alignment horizontal="center" vertical="center"/>
    </xf>
    <xf numFmtId="164" fontId="54" fillId="2" borderId="19" xfId="20" applyNumberFormat="1" applyFont="1" applyFill="1" applyBorder="1" applyAlignment="1">
      <alignment horizontal="center" vertical="center"/>
    </xf>
    <xf numFmtId="164" fontId="54" fillId="0" borderId="20" xfId="20" applyNumberFormat="1" applyFont="1" applyFill="1" applyBorder="1" applyAlignment="1">
      <alignment horizontal="center" vertical="center"/>
    </xf>
    <xf numFmtId="0" fontId="54" fillId="2" borderId="20" xfId="20" applyNumberFormat="1" applyFont="1" applyFill="1" applyBorder="1" applyAlignment="1">
      <alignment horizontal="center" vertical="center" wrapText="1"/>
    </xf>
    <xf numFmtId="0" fontId="54" fillId="2" borderId="15" xfId="20" applyFont="1" applyFill="1" applyBorder="1" applyAlignment="1">
      <alignment horizontal="left" vertical="center" wrapText="1"/>
    </xf>
    <xf numFmtId="0" fontId="54" fillId="2" borderId="9" xfId="20" applyFont="1" applyFill="1" applyBorder="1" applyAlignment="1">
      <alignment horizontal="left" vertical="center" wrapText="1"/>
    </xf>
    <xf numFmtId="0" fontId="40" fillId="0" borderId="0" xfId="20" applyFont="1" applyAlignment="1">
      <alignment horizontal="center" vertical="center" wrapText="1"/>
    </xf>
    <xf numFmtId="0" fontId="53" fillId="0" borderId="0" xfId="0" applyFont="1" applyAlignment="1">
      <alignment horizontal="center" vertical="center" wrapText="1"/>
    </xf>
    <xf numFmtId="165" fontId="48" fillId="4" borderId="40" xfId="21" applyFont="1" applyFill="1" applyBorder="1" applyAlignment="1">
      <alignment horizontal="center" vertical="center" wrapText="1"/>
    </xf>
    <xf numFmtId="165" fontId="48" fillId="4" borderId="15" xfId="21" applyFont="1" applyFill="1" applyBorder="1" applyAlignment="1">
      <alignment horizontal="center" vertical="center" wrapText="1"/>
    </xf>
    <xf numFmtId="173" fontId="44" fillId="0" borderId="25" xfId="20" applyNumberFormat="1" applyFont="1" applyBorder="1" applyAlignment="1">
      <alignment horizontal="center" vertical="center"/>
    </xf>
    <xf numFmtId="173" fontId="44" fillId="0" borderId="20" xfId="20" applyNumberFormat="1" applyFont="1" applyBorder="1" applyAlignment="1">
      <alignment horizontal="center" vertical="center"/>
    </xf>
    <xf numFmtId="173" fontId="38" fillId="0" borderId="6" xfId="20" applyNumberFormat="1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37" fillId="0" borderId="24" xfId="20" applyFont="1" applyBorder="1" applyAlignment="1">
      <alignment horizontal="center" vertical="center"/>
    </xf>
    <xf numFmtId="0" fontId="37" fillId="0" borderId="36" xfId="20" applyFont="1" applyBorder="1" applyAlignment="1">
      <alignment horizontal="center" vertical="center"/>
    </xf>
    <xf numFmtId="0" fontId="37" fillId="0" borderId="31" xfId="20" applyFont="1" applyBorder="1" applyAlignment="1">
      <alignment horizontal="center" vertical="center"/>
    </xf>
    <xf numFmtId="0" fontId="39" fillId="0" borderId="25" xfId="20" applyFont="1" applyBorder="1" applyAlignment="1">
      <alignment horizontal="left" vertical="center" wrapText="1"/>
    </xf>
    <xf numFmtId="0" fontId="39" fillId="0" borderId="20" xfId="20" applyFont="1" applyBorder="1" applyAlignment="1">
      <alignment horizontal="left" vertical="center" wrapText="1"/>
    </xf>
    <xf numFmtId="0" fontId="39" fillId="0" borderId="4" xfId="20" applyFont="1" applyBorder="1" applyAlignment="1">
      <alignment horizontal="left" vertical="center" wrapText="1"/>
    </xf>
    <xf numFmtId="0" fontId="37" fillId="0" borderId="25" xfId="20" applyFont="1" applyBorder="1" applyAlignment="1">
      <alignment horizontal="center" vertical="center"/>
    </xf>
    <xf numFmtId="0" fontId="37" fillId="0" borderId="20" xfId="20" applyFont="1" applyBorder="1" applyAlignment="1">
      <alignment horizontal="center" vertical="center"/>
    </xf>
    <xf numFmtId="0" fontId="37" fillId="0" borderId="4" xfId="20" applyFont="1" applyBorder="1" applyAlignment="1">
      <alignment horizontal="center" vertical="center"/>
    </xf>
    <xf numFmtId="164" fontId="39" fillId="0" borderId="25" xfId="20" applyNumberFormat="1" applyFont="1" applyBorder="1" applyAlignment="1">
      <alignment horizontal="center" vertical="center"/>
    </xf>
    <xf numFmtId="164" fontId="39" fillId="0" borderId="20" xfId="20" applyNumberFormat="1" applyFont="1" applyBorder="1" applyAlignment="1">
      <alignment horizontal="center" vertical="center"/>
    </xf>
    <xf numFmtId="164" fontId="39" fillId="0" borderId="4" xfId="20" applyNumberFormat="1" applyFont="1" applyBorder="1" applyAlignment="1">
      <alignment horizontal="center" vertical="center"/>
    </xf>
    <xf numFmtId="164" fontId="44" fillId="0" borderId="25" xfId="20" applyNumberFormat="1" applyFont="1" applyBorder="1" applyAlignment="1">
      <alignment horizontal="center" vertical="center"/>
    </xf>
    <xf numFmtId="0" fontId="45" fillId="0" borderId="20" xfId="0" applyFont="1" applyBorder="1" applyAlignment="1">
      <alignment horizontal="center" vertical="center"/>
    </xf>
    <xf numFmtId="0" fontId="45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0" fillId="0" borderId="4" xfId="0" applyBorder="1" applyAlignment="1">
      <alignment vertical="center"/>
    </xf>
    <xf numFmtId="0" fontId="37" fillId="10" borderId="25" xfId="20" applyFont="1" applyFill="1" applyBorder="1" applyAlignment="1">
      <alignment horizontal="center" vertical="center"/>
    </xf>
    <xf numFmtId="0" fontId="37" fillId="10" borderId="20" xfId="20" applyFont="1" applyFill="1" applyBorder="1" applyAlignment="1">
      <alignment horizontal="center" vertical="center"/>
    </xf>
    <xf numFmtId="164" fontId="39" fillId="10" borderId="25" xfId="20" applyNumberFormat="1" applyFont="1" applyFill="1" applyBorder="1" applyAlignment="1">
      <alignment horizontal="center" vertical="center"/>
    </xf>
    <xf numFmtId="164" fontId="39" fillId="10" borderId="20" xfId="20" applyNumberFormat="1" applyFont="1" applyFill="1" applyBorder="1" applyAlignment="1">
      <alignment horizontal="center" vertical="center"/>
    </xf>
    <xf numFmtId="164" fontId="39" fillId="10" borderId="4" xfId="20" applyNumberFormat="1" applyFont="1" applyFill="1" applyBorder="1" applyAlignment="1">
      <alignment horizontal="center" vertical="center"/>
    </xf>
    <xf numFmtId="173" fontId="44" fillId="10" borderId="25" xfId="20" applyNumberFormat="1" applyFont="1" applyFill="1" applyBorder="1" applyAlignment="1">
      <alignment horizontal="center" vertical="center"/>
    </xf>
    <xf numFmtId="173" fontId="44" fillId="10" borderId="20" xfId="20" applyNumberFormat="1" applyFont="1" applyFill="1" applyBorder="1" applyAlignment="1">
      <alignment horizontal="center" vertical="center"/>
    </xf>
    <xf numFmtId="173" fontId="44" fillId="10" borderId="4" xfId="20" applyNumberFormat="1" applyFont="1" applyFill="1" applyBorder="1" applyAlignment="1">
      <alignment horizontal="center" vertical="center"/>
    </xf>
    <xf numFmtId="0" fontId="37" fillId="10" borderId="24" xfId="20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left" vertical="center" wrapText="1"/>
    </xf>
    <xf numFmtId="0" fontId="38" fillId="10" borderId="20" xfId="20" applyFont="1" applyFill="1" applyBorder="1" applyAlignment="1">
      <alignment horizontal="left" vertical="center" wrapText="1"/>
    </xf>
    <xf numFmtId="0" fontId="38" fillId="10" borderId="4" xfId="20" applyFont="1" applyFill="1" applyBorder="1" applyAlignment="1">
      <alignment horizontal="left" vertical="center" wrapText="1"/>
    </xf>
    <xf numFmtId="164" fontId="39" fillId="10" borderId="25" xfId="20" applyNumberFormat="1" applyFont="1" applyFill="1" applyBorder="1" applyAlignment="1">
      <alignment horizontal="left" vertical="center"/>
    </xf>
    <xf numFmtId="164" fontId="39" fillId="10" borderId="20" xfId="20" applyNumberFormat="1" applyFont="1" applyFill="1" applyBorder="1" applyAlignment="1">
      <alignment horizontal="left" vertical="center"/>
    </xf>
    <xf numFmtId="164" fontId="39" fillId="10" borderId="4" xfId="20" applyNumberFormat="1" applyFont="1" applyFill="1" applyBorder="1" applyAlignment="1">
      <alignment horizontal="left" vertical="center"/>
    </xf>
    <xf numFmtId="0" fontId="38" fillId="0" borderId="36" xfId="20" applyFont="1" applyBorder="1" applyAlignment="1">
      <alignment horizontal="center" vertical="center"/>
    </xf>
    <xf numFmtId="0" fontId="38" fillId="0" borderId="20" xfId="2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38" fillId="0" borderId="20" xfId="20" applyFont="1" applyBorder="1" applyAlignment="1">
      <alignment horizontal="center" vertical="center"/>
    </xf>
    <xf numFmtId="173" fontId="44" fillId="0" borderId="19" xfId="20" applyNumberFormat="1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37" fillId="10" borderId="36" xfId="20" applyFont="1" applyFill="1" applyBorder="1" applyAlignment="1">
      <alignment horizontal="center" vertical="center"/>
    </xf>
    <xf numFmtId="0" fontId="37" fillId="10" borderId="31" xfId="20" applyFont="1" applyFill="1" applyBorder="1" applyAlignment="1">
      <alignment horizontal="center" vertical="center"/>
    </xf>
    <xf numFmtId="0" fontId="39" fillId="10" borderId="25" xfId="20" applyFont="1" applyFill="1" applyBorder="1" applyAlignment="1">
      <alignment horizontal="left" vertical="center" wrapText="1"/>
    </xf>
    <xf numFmtId="0" fontId="39" fillId="10" borderId="20" xfId="20" applyFont="1" applyFill="1" applyBorder="1" applyAlignment="1">
      <alignment horizontal="left" vertical="center" wrapText="1"/>
    </xf>
    <xf numFmtId="0" fontId="39" fillId="10" borderId="4" xfId="20" applyFont="1" applyFill="1" applyBorder="1" applyAlignment="1">
      <alignment horizontal="left" vertical="center" wrapText="1"/>
    </xf>
    <xf numFmtId="0" fontId="38" fillId="0" borderId="12" xfId="20" applyFont="1" applyBorder="1" applyAlignment="1">
      <alignment horizontal="center" vertical="center"/>
    </xf>
    <xf numFmtId="0" fontId="38" fillId="0" borderId="17" xfId="20" applyFont="1" applyBorder="1" applyAlignment="1">
      <alignment horizontal="center" vertical="center"/>
    </xf>
    <xf numFmtId="0" fontId="38" fillId="0" borderId="11" xfId="20" applyFont="1" applyBorder="1" applyAlignment="1">
      <alignment horizontal="center" vertical="center"/>
    </xf>
    <xf numFmtId="0" fontId="38" fillId="0" borderId="14" xfId="20" applyFont="1" applyBorder="1" applyAlignment="1">
      <alignment horizontal="center" vertical="center"/>
    </xf>
    <xf numFmtId="0" fontId="38" fillId="0" borderId="16" xfId="20" applyFont="1" applyBorder="1" applyAlignment="1">
      <alignment horizontal="center" vertical="center"/>
    </xf>
    <xf numFmtId="0" fontId="38" fillId="0" borderId="10" xfId="20" applyFont="1" applyBorder="1" applyAlignment="1">
      <alignment horizontal="center" vertical="center"/>
    </xf>
    <xf numFmtId="165" fontId="38" fillId="2" borderId="1" xfId="21" applyFont="1" applyFill="1" applyBorder="1" applyAlignment="1">
      <alignment horizontal="center" vertical="center" wrapText="1"/>
    </xf>
    <xf numFmtId="165" fontId="38" fillId="2" borderId="3" xfId="21" applyFont="1" applyFill="1" applyBorder="1" applyAlignment="1">
      <alignment horizontal="center" vertical="center" wrapText="1"/>
    </xf>
    <xf numFmtId="0" fontId="38" fillId="0" borderId="0" xfId="20" applyFont="1" applyAlignment="1">
      <alignment horizontal="center" vertical="center"/>
    </xf>
    <xf numFmtId="0" fontId="8" fillId="0" borderId="6" xfId="20" applyFont="1" applyBorder="1" applyAlignment="1">
      <alignment horizontal="center" vertical="center" wrapText="1"/>
    </xf>
    <xf numFmtId="0" fontId="8" fillId="0" borderId="20" xfId="20" applyFont="1" applyBorder="1" applyAlignment="1">
      <alignment horizontal="center" vertical="center" wrapText="1"/>
    </xf>
    <xf numFmtId="0" fontId="8" fillId="0" borderId="19" xfId="20" applyFont="1" applyBorder="1" applyAlignment="1">
      <alignment horizontal="center" vertical="center" wrapText="1"/>
    </xf>
    <xf numFmtId="0" fontId="38" fillId="0" borderId="6" xfId="20" applyFont="1" applyBorder="1" applyAlignment="1">
      <alignment horizontal="center" vertical="center"/>
    </xf>
    <xf numFmtId="0" fontId="38" fillId="0" borderId="19" xfId="20" applyFont="1" applyBorder="1" applyAlignment="1">
      <alignment horizontal="center" vertical="center"/>
    </xf>
    <xf numFmtId="165" fontId="38" fillId="2" borderId="12" xfId="21" applyFont="1" applyFill="1" applyBorder="1" applyAlignment="1">
      <alignment horizontal="center" vertical="center" wrapText="1"/>
    </xf>
    <xf numFmtId="165" fontId="38" fillId="2" borderId="11" xfId="21" applyFont="1" applyFill="1" applyBorder="1" applyAlignment="1">
      <alignment horizontal="center" vertical="center" wrapText="1"/>
    </xf>
    <xf numFmtId="165" fontId="38" fillId="2" borderId="14" xfId="21" applyFont="1" applyFill="1" applyBorder="1" applyAlignment="1">
      <alignment horizontal="center" vertical="center" wrapText="1"/>
    </xf>
    <xf numFmtId="165" fontId="38" fillId="2" borderId="10" xfId="21" applyFont="1" applyFill="1" applyBorder="1" applyAlignment="1">
      <alignment horizontal="center" vertical="center" wrapText="1"/>
    </xf>
    <xf numFmtId="17" fontId="38" fillId="2" borderId="6" xfId="18" applyNumberFormat="1" applyFont="1" applyFill="1" applyBorder="1" applyAlignment="1">
      <alignment horizontal="center" vertical="center"/>
    </xf>
    <xf numFmtId="17" fontId="38" fillId="2" borderId="20" xfId="18" applyNumberFormat="1" applyFont="1" applyFill="1" applyBorder="1" applyAlignment="1">
      <alignment horizontal="center" vertical="center"/>
    </xf>
    <xf numFmtId="17" fontId="38" fillId="2" borderId="19" xfId="18" applyNumberFormat="1" applyFont="1" applyFill="1" applyBorder="1" applyAlignment="1">
      <alignment horizontal="center" vertical="center"/>
    </xf>
    <xf numFmtId="165" fontId="38" fillId="2" borderId="63" xfId="21" applyFont="1" applyFill="1" applyBorder="1" applyAlignment="1">
      <alignment horizontal="center" vertical="center" wrapText="1"/>
    </xf>
    <xf numFmtId="165" fontId="38" fillId="2" borderId="17" xfId="21" applyFont="1" applyFill="1" applyBorder="1" applyAlignment="1">
      <alignment horizontal="center" vertical="center" wrapText="1"/>
    </xf>
    <xf numFmtId="165" fontId="38" fillId="2" borderId="16" xfId="21" applyFont="1" applyFill="1" applyBorder="1" applyAlignment="1">
      <alignment horizontal="center" vertical="center" wrapText="1"/>
    </xf>
    <xf numFmtId="0" fontId="40" fillId="0" borderId="0" xfId="20" applyFont="1" applyAlignment="1">
      <alignment horizontal="center" vertical="center"/>
    </xf>
    <xf numFmtId="0" fontId="0" fillId="0" borderId="0" xfId="0"/>
    <xf numFmtId="0" fontId="7" fillId="0" borderId="0" xfId="9" applyFont="1" applyAlignment="1">
      <alignment horizontal="center" wrapText="1"/>
    </xf>
    <xf numFmtId="0" fontId="9" fillId="0" borderId="0" xfId="9" applyFont="1" applyAlignment="1">
      <alignment horizontal="center" vertical="center"/>
    </xf>
  </cellXfs>
  <cellStyles count="26">
    <cellStyle name="TableStyleLight1 2" xfId="13"/>
    <cellStyle name="Обычный" xfId="0" builtinId="0"/>
    <cellStyle name="Обычный 12" xfId="24"/>
    <cellStyle name="Обычный 13" xfId="1"/>
    <cellStyle name="Обычный 13 2" xfId="3"/>
    <cellStyle name="Обычный 13 2 2" xfId="9"/>
    <cellStyle name="Обычный 13 2 2 2" xfId="18"/>
    <cellStyle name="Обычный 13 3" xfId="7"/>
    <cellStyle name="Обычный 13 3 2" xfId="20"/>
    <cellStyle name="Обычный 2" xfId="12"/>
    <cellStyle name="Обычный 2 2" xfId="23"/>
    <cellStyle name="Обычный 3" xfId="11"/>
    <cellStyle name="Обычный 3 2" xfId="14"/>
    <cellStyle name="Обычный 4" xfId="15"/>
    <cellStyle name="Обычный 5" xfId="6"/>
    <cellStyle name="Обычный 5 2" xfId="16"/>
    <cellStyle name="Обычный 6" xfId="22"/>
    <cellStyle name="Финансовый" xfId="25" builtinId="3"/>
    <cellStyle name="Финансовый 2" xfId="2"/>
    <cellStyle name="Финансовый 2 2" xfId="4"/>
    <cellStyle name="Финансовый 2 2 2" xfId="10"/>
    <cellStyle name="Финансовый 2 2 2 2" xfId="19"/>
    <cellStyle name="Финансовый 2 3" xfId="8"/>
    <cellStyle name="Финансовый 2 3 2" xfId="21"/>
    <cellStyle name="Финансовый 3" xfId="5"/>
    <cellStyle name="Финансовый 4" xfId="17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_-* #,##0.00\ _₴_-;\-* #,##0.00\ _₴_-;_-* &quot;-&quot;??\ _₴_-;_-@_-"/>
      <fill>
        <patternFill patternType="none">
          <fgColor indexed="64"/>
          <bgColor auto="1"/>
        </patternFill>
      </fill>
      <alignment horizontal="right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22" formatCode="mmm/yy"/>
      <fill>
        <patternFill patternType="none">
          <fgColor rgb="FF000000"/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2" formatCode="mmm/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9" tint="0.79998168889431442"/>
        </patternFill>
      </fill>
    </dxf>
  </dxfs>
  <tableStyles count="3" defaultTableStyle="TableStyleMedium2" defaultPivotStyle="PivotStyleLight16">
    <tableStyle name="Стиль таблицы 1" pivot="0" count="1">
      <tableStyleElement type="secondRowStripe" dxfId="14"/>
    </tableStyle>
    <tableStyle name="Стиль таблицы 2" pivot="0" count="2">
      <tableStyleElement type="headerRow" dxfId="13"/>
      <tableStyleElement type="totalRow" dxfId="12"/>
    </tableStyle>
    <tableStyle name="Стиль таблицы 3" pivot="0" count="2">
      <tableStyleElement type="firstRowStripe" dxfId="11"/>
      <tableStyleElement type="secondRowStripe" dxfId="10"/>
    </tableStyle>
  </tableStyles>
  <colors>
    <mruColors>
      <color rgb="FFE5F2B4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2" name="Таблица223" displayName="Таблица223" ref="A3:F18" totalsRowShown="0" headerRowDxfId="9" dataDxfId="7" headerRowBorderDxfId="8" tableBorderDxfId="6">
  <autoFilter ref="A3:F18"/>
  <tableColumns count="6">
    <tableColumn id="1" name="№ п/п" dataDxfId="5" dataCellStyle="Обычный 13 2"/>
    <tableColumn id="2" name="Вид робіт (витрат)" dataDxfId="4" dataCellStyle="Обычный 13 2"/>
    <tableColumn id="4" name="ознака робіт" dataDxfId="3" dataCellStyle="Обычный 13 2"/>
    <tableColumn id="5" name="Номер ДЦ" dataDxfId="2"/>
    <tableColumn id="7" name="Сумма" dataDxfId="1" dataCellStyle="Обычный 13 2"/>
    <tableColumn id="8" name="Статус" dataDxfId="0" dataCellStyle="Финансовый 2 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стин">
      <a:dk1>
        <a:sysClr val="windowText" lastClr="000000"/>
      </a:dk1>
      <a:lt1>
        <a:sysClr val="window" lastClr="FFFFFF"/>
      </a:lt1>
      <a:dk2>
        <a:srgbClr val="3E3D2D"/>
      </a:dk2>
      <a:lt2>
        <a:srgbClr val="CAF278"/>
      </a:lt2>
      <a:accent1>
        <a:srgbClr val="94C600"/>
      </a:accent1>
      <a:accent2>
        <a:srgbClr val="71685A"/>
      </a:accent2>
      <a:accent3>
        <a:srgbClr val="FF6700"/>
      </a:accent3>
      <a:accent4>
        <a:srgbClr val="909465"/>
      </a:accent4>
      <a:accent5>
        <a:srgbClr val="956B43"/>
      </a:accent5>
      <a:accent6>
        <a:srgbClr val="FEA022"/>
      </a:accent6>
      <a:hlink>
        <a:srgbClr val="E68200"/>
      </a:hlink>
      <a:folHlink>
        <a:srgbClr val="FFA94A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Начальная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200000"/>
              </a:schemeClr>
            </a:gs>
            <a:gs pos="30000">
              <a:schemeClr val="phClr">
                <a:tint val="61000"/>
                <a:satMod val="200000"/>
              </a:schemeClr>
            </a:gs>
            <a:gs pos="45000">
              <a:schemeClr val="phClr">
                <a:tint val="66000"/>
                <a:satMod val="200000"/>
              </a:schemeClr>
            </a:gs>
            <a:gs pos="55000">
              <a:schemeClr val="phClr">
                <a:tint val="66000"/>
                <a:satMod val="200000"/>
              </a:schemeClr>
            </a:gs>
            <a:gs pos="73000">
              <a:schemeClr val="phClr">
                <a:tint val="61000"/>
                <a:satMod val="200000"/>
              </a:schemeClr>
            </a:gs>
            <a:gs pos="100000">
              <a:schemeClr val="phClr">
                <a:tint val="45000"/>
                <a:satMod val="200000"/>
              </a:schemeClr>
            </a:gs>
          </a:gsLst>
          <a:lin ang="950000" scaled="1"/>
        </a:gradFill>
        <a:gradFill rotWithShape="1">
          <a:gsLst>
            <a:gs pos="0">
              <a:schemeClr val="phClr">
                <a:shade val="63000"/>
              </a:schemeClr>
            </a:gs>
            <a:gs pos="30000">
              <a:schemeClr val="phClr">
                <a:shade val="90000"/>
                <a:satMod val="110000"/>
              </a:schemeClr>
            </a:gs>
            <a:gs pos="45000">
              <a:schemeClr val="phClr">
                <a:shade val="100000"/>
                <a:satMod val="118000"/>
              </a:schemeClr>
            </a:gs>
            <a:gs pos="55000">
              <a:schemeClr val="phClr">
                <a:shade val="100000"/>
                <a:satMod val="118000"/>
              </a:schemeClr>
            </a:gs>
            <a:gs pos="73000">
              <a:schemeClr val="phClr">
                <a:shade val="90000"/>
                <a:satMod val="110000"/>
              </a:schemeClr>
            </a:gs>
            <a:gs pos="100000">
              <a:schemeClr val="phClr">
                <a:shade val="63000"/>
              </a:schemeClr>
            </a:gs>
          </a:gsLst>
          <a:lin ang="950000" scaled="1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430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balanced" dir="t">
              <a:rot lat="0" lon="0" rev="0"/>
            </a:lightRig>
          </a:scene3d>
          <a:sp3d prstMaterial="matte">
            <a:bevelT w="0" h="0"/>
            <a:contourClr>
              <a:schemeClr val="phClr">
                <a:tint val="100000"/>
                <a:shade val="100000"/>
                <a:hueMod val="100000"/>
                <a:satMod val="100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50000"/>
              </a:srgbClr>
            </a:outerShdw>
          </a:effectLst>
          <a:scene3d>
            <a:camera prst="orthographicFront" fov="0">
              <a:rot lat="0" lon="0" rev="0"/>
            </a:camera>
            <a:lightRig rig="soft" dir="t">
              <a:rot lat="0" lon="0" rev="2700000"/>
            </a:lightRig>
          </a:scene3d>
          <a:sp3d prstMaterial="matte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53"/>
  <sheetViews>
    <sheetView showWhiteSpace="0" topLeftCell="A28" zoomScaleNormal="100" zoomScaleSheetLayoutView="80" workbookViewId="0">
      <selection activeCell="E12" sqref="E12"/>
    </sheetView>
  </sheetViews>
  <sheetFormatPr defaultColWidth="9.109375" defaultRowHeight="13.2" outlineLevelCol="1" x14ac:dyDescent="0.25"/>
  <cols>
    <col min="1" max="1" width="4.44140625" style="33" customWidth="1"/>
    <col min="2" max="2" width="28.88671875" style="33" customWidth="1"/>
    <col min="3" max="3" width="8.88671875" style="33" customWidth="1"/>
    <col min="4" max="4" width="11.33203125" style="34" customWidth="1"/>
    <col min="5" max="5" width="13.44140625" style="35" customWidth="1"/>
    <col min="6" max="6" width="10.6640625" style="36" customWidth="1"/>
    <col min="7" max="7" width="13.88671875" style="36" customWidth="1"/>
    <col min="8" max="8" width="10.6640625" style="36" hidden="1" customWidth="1"/>
    <col min="9" max="9" width="10.6640625" style="38" hidden="1" customWidth="1"/>
    <col min="10" max="10" width="10.6640625" style="38" hidden="1" customWidth="1" outlineLevel="1"/>
    <col min="11" max="11" width="10.6640625" style="33" hidden="1" customWidth="1" outlineLevel="1"/>
    <col min="12" max="12" width="11.109375" style="4" hidden="1" customWidth="1" outlineLevel="1"/>
    <col min="13" max="13" width="11.6640625" style="33" hidden="1" customWidth="1" outlineLevel="1"/>
    <col min="14" max="14" width="10.6640625" style="33" hidden="1" customWidth="1" outlineLevel="1"/>
    <col min="15" max="15" width="11.5546875" style="33" hidden="1" customWidth="1" outlineLevel="1"/>
    <col min="16" max="17" width="10.6640625" style="33" hidden="1" customWidth="1" outlineLevel="1"/>
    <col min="18" max="18" width="13" style="33" hidden="1" customWidth="1" outlineLevel="1"/>
    <col min="19" max="19" width="12.33203125" style="33" hidden="1" customWidth="1" outlineLevel="1"/>
    <col min="20" max="20" width="11.88671875" style="33" hidden="1" customWidth="1" outlineLevel="1"/>
    <col min="21" max="21" width="11.6640625" style="33" hidden="1" customWidth="1" outlineLevel="1"/>
    <col min="22" max="22" width="10.6640625" style="37" hidden="1" customWidth="1" outlineLevel="1"/>
    <col min="23" max="23" width="11.109375" style="56" hidden="1" customWidth="1" outlineLevel="1"/>
    <col min="24" max="24" width="9.109375" style="33" collapsed="1"/>
    <col min="25" max="16384" width="9.109375" style="33"/>
  </cols>
  <sheetData>
    <row r="1" spans="1:23" hidden="1" x14ac:dyDescent="0.25"/>
    <row r="2" spans="1:23" hidden="1" x14ac:dyDescent="0.25"/>
    <row r="3" spans="1:23" hidden="1" x14ac:dyDescent="0.25"/>
    <row r="5" spans="1:23" s="60" customFormat="1" ht="15" customHeight="1" x14ac:dyDescent="0.25">
      <c r="A5" s="702" t="s">
        <v>37</v>
      </c>
      <c r="B5" s="702"/>
      <c r="C5" s="82"/>
      <c r="D5" s="6"/>
      <c r="E5" s="58"/>
      <c r="F5" s="59"/>
      <c r="G5" s="59"/>
      <c r="H5" s="59"/>
      <c r="I5" s="6"/>
      <c r="J5" s="6"/>
      <c r="L5" s="61"/>
      <c r="V5" s="62"/>
      <c r="W5" s="63"/>
    </row>
    <row r="6" spans="1:23" s="60" customFormat="1" ht="12.75" customHeight="1" x14ac:dyDescent="0.25">
      <c r="A6" s="702" t="s">
        <v>24</v>
      </c>
      <c r="B6" s="702"/>
      <c r="C6" s="82"/>
      <c r="D6" s="703"/>
      <c r="E6" s="703"/>
      <c r="F6" s="64"/>
      <c r="G6" s="64"/>
      <c r="H6" s="64"/>
      <c r="I6" s="6"/>
      <c r="J6" s="6"/>
      <c r="L6" s="61"/>
      <c r="V6" s="62"/>
      <c r="W6" s="63"/>
    </row>
    <row r="7" spans="1:23" s="60" customFormat="1" ht="12.75" customHeight="1" x14ac:dyDescent="0.25">
      <c r="A7" s="702" t="s">
        <v>38</v>
      </c>
      <c r="B7" s="702"/>
      <c r="C7" s="702"/>
      <c r="D7" s="702"/>
      <c r="E7" s="702"/>
      <c r="F7" s="702"/>
      <c r="G7" s="702"/>
      <c r="H7" s="702"/>
      <c r="I7" s="702"/>
      <c r="J7" s="82"/>
      <c r="L7" s="61"/>
      <c r="V7" s="62"/>
      <c r="W7" s="63"/>
    </row>
    <row r="8" spans="1:23" s="60" customFormat="1" ht="12.75" customHeight="1" x14ac:dyDescent="0.25">
      <c r="A8" s="702" t="s">
        <v>39</v>
      </c>
      <c r="B8" s="702"/>
      <c r="C8" s="702"/>
      <c r="D8" s="702"/>
      <c r="E8" s="702"/>
      <c r="F8" s="702"/>
      <c r="G8" s="702"/>
      <c r="H8" s="702"/>
      <c r="I8" s="702"/>
      <c r="J8" s="82"/>
      <c r="L8" s="61"/>
      <c r="V8" s="62"/>
      <c r="W8" s="63"/>
    </row>
    <row r="9" spans="1:23" s="60" customFormat="1" ht="12.75" customHeight="1" x14ac:dyDescent="0.25">
      <c r="A9" s="701" t="s">
        <v>40</v>
      </c>
      <c r="B9" s="701"/>
      <c r="C9" s="701"/>
      <c r="D9" s="701"/>
      <c r="E9" s="58"/>
      <c r="F9" s="65"/>
      <c r="G9" s="65"/>
      <c r="H9" s="65"/>
      <c r="I9" s="82"/>
      <c r="J9" s="82"/>
      <c r="L9" s="61"/>
      <c r="V9" s="62"/>
      <c r="W9" s="63"/>
    </row>
    <row r="10" spans="1:23" s="60" customFormat="1" x14ac:dyDescent="0.25">
      <c r="A10" s="6"/>
      <c r="B10" s="6"/>
      <c r="C10" s="6"/>
      <c r="D10" s="6"/>
      <c r="E10" s="58"/>
      <c r="F10" s="65"/>
      <c r="G10" s="65"/>
      <c r="H10" s="65"/>
      <c r="I10" s="82"/>
      <c r="J10" s="82"/>
      <c r="L10" s="61"/>
      <c r="V10" s="62"/>
      <c r="W10" s="63"/>
    </row>
    <row r="11" spans="1:23" s="3" customFormat="1" ht="15" customHeight="1" x14ac:dyDescent="0.25">
      <c r="A11" s="704" t="s">
        <v>0</v>
      </c>
      <c r="B11" s="704"/>
      <c r="C11" s="704"/>
      <c r="D11" s="704"/>
      <c r="E11" s="704"/>
      <c r="F11" s="704"/>
      <c r="G11" s="704"/>
      <c r="H11" s="704"/>
      <c r="I11" s="704"/>
      <c r="J11" s="26">
        <v>1.03</v>
      </c>
      <c r="L11" s="4"/>
      <c r="V11" s="57">
        <v>100</v>
      </c>
      <c r="W11" s="53"/>
    </row>
    <row r="12" spans="1:23" s="3" customFormat="1" ht="15" customHeight="1" x14ac:dyDescent="0.25">
      <c r="A12" s="26"/>
      <c r="B12" s="26"/>
      <c r="C12" s="26"/>
      <c r="D12" s="26"/>
      <c r="E12" s="7"/>
      <c r="F12" s="8"/>
      <c r="G12" s="8"/>
      <c r="H12" s="8"/>
      <c r="I12" s="9"/>
      <c r="J12" s="9"/>
      <c r="L12" s="4"/>
      <c r="V12" s="5"/>
      <c r="W12" s="53"/>
    </row>
    <row r="13" spans="1:23" s="3" customFormat="1" ht="16.5" customHeight="1" x14ac:dyDescent="0.25">
      <c r="A13" s="705" t="s">
        <v>1</v>
      </c>
      <c r="B13" s="688" t="s">
        <v>2</v>
      </c>
      <c r="C13" s="705" t="s">
        <v>13</v>
      </c>
      <c r="D13" s="706" t="s">
        <v>3</v>
      </c>
      <c r="E13" s="707" t="s">
        <v>14</v>
      </c>
      <c r="F13" s="708" t="s">
        <v>27</v>
      </c>
      <c r="G13" s="708"/>
      <c r="H13" s="706" t="s">
        <v>17</v>
      </c>
      <c r="I13" s="706"/>
      <c r="J13" s="689" t="s">
        <v>30</v>
      </c>
      <c r="K13" s="690"/>
      <c r="L13" s="691"/>
      <c r="M13" s="688" t="s">
        <v>26</v>
      </c>
      <c r="N13" s="688"/>
      <c r="O13" s="688"/>
      <c r="P13" s="688"/>
      <c r="Q13" s="688" t="s">
        <v>29</v>
      </c>
      <c r="R13" s="688"/>
      <c r="S13" s="688"/>
      <c r="T13" s="688"/>
      <c r="U13" s="688"/>
      <c r="V13" s="695" t="s">
        <v>34</v>
      </c>
      <c r="W13" s="696"/>
    </row>
    <row r="14" spans="1:23" s="3" customFormat="1" ht="20.25" customHeight="1" x14ac:dyDescent="0.25">
      <c r="A14" s="705"/>
      <c r="B14" s="688"/>
      <c r="C14" s="705"/>
      <c r="D14" s="706"/>
      <c r="E14" s="707"/>
      <c r="F14" s="706" t="s">
        <v>41</v>
      </c>
      <c r="G14" s="706"/>
      <c r="H14" s="706"/>
      <c r="I14" s="706"/>
      <c r="J14" s="692"/>
      <c r="K14" s="693"/>
      <c r="L14" s="694"/>
      <c r="M14" s="688"/>
      <c r="N14" s="688"/>
      <c r="O14" s="688"/>
      <c r="P14" s="688"/>
      <c r="Q14" s="688"/>
      <c r="R14" s="688"/>
      <c r="S14" s="688"/>
      <c r="T14" s="688"/>
      <c r="U14" s="688"/>
      <c r="V14" s="697"/>
      <c r="W14" s="698"/>
    </row>
    <row r="15" spans="1:23" s="10" customFormat="1" x14ac:dyDescent="0.25">
      <c r="A15" s="42">
        <v>1</v>
      </c>
      <c r="B15" s="42">
        <v>2</v>
      </c>
      <c r="C15" s="42">
        <v>3</v>
      </c>
      <c r="D15" s="12">
        <v>4</v>
      </c>
      <c r="E15" s="39"/>
      <c r="F15" s="90">
        <v>4</v>
      </c>
      <c r="G15" s="90">
        <v>5</v>
      </c>
      <c r="H15" s="39"/>
      <c r="I15" s="12">
        <v>7</v>
      </c>
      <c r="J15" s="12"/>
      <c r="K15" s="43"/>
      <c r="L15" s="44"/>
      <c r="M15" s="45"/>
      <c r="N15" s="45"/>
      <c r="O15" s="45"/>
      <c r="P15" s="46"/>
      <c r="Q15" s="47"/>
      <c r="R15" s="47"/>
      <c r="S15" s="47"/>
      <c r="T15" s="83"/>
      <c r="U15" s="83"/>
      <c r="V15" s="697"/>
      <c r="W15" s="698"/>
    </row>
    <row r="16" spans="1:23" s="10" customFormat="1" x14ac:dyDescent="0.25">
      <c r="A16" s="42"/>
      <c r="B16" s="42"/>
      <c r="C16" s="42"/>
      <c r="D16" s="12"/>
      <c r="E16" s="39"/>
      <c r="F16" s="39"/>
      <c r="G16" s="39"/>
      <c r="H16" s="39"/>
      <c r="I16" s="12"/>
      <c r="J16" s="12" t="s">
        <v>16</v>
      </c>
      <c r="K16" s="48" t="s">
        <v>25</v>
      </c>
      <c r="L16" s="48" t="s">
        <v>15</v>
      </c>
      <c r="M16" s="49" t="s">
        <v>16</v>
      </c>
      <c r="N16" s="49" t="s">
        <v>25</v>
      </c>
      <c r="O16" s="49" t="s">
        <v>15</v>
      </c>
      <c r="P16" s="50" t="s">
        <v>28</v>
      </c>
      <c r="Q16" s="51" t="s">
        <v>25</v>
      </c>
      <c r="R16" s="51" t="s">
        <v>15</v>
      </c>
      <c r="S16" s="51" t="s">
        <v>33</v>
      </c>
      <c r="T16" s="687" t="s">
        <v>32</v>
      </c>
      <c r="U16" s="687"/>
      <c r="V16" s="699"/>
      <c r="W16" s="700"/>
    </row>
    <row r="17" spans="1:23" s="10" customFormat="1" ht="15" customHeight="1" x14ac:dyDescent="0.25">
      <c r="A17" s="42">
        <v>1</v>
      </c>
      <c r="B17" s="1" t="s">
        <v>19</v>
      </c>
      <c r="C17" s="11" t="s">
        <v>23</v>
      </c>
      <c r="D17" s="66" t="s">
        <v>20</v>
      </c>
      <c r="E17" s="2">
        <v>657140</v>
      </c>
      <c r="F17" s="14" t="s">
        <v>43</v>
      </c>
      <c r="G17" s="13">
        <f>301810.6</f>
        <v>301810.59999999998</v>
      </c>
      <c r="H17" s="14" t="str">
        <f>F17</f>
        <v>12102-1/1</v>
      </c>
      <c r="I17" s="15">
        <v>301810.59999999998</v>
      </c>
      <c r="J17" s="15">
        <f>(K17+L17)*$J$11</f>
        <v>251508.82989999998</v>
      </c>
      <c r="K17" s="13">
        <f>244183.33</f>
        <v>244183.33</v>
      </c>
      <c r="L17" s="16">
        <v>0</v>
      </c>
      <c r="M17" s="39">
        <f>N17+O17</f>
        <v>336378.6</v>
      </c>
      <c r="N17" s="39">
        <f>280315.5*1.2</f>
        <v>336378.6</v>
      </c>
      <c r="O17" s="39"/>
      <c r="P17" s="40" t="s">
        <v>31</v>
      </c>
      <c r="Q17" s="17">
        <f>K17-N17</f>
        <v>-92195.26999999999</v>
      </c>
      <c r="R17" s="17">
        <f>L17-O17</f>
        <v>0</v>
      </c>
      <c r="S17" s="17">
        <f>J17-M17*1.03</f>
        <v>-94961.128100000002</v>
      </c>
      <c r="T17" s="17">
        <f>M17*1.03</f>
        <v>346469.95799999998</v>
      </c>
      <c r="U17" s="17">
        <f>J17-M17</f>
        <v>-84869.770099999994</v>
      </c>
      <c r="V17" s="41">
        <f>Q17/$V$11*W17</f>
        <v>-2765.8580999999999</v>
      </c>
      <c r="W17" s="52">
        <v>3</v>
      </c>
    </row>
    <row r="18" spans="1:23" s="21" customFormat="1" ht="15" customHeight="1" x14ac:dyDescent="0.25">
      <c r="A18" s="42">
        <v>2</v>
      </c>
      <c r="B18" s="18" t="s">
        <v>35</v>
      </c>
      <c r="C18" s="11" t="s">
        <v>11</v>
      </c>
      <c r="D18" s="11" t="s">
        <v>18</v>
      </c>
      <c r="E18" s="19">
        <f>7254070.69</f>
        <v>7254070.6900000004</v>
      </c>
      <c r="F18" s="14" t="s">
        <v>44</v>
      </c>
      <c r="G18" s="13">
        <f>3195761.59</f>
        <v>3195761.59</v>
      </c>
      <c r="H18" s="14" t="str">
        <f>F18</f>
        <v>12103-1/1</v>
      </c>
      <c r="I18" s="15">
        <f>G18</f>
        <v>3195761.59</v>
      </c>
      <c r="J18" s="15">
        <f>L18*$J$11+K18</f>
        <v>3195761.5864800001</v>
      </c>
      <c r="K18" s="13">
        <f>743034.22*1.2</f>
        <v>891641.0639999999</v>
      </c>
      <c r="L18" s="13">
        <f>1864175.18*1.2</f>
        <v>2237010.216</v>
      </c>
      <c r="M18" s="39">
        <f>N18+O18</f>
        <v>3128651.28</v>
      </c>
      <c r="N18" s="13">
        <f>743034.22*1.2</f>
        <v>891641.0639999999</v>
      </c>
      <c r="O18" s="13">
        <f>1864175.18*1.2</f>
        <v>2237010.216</v>
      </c>
      <c r="P18" s="13" t="s">
        <v>36</v>
      </c>
      <c r="Q18" s="17">
        <f>K19-N18</f>
        <v>-876120.52799999993</v>
      </c>
      <c r="R18" s="17">
        <f>L19-O18</f>
        <v>-2187140.3280000002</v>
      </c>
      <c r="S18" s="17">
        <f>J18-M18*1.03</f>
        <v>-26749.2319199997</v>
      </c>
      <c r="T18" s="17">
        <f>M18*1.03</f>
        <v>3222510.8183999998</v>
      </c>
      <c r="U18" s="17">
        <f>J18-M18</f>
        <v>67110.306480000261</v>
      </c>
      <c r="V18" s="41">
        <f>Q18/$V$11*W18</f>
        <v>-13141.807919999999</v>
      </c>
      <c r="W18" s="52">
        <v>1.5</v>
      </c>
    </row>
    <row r="19" spans="1:23" s="21" customFormat="1" ht="15" customHeight="1" x14ac:dyDescent="0.25">
      <c r="A19" s="42">
        <v>3</v>
      </c>
      <c r="B19" s="18" t="s">
        <v>42</v>
      </c>
      <c r="C19" s="11" t="s">
        <v>21</v>
      </c>
      <c r="D19" s="11" t="s">
        <v>22</v>
      </c>
      <c r="E19" s="19"/>
      <c r="F19" s="67" t="s">
        <v>45</v>
      </c>
      <c r="G19" s="13">
        <f>66886.52</f>
        <v>66886.52</v>
      </c>
      <c r="H19" s="20" t="str">
        <f>F19</f>
        <v>12104-1/1</v>
      </c>
      <c r="I19" s="15">
        <f>G19</f>
        <v>66886.52</v>
      </c>
      <c r="J19" s="15">
        <f>L19*$J$11+K19</f>
        <v>66886.520640000002</v>
      </c>
      <c r="K19" s="13">
        <f>12933.78*1.2</f>
        <v>15520.536</v>
      </c>
      <c r="L19" s="16">
        <f>41558.24*1.2</f>
        <v>49869.887999999999</v>
      </c>
      <c r="M19" s="39">
        <f>N19+O19</f>
        <v>0</v>
      </c>
      <c r="N19" s="39"/>
      <c r="O19" s="13"/>
      <c r="P19" s="13"/>
      <c r="Q19" s="17" t="e">
        <f>#REF!-N19</f>
        <v>#REF!</v>
      </c>
      <c r="R19" s="17" t="e">
        <f>#REF!-O19</f>
        <v>#REF!</v>
      </c>
      <c r="S19" s="17">
        <f>J19-M19*1.03</f>
        <v>66886.520640000002</v>
      </c>
      <c r="T19" s="17">
        <f>M19*1.03</f>
        <v>0</v>
      </c>
      <c r="U19" s="17">
        <f>J19-M19</f>
        <v>66886.520640000002</v>
      </c>
      <c r="V19" s="41" t="e">
        <f>Q19/$V$11*W19</f>
        <v>#REF!</v>
      </c>
      <c r="W19" s="54"/>
    </row>
    <row r="20" spans="1:23" s="25" customFormat="1" ht="17.25" customHeight="1" x14ac:dyDescent="0.25">
      <c r="A20" s="42">
        <v>4</v>
      </c>
      <c r="B20" s="89" t="s">
        <v>46</v>
      </c>
      <c r="C20" s="24" t="s">
        <v>49</v>
      </c>
      <c r="D20" s="24"/>
      <c r="E20" s="23"/>
      <c r="F20" s="22" t="s">
        <v>49</v>
      </c>
      <c r="G20" s="23">
        <f>-27521.64*1.2</f>
        <v>-33025.968000000001</v>
      </c>
      <c r="H20" s="79"/>
      <c r="I20" s="80"/>
      <c r="J20" s="80"/>
      <c r="L20" s="27"/>
      <c r="V20" s="28"/>
      <c r="W20" s="55"/>
    </row>
    <row r="21" spans="1:23" s="25" customFormat="1" ht="21.75" customHeight="1" x14ac:dyDescent="0.25">
      <c r="A21" s="81"/>
      <c r="B21" s="84" t="s">
        <v>47</v>
      </c>
      <c r="C21" s="84"/>
      <c r="D21" s="85"/>
      <c r="E21" s="86"/>
      <c r="F21" s="87"/>
      <c r="G21" s="87">
        <f>SUM(G17:G20)</f>
        <v>3531432.7420000001</v>
      </c>
      <c r="H21" s="70"/>
      <c r="I21" s="68"/>
      <c r="J21" s="68"/>
      <c r="L21" s="27"/>
      <c r="V21" s="28"/>
      <c r="W21" s="55"/>
    </row>
    <row r="22" spans="1:23" s="25" customFormat="1" ht="21.75" customHeight="1" x14ac:dyDescent="0.25">
      <c r="A22" s="26"/>
      <c r="B22" s="88"/>
      <c r="C22" s="88"/>
      <c r="D22" s="68"/>
      <c r="E22" s="69"/>
      <c r="F22" s="70"/>
      <c r="G22" s="70"/>
      <c r="H22" s="70"/>
      <c r="I22" s="68"/>
      <c r="J22" s="68"/>
      <c r="L22" s="27"/>
      <c r="V22" s="28"/>
      <c r="W22" s="55"/>
    </row>
    <row r="23" spans="1:23" s="25" customFormat="1" ht="17.25" customHeight="1" x14ac:dyDescent="0.25">
      <c r="A23" s="26"/>
      <c r="B23" s="29" t="s">
        <v>48</v>
      </c>
      <c r="C23" s="29"/>
      <c r="D23" s="68"/>
      <c r="E23" s="69"/>
      <c r="F23" s="70"/>
      <c r="G23" s="70"/>
      <c r="H23" s="70"/>
      <c r="I23" s="68"/>
      <c r="J23" s="68"/>
      <c r="L23" s="27"/>
      <c r="V23" s="28"/>
      <c r="W23" s="55"/>
    </row>
    <row r="24" spans="1:23" s="30" customFormat="1" x14ac:dyDescent="0.25">
      <c r="D24" s="71"/>
      <c r="E24" s="72"/>
      <c r="F24" s="5"/>
      <c r="G24" s="5"/>
      <c r="H24" s="5"/>
      <c r="I24" s="73"/>
      <c r="J24" s="73"/>
      <c r="L24" s="31"/>
      <c r="V24" s="32"/>
      <c r="W24" s="53"/>
    </row>
    <row r="25" spans="1:23" s="30" customFormat="1" x14ac:dyDescent="0.25">
      <c r="D25" s="71"/>
      <c r="E25" s="72"/>
      <c r="F25" s="5"/>
      <c r="G25" s="5"/>
      <c r="H25" s="5"/>
      <c r="I25" s="73"/>
      <c r="J25" s="73"/>
      <c r="L25" s="31"/>
      <c r="V25" s="32"/>
      <c r="W25" s="53"/>
    </row>
    <row r="26" spans="1:23" x14ac:dyDescent="0.25">
      <c r="D26" s="74"/>
      <c r="E26" s="75"/>
      <c r="F26" s="37"/>
      <c r="G26" s="37"/>
      <c r="H26" s="37"/>
      <c r="I26" s="76"/>
      <c r="J26" s="76"/>
    </row>
    <row r="27" spans="1:23" x14ac:dyDescent="0.25">
      <c r="B27" s="33" t="s">
        <v>7</v>
      </c>
      <c r="D27" s="74"/>
      <c r="E27" s="75"/>
      <c r="F27" s="37"/>
      <c r="G27" s="37"/>
      <c r="H27" s="37"/>
      <c r="I27" s="77"/>
      <c r="J27" s="77"/>
    </row>
    <row r="28" spans="1:23" x14ac:dyDescent="0.25">
      <c r="D28" s="74"/>
      <c r="E28" s="75"/>
      <c r="F28" s="37"/>
      <c r="G28" s="37"/>
      <c r="H28" s="37"/>
      <c r="I28" s="76"/>
      <c r="J28" s="76"/>
    </row>
    <row r="29" spans="1:23" x14ac:dyDescent="0.25">
      <c r="D29" s="74"/>
      <c r="E29" s="75"/>
      <c r="F29" s="37"/>
      <c r="G29" s="37"/>
      <c r="H29" s="37"/>
      <c r="I29" s="78"/>
      <c r="J29" s="78"/>
    </row>
    <row r="30" spans="1:23" x14ac:dyDescent="0.25">
      <c r="D30" s="74"/>
      <c r="E30" s="75"/>
      <c r="F30" s="37"/>
      <c r="G30" s="37"/>
      <c r="H30" s="37"/>
      <c r="I30" s="78"/>
      <c r="J30" s="78"/>
    </row>
    <row r="31" spans="1:23" x14ac:dyDescent="0.25">
      <c r="D31" s="74"/>
      <c r="E31" s="75"/>
      <c r="F31" s="37"/>
      <c r="G31" s="37"/>
      <c r="H31" s="37"/>
      <c r="I31" s="78"/>
      <c r="J31" s="78"/>
    </row>
    <row r="32" spans="1:23" x14ac:dyDescent="0.25">
      <c r="D32" s="74"/>
      <c r="E32" s="75"/>
      <c r="F32" s="37"/>
      <c r="G32" s="37"/>
      <c r="H32" s="37"/>
      <c r="I32" s="78"/>
      <c r="J32" s="78"/>
    </row>
    <row r="33" spans="4:10" x14ac:dyDescent="0.25">
      <c r="D33" s="74"/>
      <c r="E33" s="75"/>
      <c r="F33" s="37"/>
      <c r="G33" s="37"/>
      <c r="H33" s="37"/>
      <c r="I33" s="78"/>
      <c r="J33" s="78"/>
    </row>
    <row r="34" spans="4:10" x14ac:dyDescent="0.25">
      <c r="D34" s="74"/>
      <c r="E34" s="75"/>
      <c r="F34" s="37"/>
      <c r="G34" s="37"/>
      <c r="H34" s="37"/>
      <c r="I34" s="78"/>
      <c r="J34" s="78"/>
    </row>
    <row r="35" spans="4:10" x14ac:dyDescent="0.25">
      <c r="D35" s="74"/>
      <c r="E35" s="75"/>
      <c r="F35" s="37"/>
      <c r="G35" s="37"/>
      <c r="H35" s="37"/>
      <c r="I35" s="78"/>
      <c r="J35" s="78"/>
    </row>
    <row r="36" spans="4:10" x14ac:dyDescent="0.25">
      <c r="D36" s="74"/>
      <c r="E36" s="75"/>
      <c r="F36" s="37"/>
      <c r="G36" s="37"/>
      <c r="H36" s="37"/>
      <c r="I36" s="78"/>
      <c r="J36" s="78"/>
    </row>
    <row r="37" spans="4:10" x14ac:dyDescent="0.25">
      <c r="D37" s="74"/>
      <c r="E37" s="75"/>
      <c r="F37" s="37"/>
      <c r="G37" s="37"/>
      <c r="H37" s="37"/>
      <c r="I37" s="78"/>
      <c r="J37" s="78"/>
    </row>
    <row r="38" spans="4:10" x14ac:dyDescent="0.25">
      <c r="D38" s="74"/>
      <c r="E38" s="75"/>
      <c r="F38" s="37"/>
      <c r="G38" s="37"/>
      <c r="H38" s="37"/>
      <c r="I38" s="78"/>
      <c r="J38" s="78"/>
    </row>
    <row r="39" spans="4:10" x14ac:dyDescent="0.25">
      <c r="D39" s="74"/>
      <c r="E39" s="75"/>
      <c r="F39" s="37"/>
      <c r="G39" s="37"/>
      <c r="H39" s="37"/>
      <c r="I39" s="78"/>
      <c r="J39" s="78"/>
    </row>
    <row r="40" spans="4:10" x14ac:dyDescent="0.25">
      <c r="D40" s="74"/>
      <c r="E40" s="75"/>
      <c r="F40" s="37"/>
      <c r="G40" s="37"/>
      <c r="H40" s="37"/>
      <c r="I40" s="78"/>
      <c r="J40" s="78"/>
    </row>
    <row r="41" spans="4:10" x14ac:dyDescent="0.25">
      <c r="D41" s="74"/>
      <c r="E41" s="75"/>
      <c r="F41" s="37"/>
      <c r="G41" s="37"/>
      <c r="H41" s="37"/>
      <c r="I41" s="78"/>
      <c r="J41" s="78"/>
    </row>
    <row r="42" spans="4:10" x14ac:dyDescent="0.25">
      <c r="D42" s="74"/>
      <c r="E42" s="75"/>
      <c r="F42" s="37"/>
      <c r="G42" s="37"/>
      <c r="H42" s="37"/>
      <c r="I42" s="78"/>
      <c r="J42" s="78"/>
    </row>
    <row r="43" spans="4:10" x14ac:dyDescent="0.25">
      <c r="D43" s="74"/>
      <c r="E43" s="75"/>
      <c r="F43" s="37"/>
      <c r="G43" s="37"/>
      <c r="H43" s="37"/>
      <c r="I43" s="78"/>
      <c r="J43" s="78"/>
    </row>
    <row r="44" spans="4:10" x14ac:dyDescent="0.25">
      <c r="D44" s="74"/>
      <c r="E44" s="75"/>
      <c r="F44" s="37"/>
      <c r="G44" s="37"/>
      <c r="H44" s="37"/>
      <c r="I44" s="78"/>
      <c r="J44" s="78"/>
    </row>
    <row r="45" spans="4:10" x14ac:dyDescent="0.25">
      <c r="D45" s="74"/>
      <c r="E45" s="75"/>
      <c r="F45" s="37"/>
      <c r="G45" s="37"/>
      <c r="H45" s="37"/>
      <c r="I45" s="78"/>
      <c r="J45" s="78"/>
    </row>
    <row r="46" spans="4:10" x14ac:dyDescent="0.25">
      <c r="D46" s="74"/>
      <c r="E46" s="75"/>
      <c r="F46" s="37"/>
      <c r="G46" s="37"/>
      <c r="H46" s="37"/>
      <c r="I46" s="78"/>
      <c r="J46" s="78"/>
    </row>
    <row r="47" spans="4:10" x14ac:dyDescent="0.25">
      <c r="D47" s="74"/>
      <c r="E47" s="75"/>
      <c r="F47" s="37"/>
      <c r="G47" s="37"/>
      <c r="H47" s="37"/>
      <c r="I47" s="78"/>
      <c r="J47" s="78"/>
    </row>
    <row r="48" spans="4:10" x14ac:dyDescent="0.25">
      <c r="D48" s="74"/>
      <c r="E48" s="75"/>
      <c r="F48" s="37"/>
      <c r="G48" s="37"/>
      <c r="H48" s="37"/>
      <c r="I48" s="78"/>
      <c r="J48" s="78"/>
    </row>
    <row r="49" spans="4:10" x14ac:dyDescent="0.25">
      <c r="D49" s="74"/>
      <c r="E49" s="75"/>
      <c r="F49" s="37"/>
      <c r="G49" s="37"/>
      <c r="H49" s="37"/>
      <c r="I49" s="78"/>
      <c r="J49" s="78"/>
    </row>
    <row r="50" spans="4:10" x14ac:dyDescent="0.25">
      <c r="D50" s="74"/>
      <c r="E50" s="75"/>
      <c r="F50" s="37"/>
      <c r="G50" s="37"/>
      <c r="H50" s="37"/>
      <c r="I50" s="78"/>
      <c r="J50" s="78"/>
    </row>
    <row r="51" spans="4:10" x14ac:dyDescent="0.25">
      <c r="D51" s="74"/>
      <c r="E51" s="75"/>
      <c r="F51" s="37"/>
      <c r="G51" s="37"/>
      <c r="H51" s="37"/>
      <c r="I51" s="78"/>
      <c r="J51" s="78"/>
    </row>
    <row r="52" spans="4:10" x14ac:dyDescent="0.25">
      <c r="D52" s="74"/>
      <c r="E52" s="75"/>
      <c r="F52" s="37"/>
      <c r="G52" s="37"/>
      <c r="H52" s="37"/>
      <c r="I52" s="78"/>
      <c r="J52" s="78"/>
    </row>
    <row r="53" spans="4:10" x14ac:dyDescent="0.25">
      <c r="D53" s="74"/>
      <c r="E53" s="75"/>
      <c r="F53" s="37"/>
      <c r="G53" s="37"/>
      <c r="H53" s="37"/>
      <c r="I53" s="78"/>
      <c r="J53" s="78"/>
    </row>
  </sheetData>
  <autoFilter ref="A15:N19"/>
  <mergeCells count="20">
    <mergeCell ref="A11:I11"/>
    <mergeCell ref="A13:A14"/>
    <mergeCell ref="B13:B14"/>
    <mergeCell ref="C13:C14"/>
    <mergeCell ref="D13:D14"/>
    <mergeCell ref="E13:E14"/>
    <mergeCell ref="H13:I14"/>
    <mergeCell ref="F13:G13"/>
    <mergeCell ref="F14:G14"/>
    <mergeCell ref="A9:D9"/>
    <mergeCell ref="A5:B5"/>
    <mergeCell ref="A6:B6"/>
    <mergeCell ref="D6:E6"/>
    <mergeCell ref="A7:I7"/>
    <mergeCell ref="A8:I8"/>
    <mergeCell ref="T16:U16"/>
    <mergeCell ref="Q13:U14"/>
    <mergeCell ref="J13:L14"/>
    <mergeCell ref="V13:W16"/>
    <mergeCell ref="M13:P14"/>
  </mergeCells>
  <pageMargins left="1.1023622047244095" right="0.55118110236220474" top="1.3385826771653544" bottom="0.15748031496062992" header="0.6692913385826772" footer="0.15748031496062992"/>
  <pageSetup paperSize="9" scale="9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zoomScaleNormal="100" workbookViewId="0">
      <selection activeCell="F7" sqref="F7"/>
    </sheetView>
  </sheetViews>
  <sheetFormatPr defaultColWidth="9.109375" defaultRowHeight="15.6" x14ac:dyDescent="0.25"/>
  <cols>
    <col min="1" max="1" width="4.6640625" style="132" customWidth="1"/>
    <col min="2" max="2" width="31.6640625" style="132" customWidth="1"/>
    <col min="3" max="3" width="14" style="132" customWidth="1"/>
    <col min="4" max="4" width="39" style="132" customWidth="1"/>
    <col min="5" max="5" width="13" style="132" customWidth="1"/>
    <col min="6" max="6" width="15" style="132" customWidth="1"/>
    <col min="7" max="7" width="14.6640625" style="132" customWidth="1"/>
    <col min="8" max="8" width="15.6640625" style="132" customWidth="1"/>
    <col min="9" max="9" width="14.44140625" style="132" customWidth="1"/>
    <col min="10" max="10" width="15.109375" style="132" customWidth="1"/>
    <col min="11" max="11" width="14.5546875" style="132" customWidth="1"/>
    <col min="12" max="12" width="13.6640625" style="132" customWidth="1"/>
    <col min="13" max="13" width="20.33203125" style="132" customWidth="1"/>
    <col min="14" max="16384" width="9.109375" style="132"/>
  </cols>
  <sheetData>
    <row r="1" spans="1:13" ht="15.75" customHeight="1" x14ac:dyDescent="0.25">
      <c r="A1" s="718" t="s">
        <v>93</v>
      </c>
      <c r="B1" s="718"/>
      <c r="C1" s="718"/>
      <c r="D1" s="718"/>
      <c r="E1" s="718"/>
      <c r="F1" s="718"/>
      <c r="G1" s="718"/>
      <c r="H1" s="718"/>
      <c r="I1" s="718"/>
      <c r="J1" s="718"/>
      <c r="K1" s="718"/>
      <c r="L1" s="718"/>
      <c r="M1" s="718"/>
    </row>
    <row r="2" spans="1:13" ht="16.2" thickBot="1" x14ac:dyDescent="0.3">
      <c r="M2" s="216"/>
    </row>
    <row r="3" spans="1:13" ht="31.5" customHeight="1" x14ac:dyDescent="0.25">
      <c r="A3" s="728" t="s">
        <v>84</v>
      </c>
      <c r="B3" s="730" t="s">
        <v>82</v>
      </c>
      <c r="C3" s="730" t="s">
        <v>86</v>
      </c>
      <c r="D3" s="730" t="s">
        <v>85</v>
      </c>
      <c r="E3" s="719" t="s">
        <v>83</v>
      </c>
      <c r="F3" s="723" t="s">
        <v>90</v>
      </c>
      <c r="G3" s="724"/>
      <c r="H3" s="725"/>
      <c r="I3" s="721" t="s">
        <v>9</v>
      </c>
      <c r="J3" s="726" t="s">
        <v>91</v>
      </c>
      <c r="K3" s="726"/>
      <c r="L3" s="727"/>
      <c r="M3" s="721" t="s">
        <v>50</v>
      </c>
    </row>
    <row r="4" spans="1:13" x14ac:dyDescent="0.25">
      <c r="A4" s="729"/>
      <c r="B4" s="731"/>
      <c r="C4" s="731"/>
      <c r="D4" s="731"/>
      <c r="E4" s="720"/>
      <c r="F4" s="145" t="s">
        <v>87</v>
      </c>
      <c r="G4" s="135" t="s">
        <v>88</v>
      </c>
      <c r="H4" s="135" t="s">
        <v>89</v>
      </c>
      <c r="I4" s="722"/>
      <c r="J4" s="143" t="s">
        <v>87</v>
      </c>
      <c r="K4" s="135" t="s">
        <v>88</v>
      </c>
      <c r="L4" s="135" t="s">
        <v>89</v>
      </c>
      <c r="M4" s="722"/>
    </row>
    <row r="5" spans="1:13" ht="16.2" thickBot="1" x14ac:dyDescent="0.3">
      <c r="A5" s="136">
        <v>1</v>
      </c>
      <c r="B5" s="137">
        <v>2</v>
      </c>
      <c r="C5" s="137">
        <v>3</v>
      </c>
      <c r="D5" s="137">
        <v>4</v>
      </c>
      <c r="E5" s="142">
        <v>5</v>
      </c>
      <c r="F5" s="136">
        <v>6</v>
      </c>
      <c r="G5" s="137">
        <v>7</v>
      </c>
      <c r="H5" s="137">
        <v>8</v>
      </c>
      <c r="I5" s="138">
        <v>9</v>
      </c>
      <c r="J5" s="144">
        <v>10</v>
      </c>
      <c r="K5" s="137">
        <v>11</v>
      </c>
      <c r="L5" s="137">
        <v>12</v>
      </c>
      <c r="M5" s="138">
        <v>10</v>
      </c>
    </row>
    <row r="6" spans="1:13" ht="62.4" x14ac:dyDescent="0.25">
      <c r="A6" s="712">
        <v>4</v>
      </c>
      <c r="B6" s="709" t="s">
        <v>97</v>
      </c>
      <c r="C6" s="715" t="s">
        <v>94</v>
      </c>
      <c r="D6" s="141" t="s">
        <v>95</v>
      </c>
      <c r="E6" s="154" t="s">
        <v>96</v>
      </c>
      <c r="F6" s="151">
        <f>9670800</f>
        <v>9670800</v>
      </c>
      <c r="G6" s="152">
        <f>980219.27</f>
        <v>980219.27</v>
      </c>
      <c r="H6" s="152">
        <f>F6-G6</f>
        <v>8690580.7300000004</v>
      </c>
      <c r="I6" s="153" t="s">
        <v>106</v>
      </c>
      <c r="J6" s="229"/>
      <c r="K6" s="227"/>
      <c r="L6" s="227"/>
      <c r="M6" s="228"/>
    </row>
    <row r="7" spans="1:13" ht="62.4" x14ac:dyDescent="0.25">
      <c r="A7" s="713"/>
      <c r="B7" s="710"/>
      <c r="C7" s="716"/>
      <c r="D7" s="139" t="s">
        <v>98</v>
      </c>
      <c r="E7" s="206" t="s">
        <v>110</v>
      </c>
      <c r="F7" s="156">
        <v>131336.26</v>
      </c>
      <c r="G7" s="157">
        <v>41465.11</v>
      </c>
      <c r="H7" s="157">
        <f>F7-G7</f>
        <v>89871.150000000009</v>
      </c>
      <c r="I7" s="155" t="s">
        <v>106</v>
      </c>
      <c r="J7" s="146">
        <f>102739.6</f>
        <v>102739.6</v>
      </c>
      <c r="K7" s="162">
        <f>16812.5</f>
        <v>16812.5</v>
      </c>
      <c r="L7" s="230">
        <f>J7-K7</f>
        <v>85927.1</v>
      </c>
      <c r="M7" s="226">
        <v>0.27829999999999999</v>
      </c>
    </row>
    <row r="8" spans="1:13" ht="62.4" x14ac:dyDescent="0.25">
      <c r="A8" s="713"/>
      <c r="B8" s="710"/>
      <c r="C8" s="716"/>
      <c r="D8" s="133" t="s">
        <v>105</v>
      </c>
      <c r="E8" s="217" t="s">
        <v>108</v>
      </c>
      <c r="F8" s="156">
        <f>4080000</f>
        <v>4080000</v>
      </c>
      <c r="G8" s="157">
        <f>2262472.26</f>
        <v>2262472.2599999998</v>
      </c>
      <c r="H8" s="157">
        <f>F8-G8</f>
        <v>1817527.7400000002</v>
      </c>
      <c r="I8" s="155" t="s">
        <v>106</v>
      </c>
      <c r="J8" s="231"/>
      <c r="K8" s="232"/>
      <c r="L8" s="232"/>
      <c r="M8" s="233"/>
    </row>
    <row r="9" spans="1:13" ht="31.2" x14ac:dyDescent="0.25">
      <c r="A9" s="714"/>
      <c r="B9" s="711"/>
      <c r="C9" s="717"/>
      <c r="D9" s="159" t="s">
        <v>111</v>
      </c>
      <c r="E9" s="158"/>
      <c r="F9" s="160">
        <f>1100452.22</f>
        <v>1100452.22</v>
      </c>
      <c r="G9" s="161">
        <f>F9-H9</f>
        <v>410866.37</v>
      </c>
      <c r="H9" s="161">
        <f>689585.85</f>
        <v>689585.85</v>
      </c>
      <c r="I9" s="150" t="s">
        <v>116</v>
      </c>
      <c r="J9" s="234"/>
      <c r="K9" s="235"/>
      <c r="L9" s="235"/>
      <c r="M9" s="236"/>
    </row>
    <row r="10" spans="1:13" ht="16.2" thickBot="1" x14ac:dyDescent="0.3">
      <c r="A10" s="163"/>
      <c r="B10" s="164"/>
      <c r="C10" s="164"/>
      <c r="D10" s="164"/>
      <c r="E10" s="165"/>
      <c r="F10" s="166">
        <f>SUM(F6:F9)</f>
        <v>14982588.48</v>
      </c>
      <c r="G10" s="167">
        <f>SUM(G6:G9)</f>
        <v>3695023.01</v>
      </c>
      <c r="H10" s="168">
        <f>SUM(H6:H9)</f>
        <v>11287565.470000001</v>
      </c>
      <c r="I10" s="169"/>
      <c r="J10" s="170"/>
      <c r="K10" s="164"/>
      <c r="L10" s="164"/>
      <c r="M10" s="169"/>
    </row>
    <row r="11" spans="1:13" ht="16.2" thickBot="1" x14ac:dyDescent="0.3">
      <c r="A11" s="171"/>
      <c r="B11" s="172"/>
      <c r="C11" s="172"/>
      <c r="D11" s="172"/>
      <c r="E11" s="172"/>
      <c r="F11" s="174" t="e">
        <f>F10+#REF!+#REF!+#REF!</f>
        <v>#REF!</v>
      </c>
      <c r="G11" s="174" t="e">
        <f>G10+#REF!+#REF!+#REF!</f>
        <v>#REF!</v>
      </c>
      <c r="H11" s="174" t="e">
        <f>H10+#REF!+#REF!+#REF!</f>
        <v>#REF!</v>
      </c>
      <c r="I11" s="172"/>
      <c r="J11" s="172"/>
      <c r="K11" s="172"/>
      <c r="L11" s="172"/>
      <c r="M11" s="173"/>
    </row>
  </sheetData>
  <mergeCells count="13">
    <mergeCell ref="B6:B9"/>
    <mergeCell ref="A6:A9"/>
    <mergeCell ref="C6:C9"/>
    <mergeCell ref="A1:M1"/>
    <mergeCell ref="E3:E4"/>
    <mergeCell ref="I3:I4"/>
    <mergeCell ref="M3:M4"/>
    <mergeCell ref="F3:H3"/>
    <mergeCell ref="J3:L3"/>
    <mergeCell ref="A3:A4"/>
    <mergeCell ref="B3:B4"/>
    <mergeCell ref="C3:C4"/>
    <mergeCell ref="D3:D4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63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opLeftCell="B1" zoomScaleNormal="100" zoomScaleSheetLayoutView="100" workbookViewId="0">
      <selection activeCell="I9" sqref="I9"/>
    </sheetView>
  </sheetViews>
  <sheetFormatPr defaultColWidth="9.109375" defaultRowHeight="15.6" outlineLevelCol="1" x14ac:dyDescent="0.25"/>
  <cols>
    <col min="1" max="1" width="4.88671875" style="175" customWidth="1"/>
    <col min="2" max="2" width="50.109375" style="175" customWidth="1"/>
    <col min="3" max="3" width="16.109375" style="175" customWidth="1"/>
    <col min="4" max="4" width="17.5546875" style="175" customWidth="1" outlineLevel="1"/>
    <col min="5" max="6" width="15.33203125" style="175" customWidth="1"/>
    <col min="7" max="7" width="16.33203125" style="175" customWidth="1"/>
    <col min="8" max="8" width="4.44140625" style="208" customWidth="1"/>
    <col min="9" max="9" width="16" style="175" customWidth="1"/>
    <col min="10" max="10" width="15.6640625" style="175" customWidth="1"/>
    <col min="11" max="11" width="15.33203125" style="175" customWidth="1"/>
    <col min="12" max="12" width="13.109375" style="175" customWidth="1" outlineLevel="1"/>
    <col min="13" max="13" width="15.6640625" style="175" customWidth="1" outlineLevel="1"/>
    <col min="14" max="14" width="15" style="175" customWidth="1"/>
    <col min="15" max="15" width="15.5546875" style="175" customWidth="1"/>
    <col min="16" max="16" width="15.44140625" style="175" customWidth="1"/>
    <col min="17" max="16384" width="9.109375" style="175"/>
  </cols>
  <sheetData>
    <row r="1" spans="1:16" ht="18.600000000000001" thickBot="1" x14ac:dyDescent="0.3">
      <c r="B1" s="176" t="s">
        <v>93</v>
      </c>
      <c r="D1" s="177">
        <v>44336</v>
      </c>
    </row>
    <row r="2" spans="1:16" ht="15.75" customHeight="1" x14ac:dyDescent="0.25">
      <c r="A2" s="738" t="s">
        <v>84</v>
      </c>
      <c r="B2" s="738" t="s">
        <v>99</v>
      </c>
      <c r="C2" s="738" t="s">
        <v>86</v>
      </c>
      <c r="D2" s="738" t="s">
        <v>51</v>
      </c>
      <c r="E2" s="732" t="s">
        <v>100</v>
      </c>
      <c r="F2" s="733"/>
      <c r="G2" s="734"/>
      <c r="H2" s="735" t="s">
        <v>101</v>
      </c>
      <c r="I2" s="736"/>
      <c r="J2" s="736"/>
      <c r="K2" s="736"/>
      <c r="L2" s="736"/>
      <c r="M2" s="737"/>
      <c r="N2" s="732" t="s">
        <v>102</v>
      </c>
      <c r="O2" s="733"/>
      <c r="P2" s="734"/>
    </row>
    <row r="3" spans="1:16" ht="16.2" thickBot="1" x14ac:dyDescent="0.3">
      <c r="A3" s="739"/>
      <c r="B3" s="739"/>
      <c r="C3" s="739"/>
      <c r="D3" s="739"/>
      <c r="E3" s="180" t="s">
        <v>87</v>
      </c>
      <c r="F3" s="181" t="s">
        <v>88</v>
      </c>
      <c r="G3" s="182" t="s">
        <v>89</v>
      </c>
      <c r="H3" s="209" t="s">
        <v>103</v>
      </c>
      <c r="I3" s="183" t="s">
        <v>87</v>
      </c>
      <c r="J3" s="178" t="s">
        <v>88</v>
      </c>
      <c r="K3" s="178" t="s">
        <v>89</v>
      </c>
      <c r="L3" s="184" t="s">
        <v>104</v>
      </c>
      <c r="M3" s="179" t="s">
        <v>9</v>
      </c>
      <c r="N3" s="180" t="s">
        <v>87</v>
      </c>
      <c r="O3" s="185" t="s">
        <v>88</v>
      </c>
      <c r="P3" s="186" t="s">
        <v>89</v>
      </c>
    </row>
    <row r="4" spans="1:16" ht="15.75" customHeight="1" x14ac:dyDescent="0.25">
      <c r="A4" s="740">
        <v>4</v>
      </c>
      <c r="B4" s="743" t="s">
        <v>109</v>
      </c>
      <c r="C4" s="743" t="s">
        <v>94</v>
      </c>
      <c r="D4" s="743" t="s">
        <v>96</v>
      </c>
      <c r="E4" s="199">
        <f>'Реєстр ДЦ'!F6</f>
        <v>9670800</v>
      </c>
      <c r="F4" s="281">
        <f>'Реєстр ДЦ'!G6</f>
        <v>980219.27</v>
      </c>
      <c r="G4" s="198">
        <f>'Реєстр ДЦ'!H6</f>
        <v>8690580.7300000004</v>
      </c>
      <c r="H4" s="218">
        <v>1</v>
      </c>
      <c r="I4" s="219">
        <f>288379.22</f>
        <v>288379.21999999997</v>
      </c>
      <c r="J4" s="215">
        <f>7494.3*1.2</f>
        <v>8993.16</v>
      </c>
      <c r="K4" s="220">
        <f>I4-J4</f>
        <v>279386.06</v>
      </c>
      <c r="L4" s="221">
        <v>44314</v>
      </c>
      <c r="M4" s="149" t="s">
        <v>92</v>
      </c>
      <c r="N4" s="189">
        <f>E4-I8</f>
        <v>7863750.75</v>
      </c>
      <c r="O4" s="190">
        <f>F4-J8</f>
        <v>950795.63</v>
      </c>
      <c r="P4" s="191">
        <f>G4-K8</f>
        <v>6912955.120000001</v>
      </c>
    </row>
    <row r="5" spans="1:16" x14ac:dyDescent="0.25">
      <c r="A5" s="741"/>
      <c r="B5" s="744"/>
      <c r="C5" s="744"/>
      <c r="D5" s="744"/>
      <c r="E5" s="192"/>
      <c r="F5" s="195"/>
      <c r="G5" s="196"/>
      <c r="H5" s="214">
        <v>2</v>
      </c>
      <c r="I5" s="240">
        <f>193609.49</f>
        <v>193609.49</v>
      </c>
      <c r="J5" s="215">
        <v>0</v>
      </c>
      <c r="K5" s="215">
        <f>I5</f>
        <v>193609.49</v>
      </c>
      <c r="L5" s="241">
        <v>44314</v>
      </c>
      <c r="M5" s="148" t="s">
        <v>92</v>
      </c>
      <c r="N5" s="194"/>
      <c r="O5" s="195"/>
      <c r="P5" s="196"/>
    </row>
    <row r="6" spans="1:16" ht="31.2" x14ac:dyDescent="0.25">
      <c r="A6" s="741"/>
      <c r="B6" s="744"/>
      <c r="C6" s="744"/>
      <c r="D6" s="744"/>
      <c r="E6" s="192"/>
      <c r="F6" s="195"/>
      <c r="G6" s="196"/>
      <c r="H6" s="214">
        <v>3</v>
      </c>
      <c r="I6" s="240">
        <v>266283.61</v>
      </c>
      <c r="J6" s="215">
        <f>7768.48*1.2</f>
        <v>9322.1759999999995</v>
      </c>
      <c r="K6" s="215">
        <f>I6-J6</f>
        <v>256961.43399999998</v>
      </c>
      <c r="L6" s="306" t="s">
        <v>114</v>
      </c>
      <c r="M6" s="148" t="s">
        <v>92</v>
      </c>
      <c r="N6" s="237"/>
      <c r="O6" s="238"/>
      <c r="P6" s="239"/>
    </row>
    <row r="7" spans="1:16" ht="31.2" x14ac:dyDescent="0.25">
      <c r="A7" s="741"/>
      <c r="B7" s="744"/>
      <c r="C7" s="744"/>
      <c r="D7" s="744"/>
      <c r="E7" s="192"/>
      <c r="F7" s="195"/>
      <c r="G7" s="196"/>
      <c r="H7" s="214">
        <v>4</v>
      </c>
      <c r="I7" s="240">
        <v>1058776.93</v>
      </c>
      <c r="J7" s="215">
        <f>9256.92*1.2</f>
        <v>11108.304</v>
      </c>
      <c r="K7" s="215">
        <f>I7-J7</f>
        <v>1047668.6259999999</v>
      </c>
      <c r="L7" s="306" t="s">
        <v>117</v>
      </c>
      <c r="M7" s="148" t="s">
        <v>92</v>
      </c>
      <c r="N7" s="194"/>
      <c r="O7" s="195"/>
      <c r="P7" s="196"/>
    </row>
    <row r="8" spans="1:16" ht="16.2" thickBot="1" x14ac:dyDescent="0.3">
      <c r="A8" s="741"/>
      <c r="B8" s="744"/>
      <c r="C8" s="744"/>
      <c r="D8" s="745"/>
      <c r="E8" s="272"/>
      <c r="F8" s="279"/>
      <c r="G8" s="280"/>
      <c r="H8" s="273"/>
      <c r="I8" s="274">
        <f>SUM(I4:I7)</f>
        <v>1807049.25</v>
      </c>
      <c r="J8" s="275">
        <f>SUM(J4:J7)</f>
        <v>29423.64</v>
      </c>
      <c r="K8" s="275">
        <f>SUM(K4:K7)</f>
        <v>1777625.6099999999</v>
      </c>
      <c r="L8" s="276"/>
      <c r="M8" s="277"/>
      <c r="N8" s="278"/>
      <c r="O8" s="279"/>
      <c r="P8" s="280"/>
    </row>
    <row r="9" spans="1:16" ht="31.5" customHeight="1" x14ac:dyDescent="0.25">
      <c r="A9" s="741"/>
      <c r="B9" s="744"/>
      <c r="C9" s="744"/>
      <c r="D9" s="746" t="s">
        <v>115</v>
      </c>
      <c r="E9" s="243">
        <f>'Реєстр ДЦ'!F7</f>
        <v>131336.26</v>
      </c>
      <c r="F9" s="282">
        <f>'Реєстр ДЦ'!G7</f>
        <v>41465.11</v>
      </c>
      <c r="G9" s="283">
        <f>'Реєстр ДЦ'!H7</f>
        <v>89871.150000000009</v>
      </c>
      <c r="H9" s="210"/>
      <c r="I9" s="248">
        <v>5042.8</v>
      </c>
      <c r="J9" s="157">
        <v>0</v>
      </c>
      <c r="K9" s="157">
        <f>I9-J9</f>
        <v>5042.8</v>
      </c>
      <c r="L9" s="244"/>
      <c r="M9" s="147" t="s">
        <v>107</v>
      </c>
      <c r="N9" s="243">
        <f>E9-I11</f>
        <v>126293.46</v>
      </c>
      <c r="O9" s="282">
        <f>F9-J11</f>
        <v>41465.11</v>
      </c>
      <c r="P9" s="283">
        <f>G9-K11</f>
        <v>84828.35</v>
      </c>
    </row>
    <row r="10" spans="1:16" x14ac:dyDescent="0.25">
      <c r="A10" s="741"/>
      <c r="B10" s="744"/>
      <c r="C10" s="744"/>
      <c r="D10" s="747"/>
      <c r="E10" s="270"/>
      <c r="F10" s="284"/>
      <c r="G10" s="285"/>
      <c r="H10" s="271"/>
      <c r="I10" s="193"/>
      <c r="J10" s="134"/>
      <c r="K10" s="134"/>
      <c r="L10" s="269"/>
      <c r="M10" s="197"/>
      <c r="N10" s="194"/>
      <c r="O10" s="195"/>
      <c r="P10" s="196"/>
    </row>
    <row r="11" spans="1:16" ht="16.2" thickBot="1" x14ac:dyDescent="0.3">
      <c r="A11" s="741"/>
      <c r="B11" s="744"/>
      <c r="C11" s="744"/>
      <c r="D11" s="748"/>
      <c r="E11" s="246"/>
      <c r="F11" s="286"/>
      <c r="G11" s="287"/>
      <c r="H11" s="247"/>
      <c r="I11" s="250">
        <f>SUM(I9:I10)</f>
        <v>5042.8</v>
      </c>
      <c r="J11" s="251">
        <f>SUM(J9:J10)</f>
        <v>0</v>
      </c>
      <c r="K11" s="251">
        <f>SUM(K9:K10)</f>
        <v>5042.8</v>
      </c>
      <c r="L11" s="252"/>
      <c r="M11" s="253"/>
      <c r="N11" s="267"/>
      <c r="O11" s="260"/>
      <c r="P11" s="268"/>
    </row>
    <row r="12" spans="1:16" ht="15.75" customHeight="1" x14ac:dyDescent="0.25">
      <c r="A12" s="741"/>
      <c r="B12" s="744"/>
      <c r="C12" s="744"/>
      <c r="D12" s="743" t="s">
        <v>112</v>
      </c>
      <c r="E12" s="199">
        <f>'Реєстр ДЦ'!F8</f>
        <v>4080000</v>
      </c>
      <c r="F12" s="281">
        <f>1885393.55*1.2</f>
        <v>2262472.2599999998</v>
      </c>
      <c r="G12" s="198">
        <f>E12-F12</f>
        <v>1817527.7400000002</v>
      </c>
      <c r="H12" s="212"/>
      <c r="I12" s="187"/>
      <c r="J12" s="140"/>
      <c r="K12" s="140"/>
      <c r="L12" s="222"/>
      <c r="M12" s="188"/>
      <c r="N12" s="189">
        <f>E12-I14</f>
        <v>4080000</v>
      </c>
      <c r="O12" s="190">
        <f>F12-J14</f>
        <v>2262472.2599999998</v>
      </c>
      <c r="P12" s="191">
        <f>G12-K14</f>
        <v>1817527.7400000002</v>
      </c>
    </row>
    <row r="13" spans="1:16" x14ac:dyDescent="0.25">
      <c r="A13" s="741"/>
      <c r="B13" s="744"/>
      <c r="C13" s="744"/>
      <c r="D13" s="744"/>
      <c r="E13" s="192"/>
      <c r="F13" s="195"/>
      <c r="G13" s="196"/>
      <c r="H13" s="211"/>
      <c r="I13" s="193"/>
      <c r="J13" s="134"/>
      <c r="K13" s="134"/>
      <c r="L13" s="269"/>
      <c r="M13" s="197"/>
      <c r="N13" s="194"/>
      <c r="O13" s="195"/>
      <c r="P13" s="196"/>
    </row>
    <row r="14" spans="1:16" ht="16.2" thickBot="1" x14ac:dyDescent="0.3">
      <c r="A14" s="741"/>
      <c r="B14" s="744"/>
      <c r="C14" s="744"/>
      <c r="D14" s="745"/>
      <c r="E14" s="249"/>
      <c r="F14" s="260"/>
      <c r="G14" s="268"/>
      <c r="H14" s="224"/>
      <c r="I14" s="225">
        <f>SUM(I12:I13)</f>
        <v>0</v>
      </c>
      <c r="J14" s="254">
        <f t="shared" ref="J14:K14" si="0">SUM(J12:J13)</f>
        <v>0</v>
      </c>
      <c r="K14" s="254">
        <f t="shared" si="0"/>
        <v>0</v>
      </c>
      <c r="L14" s="255"/>
      <c r="M14" s="256"/>
      <c r="N14" s="267"/>
      <c r="O14" s="260"/>
      <c r="P14" s="268"/>
    </row>
    <row r="15" spans="1:16" ht="31.2" x14ac:dyDescent="0.25">
      <c r="A15" s="741"/>
      <c r="B15" s="744"/>
      <c r="C15" s="744"/>
      <c r="D15" s="288" t="s">
        <v>113</v>
      </c>
      <c r="E15" s="242">
        <f>'Реєстр ДЦ'!F9</f>
        <v>1100452.22</v>
      </c>
      <c r="F15" s="289">
        <f>410866.37</f>
        <v>410866.37</v>
      </c>
      <c r="G15" s="290">
        <f>E15-F15</f>
        <v>689585.85</v>
      </c>
      <c r="H15" s="291"/>
      <c r="I15" s="292"/>
      <c r="J15" s="152"/>
      <c r="K15" s="152"/>
      <c r="L15" s="293"/>
      <c r="M15" s="153"/>
      <c r="N15" s="242">
        <f>E15-I16</f>
        <v>1100452.22</v>
      </c>
      <c r="O15" s="289">
        <f>F15-J16</f>
        <v>410866.37</v>
      </c>
      <c r="P15" s="290">
        <f>G15-K16</f>
        <v>689585.85</v>
      </c>
    </row>
    <row r="16" spans="1:16" ht="16.2" thickBot="1" x14ac:dyDescent="0.3">
      <c r="A16" s="742"/>
      <c r="B16" s="745"/>
      <c r="C16" s="745"/>
      <c r="D16" s="294"/>
      <c r="E16" s="295"/>
      <c r="F16" s="296"/>
      <c r="G16" s="297"/>
      <c r="H16" s="298"/>
      <c r="I16" s="299">
        <f>SUM(I15)</f>
        <v>0</v>
      </c>
      <c r="J16" s="300">
        <f>SUM(J15)</f>
        <v>0</v>
      </c>
      <c r="K16" s="301">
        <f>SUM(K15)</f>
        <v>0</v>
      </c>
      <c r="L16" s="300"/>
      <c r="M16" s="302"/>
      <c r="N16" s="303"/>
      <c r="O16" s="304"/>
      <c r="P16" s="305"/>
    </row>
    <row r="17" spans="1:16" ht="16.2" thickBot="1" x14ac:dyDescent="0.3">
      <c r="A17" s="262"/>
      <c r="B17" s="245"/>
      <c r="C17" s="245"/>
      <c r="D17" s="263"/>
      <c r="E17" s="257"/>
      <c r="F17" s="223"/>
      <c r="G17" s="258"/>
      <c r="H17" s="224"/>
      <c r="I17" s="264">
        <f>I8+I11+I14+I16</f>
        <v>1812092.05</v>
      </c>
      <c r="J17" s="265">
        <f t="shared" ref="J17:K17" si="1">J8+J11+J14+J16</f>
        <v>29423.64</v>
      </c>
      <c r="K17" s="265">
        <f t="shared" si="1"/>
        <v>1782668.41</v>
      </c>
      <c r="L17" s="265"/>
      <c r="M17" s="266"/>
      <c r="N17" s="259"/>
      <c r="O17" s="260"/>
      <c r="P17" s="261"/>
    </row>
    <row r="18" spans="1:16" ht="16.2" thickBot="1" x14ac:dyDescent="0.3">
      <c r="C18" s="200"/>
      <c r="E18" s="201">
        <f>SUM(E4:E16)</f>
        <v>14982588.48</v>
      </c>
      <c r="F18" s="202">
        <f>SUM(F4:F16)</f>
        <v>3695023.01</v>
      </c>
      <c r="G18" s="203">
        <f>SUM(G4:G16)</f>
        <v>11287565.470000001</v>
      </c>
      <c r="H18" s="213"/>
      <c r="I18" s="201" t="e">
        <f>#REF!+#REF!+#REF!+I17</f>
        <v>#REF!</v>
      </c>
      <c r="J18" s="201" t="e">
        <f>#REF!+#REF!+#REF!+J17</f>
        <v>#REF!</v>
      </c>
      <c r="K18" s="207" t="e">
        <f>#REF!+#REF!+#REF!+K17</f>
        <v>#REF!</v>
      </c>
      <c r="L18" s="204"/>
      <c r="M18" s="205"/>
      <c r="N18" s="201">
        <f>SUM(N4:N16)</f>
        <v>13170496.430000002</v>
      </c>
      <c r="O18" s="202">
        <f>SUM(O4:O16)</f>
        <v>3665599.37</v>
      </c>
      <c r="P18" s="203">
        <f>SUM(P4:P16)</f>
        <v>9504897.0600000005</v>
      </c>
    </row>
    <row r="19" spans="1:16" x14ac:dyDescent="0.25">
      <c r="C19" s="200"/>
      <c r="E19" s="200"/>
    </row>
    <row r="20" spans="1:16" x14ac:dyDescent="0.25">
      <c r="C20" s="200"/>
    </row>
    <row r="21" spans="1:16" x14ac:dyDescent="0.25">
      <c r="C21" s="200"/>
    </row>
    <row r="22" spans="1:16" x14ac:dyDescent="0.25">
      <c r="C22" s="200"/>
    </row>
    <row r="24" spans="1:16" x14ac:dyDescent="0.25">
      <c r="C24" s="200"/>
    </row>
    <row r="25" spans="1:16" x14ac:dyDescent="0.25">
      <c r="C25" s="200"/>
    </row>
    <row r="26" spans="1:16" x14ac:dyDescent="0.25">
      <c r="C26" s="200"/>
    </row>
    <row r="27" spans="1:16" x14ac:dyDescent="0.25">
      <c r="C27" s="200"/>
    </row>
    <row r="28" spans="1:16" x14ac:dyDescent="0.25">
      <c r="C28" s="200"/>
    </row>
    <row r="29" spans="1:16" x14ac:dyDescent="0.25">
      <c r="C29" s="200"/>
    </row>
    <row r="30" spans="1:16" x14ac:dyDescent="0.25">
      <c r="C30" s="200"/>
    </row>
    <row r="31" spans="1:16" x14ac:dyDescent="0.25">
      <c r="C31" s="200"/>
    </row>
  </sheetData>
  <mergeCells count="13">
    <mergeCell ref="A4:A16"/>
    <mergeCell ref="B4:B16"/>
    <mergeCell ref="C4:C16"/>
    <mergeCell ref="D9:D11"/>
    <mergeCell ref="D4:D8"/>
    <mergeCell ref="D12:D14"/>
    <mergeCell ref="E2:G2"/>
    <mergeCell ref="H2:M2"/>
    <mergeCell ref="N2:P2"/>
    <mergeCell ref="A2:A3"/>
    <mergeCell ref="B2:B3"/>
    <mergeCell ref="C2:C3"/>
    <mergeCell ref="D2:D3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56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0"/>
  <sheetViews>
    <sheetView showWhiteSpace="0" zoomScale="70" zoomScaleNormal="70" zoomScaleSheetLayoutView="76" workbookViewId="0">
      <pane ySplit="5" topLeftCell="A24" activePane="bottomLeft" state="frozen"/>
      <selection pane="bottomLeft" activeCell="G31" sqref="G31"/>
    </sheetView>
  </sheetViews>
  <sheetFormatPr defaultColWidth="9.109375" defaultRowHeight="12" x14ac:dyDescent="0.25"/>
  <cols>
    <col min="1" max="1" width="10.44140625" style="308" customWidth="1"/>
    <col min="2" max="2" width="59.21875" style="308" customWidth="1"/>
    <col min="3" max="3" width="21" style="308" customWidth="1"/>
    <col min="4" max="5" width="20.6640625" style="342" customWidth="1"/>
    <col min="6" max="6" width="24.6640625" style="342" customWidth="1"/>
    <col min="7" max="7" width="30.88671875" style="342" customWidth="1"/>
    <col min="8" max="8" width="21.33203125" style="342" customWidth="1"/>
    <col min="9" max="9" width="29.77734375" style="342" customWidth="1"/>
    <col min="10" max="10" width="16.44140625" style="308" customWidth="1"/>
    <col min="11" max="16384" width="9.109375" style="308"/>
  </cols>
  <sheetData>
    <row r="1" spans="1:34" ht="16.95" customHeight="1" x14ac:dyDescent="0.25">
      <c r="A1" s="749" t="s">
        <v>232</v>
      </c>
      <c r="B1" s="749"/>
      <c r="C1" s="749"/>
      <c r="D1" s="749"/>
      <c r="E1" s="749"/>
      <c r="F1" s="749"/>
      <c r="G1" s="749"/>
      <c r="H1" s="749"/>
      <c r="I1" s="749"/>
    </row>
    <row r="2" spans="1:34" ht="59.4" customHeight="1" x14ac:dyDescent="0.25">
      <c r="A2" s="749"/>
      <c r="B2" s="749"/>
      <c r="C2" s="749"/>
      <c r="D2" s="749"/>
      <c r="E2" s="749"/>
      <c r="F2" s="749"/>
      <c r="G2" s="749"/>
      <c r="H2" s="749"/>
      <c r="I2" s="749"/>
    </row>
    <row r="3" spans="1:34" ht="34.799999999999997" customHeight="1" thickBot="1" x14ac:dyDescent="0.3">
      <c r="A3" s="536"/>
      <c r="B3" s="536"/>
      <c r="C3" s="536"/>
      <c r="D3" s="761" t="s">
        <v>233</v>
      </c>
      <c r="E3" s="761"/>
      <c r="F3" s="761"/>
      <c r="G3" s="536"/>
      <c r="H3" s="536"/>
      <c r="I3" s="536"/>
    </row>
    <row r="4" spans="1:34" ht="31.8" customHeight="1" x14ac:dyDescent="0.25">
      <c r="A4" s="750" t="s">
        <v>124</v>
      </c>
      <c r="B4" s="756" t="s">
        <v>185</v>
      </c>
      <c r="C4" s="762" t="s">
        <v>234</v>
      </c>
      <c r="D4" s="752" t="s">
        <v>190</v>
      </c>
      <c r="E4" s="752" t="s">
        <v>191</v>
      </c>
      <c r="F4" s="752" t="s">
        <v>193</v>
      </c>
      <c r="G4" s="754" t="s">
        <v>9</v>
      </c>
      <c r="H4" s="754" t="s">
        <v>188</v>
      </c>
      <c r="I4" s="754" t="s">
        <v>189</v>
      </c>
    </row>
    <row r="5" spans="1:34" ht="30.6" customHeight="1" x14ac:dyDescent="0.25">
      <c r="A5" s="751"/>
      <c r="B5" s="757"/>
      <c r="C5" s="763"/>
      <c r="D5" s="753"/>
      <c r="E5" s="753"/>
      <c r="F5" s="753"/>
      <c r="G5" s="758"/>
      <c r="H5" s="758"/>
      <c r="I5" s="755"/>
    </row>
    <row r="6" spans="1:34" s="323" customFormat="1" ht="40.200000000000003" customHeight="1" x14ac:dyDescent="0.25">
      <c r="A6" s="548">
        <v>1</v>
      </c>
      <c r="B6" s="549" t="s">
        <v>210</v>
      </c>
      <c r="C6" s="764" t="s">
        <v>235</v>
      </c>
      <c r="D6" s="550"/>
      <c r="E6" s="551"/>
      <c r="F6" s="552">
        <v>12434.74</v>
      </c>
      <c r="G6" s="766" t="s">
        <v>237</v>
      </c>
      <c r="H6" s="550"/>
      <c r="I6" s="550"/>
      <c r="J6" s="318"/>
      <c r="K6" s="318"/>
      <c r="L6" s="318"/>
      <c r="M6" s="318"/>
      <c r="N6" s="318"/>
      <c r="O6" s="318"/>
      <c r="P6" s="318"/>
      <c r="Q6" s="318"/>
      <c r="R6" s="318"/>
      <c r="S6" s="318"/>
      <c r="T6" s="318"/>
      <c r="U6" s="318"/>
      <c r="V6" s="318"/>
      <c r="W6" s="318"/>
      <c r="X6" s="318"/>
      <c r="Y6" s="318"/>
      <c r="Z6" s="318"/>
      <c r="AA6" s="318"/>
      <c r="AB6" s="318"/>
      <c r="AC6" s="318"/>
      <c r="AD6" s="318"/>
      <c r="AE6" s="318"/>
      <c r="AF6" s="318"/>
      <c r="AG6" s="318"/>
      <c r="AH6" s="318"/>
    </row>
    <row r="7" spans="1:34" s="323" customFormat="1" ht="43.8" customHeight="1" x14ac:dyDescent="0.25">
      <c r="A7" s="548">
        <f>A6+1</f>
        <v>2</v>
      </c>
      <c r="B7" s="538" t="s">
        <v>211</v>
      </c>
      <c r="C7" s="764"/>
      <c r="D7" s="539"/>
      <c r="E7" s="553"/>
      <c r="F7" s="542">
        <v>775924.93</v>
      </c>
      <c r="G7" s="766"/>
      <c r="H7" s="541"/>
      <c r="I7" s="554"/>
      <c r="J7" s="318"/>
      <c r="K7" s="318"/>
      <c r="L7" s="318"/>
      <c r="M7" s="318"/>
      <c r="N7" s="318"/>
      <c r="O7" s="318"/>
      <c r="P7" s="318"/>
      <c r="Q7" s="318"/>
      <c r="R7" s="318"/>
      <c r="S7" s="318"/>
      <c r="T7" s="318"/>
      <c r="U7" s="318"/>
      <c r="V7" s="318"/>
      <c r="W7" s="318"/>
      <c r="X7" s="318"/>
      <c r="Y7" s="318"/>
      <c r="Z7" s="318"/>
      <c r="AA7" s="318"/>
      <c r="AB7" s="318"/>
      <c r="AC7" s="318"/>
      <c r="AD7" s="318"/>
      <c r="AE7" s="318"/>
      <c r="AF7" s="318"/>
      <c r="AG7" s="318"/>
      <c r="AH7" s="318"/>
    </row>
    <row r="8" spans="1:34" s="323" customFormat="1" ht="47.4" customHeight="1" x14ac:dyDescent="0.25">
      <c r="A8" s="548">
        <f t="shared" ref="A8:A27" si="0">A7+1</f>
        <v>3</v>
      </c>
      <c r="B8" s="564" t="s">
        <v>212</v>
      </c>
      <c r="C8" s="764"/>
      <c r="D8" s="555"/>
      <c r="E8" s="539"/>
      <c r="F8" s="540">
        <v>1435680</v>
      </c>
      <c r="G8" s="766"/>
      <c r="H8" s="539"/>
      <c r="I8" s="554"/>
      <c r="J8" s="318"/>
      <c r="K8" s="318"/>
      <c r="L8" s="318"/>
      <c r="M8" s="318"/>
      <c r="N8" s="318"/>
      <c r="O8" s="318"/>
      <c r="P8" s="318"/>
      <c r="Q8" s="318"/>
      <c r="R8" s="318"/>
      <c r="S8" s="318"/>
      <c r="T8" s="318"/>
      <c r="U8" s="318"/>
      <c r="V8" s="318"/>
      <c r="W8" s="318"/>
      <c r="X8" s="318"/>
      <c r="Y8" s="318"/>
      <c r="Z8" s="318"/>
      <c r="AA8" s="318"/>
      <c r="AB8" s="318"/>
      <c r="AC8" s="318"/>
      <c r="AD8" s="318"/>
      <c r="AE8" s="318"/>
      <c r="AF8" s="318"/>
      <c r="AG8" s="318"/>
      <c r="AH8" s="318"/>
    </row>
    <row r="9" spans="1:34" s="323" customFormat="1" ht="33" customHeight="1" x14ac:dyDescent="0.25">
      <c r="A9" s="548">
        <f t="shared" si="0"/>
        <v>4</v>
      </c>
      <c r="B9" s="544" t="s">
        <v>213</v>
      </c>
      <c r="C9" s="764"/>
      <c r="D9" s="555"/>
      <c r="E9" s="539"/>
      <c r="F9" s="540">
        <v>117868.46</v>
      </c>
      <c r="G9" s="766"/>
      <c r="H9" s="539"/>
      <c r="I9" s="543"/>
      <c r="J9" s="318"/>
      <c r="K9" s="318"/>
      <c r="L9" s="318"/>
      <c r="M9" s="318"/>
      <c r="N9" s="318"/>
      <c r="O9" s="318"/>
      <c r="P9" s="318"/>
      <c r="Q9" s="318"/>
      <c r="R9" s="318"/>
      <c r="S9" s="318"/>
      <c r="T9" s="318"/>
      <c r="U9" s="318"/>
      <c r="V9" s="318"/>
      <c r="W9" s="318"/>
      <c r="X9" s="318"/>
      <c r="Y9" s="318"/>
      <c r="Z9" s="318"/>
      <c r="AA9" s="318"/>
      <c r="AB9" s="318"/>
      <c r="AC9" s="318"/>
      <c r="AD9" s="318"/>
      <c r="AE9" s="318"/>
      <c r="AF9" s="318"/>
      <c r="AG9" s="318"/>
      <c r="AH9" s="318"/>
    </row>
    <row r="10" spans="1:34" s="323" customFormat="1" ht="44.4" customHeight="1" x14ac:dyDescent="0.25">
      <c r="A10" s="548">
        <f t="shared" si="0"/>
        <v>5</v>
      </c>
      <c r="B10" s="549" t="s">
        <v>214</v>
      </c>
      <c r="C10" s="764"/>
      <c r="D10" s="550"/>
      <c r="E10" s="551"/>
      <c r="F10" s="552">
        <v>4049560.79</v>
      </c>
      <c r="G10" s="766"/>
      <c r="H10" s="550"/>
      <c r="I10" s="550"/>
      <c r="J10" s="318"/>
      <c r="K10" s="318"/>
      <c r="L10" s="318"/>
      <c r="M10" s="318"/>
      <c r="N10" s="318"/>
      <c r="O10" s="318"/>
      <c r="P10" s="318"/>
      <c r="Q10" s="318"/>
      <c r="R10" s="318"/>
      <c r="S10" s="318"/>
      <c r="T10" s="318"/>
      <c r="U10" s="318"/>
      <c r="V10" s="318"/>
      <c r="W10" s="318"/>
      <c r="X10" s="318"/>
      <c r="Y10" s="318"/>
      <c r="Z10" s="318"/>
      <c r="AA10" s="318"/>
      <c r="AB10" s="318"/>
      <c r="AC10" s="318"/>
      <c r="AD10" s="318"/>
      <c r="AE10" s="318"/>
      <c r="AF10" s="318"/>
      <c r="AG10" s="318"/>
      <c r="AH10" s="318"/>
    </row>
    <row r="11" spans="1:34" s="323" customFormat="1" ht="31.2" customHeight="1" x14ac:dyDescent="0.25">
      <c r="A11" s="548">
        <f t="shared" si="0"/>
        <v>6</v>
      </c>
      <c r="B11" s="538" t="s">
        <v>215</v>
      </c>
      <c r="C11" s="764"/>
      <c r="D11" s="539"/>
      <c r="E11" s="553"/>
      <c r="F11" s="542">
        <v>121951.34</v>
      </c>
      <c r="G11" s="766"/>
      <c r="H11" s="541"/>
      <c r="I11" s="554"/>
      <c r="J11" s="318"/>
      <c r="K11" s="318"/>
      <c r="L11" s="318"/>
      <c r="M11" s="318"/>
      <c r="N11" s="318"/>
      <c r="O11" s="318"/>
      <c r="P11" s="318"/>
      <c r="Q11" s="318"/>
      <c r="R11" s="318"/>
      <c r="S11" s="318"/>
      <c r="T11" s="318"/>
      <c r="U11" s="318"/>
      <c r="V11" s="318"/>
      <c r="W11" s="318"/>
      <c r="X11" s="318"/>
      <c r="Y11" s="318"/>
      <c r="Z11" s="318"/>
      <c r="AA11" s="318"/>
      <c r="AB11" s="318"/>
      <c r="AC11" s="318"/>
      <c r="AD11" s="318"/>
      <c r="AE11" s="318"/>
      <c r="AF11" s="318"/>
      <c r="AG11" s="318"/>
      <c r="AH11" s="318"/>
    </row>
    <row r="12" spans="1:34" s="323" customFormat="1" ht="33.6" customHeight="1" x14ac:dyDescent="0.25">
      <c r="A12" s="548">
        <f t="shared" si="0"/>
        <v>7</v>
      </c>
      <c r="B12" s="544" t="s">
        <v>216</v>
      </c>
      <c r="C12" s="764"/>
      <c r="D12" s="555"/>
      <c r="E12" s="539"/>
      <c r="F12" s="540">
        <v>585897.12</v>
      </c>
      <c r="G12" s="766"/>
      <c r="H12" s="539"/>
      <c r="I12" s="554"/>
      <c r="J12" s="318"/>
      <c r="K12" s="318"/>
      <c r="L12" s="318"/>
      <c r="M12" s="318"/>
      <c r="N12" s="318"/>
      <c r="O12" s="318"/>
      <c r="P12" s="318"/>
      <c r="Q12" s="318"/>
      <c r="R12" s="318"/>
      <c r="S12" s="318"/>
      <c r="T12" s="318"/>
      <c r="U12" s="318"/>
      <c r="V12" s="318"/>
      <c r="W12" s="318"/>
      <c r="X12" s="318"/>
      <c r="Y12" s="318"/>
      <c r="Z12" s="318"/>
      <c r="AA12" s="318"/>
      <c r="AB12" s="318"/>
      <c r="AC12" s="318"/>
      <c r="AD12" s="318"/>
      <c r="AE12" s="318"/>
      <c r="AF12" s="318"/>
      <c r="AG12" s="318"/>
      <c r="AH12" s="318"/>
    </row>
    <row r="13" spans="1:34" s="323" customFormat="1" ht="34.799999999999997" customHeight="1" x14ac:dyDescent="0.25">
      <c r="A13" s="548">
        <f t="shared" si="0"/>
        <v>8</v>
      </c>
      <c r="B13" s="549" t="s">
        <v>217</v>
      </c>
      <c r="C13" s="764"/>
      <c r="D13" s="550"/>
      <c r="E13" s="551"/>
      <c r="F13" s="552">
        <v>512538.17</v>
      </c>
      <c r="G13" s="766"/>
      <c r="H13" s="550"/>
      <c r="I13" s="550"/>
      <c r="J13" s="318"/>
      <c r="K13" s="318"/>
      <c r="L13" s="318"/>
      <c r="M13" s="318"/>
      <c r="N13" s="318"/>
      <c r="O13" s="318"/>
      <c r="P13" s="318"/>
      <c r="Q13" s="318"/>
      <c r="R13" s="318"/>
      <c r="S13" s="318"/>
      <c r="T13" s="318"/>
      <c r="U13" s="318"/>
      <c r="V13" s="318"/>
      <c r="W13" s="318"/>
      <c r="X13" s="318"/>
      <c r="Y13" s="318"/>
      <c r="Z13" s="318"/>
      <c r="AA13" s="318"/>
      <c r="AB13" s="318"/>
      <c r="AC13" s="318"/>
      <c r="AD13" s="318"/>
      <c r="AE13" s="318"/>
      <c r="AF13" s="318"/>
      <c r="AG13" s="318"/>
      <c r="AH13" s="318"/>
    </row>
    <row r="14" spans="1:34" s="323" customFormat="1" ht="37.799999999999997" customHeight="1" x14ac:dyDescent="0.25">
      <c r="A14" s="548">
        <f t="shared" si="0"/>
        <v>9</v>
      </c>
      <c r="B14" s="538" t="s">
        <v>218</v>
      </c>
      <c r="C14" s="764"/>
      <c r="D14" s="539"/>
      <c r="E14" s="553"/>
      <c r="F14" s="542">
        <v>5299206.9800000004</v>
      </c>
      <c r="G14" s="766"/>
      <c r="H14" s="541"/>
      <c r="I14" s="554"/>
      <c r="J14" s="318"/>
      <c r="K14" s="318"/>
      <c r="L14" s="318"/>
      <c r="M14" s="318"/>
      <c r="N14" s="318"/>
      <c r="O14" s="318"/>
      <c r="P14" s="318"/>
      <c r="Q14" s="318"/>
      <c r="R14" s="318"/>
      <c r="S14" s="318"/>
      <c r="T14" s="318"/>
      <c r="U14" s="318"/>
      <c r="V14" s="318"/>
      <c r="W14" s="318"/>
      <c r="X14" s="318"/>
      <c r="Y14" s="318"/>
      <c r="Z14" s="318"/>
      <c r="AA14" s="318"/>
      <c r="AB14" s="318"/>
      <c r="AC14" s="318"/>
      <c r="AD14" s="318"/>
      <c r="AE14" s="318"/>
      <c r="AF14" s="318"/>
      <c r="AG14" s="318"/>
      <c r="AH14" s="318"/>
    </row>
    <row r="15" spans="1:34" s="323" customFormat="1" ht="37.200000000000003" customHeight="1" x14ac:dyDescent="0.25">
      <c r="A15" s="548">
        <f t="shared" si="0"/>
        <v>10</v>
      </c>
      <c r="B15" s="544" t="s">
        <v>219</v>
      </c>
      <c r="C15" s="764"/>
      <c r="D15" s="555"/>
      <c r="E15" s="539"/>
      <c r="F15" s="540">
        <v>408096.48</v>
      </c>
      <c r="G15" s="766"/>
      <c r="H15" s="539"/>
      <c r="I15" s="554"/>
      <c r="J15" s="318"/>
      <c r="K15" s="318"/>
      <c r="L15" s="318"/>
      <c r="M15" s="318"/>
      <c r="N15" s="318"/>
      <c r="O15" s="318"/>
      <c r="P15" s="318"/>
      <c r="Q15" s="318"/>
      <c r="R15" s="318"/>
      <c r="S15" s="318"/>
      <c r="T15" s="318"/>
      <c r="U15" s="318"/>
      <c r="V15" s="318"/>
      <c r="W15" s="318"/>
      <c r="X15" s="318"/>
      <c r="Y15" s="318"/>
      <c r="Z15" s="318"/>
      <c r="AA15" s="318"/>
      <c r="AB15" s="318"/>
      <c r="AC15" s="318"/>
      <c r="AD15" s="318"/>
      <c r="AE15" s="318"/>
      <c r="AF15" s="318"/>
      <c r="AG15" s="318"/>
      <c r="AH15" s="318"/>
    </row>
    <row r="16" spans="1:34" s="323" customFormat="1" ht="33.6" customHeight="1" x14ac:dyDescent="0.25">
      <c r="A16" s="548">
        <f t="shared" si="0"/>
        <v>11</v>
      </c>
      <c r="B16" s="544" t="s">
        <v>220</v>
      </c>
      <c r="C16" s="764"/>
      <c r="D16" s="555"/>
      <c r="E16" s="539"/>
      <c r="F16" s="540">
        <v>702045.67</v>
      </c>
      <c r="G16" s="766"/>
      <c r="H16" s="539"/>
      <c r="I16" s="543"/>
      <c r="J16" s="318"/>
      <c r="K16" s="318"/>
      <c r="L16" s="318"/>
      <c r="M16" s="318"/>
      <c r="N16" s="318"/>
      <c r="O16" s="318"/>
      <c r="P16" s="318"/>
      <c r="Q16" s="318"/>
      <c r="R16" s="318"/>
      <c r="S16" s="318"/>
      <c r="T16" s="318"/>
      <c r="U16" s="318"/>
      <c r="V16" s="318"/>
      <c r="W16" s="318"/>
      <c r="X16" s="318"/>
      <c r="Y16" s="318"/>
      <c r="Z16" s="318"/>
      <c r="AA16" s="318"/>
      <c r="AB16" s="318"/>
      <c r="AC16" s="318"/>
      <c r="AD16" s="318"/>
      <c r="AE16" s="318"/>
      <c r="AF16" s="318"/>
      <c r="AG16" s="318"/>
      <c r="AH16" s="318"/>
    </row>
    <row r="17" spans="1:34" s="323" customFormat="1" ht="43.2" customHeight="1" x14ac:dyDescent="0.25">
      <c r="A17" s="548">
        <f t="shared" si="0"/>
        <v>12</v>
      </c>
      <c r="B17" s="549" t="s">
        <v>221</v>
      </c>
      <c r="C17" s="764"/>
      <c r="D17" s="550"/>
      <c r="E17" s="551"/>
      <c r="F17" s="552">
        <v>744021.82</v>
      </c>
      <c r="G17" s="766"/>
      <c r="H17" s="550"/>
      <c r="I17" s="550"/>
      <c r="J17" s="318"/>
      <c r="K17" s="318"/>
      <c r="L17" s="318"/>
      <c r="M17" s="318"/>
      <c r="N17" s="318"/>
      <c r="O17" s="318"/>
      <c r="P17" s="318"/>
      <c r="Q17" s="318"/>
      <c r="R17" s="318"/>
      <c r="S17" s="318"/>
      <c r="T17" s="318"/>
      <c r="U17" s="318"/>
      <c r="V17" s="318"/>
      <c r="W17" s="318"/>
      <c r="X17" s="318"/>
      <c r="Y17" s="318"/>
      <c r="Z17" s="318"/>
      <c r="AA17" s="318"/>
      <c r="AB17" s="318"/>
      <c r="AC17" s="318"/>
      <c r="AD17" s="318"/>
      <c r="AE17" s="318"/>
      <c r="AF17" s="318"/>
      <c r="AG17" s="318"/>
      <c r="AH17" s="318"/>
    </row>
    <row r="18" spans="1:34" s="323" customFormat="1" ht="31.8" customHeight="1" x14ac:dyDescent="0.25">
      <c r="A18" s="548">
        <f t="shared" si="0"/>
        <v>13</v>
      </c>
      <c r="B18" s="538" t="s">
        <v>222</v>
      </c>
      <c r="C18" s="764"/>
      <c r="D18" s="539"/>
      <c r="E18" s="553"/>
      <c r="F18" s="542">
        <v>2383935.7000000002</v>
      </c>
      <c r="G18" s="766"/>
      <c r="H18" s="541"/>
      <c r="I18" s="554"/>
      <c r="J18" s="318"/>
      <c r="K18" s="318"/>
      <c r="L18" s="318"/>
      <c r="M18" s="318"/>
      <c r="N18" s="318"/>
      <c r="O18" s="318"/>
      <c r="P18" s="318"/>
      <c r="Q18" s="318"/>
      <c r="R18" s="318"/>
      <c r="S18" s="318"/>
      <c r="T18" s="318"/>
      <c r="U18" s="318"/>
      <c r="V18" s="318"/>
      <c r="W18" s="318"/>
      <c r="X18" s="318"/>
      <c r="Y18" s="318"/>
      <c r="Z18" s="318"/>
      <c r="AA18" s="318"/>
      <c r="AB18" s="318"/>
      <c r="AC18" s="318"/>
      <c r="AD18" s="318"/>
      <c r="AE18" s="318"/>
      <c r="AF18" s="318"/>
      <c r="AG18" s="318"/>
      <c r="AH18" s="318"/>
    </row>
    <row r="19" spans="1:34" s="323" customFormat="1" ht="36.6" customHeight="1" x14ac:dyDescent="0.25">
      <c r="A19" s="548">
        <f t="shared" si="0"/>
        <v>14</v>
      </c>
      <c r="B19" s="544" t="s">
        <v>223</v>
      </c>
      <c r="C19" s="764"/>
      <c r="D19" s="555"/>
      <c r="E19" s="539"/>
      <c r="F19" s="540">
        <v>422734.58</v>
      </c>
      <c r="G19" s="766"/>
      <c r="H19" s="539"/>
      <c r="I19" s="554"/>
      <c r="J19" s="318"/>
      <c r="K19" s="318"/>
      <c r="L19" s="318"/>
      <c r="M19" s="318"/>
      <c r="N19" s="318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318"/>
      <c r="AA19" s="318"/>
      <c r="AB19" s="318"/>
      <c r="AC19" s="318"/>
      <c r="AD19" s="318"/>
      <c r="AE19" s="318"/>
      <c r="AF19" s="318"/>
      <c r="AG19" s="318"/>
      <c r="AH19" s="318"/>
    </row>
    <row r="20" spans="1:34" s="323" customFormat="1" ht="44.4" customHeight="1" x14ac:dyDescent="0.25">
      <c r="A20" s="548">
        <f t="shared" si="0"/>
        <v>15</v>
      </c>
      <c r="B20" s="549" t="s">
        <v>224</v>
      </c>
      <c r="C20" s="764"/>
      <c r="D20" s="550"/>
      <c r="E20" s="551"/>
      <c r="F20" s="552">
        <v>165729.51</v>
      </c>
      <c r="G20" s="766"/>
      <c r="H20" s="550"/>
      <c r="I20" s="550"/>
      <c r="J20" s="318"/>
      <c r="K20" s="318"/>
      <c r="L20" s="318"/>
      <c r="M20" s="318"/>
      <c r="N20" s="318"/>
      <c r="O20" s="318"/>
      <c r="P20" s="318"/>
      <c r="Q20" s="318"/>
      <c r="R20" s="318"/>
      <c r="S20" s="318"/>
      <c r="T20" s="318"/>
      <c r="U20" s="318"/>
      <c r="V20" s="318"/>
      <c r="W20" s="318"/>
      <c r="X20" s="318"/>
      <c r="Y20" s="318"/>
      <c r="Z20" s="318"/>
      <c r="AA20" s="318"/>
      <c r="AB20" s="318"/>
      <c r="AC20" s="318"/>
      <c r="AD20" s="318"/>
      <c r="AE20" s="318"/>
      <c r="AF20" s="318"/>
      <c r="AG20" s="318"/>
      <c r="AH20" s="318"/>
    </row>
    <row r="21" spans="1:34" s="323" customFormat="1" ht="43.8" customHeight="1" x14ac:dyDescent="0.25">
      <c r="A21" s="548">
        <f t="shared" si="0"/>
        <v>16</v>
      </c>
      <c r="B21" s="538" t="s">
        <v>225</v>
      </c>
      <c r="C21" s="764"/>
      <c r="D21" s="539"/>
      <c r="E21" s="553"/>
      <c r="F21" s="542">
        <v>545571.43000000005</v>
      </c>
      <c r="G21" s="766"/>
      <c r="H21" s="541"/>
      <c r="I21" s="554"/>
      <c r="J21" s="318"/>
      <c r="K21" s="318"/>
      <c r="L21" s="318"/>
      <c r="M21" s="318"/>
      <c r="N21" s="318"/>
      <c r="O21" s="318"/>
      <c r="P21" s="318"/>
      <c r="Q21" s="318"/>
      <c r="R21" s="318"/>
      <c r="S21" s="318"/>
      <c r="T21" s="318"/>
      <c r="U21" s="318"/>
      <c r="V21" s="318"/>
      <c r="W21" s="318"/>
      <c r="X21" s="318"/>
      <c r="Y21" s="318"/>
      <c r="Z21" s="318"/>
      <c r="AA21" s="318"/>
      <c r="AB21" s="318"/>
      <c r="AC21" s="318"/>
      <c r="AD21" s="318"/>
      <c r="AE21" s="318"/>
      <c r="AF21" s="318"/>
      <c r="AG21" s="318"/>
      <c r="AH21" s="318"/>
    </row>
    <row r="22" spans="1:34" s="323" customFormat="1" ht="52.2" customHeight="1" x14ac:dyDescent="0.25">
      <c r="A22" s="548">
        <f t="shared" si="0"/>
        <v>17</v>
      </c>
      <c r="B22" s="544" t="s">
        <v>226</v>
      </c>
      <c r="C22" s="764"/>
      <c r="D22" s="555"/>
      <c r="E22" s="539"/>
      <c r="F22" s="540">
        <v>68093.440000000002</v>
      </c>
      <c r="G22" s="766"/>
      <c r="H22" s="539"/>
      <c r="I22" s="554"/>
      <c r="J22" s="318"/>
      <c r="K22" s="318"/>
      <c r="L22" s="318"/>
      <c r="M22" s="318"/>
      <c r="N22" s="318"/>
      <c r="O22" s="318"/>
      <c r="P22" s="318"/>
      <c r="Q22" s="318"/>
      <c r="R22" s="318"/>
      <c r="S22" s="318"/>
      <c r="T22" s="318"/>
      <c r="U22" s="318"/>
      <c r="V22" s="318"/>
      <c r="W22" s="318"/>
      <c r="X22" s="318"/>
      <c r="Y22" s="318"/>
      <c r="Z22" s="318"/>
      <c r="AA22" s="318"/>
      <c r="AB22" s="318"/>
      <c r="AC22" s="318"/>
      <c r="AD22" s="318"/>
      <c r="AE22" s="318"/>
      <c r="AF22" s="318"/>
      <c r="AG22" s="318"/>
      <c r="AH22" s="318"/>
    </row>
    <row r="23" spans="1:34" s="323" customFormat="1" ht="31.2" customHeight="1" x14ac:dyDescent="0.25">
      <c r="A23" s="548">
        <f t="shared" si="0"/>
        <v>18</v>
      </c>
      <c r="B23" s="544" t="s">
        <v>227</v>
      </c>
      <c r="C23" s="764"/>
      <c r="D23" s="555"/>
      <c r="E23" s="539"/>
      <c r="F23" s="540">
        <v>27263303.890000001</v>
      </c>
      <c r="G23" s="766"/>
      <c r="H23" s="539"/>
      <c r="I23" s="543"/>
      <c r="J23" s="318"/>
      <c r="K23" s="318"/>
      <c r="L23" s="318"/>
      <c r="M23" s="318"/>
      <c r="N23" s="318"/>
      <c r="O23" s="318"/>
      <c r="P23" s="318"/>
      <c r="Q23" s="318"/>
      <c r="R23" s="318"/>
      <c r="S23" s="318"/>
      <c r="T23" s="318"/>
      <c r="U23" s="318"/>
      <c r="V23" s="318"/>
      <c r="W23" s="318"/>
      <c r="X23" s="318"/>
      <c r="Y23" s="318"/>
      <c r="Z23" s="318"/>
      <c r="AA23" s="318"/>
      <c r="AB23" s="318"/>
      <c r="AC23" s="318"/>
      <c r="AD23" s="318"/>
      <c r="AE23" s="318"/>
      <c r="AF23" s="318"/>
      <c r="AG23" s="318"/>
      <c r="AH23" s="318"/>
    </row>
    <row r="24" spans="1:34" s="323" customFormat="1" ht="34.200000000000003" customHeight="1" x14ac:dyDescent="0.25">
      <c r="A24" s="548">
        <f t="shared" si="0"/>
        <v>19</v>
      </c>
      <c r="B24" s="549" t="s">
        <v>228</v>
      </c>
      <c r="C24" s="764"/>
      <c r="D24" s="550"/>
      <c r="E24" s="551"/>
      <c r="F24" s="759">
        <v>4885307.53</v>
      </c>
      <c r="G24" s="766"/>
      <c r="H24" s="550"/>
      <c r="I24" s="550"/>
      <c r="J24" s="318"/>
      <c r="K24" s="318"/>
      <c r="L24" s="318"/>
      <c r="M24" s="318"/>
      <c r="N24" s="318"/>
      <c r="O24" s="318"/>
      <c r="P24" s="318"/>
      <c r="Q24" s="318"/>
      <c r="R24" s="318"/>
      <c r="S24" s="318"/>
      <c r="T24" s="318"/>
      <c r="U24" s="318"/>
      <c r="V24" s="318"/>
      <c r="W24" s="318"/>
      <c r="X24" s="318"/>
      <c r="Y24" s="318"/>
      <c r="Z24" s="318"/>
      <c r="AA24" s="318"/>
      <c r="AB24" s="318"/>
      <c r="AC24" s="318"/>
      <c r="AD24" s="318"/>
      <c r="AE24" s="318"/>
      <c r="AF24" s="318"/>
      <c r="AG24" s="318"/>
      <c r="AH24" s="318"/>
    </row>
    <row r="25" spans="1:34" s="323" customFormat="1" ht="37.200000000000003" customHeight="1" x14ac:dyDescent="0.25">
      <c r="A25" s="548">
        <f t="shared" si="0"/>
        <v>20</v>
      </c>
      <c r="B25" s="538" t="s">
        <v>229</v>
      </c>
      <c r="C25" s="764"/>
      <c r="D25" s="539"/>
      <c r="E25" s="553"/>
      <c r="F25" s="760"/>
      <c r="G25" s="766"/>
      <c r="H25" s="541"/>
      <c r="I25" s="554"/>
      <c r="J25" s="318"/>
      <c r="K25" s="318"/>
      <c r="L25" s="318"/>
      <c r="M25" s="318"/>
      <c r="N25" s="318"/>
      <c r="O25" s="318"/>
      <c r="P25" s="318"/>
      <c r="Q25" s="318"/>
      <c r="R25" s="318"/>
      <c r="S25" s="318"/>
      <c r="T25" s="318"/>
      <c r="U25" s="318"/>
      <c r="V25" s="318"/>
      <c r="W25" s="318"/>
      <c r="X25" s="318"/>
      <c r="Y25" s="318"/>
      <c r="Z25" s="318"/>
      <c r="AA25" s="318"/>
      <c r="AB25" s="318"/>
      <c r="AC25" s="318"/>
      <c r="AD25" s="318"/>
      <c r="AE25" s="318"/>
      <c r="AF25" s="318"/>
      <c r="AG25" s="318"/>
      <c r="AH25" s="318"/>
    </row>
    <row r="26" spans="1:34" s="323" customFormat="1" ht="34.200000000000003" customHeight="1" x14ac:dyDescent="0.25">
      <c r="A26" s="548">
        <f t="shared" si="0"/>
        <v>21</v>
      </c>
      <c r="B26" s="544" t="s">
        <v>230</v>
      </c>
      <c r="C26" s="764"/>
      <c r="D26" s="555"/>
      <c r="E26" s="539"/>
      <c r="F26" s="540">
        <v>255500</v>
      </c>
      <c r="G26" s="766"/>
      <c r="H26" s="539"/>
      <c r="I26" s="554"/>
      <c r="J26" s="318"/>
      <c r="K26" s="318"/>
      <c r="L26" s="318"/>
      <c r="M26" s="318"/>
      <c r="N26" s="318"/>
      <c r="O26" s="318"/>
      <c r="P26" s="318"/>
      <c r="Q26" s="318"/>
      <c r="R26" s="318"/>
      <c r="S26" s="318"/>
      <c r="T26" s="318"/>
      <c r="U26" s="318"/>
      <c r="V26" s="318"/>
      <c r="W26" s="318"/>
      <c r="X26" s="318"/>
      <c r="Y26" s="318"/>
      <c r="Z26" s="318"/>
      <c r="AA26" s="318"/>
      <c r="AB26" s="318"/>
      <c r="AC26" s="318"/>
      <c r="AD26" s="318"/>
      <c r="AE26" s="318"/>
      <c r="AF26" s="318"/>
      <c r="AG26" s="318"/>
      <c r="AH26" s="318"/>
    </row>
    <row r="27" spans="1:34" s="323" customFormat="1" ht="39" customHeight="1" x14ac:dyDescent="0.25">
      <c r="A27" s="548">
        <f t="shared" si="0"/>
        <v>22</v>
      </c>
      <c r="B27" s="549" t="s">
        <v>231</v>
      </c>
      <c r="C27" s="765"/>
      <c r="D27" s="550"/>
      <c r="E27" s="551"/>
      <c r="F27" s="552">
        <v>220000</v>
      </c>
      <c r="G27" s="767"/>
      <c r="H27" s="550"/>
      <c r="I27" s="550"/>
      <c r="J27" s="318"/>
      <c r="K27" s="318"/>
      <c r="L27" s="318"/>
      <c r="M27" s="318"/>
      <c r="N27" s="318"/>
      <c r="O27" s="318"/>
      <c r="P27" s="318"/>
      <c r="Q27" s="318"/>
      <c r="R27" s="318"/>
      <c r="S27" s="318"/>
      <c r="T27" s="318"/>
      <c r="U27" s="318"/>
      <c r="V27" s="318"/>
      <c r="W27" s="318"/>
      <c r="X27" s="318"/>
      <c r="Y27" s="318"/>
      <c r="Z27" s="318"/>
      <c r="AA27" s="318"/>
      <c r="AB27" s="318"/>
      <c r="AC27" s="318"/>
      <c r="AD27" s="318"/>
      <c r="AE27" s="318"/>
      <c r="AF27" s="318"/>
      <c r="AG27" s="318"/>
      <c r="AH27" s="318"/>
    </row>
    <row r="28" spans="1:34" s="323" customFormat="1" ht="69.599999999999994" customHeight="1" x14ac:dyDescent="0.25">
      <c r="A28" s="565"/>
      <c r="B28" s="566" t="s">
        <v>236</v>
      </c>
      <c r="C28" s="567"/>
      <c r="D28" s="568">
        <v>457389.44999999995</v>
      </c>
      <c r="E28" s="569">
        <v>26059.840799999998</v>
      </c>
      <c r="F28" s="570">
        <v>481468.45</v>
      </c>
      <c r="G28" s="571" t="s">
        <v>275</v>
      </c>
      <c r="H28" s="572">
        <v>45468</v>
      </c>
      <c r="I28" s="583" t="s">
        <v>277</v>
      </c>
      <c r="J28" s="318"/>
      <c r="K28" s="318"/>
      <c r="L28" s="318"/>
      <c r="M28" s="318"/>
      <c r="N28" s="318"/>
      <c r="O28" s="318"/>
      <c r="P28" s="318"/>
      <c r="Q28" s="318"/>
      <c r="R28" s="318"/>
      <c r="S28" s="318"/>
      <c r="T28" s="318"/>
      <c r="U28" s="318"/>
      <c r="V28" s="318"/>
      <c r="W28" s="318"/>
      <c r="X28" s="318"/>
      <c r="Y28" s="318"/>
      <c r="Z28" s="318"/>
      <c r="AA28" s="318"/>
      <c r="AB28" s="318"/>
      <c r="AC28" s="318"/>
      <c r="AD28" s="318"/>
      <c r="AE28" s="318"/>
      <c r="AF28" s="318"/>
      <c r="AG28" s="318"/>
      <c r="AH28" s="318"/>
    </row>
    <row r="29" spans="1:34" s="307" customFormat="1" ht="57" customHeight="1" x14ac:dyDescent="0.25">
      <c r="A29" s="574"/>
      <c r="B29" s="575" t="s">
        <v>238</v>
      </c>
      <c r="C29" s="576" t="s">
        <v>328</v>
      </c>
      <c r="D29" s="577">
        <f>F29</f>
        <v>377607.41</v>
      </c>
      <c r="E29" s="578"/>
      <c r="F29" s="579">
        <v>377607.41</v>
      </c>
      <c r="G29" s="580" t="s">
        <v>326</v>
      </c>
      <c r="H29" s="581"/>
      <c r="I29" s="582"/>
    </row>
    <row r="30" spans="1:34" s="585" customFormat="1" ht="76.2" customHeight="1" x14ac:dyDescent="0.25">
      <c r="A30" s="597"/>
      <c r="B30" s="598" t="s">
        <v>276</v>
      </c>
      <c r="C30" s="599"/>
      <c r="D30" s="600">
        <v>114260</v>
      </c>
      <c r="E30" s="601">
        <f>F30-D30</f>
        <v>138118.65</v>
      </c>
      <c r="F30" s="602">
        <v>252378.65</v>
      </c>
      <c r="G30" s="603" t="s">
        <v>275</v>
      </c>
      <c r="H30" s="604">
        <v>45503</v>
      </c>
      <c r="I30" s="605" t="s">
        <v>294</v>
      </c>
      <c r="J30" s="584"/>
      <c r="K30" s="584"/>
      <c r="L30" s="584"/>
      <c r="M30" s="584"/>
      <c r="N30" s="584"/>
      <c r="O30" s="584"/>
      <c r="P30" s="584"/>
      <c r="Q30" s="584"/>
      <c r="R30" s="584"/>
      <c r="S30" s="584"/>
      <c r="T30" s="584"/>
      <c r="U30" s="584"/>
      <c r="V30" s="584"/>
      <c r="W30" s="584"/>
      <c r="X30" s="584"/>
      <c r="Y30" s="584"/>
      <c r="Z30" s="584"/>
      <c r="AA30" s="584"/>
      <c r="AB30" s="584"/>
      <c r="AC30" s="584"/>
      <c r="AD30" s="584"/>
      <c r="AE30" s="584"/>
      <c r="AF30" s="584"/>
      <c r="AG30" s="584"/>
      <c r="AH30" s="584"/>
    </row>
    <row r="31" spans="1:34" s="323" customFormat="1" ht="95.4" customHeight="1" x14ac:dyDescent="0.25">
      <c r="A31" s="548"/>
      <c r="B31" s="549" t="s">
        <v>327</v>
      </c>
      <c r="C31" s="549"/>
      <c r="D31" s="550">
        <f>F31</f>
        <v>3726000</v>
      </c>
      <c r="E31" s="551"/>
      <c r="F31" s="552">
        <f>3428000+298000</f>
        <v>3726000</v>
      </c>
      <c r="G31" s="608" t="s">
        <v>338</v>
      </c>
      <c r="H31" s="609"/>
      <c r="I31" s="550"/>
      <c r="J31" s="318"/>
      <c r="K31" s="318"/>
      <c r="L31" s="318"/>
      <c r="M31" s="318"/>
      <c r="N31" s="318"/>
      <c r="O31" s="318"/>
      <c r="P31" s="318"/>
      <c r="Q31" s="318"/>
      <c r="R31" s="318"/>
      <c r="S31" s="318"/>
      <c r="T31" s="318"/>
      <c r="U31" s="318"/>
      <c r="V31" s="318"/>
      <c r="W31" s="318"/>
      <c r="X31" s="318"/>
      <c r="Y31" s="318"/>
      <c r="Z31" s="318"/>
      <c r="AA31" s="318"/>
      <c r="AB31" s="318"/>
      <c r="AC31" s="318"/>
      <c r="AD31" s="318"/>
      <c r="AE31" s="318"/>
      <c r="AF31" s="318"/>
      <c r="AG31" s="318"/>
      <c r="AH31" s="318"/>
    </row>
    <row r="32" spans="1:34" s="323" customFormat="1" ht="48.6" customHeight="1" x14ac:dyDescent="0.25">
      <c r="A32" s="548"/>
      <c r="B32" s="538" t="s">
        <v>339</v>
      </c>
      <c r="C32" s="538"/>
      <c r="D32" s="539">
        <f>F32-E32</f>
        <v>2026266.6459999999</v>
      </c>
      <c r="E32" s="553">
        <f>554309.57*1.2</f>
        <v>665171.48399999994</v>
      </c>
      <c r="F32" s="542">
        <v>2691438.13</v>
      </c>
      <c r="G32" s="610" t="s">
        <v>275</v>
      </c>
      <c r="H32" s="573">
        <v>45573</v>
      </c>
      <c r="I32" s="554"/>
      <c r="J32" s="318"/>
      <c r="K32" s="318"/>
      <c r="L32" s="318"/>
      <c r="M32" s="318"/>
      <c r="N32" s="318"/>
      <c r="O32" s="318"/>
      <c r="P32" s="318"/>
      <c r="Q32" s="318"/>
      <c r="R32" s="318"/>
      <c r="S32" s="318"/>
      <c r="T32" s="318"/>
      <c r="U32" s="318"/>
      <c r="V32" s="318"/>
      <c r="W32" s="318"/>
      <c r="X32" s="318"/>
      <c r="Y32" s="318"/>
      <c r="Z32" s="318"/>
      <c r="AA32" s="318"/>
      <c r="AB32" s="318"/>
      <c r="AC32" s="318"/>
      <c r="AD32" s="318"/>
      <c r="AE32" s="318"/>
      <c r="AF32" s="318"/>
      <c r="AG32" s="318"/>
      <c r="AH32" s="318"/>
    </row>
    <row r="33" spans="1:34" s="323" customFormat="1" ht="52.2" customHeight="1" x14ac:dyDescent="0.25">
      <c r="A33" s="548"/>
      <c r="B33" s="544"/>
      <c r="C33" s="544"/>
      <c r="D33" s="555"/>
      <c r="E33" s="539"/>
      <c r="F33" s="540"/>
      <c r="G33" s="545"/>
      <c r="H33" s="539"/>
      <c r="I33" s="554"/>
      <c r="J33" s="318"/>
      <c r="K33" s="318"/>
      <c r="L33" s="318"/>
      <c r="M33" s="318"/>
      <c r="N33" s="318"/>
      <c r="O33" s="318"/>
      <c r="P33" s="318"/>
      <c r="Q33" s="318"/>
      <c r="R33" s="318"/>
      <c r="S33" s="318"/>
      <c r="T33" s="318"/>
      <c r="U33" s="318"/>
      <c r="V33" s="318"/>
      <c r="W33" s="318"/>
      <c r="X33" s="318"/>
      <c r="Y33" s="318"/>
      <c r="Z33" s="318"/>
      <c r="AA33" s="318"/>
      <c r="AB33" s="318"/>
      <c r="AC33" s="318"/>
      <c r="AD33" s="318"/>
      <c r="AE33" s="318"/>
      <c r="AF33" s="318"/>
      <c r="AG33" s="318"/>
      <c r="AH33" s="318"/>
    </row>
    <row r="34" spans="1:34" s="323" customFormat="1" ht="45" customHeight="1" x14ac:dyDescent="0.25">
      <c r="A34" s="548"/>
      <c r="B34" s="544"/>
      <c r="C34" s="544"/>
      <c r="D34" s="555"/>
      <c r="E34" s="539"/>
      <c r="F34" s="540"/>
      <c r="G34" s="545"/>
      <c r="H34" s="539"/>
      <c r="I34" s="543"/>
      <c r="J34" s="318"/>
      <c r="K34" s="318"/>
      <c r="L34" s="318"/>
      <c r="M34" s="318"/>
      <c r="N34" s="318"/>
      <c r="O34" s="318"/>
      <c r="P34" s="318"/>
      <c r="Q34" s="318"/>
      <c r="R34" s="318"/>
      <c r="S34" s="318"/>
      <c r="T34" s="318"/>
      <c r="U34" s="318"/>
      <c r="V34" s="318"/>
      <c r="W34" s="318"/>
      <c r="X34" s="318"/>
      <c r="Y34" s="318"/>
      <c r="Z34" s="318"/>
      <c r="AA34" s="318"/>
      <c r="AB34" s="318"/>
      <c r="AC34" s="318"/>
      <c r="AD34" s="318"/>
      <c r="AE34" s="318"/>
      <c r="AF34" s="318"/>
      <c r="AG34" s="318"/>
      <c r="AH34" s="318"/>
    </row>
    <row r="35" spans="1:34" s="323" customFormat="1" ht="39" customHeight="1" x14ac:dyDescent="0.25">
      <c r="A35" s="548"/>
      <c r="B35" s="544"/>
      <c r="C35" s="544"/>
      <c r="D35" s="555"/>
      <c r="E35" s="539"/>
      <c r="F35" s="540"/>
      <c r="G35" s="545"/>
      <c r="H35" s="539"/>
      <c r="I35" s="563"/>
      <c r="J35" s="318"/>
      <c r="K35" s="318"/>
      <c r="L35" s="318"/>
      <c r="M35" s="318"/>
      <c r="N35" s="318"/>
      <c r="O35" s="318"/>
      <c r="P35" s="318"/>
      <c r="Q35" s="318"/>
      <c r="R35" s="318"/>
      <c r="S35" s="318"/>
      <c r="T35" s="318"/>
      <c r="U35" s="318"/>
      <c r="V35" s="318"/>
      <c r="W35" s="318"/>
      <c r="X35" s="318"/>
      <c r="Y35" s="318"/>
      <c r="Z35" s="318"/>
      <c r="AA35" s="318"/>
      <c r="AB35" s="318"/>
      <c r="AC35" s="318"/>
      <c r="AD35" s="318"/>
      <c r="AE35" s="318"/>
      <c r="AF35" s="318"/>
      <c r="AG35" s="318"/>
      <c r="AH35" s="318"/>
    </row>
    <row r="36" spans="1:34" s="324" customFormat="1" ht="22.8" customHeight="1" x14ac:dyDescent="0.25">
      <c r="A36" s="533"/>
      <c r="B36" s="533" t="s">
        <v>47</v>
      </c>
      <c r="C36" s="533"/>
      <c r="D36" s="534">
        <f>SUM(D6:D35)</f>
        <v>6701523.5059999991</v>
      </c>
      <c r="E36" s="534">
        <f>SUM(E6:E35)</f>
        <v>829349.97479999997</v>
      </c>
      <c r="F36" s="534">
        <f>SUM(F6:F35)</f>
        <v>58504295.220000006</v>
      </c>
      <c r="G36" s="534"/>
      <c r="H36" s="534"/>
      <c r="I36" s="534"/>
    </row>
    <row r="37" spans="1:34" ht="19.8" customHeight="1" x14ac:dyDescent="0.25">
      <c r="D37" s="339"/>
      <c r="E37" s="339"/>
      <c r="F37" s="339"/>
      <c r="G37" s="339"/>
      <c r="H37" s="339"/>
      <c r="I37" s="339"/>
    </row>
    <row r="38" spans="1:34" x14ac:dyDescent="0.25">
      <c r="D38" s="339"/>
      <c r="E38" s="339"/>
      <c r="F38" s="339"/>
      <c r="G38" s="339"/>
      <c r="H38" s="339"/>
      <c r="I38" s="339"/>
    </row>
    <row r="39" spans="1:34" x14ac:dyDescent="0.25">
      <c r="D39" s="339"/>
      <c r="E39" s="339"/>
      <c r="F39" s="339"/>
      <c r="G39" s="339"/>
      <c r="H39" s="339"/>
      <c r="I39" s="339"/>
    </row>
    <row r="40" spans="1:34" x14ac:dyDescent="0.25">
      <c r="D40" s="339"/>
      <c r="E40" s="339"/>
      <c r="F40" s="339"/>
      <c r="G40" s="339"/>
      <c r="H40" s="339"/>
      <c r="I40" s="339"/>
    </row>
  </sheetData>
  <mergeCells count="14">
    <mergeCell ref="F24:F25"/>
    <mergeCell ref="D3:F3"/>
    <mergeCell ref="C4:C5"/>
    <mergeCell ref="C6:C27"/>
    <mergeCell ref="G6:G27"/>
    <mergeCell ref="A1:I2"/>
    <mergeCell ref="A4:A5"/>
    <mergeCell ref="D4:D5"/>
    <mergeCell ref="I4:I5"/>
    <mergeCell ref="B4:B5"/>
    <mergeCell ref="F4:F5"/>
    <mergeCell ref="E4:E5"/>
    <mergeCell ref="G4:G5"/>
    <mergeCell ref="H4:H5"/>
  </mergeCells>
  <phoneticPr fontId="36" type="noConversion"/>
  <pageMargins left="3.937007874015748E-2" right="0.23622047244094491" top="0.74803149606299213" bottom="0.74803149606299213" header="0.31496062992125984" footer="0.31496062992125984"/>
  <pageSetup paperSize="9" scale="54" fitToHeight="0" orientation="landscape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126"/>
  <sheetViews>
    <sheetView tabSelected="1" showWhiteSpace="0" view="pageBreakPreview" zoomScale="60" zoomScaleNormal="80" workbookViewId="0">
      <pane xSplit="2" ySplit="4" topLeftCell="C14" activePane="bottomRight" state="frozen"/>
      <selection pane="topRight" activeCell="C1" sqref="C1"/>
      <selection pane="bottomLeft" activeCell="A6" sqref="A6"/>
      <selection pane="bottomRight" activeCell="H22" sqref="H22"/>
    </sheetView>
  </sheetViews>
  <sheetFormatPr defaultColWidth="9.109375" defaultRowHeight="18" outlineLevelRow="1" x14ac:dyDescent="0.35"/>
  <cols>
    <col min="1" max="1" width="10.44140625" style="308" customWidth="1"/>
    <col min="2" max="2" width="56.33203125" style="673" customWidth="1"/>
    <col min="3" max="3" width="18.6640625" style="677" customWidth="1"/>
    <col min="4" max="4" width="13.77734375" style="677" customWidth="1"/>
    <col min="5" max="5" width="21.6640625" style="677" customWidth="1"/>
    <col min="6" max="6" width="19.88671875" style="677" customWidth="1"/>
    <col min="7" max="7" width="22.33203125" style="677" customWidth="1"/>
    <col min="8" max="8" width="32.109375" style="677" customWidth="1"/>
    <col min="9" max="9" width="18.5546875" style="678" customWidth="1"/>
    <col min="10" max="10" width="30.6640625" style="677" customWidth="1"/>
    <col min="11" max="11" width="26.6640625" style="593" hidden="1" customWidth="1"/>
    <col min="12" max="16384" width="9.109375" style="308"/>
  </cols>
  <sheetData>
    <row r="1" spans="1:35" ht="16.95" customHeight="1" x14ac:dyDescent="0.35">
      <c r="A1" s="749" t="s">
        <v>198</v>
      </c>
      <c r="B1" s="749"/>
      <c r="C1" s="749"/>
      <c r="D1" s="749"/>
      <c r="E1" s="749"/>
      <c r="F1" s="749"/>
      <c r="G1" s="749"/>
      <c r="H1" s="749"/>
      <c r="I1" s="749"/>
      <c r="J1" s="749"/>
    </row>
    <row r="2" spans="1:35" ht="59.4" customHeight="1" x14ac:dyDescent="0.35">
      <c r="A2" s="819"/>
      <c r="B2" s="819"/>
      <c r="C2" s="819"/>
      <c r="D2" s="819"/>
      <c r="E2" s="819"/>
      <c r="F2" s="819"/>
      <c r="G2" s="819"/>
      <c r="H2" s="819"/>
      <c r="I2" s="819"/>
      <c r="J2" s="819"/>
    </row>
    <row r="3" spans="1:35" ht="24" customHeight="1" x14ac:dyDescent="0.35">
      <c r="A3" s="825" t="s">
        <v>124</v>
      </c>
      <c r="B3" s="827" t="s">
        <v>185</v>
      </c>
      <c r="C3" s="828" t="s">
        <v>193</v>
      </c>
      <c r="D3" s="822" t="s">
        <v>194</v>
      </c>
      <c r="E3" s="823"/>
      <c r="F3" s="823"/>
      <c r="G3" s="823"/>
      <c r="H3" s="823"/>
      <c r="I3" s="824"/>
      <c r="J3" s="820" t="s">
        <v>189</v>
      </c>
    </row>
    <row r="4" spans="1:35" ht="40.799999999999997" customHeight="1" x14ac:dyDescent="0.35">
      <c r="A4" s="826"/>
      <c r="B4" s="827"/>
      <c r="C4" s="829"/>
      <c r="D4" s="617" t="s">
        <v>126</v>
      </c>
      <c r="E4" s="617" t="s">
        <v>196</v>
      </c>
      <c r="F4" s="617" t="s">
        <v>191</v>
      </c>
      <c r="G4" s="617" t="s">
        <v>190</v>
      </c>
      <c r="H4" s="617" t="s">
        <v>9</v>
      </c>
      <c r="I4" s="618" t="s">
        <v>188</v>
      </c>
      <c r="J4" s="821"/>
      <c r="K4" s="593" t="s">
        <v>281</v>
      </c>
    </row>
    <row r="5" spans="1:35" s="323" customFormat="1" ht="31.2" customHeight="1" x14ac:dyDescent="0.25">
      <c r="A5" s="537"/>
      <c r="B5" s="619" t="s">
        <v>239</v>
      </c>
      <c r="C5" s="620"/>
      <c r="D5" s="621"/>
      <c r="E5" s="622"/>
      <c r="F5" s="620">
        <v>0</v>
      </c>
      <c r="G5" s="623"/>
      <c r="H5" s="620"/>
      <c r="I5" s="624"/>
      <c r="J5" s="625"/>
      <c r="K5" s="594"/>
      <c r="L5" s="318"/>
      <c r="M5" s="318"/>
      <c r="N5" s="318"/>
      <c r="O5" s="318"/>
      <c r="P5" s="318"/>
      <c r="Q5" s="318"/>
      <c r="R5" s="318"/>
      <c r="S5" s="318"/>
      <c r="T5" s="318"/>
      <c r="U5" s="318"/>
      <c r="V5" s="318"/>
      <c r="W5" s="318"/>
      <c r="X5" s="318"/>
      <c r="Y5" s="318"/>
      <c r="Z5" s="318"/>
      <c r="AA5" s="318"/>
      <c r="AB5" s="318"/>
      <c r="AC5" s="318"/>
      <c r="AD5" s="318"/>
      <c r="AE5" s="318"/>
      <c r="AF5" s="318"/>
      <c r="AG5" s="318"/>
      <c r="AH5" s="318"/>
      <c r="AI5" s="318"/>
    </row>
    <row r="6" spans="1:35" s="323" customFormat="1" ht="41.4" customHeight="1" outlineLevel="1" x14ac:dyDescent="0.25">
      <c r="A6" s="586"/>
      <c r="B6" s="626" t="s">
        <v>210</v>
      </c>
      <c r="C6" s="627"/>
      <c r="D6" s="628" t="s">
        <v>278</v>
      </c>
      <c r="E6" s="629">
        <v>12324.5</v>
      </c>
      <c r="F6" s="630">
        <v>5635.7519999999995</v>
      </c>
      <c r="G6" s="631">
        <f>E6-F6</f>
        <v>6688.7480000000005</v>
      </c>
      <c r="H6" s="632"/>
      <c r="I6" s="633"/>
      <c r="J6" s="634" t="s">
        <v>283</v>
      </c>
      <c r="K6" s="594">
        <f>E6</f>
        <v>12324.5</v>
      </c>
      <c r="L6" s="318"/>
      <c r="M6" s="318"/>
      <c r="N6" s="318"/>
      <c r="O6" s="318"/>
      <c r="P6" s="318"/>
      <c r="Q6" s="318"/>
      <c r="R6" s="318"/>
      <c r="S6" s="318"/>
      <c r="T6" s="318"/>
      <c r="U6" s="318"/>
      <c r="V6" s="318"/>
      <c r="W6" s="318"/>
      <c r="X6" s="318"/>
      <c r="Y6" s="318"/>
      <c r="Z6" s="318"/>
      <c r="AA6" s="318"/>
      <c r="AB6" s="318"/>
      <c r="AC6" s="318"/>
      <c r="AD6" s="318"/>
      <c r="AE6" s="318"/>
      <c r="AF6" s="318"/>
      <c r="AG6" s="318"/>
      <c r="AH6" s="318"/>
      <c r="AI6" s="318"/>
    </row>
    <row r="7" spans="1:35" s="323" customFormat="1" ht="46.8" customHeight="1" outlineLevel="1" x14ac:dyDescent="0.25">
      <c r="A7" s="537"/>
      <c r="B7" s="768" t="s">
        <v>211</v>
      </c>
      <c r="C7" s="769"/>
      <c r="D7" s="621" t="s">
        <v>258</v>
      </c>
      <c r="E7" s="622">
        <v>270698.92</v>
      </c>
      <c r="F7" s="620">
        <v>9303.3959999999988</v>
      </c>
      <c r="G7" s="635">
        <f t="shared" ref="G7:G88" si="0">E7-F7</f>
        <v>261395.52399999998</v>
      </c>
      <c r="H7" s="611"/>
      <c r="I7" s="636"/>
      <c r="J7" s="796" t="s">
        <v>283</v>
      </c>
      <c r="K7" s="795">
        <f>E7+E8</f>
        <v>1149199.28</v>
      </c>
      <c r="L7" s="318"/>
      <c r="M7" s="318"/>
      <c r="N7" s="318"/>
      <c r="O7" s="318"/>
      <c r="P7" s="318"/>
      <c r="Q7" s="318"/>
      <c r="R7" s="318"/>
      <c r="S7" s="318"/>
      <c r="T7" s="318"/>
      <c r="U7" s="318"/>
      <c r="V7" s="318"/>
      <c r="W7" s="318"/>
      <c r="X7" s="318"/>
      <c r="Y7" s="318"/>
      <c r="Z7" s="318"/>
      <c r="AA7" s="318"/>
      <c r="AB7" s="318"/>
      <c r="AC7" s="318"/>
      <c r="AD7" s="318"/>
      <c r="AE7" s="318"/>
      <c r="AF7" s="318"/>
      <c r="AG7" s="318"/>
      <c r="AH7" s="318"/>
      <c r="AI7" s="318"/>
    </row>
    <row r="8" spans="1:35" s="323" customFormat="1" ht="46.8" customHeight="1" outlineLevel="1" x14ac:dyDescent="0.25">
      <c r="A8" s="537"/>
      <c r="B8" s="770"/>
      <c r="C8" s="771"/>
      <c r="D8" s="621" t="s">
        <v>279</v>
      </c>
      <c r="E8" s="622">
        <v>878500.36</v>
      </c>
      <c r="F8" s="620">
        <v>297661.7</v>
      </c>
      <c r="G8" s="635">
        <f t="shared" si="0"/>
        <v>580838.65999999992</v>
      </c>
      <c r="H8" s="611"/>
      <c r="I8" s="624"/>
      <c r="J8" s="812"/>
      <c r="K8" s="795"/>
      <c r="L8" s="318"/>
      <c r="M8" s="318"/>
      <c r="N8" s="318"/>
      <c r="O8" s="318"/>
      <c r="P8" s="318"/>
      <c r="Q8" s="318"/>
      <c r="R8" s="318"/>
      <c r="S8" s="318"/>
      <c r="T8" s="318"/>
      <c r="U8" s="318"/>
      <c r="V8" s="318"/>
      <c r="W8" s="318"/>
      <c r="X8" s="318"/>
      <c r="Y8" s="318"/>
      <c r="Z8" s="318"/>
      <c r="AA8" s="318"/>
      <c r="AB8" s="318"/>
      <c r="AC8" s="318"/>
      <c r="AD8" s="318"/>
      <c r="AE8" s="318"/>
      <c r="AF8" s="318"/>
      <c r="AG8" s="318"/>
      <c r="AH8" s="318"/>
      <c r="AI8" s="318"/>
    </row>
    <row r="9" spans="1:35" s="307" customFormat="1" ht="46.8" customHeight="1" outlineLevel="1" x14ac:dyDescent="0.25">
      <c r="A9" s="589"/>
      <c r="B9" s="772"/>
      <c r="C9" s="773"/>
      <c r="D9" s="637" t="s">
        <v>329</v>
      </c>
      <c r="E9" s="638">
        <v>633942.19999999995</v>
      </c>
      <c r="F9" s="639">
        <v>356081.38799999998</v>
      </c>
      <c r="G9" s="635">
        <f>E9-F9</f>
        <v>277860.81199999998</v>
      </c>
      <c r="H9" s="613"/>
      <c r="I9" s="640"/>
      <c r="J9" s="797"/>
      <c r="K9" s="612"/>
    </row>
    <row r="10" spans="1:35" s="323" customFormat="1" ht="53.4" customHeight="1" outlineLevel="1" x14ac:dyDescent="0.25">
      <c r="A10" s="586"/>
      <c r="B10" s="626" t="s">
        <v>212</v>
      </c>
      <c r="C10" s="630"/>
      <c r="D10" s="641" t="s">
        <v>259</v>
      </c>
      <c r="E10" s="642">
        <v>1410108.04</v>
      </c>
      <c r="F10" s="630">
        <v>1203914.892</v>
      </c>
      <c r="G10" s="631">
        <f t="shared" si="0"/>
        <v>206193.14800000004</v>
      </c>
      <c r="H10" s="607"/>
      <c r="I10" s="633"/>
      <c r="J10" s="627" t="s">
        <v>283</v>
      </c>
      <c r="K10" s="594">
        <f>E10</f>
        <v>1410108.04</v>
      </c>
      <c r="L10" s="318"/>
      <c r="M10" s="318"/>
      <c r="N10" s="318"/>
      <c r="O10" s="318"/>
      <c r="P10" s="318"/>
      <c r="Q10" s="318"/>
      <c r="R10" s="318"/>
      <c r="S10" s="318"/>
      <c r="T10" s="318"/>
      <c r="U10" s="318"/>
      <c r="V10" s="318"/>
      <c r="W10" s="318"/>
      <c r="X10" s="318"/>
      <c r="Y10" s="318"/>
      <c r="Z10" s="318"/>
      <c r="AA10" s="318"/>
      <c r="AB10" s="318"/>
      <c r="AC10" s="318"/>
      <c r="AD10" s="318"/>
      <c r="AE10" s="318"/>
      <c r="AF10" s="318"/>
      <c r="AG10" s="318"/>
      <c r="AH10" s="318"/>
      <c r="AI10" s="318"/>
    </row>
    <row r="11" spans="1:35" s="323" customFormat="1" ht="40.200000000000003" customHeight="1" outlineLevel="1" x14ac:dyDescent="0.25">
      <c r="A11" s="537"/>
      <c r="B11" s="768" t="s">
        <v>213</v>
      </c>
      <c r="C11" s="769"/>
      <c r="D11" s="643" t="s">
        <v>260</v>
      </c>
      <c r="E11" s="644">
        <v>24870.04</v>
      </c>
      <c r="F11" s="620">
        <v>10154.412</v>
      </c>
      <c r="G11" s="635">
        <f t="shared" si="0"/>
        <v>14715.628000000001</v>
      </c>
      <c r="H11" s="611"/>
      <c r="I11" s="624"/>
      <c r="J11" s="796" t="s">
        <v>284</v>
      </c>
      <c r="K11" s="795">
        <f>E11+E12</f>
        <v>84548.68</v>
      </c>
      <c r="L11" s="318"/>
      <c r="M11" s="318"/>
      <c r="N11" s="318"/>
      <c r="O11" s="318"/>
      <c r="P11" s="318"/>
      <c r="Q11" s="318"/>
      <c r="R11" s="318"/>
      <c r="S11" s="318"/>
      <c r="T11" s="318"/>
      <c r="U11" s="318"/>
      <c r="V11" s="318"/>
      <c r="W11" s="318"/>
      <c r="X11" s="318"/>
      <c r="Y11" s="318"/>
      <c r="Z11" s="318"/>
      <c r="AA11" s="318"/>
      <c r="AB11" s="318"/>
      <c r="AC11" s="318"/>
      <c r="AD11" s="318"/>
      <c r="AE11" s="318"/>
      <c r="AF11" s="318"/>
      <c r="AG11" s="318"/>
      <c r="AH11" s="318"/>
      <c r="AI11" s="318"/>
    </row>
    <row r="12" spans="1:35" s="323" customFormat="1" ht="40.200000000000003" customHeight="1" outlineLevel="1" x14ac:dyDescent="0.25">
      <c r="A12" s="537"/>
      <c r="B12" s="772"/>
      <c r="C12" s="773"/>
      <c r="D12" s="643" t="s">
        <v>280</v>
      </c>
      <c r="E12" s="644">
        <v>59678.64</v>
      </c>
      <c r="F12" s="620">
        <f>9434.59*1.2</f>
        <v>11321.508</v>
      </c>
      <c r="G12" s="635">
        <f t="shared" si="0"/>
        <v>48357.131999999998</v>
      </c>
      <c r="H12" s="611"/>
      <c r="I12" s="624"/>
      <c r="J12" s="797"/>
      <c r="K12" s="795"/>
      <c r="L12" s="318"/>
      <c r="M12" s="318"/>
      <c r="N12" s="318"/>
      <c r="O12" s="318"/>
      <c r="P12" s="318"/>
      <c r="Q12" s="318"/>
      <c r="R12" s="318"/>
      <c r="S12" s="318"/>
      <c r="T12" s="318"/>
      <c r="U12" s="318"/>
      <c r="V12" s="318"/>
      <c r="W12" s="318"/>
      <c r="X12" s="318"/>
      <c r="Y12" s="318"/>
      <c r="Z12" s="318"/>
      <c r="AA12" s="318"/>
      <c r="AB12" s="318"/>
      <c r="AC12" s="318"/>
      <c r="AD12" s="318"/>
      <c r="AE12" s="318"/>
      <c r="AF12" s="318"/>
      <c r="AG12" s="318"/>
      <c r="AH12" s="318"/>
      <c r="AI12" s="318"/>
    </row>
    <row r="13" spans="1:35" s="323" customFormat="1" ht="34.200000000000003" customHeight="1" outlineLevel="1" x14ac:dyDescent="0.25">
      <c r="A13" s="586"/>
      <c r="B13" s="774" t="s">
        <v>214</v>
      </c>
      <c r="C13" s="775"/>
      <c r="D13" s="641" t="s">
        <v>261</v>
      </c>
      <c r="E13" s="642">
        <v>3500757.3840000001</v>
      </c>
      <c r="F13" s="630">
        <v>204032.856</v>
      </c>
      <c r="G13" s="631">
        <f t="shared" si="0"/>
        <v>3296724.5279999999</v>
      </c>
      <c r="H13" s="607"/>
      <c r="I13" s="645"/>
      <c r="J13" s="800" t="s">
        <v>283</v>
      </c>
      <c r="K13" s="594"/>
      <c r="L13" s="318"/>
      <c r="M13" s="318"/>
      <c r="N13" s="318"/>
      <c r="O13" s="318"/>
      <c r="P13" s="318"/>
      <c r="Q13" s="318"/>
      <c r="R13" s="318"/>
      <c r="S13" s="318"/>
      <c r="T13" s="318"/>
      <c r="U13" s="318"/>
      <c r="V13" s="318"/>
      <c r="W13" s="318"/>
      <c r="X13" s="318"/>
      <c r="Y13" s="318"/>
      <c r="Z13" s="318"/>
      <c r="AA13" s="318"/>
      <c r="AB13" s="318"/>
      <c r="AC13" s="318"/>
      <c r="AD13" s="318"/>
      <c r="AE13" s="318"/>
      <c r="AF13" s="318"/>
      <c r="AG13" s="318"/>
      <c r="AH13" s="318"/>
      <c r="AI13" s="318"/>
    </row>
    <row r="14" spans="1:35" s="323" customFormat="1" ht="34.200000000000003" customHeight="1" outlineLevel="1" x14ac:dyDescent="0.25">
      <c r="A14" s="586"/>
      <c r="B14" s="778"/>
      <c r="C14" s="779"/>
      <c r="D14" s="641" t="s">
        <v>311</v>
      </c>
      <c r="E14" s="642">
        <v>529231.07999999996</v>
      </c>
      <c r="F14" s="630"/>
      <c r="G14" s="631">
        <f t="shared" si="0"/>
        <v>529231.07999999996</v>
      </c>
      <c r="H14" s="607"/>
      <c r="I14" s="633"/>
      <c r="J14" s="801"/>
      <c r="K14" s="594"/>
      <c r="L14" s="318"/>
      <c r="M14" s="318"/>
      <c r="N14" s="318"/>
      <c r="O14" s="318"/>
      <c r="P14" s="318"/>
      <c r="Q14" s="318"/>
      <c r="R14" s="318"/>
      <c r="S14" s="318"/>
      <c r="T14" s="318"/>
      <c r="U14" s="318"/>
      <c r="V14" s="318"/>
      <c r="W14" s="318"/>
      <c r="X14" s="318"/>
      <c r="Y14" s="318"/>
      <c r="Z14" s="318"/>
      <c r="AA14" s="318"/>
      <c r="AB14" s="318"/>
      <c r="AC14" s="318"/>
      <c r="AD14" s="318"/>
      <c r="AE14" s="318"/>
      <c r="AF14" s="318"/>
      <c r="AG14" s="318"/>
      <c r="AH14" s="318"/>
      <c r="AI14" s="318"/>
    </row>
    <row r="15" spans="1:35" s="323" customFormat="1" ht="44.4" customHeight="1" outlineLevel="1" x14ac:dyDescent="0.25">
      <c r="A15" s="537"/>
      <c r="B15" s="768" t="s">
        <v>215</v>
      </c>
      <c r="C15" s="769"/>
      <c r="D15" s="621" t="s">
        <v>262</v>
      </c>
      <c r="E15" s="622">
        <v>124618.82</v>
      </c>
      <c r="F15" s="620">
        <v>120493.224</v>
      </c>
      <c r="G15" s="635">
        <f t="shared" si="0"/>
        <v>4125.596000000005</v>
      </c>
      <c r="H15" s="611"/>
      <c r="I15" s="624"/>
      <c r="J15" s="798" t="s">
        <v>283</v>
      </c>
      <c r="K15" s="795">
        <f>E15+E16</f>
        <v>159521.14000000001</v>
      </c>
      <c r="L15" s="318"/>
      <c r="M15" s="318"/>
      <c r="N15" s="318"/>
      <c r="O15" s="318"/>
      <c r="P15" s="318"/>
      <c r="Q15" s="318"/>
      <c r="R15" s="318"/>
      <c r="S15" s="318"/>
      <c r="T15" s="318"/>
      <c r="U15" s="318"/>
      <c r="V15" s="318"/>
      <c r="W15" s="318"/>
      <c r="X15" s="318"/>
      <c r="Y15" s="318"/>
      <c r="Z15" s="318"/>
      <c r="AA15" s="318"/>
      <c r="AB15" s="318"/>
      <c r="AC15" s="318"/>
      <c r="AD15" s="318"/>
      <c r="AE15" s="318"/>
      <c r="AF15" s="318"/>
      <c r="AG15" s="318"/>
      <c r="AH15" s="318"/>
      <c r="AI15" s="318"/>
    </row>
    <row r="16" spans="1:35" s="323" customFormat="1" ht="44.4" customHeight="1" outlineLevel="1" x14ac:dyDescent="0.25">
      <c r="A16" s="537"/>
      <c r="B16" s="772"/>
      <c r="C16" s="773"/>
      <c r="D16" s="621" t="s">
        <v>282</v>
      </c>
      <c r="E16" s="644">
        <v>34902.32</v>
      </c>
      <c r="F16" s="620">
        <f>1167.21*1.2</f>
        <v>1400.652</v>
      </c>
      <c r="G16" s="635">
        <f t="shared" si="0"/>
        <v>33501.667999999998</v>
      </c>
      <c r="H16" s="611"/>
      <c r="I16" s="624"/>
      <c r="J16" s="799"/>
      <c r="K16" s="795"/>
      <c r="L16" s="318"/>
      <c r="M16" s="318"/>
      <c r="N16" s="318"/>
      <c r="O16" s="318"/>
      <c r="P16" s="318"/>
      <c r="Q16" s="318"/>
      <c r="R16" s="318"/>
      <c r="S16" s="318"/>
      <c r="T16" s="318"/>
      <c r="U16" s="318"/>
      <c r="V16" s="318"/>
      <c r="W16" s="318"/>
      <c r="X16" s="318"/>
      <c r="Y16" s="318"/>
      <c r="Z16" s="318"/>
      <c r="AA16" s="318"/>
      <c r="AB16" s="318"/>
      <c r="AC16" s="318"/>
      <c r="AD16" s="318"/>
      <c r="AE16" s="318"/>
      <c r="AF16" s="318"/>
      <c r="AG16" s="318"/>
      <c r="AH16" s="318"/>
      <c r="AI16" s="318"/>
    </row>
    <row r="17" spans="1:35" s="323" customFormat="1" ht="43.8" customHeight="1" outlineLevel="1" x14ac:dyDescent="0.25">
      <c r="A17" s="586"/>
      <c r="B17" s="774" t="s">
        <v>216</v>
      </c>
      <c r="C17" s="775"/>
      <c r="D17" s="628" t="s">
        <v>347</v>
      </c>
      <c r="E17" s="629">
        <v>398311.36</v>
      </c>
      <c r="F17" s="630">
        <v>9771.5759999999991</v>
      </c>
      <c r="G17" s="631">
        <f>E17-F17</f>
        <v>388539.78399999999</v>
      </c>
      <c r="H17" s="632"/>
      <c r="I17" s="633"/>
      <c r="J17" s="634"/>
      <c r="K17" s="594"/>
      <c r="L17" s="318"/>
      <c r="M17" s="318"/>
      <c r="N17" s="318"/>
      <c r="O17" s="318"/>
      <c r="P17" s="318"/>
      <c r="Q17" s="318"/>
      <c r="R17" s="318"/>
      <c r="S17" s="318"/>
      <c r="T17" s="318"/>
      <c r="U17" s="318"/>
      <c r="V17" s="318"/>
      <c r="W17" s="318"/>
      <c r="X17" s="318"/>
      <c r="Y17" s="318"/>
      <c r="Z17" s="318"/>
      <c r="AA17" s="318"/>
      <c r="AB17" s="318"/>
      <c r="AC17" s="318"/>
      <c r="AD17" s="318"/>
      <c r="AE17" s="318"/>
      <c r="AF17" s="318"/>
      <c r="AG17" s="318"/>
      <c r="AH17" s="318"/>
      <c r="AI17" s="318"/>
    </row>
    <row r="18" spans="1:35" s="323" customFormat="1" ht="43.8" customHeight="1" outlineLevel="1" x14ac:dyDescent="0.25">
      <c r="A18" s="586"/>
      <c r="B18" s="778"/>
      <c r="C18" s="779"/>
      <c r="D18" s="628" t="s">
        <v>360</v>
      </c>
      <c r="E18" s="629">
        <v>325074.25</v>
      </c>
      <c r="F18" s="630">
        <v>37459.800000000003</v>
      </c>
      <c r="G18" s="631">
        <f>E18-F18</f>
        <v>287614.45</v>
      </c>
      <c r="H18" s="632" t="s">
        <v>362</v>
      </c>
      <c r="I18" s="633"/>
      <c r="J18" s="686"/>
      <c r="K18" s="594"/>
      <c r="L18" s="318"/>
      <c r="M18" s="318"/>
      <c r="N18" s="318"/>
      <c r="O18" s="318"/>
      <c r="P18" s="318"/>
      <c r="Q18" s="318"/>
      <c r="R18" s="318"/>
      <c r="S18" s="318"/>
      <c r="T18" s="318"/>
      <c r="U18" s="318"/>
      <c r="V18" s="318"/>
      <c r="W18" s="318"/>
      <c r="X18" s="318"/>
      <c r="Y18" s="318"/>
      <c r="Z18" s="318"/>
      <c r="AA18" s="318"/>
      <c r="AB18" s="318"/>
      <c r="AC18" s="318"/>
      <c r="AD18" s="318"/>
      <c r="AE18" s="318"/>
      <c r="AF18" s="318"/>
      <c r="AG18" s="318"/>
      <c r="AH18" s="318"/>
      <c r="AI18" s="318"/>
    </row>
    <row r="19" spans="1:35" s="307" customFormat="1" ht="35.4" customHeight="1" outlineLevel="1" x14ac:dyDescent="0.25">
      <c r="A19" s="589"/>
      <c r="B19" s="802" t="s">
        <v>217</v>
      </c>
      <c r="C19" s="803"/>
      <c r="D19" s="637" t="s">
        <v>312</v>
      </c>
      <c r="E19" s="638">
        <v>342716.66</v>
      </c>
      <c r="F19" s="639">
        <f>173751.78*1.2</f>
        <v>208502.136</v>
      </c>
      <c r="G19" s="635">
        <f t="shared" si="0"/>
        <v>134214.52399999998</v>
      </c>
      <c r="H19" s="613"/>
      <c r="I19" s="646"/>
      <c r="J19" s="813"/>
      <c r="K19" s="596"/>
    </row>
    <row r="20" spans="1:35" s="307" customFormat="1" ht="35.4" customHeight="1" outlineLevel="1" x14ac:dyDescent="0.25">
      <c r="A20" s="589"/>
      <c r="B20" s="804"/>
      <c r="C20" s="805"/>
      <c r="D20" s="637" t="s">
        <v>316</v>
      </c>
      <c r="E20" s="638">
        <v>153264.70000000001</v>
      </c>
      <c r="F20" s="639">
        <f>103692.08*1.2</f>
        <v>124430.496</v>
      </c>
      <c r="G20" s="635">
        <f t="shared" si="0"/>
        <v>28834.204000000012</v>
      </c>
      <c r="H20" s="613"/>
      <c r="I20" s="647"/>
      <c r="J20" s="814"/>
      <c r="K20" s="596"/>
    </row>
    <row r="21" spans="1:35" s="323" customFormat="1" ht="31.2" customHeight="1" outlineLevel="1" x14ac:dyDescent="0.25">
      <c r="A21" s="586"/>
      <c r="B21" s="780" t="s">
        <v>218</v>
      </c>
      <c r="C21" s="781"/>
      <c r="D21" s="641" t="s">
        <v>285</v>
      </c>
      <c r="E21" s="642">
        <v>718425.36</v>
      </c>
      <c r="F21" s="630">
        <f>217956.39*1.2</f>
        <v>261547.66800000001</v>
      </c>
      <c r="G21" s="631">
        <f t="shared" si="0"/>
        <v>456877.69199999998</v>
      </c>
      <c r="H21" s="632"/>
      <c r="I21" s="633"/>
      <c r="J21" s="786"/>
      <c r="K21" s="594"/>
      <c r="L21" s="318"/>
      <c r="M21" s="318"/>
      <c r="N21" s="318"/>
      <c r="O21" s="318"/>
      <c r="P21" s="318"/>
      <c r="Q21" s="318"/>
      <c r="R21" s="318"/>
      <c r="S21" s="318"/>
      <c r="T21" s="318"/>
      <c r="U21" s="318"/>
      <c r="V21" s="318"/>
      <c r="W21" s="318"/>
      <c r="X21" s="318"/>
      <c r="Y21" s="318"/>
      <c r="Z21" s="318"/>
      <c r="AA21" s="318"/>
      <c r="AB21" s="318"/>
      <c r="AC21" s="318"/>
      <c r="AD21" s="318"/>
      <c r="AE21" s="318"/>
      <c r="AF21" s="318"/>
      <c r="AG21" s="318"/>
      <c r="AH21" s="318"/>
      <c r="AI21" s="318"/>
    </row>
    <row r="22" spans="1:35" s="323" customFormat="1" ht="31.2" customHeight="1" outlineLevel="1" x14ac:dyDescent="0.25">
      <c r="A22" s="586"/>
      <c r="B22" s="782"/>
      <c r="C22" s="783"/>
      <c r="D22" s="641" t="s">
        <v>313</v>
      </c>
      <c r="E22" s="629">
        <v>1241598.96</v>
      </c>
      <c r="F22" s="630">
        <f>687539.28*1.2</f>
        <v>825047.13600000006</v>
      </c>
      <c r="G22" s="631">
        <f t="shared" si="0"/>
        <v>416551.82399999991</v>
      </c>
      <c r="H22" s="632"/>
      <c r="I22" s="633"/>
      <c r="J22" s="787"/>
      <c r="K22" s="594"/>
      <c r="L22" s="318"/>
      <c r="M22" s="318"/>
      <c r="N22" s="318"/>
      <c r="O22" s="318"/>
      <c r="P22" s="318"/>
      <c r="Q22" s="318"/>
      <c r="R22" s="318"/>
      <c r="S22" s="318"/>
      <c r="T22" s="318"/>
      <c r="U22" s="318"/>
      <c r="V22" s="318"/>
      <c r="W22" s="318"/>
      <c r="X22" s="318"/>
      <c r="Y22" s="318"/>
      <c r="Z22" s="318"/>
      <c r="AA22" s="318"/>
      <c r="AB22" s="318"/>
      <c r="AC22" s="318"/>
      <c r="AD22" s="318"/>
      <c r="AE22" s="318"/>
      <c r="AF22" s="318"/>
      <c r="AG22" s="318"/>
      <c r="AH22" s="318"/>
      <c r="AI22" s="318"/>
    </row>
    <row r="23" spans="1:35" s="323" customFormat="1" ht="31.2" customHeight="1" outlineLevel="1" x14ac:dyDescent="0.25">
      <c r="A23" s="586"/>
      <c r="B23" s="782"/>
      <c r="C23" s="783"/>
      <c r="D23" s="641" t="s">
        <v>317</v>
      </c>
      <c r="E23" s="629">
        <v>29198.560000000001</v>
      </c>
      <c r="F23" s="630"/>
      <c r="G23" s="631">
        <f t="shared" si="0"/>
        <v>29198.560000000001</v>
      </c>
      <c r="H23" s="632"/>
      <c r="I23" s="648"/>
      <c r="J23" s="787"/>
      <c r="K23" s="594"/>
      <c r="L23" s="318"/>
      <c r="M23" s="318"/>
      <c r="N23" s="318"/>
      <c r="O23" s="318"/>
      <c r="P23" s="318"/>
      <c r="Q23" s="318"/>
      <c r="R23" s="318"/>
      <c r="S23" s="318"/>
      <c r="T23" s="318"/>
      <c r="U23" s="318"/>
      <c r="V23" s="318"/>
      <c r="W23" s="318"/>
      <c r="X23" s="318"/>
      <c r="Y23" s="318"/>
      <c r="Z23" s="318"/>
      <c r="AA23" s="318"/>
      <c r="AB23" s="318"/>
      <c r="AC23" s="318"/>
      <c r="AD23" s="318"/>
      <c r="AE23" s="318"/>
      <c r="AF23" s="318"/>
      <c r="AG23" s="318"/>
      <c r="AH23" s="318"/>
      <c r="AI23" s="318"/>
    </row>
    <row r="24" spans="1:35" s="323" customFormat="1" ht="31.2" customHeight="1" outlineLevel="1" x14ac:dyDescent="0.25">
      <c r="A24" s="586"/>
      <c r="B24" s="782"/>
      <c r="C24" s="783"/>
      <c r="D24" s="641" t="s">
        <v>348</v>
      </c>
      <c r="E24" s="629">
        <v>94069.87</v>
      </c>
      <c r="F24" s="630">
        <v>74841.923999999999</v>
      </c>
      <c r="G24" s="631">
        <f t="shared" si="0"/>
        <v>19227.945999999996</v>
      </c>
      <c r="H24" s="632"/>
      <c r="I24" s="648"/>
      <c r="J24" s="787"/>
      <c r="K24" s="594"/>
      <c r="L24" s="318"/>
      <c r="M24" s="318"/>
      <c r="N24" s="318"/>
      <c r="O24" s="318"/>
      <c r="P24" s="318"/>
      <c r="Q24" s="318"/>
      <c r="R24" s="318"/>
      <c r="S24" s="318"/>
      <c r="T24" s="318"/>
      <c r="U24" s="318"/>
      <c r="V24" s="318"/>
      <c r="W24" s="318"/>
      <c r="X24" s="318"/>
      <c r="Y24" s="318"/>
      <c r="Z24" s="318"/>
      <c r="AA24" s="318"/>
      <c r="AB24" s="318"/>
      <c r="AC24" s="318"/>
      <c r="AD24" s="318"/>
      <c r="AE24" s="318"/>
      <c r="AF24" s="318"/>
      <c r="AG24" s="318"/>
      <c r="AH24" s="318"/>
      <c r="AI24" s="318"/>
    </row>
    <row r="25" spans="1:35" s="323" customFormat="1" ht="33" customHeight="1" outlineLevel="1" x14ac:dyDescent="0.25">
      <c r="A25" s="586"/>
      <c r="B25" s="784"/>
      <c r="C25" s="785"/>
      <c r="D25" s="641" t="s">
        <v>361</v>
      </c>
      <c r="E25" s="629">
        <v>1846546.36</v>
      </c>
      <c r="F25" s="630">
        <v>1397310</v>
      </c>
      <c r="G25" s="631">
        <f>E25-F25</f>
        <v>449236.3600000001</v>
      </c>
      <c r="H25" s="632" t="s">
        <v>362</v>
      </c>
      <c r="I25" s="648"/>
      <c r="J25" s="788"/>
      <c r="K25" s="594"/>
      <c r="L25" s="318"/>
      <c r="M25" s="318"/>
      <c r="N25" s="318"/>
      <c r="O25" s="318"/>
      <c r="P25" s="318"/>
      <c r="Q25" s="318"/>
      <c r="R25" s="318"/>
      <c r="S25" s="318"/>
      <c r="T25" s="318"/>
      <c r="U25" s="318"/>
      <c r="V25" s="318"/>
      <c r="W25" s="318"/>
      <c r="X25" s="318"/>
      <c r="Y25" s="318"/>
      <c r="Z25" s="318"/>
      <c r="AA25" s="318"/>
      <c r="AB25" s="318"/>
      <c r="AC25" s="318"/>
      <c r="AD25" s="318"/>
      <c r="AE25" s="318"/>
      <c r="AF25" s="318"/>
      <c r="AG25" s="318"/>
      <c r="AH25" s="318"/>
      <c r="AI25" s="318"/>
    </row>
    <row r="26" spans="1:35" s="307" customFormat="1" ht="37.200000000000003" customHeight="1" outlineLevel="1" x14ac:dyDescent="0.25">
      <c r="A26" s="589"/>
      <c r="B26" s="802" t="s">
        <v>219</v>
      </c>
      <c r="C26" s="803"/>
      <c r="D26" s="650" t="s">
        <v>286</v>
      </c>
      <c r="E26" s="651">
        <v>383834.03</v>
      </c>
      <c r="F26" s="639">
        <f>53776.66*1.2</f>
        <v>64531.991999999998</v>
      </c>
      <c r="G26" s="590">
        <f t="shared" si="0"/>
        <v>319302.03800000006</v>
      </c>
      <c r="H26" s="652"/>
      <c r="I26" s="640"/>
      <c r="J26" s="830" t="s">
        <v>283</v>
      </c>
      <c r="K26" s="596">
        <f>E26</f>
        <v>383834.03</v>
      </c>
    </row>
    <row r="27" spans="1:35" s="307" customFormat="1" ht="37.200000000000003" customHeight="1" outlineLevel="1" x14ac:dyDescent="0.25">
      <c r="A27" s="589"/>
      <c r="B27" s="804"/>
      <c r="C27" s="805"/>
      <c r="D27" s="650" t="s">
        <v>349</v>
      </c>
      <c r="E27" s="651">
        <v>534342.43999999994</v>
      </c>
      <c r="F27" s="639">
        <v>143822.12400000001</v>
      </c>
      <c r="G27" s="590">
        <f>E27-F27</f>
        <v>390520.31599999993</v>
      </c>
      <c r="H27" s="652"/>
      <c r="I27" s="640"/>
      <c r="J27" s="831"/>
      <c r="K27" s="596"/>
    </row>
    <row r="28" spans="1:35" s="682" customFormat="1" ht="29.4" customHeight="1" outlineLevel="1" x14ac:dyDescent="0.25">
      <c r="A28" s="586"/>
      <c r="B28" s="806" t="s">
        <v>220</v>
      </c>
      <c r="C28" s="807"/>
      <c r="D28" s="591" t="s">
        <v>287</v>
      </c>
      <c r="E28" s="592">
        <v>611563.93000000005</v>
      </c>
      <c r="F28" s="587">
        <f>142784.19*1.2</f>
        <v>171341.02799999999</v>
      </c>
      <c r="G28" s="588">
        <f t="shared" si="0"/>
        <v>440222.90200000006</v>
      </c>
      <c r="H28" s="606"/>
      <c r="I28" s="679"/>
      <c r="J28" s="815" t="s">
        <v>283</v>
      </c>
      <c r="K28" s="681"/>
    </row>
    <row r="29" spans="1:35" s="682" customFormat="1" ht="29.4" customHeight="1" outlineLevel="1" x14ac:dyDescent="0.25">
      <c r="A29" s="586"/>
      <c r="B29" s="808"/>
      <c r="C29" s="809"/>
      <c r="D29" s="591" t="s">
        <v>314</v>
      </c>
      <c r="E29" s="592">
        <v>258127.72</v>
      </c>
      <c r="F29" s="587">
        <f>20576.74*1.2</f>
        <v>24692.088</v>
      </c>
      <c r="G29" s="588">
        <f t="shared" si="0"/>
        <v>233435.63200000001</v>
      </c>
      <c r="H29" s="606"/>
      <c r="I29" s="680"/>
      <c r="J29" s="816"/>
      <c r="K29" s="681"/>
    </row>
    <row r="30" spans="1:35" s="682" customFormat="1" ht="29.4" customHeight="1" outlineLevel="1" x14ac:dyDescent="0.25">
      <c r="A30" s="586"/>
      <c r="B30" s="810"/>
      <c r="C30" s="811"/>
      <c r="D30" s="591" t="s">
        <v>340</v>
      </c>
      <c r="E30" s="592">
        <v>37302.28</v>
      </c>
      <c r="F30" s="587">
        <f>25381.31*1.2</f>
        <v>30457.572</v>
      </c>
      <c r="G30" s="588">
        <f>E30-F30</f>
        <v>6844.7079999999987</v>
      </c>
      <c r="H30" s="606"/>
      <c r="I30" s="680"/>
      <c r="J30" s="817"/>
      <c r="K30" s="681"/>
    </row>
    <row r="31" spans="1:35" s="307" customFormat="1" ht="35.4" customHeight="1" outlineLevel="1" x14ac:dyDescent="0.25">
      <c r="A31" s="589"/>
      <c r="B31" s="802" t="s">
        <v>221</v>
      </c>
      <c r="C31" s="803"/>
      <c r="D31" s="637" t="s">
        <v>288</v>
      </c>
      <c r="E31" s="638">
        <v>86531.94</v>
      </c>
      <c r="F31" s="639">
        <f>52775*1.2</f>
        <v>63330</v>
      </c>
      <c r="G31" s="635">
        <f t="shared" si="0"/>
        <v>23201.940000000002</v>
      </c>
      <c r="H31" s="652"/>
      <c r="I31" s="614"/>
      <c r="J31" s="832"/>
      <c r="K31" s="596"/>
    </row>
    <row r="32" spans="1:35" s="307" customFormat="1" ht="35.4" customHeight="1" outlineLevel="1" x14ac:dyDescent="0.25">
      <c r="A32" s="589"/>
      <c r="B32" s="804"/>
      <c r="C32" s="805"/>
      <c r="D32" s="637" t="s">
        <v>350</v>
      </c>
      <c r="E32" s="651">
        <v>368527.66</v>
      </c>
      <c r="F32" s="639">
        <v>249730.068</v>
      </c>
      <c r="G32" s="635">
        <f>E32-F32</f>
        <v>118797.59199999998</v>
      </c>
      <c r="H32" s="652"/>
      <c r="I32" s="614"/>
      <c r="J32" s="833"/>
      <c r="K32" s="596"/>
    </row>
    <row r="33" spans="1:35" s="323" customFormat="1" ht="44.4" customHeight="1" outlineLevel="1" x14ac:dyDescent="0.25">
      <c r="A33" s="586"/>
      <c r="B33" s="774" t="s">
        <v>222</v>
      </c>
      <c r="C33" s="775"/>
      <c r="D33" s="628" t="s">
        <v>53</v>
      </c>
      <c r="E33" s="629">
        <v>783940.68</v>
      </c>
      <c r="F33" s="630">
        <v>407415</v>
      </c>
      <c r="G33" s="631">
        <f t="shared" si="0"/>
        <v>376525.68000000005</v>
      </c>
      <c r="H33" s="632"/>
      <c r="I33" s="633"/>
      <c r="J33" s="800"/>
      <c r="K33" s="594"/>
      <c r="L33" s="318"/>
      <c r="M33" s="318"/>
      <c r="N33" s="318"/>
      <c r="O33" s="318"/>
      <c r="P33" s="318"/>
      <c r="Q33" s="318"/>
      <c r="R33" s="318"/>
      <c r="S33" s="318"/>
      <c r="T33" s="318"/>
      <c r="U33" s="318"/>
      <c r="V33" s="318"/>
      <c r="W33" s="318"/>
      <c r="X33" s="318"/>
      <c r="Y33" s="318"/>
      <c r="Z33" s="318"/>
      <c r="AA33" s="318"/>
      <c r="AB33" s="318"/>
      <c r="AC33" s="318"/>
      <c r="AD33" s="318"/>
      <c r="AE33" s="318"/>
      <c r="AF33" s="318"/>
      <c r="AG33" s="318"/>
      <c r="AH33" s="318"/>
      <c r="AI33" s="318"/>
    </row>
    <row r="34" spans="1:35" s="323" customFormat="1" ht="44.4" customHeight="1" outlineLevel="1" x14ac:dyDescent="0.25">
      <c r="A34" s="586"/>
      <c r="B34" s="776"/>
      <c r="C34" s="777"/>
      <c r="D34" s="628" t="s">
        <v>263</v>
      </c>
      <c r="E34" s="629">
        <v>199344.06</v>
      </c>
      <c r="F34" s="630">
        <v>198485.65199999997</v>
      </c>
      <c r="G34" s="631">
        <f t="shared" si="0"/>
        <v>858.40800000002491</v>
      </c>
      <c r="H34" s="632"/>
      <c r="I34" s="633"/>
      <c r="J34" s="801"/>
      <c r="K34" s="594"/>
      <c r="L34" s="318"/>
      <c r="M34" s="318"/>
      <c r="N34" s="318"/>
      <c r="O34" s="318"/>
      <c r="P34" s="318"/>
      <c r="Q34" s="318"/>
      <c r="R34" s="318"/>
      <c r="S34" s="318"/>
      <c r="T34" s="318"/>
      <c r="U34" s="318"/>
      <c r="V34" s="318"/>
      <c r="W34" s="318"/>
      <c r="X34" s="318"/>
      <c r="Y34" s="318"/>
      <c r="Z34" s="318"/>
      <c r="AA34" s="318"/>
      <c r="AB34" s="318"/>
      <c r="AC34" s="318"/>
      <c r="AD34" s="318"/>
      <c r="AE34" s="318"/>
      <c r="AF34" s="318"/>
      <c r="AG34" s="318"/>
      <c r="AH34" s="318"/>
      <c r="AI34" s="318"/>
    </row>
    <row r="35" spans="1:35" s="323" customFormat="1" ht="34.200000000000003" customHeight="1" outlineLevel="1" x14ac:dyDescent="0.25">
      <c r="A35" s="537"/>
      <c r="B35" s="654" t="s">
        <v>223</v>
      </c>
      <c r="C35" s="620"/>
      <c r="D35" s="621"/>
      <c r="E35" s="622"/>
      <c r="F35" s="620"/>
      <c r="G35" s="635"/>
      <c r="H35" s="611"/>
      <c r="I35" s="636"/>
      <c r="J35" s="655"/>
      <c r="K35" s="594"/>
      <c r="L35" s="318"/>
      <c r="M35" s="318"/>
      <c r="N35" s="318"/>
      <c r="O35" s="318"/>
      <c r="P35" s="318"/>
      <c r="Q35" s="318"/>
      <c r="R35" s="318"/>
      <c r="S35" s="318"/>
      <c r="T35" s="318"/>
      <c r="U35" s="318"/>
      <c r="V35" s="318"/>
      <c r="W35" s="318"/>
      <c r="X35" s="318"/>
      <c r="Y35" s="318"/>
      <c r="Z35" s="318"/>
      <c r="AA35" s="318"/>
      <c r="AB35" s="318"/>
      <c r="AC35" s="318"/>
      <c r="AD35" s="318"/>
      <c r="AE35" s="318"/>
      <c r="AF35" s="318"/>
      <c r="AG35" s="318"/>
      <c r="AH35" s="318"/>
      <c r="AI35" s="318"/>
    </row>
    <row r="36" spans="1:35" s="323" customFormat="1" ht="43.8" customHeight="1" outlineLevel="1" x14ac:dyDescent="0.25">
      <c r="A36" s="586"/>
      <c r="B36" s="774" t="s">
        <v>224</v>
      </c>
      <c r="C36" s="775"/>
      <c r="D36" s="641" t="s">
        <v>264</v>
      </c>
      <c r="E36" s="642">
        <v>178566.07</v>
      </c>
      <c r="F36" s="630">
        <v>178566.07199999999</v>
      </c>
      <c r="G36" s="631">
        <f>E36-F36</f>
        <v>-1.9999999785795808E-3</v>
      </c>
      <c r="H36" s="632"/>
      <c r="I36" s="633"/>
      <c r="J36" s="786" t="s">
        <v>283</v>
      </c>
      <c r="K36" s="594">
        <f>E36+E37</f>
        <v>215759.07</v>
      </c>
      <c r="L36" s="318"/>
      <c r="M36" s="318"/>
      <c r="N36" s="318"/>
      <c r="O36" s="318"/>
      <c r="P36" s="318"/>
      <c r="Q36" s="318"/>
      <c r="R36" s="318"/>
      <c r="S36" s="318"/>
      <c r="T36" s="318"/>
      <c r="U36" s="318"/>
      <c r="V36" s="318"/>
      <c r="W36" s="318"/>
      <c r="X36" s="318"/>
      <c r="Y36" s="318"/>
      <c r="Z36" s="318"/>
      <c r="AA36" s="318"/>
      <c r="AB36" s="318"/>
      <c r="AC36" s="318"/>
      <c r="AD36" s="318"/>
      <c r="AE36" s="318"/>
      <c r="AF36" s="318"/>
      <c r="AG36" s="318"/>
      <c r="AH36" s="318"/>
      <c r="AI36" s="318"/>
    </row>
    <row r="37" spans="1:35" s="323" customFormat="1" ht="43.8" customHeight="1" outlineLevel="1" x14ac:dyDescent="0.25">
      <c r="A37" s="586"/>
      <c r="B37" s="778"/>
      <c r="C37" s="779"/>
      <c r="D37" s="641" t="s">
        <v>289</v>
      </c>
      <c r="E37" s="629">
        <v>37193</v>
      </c>
      <c r="F37" s="630">
        <f>2050.98*1.2</f>
        <v>2461.1759999999999</v>
      </c>
      <c r="G37" s="631">
        <f t="shared" si="0"/>
        <v>34731.824000000001</v>
      </c>
      <c r="H37" s="632"/>
      <c r="I37" s="633"/>
      <c r="J37" s="788"/>
      <c r="K37" s="594"/>
      <c r="L37" s="318"/>
      <c r="M37" s="318"/>
      <c r="N37" s="318"/>
      <c r="O37" s="318"/>
      <c r="P37" s="318"/>
      <c r="Q37" s="318"/>
      <c r="R37" s="318"/>
      <c r="S37" s="318"/>
      <c r="T37" s="318"/>
      <c r="U37" s="318"/>
      <c r="V37" s="318"/>
      <c r="W37" s="318"/>
      <c r="X37" s="318"/>
      <c r="Y37" s="318"/>
      <c r="Z37" s="318"/>
      <c r="AA37" s="318"/>
      <c r="AB37" s="318"/>
      <c r="AC37" s="318"/>
      <c r="AD37" s="318"/>
      <c r="AE37" s="318"/>
      <c r="AF37" s="318"/>
      <c r="AG37" s="318"/>
      <c r="AH37" s="318"/>
      <c r="AI37" s="318"/>
    </row>
    <row r="38" spans="1:35" s="323" customFormat="1" ht="46.8" customHeight="1" x14ac:dyDescent="0.25">
      <c r="A38" s="537"/>
      <c r="B38" s="619" t="s">
        <v>240</v>
      </c>
      <c r="C38" s="625"/>
      <c r="D38" s="643"/>
      <c r="E38" s="644"/>
      <c r="F38" s="620">
        <v>0</v>
      </c>
      <c r="G38" s="635">
        <f t="shared" si="0"/>
        <v>0</v>
      </c>
      <c r="H38" s="656"/>
      <c r="I38" s="624"/>
      <c r="J38" s="657"/>
      <c r="K38" s="594"/>
      <c r="L38" s="318"/>
      <c r="M38" s="318"/>
      <c r="N38" s="318"/>
      <c r="O38" s="318"/>
      <c r="P38" s="318"/>
      <c r="Q38" s="318"/>
      <c r="R38" s="318"/>
      <c r="S38" s="318"/>
      <c r="T38" s="318"/>
      <c r="U38" s="318"/>
      <c r="V38" s="318"/>
      <c r="W38" s="318"/>
      <c r="X38" s="318"/>
      <c r="Y38" s="318"/>
      <c r="Z38" s="318"/>
      <c r="AA38" s="318"/>
      <c r="AB38" s="318"/>
      <c r="AC38" s="318"/>
      <c r="AD38" s="318"/>
      <c r="AE38" s="318"/>
      <c r="AF38" s="318"/>
      <c r="AG38" s="318"/>
      <c r="AH38" s="318"/>
      <c r="AI38" s="318"/>
    </row>
    <row r="39" spans="1:35" s="323" customFormat="1" ht="49.2" customHeight="1" x14ac:dyDescent="0.25">
      <c r="A39" s="586"/>
      <c r="B39" s="774" t="s">
        <v>225</v>
      </c>
      <c r="C39" s="775"/>
      <c r="D39" s="641" t="s">
        <v>53</v>
      </c>
      <c r="E39" s="642">
        <v>61034</v>
      </c>
      <c r="F39" s="630">
        <v>30763.7</v>
      </c>
      <c r="G39" s="631">
        <f t="shared" si="0"/>
        <v>30270.3</v>
      </c>
      <c r="H39" s="607"/>
      <c r="I39" s="645"/>
      <c r="J39" s="800" t="s">
        <v>283</v>
      </c>
      <c r="K39" s="594">
        <f>E39+E40+E41</f>
        <v>316265.55</v>
      </c>
      <c r="L39" s="318"/>
      <c r="M39" s="318"/>
      <c r="N39" s="318"/>
      <c r="O39" s="318"/>
      <c r="P39" s="318"/>
      <c r="Q39" s="318"/>
      <c r="R39" s="318"/>
      <c r="S39" s="318"/>
      <c r="T39" s="318"/>
      <c r="U39" s="318"/>
      <c r="V39" s="318"/>
      <c r="W39" s="318"/>
      <c r="X39" s="318"/>
      <c r="Y39" s="318"/>
      <c r="Z39" s="318"/>
      <c r="AA39" s="318"/>
      <c r="AB39" s="318"/>
      <c r="AC39" s="318"/>
      <c r="AD39" s="318"/>
      <c r="AE39" s="318"/>
      <c r="AF39" s="318"/>
      <c r="AG39" s="318"/>
      <c r="AH39" s="318"/>
      <c r="AI39" s="318"/>
    </row>
    <row r="40" spans="1:35" s="323" customFormat="1" ht="49.2" customHeight="1" x14ac:dyDescent="0.25">
      <c r="A40" s="586"/>
      <c r="B40" s="776"/>
      <c r="C40" s="777"/>
      <c r="D40" s="641" t="s">
        <v>265</v>
      </c>
      <c r="E40" s="642">
        <v>23226</v>
      </c>
      <c r="F40" s="630">
        <v>11699.651999999998</v>
      </c>
      <c r="G40" s="631">
        <f t="shared" si="0"/>
        <v>11526.348000000002</v>
      </c>
      <c r="H40" s="607"/>
      <c r="I40" s="633"/>
      <c r="J40" s="818"/>
      <c r="K40" s="594"/>
      <c r="L40" s="318"/>
      <c r="M40" s="318"/>
      <c r="N40" s="318"/>
      <c r="O40" s="318"/>
      <c r="P40" s="318"/>
      <c r="Q40" s="318"/>
      <c r="R40" s="318"/>
      <c r="S40" s="318"/>
      <c r="T40" s="318"/>
      <c r="U40" s="318"/>
      <c r="V40" s="318"/>
      <c r="W40" s="318"/>
      <c r="X40" s="318"/>
      <c r="Y40" s="318"/>
      <c r="Z40" s="318"/>
      <c r="AA40" s="318"/>
      <c r="AB40" s="318"/>
      <c r="AC40" s="318"/>
      <c r="AD40" s="318"/>
      <c r="AE40" s="318"/>
      <c r="AF40" s="318"/>
      <c r="AG40" s="318"/>
      <c r="AH40" s="318"/>
      <c r="AI40" s="318"/>
    </row>
    <row r="41" spans="1:35" s="323" customFormat="1" ht="49.2" customHeight="1" x14ac:dyDescent="0.25">
      <c r="A41" s="586"/>
      <c r="B41" s="778"/>
      <c r="C41" s="779"/>
      <c r="D41" s="641" t="s">
        <v>290</v>
      </c>
      <c r="E41" s="642">
        <v>232005.55</v>
      </c>
      <c r="F41" s="630">
        <f>122858.62*1.2</f>
        <v>147430.34399999998</v>
      </c>
      <c r="G41" s="631">
        <f t="shared" si="0"/>
        <v>84575.206000000006</v>
      </c>
      <c r="H41" s="607"/>
      <c r="I41" s="633"/>
      <c r="J41" s="801"/>
      <c r="K41" s="594"/>
      <c r="L41" s="318"/>
      <c r="M41" s="318"/>
      <c r="N41" s="318"/>
      <c r="O41" s="318"/>
      <c r="P41" s="318"/>
      <c r="Q41" s="318"/>
      <c r="R41" s="318"/>
      <c r="S41" s="318"/>
      <c r="T41" s="318"/>
      <c r="U41" s="318"/>
      <c r="V41" s="318"/>
      <c r="W41" s="318"/>
      <c r="X41" s="318"/>
      <c r="Y41" s="318"/>
      <c r="Z41" s="318"/>
      <c r="AA41" s="318"/>
      <c r="AB41" s="318"/>
      <c r="AC41" s="318"/>
      <c r="AD41" s="318"/>
      <c r="AE41" s="318"/>
      <c r="AF41" s="318"/>
      <c r="AG41" s="318"/>
      <c r="AH41" s="318"/>
      <c r="AI41" s="318"/>
    </row>
    <row r="42" spans="1:35" s="323" customFormat="1" ht="34.200000000000003" customHeight="1" x14ac:dyDescent="0.25">
      <c r="A42" s="537"/>
      <c r="B42" s="619" t="s">
        <v>241</v>
      </c>
      <c r="C42" s="620"/>
      <c r="D42" s="621"/>
      <c r="E42" s="622"/>
      <c r="F42" s="620">
        <v>0</v>
      </c>
      <c r="G42" s="635">
        <f t="shared" si="0"/>
        <v>0</v>
      </c>
      <c r="H42" s="656"/>
      <c r="I42" s="624"/>
      <c r="J42" s="625"/>
      <c r="K42" s="594"/>
      <c r="L42" s="318"/>
      <c r="M42" s="318"/>
      <c r="N42" s="318"/>
      <c r="O42" s="318"/>
      <c r="P42" s="318"/>
      <c r="Q42" s="318"/>
      <c r="R42" s="318"/>
      <c r="S42" s="318"/>
      <c r="T42" s="318"/>
      <c r="U42" s="318"/>
      <c r="V42" s="318"/>
      <c r="W42" s="318"/>
      <c r="X42" s="318"/>
      <c r="Y42" s="318"/>
      <c r="Z42" s="318"/>
      <c r="AA42" s="318"/>
      <c r="AB42" s="318"/>
      <c r="AC42" s="318"/>
      <c r="AD42" s="318"/>
      <c r="AE42" s="318"/>
      <c r="AF42" s="318"/>
      <c r="AG42" s="318"/>
      <c r="AH42" s="318"/>
      <c r="AI42" s="318"/>
    </row>
    <row r="43" spans="1:35" s="323" customFormat="1" ht="39" customHeight="1" x14ac:dyDescent="0.25">
      <c r="A43" s="586"/>
      <c r="B43" s="774" t="s">
        <v>226</v>
      </c>
      <c r="C43" s="775"/>
      <c r="D43" s="628" t="s">
        <v>291</v>
      </c>
      <c r="E43" s="629">
        <v>7303.6</v>
      </c>
      <c r="F43" s="630">
        <f>820.38*1.2</f>
        <v>984.4559999999999</v>
      </c>
      <c r="G43" s="631">
        <f t="shared" si="0"/>
        <v>6319.1440000000002</v>
      </c>
      <c r="H43" s="632"/>
      <c r="I43" s="633"/>
      <c r="J43" s="800" t="s">
        <v>283</v>
      </c>
      <c r="K43" s="594"/>
      <c r="L43" s="318"/>
      <c r="M43" s="318"/>
      <c r="N43" s="318"/>
      <c r="O43" s="318"/>
      <c r="P43" s="318"/>
      <c r="Q43" s="318"/>
      <c r="R43" s="318"/>
      <c r="S43" s="318"/>
      <c r="T43" s="318"/>
      <c r="U43" s="318"/>
      <c r="V43" s="318"/>
      <c r="W43" s="318"/>
      <c r="X43" s="318"/>
      <c r="Y43" s="318"/>
      <c r="Z43" s="318"/>
      <c r="AA43" s="318"/>
      <c r="AB43" s="318"/>
      <c r="AC43" s="318"/>
      <c r="AD43" s="318"/>
      <c r="AE43" s="318"/>
      <c r="AF43" s="318"/>
      <c r="AG43" s="318"/>
      <c r="AH43" s="318"/>
      <c r="AI43" s="318"/>
    </row>
    <row r="44" spans="1:35" s="323" customFormat="1" ht="39" customHeight="1" x14ac:dyDescent="0.25">
      <c r="A44" s="586"/>
      <c r="B44" s="776"/>
      <c r="C44" s="777"/>
      <c r="D44" s="628" t="s">
        <v>315</v>
      </c>
      <c r="E44" s="629">
        <v>14157.94</v>
      </c>
      <c r="F44" s="630">
        <f>9255.65*1.2</f>
        <v>11106.779999999999</v>
      </c>
      <c r="G44" s="631">
        <f t="shared" si="0"/>
        <v>3051.1600000000017</v>
      </c>
      <c r="H44" s="632"/>
      <c r="I44" s="633"/>
      <c r="J44" s="818"/>
      <c r="K44" s="594"/>
      <c r="L44" s="318"/>
      <c r="M44" s="318"/>
      <c r="N44" s="318"/>
      <c r="O44" s="318"/>
      <c r="P44" s="318"/>
      <c r="Q44" s="318"/>
      <c r="R44" s="318"/>
      <c r="S44" s="318"/>
      <c r="T44" s="318"/>
      <c r="U44" s="318"/>
      <c r="V44" s="318"/>
      <c r="W44" s="318"/>
      <c r="X44" s="318"/>
      <c r="Y44" s="318"/>
      <c r="Z44" s="318"/>
      <c r="AA44" s="318"/>
      <c r="AB44" s="318"/>
      <c r="AC44" s="318"/>
      <c r="AD44" s="318"/>
      <c r="AE44" s="318"/>
      <c r="AF44" s="318"/>
      <c r="AG44" s="318"/>
      <c r="AH44" s="318"/>
      <c r="AI44" s="318"/>
    </row>
    <row r="45" spans="1:35" s="323" customFormat="1" ht="39" customHeight="1" x14ac:dyDescent="0.25">
      <c r="A45" s="586"/>
      <c r="B45" s="778"/>
      <c r="C45" s="779"/>
      <c r="D45" s="628" t="s">
        <v>351</v>
      </c>
      <c r="E45" s="629">
        <v>29337.119999999999</v>
      </c>
      <c r="F45" s="630">
        <v>20271.096000000001</v>
      </c>
      <c r="G45" s="631">
        <f>E45-F45</f>
        <v>9066.0239999999976</v>
      </c>
      <c r="H45" s="632"/>
      <c r="I45" s="633"/>
      <c r="J45" s="801"/>
      <c r="K45" s="594"/>
      <c r="L45" s="318"/>
      <c r="M45" s="318"/>
      <c r="N45" s="318"/>
      <c r="O45" s="318"/>
      <c r="P45" s="318"/>
      <c r="Q45" s="318"/>
      <c r="R45" s="318"/>
      <c r="S45" s="318"/>
      <c r="T45" s="318"/>
      <c r="U45" s="318"/>
      <c r="V45" s="318"/>
      <c r="W45" s="318"/>
      <c r="X45" s="318"/>
      <c r="Y45" s="318"/>
      <c r="Z45" s="318"/>
      <c r="AA45" s="318"/>
      <c r="AB45" s="318"/>
      <c r="AC45" s="318"/>
      <c r="AD45" s="318"/>
      <c r="AE45" s="318"/>
      <c r="AF45" s="318"/>
      <c r="AG45" s="318"/>
      <c r="AH45" s="318"/>
      <c r="AI45" s="318"/>
    </row>
    <row r="46" spans="1:35" s="323" customFormat="1" ht="33.6" customHeight="1" x14ac:dyDescent="0.25">
      <c r="A46" s="537"/>
      <c r="B46" s="658" t="s">
        <v>227</v>
      </c>
      <c r="C46" s="620"/>
      <c r="D46" s="621"/>
      <c r="E46" s="622"/>
      <c r="F46" s="620" t="s">
        <v>153</v>
      </c>
      <c r="G46" s="635"/>
      <c r="H46" s="611"/>
      <c r="I46" s="636"/>
      <c r="J46" s="655"/>
      <c r="K46" s="594"/>
      <c r="L46" s="318"/>
      <c r="M46" s="318"/>
      <c r="N46" s="318"/>
      <c r="O46" s="318"/>
      <c r="P46" s="318"/>
      <c r="Q46" s="318"/>
      <c r="R46" s="318"/>
      <c r="S46" s="318"/>
      <c r="T46" s="318"/>
      <c r="U46" s="318"/>
      <c r="V46" s="318"/>
      <c r="W46" s="318"/>
      <c r="X46" s="318"/>
      <c r="Y46" s="318"/>
      <c r="Z46" s="318"/>
      <c r="AA46" s="318"/>
      <c r="AB46" s="318"/>
      <c r="AC46" s="318"/>
      <c r="AD46" s="318"/>
      <c r="AE46" s="318"/>
      <c r="AF46" s="318"/>
      <c r="AG46" s="318"/>
      <c r="AH46" s="318"/>
      <c r="AI46" s="318"/>
    </row>
    <row r="47" spans="1:35" s="323" customFormat="1" ht="39.6" customHeight="1" outlineLevel="1" x14ac:dyDescent="0.25">
      <c r="A47" s="586"/>
      <c r="B47" s="774" t="s">
        <v>242</v>
      </c>
      <c r="C47" s="775"/>
      <c r="D47" s="641" t="s">
        <v>266</v>
      </c>
      <c r="E47" s="642">
        <v>536061.1</v>
      </c>
      <c r="F47" s="630">
        <v>378313.17599999998</v>
      </c>
      <c r="G47" s="631">
        <f t="shared" si="0"/>
        <v>157747.924</v>
      </c>
      <c r="H47" s="632"/>
      <c r="I47" s="633"/>
      <c r="J47" s="786" t="s">
        <v>283</v>
      </c>
      <c r="K47" s="594"/>
      <c r="L47" s="318"/>
      <c r="M47" s="318"/>
      <c r="N47" s="318"/>
      <c r="O47" s="318"/>
      <c r="P47" s="318"/>
      <c r="Q47" s="318"/>
      <c r="R47" s="318"/>
      <c r="S47" s="318"/>
      <c r="T47" s="318"/>
      <c r="U47" s="318"/>
      <c r="V47" s="318"/>
      <c r="W47" s="318"/>
      <c r="X47" s="318"/>
      <c r="Y47" s="318"/>
      <c r="Z47" s="318"/>
      <c r="AA47" s="318"/>
      <c r="AB47" s="318"/>
      <c r="AC47" s="318"/>
      <c r="AD47" s="318"/>
      <c r="AE47" s="318"/>
      <c r="AF47" s="318"/>
      <c r="AG47" s="318"/>
      <c r="AH47" s="318"/>
      <c r="AI47" s="318"/>
    </row>
    <row r="48" spans="1:35" s="323" customFormat="1" ht="39.6" customHeight="1" outlineLevel="1" x14ac:dyDescent="0.25">
      <c r="A48" s="586"/>
      <c r="B48" s="776"/>
      <c r="C48" s="777"/>
      <c r="D48" s="641" t="s">
        <v>295</v>
      </c>
      <c r="E48" s="629">
        <v>198934.63</v>
      </c>
      <c r="F48" s="630">
        <f>1161.76*1.2</f>
        <v>1394.1119999999999</v>
      </c>
      <c r="G48" s="631">
        <f t="shared" si="0"/>
        <v>197540.51800000001</v>
      </c>
      <c r="H48" s="632"/>
      <c r="I48" s="633"/>
      <c r="J48" s="787"/>
      <c r="K48" s="594"/>
      <c r="L48" s="318"/>
      <c r="M48" s="318"/>
      <c r="N48" s="318"/>
      <c r="O48" s="318"/>
      <c r="P48" s="318"/>
      <c r="Q48" s="318"/>
      <c r="R48" s="318"/>
      <c r="S48" s="318"/>
      <c r="T48" s="318"/>
      <c r="U48" s="318"/>
      <c r="V48" s="318"/>
      <c r="W48" s="318"/>
      <c r="X48" s="318"/>
      <c r="Y48" s="318"/>
      <c r="Z48" s="318"/>
      <c r="AA48" s="318"/>
      <c r="AB48" s="318"/>
      <c r="AC48" s="318"/>
      <c r="AD48" s="318"/>
      <c r="AE48" s="318"/>
      <c r="AF48" s="318"/>
      <c r="AG48" s="318"/>
      <c r="AH48" s="318"/>
      <c r="AI48" s="318"/>
    </row>
    <row r="49" spans="1:35" s="323" customFormat="1" ht="39.6" customHeight="1" outlineLevel="1" x14ac:dyDescent="0.25">
      <c r="A49" s="586"/>
      <c r="B49" s="776"/>
      <c r="C49" s="777"/>
      <c r="D49" s="641" t="s">
        <v>318</v>
      </c>
      <c r="E49" s="629">
        <v>39278.89</v>
      </c>
      <c r="F49" s="630"/>
      <c r="G49" s="631">
        <f t="shared" si="0"/>
        <v>39278.89</v>
      </c>
      <c r="H49" s="632"/>
      <c r="I49" s="648"/>
      <c r="J49" s="787"/>
      <c r="K49" s="594"/>
      <c r="L49" s="318"/>
      <c r="M49" s="318"/>
      <c r="N49" s="318"/>
      <c r="O49" s="318"/>
      <c r="P49" s="318"/>
      <c r="Q49" s="318"/>
      <c r="R49" s="318"/>
      <c r="S49" s="318"/>
      <c r="T49" s="318"/>
      <c r="U49" s="318"/>
      <c r="V49" s="318"/>
      <c r="W49" s="318"/>
      <c r="X49" s="318"/>
      <c r="Y49" s="318"/>
      <c r="Z49" s="318"/>
      <c r="AA49" s="318"/>
      <c r="AB49" s="318"/>
      <c r="AC49" s="318"/>
      <c r="AD49" s="318"/>
      <c r="AE49" s="318"/>
      <c r="AF49" s="318"/>
      <c r="AG49" s="318"/>
      <c r="AH49" s="318"/>
      <c r="AI49" s="318"/>
    </row>
    <row r="50" spans="1:35" s="682" customFormat="1" ht="39.6" customHeight="1" outlineLevel="1" x14ac:dyDescent="0.25">
      <c r="A50" s="586"/>
      <c r="B50" s="776"/>
      <c r="C50" s="777"/>
      <c r="D50" s="641" t="s">
        <v>332</v>
      </c>
      <c r="E50" s="629">
        <v>339252.92</v>
      </c>
      <c r="F50" s="630">
        <f>6620.72*1.2</f>
        <v>7944.8639999999996</v>
      </c>
      <c r="G50" s="631">
        <f t="shared" si="0"/>
        <v>331308.05599999998</v>
      </c>
      <c r="H50" s="632"/>
      <c r="I50" s="648"/>
      <c r="J50" s="787"/>
      <c r="K50" s="681"/>
    </row>
    <row r="51" spans="1:35" s="682" customFormat="1" ht="39.6" customHeight="1" outlineLevel="1" x14ac:dyDescent="0.25">
      <c r="A51" s="586"/>
      <c r="B51" s="778"/>
      <c r="C51" s="779"/>
      <c r="D51" s="641" t="s">
        <v>352</v>
      </c>
      <c r="E51" s="629">
        <v>33365.29</v>
      </c>
      <c r="F51" s="630"/>
      <c r="G51" s="631">
        <f>E51</f>
        <v>33365.29</v>
      </c>
      <c r="H51" s="632"/>
      <c r="I51" s="648"/>
      <c r="J51" s="788"/>
      <c r="K51" s="681"/>
    </row>
    <row r="52" spans="1:35" s="323" customFormat="1" ht="35.4" customHeight="1" outlineLevel="1" x14ac:dyDescent="0.25">
      <c r="A52" s="537"/>
      <c r="B52" s="768" t="s">
        <v>243</v>
      </c>
      <c r="C52" s="769"/>
      <c r="D52" s="643" t="s">
        <v>296</v>
      </c>
      <c r="E52" s="644">
        <v>2341190.92</v>
      </c>
      <c r="F52" s="620">
        <f>E52</f>
        <v>2341190.92</v>
      </c>
      <c r="G52" s="635">
        <f t="shared" si="0"/>
        <v>0</v>
      </c>
      <c r="H52" s="659"/>
      <c r="I52" s="624"/>
      <c r="J52" s="796"/>
      <c r="K52" s="594"/>
      <c r="L52" s="318"/>
      <c r="M52" s="318"/>
      <c r="N52" s="318"/>
      <c r="O52" s="318"/>
      <c r="P52" s="318"/>
      <c r="Q52" s="318"/>
      <c r="R52" s="318"/>
      <c r="S52" s="318"/>
      <c r="T52" s="318"/>
      <c r="U52" s="318"/>
      <c r="V52" s="318"/>
      <c r="W52" s="318"/>
      <c r="X52" s="318"/>
      <c r="Y52" s="318"/>
      <c r="Z52" s="318"/>
      <c r="AA52" s="318"/>
      <c r="AB52" s="318"/>
      <c r="AC52" s="318"/>
      <c r="AD52" s="318"/>
      <c r="AE52" s="318"/>
      <c r="AF52" s="318"/>
      <c r="AG52" s="318"/>
      <c r="AH52" s="318"/>
      <c r="AI52" s="318"/>
    </row>
    <row r="53" spans="1:35" s="323" customFormat="1" ht="35.4" customHeight="1" outlineLevel="1" x14ac:dyDescent="0.25">
      <c r="A53" s="537"/>
      <c r="B53" s="770"/>
      <c r="C53" s="771"/>
      <c r="D53" s="643" t="s">
        <v>319</v>
      </c>
      <c r="E53" s="644">
        <v>687170.38</v>
      </c>
      <c r="F53" s="620">
        <f>E53</f>
        <v>687170.38</v>
      </c>
      <c r="G53" s="635">
        <f t="shared" si="0"/>
        <v>0</v>
      </c>
      <c r="H53" s="659"/>
      <c r="I53" s="660"/>
      <c r="J53" s="812"/>
      <c r="K53" s="594"/>
      <c r="L53" s="318"/>
      <c r="M53" s="318"/>
      <c r="N53" s="318"/>
      <c r="O53" s="318"/>
      <c r="P53" s="318"/>
      <c r="Q53" s="318"/>
      <c r="R53" s="318"/>
      <c r="S53" s="318"/>
      <c r="T53" s="318"/>
      <c r="U53" s="318"/>
      <c r="V53" s="318"/>
      <c r="W53" s="318"/>
      <c r="X53" s="318"/>
      <c r="Y53" s="318"/>
      <c r="Z53" s="318"/>
      <c r="AA53" s="318"/>
      <c r="AB53" s="318"/>
      <c r="AC53" s="318"/>
      <c r="AD53" s="318"/>
      <c r="AE53" s="318"/>
      <c r="AF53" s="318"/>
      <c r="AG53" s="318"/>
      <c r="AH53" s="318"/>
      <c r="AI53" s="318"/>
    </row>
    <row r="54" spans="1:35" s="323" customFormat="1" ht="35.4" customHeight="1" outlineLevel="1" x14ac:dyDescent="0.25">
      <c r="A54" s="537"/>
      <c r="B54" s="772"/>
      <c r="C54" s="773"/>
      <c r="D54" s="643" t="s">
        <v>353</v>
      </c>
      <c r="E54" s="644">
        <v>100172.22</v>
      </c>
      <c r="F54" s="620">
        <v>100172.22</v>
      </c>
      <c r="G54" s="635">
        <f>E54-F54</f>
        <v>0</v>
      </c>
      <c r="H54" s="659"/>
      <c r="I54" s="660"/>
      <c r="J54" s="797"/>
      <c r="K54" s="594"/>
      <c r="L54" s="318"/>
      <c r="M54" s="318"/>
      <c r="N54" s="318"/>
      <c r="O54" s="318"/>
      <c r="P54" s="318"/>
      <c r="Q54" s="318"/>
      <c r="R54" s="318"/>
      <c r="S54" s="318"/>
      <c r="T54" s="318"/>
      <c r="U54" s="318"/>
      <c r="V54" s="318"/>
      <c r="W54" s="318"/>
      <c r="X54" s="318"/>
      <c r="Y54" s="318"/>
      <c r="Z54" s="318"/>
      <c r="AA54" s="318"/>
      <c r="AB54" s="318"/>
      <c r="AC54" s="318"/>
      <c r="AD54" s="318"/>
      <c r="AE54" s="318"/>
      <c r="AF54" s="318"/>
      <c r="AG54" s="318"/>
      <c r="AH54" s="318"/>
      <c r="AI54" s="318"/>
    </row>
    <row r="55" spans="1:35" s="323" customFormat="1" ht="39.6" customHeight="1" outlineLevel="1" x14ac:dyDescent="0.25">
      <c r="A55" s="586"/>
      <c r="B55" s="774" t="s">
        <v>244</v>
      </c>
      <c r="C55" s="775"/>
      <c r="D55" s="628" t="s">
        <v>267</v>
      </c>
      <c r="E55" s="629">
        <v>7540.97</v>
      </c>
      <c r="F55" s="630">
        <f>E55</f>
        <v>7540.97</v>
      </c>
      <c r="G55" s="631">
        <f t="shared" si="0"/>
        <v>0</v>
      </c>
      <c r="H55" s="632"/>
      <c r="I55" s="633"/>
      <c r="J55" s="800"/>
      <c r="K55" s="594"/>
      <c r="L55" s="318"/>
      <c r="M55" s="318"/>
      <c r="N55" s="318"/>
      <c r="O55" s="318"/>
      <c r="P55" s="318"/>
      <c r="Q55" s="318"/>
      <c r="R55" s="318"/>
      <c r="S55" s="318"/>
      <c r="T55" s="318"/>
      <c r="U55" s="318"/>
      <c r="V55" s="318"/>
      <c r="W55" s="318"/>
      <c r="X55" s="318"/>
      <c r="Y55" s="318"/>
      <c r="Z55" s="318"/>
      <c r="AA55" s="318"/>
      <c r="AB55" s="318"/>
      <c r="AC55" s="318"/>
      <c r="AD55" s="318"/>
      <c r="AE55" s="318"/>
      <c r="AF55" s="318"/>
      <c r="AG55" s="318"/>
      <c r="AH55" s="318"/>
      <c r="AI55" s="318"/>
    </row>
    <row r="56" spans="1:35" s="323" customFormat="1" ht="39.6" customHeight="1" outlineLevel="1" x14ac:dyDescent="0.25">
      <c r="A56" s="586"/>
      <c r="B56" s="776"/>
      <c r="C56" s="777"/>
      <c r="D56" s="628" t="s">
        <v>297</v>
      </c>
      <c r="E56" s="629">
        <f>F56</f>
        <v>14204.291999999999</v>
      </c>
      <c r="F56" s="630">
        <f>11836.91*1.2</f>
        <v>14204.291999999999</v>
      </c>
      <c r="G56" s="631">
        <f t="shared" si="0"/>
        <v>0</v>
      </c>
      <c r="H56" s="632"/>
      <c r="I56" s="633"/>
      <c r="J56" s="801"/>
      <c r="K56" s="594"/>
      <c r="L56" s="318"/>
      <c r="M56" s="318"/>
      <c r="N56" s="318"/>
      <c r="O56" s="318"/>
      <c r="P56" s="318"/>
      <c r="Q56" s="318"/>
      <c r="R56" s="318"/>
      <c r="S56" s="318"/>
      <c r="T56" s="318"/>
      <c r="U56" s="318"/>
      <c r="V56" s="318"/>
      <c r="W56" s="318"/>
      <c r="X56" s="318"/>
      <c r="Y56" s="318"/>
      <c r="Z56" s="318"/>
      <c r="AA56" s="318"/>
      <c r="AB56" s="318"/>
      <c r="AC56" s="318"/>
      <c r="AD56" s="318"/>
      <c r="AE56" s="318"/>
      <c r="AF56" s="318"/>
      <c r="AG56" s="318"/>
      <c r="AH56" s="318"/>
      <c r="AI56" s="318"/>
    </row>
    <row r="57" spans="1:35" s="323" customFormat="1" ht="39.6" customHeight="1" outlineLevel="1" x14ac:dyDescent="0.25">
      <c r="A57" s="586"/>
      <c r="B57" s="778"/>
      <c r="C57" s="779"/>
      <c r="D57" s="628" t="s">
        <v>354</v>
      </c>
      <c r="E57" s="629">
        <v>156062.88</v>
      </c>
      <c r="F57" s="630">
        <v>25213.175999999999</v>
      </c>
      <c r="G57" s="631">
        <f>E57-F57</f>
        <v>130849.704</v>
      </c>
      <c r="H57" s="632"/>
      <c r="I57" s="633"/>
      <c r="J57" s="684"/>
      <c r="K57" s="594"/>
      <c r="L57" s="318"/>
      <c r="M57" s="318"/>
      <c r="N57" s="318"/>
      <c r="O57" s="318"/>
      <c r="P57" s="318"/>
      <c r="Q57" s="318"/>
      <c r="R57" s="318"/>
      <c r="S57" s="318"/>
      <c r="T57" s="318"/>
      <c r="U57" s="318"/>
      <c r="V57" s="318"/>
      <c r="W57" s="318"/>
      <c r="X57" s="318"/>
      <c r="Y57" s="318"/>
      <c r="Z57" s="318"/>
      <c r="AA57" s="318"/>
      <c r="AB57" s="318"/>
      <c r="AC57" s="318"/>
      <c r="AD57" s="318"/>
      <c r="AE57" s="318"/>
      <c r="AF57" s="318"/>
      <c r="AG57" s="318"/>
      <c r="AH57" s="318"/>
      <c r="AI57" s="318"/>
    </row>
    <row r="58" spans="1:35" s="323" customFormat="1" ht="32.4" customHeight="1" outlineLevel="1" x14ac:dyDescent="0.25">
      <c r="A58" s="537"/>
      <c r="B58" s="654" t="s">
        <v>245</v>
      </c>
      <c r="C58" s="620"/>
      <c r="D58" s="621" t="s">
        <v>298</v>
      </c>
      <c r="E58" s="622">
        <v>1108232.3400000001</v>
      </c>
      <c r="F58" s="620">
        <f>E58</f>
        <v>1108232.3400000001</v>
      </c>
      <c r="G58" s="635">
        <f t="shared" si="0"/>
        <v>0</v>
      </c>
      <c r="H58" s="611"/>
      <c r="I58" s="636"/>
      <c r="J58" s="657" t="s">
        <v>299</v>
      </c>
      <c r="K58" s="594"/>
      <c r="L58" s="318"/>
      <c r="M58" s="318"/>
      <c r="N58" s="318"/>
      <c r="O58" s="318"/>
      <c r="P58" s="318"/>
      <c r="Q58" s="318"/>
      <c r="R58" s="318"/>
      <c r="S58" s="318"/>
      <c r="T58" s="318"/>
      <c r="U58" s="318"/>
      <c r="V58" s="318"/>
      <c r="W58" s="318"/>
      <c r="X58" s="318"/>
      <c r="Y58" s="318"/>
      <c r="Z58" s="318"/>
      <c r="AA58" s="318"/>
      <c r="AB58" s="318"/>
      <c r="AC58" s="318"/>
      <c r="AD58" s="318"/>
      <c r="AE58" s="318"/>
      <c r="AF58" s="318"/>
      <c r="AG58" s="318"/>
      <c r="AH58" s="318"/>
      <c r="AI58" s="318"/>
    </row>
    <row r="59" spans="1:35" s="682" customFormat="1" ht="41.4" customHeight="1" outlineLevel="1" x14ac:dyDescent="0.25">
      <c r="A59" s="586"/>
      <c r="B59" s="774" t="s">
        <v>246</v>
      </c>
      <c r="C59" s="775"/>
      <c r="D59" s="641" t="s">
        <v>268</v>
      </c>
      <c r="E59" s="642">
        <v>256266.18</v>
      </c>
      <c r="F59" s="630">
        <v>255159.50400000002</v>
      </c>
      <c r="G59" s="631">
        <f t="shared" si="0"/>
        <v>1106.6759999999776</v>
      </c>
      <c r="H59" s="632"/>
      <c r="I59" s="633"/>
      <c r="J59" s="786" t="s">
        <v>283</v>
      </c>
      <c r="K59" s="681"/>
    </row>
    <row r="60" spans="1:35" s="682" customFormat="1" ht="41.4" customHeight="1" outlineLevel="1" x14ac:dyDescent="0.25">
      <c r="A60" s="586"/>
      <c r="B60" s="778"/>
      <c r="C60" s="779"/>
      <c r="D60" s="641" t="s">
        <v>345</v>
      </c>
      <c r="E60" s="629">
        <v>1118415.18</v>
      </c>
      <c r="F60" s="630">
        <f>32336.7*1.2</f>
        <v>38804.04</v>
      </c>
      <c r="G60" s="631">
        <f>E60-F60</f>
        <v>1079611.1399999999</v>
      </c>
      <c r="H60" s="632"/>
      <c r="I60" s="633"/>
      <c r="J60" s="788"/>
      <c r="K60" s="681"/>
    </row>
    <row r="61" spans="1:35" s="307" customFormat="1" ht="42" customHeight="1" outlineLevel="1" x14ac:dyDescent="0.25">
      <c r="A61" s="589"/>
      <c r="B61" s="802" t="s">
        <v>247</v>
      </c>
      <c r="C61" s="803"/>
      <c r="D61" s="650" t="s">
        <v>300</v>
      </c>
      <c r="E61" s="651">
        <v>290354.76</v>
      </c>
      <c r="F61" s="639">
        <f>138136.26*1.2</f>
        <v>165763.51200000002</v>
      </c>
      <c r="G61" s="635">
        <f t="shared" si="0"/>
        <v>124591.24799999999</v>
      </c>
      <c r="H61" s="652"/>
      <c r="I61" s="640"/>
      <c r="J61" s="830" t="s">
        <v>283</v>
      </c>
      <c r="K61" s="596"/>
    </row>
    <row r="62" spans="1:35" s="307" customFormat="1" ht="42" customHeight="1" outlineLevel="1" x14ac:dyDescent="0.25">
      <c r="A62" s="589"/>
      <c r="B62" s="836"/>
      <c r="C62" s="837"/>
      <c r="D62" s="650" t="s">
        <v>320</v>
      </c>
      <c r="E62" s="651">
        <v>56371.76</v>
      </c>
      <c r="F62" s="639">
        <f>1729.31*1.2</f>
        <v>2075.172</v>
      </c>
      <c r="G62" s="635">
        <f t="shared" si="0"/>
        <v>54296.588000000003</v>
      </c>
      <c r="H62" s="652"/>
      <c r="I62" s="647"/>
      <c r="J62" s="835"/>
      <c r="K62" s="596"/>
    </row>
    <row r="63" spans="1:35" s="307" customFormat="1" ht="42" customHeight="1" outlineLevel="1" x14ac:dyDescent="0.25">
      <c r="A63" s="589"/>
      <c r="B63" s="836"/>
      <c r="C63" s="837"/>
      <c r="D63" s="650" t="s">
        <v>333</v>
      </c>
      <c r="E63" s="651">
        <v>759081.32</v>
      </c>
      <c r="F63" s="639">
        <f>191038.3*1.2</f>
        <v>229245.96</v>
      </c>
      <c r="G63" s="635">
        <f>E63-F63</f>
        <v>529835.36</v>
      </c>
      <c r="H63" s="652"/>
      <c r="I63" s="647"/>
      <c r="J63" s="835"/>
      <c r="K63" s="596"/>
    </row>
    <row r="64" spans="1:35" s="307" customFormat="1" ht="42" customHeight="1" outlineLevel="1" x14ac:dyDescent="0.25">
      <c r="A64" s="589"/>
      <c r="B64" s="804"/>
      <c r="C64" s="805"/>
      <c r="D64" s="650" t="s">
        <v>355</v>
      </c>
      <c r="E64" s="651">
        <v>215752.97</v>
      </c>
      <c r="F64" s="639">
        <v>150368.28</v>
      </c>
      <c r="G64" s="635">
        <f>E64-F64</f>
        <v>65384.69</v>
      </c>
      <c r="H64" s="652"/>
      <c r="I64" s="647"/>
      <c r="J64" s="831"/>
      <c r="K64" s="596"/>
    </row>
    <row r="65" spans="1:35" s="323" customFormat="1" ht="49.2" customHeight="1" outlineLevel="1" x14ac:dyDescent="0.25">
      <c r="A65" s="586"/>
      <c r="B65" s="661" t="s">
        <v>248</v>
      </c>
      <c r="C65" s="630"/>
      <c r="D65" s="641" t="s">
        <v>301</v>
      </c>
      <c r="E65" s="642">
        <v>2259560.6</v>
      </c>
      <c r="F65" s="630">
        <f>E65</f>
        <v>2259560.6</v>
      </c>
      <c r="G65" s="631"/>
      <c r="H65" s="607"/>
      <c r="I65" s="645"/>
      <c r="J65" s="634" t="s">
        <v>299</v>
      </c>
      <c r="K65" s="594"/>
      <c r="L65" s="318"/>
      <c r="M65" s="318"/>
      <c r="N65" s="318"/>
      <c r="O65" s="318"/>
      <c r="P65" s="318"/>
      <c r="Q65" s="318"/>
      <c r="R65" s="318"/>
      <c r="S65" s="318"/>
      <c r="T65" s="318"/>
      <c r="U65" s="318"/>
      <c r="V65" s="318"/>
      <c r="W65" s="318"/>
      <c r="X65" s="318"/>
      <c r="Y65" s="318"/>
      <c r="Z65" s="318"/>
      <c r="AA65" s="318"/>
      <c r="AB65" s="318"/>
      <c r="AC65" s="318"/>
      <c r="AD65" s="318"/>
      <c r="AE65" s="318"/>
      <c r="AF65" s="318"/>
      <c r="AG65" s="318"/>
      <c r="AH65" s="318"/>
      <c r="AI65" s="318"/>
    </row>
    <row r="66" spans="1:35" s="323" customFormat="1" ht="44.4" customHeight="1" outlineLevel="1" x14ac:dyDescent="0.25">
      <c r="A66" s="537"/>
      <c r="B66" s="768" t="s">
        <v>249</v>
      </c>
      <c r="C66" s="769"/>
      <c r="D66" s="621" t="s">
        <v>269</v>
      </c>
      <c r="E66" s="622">
        <v>442946.84</v>
      </c>
      <c r="F66" s="620">
        <v>441155.43600000005</v>
      </c>
      <c r="G66" s="635">
        <f t="shared" si="0"/>
        <v>1791.4039999999804</v>
      </c>
      <c r="H66" s="659"/>
      <c r="I66" s="624"/>
      <c r="J66" s="798" t="s">
        <v>283</v>
      </c>
      <c r="K66" s="594"/>
      <c r="L66" s="318"/>
      <c r="M66" s="318"/>
      <c r="N66" s="318"/>
      <c r="O66" s="318"/>
      <c r="P66" s="318"/>
      <c r="Q66" s="318"/>
      <c r="R66" s="318"/>
      <c r="S66" s="318"/>
      <c r="T66" s="318"/>
      <c r="U66" s="318"/>
      <c r="V66" s="318"/>
      <c r="W66" s="318"/>
      <c r="X66" s="318"/>
      <c r="Y66" s="318"/>
      <c r="Z66" s="318"/>
      <c r="AA66" s="318"/>
      <c r="AB66" s="318"/>
      <c r="AC66" s="318"/>
      <c r="AD66" s="318"/>
      <c r="AE66" s="318"/>
      <c r="AF66" s="318"/>
      <c r="AG66" s="318"/>
      <c r="AH66" s="318"/>
      <c r="AI66" s="318"/>
    </row>
    <row r="67" spans="1:35" s="323" customFormat="1" ht="44.4" customHeight="1" outlineLevel="1" x14ac:dyDescent="0.25">
      <c r="A67" s="537"/>
      <c r="B67" s="770"/>
      <c r="C67" s="771"/>
      <c r="D67" s="621" t="s">
        <v>302</v>
      </c>
      <c r="E67" s="644">
        <v>125679.28</v>
      </c>
      <c r="F67" s="620">
        <f>50437.8*1.2</f>
        <v>60525.36</v>
      </c>
      <c r="G67" s="635">
        <f t="shared" si="0"/>
        <v>65153.919999999998</v>
      </c>
      <c r="H67" s="659"/>
      <c r="I67" s="624"/>
      <c r="J67" s="834"/>
      <c r="K67" s="594"/>
      <c r="L67" s="318"/>
      <c r="M67" s="318"/>
      <c r="N67" s="318"/>
      <c r="O67" s="318"/>
      <c r="P67" s="318"/>
      <c r="Q67" s="318"/>
      <c r="R67" s="318"/>
      <c r="S67" s="318"/>
      <c r="T67" s="318"/>
      <c r="U67" s="318"/>
      <c r="V67" s="318"/>
      <c r="W67" s="318"/>
      <c r="X67" s="318"/>
      <c r="Y67" s="318"/>
      <c r="Z67" s="318"/>
      <c r="AA67" s="318"/>
      <c r="AB67" s="318"/>
      <c r="AC67" s="318"/>
      <c r="AD67" s="318"/>
      <c r="AE67" s="318"/>
      <c r="AF67" s="318"/>
      <c r="AG67" s="318"/>
      <c r="AH67" s="318"/>
      <c r="AI67" s="318"/>
    </row>
    <row r="68" spans="1:35" s="323" customFormat="1" ht="44.4" customHeight="1" outlineLevel="1" x14ac:dyDescent="0.25">
      <c r="A68" s="537"/>
      <c r="B68" s="770"/>
      <c r="C68" s="771"/>
      <c r="D68" s="621" t="s">
        <v>321</v>
      </c>
      <c r="E68" s="644">
        <v>169283.78</v>
      </c>
      <c r="F68" s="620"/>
      <c r="G68" s="635">
        <f t="shared" si="0"/>
        <v>169283.78</v>
      </c>
      <c r="H68" s="659"/>
      <c r="I68" s="660"/>
      <c r="J68" s="834"/>
      <c r="K68" s="594"/>
      <c r="L68" s="318"/>
      <c r="M68" s="318"/>
      <c r="N68" s="318"/>
      <c r="O68" s="318"/>
      <c r="P68" s="318"/>
      <c r="Q68" s="318"/>
      <c r="R68" s="318"/>
      <c r="S68" s="318"/>
      <c r="T68" s="318"/>
      <c r="U68" s="318"/>
      <c r="V68" s="318"/>
      <c r="W68" s="318"/>
      <c r="X68" s="318"/>
      <c r="Y68" s="318"/>
      <c r="Z68" s="318"/>
      <c r="AA68" s="318"/>
      <c r="AB68" s="318"/>
      <c r="AC68" s="318"/>
      <c r="AD68" s="318"/>
      <c r="AE68" s="318"/>
      <c r="AF68" s="318"/>
      <c r="AG68" s="318"/>
      <c r="AH68" s="318"/>
      <c r="AI68" s="318"/>
    </row>
    <row r="69" spans="1:35" s="307" customFormat="1" ht="44.4" customHeight="1" outlineLevel="1" x14ac:dyDescent="0.25">
      <c r="A69" s="589"/>
      <c r="B69" s="772"/>
      <c r="C69" s="773"/>
      <c r="D69" s="637" t="s">
        <v>334</v>
      </c>
      <c r="E69" s="651">
        <v>496446.41</v>
      </c>
      <c r="F69" s="639">
        <f>17305.16*1.2</f>
        <v>20766.191999999999</v>
      </c>
      <c r="G69" s="635">
        <f>E69-F69</f>
        <v>475680.21799999999</v>
      </c>
      <c r="H69" s="652"/>
      <c r="I69" s="647"/>
      <c r="J69" s="799"/>
      <c r="K69" s="596"/>
    </row>
    <row r="70" spans="1:35" s="682" customFormat="1" ht="55.2" customHeight="1" outlineLevel="1" x14ac:dyDescent="0.25">
      <c r="A70" s="586"/>
      <c r="B70" s="774" t="s">
        <v>250</v>
      </c>
      <c r="C70" s="775"/>
      <c r="D70" s="628" t="s">
        <v>303</v>
      </c>
      <c r="E70" s="629">
        <v>4533614.66</v>
      </c>
      <c r="F70" s="630">
        <f>E70</f>
        <v>4533614.66</v>
      </c>
      <c r="G70" s="631">
        <f t="shared" si="0"/>
        <v>0</v>
      </c>
      <c r="H70" s="632"/>
      <c r="I70" s="633"/>
      <c r="J70" s="800" t="s">
        <v>299</v>
      </c>
      <c r="K70" s="681"/>
    </row>
    <row r="71" spans="1:35" s="682" customFormat="1" ht="55.2" customHeight="1" outlineLevel="1" x14ac:dyDescent="0.25">
      <c r="A71" s="586"/>
      <c r="B71" s="778"/>
      <c r="C71" s="779"/>
      <c r="D71" s="628" t="s">
        <v>335</v>
      </c>
      <c r="E71" s="629">
        <v>61366.124000000003</v>
      </c>
      <c r="F71" s="630">
        <f>E71</f>
        <v>61366.124000000003</v>
      </c>
      <c r="G71" s="631"/>
      <c r="H71" s="632"/>
      <c r="I71" s="633"/>
      <c r="J71" s="801"/>
      <c r="K71" s="681"/>
    </row>
    <row r="72" spans="1:35" s="323" customFormat="1" ht="29.4" customHeight="1" outlineLevel="1" x14ac:dyDescent="0.25">
      <c r="A72" s="537"/>
      <c r="B72" s="768" t="s">
        <v>251</v>
      </c>
      <c r="C72" s="769"/>
      <c r="D72" s="621" t="s">
        <v>270</v>
      </c>
      <c r="E72" s="622">
        <v>38798.660000000003</v>
      </c>
      <c r="F72" s="620">
        <v>37910.627999999997</v>
      </c>
      <c r="G72" s="635">
        <f t="shared" si="0"/>
        <v>888.03200000000652</v>
      </c>
      <c r="H72" s="611"/>
      <c r="I72" s="636"/>
      <c r="J72" s="796" t="s">
        <v>283</v>
      </c>
      <c r="K72" s="594"/>
      <c r="L72" s="318"/>
      <c r="M72" s="318"/>
      <c r="N72" s="318"/>
      <c r="O72" s="318"/>
      <c r="P72" s="318"/>
      <c r="Q72" s="318"/>
      <c r="R72" s="318"/>
      <c r="S72" s="318"/>
      <c r="T72" s="318"/>
      <c r="U72" s="318"/>
      <c r="V72" s="318"/>
      <c r="W72" s="318"/>
      <c r="X72" s="318"/>
      <c r="Y72" s="318"/>
      <c r="Z72" s="318"/>
      <c r="AA72" s="318"/>
      <c r="AB72" s="318"/>
      <c r="AC72" s="318"/>
      <c r="AD72" s="318"/>
      <c r="AE72" s="318"/>
      <c r="AF72" s="318"/>
      <c r="AG72" s="318"/>
      <c r="AH72" s="318"/>
      <c r="AI72" s="318"/>
    </row>
    <row r="73" spans="1:35" s="323" customFormat="1" ht="29.4" customHeight="1" outlineLevel="1" x14ac:dyDescent="0.25">
      <c r="A73" s="537"/>
      <c r="B73" s="770"/>
      <c r="C73" s="771"/>
      <c r="D73" s="621" t="s">
        <v>304</v>
      </c>
      <c r="E73" s="622">
        <v>417505.73</v>
      </c>
      <c r="F73" s="620">
        <v>235262.64</v>
      </c>
      <c r="G73" s="635">
        <f t="shared" si="0"/>
        <v>182243.08999999997</v>
      </c>
      <c r="H73" s="611"/>
      <c r="I73" s="624"/>
      <c r="J73" s="812"/>
      <c r="K73" s="594"/>
      <c r="L73" s="318"/>
      <c r="M73" s="318"/>
      <c r="N73" s="318"/>
      <c r="O73" s="318"/>
      <c r="P73" s="318"/>
      <c r="Q73" s="318"/>
      <c r="R73" s="318"/>
      <c r="S73" s="318"/>
      <c r="T73" s="318"/>
      <c r="U73" s="318"/>
      <c r="V73" s="318"/>
      <c r="W73" s="318"/>
      <c r="X73" s="318"/>
      <c r="Y73" s="318"/>
      <c r="Z73" s="318"/>
      <c r="AA73" s="318"/>
      <c r="AB73" s="318"/>
      <c r="AC73" s="318"/>
      <c r="AD73" s="318"/>
      <c r="AE73" s="318"/>
      <c r="AF73" s="318"/>
      <c r="AG73" s="318"/>
      <c r="AH73" s="318"/>
      <c r="AI73" s="318"/>
    </row>
    <row r="74" spans="1:35" s="323" customFormat="1" ht="29.4" customHeight="1" outlineLevel="1" x14ac:dyDescent="0.25">
      <c r="A74" s="537"/>
      <c r="B74" s="770"/>
      <c r="C74" s="771"/>
      <c r="D74" s="621" t="s">
        <v>322</v>
      </c>
      <c r="E74" s="622">
        <v>291576.06</v>
      </c>
      <c r="F74" s="620">
        <f>74906.83*1.2</f>
        <v>89888.195999999996</v>
      </c>
      <c r="G74" s="635">
        <f t="shared" si="0"/>
        <v>201687.864</v>
      </c>
      <c r="H74" s="611"/>
      <c r="I74" s="660"/>
      <c r="J74" s="812"/>
      <c r="K74" s="594"/>
      <c r="L74" s="318"/>
      <c r="M74" s="318"/>
      <c r="N74" s="318"/>
      <c r="O74" s="318"/>
      <c r="P74" s="318"/>
      <c r="Q74" s="318"/>
      <c r="R74" s="318"/>
      <c r="S74" s="318"/>
      <c r="T74" s="318"/>
      <c r="U74" s="318"/>
      <c r="V74" s="318"/>
      <c r="W74" s="318"/>
      <c r="X74" s="318"/>
      <c r="Y74" s="318"/>
      <c r="Z74" s="318"/>
      <c r="AA74" s="318"/>
      <c r="AB74" s="318"/>
      <c r="AC74" s="318"/>
      <c r="AD74" s="318"/>
      <c r="AE74" s="318"/>
      <c r="AF74" s="318"/>
      <c r="AG74" s="318"/>
      <c r="AH74" s="318"/>
      <c r="AI74" s="318"/>
    </row>
    <row r="75" spans="1:35" s="307" customFormat="1" ht="29.4" customHeight="1" outlineLevel="1" x14ac:dyDescent="0.25">
      <c r="A75" s="589"/>
      <c r="B75" s="772"/>
      <c r="C75" s="773"/>
      <c r="D75" s="637" t="s">
        <v>336</v>
      </c>
      <c r="E75" s="638">
        <v>186593.22</v>
      </c>
      <c r="F75" s="639"/>
      <c r="G75" s="635">
        <f>E75</f>
        <v>186593.22</v>
      </c>
      <c r="H75" s="613"/>
      <c r="I75" s="647"/>
      <c r="J75" s="797"/>
      <c r="K75" s="596"/>
    </row>
    <row r="76" spans="1:35" s="323" customFormat="1" ht="36" customHeight="1" outlineLevel="1" x14ac:dyDescent="0.25">
      <c r="A76" s="586"/>
      <c r="B76" s="774" t="s">
        <v>252</v>
      </c>
      <c r="C76" s="775"/>
      <c r="D76" s="641" t="s">
        <v>272</v>
      </c>
      <c r="E76" s="642">
        <v>905145.17</v>
      </c>
      <c r="F76" s="630">
        <v>904247.772</v>
      </c>
      <c r="G76" s="631">
        <f t="shared" si="0"/>
        <v>897.3980000000447</v>
      </c>
      <c r="H76" s="632"/>
      <c r="I76" s="633"/>
      <c r="J76" s="786"/>
      <c r="K76" s="594"/>
      <c r="L76" s="318"/>
      <c r="M76" s="318"/>
      <c r="N76" s="318"/>
      <c r="O76" s="318"/>
      <c r="P76" s="318"/>
      <c r="Q76" s="318"/>
      <c r="R76" s="318"/>
      <c r="S76" s="318"/>
      <c r="T76" s="318"/>
      <c r="U76" s="318"/>
      <c r="V76" s="318"/>
      <c r="W76" s="318"/>
      <c r="X76" s="318"/>
      <c r="Y76" s="318"/>
      <c r="Z76" s="318"/>
      <c r="AA76" s="318"/>
      <c r="AB76" s="318"/>
      <c r="AC76" s="318"/>
      <c r="AD76" s="318"/>
      <c r="AE76" s="318"/>
      <c r="AF76" s="318"/>
      <c r="AG76" s="318"/>
      <c r="AH76" s="318"/>
      <c r="AI76" s="318"/>
    </row>
    <row r="77" spans="1:35" s="323" customFormat="1" ht="36" customHeight="1" outlineLevel="1" x14ac:dyDescent="0.25">
      <c r="A77" s="586"/>
      <c r="B77" s="776"/>
      <c r="C77" s="777"/>
      <c r="D77" s="641" t="s">
        <v>305</v>
      </c>
      <c r="E77" s="629">
        <v>776112.92</v>
      </c>
      <c r="F77" s="630">
        <f>423484.79*1.2</f>
        <v>508181.74799999996</v>
      </c>
      <c r="G77" s="631">
        <f t="shared" si="0"/>
        <v>267931.17200000008</v>
      </c>
      <c r="H77" s="632"/>
      <c r="I77" s="633"/>
      <c r="J77" s="787"/>
      <c r="K77" s="594"/>
      <c r="L77" s="318"/>
      <c r="M77" s="318"/>
      <c r="N77" s="318"/>
      <c r="O77" s="318"/>
      <c r="P77" s="318"/>
      <c r="Q77" s="318"/>
      <c r="R77" s="318"/>
      <c r="S77" s="318"/>
      <c r="T77" s="318"/>
      <c r="U77" s="318"/>
      <c r="V77" s="318"/>
      <c r="W77" s="318"/>
      <c r="X77" s="318"/>
      <c r="Y77" s="318"/>
      <c r="Z77" s="318"/>
      <c r="AA77" s="318"/>
      <c r="AB77" s="318"/>
      <c r="AC77" s="318"/>
      <c r="AD77" s="318"/>
      <c r="AE77" s="318"/>
      <c r="AF77" s="318"/>
      <c r="AG77" s="318"/>
      <c r="AH77" s="318"/>
      <c r="AI77" s="318"/>
    </row>
    <row r="78" spans="1:35" s="323" customFormat="1" ht="36" customHeight="1" outlineLevel="1" x14ac:dyDescent="0.25">
      <c r="A78" s="586"/>
      <c r="B78" s="776"/>
      <c r="C78" s="777"/>
      <c r="D78" s="641" t="s">
        <v>323</v>
      </c>
      <c r="E78" s="629">
        <v>745662.28</v>
      </c>
      <c r="F78" s="630">
        <f>408343.74*1.2</f>
        <v>490012.48799999995</v>
      </c>
      <c r="G78" s="631">
        <f t="shared" si="0"/>
        <v>255649.79200000007</v>
      </c>
      <c r="H78" s="632"/>
      <c r="I78" s="648"/>
      <c r="J78" s="788"/>
      <c r="K78" s="594"/>
      <c r="L78" s="318"/>
      <c r="M78" s="318"/>
      <c r="N78" s="318"/>
      <c r="O78" s="318"/>
      <c r="P78" s="318"/>
      <c r="Q78" s="318"/>
      <c r="R78" s="318"/>
      <c r="S78" s="318"/>
      <c r="T78" s="318"/>
      <c r="U78" s="318"/>
      <c r="V78" s="318"/>
      <c r="W78" s="318"/>
      <c r="X78" s="318"/>
      <c r="Y78" s="318"/>
      <c r="Z78" s="318"/>
      <c r="AA78" s="318"/>
      <c r="AB78" s="318"/>
      <c r="AC78" s="318"/>
      <c r="AD78" s="318"/>
      <c r="AE78" s="318"/>
      <c r="AF78" s="318"/>
      <c r="AG78" s="318"/>
      <c r="AH78" s="318"/>
      <c r="AI78" s="318"/>
    </row>
    <row r="79" spans="1:35" s="323" customFormat="1" ht="36" customHeight="1" outlineLevel="1" x14ac:dyDescent="0.25">
      <c r="A79" s="537"/>
      <c r="B79" s="768" t="s">
        <v>271</v>
      </c>
      <c r="C79" s="769"/>
      <c r="D79" s="621" t="s">
        <v>273</v>
      </c>
      <c r="E79" s="644">
        <v>47262.91</v>
      </c>
      <c r="F79" s="620">
        <v>46311.42</v>
      </c>
      <c r="G79" s="635">
        <f t="shared" si="0"/>
        <v>951.49000000000524</v>
      </c>
      <c r="H79" s="659"/>
      <c r="I79" s="624"/>
      <c r="J79" s="798"/>
      <c r="K79" s="594"/>
      <c r="L79" s="318"/>
      <c r="M79" s="318"/>
      <c r="N79" s="318"/>
      <c r="O79" s="318"/>
      <c r="P79" s="318"/>
      <c r="Q79" s="318"/>
      <c r="R79" s="318"/>
      <c r="S79" s="318"/>
      <c r="T79" s="318"/>
      <c r="U79" s="318"/>
      <c r="V79" s="318"/>
      <c r="W79" s="318"/>
      <c r="X79" s="318"/>
      <c r="Y79" s="318"/>
      <c r="Z79" s="318"/>
      <c r="AA79" s="318"/>
      <c r="AB79" s="318"/>
      <c r="AC79" s="318"/>
      <c r="AD79" s="318"/>
      <c r="AE79" s="318"/>
      <c r="AF79" s="318"/>
      <c r="AG79" s="318"/>
      <c r="AH79" s="318"/>
      <c r="AI79" s="318"/>
    </row>
    <row r="80" spans="1:35" s="323" customFormat="1" ht="36" customHeight="1" outlineLevel="1" x14ac:dyDescent="0.25">
      <c r="A80" s="537"/>
      <c r="B80" s="770"/>
      <c r="C80" s="771"/>
      <c r="D80" s="621" t="s">
        <v>306</v>
      </c>
      <c r="E80" s="644">
        <v>26074.79</v>
      </c>
      <c r="F80" s="620">
        <f>E80</f>
        <v>26074.79</v>
      </c>
      <c r="G80" s="635">
        <f t="shared" si="0"/>
        <v>0</v>
      </c>
      <c r="H80" s="659"/>
      <c r="I80" s="624"/>
      <c r="J80" s="834"/>
      <c r="K80" s="594"/>
      <c r="L80" s="318"/>
      <c r="M80" s="318"/>
      <c r="N80" s="318"/>
      <c r="O80" s="318"/>
      <c r="P80" s="318"/>
      <c r="Q80" s="318"/>
      <c r="R80" s="318"/>
      <c r="S80" s="318"/>
      <c r="T80" s="318"/>
      <c r="U80" s="318"/>
      <c r="V80" s="318"/>
      <c r="W80" s="318"/>
      <c r="X80" s="318"/>
      <c r="Y80" s="318"/>
      <c r="Z80" s="318"/>
      <c r="AA80" s="318"/>
      <c r="AB80" s="318"/>
      <c r="AC80" s="318"/>
      <c r="AD80" s="318"/>
      <c r="AE80" s="318"/>
      <c r="AF80" s="318"/>
      <c r="AG80" s="318"/>
      <c r="AH80" s="318"/>
      <c r="AI80" s="318"/>
    </row>
    <row r="81" spans="1:35" s="323" customFormat="1" ht="36" customHeight="1" outlineLevel="1" x14ac:dyDescent="0.25">
      <c r="A81" s="537"/>
      <c r="B81" s="770"/>
      <c r="C81" s="771"/>
      <c r="D81" s="621" t="s">
        <v>324</v>
      </c>
      <c r="E81" s="644">
        <v>676903.01</v>
      </c>
      <c r="F81" s="620">
        <f>E81</f>
        <v>676903.01</v>
      </c>
      <c r="G81" s="635">
        <f t="shared" si="0"/>
        <v>0</v>
      </c>
      <c r="H81" s="659"/>
      <c r="I81" s="660"/>
      <c r="J81" s="799"/>
      <c r="K81" s="594"/>
      <c r="L81" s="318"/>
      <c r="M81" s="318"/>
      <c r="N81" s="318"/>
      <c r="O81" s="318"/>
      <c r="P81" s="318"/>
      <c r="Q81" s="318"/>
      <c r="R81" s="318"/>
      <c r="S81" s="318"/>
      <c r="T81" s="318"/>
      <c r="U81" s="318"/>
      <c r="V81" s="318"/>
      <c r="W81" s="318"/>
      <c r="X81" s="318"/>
      <c r="Y81" s="318"/>
      <c r="Z81" s="318"/>
      <c r="AA81" s="318"/>
      <c r="AB81" s="318"/>
      <c r="AC81" s="318"/>
      <c r="AD81" s="318"/>
      <c r="AE81" s="318"/>
      <c r="AF81" s="318"/>
      <c r="AG81" s="318"/>
      <c r="AH81" s="318"/>
      <c r="AI81" s="318"/>
    </row>
    <row r="82" spans="1:35" s="323" customFormat="1" ht="36" customHeight="1" outlineLevel="1" x14ac:dyDescent="0.25">
      <c r="A82" s="537"/>
      <c r="B82" s="772"/>
      <c r="C82" s="773"/>
      <c r="D82" s="621" t="s">
        <v>356</v>
      </c>
      <c r="E82" s="644">
        <v>234906.16</v>
      </c>
      <c r="F82" s="620">
        <v>49407.432000000001</v>
      </c>
      <c r="G82" s="635">
        <f>E82-F82</f>
        <v>185498.728</v>
      </c>
      <c r="H82" s="659"/>
      <c r="I82" s="660"/>
      <c r="J82" s="683"/>
      <c r="K82" s="594"/>
      <c r="L82" s="318"/>
      <c r="M82" s="318"/>
      <c r="N82" s="318"/>
      <c r="O82" s="318"/>
      <c r="P82" s="318"/>
      <c r="Q82" s="318"/>
      <c r="R82" s="318"/>
      <c r="S82" s="318"/>
      <c r="T82" s="318"/>
      <c r="U82" s="318"/>
      <c r="V82" s="318"/>
      <c r="W82" s="318"/>
      <c r="X82" s="318"/>
      <c r="Y82" s="318"/>
      <c r="Z82" s="318"/>
      <c r="AA82" s="318"/>
      <c r="AB82" s="318"/>
      <c r="AC82" s="318"/>
      <c r="AD82" s="318"/>
      <c r="AE82" s="318"/>
      <c r="AF82" s="318"/>
      <c r="AG82" s="318"/>
      <c r="AH82" s="318"/>
      <c r="AI82" s="318"/>
    </row>
    <row r="83" spans="1:35" s="323" customFormat="1" ht="43.8" customHeight="1" outlineLevel="1" x14ac:dyDescent="0.25">
      <c r="A83" s="586"/>
      <c r="B83" s="626" t="s">
        <v>253</v>
      </c>
      <c r="C83" s="627"/>
      <c r="D83" s="628" t="s">
        <v>357</v>
      </c>
      <c r="E83" s="629">
        <v>232646.11</v>
      </c>
      <c r="F83" s="630">
        <v>62810.436000000002</v>
      </c>
      <c r="G83" s="631">
        <f>E83-F83</f>
        <v>169835.674</v>
      </c>
      <c r="H83" s="632"/>
      <c r="I83" s="633"/>
      <c r="J83" s="634"/>
      <c r="K83" s="594"/>
      <c r="L83" s="318"/>
      <c r="M83" s="318"/>
      <c r="N83" s="318"/>
      <c r="O83" s="318"/>
      <c r="P83" s="318"/>
      <c r="Q83" s="318"/>
      <c r="R83" s="318"/>
      <c r="S83" s="318"/>
      <c r="T83" s="318"/>
      <c r="U83" s="318"/>
      <c r="V83" s="318"/>
      <c r="W83" s="318"/>
      <c r="X83" s="318"/>
      <c r="Y83" s="318"/>
      <c r="Z83" s="318"/>
      <c r="AA83" s="318"/>
      <c r="AB83" s="318"/>
      <c r="AC83" s="318"/>
      <c r="AD83" s="318"/>
      <c r="AE83" s="318"/>
      <c r="AF83" s="318"/>
      <c r="AG83" s="318"/>
      <c r="AH83" s="318"/>
      <c r="AI83" s="318"/>
    </row>
    <row r="84" spans="1:35" s="323" customFormat="1" ht="49.2" customHeight="1" outlineLevel="1" x14ac:dyDescent="0.25">
      <c r="A84" s="537"/>
      <c r="B84" s="654" t="s">
        <v>254</v>
      </c>
      <c r="C84" s="620"/>
      <c r="D84" s="621" t="s">
        <v>307</v>
      </c>
      <c r="E84" s="622">
        <v>490884.73</v>
      </c>
      <c r="F84" s="620">
        <f>E84</f>
        <v>490884.73</v>
      </c>
      <c r="G84" s="635">
        <f t="shared" si="0"/>
        <v>0</v>
      </c>
      <c r="H84" s="611"/>
      <c r="I84" s="636"/>
      <c r="J84" s="657" t="s">
        <v>299</v>
      </c>
      <c r="K84" s="594"/>
      <c r="L84" s="318"/>
      <c r="M84" s="318"/>
      <c r="N84" s="318"/>
      <c r="O84" s="318"/>
      <c r="P84" s="318"/>
      <c r="Q84" s="318"/>
      <c r="R84" s="318"/>
      <c r="S84" s="318"/>
      <c r="T84" s="318"/>
      <c r="U84" s="318"/>
      <c r="V84" s="318"/>
      <c r="W84" s="318"/>
      <c r="X84" s="318"/>
      <c r="Y84" s="318"/>
      <c r="Z84" s="318"/>
      <c r="AA84" s="318"/>
      <c r="AB84" s="318"/>
      <c r="AC84" s="318"/>
      <c r="AD84" s="318"/>
      <c r="AE84" s="318"/>
      <c r="AF84" s="318"/>
      <c r="AG84" s="318"/>
      <c r="AH84" s="318"/>
      <c r="AI84" s="318"/>
    </row>
    <row r="85" spans="1:35" s="323" customFormat="1" ht="36.6" customHeight="1" outlineLevel="1" x14ac:dyDescent="0.25">
      <c r="A85" s="586"/>
      <c r="B85" s="774" t="s">
        <v>255</v>
      </c>
      <c r="C85" s="775"/>
      <c r="D85" s="641" t="s">
        <v>325</v>
      </c>
      <c r="E85" s="642">
        <v>765372.02</v>
      </c>
      <c r="F85" s="630">
        <v>0</v>
      </c>
      <c r="G85" s="631">
        <f t="shared" si="0"/>
        <v>765372.02</v>
      </c>
      <c r="H85" s="632"/>
      <c r="I85" s="648"/>
      <c r="J85" s="786"/>
      <c r="K85" s="594"/>
      <c r="L85" s="318"/>
      <c r="M85" s="318"/>
      <c r="N85" s="318"/>
      <c r="O85" s="318"/>
      <c r="P85" s="318"/>
      <c r="Q85" s="318"/>
      <c r="R85" s="318"/>
      <c r="S85" s="318"/>
      <c r="T85" s="318"/>
      <c r="U85" s="318"/>
      <c r="V85" s="318"/>
      <c r="W85" s="318"/>
      <c r="X85" s="318"/>
      <c r="Y85" s="318"/>
      <c r="Z85" s="318"/>
      <c r="AA85" s="318"/>
      <c r="AB85" s="318"/>
      <c r="AC85" s="318"/>
      <c r="AD85" s="318"/>
      <c r="AE85" s="318"/>
      <c r="AF85" s="318"/>
      <c r="AG85" s="318"/>
      <c r="AH85" s="318"/>
      <c r="AI85" s="318"/>
    </row>
    <row r="86" spans="1:35" s="323" customFormat="1" ht="36.6" customHeight="1" outlineLevel="1" x14ac:dyDescent="0.25">
      <c r="A86" s="586"/>
      <c r="B86" s="778"/>
      <c r="C86" s="779"/>
      <c r="D86" s="641" t="s">
        <v>358</v>
      </c>
      <c r="E86" s="629">
        <v>143222.04</v>
      </c>
      <c r="F86" s="630">
        <v>98778.407999999996</v>
      </c>
      <c r="G86" s="631">
        <f t="shared" si="0"/>
        <v>44443.632000000012</v>
      </c>
      <c r="H86" s="632"/>
      <c r="I86" s="648"/>
      <c r="J86" s="788"/>
      <c r="K86" s="594"/>
      <c r="L86" s="318"/>
      <c r="M86" s="318"/>
      <c r="N86" s="318"/>
      <c r="O86" s="318"/>
      <c r="P86" s="318"/>
      <c r="Q86" s="318"/>
      <c r="R86" s="318"/>
      <c r="S86" s="318"/>
      <c r="T86" s="318"/>
      <c r="U86" s="318"/>
      <c r="V86" s="318"/>
      <c r="W86" s="318"/>
      <c r="X86" s="318"/>
      <c r="Y86" s="318"/>
      <c r="Z86" s="318"/>
      <c r="AA86" s="318"/>
      <c r="AB86" s="318"/>
      <c r="AC86" s="318"/>
      <c r="AD86" s="318"/>
      <c r="AE86" s="318"/>
      <c r="AF86" s="318"/>
      <c r="AG86" s="318"/>
      <c r="AH86" s="318"/>
      <c r="AI86" s="318"/>
    </row>
    <row r="87" spans="1:35" s="323" customFormat="1" ht="45.6" customHeight="1" outlineLevel="1" x14ac:dyDescent="0.25">
      <c r="A87" s="537"/>
      <c r="B87" s="662" t="s">
        <v>256</v>
      </c>
      <c r="C87" s="625"/>
      <c r="D87" s="643" t="s">
        <v>308</v>
      </c>
      <c r="E87" s="644">
        <v>309001.28000000003</v>
      </c>
      <c r="F87" s="620">
        <f>E87</f>
        <v>309001.28000000003</v>
      </c>
      <c r="G87" s="635">
        <f t="shared" si="0"/>
        <v>0</v>
      </c>
      <c r="H87" s="659"/>
      <c r="I87" s="624"/>
      <c r="J87" s="657" t="s">
        <v>299</v>
      </c>
      <c r="K87" s="594"/>
      <c r="L87" s="318"/>
      <c r="M87" s="318"/>
      <c r="N87" s="318"/>
      <c r="O87" s="318"/>
      <c r="P87" s="318"/>
      <c r="Q87" s="318"/>
      <c r="R87" s="318"/>
      <c r="S87" s="318"/>
      <c r="T87" s="318"/>
      <c r="U87" s="318"/>
      <c r="V87" s="318"/>
      <c r="W87" s="318"/>
      <c r="X87" s="318"/>
      <c r="Y87" s="318"/>
      <c r="Z87" s="318"/>
      <c r="AA87" s="318"/>
      <c r="AB87" s="318"/>
      <c r="AC87" s="318"/>
      <c r="AD87" s="318"/>
      <c r="AE87" s="318"/>
      <c r="AF87" s="318"/>
      <c r="AG87" s="318"/>
      <c r="AH87" s="318"/>
      <c r="AI87" s="318"/>
    </row>
    <row r="88" spans="1:35" s="323" customFormat="1" ht="49.2" customHeight="1" outlineLevel="1" x14ac:dyDescent="0.25">
      <c r="A88" s="586"/>
      <c r="B88" s="774" t="s">
        <v>257</v>
      </c>
      <c r="C88" s="775"/>
      <c r="D88" s="641" t="s">
        <v>274</v>
      </c>
      <c r="E88" s="642">
        <v>32678.62</v>
      </c>
      <c r="F88" s="630">
        <v>31579.223999999998</v>
      </c>
      <c r="G88" s="631">
        <f t="shared" si="0"/>
        <v>1099.3960000000006</v>
      </c>
      <c r="H88" s="607"/>
      <c r="I88" s="645"/>
      <c r="J88" s="800" t="s">
        <v>283</v>
      </c>
      <c r="K88" s="594"/>
      <c r="L88" s="318"/>
      <c r="M88" s="318"/>
      <c r="N88" s="318"/>
      <c r="O88" s="318"/>
      <c r="P88" s="318"/>
      <c r="Q88" s="318"/>
      <c r="R88" s="318"/>
      <c r="S88" s="318"/>
      <c r="T88" s="318"/>
      <c r="U88" s="318"/>
      <c r="V88" s="318"/>
      <c r="W88" s="318"/>
      <c r="X88" s="318"/>
      <c r="Y88" s="318"/>
      <c r="Z88" s="318"/>
      <c r="AA88" s="318"/>
      <c r="AB88" s="318"/>
      <c r="AC88" s="318"/>
      <c r="AD88" s="318"/>
      <c r="AE88" s="318"/>
      <c r="AF88" s="318"/>
      <c r="AG88" s="318"/>
      <c r="AH88" s="318"/>
      <c r="AI88" s="318"/>
    </row>
    <row r="89" spans="1:35" s="616" customFormat="1" ht="49.2" customHeight="1" outlineLevel="1" x14ac:dyDescent="0.25">
      <c r="A89" s="586"/>
      <c r="B89" s="778"/>
      <c r="C89" s="779"/>
      <c r="D89" s="641" t="s">
        <v>337</v>
      </c>
      <c r="E89" s="642">
        <v>194460.72</v>
      </c>
      <c r="F89" s="630">
        <f>4690.56*1.2</f>
        <v>5628.6720000000005</v>
      </c>
      <c r="G89" s="631">
        <f>E89-F89</f>
        <v>188832.04800000001</v>
      </c>
      <c r="H89" s="607"/>
      <c r="I89" s="633"/>
      <c r="J89" s="801"/>
      <c r="K89" s="615"/>
    </row>
    <row r="90" spans="1:35" s="307" customFormat="1" ht="39.6" customHeight="1" x14ac:dyDescent="0.25">
      <c r="A90" s="589"/>
      <c r="B90" s="789" t="s">
        <v>228</v>
      </c>
      <c r="C90" s="790"/>
      <c r="D90" s="637" t="s">
        <v>341</v>
      </c>
      <c r="E90" s="638">
        <v>296982.08</v>
      </c>
      <c r="F90" s="639">
        <v>0</v>
      </c>
      <c r="G90" s="635">
        <f t="shared" ref="G90:G101" si="1">E90-F90</f>
        <v>296982.08</v>
      </c>
      <c r="H90" s="663"/>
      <c r="I90" s="640"/>
      <c r="J90" s="649" t="s">
        <v>299</v>
      </c>
      <c r="K90" s="596"/>
    </row>
    <row r="91" spans="1:35" s="307" customFormat="1" ht="39.6" customHeight="1" x14ac:dyDescent="0.25">
      <c r="A91" s="589"/>
      <c r="B91" s="791"/>
      <c r="C91" s="792"/>
      <c r="D91" s="637" t="s">
        <v>330</v>
      </c>
      <c r="E91" s="651">
        <v>2113506.4</v>
      </c>
      <c r="F91" s="639"/>
      <c r="G91" s="635">
        <f t="shared" ref="G91:G96" si="2">E91</f>
        <v>2113506.4</v>
      </c>
      <c r="H91" s="663"/>
      <c r="I91" s="640"/>
      <c r="J91" s="649" t="s">
        <v>299</v>
      </c>
      <c r="K91" s="596"/>
    </row>
    <row r="92" spans="1:35" s="307" customFormat="1" ht="39.6" customHeight="1" x14ac:dyDescent="0.25">
      <c r="A92" s="589"/>
      <c r="B92" s="791"/>
      <c r="C92" s="792"/>
      <c r="D92" s="637" t="s">
        <v>342</v>
      </c>
      <c r="E92" s="651">
        <v>313602.15999999997</v>
      </c>
      <c r="F92" s="639"/>
      <c r="G92" s="635">
        <f t="shared" si="2"/>
        <v>313602.15999999997</v>
      </c>
      <c r="H92" s="663"/>
      <c r="I92" s="640"/>
      <c r="J92" s="649" t="s">
        <v>299</v>
      </c>
      <c r="K92" s="596"/>
    </row>
    <row r="93" spans="1:35" s="307" customFormat="1" ht="39.6" customHeight="1" x14ac:dyDescent="0.25">
      <c r="A93" s="589"/>
      <c r="B93" s="791"/>
      <c r="C93" s="792"/>
      <c r="D93" s="637" t="s">
        <v>343</v>
      </c>
      <c r="E93" s="651">
        <v>40987.85</v>
      </c>
      <c r="F93" s="639"/>
      <c r="G93" s="635">
        <f t="shared" si="2"/>
        <v>40987.85</v>
      </c>
      <c r="H93" s="663"/>
      <c r="I93" s="640"/>
      <c r="J93" s="649" t="s">
        <v>299</v>
      </c>
      <c r="K93" s="596"/>
    </row>
    <row r="94" spans="1:35" s="307" customFormat="1" ht="39.6" customHeight="1" x14ac:dyDescent="0.25">
      <c r="A94" s="589"/>
      <c r="B94" s="791"/>
      <c r="C94" s="792"/>
      <c r="D94" s="637" t="s">
        <v>344</v>
      </c>
      <c r="E94" s="651">
        <v>512689.22</v>
      </c>
      <c r="F94" s="639"/>
      <c r="G94" s="635">
        <f t="shared" si="2"/>
        <v>512689.22</v>
      </c>
      <c r="H94" s="663"/>
      <c r="I94" s="640"/>
      <c r="J94" s="649" t="s">
        <v>299</v>
      </c>
      <c r="K94" s="596"/>
    </row>
    <row r="95" spans="1:35" s="307" customFormat="1" ht="39.6" customHeight="1" x14ac:dyDescent="0.25">
      <c r="A95" s="589"/>
      <c r="B95" s="793"/>
      <c r="C95" s="794"/>
      <c r="D95" s="637" t="s">
        <v>331</v>
      </c>
      <c r="E95" s="651">
        <v>1169842.44</v>
      </c>
      <c r="F95" s="639"/>
      <c r="G95" s="635">
        <f t="shared" si="2"/>
        <v>1169842.44</v>
      </c>
      <c r="H95" s="663"/>
      <c r="I95" s="640"/>
      <c r="J95" s="649" t="s">
        <v>299</v>
      </c>
      <c r="K95" s="596"/>
    </row>
    <row r="96" spans="1:35" s="323" customFormat="1" ht="31.8" customHeight="1" x14ac:dyDescent="0.25">
      <c r="A96" s="537"/>
      <c r="B96" s="658" t="s">
        <v>230</v>
      </c>
      <c r="C96" s="620"/>
      <c r="D96" s="621" t="s">
        <v>359</v>
      </c>
      <c r="E96" s="622">
        <v>112823.74</v>
      </c>
      <c r="F96" s="620"/>
      <c r="G96" s="635">
        <f t="shared" si="2"/>
        <v>112823.74</v>
      </c>
      <c r="H96" s="611"/>
      <c r="I96" s="636"/>
      <c r="J96" s="655"/>
      <c r="K96" s="594"/>
      <c r="L96" s="318"/>
      <c r="M96" s="318"/>
      <c r="N96" s="318"/>
      <c r="O96" s="318"/>
      <c r="P96" s="318"/>
      <c r="Q96" s="318"/>
      <c r="R96" s="318"/>
      <c r="S96" s="318"/>
      <c r="T96" s="318"/>
      <c r="U96" s="318"/>
      <c r="V96" s="318"/>
      <c r="W96" s="318"/>
      <c r="X96" s="318"/>
      <c r="Y96" s="318"/>
      <c r="Z96" s="318"/>
      <c r="AA96" s="318"/>
      <c r="AB96" s="318"/>
      <c r="AC96" s="318"/>
      <c r="AD96" s="318"/>
      <c r="AE96" s="318"/>
      <c r="AF96" s="318"/>
      <c r="AG96" s="318"/>
      <c r="AH96" s="318"/>
      <c r="AI96" s="318"/>
    </row>
    <row r="97" spans="1:35" s="323" customFormat="1" ht="39" customHeight="1" x14ac:dyDescent="0.25">
      <c r="A97" s="537"/>
      <c r="B97" s="619" t="s">
        <v>231</v>
      </c>
      <c r="C97" s="620"/>
      <c r="D97" s="621"/>
      <c r="E97" s="622"/>
      <c r="F97" s="620"/>
      <c r="G97" s="635"/>
      <c r="H97" s="611"/>
      <c r="I97" s="624"/>
      <c r="J97" s="625"/>
      <c r="K97" s="594"/>
      <c r="L97" s="318"/>
      <c r="M97" s="318"/>
      <c r="N97" s="318"/>
      <c r="O97" s="318"/>
      <c r="P97" s="318"/>
      <c r="Q97" s="318"/>
      <c r="R97" s="318"/>
      <c r="S97" s="318"/>
      <c r="T97" s="318"/>
      <c r="U97" s="318"/>
      <c r="V97" s="318"/>
      <c r="W97" s="318"/>
      <c r="X97" s="318"/>
      <c r="Y97" s="318"/>
      <c r="Z97" s="318"/>
      <c r="AA97" s="318"/>
      <c r="AB97" s="318"/>
      <c r="AC97" s="318"/>
      <c r="AD97" s="318"/>
      <c r="AE97" s="318"/>
      <c r="AF97" s="318"/>
      <c r="AG97" s="318"/>
      <c r="AH97" s="318"/>
      <c r="AI97" s="318"/>
    </row>
    <row r="98" spans="1:35" s="323" customFormat="1" ht="45" customHeight="1" x14ac:dyDescent="0.25">
      <c r="A98" s="586"/>
      <c r="B98" s="626" t="s">
        <v>236</v>
      </c>
      <c r="C98" s="627"/>
      <c r="D98" s="628" t="s">
        <v>292</v>
      </c>
      <c r="E98" s="629">
        <v>446264.9</v>
      </c>
      <c r="F98" s="630">
        <f>94375.3*1.2</f>
        <v>113250.36</v>
      </c>
      <c r="G98" s="631">
        <f t="shared" si="1"/>
        <v>333014.54000000004</v>
      </c>
      <c r="H98" s="632"/>
      <c r="I98" s="633"/>
      <c r="J98" s="634" t="s">
        <v>293</v>
      </c>
      <c r="K98" s="594"/>
      <c r="L98" s="318"/>
      <c r="M98" s="318"/>
      <c r="N98" s="318"/>
      <c r="O98" s="318"/>
      <c r="P98" s="318"/>
      <c r="Q98" s="318"/>
      <c r="R98" s="318"/>
      <c r="S98" s="318"/>
      <c r="T98" s="318"/>
      <c r="U98" s="318"/>
      <c r="V98" s="318"/>
      <c r="W98" s="318"/>
      <c r="X98" s="318"/>
      <c r="Y98" s="318"/>
      <c r="Z98" s="318"/>
      <c r="AA98" s="318"/>
      <c r="AB98" s="318"/>
      <c r="AC98" s="318"/>
      <c r="AD98" s="318"/>
      <c r="AE98" s="318"/>
      <c r="AF98" s="318"/>
      <c r="AG98" s="318"/>
      <c r="AH98" s="318"/>
      <c r="AI98" s="318"/>
    </row>
    <row r="99" spans="1:35" s="323" customFormat="1" ht="49.2" customHeight="1" x14ac:dyDescent="0.25">
      <c r="A99" s="537"/>
      <c r="B99" s="654" t="s">
        <v>309</v>
      </c>
      <c r="C99" s="620"/>
      <c r="D99" s="621" t="s">
        <v>310</v>
      </c>
      <c r="E99" s="622">
        <v>250793.71</v>
      </c>
      <c r="F99" s="620">
        <f>115000.13*1.2</f>
        <v>138000.15599999999</v>
      </c>
      <c r="G99" s="635">
        <f t="shared" si="1"/>
        <v>112793.554</v>
      </c>
      <c r="H99" s="657"/>
      <c r="I99" s="636"/>
      <c r="J99" s="657" t="s">
        <v>299</v>
      </c>
      <c r="K99" s="594"/>
      <c r="L99" s="318"/>
      <c r="M99" s="318"/>
      <c r="N99" s="318"/>
      <c r="O99" s="318"/>
      <c r="P99" s="318"/>
      <c r="Q99" s="318"/>
      <c r="R99" s="318"/>
      <c r="S99" s="318"/>
      <c r="T99" s="318"/>
      <c r="U99" s="318"/>
      <c r="V99" s="318"/>
      <c r="W99" s="318"/>
      <c r="X99" s="318"/>
      <c r="Y99" s="318"/>
      <c r="Z99" s="318"/>
      <c r="AA99" s="318"/>
      <c r="AB99" s="318"/>
      <c r="AC99" s="318"/>
      <c r="AD99" s="318"/>
      <c r="AE99" s="318"/>
      <c r="AF99" s="318"/>
      <c r="AG99" s="318"/>
      <c r="AH99" s="318"/>
      <c r="AI99" s="318"/>
    </row>
    <row r="100" spans="1:35" s="307" customFormat="1" ht="49.2" customHeight="1" x14ac:dyDescent="0.25">
      <c r="A100" s="589"/>
      <c r="B100" s="664" t="s">
        <v>238</v>
      </c>
      <c r="C100" s="639"/>
      <c r="D100" s="637" t="s">
        <v>53</v>
      </c>
      <c r="E100" s="638">
        <v>377607.41</v>
      </c>
      <c r="F100" s="639"/>
      <c r="G100" s="635">
        <f t="shared" si="1"/>
        <v>377607.41</v>
      </c>
      <c r="H100" s="653"/>
      <c r="I100" s="646"/>
      <c r="J100" s="653" t="s">
        <v>346</v>
      </c>
      <c r="K100" s="596"/>
    </row>
    <row r="101" spans="1:35" s="323" customFormat="1" ht="42.6" customHeight="1" x14ac:dyDescent="0.25">
      <c r="A101" s="537"/>
      <c r="B101" s="654"/>
      <c r="C101" s="620"/>
      <c r="D101" s="621"/>
      <c r="E101" s="622"/>
      <c r="F101" s="620">
        <v>0</v>
      </c>
      <c r="G101" s="635">
        <f t="shared" si="1"/>
        <v>0</v>
      </c>
      <c r="H101" s="685">
        <f>E102-E100</f>
        <v>44594082.029999986</v>
      </c>
      <c r="I101" s="636"/>
      <c r="J101" s="655"/>
      <c r="K101" s="594"/>
      <c r="L101" s="318"/>
      <c r="M101" s="318"/>
      <c r="N101" s="318"/>
      <c r="O101" s="318"/>
      <c r="P101" s="318"/>
      <c r="Q101" s="318"/>
      <c r="R101" s="318"/>
      <c r="S101" s="318"/>
      <c r="T101" s="318"/>
      <c r="U101" s="318"/>
      <c r="V101" s="318"/>
      <c r="W101" s="318"/>
      <c r="X101" s="318"/>
      <c r="Y101" s="318"/>
      <c r="Z101" s="318"/>
      <c r="AA101" s="318"/>
      <c r="AB101" s="318"/>
      <c r="AC101" s="318"/>
      <c r="AD101" s="318"/>
      <c r="AE101" s="318"/>
      <c r="AF101" s="318"/>
      <c r="AG101" s="318"/>
      <c r="AH101" s="318"/>
      <c r="AI101" s="318"/>
    </row>
    <row r="102" spans="1:35" s="324" customFormat="1" ht="22.95" customHeight="1" x14ac:dyDescent="0.25">
      <c r="A102" s="533"/>
      <c r="B102" s="665" t="s">
        <v>47</v>
      </c>
      <c r="C102" s="666">
        <f>SUM(C5:C101)</f>
        <v>0</v>
      </c>
      <c r="D102" s="666"/>
      <c r="E102" s="666">
        <f>SUM(E5:E101)</f>
        <v>44971689.439999983</v>
      </c>
      <c r="F102" s="666">
        <f>SUM(F5:F101)</f>
        <v>24119913.996000003</v>
      </c>
      <c r="G102" s="666">
        <f>SUM(G5:G101)</f>
        <v>20851775.443999995</v>
      </c>
      <c r="H102" s="666"/>
      <c r="I102" s="667"/>
      <c r="J102" s="666"/>
      <c r="K102" s="595"/>
    </row>
    <row r="103" spans="1:35" s="323" customFormat="1" ht="25.8" customHeight="1" x14ac:dyDescent="0.25">
      <c r="A103" s="535"/>
      <c r="B103" s="668"/>
      <c r="C103" s="669">
        <f>SUBTOTAL(9,C5:C101)</f>
        <v>0</v>
      </c>
      <c r="D103" s="670"/>
      <c r="E103" s="669">
        <f>SUBTOTAL(9,E5:E101)</f>
        <v>44971689.439999983</v>
      </c>
      <c r="F103" s="669">
        <f>SUBTOTAL(9,F5:F101)</f>
        <v>24119913.996000003</v>
      </c>
      <c r="G103" s="669">
        <f>SUBTOTAL(9,G5:G101)</f>
        <v>20851775.443999995</v>
      </c>
      <c r="H103" s="671"/>
      <c r="I103" s="672"/>
      <c r="J103" s="671"/>
      <c r="K103" s="594"/>
      <c r="L103" s="318"/>
      <c r="M103" s="318"/>
      <c r="N103" s="318"/>
      <c r="O103" s="318"/>
      <c r="P103" s="318"/>
      <c r="Q103" s="318"/>
      <c r="R103" s="318"/>
      <c r="S103" s="318"/>
      <c r="T103" s="318"/>
      <c r="U103" s="318"/>
      <c r="V103" s="318"/>
      <c r="W103" s="318"/>
      <c r="X103" s="318"/>
      <c r="Y103" s="318"/>
      <c r="Z103" s="318"/>
      <c r="AA103" s="318"/>
      <c r="AB103" s="318"/>
      <c r="AC103" s="318"/>
      <c r="AD103" s="318"/>
      <c r="AE103" s="318"/>
      <c r="AF103" s="318"/>
      <c r="AG103" s="318"/>
      <c r="AH103" s="318"/>
      <c r="AI103" s="318"/>
    </row>
    <row r="104" spans="1:35" x14ac:dyDescent="0.35">
      <c r="C104" s="674"/>
      <c r="D104" s="674"/>
      <c r="E104" s="674"/>
      <c r="F104" s="674"/>
      <c r="G104" s="674"/>
      <c r="H104" s="674"/>
      <c r="I104" s="675"/>
      <c r="J104" s="674"/>
    </row>
    <row r="105" spans="1:35" x14ac:dyDescent="0.35">
      <c r="C105" s="674"/>
      <c r="D105" s="674"/>
      <c r="E105" s="674"/>
      <c r="F105" s="674"/>
      <c r="G105" s="674"/>
      <c r="H105" s="674"/>
      <c r="I105" s="675"/>
      <c r="J105" s="674"/>
    </row>
    <row r="106" spans="1:35" ht="19.2" customHeight="1" x14ac:dyDescent="0.35">
      <c r="B106" s="676"/>
      <c r="C106" s="674"/>
      <c r="D106" s="674"/>
      <c r="E106" s="674"/>
      <c r="F106" s="674"/>
      <c r="G106" s="674"/>
      <c r="H106" s="674"/>
      <c r="I106" s="675"/>
      <c r="J106" s="674"/>
    </row>
    <row r="107" spans="1:35" x14ac:dyDescent="0.35">
      <c r="C107" s="674"/>
      <c r="D107" s="674"/>
      <c r="E107" s="674"/>
      <c r="F107" s="674"/>
      <c r="G107" s="674"/>
      <c r="H107" s="674"/>
      <c r="I107" s="675"/>
      <c r="J107" s="674"/>
    </row>
    <row r="108" spans="1:35" x14ac:dyDescent="0.35">
      <c r="C108" s="674"/>
      <c r="D108" s="674"/>
      <c r="E108" s="674"/>
      <c r="F108" s="674"/>
      <c r="G108" s="674"/>
      <c r="H108" s="674"/>
      <c r="I108" s="675"/>
      <c r="J108" s="674"/>
    </row>
    <row r="109" spans="1:35" x14ac:dyDescent="0.35">
      <c r="C109" s="674"/>
      <c r="D109" s="674"/>
      <c r="E109" s="674"/>
      <c r="F109" s="674"/>
      <c r="G109" s="674"/>
      <c r="H109" s="674"/>
      <c r="I109" s="675"/>
      <c r="J109" s="674"/>
    </row>
    <row r="110" spans="1:35" x14ac:dyDescent="0.35">
      <c r="C110" s="674"/>
      <c r="D110" s="674"/>
      <c r="E110" s="674"/>
      <c r="F110" s="674"/>
      <c r="G110" s="674"/>
      <c r="H110" s="674"/>
      <c r="I110" s="675"/>
      <c r="J110" s="674"/>
    </row>
    <row r="111" spans="1:35" x14ac:dyDescent="0.35">
      <c r="C111" s="674"/>
      <c r="D111" s="674"/>
      <c r="E111" s="674"/>
      <c r="F111" s="674"/>
      <c r="G111" s="674"/>
      <c r="H111" s="674"/>
      <c r="I111" s="675"/>
      <c r="J111" s="674"/>
    </row>
    <row r="112" spans="1:35" x14ac:dyDescent="0.35">
      <c r="C112" s="674"/>
      <c r="D112" s="674"/>
      <c r="E112" s="674"/>
      <c r="F112" s="674"/>
      <c r="G112" s="674"/>
      <c r="H112" s="674"/>
      <c r="I112" s="675"/>
      <c r="J112" s="674"/>
    </row>
    <row r="113" spans="3:10" x14ac:dyDescent="0.35">
      <c r="C113" s="674"/>
      <c r="D113" s="674"/>
      <c r="E113" s="674"/>
      <c r="F113" s="674"/>
      <c r="G113" s="674"/>
      <c r="H113" s="674"/>
      <c r="I113" s="675"/>
      <c r="J113" s="674"/>
    </row>
    <row r="114" spans="3:10" x14ac:dyDescent="0.35">
      <c r="C114" s="674"/>
      <c r="D114" s="674"/>
      <c r="E114" s="674"/>
      <c r="F114" s="674"/>
      <c r="G114" s="674"/>
      <c r="H114" s="674"/>
      <c r="I114" s="675"/>
      <c r="J114" s="674"/>
    </row>
    <row r="115" spans="3:10" x14ac:dyDescent="0.35">
      <c r="C115" s="674"/>
      <c r="D115" s="674"/>
      <c r="E115" s="674"/>
      <c r="F115" s="674"/>
      <c r="G115" s="674"/>
      <c r="H115" s="674"/>
      <c r="I115" s="675"/>
      <c r="J115" s="674"/>
    </row>
    <row r="116" spans="3:10" x14ac:dyDescent="0.35">
      <c r="C116" s="674"/>
      <c r="D116" s="674"/>
      <c r="E116" s="674"/>
      <c r="F116" s="674"/>
      <c r="G116" s="674"/>
      <c r="H116" s="674"/>
      <c r="I116" s="675"/>
      <c r="J116" s="674"/>
    </row>
    <row r="117" spans="3:10" x14ac:dyDescent="0.35">
      <c r="C117" s="674"/>
      <c r="D117" s="674"/>
      <c r="E117" s="674"/>
      <c r="F117" s="674"/>
      <c r="G117" s="674"/>
      <c r="H117" s="674"/>
      <c r="I117" s="675"/>
      <c r="J117" s="674"/>
    </row>
    <row r="118" spans="3:10" x14ac:dyDescent="0.35">
      <c r="C118" s="674"/>
      <c r="D118" s="674"/>
      <c r="E118" s="674"/>
      <c r="F118" s="674"/>
      <c r="G118" s="674"/>
      <c r="H118" s="674"/>
      <c r="I118" s="675"/>
      <c r="J118" s="674"/>
    </row>
    <row r="119" spans="3:10" x14ac:dyDescent="0.35">
      <c r="C119" s="674"/>
      <c r="D119" s="674"/>
      <c r="E119" s="674"/>
      <c r="F119" s="674"/>
      <c r="G119" s="674"/>
      <c r="H119" s="674"/>
      <c r="I119" s="675"/>
      <c r="J119" s="674"/>
    </row>
    <row r="120" spans="3:10" x14ac:dyDescent="0.35">
      <c r="C120" s="674"/>
      <c r="D120" s="674"/>
      <c r="E120" s="674"/>
      <c r="F120" s="674"/>
      <c r="G120" s="674"/>
      <c r="H120" s="674"/>
      <c r="I120" s="675"/>
      <c r="J120" s="674"/>
    </row>
    <row r="121" spans="3:10" x14ac:dyDescent="0.35">
      <c r="C121" s="674"/>
      <c r="D121" s="674"/>
      <c r="E121" s="674"/>
      <c r="F121" s="674"/>
      <c r="G121" s="674"/>
      <c r="H121" s="674"/>
      <c r="I121" s="675"/>
      <c r="J121" s="674"/>
    </row>
    <row r="122" spans="3:10" x14ac:dyDescent="0.35">
      <c r="C122" s="674"/>
      <c r="D122" s="674"/>
      <c r="E122" s="674"/>
      <c r="F122" s="674"/>
      <c r="G122" s="674"/>
      <c r="H122" s="674"/>
      <c r="I122" s="675"/>
      <c r="J122" s="674"/>
    </row>
    <row r="123" spans="3:10" x14ac:dyDescent="0.35">
      <c r="C123" s="674"/>
      <c r="D123" s="674"/>
      <c r="E123" s="674"/>
      <c r="F123" s="674"/>
      <c r="G123" s="674"/>
      <c r="H123" s="674"/>
      <c r="I123" s="675"/>
      <c r="J123" s="674"/>
    </row>
    <row r="124" spans="3:10" x14ac:dyDescent="0.35">
      <c r="C124" s="674"/>
      <c r="D124" s="674"/>
      <c r="E124" s="674"/>
      <c r="F124" s="674"/>
      <c r="G124" s="674"/>
      <c r="H124" s="674"/>
      <c r="I124" s="675"/>
      <c r="J124" s="674"/>
    </row>
    <row r="125" spans="3:10" x14ac:dyDescent="0.35">
      <c r="C125" s="674"/>
      <c r="D125" s="674"/>
      <c r="E125" s="674"/>
      <c r="F125" s="674"/>
      <c r="G125" s="674"/>
      <c r="H125" s="674"/>
      <c r="I125" s="675"/>
      <c r="J125" s="674"/>
    </row>
    <row r="126" spans="3:10" x14ac:dyDescent="0.35">
      <c r="C126" s="674"/>
      <c r="D126" s="674"/>
      <c r="E126" s="674"/>
      <c r="F126" s="674"/>
      <c r="G126" s="674"/>
      <c r="H126" s="674"/>
      <c r="I126" s="675"/>
      <c r="J126" s="674"/>
    </row>
  </sheetData>
  <autoFilter ref="A4:AI102"/>
  <mergeCells count="61">
    <mergeCell ref="B79:C82"/>
    <mergeCell ref="B85:C86"/>
    <mergeCell ref="J85:J86"/>
    <mergeCell ref="B26:C27"/>
    <mergeCell ref="J26:J27"/>
    <mergeCell ref="B31:C32"/>
    <mergeCell ref="J31:J32"/>
    <mergeCell ref="J66:J69"/>
    <mergeCell ref="J47:J51"/>
    <mergeCell ref="J52:J54"/>
    <mergeCell ref="J61:J64"/>
    <mergeCell ref="J76:J78"/>
    <mergeCell ref="J79:J81"/>
    <mergeCell ref="B33:C34"/>
    <mergeCell ref="B61:C64"/>
    <mergeCell ref="B47:C51"/>
    <mergeCell ref="J88:J89"/>
    <mergeCell ref="J72:J75"/>
    <mergeCell ref="J70:J71"/>
    <mergeCell ref="B88:C89"/>
    <mergeCell ref="J36:J37"/>
    <mergeCell ref="B39:C41"/>
    <mergeCell ref="J39:J41"/>
    <mergeCell ref="B59:C60"/>
    <mergeCell ref="B66:C69"/>
    <mergeCell ref="B70:C71"/>
    <mergeCell ref="B72:C75"/>
    <mergeCell ref="J59:J60"/>
    <mergeCell ref="J55:J56"/>
    <mergeCell ref="B36:C37"/>
    <mergeCell ref="B76:C78"/>
    <mergeCell ref="B43:C45"/>
    <mergeCell ref="A1:J2"/>
    <mergeCell ref="J3:J4"/>
    <mergeCell ref="D3:I3"/>
    <mergeCell ref="A3:A4"/>
    <mergeCell ref="B3:B4"/>
    <mergeCell ref="C3:C4"/>
    <mergeCell ref="B90:C95"/>
    <mergeCell ref="K7:K8"/>
    <mergeCell ref="K11:K12"/>
    <mergeCell ref="B15:C16"/>
    <mergeCell ref="K15:K16"/>
    <mergeCell ref="J11:J12"/>
    <mergeCell ref="J15:J16"/>
    <mergeCell ref="B13:C14"/>
    <mergeCell ref="J13:J14"/>
    <mergeCell ref="B7:C9"/>
    <mergeCell ref="B11:C12"/>
    <mergeCell ref="B19:C20"/>
    <mergeCell ref="B28:C30"/>
    <mergeCell ref="J7:J9"/>
    <mergeCell ref="J19:J20"/>
    <mergeCell ref="J33:J34"/>
    <mergeCell ref="B52:C54"/>
    <mergeCell ref="B55:C57"/>
    <mergeCell ref="B17:C18"/>
    <mergeCell ref="B21:C25"/>
    <mergeCell ref="J21:J25"/>
    <mergeCell ref="J28:J30"/>
    <mergeCell ref="J43:J45"/>
  </mergeCells>
  <phoneticPr fontId="36" type="noConversion"/>
  <pageMargins left="3.937007874015748E-2" right="0.23622047244094491" top="0.74803149606299213" bottom="0.74803149606299213" header="0.31496062992125984" footer="0.31496062992125984"/>
  <pageSetup paperSize="9" scale="41" fitToHeight="0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39"/>
  <sheetViews>
    <sheetView showWhiteSpace="0" zoomScale="80" zoomScaleNormal="80" zoomScaleSheetLayoutView="76" workbookViewId="0">
      <pane ySplit="4" topLeftCell="A5" activePane="bottomLeft" state="frozen"/>
      <selection pane="bottomLeft" activeCell="C13" sqref="C13"/>
    </sheetView>
  </sheetViews>
  <sheetFormatPr defaultColWidth="9.109375" defaultRowHeight="12" x14ac:dyDescent="0.25"/>
  <cols>
    <col min="1" max="1" width="10.44140625" style="308" customWidth="1"/>
    <col min="2" max="2" width="59.21875" style="308" customWidth="1"/>
    <col min="3" max="4" width="20.6640625" style="342" customWidth="1"/>
    <col min="5" max="5" width="24.6640625" style="342" customWidth="1"/>
    <col min="6" max="6" width="20" style="342" customWidth="1"/>
    <col min="7" max="7" width="21.33203125" style="342" customWidth="1"/>
    <col min="8" max="8" width="29.77734375" style="342" customWidth="1"/>
    <col min="9" max="9" width="29.77734375" style="308" customWidth="1"/>
    <col min="10" max="10" width="35.88671875" style="308" customWidth="1"/>
    <col min="11" max="11" width="16.44140625" style="308" customWidth="1"/>
    <col min="12" max="16384" width="9.109375" style="308"/>
  </cols>
  <sheetData>
    <row r="1" spans="1:35" ht="16.95" customHeight="1" x14ac:dyDescent="0.25">
      <c r="A1" s="749" t="s">
        <v>197</v>
      </c>
      <c r="B1" s="749"/>
      <c r="C1" s="749"/>
      <c r="D1" s="749"/>
      <c r="E1" s="749"/>
      <c r="F1" s="749"/>
      <c r="G1" s="749"/>
      <c r="H1" s="749"/>
    </row>
    <row r="2" spans="1:35" ht="59.4" customHeight="1" thickBot="1" x14ac:dyDescent="0.3">
      <c r="A2" s="749"/>
      <c r="B2" s="749"/>
      <c r="C2" s="749"/>
      <c r="D2" s="749"/>
      <c r="E2" s="749"/>
      <c r="F2" s="749"/>
      <c r="G2" s="749"/>
      <c r="H2" s="749"/>
      <c r="I2" s="838" t="s">
        <v>206</v>
      </c>
      <c r="J2" s="839"/>
    </row>
    <row r="3" spans="1:35" ht="31.8" customHeight="1" x14ac:dyDescent="0.25">
      <c r="A3" s="750" t="s">
        <v>124</v>
      </c>
      <c r="B3" s="756" t="s">
        <v>185</v>
      </c>
      <c r="C3" s="752" t="s">
        <v>190</v>
      </c>
      <c r="D3" s="752" t="s">
        <v>191</v>
      </c>
      <c r="E3" s="752" t="s">
        <v>193</v>
      </c>
      <c r="F3" s="754" t="s">
        <v>9</v>
      </c>
      <c r="G3" s="754" t="s">
        <v>188</v>
      </c>
      <c r="H3" s="840" t="s">
        <v>189</v>
      </c>
      <c r="I3" s="562" t="s">
        <v>204</v>
      </c>
      <c r="J3" s="562" t="s">
        <v>205</v>
      </c>
    </row>
    <row r="4" spans="1:35" ht="30.6" customHeight="1" x14ac:dyDescent="0.25">
      <c r="A4" s="751"/>
      <c r="B4" s="757"/>
      <c r="C4" s="753"/>
      <c r="D4" s="753"/>
      <c r="E4" s="753"/>
      <c r="F4" s="758"/>
      <c r="G4" s="758"/>
      <c r="H4" s="841"/>
      <c r="I4" s="547" t="s">
        <v>199</v>
      </c>
      <c r="J4" s="547" t="s">
        <v>203</v>
      </c>
    </row>
    <row r="5" spans="1:35" s="323" customFormat="1" ht="85.8" customHeight="1" x14ac:dyDescent="0.25">
      <c r="A5" s="548" t="s">
        <v>53</v>
      </c>
      <c r="B5" s="549" t="s">
        <v>210</v>
      </c>
      <c r="C5" s="550"/>
      <c r="D5" s="551"/>
      <c r="E5" s="552"/>
      <c r="F5" s="550"/>
      <c r="G5" s="550"/>
      <c r="H5" s="557"/>
      <c r="I5" s="559" t="s">
        <v>207</v>
      </c>
      <c r="J5" s="546" t="s">
        <v>208</v>
      </c>
      <c r="K5" s="318"/>
      <c r="L5" s="318"/>
      <c r="M5" s="318"/>
      <c r="N5" s="318"/>
      <c r="O5" s="318"/>
      <c r="P5" s="318"/>
      <c r="Q5" s="318"/>
      <c r="R5" s="318"/>
      <c r="S5" s="318"/>
      <c r="T5" s="318"/>
      <c r="U5" s="318"/>
      <c r="V5" s="318"/>
      <c r="W5" s="318"/>
      <c r="X5" s="318"/>
      <c r="Y5" s="318"/>
      <c r="Z5" s="318"/>
      <c r="AA5" s="318"/>
      <c r="AB5" s="318"/>
      <c r="AC5" s="318"/>
      <c r="AD5" s="318"/>
      <c r="AE5" s="318"/>
      <c r="AF5" s="318"/>
      <c r="AG5" s="318"/>
      <c r="AH5" s="318"/>
      <c r="AI5" s="318"/>
    </row>
    <row r="6" spans="1:35" s="323" customFormat="1" ht="52.8" customHeight="1" x14ac:dyDescent="0.25">
      <c r="A6" s="548" t="s">
        <v>69</v>
      </c>
      <c r="B6" s="538" t="s">
        <v>211</v>
      </c>
      <c r="C6" s="539"/>
      <c r="D6" s="553"/>
      <c r="E6" s="542"/>
      <c r="F6" s="539"/>
      <c r="G6" s="541"/>
      <c r="H6" s="554"/>
      <c r="I6" s="560" t="s">
        <v>187</v>
      </c>
      <c r="J6" s="546" t="s">
        <v>209</v>
      </c>
      <c r="K6" s="318"/>
      <c r="L6" s="318"/>
      <c r="M6" s="318"/>
      <c r="N6" s="318"/>
      <c r="O6" s="318"/>
      <c r="P6" s="318"/>
      <c r="Q6" s="318"/>
      <c r="R6" s="318"/>
      <c r="S6" s="318"/>
      <c r="T6" s="318"/>
      <c r="U6" s="318"/>
      <c r="V6" s="318"/>
      <c r="W6" s="318"/>
      <c r="X6" s="318"/>
      <c r="Y6" s="318"/>
      <c r="Z6" s="318"/>
      <c r="AA6" s="318"/>
      <c r="AB6" s="318"/>
      <c r="AC6" s="318"/>
      <c r="AD6" s="318"/>
      <c r="AE6" s="318"/>
      <c r="AF6" s="318"/>
      <c r="AG6" s="318"/>
      <c r="AH6" s="318"/>
      <c r="AI6" s="318"/>
    </row>
    <row r="7" spans="1:35" s="323" customFormat="1" ht="52.2" customHeight="1" x14ac:dyDescent="0.25">
      <c r="A7" s="548" t="s">
        <v>70</v>
      </c>
      <c r="B7" s="544" t="s">
        <v>212</v>
      </c>
      <c r="C7" s="555"/>
      <c r="D7" s="539"/>
      <c r="E7" s="540"/>
      <c r="F7" s="545"/>
      <c r="G7" s="539"/>
      <c r="H7" s="554"/>
      <c r="I7" s="559" t="s">
        <v>192</v>
      </c>
      <c r="J7" s="546" t="s">
        <v>202</v>
      </c>
      <c r="K7" s="318"/>
      <c r="L7" s="318"/>
      <c r="M7" s="318"/>
      <c r="N7" s="318"/>
      <c r="O7" s="318"/>
      <c r="P7" s="318"/>
      <c r="Q7" s="318"/>
      <c r="R7" s="318"/>
      <c r="S7" s="318"/>
      <c r="T7" s="318"/>
      <c r="U7" s="318"/>
      <c r="V7" s="318"/>
      <c r="W7" s="318"/>
      <c r="X7" s="318"/>
      <c r="Y7" s="318"/>
      <c r="Z7" s="318"/>
      <c r="AA7" s="318"/>
      <c r="AB7" s="318"/>
      <c r="AC7" s="318"/>
      <c r="AD7" s="318"/>
      <c r="AE7" s="318"/>
      <c r="AF7" s="318"/>
      <c r="AG7" s="318"/>
      <c r="AH7" s="318"/>
      <c r="AI7" s="318"/>
    </row>
    <row r="8" spans="1:35" s="323" customFormat="1" ht="45" customHeight="1" x14ac:dyDescent="0.25">
      <c r="A8" s="548" t="s">
        <v>71</v>
      </c>
      <c r="B8" s="544" t="s">
        <v>213</v>
      </c>
      <c r="C8" s="555"/>
      <c r="D8" s="539"/>
      <c r="E8" s="540"/>
      <c r="F8" s="545"/>
      <c r="G8" s="539"/>
      <c r="H8" s="543"/>
      <c r="I8" s="560" t="s">
        <v>186</v>
      </c>
      <c r="J8" s="546" t="s">
        <v>200</v>
      </c>
      <c r="K8" s="318"/>
      <c r="L8" s="318"/>
      <c r="M8" s="318"/>
      <c r="N8" s="318"/>
      <c r="O8" s="318"/>
      <c r="P8" s="318"/>
      <c r="Q8" s="318"/>
      <c r="R8" s="318"/>
      <c r="S8" s="318"/>
      <c r="T8" s="318"/>
      <c r="U8" s="318"/>
      <c r="V8" s="318"/>
      <c r="W8" s="318"/>
      <c r="X8" s="318"/>
      <c r="Y8" s="318"/>
      <c r="Z8" s="318"/>
      <c r="AA8" s="318"/>
      <c r="AB8" s="318"/>
      <c r="AC8" s="318"/>
      <c r="AD8" s="318"/>
      <c r="AE8" s="318"/>
      <c r="AF8" s="318"/>
      <c r="AG8" s="318"/>
      <c r="AH8" s="318"/>
      <c r="AI8" s="318"/>
    </row>
    <row r="9" spans="1:35" s="323" customFormat="1" ht="85.8" customHeight="1" x14ac:dyDescent="0.25">
      <c r="A9" s="548" t="s">
        <v>53</v>
      </c>
      <c r="B9" s="549" t="s">
        <v>214</v>
      </c>
      <c r="C9" s="550"/>
      <c r="D9" s="551"/>
      <c r="E9" s="552"/>
      <c r="F9" s="550"/>
      <c r="G9" s="550"/>
      <c r="H9" s="557"/>
      <c r="I9" s="559" t="s">
        <v>207</v>
      </c>
      <c r="J9" s="546" t="s">
        <v>208</v>
      </c>
      <c r="K9" s="318"/>
      <c r="L9" s="318"/>
      <c r="M9" s="318"/>
      <c r="N9" s="318"/>
      <c r="O9" s="318"/>
      <c r="P9" s="318"/>
      <c r="Q9" s="318"/>
      <c r="R9" s="318"/>
      <c r="S9" s="318"/>
      <c r="T9" s="318"/>
      <c r="U9" s="318"/>
      <c r="V9" s="318"/>
      <c r="W9" s="318"/>
      <c r="X9" s="318"/>
      <c r="Y9" s="318"/>
      <c r="Z9" s="318"/>
      <c r="AA9" s="318"/>
      <c r="AB9" s="318"/>
      <c r="AC9" s="318"/>
      <c r="AD9" s="318"/>
      <c r="AE9" s="318"/>
      <c r="AF9" s="318"/>
      <c r="AG9" s="318"/>
      <c r="AH9" s="318"/>
      <c r="AI9" s="318"/>
    </row>
    <row r="10" spans="1:35" s="323" customFormat="1" ht="52.8" customHeight="1" x14ac:dyDescent="0.25">
      <c r="A10" s="548" t="s">
        <v>69</v>
      </c>
      <c r="B10" s="538" t="s">
        <v>215</v>
      </c>
      <c r="C10" s="539"/>
      <c r="D10" s="553"/>
      <c r="E10" s="542"/>
      <c r="F10" s="539"/>
      <c r="G10" s="541"/>
      <c r="H10" s="554"/>
      <c r="I10" s="560" t="s">
        <v>187</v>
      </c>
      <c r="J10" s="546" t="s">
        <v>209</v>
      </c>
      <c r="K10" s="318"/>
      <c r="L10" s="318"/>
      <c r="M10" s="318"/>
      <c r="N10" s="318"/>
      <c r="O10" s="318"/>
      <c r="P10" s="318"/>
      <c r="Q10" s="318"/>
      <c r="R10" s="318"/>
      <c r="S10" s="318"/>
      <c r="T10" s="318"/>
      <c r="U10" s="318"/>
      <c r="V10" s="318"/>
      <c r="W10" s="318"/>
      <c r="X10" s="318"/>
      <c r="Y10" s="318"/>
      <c r="Z10" s="318"/>
      <c r="AA10" s="318"/>
      <c r="AB10" s="318"/>
      <c r="AC10" s="318"/>
      <c r="AD10" s="318"/>
      <c r="AE10" s="318"/>
      <c r="AF10" s="318"/>
      <c r="AG10" s="318"/>
      <c r="AH10" s="318"/>
      <c r="AI10" s="318"/>
    </row>
    <row r="11" spans="1:35" s="323" customFormat="1" ht="52.2" customHeight="1" x14ac:dyDescent="0.25">
      <c r="A11" s="548" t="s">
        <v>70</v>
      </c>
      <c r="B11" s="544" t="s">
        <v>216</v>
      </c>
      <c r="C11" s="555"/>
      <c r="D11" s="539"/>
      <c r="E11" s="540"/>
      <c r="F11" s="545"/>
      <c r="G11" s="539"/>
      <c r="H11" s="554"/>
      <c r="I11" s="559" t="s">
        <v>192</v>
      </c>
      <c r="J11" s="546" t="s">
        <v>202</v>
      </c>
      <c r="K11" s="318"/>
      <c r="L11" s="318"/>
      <c r="M11" s="318"/>
      <c r="N11" s="318"/>
      <c r="O11" s="318"/>
      <c r="P11" s="318"/>
      <c r="Q11" s="318"/>
      <c r="R11" s="318"/>
      <c r="S11" s="318"/>
      <c r="T11" s="318"/>
      <c r="U11" s="318"/>
      <c r="V11" s="318"/>
      <c r="W11" s="318"/>
      <c r="X11" s="318"/>
      <c r="Y11" s="318"/>
      <c r="Z11" s="318"/>
      <c r="AA11" s="318"/>
      <c r="AB11" s="318"/>
      <c r="AC11" s="318"/>
      <c r="AD11" s="318"/>
      <c r="AE11" s="318"/>
      <c r="AF11" s="318"/>
      <c r="AG11" s="318"/>
      <c r="AH11" s="318"/>
      <c r="AI11" s="318"/>
    </row>
    <row r="12" spans="1:35" s="323" customFormat="1" ht="85.8" customHeight="1" x14ac:dyDescent="0.25">
      <c r="A12" s="548" t="s">
        <v>53</v>
      </c>
      <c r="B12" s="549" t="s">
        <v>217</v>
      </c>
      <c r="C12" s="550"/>
      <c r="D12" s="551"/>
      <c r="E12" s="552"/>
      <c r="F12" s="550"/>
      <c r="G12" s="550"/>
      <c r="H12" s="557"/>
      <c r="I12" s="559" t="s">
        <v>207</v>
      </c>
      <c r="J12" s="546" t="s">
        <v>208</v>
      </c>
      <c r="K12" s="318"/>
      <c r="L12" s="318"/>
      <c r="M12" s="318"/>
      <c r="N12" s="318"/>
      <c r="O12" s="318"/>
      <c r="P12" s="318"/>
      <c r="Q12" s="318"/>
      <c r="R12" s="318"/>
      <c r="S12" s="318"/>
      <c r="T12" s="318"/>
      <c r="U12" s="318"/>
      <c r="V12" s="318"/>
      <c r="W12" s="318"/>
      <c r="X12" s="318"/>
      <c r="Y12" s="318"/>
      <c r="Z12" s="318"/>
      <c r="AA12" s="318"/>
      <c r="AB12" s="318"/>
      <c r="AC12" s="318"/>
      <c r="AD12" s="318"/>
      <c r="AE12" s="318"/>
      <c r="AF12" s="318"/>
      <c r="AG12" s="318"/>
      <c r="AH12" s="318"/>
      <c r="AI12" s="318"/>
    </row>
    <row r="13" spans="1:35" s="323" customFormat="1" ht="52.8" customHeight="1" x14ac:dyDescent="0.25">
      <c r="A13" s="548" t="s">
        <v>69</v>
      </c>
      <c r="B13" s="538" t="s">
        <v>218</v>
      </c>
      <c r="C13" s="539"/>
      <c r="D13" s="553"/>
      <c r="E13" s="542"/>
      <c r="F13" s="539"/>
      <c r="G13" s="541"/>
      <c r="H13" s="554"/>
      <c r="I13" s="560" t="s">
        <v>187</v>
      </c>
      <c r="J13" s="546" t="s">
        <v>209</v>
      </c>
      <c r="K13" s="318"/>
      <c r="L13" s="318"/>
      <c r="M13" s="318"/>
      <c r="N13" s="318"/>
      <c r="O13" s="318"/>
      <c r="P13" s="318"/>
      <c r="Q13" s="318"/>
      <c r="R13" s="318"/>
      <c r="S13" s="318"/>
      <c r="T13" s="318"/>
      <c r="U13" s="318"/>
      <c r="V13" s="318"/>
      <c r="W13" s="318"/>
      <c r="X13" s="318"/>
      <c r="Y13" s="318"/>
      <c r="Z13" s="318"/>
      <c r="AA13" s="318"/>
      <c r="AB13" s="318"/>
      <c r="AC13" s="318"/>
      <c r="AD13" s="318"/>
      <c r="AE13" s="318"/>
      <c r="AF13" s="318"/>
      <c r="AG13" s="318"/>
      <c r="AH13" s="318"/>
      <c r="AI13" s="318"/>
    </row>
    <row r="14" spans="1:35" s="323" customFormat="1" ht="52.2" customHeight="1" x14ac:dyDescent="0.25">
      <c r="A14" s="548" t="s">
        <v>70</v>
      </c>
      <c r="B14" s="544" t="s">
        <v>219</v>
      </c>
      <c r="C14" s="555"/>
      <c r="D14" s="539"/>
      <c r="E14" s="540"/>
      <c r="F14" s="545"/>
      <c r="G14" s="539"/>
      <c r="H14" s="554"/>
      <c r="I14" s="559" t="s">
        <v>192</v>
      </c>
      <c r="J14" s="546" t="s">
        <v>202</v>
      </c>
      <c r="K14" s="318"/>
      <c r="L14" s="318"/>
      <c r="M14" s="318"/>
      <c r="N14" s="318"/>
      <c r="O14" s="318"/>
      <c r="P14" s="318"/>
      <c r="Q14" s="318"/>
      <c r="R14" s="318"/>
      <c r="S14" s="318"/>
      <c r="T14" s="318"/>
      <c r="U14" s="318"/>
      <c r="V14" s="318"/>
      <c r="W14" s="318"/>
      <c r="X14" s="318"/>
      <c r="Y14" s="318"/>
      <c r="Z14" s="318"/>
      <c r="AA14" s="318"/>
      <c r="AB14" s="318"/>
      <c r="AC14" s="318"/>
      <c r="AD14" s="318"/>
      <c r="AE14" s="318"/>
      <c r="AF14" s="318"/>
      <c r="AG14" s="318"/>
      <c r="AH14" s="318"/>
      <c r="AI14" s="318"/>
    </row>
    <row r="15" spans="1:35" s="323" customFormat="1" ht="45" customHeight="1" x14ac:dyDescent="0.25">
      <c r="A15" s="548" t="s">
        <v>71</v>
      </c>
      <c r="B15" s="544" t="s">
        <v>220</v>
      </c>
      <c r="C15" s="555"/>
      <c r="D15" s="539"/>
      <c r="E15" s="540"/>
      <c r="F15" s="545"/>
      <c r="G15" s="539"/>
      <c r="H15" s="543"/>
      <c r="I15" s="560" t="s">
        <v>186</v>
      </c>
      <c r="J15" s="546" t="s">
        <v>200</v>
      </c>
      <c r="K15" s="318"/>
      <c r="L15" s="318"/>
      <c r="M15" s="318"/>
      <c r="N15" s="318"/>
      <c r="O15" s="318"/>
      <c r="P15" s="318"/>
      <c r="Q15" s="318"/>
      <c r="R15" s="318"/>
      <c r="S15" s="318"/>
      <c r="T15" s="318"/>
      <c r="U15" s="318"/>
      <c r="V15" s="318"/>
      <c r="W15" s="318"/>
      <c r="X15" s="318"/>
      <c r="Y15" s="318"/>
      <c r="Z15" s="318"/>
      <c r="AA15" s="318"/>
      <c r="AB15" s="318"/>
      <c r="AC15" s="318"/>
      <c r="AD15" s="318"/>
      <c r="AE15" s="318"/>
      <c r="AF15" s="318"/>
      <c r="AG15" s="318"/>
      <c r="AH15" s="318"/>
      <c r="AI15" s="318"/>
    </row>
    <row r="16" spans="1:35" s="323" customFormat="1" ht="85.8" customHeight="1" x14ac:dyDescent="0.25">
      <c r="A16" s="548" t="s">
        <v>53</v>
      </c>
      <c r="B16" s="549" t="s">
        <v>221</v>
      </c>
      <c r="C16" s="550"/>
      <c r="D16" s="551"/>
      <c r="E16" s="552"/>
      <c r="F16" s="550"/>
      <c r="G16" s="550"/>
      <c r="H16" s="557"/>
      <c r="I16" s="559" t="s">
        <v>207</v>
      </c>
      <c r="J16" s="546" t="s">
        <v>208</v>
      </c>
      <c r="K16" s="318"/>
      <c r="L16" s="318"/>
      <c r="M16" s="318"/>
      <c r="N16" s="318"/>
      <c r="O16" s="318"/>
      <c r="P16" s="318"/>
      <c r="Q16" s="318"/>
      <c r="R16" s="318"/>
      <c r="S16" s="318"/>
      <c r="T16" s="318"/>
      <c r="U16" s="318"/>
      <c r="V16" s="318"/>
      <c r="W16" s="318"/>
      <c r="X16" s="318"/>
      <c r="Y16" s="318"/>
      <c r="Z16" s="318"/>
      <c r="AA16" s="318"/>
      <c r="AB16" s="318"/>
      <c r="AC16" s="318"/>
      <c r="AD16" s="318"/>
      <c r="AE16" s="318"/>
      <c r="AF16" s="318"/>
      <c r="AG16" s="318"/>
      <c r="AH16" s="318"/>
      <c r="AI16" s="318"/>
    </row>
    <row r="17" spans="1:35" s="323" customFormat="1" ht="52.8" customHeight="1" x14ac:dyDescent="0.25">
      <c r="A17" s="548" t="s">
        <v>69</v>
      </c>
      <c r="B17" s="538" t="s">
        <v>222</v>
      </c>
      <c r="C17" s="539"/>
      <c r="D17" s="553"/>
      <c r="E17" s="542"/>
      <c r="F17" s="539"/>
      <c r="G17" s="541"/>
      <c r="H17" s="554"/>
      <c r="I17" s="560" t="s">
        <v>187</v>
      </c>
      <c r="J17" s="546" t="s">
        <v>209</v>
      </c>
      <c r="K17" s="318"/>
      <c r="L17" s="318"/>
      <c r="M17" s="318"/>
      <c r="N17" s="318"/>
      <c r="O17" s="318"/>
      <c r="P17" s="318"/>
      <c r="Q17" s="318"/>
      <c r="R17" s="318"/>
      <c r="S17" s="318"/>
      <c r="T17" s="318"/>
      <c r="U17" s="318"/>
      <c r="V17" s="318"/>
      <c r="W17" s="318"/>
      <c r="X17" s="318"/>
      <c r="Y17" s="318"/>
      <c r="Z17" s="318"/>
      <c r="AA17" s="318"/>
      <c r="AB17" s="318"/>
      <c r="AC17" s="318"/>
      <c r="AD17" s="318"/>
      <c r="AE17" s="318"/>
      <c r="AF17" s="318"/>
      <c r="AG17" s="318"/>
      <c r="AH17" s="318"/>
      <c r="AI17" s="318"/>
    </row>
    <row r="18" spans="1:35" s="323" customFormat="1" ht="52.2" customHeight="1" x14ac:dyDescent="0.25">
      <c r="A18" s="548" t="s">
        <v>70</v>
      </c>
      <c r="B18" s="544" t="s">
        <v>223</v>
      </c>
      <c r="C18" s="555"/>
      <c r="D18" s="539"/>
      <c r="E18" s="540"/>
      <c r="F18" s="545"/>
      <c r="G18" s="539"/>
      <c r="H18" s="554"/>
      <c r="I18" s="559" t="s">
        <v>192</v>
      </c>
      <c r="J18" s="546" t="s">
        <v>202</v>
      </c>
      <c r="K18" s="318"/>
      <c r="L18" s="318"/>
      <c r="M18" s="318"/>
      <c r="N18" s="318"/>
      <c r="O18" s="318"/>
      <c r="P18" s="318"/>
      <c r="Q18" s="318"/>
      <c r="R18" s="318"/>
      <c r="S18" s="318"/>
      <c r="T18" s="318"/>
      <c r="U18" s="318"/>
      <c r="V18" s="318"/>
      <c r="W18" s="318"/>
      <c r="X18" s="318"/>
      <c r="Y18" s="318"/>
      <c r="Z18" s="318"/>
      <c r="AA18" s="318"/>
      <c r="AB18" s="318"/>
      <c r="AC18" s="318"/>
      <c r="AD18" s="318"/>
      <c r="AE18" s="318"/>
      <c r="AF18" s="318"/>
      <c r="AG18" s="318"/>
      <c r="AH18" s="318"/>
      <c r="AI18" s="318"/>
    </row>
    <row r="19" spans="1:35" s="323" customFormat="1" ht="85.8" customHeight="1" x14ac:dyDescent="0.25">
      <c r="A19" s="548" t="s">
        <v>53</v>
      </c>
      <c r="B19" s="549" t="s">
        <v>224</v>
      </c>
      <c r="C19" s="550"/>
      <c r="D19" s="551"/>
      <c r="E19" s="552"/>
      <c r="F19" s="550"/>
      <c r="G19" s="550"/>
      <c r="H19" s="557"/>
      <c r="I19" s="559" t="s">
        <v>207</v>
      </c>
      <c r="J19" s="546" t="s">
        <v>208</v>
      </c>
      <c r="K19" s="318"/>
      <c r="L19" s="318"/>
      <c r="M19" s="318"/>
      <c r="N19" s="318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318"/>
      <c r="AA19" s="318"/>
      <c r="AB19" s="318"/>
      <c r="AC19" s="318"/>
      <c r="AD19" s="318"/>
      <c r="AE19" s="318"/>
      <c r="AF19" s="318"/>
      <c r="AG19" s="318"/>
      <c r="AH19" s="318"/>
      <c r="AI19" s="318"/>
    </row>
    <row r="20" spans="1:35" s="323" customFormat="1" ht="52.8" customHeight="1" x14ac:dyDescent="0.25">
      <c r="A20" s="548" t="s">
        <v>69</v>
      </c>
      <c r="B20" s="538" t="s">
        <v>225</v>
      </c>
      <c r="C20" s="539"/>
      <c r="D20" s="553"/>
      <c r="E20" s="542"/>
      <c r="F20" s="539"/>
      <c r="G20" s="541"/>
      <c r="H20" s="554"/>
      <c r="I20" s="560" t="s">
        <v>187</v>
      </c>
      <c r="J20" s="546" t="s">
        <v>209</v>
      </c>
      <c r="K20" s="318"/>
      <c r="L20" s="318"/>
      <c r="M20" s="318"/>
      <c r="N20" s="318"/>
      <c r="O20" s="318"/>
      <c r="P20" s="318"/>
      <c r="Q20" s="318"/>
      <c r="R20" s="318"/>
      <c r="S20" s="318"/>
      <c r="T20" s="318"/>
      <c r="U20" s="318"/>
      <c r="V20" s="318"/>
      <c r="W20" s="318"/>
      <c r="X20" s="318"/>
      <c r="Y20" s="318"/>
      <c r="Z20" s="318"/>
      <c r="AA20" s="318"/>
      <c r="AB20" s="318"/>
      <c r="AC20" s="318"/>
      <c r="AD20" s="318"/>
      <c r="AE20" s="318"/>
      <c r="AF20" s="318"/>
      <c r="AG20" s="318"/>
      <c r="AH20" s="318"/>
      <c r="AI20" s="318"/>
    </row>
    <row r="21" spans="1:35" s="323" customFormat="1" ht="52.2" customHeight="1" x14ac:dyDescent="0.25">
      <c r="A21" s="548" t="s">
        <v>70</v>
      </c>
      <c r="B21" s="544" t="s">
        <v>226</v>
      </c>
      <c r="C21" s="555"/>
      <c r="D21" s="539"/>
      <c r="E21" s="540"/>
      <c r="F21" s="545"/>
      <c r="G21" s="539"/>
      <c r="H21" s="554"/>
      <c r="I21" s="559" t="s">
        <v>192</v>
      </c>
      <c r="J21" s="546" t="s">
        <v>202</v>
      </c>
      <c r="K21" s="318"/>
      <c r="L21" s="318"/>
      <c r="M21" s="318"/>
      <c r="N21" s="318"/>
      <c r="O21" s="318"/>
      <c r="P21" s="318"/>
      <c r="Q21" s="318"/>
      <c r="R21" s="318"/>
      <c r="S21" s="318"/>
      <c r="T21" s="318"/>
      <c r="U21" s="318"/>
      <c r="V21" s="318"/>
      <c r="W21" s="318"/>
      <c r="X21" s="318"/>
      <c r="Y21" s="318"/>
      <c r="Z21" s="318"/>
      <c r="AA21" s="318"/>
      <c r="AB21" s="318"/>
      <c r="AC21" s="318"/>
      <c r="AD21" s="318"/>
      <c r="AE21" s="318"/>
      <c r="AF21" s="318"/>
      <c r="AG21" s="318"/>
      <c r="AH21" s="318"/>
      <c r="AI21" s="318"/>
    </row>
    <row r="22" spans="1:35" s="323" customFormat="1" ht="45" customHeight="1" x14ac:dyDescent="0.25">
      <c r="A22" s="548" t="s">
        <v>71</v>
      </c>
      <c r="B22" s="544" t="s">
        <v>227</v>
      </c>
      <c r="C22" s="555"/>
      <c r="D22" s="539"/>
      <c r="E22" s="540"/>
      <c r="F22" s="545"/>
      <c r="G22" s="539"/>
      <c r="H22" s="543"/>
      <c r="I22" s="560" t="s">
        <v>186</v>
      </c>
      <c r="J22" s="546" t="s">
        <v>200</v>
      </c>
      <c r="K22" s="318"/>
      <c r="L22" s="318"/>
      <c r="M22" s="318"/>
      <c r="N22" s="318"/>
      <c r="O22" s="318"/>
      <c r="P22" s="318"/>
      <c r="Q22" s="318"/>
      <c r="R22" s="318"/>
      <c r="S22" s="318"/>
      <c r="T22" s="318"/>
      <c r="U22" s="318"/>
      <c r="V22" s="318"/>
      <c r="W22" s="318"/>
      <c r="X22" s="318"/>
      <c r="Y22" s="318"/>
      <c r="Z22" s="318"/>
      <c r="AA22" s="318"/>
      <c r="AB22" s="318"/>
      <c r="AC22" s="318"/>
      <c r="AD22" s="318"/>
      <c r="AE22" s="318"/>
      <c r="AF22" s="318"/>
      <c r="AG22" s="318"/>
      <c r="AH22" s="318"/>
      <c r="AI22" s="318"/>
    </row>
    <row r="23" spans="1:35" s="323" customFormat="1" ht="85.8" customHeight="1" x14ac:dyDescent="0.25">
      <c r="A23" s="548" t="s">
        <v>53</v>
      </c>
      <c r="B23" s="549" t="s">
        <v>228</v>
      </c>
      <c r="C23" s="550"/>
      <c r="D23" s="551"/>
      <c r="E23" s="552"/>
      <c r="F23" s="550"/>
      <c r="G23" s="550"/>
      <c r="H23" s="557"/>
      <c r="I23" s="559" t="s">
        <v>207</v>
      </c>
      <c r="J23" s="546" t="s">
        <v>208</v>
      </c>
      <c r="K23" s="318"/>
      <c r="L23" s="318"/>
      <c r="M23" s="318"/>
      <c r="N23" s="318"/>
      <c r="O23" s="318"/>
      <c r="P23" s="318"/>
      <c r="Q23" s="318"/>
      <c r="R23" s="318"/>
      <c r="S23" s="318"/>
      <c r="T23" s="318"/>
      <c r="U23" s="318"/>
      <c r="V23" s="318"/>
      <c r="W23" s="318"/>
      <c r="X23" s="318"/>
      <c r="Y23" s="318"/>
      <c r="Z23" s="318"/>
      <c r="AA23" s="318"/>
      <c r="AB23" s="318"/>
      <c r="AC23" s="318"/>
      <c r="AD23" s="318"/>
      <c r="AE23" s="318"/>
      <c r="AF23" s="318"/>
      <c r="AG23" s="318"/>
      <c r="AH23" s="318"/>
      <c r="AI23" s="318"/>
    </row>
    <row r="24" spans="1:35" s="323" customFormat="1" ht="52.8" customHeight="1" x14ac:dyDescent="0.25">
      <c r="A24" s="548" t="s">
        <v>69</v>
      </c>
      <c r="B24" s="538" t="s">
        <v>229</v>
      </c>
      <c r="C24" s="539"/>
      <c r="D24" s="553"/>
      <c r="E24" s="542"/>
      <c r="F24" s="539"/>
      <c r="G24" s="541"/>
      <c r="H24" s="554"/>
      <c r="I24" s="560" t="s">
        <v>187</v>
      </c>
      <c r="J24" s="546" t="s">
        <v>209</v>
      </c>
      <c r="K24" s="318"/>
      <c r="L24" s="318"/>
      <c r="M24" s="318"/>
      <c r="N24" s="318"/>
      <c r="O24" s="318"/>
      <c r="P24" s="318"/>
      <c r="Q24" s="318"/>
      <c r="R24" s="318"/>
      <c r="S24" s="318"/>
      <c r="T24" s="318"/>
      <c r="U24" s="318"/>
      <c r="V24" s="318"/>
      <c r="W24" s="318"/>
      <c r="X24" s="318"/>
      <c r="Y24" s="318"/>
      <c r="Z24" s="318"/>
      <c r="AA24" s="318"/>
      <c r="AB24" s="318"/>
      <c r="AC24" s="318"/>
      <c r="AD24" s="318"/>
      <c r="AE24" s="318"/>
      <c r="AF24" s="318"/>
      <c r="AG24" s="318"/>
      <c r="AH24" s="318"/>
      <c r="AI24" s="318"/>
    </row>
    <row r="25" spans="1:35" s="323" customFormat="1" ht="52.2" customHeight="1" x14ac:dyDescent="0.25">
      <c r="A25" s="548" t="s">
        <v>70</v>
      </c>
      <c r="B25" s="544" t="s">
        <v>230</v>
      </c>
      <c r="C25" s="555"/>
      <c r="D25" s="539"/>
      <c r="E25" s="540"/>
      <c r="F25" s="545"/>
      <c r="G25" s="539"/>
      <c r="H25" s="554"/>
      <c r="I25" s="559" t="s">
        <v>192</v>
      </c>
      <c r="J25" s="546" t="s">
        <v>202</v>
      </c>
      <c r="K25" s="318"/>
      <c r="L25" s="318"/>
      <c r="M25" s="318"/>
      <c r="N25" s="318"/>
      <c r="O25" s="318"/>
      <c r="P25" s="318"/>
      <c r="Q25" s="318"/>
      <c r="R25" s="318"/>
      <c r="S25" s="318"/>
      <c r="T25" s="318"/>
      <c r="U25" s="318"/>
      <c r="V25" s="318"/>
      <c r="W25" s="318"/>
      <c r="X25" s="318"/>
      <c r="Y25" s="318"/>
      <c r="Z25" s="318"/>
      <c r="AA25" s="318"/>
      <c r="AB25" s="318"/>
      <c r="AC25" s="318"/>
      <c r="AD25" s="318"/>
      <c r="AE25" s="318"/>
      <c r="AF25" s="318"/>
      <c r="AG25" s="318"/>
      <c r="AH25" s="318"/>
      <c r="AI25" s="318"/>
    </row>
    <row r="26" spans="1:35" s="323" customFormat="1" ht="85.8" customHeight="1" x14ac:dyDescent="0.25">
      <c r="A26" s="548" t="s">
        <v>53</v>
      </c>
      <c r="B26" s="549" t="s">
        <v>231</v>
      </c>
      <c r="C26" s="550"/>
      <c r="D26" s="551"/>
      <c r="E26" s="552"/>
      <c r="F26" s="550"/>
      <c r="G26" s="550"/>
      <c r="H26" s="557"/>
      <c r="I26" s="559" t="s">
        <v>207</v>
      </c>
      <c r="J26" s="546" t="s">
        <v>208</v>
      </c>
      <c r="K26" s="318"/>
      <c r="L26" s="318"/>
      <c r="M26" s="318"/>
      <c r="N26" s="318"/>
      <c r="O26" s="318"/>
      <c r="P26" s="318"/>
      <c r="Q26" s="318"/>
      <c r="R26" s="318"/>
      <c r="S26" s="318"/>
      <c r="T26" s="318"/>
      <c r="U26" s="318"/>
      <c r="V26" s="318"/>
      <c r="W26" s="318"/>
      <c r="X26" s="318"/>
      <c r="Y26" s="318"/>
      <c r="Z26" s="318"/>
      <c r="AA26" s="318"/>
      <c r="AB26" s="318"/>
      <c r="AC26" s="318"/>
      <c r="AD26" s="318"/>
      <c r="AE26" s="318"/>
      <c r="AF26" s="318"/>
      <c r="AG26" s="318"/>
      <c r="AH26" s="318"/>
      <c r="AI26" s="318"/>
    </row>
    <row r="27" spans="1:35" s="323" customFormat="1" ht="52.8" customHeight="1" x14ac:dyDescent="0.25">
      <c r="A27" s="548" t="s">
        <v>69</v>
      </c>
      <c r="B27" s="538"/>
      <c r="C27" s="539"/>
      <c r="D27" s="553"/>
      <c r="E27" s="542"/>
      <c r="F27" s="539"/>
      <c r="G27" s="541"/>
      <c r="H27" s="554"/>
      <c r="I27" s="560" t="s">
        <v>187</v>
      </c>
      <c r="J27" s="546" t="s">
        <v>209</v>
      </c>
      <c r="K27" s="318"/>
      <c r="L27" s="318"/>
      <c r="M27" s="318"/>
      <c r="N27" s="318"/>
      <c r="O27" s="318"/>
      <c r="P27" s="318"/>
      <c r="Q27" s="318"/>
      <c r="R27" s="318"/>
      <c r="S27" s="318"/>
      <c r="T27" s="318"/>
      <c r="U27" s="318"/>
      <c r="V27" s="318"/>
      <c r="W27" s="318"/>
      <c r="X27" s="318"/>
      <c r="Y27" s="318"/>
      <c r="Z27" s="318"/>
      <c r="AA27" s="318"/>
      <c r="AB27" s="318"/>
      <c r="AC27" s="318"/>
      <c r="AD27" s="318"/>
      <c r="AE27" s="318"/>
      <c r="AF27" s="318"/>
      <c r="AG27" s="318"/>
      <c r="AH27" s="318"/>
      <c r="AI27" s="318"/>
    </row>
    <row r="28" spans="1:35" s="323" customFormat="1" ht="52.2" customHeight="1" x14ac:dyDescent="0.25">
      <c r="A28" s="548" t="s">
        <v>70</v>
      </c>
      <c r="B28" s="544"/>
      <c r="C28" s="555"/>
      <c r="D28" s="539"/>
      <c r="E28" s="540"/>
      <c r="F28" s="545"/>
      <c r="G28" s="539"/>
      <c r="H28" s="554"/>
      <c r="I28" s="559" t="s">
        <v>192</v>
      </c>
      <c r="J28" s="546" t="s">
        <v>202</v>
      </c>
      <c r="K28" s="318"/>
      <c r="L28" s="318"/>
      <c r="M28" s="318"/>
      <c r="N28" s="318"/>
      <c r="O28" s="318"/>
      <c r="P28" s="318"/>
      <c r="Q28" s="318"/>
      <c r="R28" s="318"/>
      <c r="S28" s="318"/>
      <c r="T28" s="318"/>
      <c r="U28" s="318"/>
      <c r="V28" s="318"/>
      <c r="W28" s="318"/>
      <c r="X28" s="318"/>
      <c r="Y28" s="318"/>
      <c r="Z28" s="318"/>
      <c r="AA28" s="318"/>
      <c r="AB28" s="318"/>
      <c r="AC28" s="318"/>
      <c r="AD28" s="318"/>
      <c r="AE28" s="318"/>
      <c r="AF28" s="318"/>
      <c r="AG28" s="318"/>
      <c r="AH28" s="318"/>
      <c r="AI28" s="318"/>
    </row>
    <row r="29" spans="1:35" s="323" customFormat="1" ht="45" customHeight="1" x14ac:dyDescent="0.25">
      <c r="A29" s="548" t="s">
        <v>71</v>
      </c>
      <c r="B29" s="544"/>
      <c r="C29" s="555"/>
      <c r="D29" s="539"/>
      <c r="E29" s="540"/>
      <c r="F29" s="545"/>
      <c r="G29" s="539"/>
      <c r="H29" s="543"/>
      <c r="I29" s="560" t="s">
        <v>186</v>
      </c>
      <c r="J29" s="546" t="s">
        <v>200</v>
      </c>
      <c r="K29" s="318"/>
      <c r="L29" s="318"/>
      <c r="M29" s="318"/>
      <c r="N29" s="318"/>
      <c r="O29" s="318"/>
      <c r="P29" s="318"/>
      <c r="Q29" s="318"/>
      <c r="R29" s="318"/>
      <c r="S29" s="318"/>
      <c r="T29" s="318"/>
      <c r="U29" s="318"/>
      <c r="V29" s="318"/>
      <c r="W29" s="318"/>
      <c r="X29" s="318"/>
      <c r="Y29" s="318"/>
      <c r="Z29" s="318"/>
      <c r="AA29" s="318"/>
      <c r="AB29" s="318"/>
      <c r="AC29" s="318"/>
      <c r="AD29" s="318"/>
      <c r="AE29" s="318"/>
      <c r="AF29" s="318"/>
      <c r="AG29" s="318"/>
      <c r="AH29" s="318"/>
      <c r="AI29" s="318"/>
    </row>
    <row r="30" spans="1:35" s="323" customFormat="1" ht="85.8" customHeight="1" x14ac:dyDescent="0.25">
      <c r="A30" s="548" t="s">
        <v>53</v>
      </c>
      <c r="B30" s="549"/>
      <c r="C30" s="550"/>
      <c r="D30" s="551"/>
      <c r="E30" s="552"/>
      <c r="F30" s="550"/>
      <c r="G30" s="550"/>
      <c r="H30" s="557"/>
      <c r="I30" s="559" t="s">
        <v>207</v>
      </c>
      <c r="J30" s="546" t="s">
        <v>208</v>
      </c>
      <c r="K30" s="318"/>
      <c r="L30" s="318"/>
      <c r="M30" s="318"/>
      <c r="N30" s="318"/>
      <c r="O30" s="318"/>
      <c r="P30" s="318"/>
      <c r="Q30" s="318"/>
      <c r="R30" s="318"/>
      <c r="S30" s="318"/>
      <c r="T30" s="318"/>
      <c r="U30" s="318"/>
      <c r="V30" s="318"/>
      <c r="W30" s="318"/>
      <c r="X30" s="318"/>
      <c r="Y30" s="318"/>
      <c r="Z30" s="318"/>
      <c r="AA30" s="318"/>
      <c r="AB30" s="318"/>
      <c r="AC30" s="318"/>
      <c r="AD30" s="318"/>
      <c r="AE30" s="318"/>
      <c r="AF30" s="318"/>
      <c r="AG30" s="318"/>
      <c r="AH30" s="318"/>
      <c r="AI30" s="318"/>
    </row>
    <row r="31" spans="1:35" s="323" customFormat="1" ht="52.8" customHeight="1" x14ac:dyDescent="0.25">
      <c r="A31" s="548" t="s">
        <v>69</v>
      </c>
      <c r="B31" s="538"/>
      <c r="C31" s="539"/>
      <c r="D31" s="553"/>
      <c r="E31" s="542"/>
      <c r="F31" s="539"/>
      <c r="G31" s="541"/>
      <c r="H31" s="554"/>
      <c r="I31" s="560" t="s">
        <v>187</v>
      </c>
      <c r="J31" s="546" t="s">
        <v>209</v>
      </c>
      <c r="K31" s="318"/>
      <c r="L31" s="318"/>
      <c r="M31" s="318"/>
      <c r="N31" s="318"/>
      <c r="O31" s="318"/>
      <c r="P31" s="318"/>
      <c r="Q31" s="318"/>
      <c r="R31" s="318"/>
      <c r="S31" s="318"/>
      <c r="T31" s="318"/>
      <c r="U31" s="318"/>
      <c r="V31" s="318"/>
      <c r="W31" s="318"/>
      <c r="X31" s="318"/>
      <c r="Y31" s="318"/>
      <c r="Z31" s="318"/>
      <c r="AA31" s="318"/>
      <c r="AB31" s="318"/>
      <c r="AC31" s="318"/>
      <c r="AD31" s="318"/>
      <c r="AE31" s="318"/>
      <c r="AF31" s="318"/>
      <c r="AG31" s="318"/>
      <c r="AH31" s="318"/>
      <c r="AI31" s="318"/>
    </row>
    <row r="32" spans="1:35" s="323" customFormat="1" ht="52.2" customHeight="1" x14ac:dyDescent="0.25">
      <c r="A32" s="548" t="s">
        <v>70</v>
      </c>
      <c r="B32" s="544"/>
      <c r="C32" s="555"/>
      <c r="D32" s="539"/>
      <c r="E32" s="540"/>
      <c r="F32" s="545"/>
      <c r="G32" s="539"/>
      <c r="H32" s="554"/>
      <c r="I32" s="559" t="s">
        <v>192</v>
      </c>
      <c r="J32" s="546" t="s">
        <v>202</v>
      </c>
      <c r="K32" s="318"/>
      <c r="L32" s="318"/>
      <c r="M32" s="318"/>
      <c r="N32" s="318"/>
      <c r="O32" s="318"/>
      <c r="P32" s="318"/>
      <c r="Q32" s="318"/>
      <c r="R32" s="318"/>
      <c r="S32" s="318"/>
      <c r="T32" s="318"/>
      <c r="U32" s="318"/>
      <c r="V32" s="318"/>
      <c r="W32" s="318"/>
      <c r="X32" s="318"/>
      <c r="Y32" s="318"/>
      <c r="Z32" s="318"/>
      <c r="AA32" s="318"/>
      <c r="AB32" s="318"/>
      <c r="AC32" s="318"/>
      <c r="AD32" s="318"/>
      <c r="AE32" s="318"/>
      <c r="AF32" s="318"/>
      <c r="AG32" s="318"/>
      <c r="AH32" s="318"/>
      <c r="AI32" s="318"/>
    </row>
    <row r="33" spans="1:35" s="323" customFormat="1" ht="45" customHeight="1" x14ac:dyDescent="0.25">
      <c r="A33" s="548" t="s">
        <v>71</v>
      </c>
      <c r="B33" s="544"/>
      <c r="C33" s="555"/>
      <c r="D33" s="539"/>
      <c r="E33" s="540"/>
      <c r="F33" s="545"/>
      <c r="G33" s="539"/>
      <c r="H33" s="543"/>
      <c r="I33" s="560" t="s">
        <v>186</v>
      </c>
      <c r="J33" s="546" t="s">
        <v>200</v>
      </c>
      <c r="K33" s="318"/>
      <c r="L33" s="318"/>
      <c r="M33" s="318"/>
      <c r="N33" s="318"/>
      <c r="O33" s="318"/>
      <c r="P33" s="318"/>
      <c r="Q33" s="318"/>
      <c r="R33" s="318"/>
      <c r="S33" s="318"/>
      <c r="T33" s="318"/>
      <c r="U33" s="318"/>
      <c r="V33" s="318"/>
      <c r="W33" s="318"/>
      <c r="X33" s="318"/>
      <c r="Y33" s="318"/>
      <c r="Z33" s="318"/>
      <c r="AA33" s="318"/>
      <c r="AB33" s="318"/>
      <c r="AC33" s="318"/>
      <c r="AD33" s="318"/>
      <c r="AE33" s="318"/>
      <c r="AF33" s="318"/>
      <c r="AG33" s="318"/>
      <c r="AH33" s="318"/>
      <c r="AI33" s="318"/>
    </row>
    <row r="34" spans="1:35" s="323" customFormat="1" ht="39" customHeight="1" x14ac:dyDescent="0.25">
      <c r="A34" s="548" t="s">
        <v>72</v>
      </c>
      <c r="B34" s="544"/>
      <c r="C34" s="555"/>
      <c r="D34" s="539"/>
      <c r="E34" s="540"/>
      <c r="F34" s="545"/>
      <c r="G34" s="539"/>
      <c r="H34" s="556"/>
      <c r="I34" s="561" t="s">
        <v>195</v>
      </c>
      <c r="J34" s="546" t="s">
        <v>201</v>
      </c>
      <c r="K34" s="318"/>
      <c r="L34" s="318"/>
      <c r="M34" s="318"/>
      <c r="N34" s="318"/>
      <c r="O34" s="318"/>
      <c r="P34" s="318"/>
      <c r="Q34" s="318"/>
      <c r="R34" s="318"/>
      <c r="S34" s="318"/>
      <c r="T34" s="318"/>
      <c r="U34" s="318"/>
      <c r="V34" s="318"/>
      <c r="W34" s="318"/>
      <c r="X34" s="318"/>
      <c r="Y34" s="318"/>
      <c r="Z34" s="318"/>
      <c r="AA34" s="318"/>
      <c r="AB34" s="318"/>
      <c r="AC34" s="318"/>
      <c r="AD34" s="318"/>
      <c r="AE34" s="318"/>
      <c r="AF34" s="318"/>
      <c r="AG34" s="318"/>
      <c r="AH34" s="318"/>
      <c r="AI34" s="318"/>
    </row>
    <row r="35" spans="1:35" s="324" customFormat="1" ht="22.8" customHeight="1" x14ac:dyDescent="0.25">
      <c r="A35" s="533"/>
      <c r="B35" s="533" t="s">
        <v>47</v>
      </c>
      <c r="C35" s="534">
        <f>SUM(C5:C34)</f>
        <v>0</v>
      </c>
      <c r="D35" s="534">
        <f>SUM(D5:D34)</f>
        <v>0</v>
      </c>
      <c r="E35" s="534">
        <f>SUM(E5:E34)</f>
        <v>0</v>
      </c>
      <c r="F35" s="534"/>
      <c r="G35" s="534"/>
      <c r="H35" s="534"/>
      <c r="I35" s="558"/>
      <c r="J35" s="498"/>
    </row>
    <row r="36" spans="1:35" ht="19.8" customHeight="1" x14ac:dyDescent="0.25">
      <c r="C36" s="339"/>
      <c r="D36" s="339"/>
      <c r="E36" s="339"/>
      <c r="F36" s="339"/>
      <c r="G36" s="339"/>
      <c r="H36" s="339"/>
    </row>
    <row r="37" spans="1:35" x14ac:dyDescent="0.25">
      <c r="C37" s="339"/>
      <c r="D37" s="339"/>
      <c r="E37" s="339"/>
      <c r="F37" s="339"/>
      <c r="G37" s="339"/>
      <c r="H37" s="339"/>
    </row>
    <row r="38" spans="1:35" x14ac:dyDescent="0.25">
      <c r="C38" s="339"/>
      <c r="D38" s="339"/>
      <c r="E38" s="339"/>
      <c r="F38" s="339"/>
      <c r="G38" s="339"/>
      <c r="H38" s="339"/>
    </row>
    <row r="39" spans="1:35" x14ac:dyDescent="0.25">
      <c r="C39" s="339"/>
      <c r="D39" s="339"/>
      <c r="E39" s="339"/>
      <c r="F39" s="339"/>
      <c r="G39" s="339"/>
      <c r="H39" s="339"/>
    </row>
  </sheetData>
  <mergeCells count="10">
    <mergeCell ref="A1:H2"/>
    <mergeCell ref="I2:J2"/>
    <mergeCell ref="A3:A4"/>
    <mergeCell ref="B3:B4"/>
    <mergeCell ref="C3:C4"/>
    <mergeCell ref="D3:D4"/>
    <mergeCell ref="E3:E4"/>
    <mergeCell ref="F3:F4"/>
    <mergeCell ref="G3:G4"/>
    <mergeCell ref="H3:H4"/>
  </mergeCells>
  <pageMargins left="3.937007874015748E-2" right="0.23622047244094491" top="0.74803149606299213" bottom="0.74803149606299213" header="0.31496062992125984" footer="0.31496062992125984"/>
  <pageSetup paperSize="9" scale="54" fitToHeight="0" orientation="landscape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AF97"/>
  <sheetViews>
    <sheetView showWhiteSpace="0" topLeftCell="A27" zoomScale="99" zoomScaleNormal="99" zoomScaleSheetLayoutView="80" workbookViewId="0">
      <pane xSplit="2" topLeftCell="M1" activePane="topRight" state="frozen"/>
      <selection activeCell="B1" sqref="B1"/>
      <selection pane="topRight" activeCell="Z66" sqref="Z66"/>
    </sheetView>
  </sheetViews>
  <sheetFormatPr defaultColWidth="9.109375" defaultRowHeight="12" outlineLevelCol="1" x14ac:dyDescent="0.25"/>
  <cols>
    <col min="1" max="1" width="5.6640625" style="308" customWidth="1"/>
    <col min="2" max="2" width="35.6640625" style="308" customWidth="1"/>
    <col min="3" max="3" width="6.44140625" style="341" customWidth="1" outlineLevel="1"/>
    <col min="4" max="4" width="17.44140625" style="342" customWidth="1" outlineLevel="1"/>
    <col min="5" max="5" width="25.6640625" style="311" hidden="1" customWidth="1"/>
    <col min="6" max="6" width="5.6640625" style="343" customWidth="1" outlineLevel="1"/>
    <col min="7" max="7" width="16.6640625" style="343" customWidth="1" outlineLevel="1"/>
    <col min="8" max="8" width="5.44140625" style="343" customWidth="1" outlineLevel="1"/>
    <col min="9" max="9" width="16.6640625" style="343" customWidth="1" outlineLevel="1"/>
    <col min="10" max="10" width="6.44140625" style="343" customWidth="1" outlineLevel="1"/>
    <col min="11" max="11" width="14.5546875" style="343" customWidth="1" outlineLevel="1"/>
    <col min="12" max="12" width="5.6640625" style="343" customWidth="1" outlineLevel="1"/>
    <col min="13" max="13" width="14" style="343" customWidth="1" outlineLevel="1"/>
    <col min="14" max="14" width="7.109375" style="343" customWidth="1" outlineLevel="1"/>
    <col min="15" max="15" width="13.88671875" style="343" customWidth="1" outlineLevel="1"/>
    <col min="16" max="16" width="6.33203125" style="343" customWidth="1" outlineLevel="1"/>
    <col min="17" max="17" width="14.109375" style="343" customWidth="1" outlineLevel="1"/>
    <col min="18" max="18" width="5.6640625" style="343" customWidth="1" outlineLevel="1"/>
    <col min="19" max="19" width="12.33203125" style="343" customWidth="1" outlineLevel="1"/>
    <col min="20" max="20" width="5.33203125" style="343" customWidth="1" outlineLevel="1"/>
    <col min="21" max="21" width="11.44140625" style="343" customWidth="1" outlineLevel="1"/>
    <col min="22" max="22" width="13.33203125" style="343" customWidth="1" outlineLevel="1"/>
    <col min="23" max="24" width="11.33203125" style="343" customWidth="1" outlineLevel="1"/>
    <col min="25" max="25" width="7.33203125" style="307" customWidth="1"/>
    <col min="26" max="26" width="13.33203125" style="307" customWidth="1"/>
    <col min="27" max="27" width="16.44140625" style="307" customWidth="1"/>
    <col min="28" max="28" width="13.33203125" style="308" customWidth="1"/>
    <col min="29" max="29" width="13.5546875" style="308" customWidth="1"/>
    <col min="30" max="30" width="13.33203125" style="308" customWidth="1"/>
    <col min="31" max="31" width="9.109375" style="308"/>
    <col min="32" max="32" width="13.33203125" style="308" bestFit="1" customWidth="1"/>
    <col min="33" max="16384" width="9.109375" style="308"/>
  </cols>
  <sheetData>
    <row r="2" spans="1:30" ht="15" customHeight="1" x14ac:dyDescent="0.25">
      <c r="A2" s="900" t="s">
        <v>149</v>
      </c>
      <c r="B2" s="900"/>
      <c r="C2" s="900"/>
      <c r="D2" s="900"/>
      <c r="E2" s="900"/>
      <c r="F2" s="900"/>
      <c r="G2" s="900"/>
      <c r="H2" s="900"/>
      <c r="I2" s="900"/>
      <c r="J2" s="900"/>
      <c r="K2" s="900"/>
      <c r="L2" s="900"/>
      <c r="M2" s="900"/>
      <c r="N2" s="900"/>
      <c r="O2" s="900"/>
      <c r="P2" s="900"/>
      <c r="Q2" s="900"/>
      <c r="R2" s="900"/>
      <c r="S2" s="900"/>
      <c r="T2" s="900"/>
      <c r="U2" s="900"/>
      <c r="V2" s="900"/>
      <c r="W2" s="900"/>
      <c r="X2" s="900"/>
      <c r="Y2" s="900"/>
      <c r="Z2" s="309"/>
      <c r="AA2" s="309"/>
    </row>
    <row r="3" spans="1:30" ht="15" customHeight="1" x14ac:dyDescent="0.25">
      <c r="A3" s="309"/>
      <c r="B3" s="309"/>
      <c r="C3" s="309"/>
      <c r="D3" s="310"/>
      <c r="F3" s="312"/>
      <c r="G3" s="312"/>
      <c r="H3" s="312"/>
      <c r="I3" s="312"/>
      <c r="J3" s="312"/>
      <c r="K3" s="312"/>
      <c r="L3" s="312"/>
      <c r="M3" s="312"/>
      <c r="N3" s="312"/>
      <c r="O3" s="312"/>
      <c r="P3" s="312"/>
      <c r="Q3" s="312"/>
      <c r="R3" s="312"/>
      <c r="S3" s="312"/>
      <c r="T3" s="312"/>
      <c r="U3" s="312"/>
      <c r="V3" s="312"/>
      <c r="W3" s="312"/>
      <c r="X3" s="312"/>
      <c r="Y3" s="313"/>
      <c r="Z3" s="313"/>
      <c r="AA3" s="313"/>
    </row>
    <row r="4" spans="1:30" ht="39.6" customHeight="1" x14ac:dyDescent="0.25">
      <c r="A4" s="901" t="s">
        <v>118</v>
      </c>
      <c r="B4" s="904" t="s">
        <v>2</v>
      </c>
      <c r="C4" s="906" t="s">
        <v>119</v>
      </c>
      <c r="D4" s="907"/>
      <c r="E4" s="910" t="s">
        <v>120</v>
      </c>
      <c r="F4" s="898" t="s">
        <v>121</v>
      </c>
      <c r="G4" s="913"/>
      <c r="H4" s="913"/>
      <c r="I4" s="913"/>
      <c r="J4" s="913"/>
      <c r="K4" s="913"/>
      <c r="L4" s="913"/>
      <c r="M4" s="913"/>
      <c r="N4" s="913"/>
      <c r="O4" s="913"/>
      <c r="P4" s="913"/>
      <c r="Q4" s="913"/>
      <c r="R4" s="913"/>
      <c r="S4" s="913"/>
      <c r="T4" s="913"/>
      <c r="U4" s="913"/>
      <c r="V4" s="913"/>
      <c r="W4" s="899"/>
      <c r="X4" s="512"/>
      <c r="Y4" s="906" t="s">
        <v>122</v>
      </c>
      <c r="Z4" s="914"/>
      <c r="AA4" s="907"/>
      <c r="AB4" s="892" t="s">
        <v>123</v>
      </c>
      <c r="AC4" s="893"/>
      <c r="AD4" s="894"/>
    </row>
    <row r="5" spans="1:30" ht="15.45" customHeight="1" x14ac:dyDescent="0.25">
      <c r="A5" s="902"/>
      <c r="B5" s="884"/>
      <c r="C5" s="908"/>
      <c r="D5" s="909"/>
      <c r="E5" s="911"/>
      <c r="F5" s="898" t="s">
        <v>143</v>
      </c>
      <c r="G5" s="899"/>
      <c r="H5" s="898" t="s">
        <v>144</v>
      </c>
      <c r="I5" s="899"/>
      <c r="J5" s="898" t="s">
        <v>145</v>
      </c>
      <c r="K5" s="899"/>
      <c r="L5" s="898" t="s">
        <v>156</v>
      </c>
      <c r="M5" s="899"/>
      <c r="N5" s="898" t="s">
        <v>155</v>
      </c>
      <c r="O5" s="899"/>
      <c r="P5" s="898" t="s">
        <v>159</v>
      </c>
      <c r="Q5" s="899"/>
      <c r="R5" s="898" t="s">
        <v>166</v>
      </c>
      <c r="S5" s="899"/>
      <c r="T5" s="898"/>
      <c r="U5" s="899"/>
      <c r="V5" s="898"/>
      <c r="W5" s="899"/>
      <c r="X5" s="513"/>
      <c r="Y5" s="908"/>
      <c r="Z5" s="915"/>
      <c r="AA5" s="909"/>
      <c r="AB5" s="895"/>
      <c r="AC5" s="896"/>
      <c r="AD5" s="897"/>
    </row>
    <row r="6" spans="1:30" ht="27.75" customHeight="1" x14ac:dyDescent="0.25">
      <c r="A6" s="903"/>
      <c r="B6" s="905"/>
      <c r="C6" s="314" t="s">
        <v>124</v>
      </c>
      <c r="D6" s="315" t="s">
        <v>125</v>
      </c>
      <c r="E6" s="912"/>
      <c r="F6" s="314" t="s">
        <v>126</v>
      </c>
      <c r="G6" s="314" t="s">
        <v>127</v>
      </c>
      <c r="H6" s="314" t="s">
        <v>126</v>
      </c>
      <c r="I6" s="314" t="s">
        <v>127</v>
      </c>
      <c r="J6" s="314" t="s">
        <v>126</v>
      </c>
      <c r="K6" s="314" t="s">
        <v>127</v>
      </c>
      <c r="L6" s="314" t="s">
        <v>126</v>
      </c>
      <c r="M6" s="314" t="s">
        <v>127</v>
      </c>
      <c r="N6" s="314" t="s">
        <v>126</v>
      </c>
      <c r="O6" s="314" t="s">
        <v>127</v>
      </c>
      <c r="P6" s="314" t="s">
        <v>126</v>
      </c>
      <c r="Q6" s="314" t="s">
        <v>127</v>
      </c>
      <c r="R6" s="314" t="s">
        <v>126</v>
      </c>
      <c r="S6" s="314" t="s">
        <v>127</v>
      </c>
      <c r="T6" s="314" t="s">
        <v>126</v>
      </c>
      <c r="U6" s="314" t="s">
        <v>127</v>
      </c>
      <c r="V6" s="314" t="s">
        <v>126</v>
      </c>
      <c r="W6" s="314" t="s">
        <v>127</v>
      </c>
      <c r="X6" s="314"/>
      <c r="Y6" s="314" t="s">
        <v>128</v>
      </c>
      <c r="Z6" s="314" t="s">
        <v>127</v>
      </c>
      <c r="AA6" s="314" t="s">
        <v>129</v>
      </c>
      <c r="AB6" s="316" t="s">
        <v>16</v>
      </c>
      <c r="AC6" s="317" t="s">
        <v>25</v>
      </c>
      <c r="AD6" s="317" t="s">
        <v>15</v>
      </c>
    </row>
    <row r="7" spans="1:30" s="318" customFormat="1" ht="12.6" thickBot="1" x14ac:dyDescent="0.3">
      <c r="A7" s="459">
        <v>1</v>
      </c>
      <c r="B7" s="460">
        <v>2</v>
      </c>
      <c r="C7" s="461">
        <v>3</v>
      </c>
      <c r="D7" s="462">
        <v>4</v>
      </c>
      <c r="E7" s="461">
        <v>5</v>
      </c>
      <c r="F7" s="462">
        <v>8</v>
      </c>
      <c r="G7" s="462">
        <v>9</v>
      </c>
      <c r="H7" s="462"/>
      <c r="I7" s="462"/>
      <c r="J7" s="462"/>
      <c r="K7" s="462"/>
      <c r="L7" s="462"/>
      <c r="M7" s="462"/>
      <c r="N7" s="462"/>
      <c r="O7" s="462"/>
      <c r="P7" s="462"/>
      <c r="Q7" s="462"/>
      <c r="R7" s="462"/>
      <c r="S7" s="462"/>
      <c r="T7" s="462"/>
      <c r="U7" s="462"/>
      <c r="V7" s="462"/>
      <c r="W7" s="462"/>
      <c r="X7" s="462"/>
      <c r="Y7" s="463">
        <v>10</v>
      </c>
      <c r="Z7" s="463">
        <v>11</v>
      </c>
      <c r="AA7" s="461">
        <v>12</v>
      </c>
      <c r="AB7" s="461">
        <v>19</v>
      </c>
      <c r="AC7" s="461">
        <v>20</v>
      </c>
      <c r="AD7" s="461">
        <v>21</v>
      </c>
    </row>
    <row r="8" spans="1:30" s="323" customFormat="1" ht="12" customHeight="1" x14ac:dyDescent="0.25">
      <c r="A8" s="874">
        <v>1</v>
      </c>
      <c r="B8" s="889" t="s">
        <v>95</v>
      </c>
      <c r="C8" s="866" t="s">
        <v>53</v>
      </c>
      <c r="D8" s="868">
        <v>9670800</v>
      </c>
      <c r="E8" s="391" t="s">
        <v>130</v>
      </c>
      <c r="F8" s="392" t="s">
        <v>53</v>
      </c>
      <c r="G8" s="464">
        <f>288379.22</f>
        <v>288379.21999999997</v>
      </c>
      <c r="H8" s="392"/>
      <c r="I8" s="392"/>
      <c r="J8" s="392"/>
      <c r="K8" s="392"/>
      <c r="L8" s="392"/>
      <c r="M8" s="392"/>
      <c r="N8" s="392"/>
      <c r="O8" s="392"/>
      <c r="P8" s="392"/>
      <c r="Q8" s="392"/>
      <c r="R8" s="392"/>
      <c r="S8" s="392"/>
      <c r="T8" s="392"/>
      <c r="U8" s="392"/>
      <c r="V8" s="392"/>
      <c r="W8" s="392"/>
      <c r="X8" s="392"/>
      <c r="Y8" s="465">
        <v>1</v>
      </c>
      <c r="Z8" s="466">
        <v>288379.21999999997</v>
      </c>
      <c r="AA8" s="871">
        <f>SUM(AB8:AB22)</f>
        <v>8579031.879999999</v>
      </c>
      <c r="AB8" s="467">
        <v>288379.21999999997</v>
      </c>
      <c r="AC8" s="468">
        <v>279386.06</v>
      </c>
      <c r="AD8" s="395">
        <v>8993.16</v>
      </c>
    </row>
    <row r="9" spans="1:30" s="323" customFormat="1" ht="13.8" x14ac:dyDescent="0.25">
      <c r="A9" s="887"/>
      <c r="B9" s="890"/>
      <c r="C9" s="867"/>
      <c r="D9" s="869"/>
      <c r="E9" s="319" t="s">
        <v>131</v>
      </c>
      <c r="F9" s="320" t="s">
        <v>69</v>
      </c>
      <c r="G9" s="344">
        <v>193609.49</v>
      </c>
      <c r="H9" s="320"/>
      <c r="I9" s="320"/>
      <c r="J9" s="320"/>
      <c r="K9" s="320"/>
      <c r="L9" s="320"/>
      <c r="M9" s="320"/>
      <c r="N9" s="320"/>
      <c r="O9" s="320"/>
      <c r="P9" s="320"/>
      <c r="Q9" s="320"/>
      <c r="R9" s="320"/>
      <c r="S9" s="320"/>
      <c r="T9" s="320"/>
      <c r="U9" s="320"/>
      <c r="V9" s="320"/>
      <c r="W9" s="320"/>
      <c r="X9" s="320"/>
      <c r="Y9" s="411">
        <v>2</v>
      </c>
      <c r="Z9" s="373">
        <v>193609.49</v>
      </c>
      <c r="AA9" s="872"/>
      <c r="AB9" s="412">
        <v>193609.49</v>
      </c>
      <c r="AC9" s="322">
        <v>193609.49</v>
      </c>
      <c r="AD9" s="469">
        <v>0</v>
      </c>
    </row>
    <row r="10" spans="1:30" s="323" customFormat="1" ht="13.8" x14ac:dyDescent="0.25">
      <c r="A10" s="887"/>
      <c r="B10" s="890"/>
      <c r="C10" s="867"/>
      <c r="D10" s="869"/>
      <c r="E10" s="319" t="s">
        <v>132</v>
      </c>
      <c r="F10" s="320"/>
      <c r="G10" s="320"/>
      <c r="H10" s="320" t="s">
        <v>70</v>
      </c>
      <c r="I10" s="344">
        <v>266283.61</v>
      </c>
      <c r="J10" s="320"/>
      <c r="K10" s="320"/>
      <c r="L10" s="320"/>
      <c r="M10" s="320"/>
      <c r="N10" s="320"/>
      <c r="O10" s="320"/>
      <c r="P10" s="320"/>
      <c r="Q10" s="320"/>
      <c r="R10" s="320"/>
      <c r="S10" s="320"/>
      <c r="T10" s="320"/>
      <c r="U10" s="320"/>
      <c r="V10" s="320"/>
      <c r="W10" s="320"/>
      <c r="X10" s="320"/>
      <c r="Y10" s="411">
        <v>3</v>
      </c>
      <c r="Z10" s="373">
        <v>266283.61</v>
      </c>
      <c r="AA10" s="872"/>
      <c r="AB10" s="412">
        <v>266283.61</v>
      </c>
      <c r="AC10" s="322">
        <v>256961.43399999998</v>
      </c>
      <c r="AD10" s="469">
        <v>9322.1759999999995</v>
      </c>
    </row>
    <row r="11" spans="1:30" s="323" customFormat="1" ht="13.8" x14ac:dyDescent="0.25">
      <c r="A11" s="887"/>
      <c r="B11" s="890"/>
      <c r="C11" s="867"/>
      <c r="D11" s="869"/>
      <c r="E11" s="319" t="s">
        <v>133</v>
      </c>
      <c r="F11" s="320"/>
      <c r="G11" s="320"/>
      <c r="H11" s="320" t="s">
        <v>71</v>
      </c>
      <c r="I11" s="344">
        <v>1054954.1000000001</v>
      </c>
      <c r="J11" s="320"/>
      <c r="K11" s="320"/>
      <c r="L11" s="320"/>
      <c r="M11" s="320"/>
      <c r="N11" s="320"/>
      <c r="O11" s="320"/>
      <c r="P11" s="320"/>
      <c r="Q11" s="320"/>
      <c r="R11" s="320"/>
      <c r="S11" s="320"/>
      <c r="T11" s="320"/>
      <c r="U11" s="320"/>
      <c r="V11" s="320"/>
      <c r="W11" s="320"/>
      <c r="X11" s="320"/>
      <c r="Y11" s="411">
        <v>4</v>
      </c>
      <c r="Z11" s="373">
        <v>1054954.1000000001</v>
      </c>
      <c r="AA11" s="872"/>
      <c r="AB11" s="412">
        <f>Z11</f>
        <v>1054954.1000000001</v>
      </c>
      <c r="AC11" s="322">
        <v>1043855.2300000001</v>
      </c>
      <c r="AD11" s="469">
        <v>11098.87</v>
      </c>
    </row>
    <row r="12" spans="1:30" s="323" customFormat="1" ht="13.8" x14ac:dyDescent="0.25">
      <c r="A12" s="887"/>
      <c r="B12" s="890"/>
      <c r="C12" s="867"/>
      <c r="D12" s="869"/>
      <c r="E12" s="319" t="s">
        <v>134</v>
      </c>
      <c r="F12" s="320"/>
      <c r="G12" s="322"/>
      <c r="I12" s="345"/>
      <c r="J12" s="345" t="s">
        <v>72</v>
      </c>
      <c r="K12" s="344">
        <v>70786.210000000006</v>
      </c>
      <c r="L12" s="320"/>
      <c r="M12" s="320"/>
      <c r="N12" s="320"/>
      <c r="O12" s="320"/>
      <c r="P12" s="320"/>
      <c r="Q12" s="320"/>
      <c r="R12" s="320"/>
      <c r="S12" s="320"/>
      <c r="T12" s="320"/>
      <c r="U12" s="320"/>
      <c r="V12" s="320"/>
      <c r="W12" s="320"/>
      <c r="X12" s="320"/>
      <c r="Y12" s="411">
        <v>5</v>
      </c>
      <c r="Z12" s="373">
        <v>70786.210000000006</v>
      </c>
      <c r="AA12" s="872"/>
      <c r="AB12" s="412">
        <v>70786.210000000006</v>
      </c>
      <c r="AC12" s="346">
        <v>68044.39</v>
      </c>
      <c r="AD12" s="469">
        <v>2741.8199999999997</v>
      </c>
    </row>
    <row r="13" spans="1:30" s="323" customFormat="1" x14ac:dyDescent="0.25">
      <c r="A13" s="887"/>
      <c r="B13" s="890"/>
      <c r="C13" s="867"/>
      <c r="D13" s="869"/>
      <c r="E13" s="319"/>
      <c r="F13" s="320"/>
      <c r="G13" s="322"/>
      <c r="H13" s="345"/>
      <c r="I13" s="345"/>
      <c r="J13" s="320" t="s">
        <v>73</v>
      </c>
      <c r="K13" s="320">
        <v>862817.57</v>
      </c>
      <c r="L13" s="320"/>
      <c r="M13" s="320"/>
      <c r="N13" s="320"/>
      <c r="O13" s="320"/>
      <c r="P13" s="320"/>
      <c r="Q13" s="320"/>
      <c r="R13" s="320"/>
      <c r="S13" s="320"/>
      <c r="T13" s="320"/>
      <c r="U13" s="320"/>
      <c r="V13" s="320"/>
      <c r="W13" s="320"/>
      <c r="X13" s="320"/>
      <c r="Y13" s="372">
        <v>6</v>
      </c>
      <c r="Z13" s="373">
        <v>862817.57</v>
      </c>
      <c r="AA13" s="872"/>
      <c r="AB13" s="413">
        <v>862817.57</v>
      </c>
      <c r="AC13" s="322">
        <v>805192.25</v>
      </c>
      <c r="AD13" s="469">
        <v>57625.32</v>
      </c>
    </row>
    <row r="14" spans="1:30" s="323" customFormat="1" x14ac:dyDescent="0.25">
      <c r="A14" s="887"/>
      <c r="B14" s="890"/>
      <c r="C14" s="867"/>
      <c r="D14" s="869"/>
      <c r="E14" s="319"/>
      <c r="F14" s="320"/>
      <c r="G14" s="322"/>
      <c r="H14" s="345"/>
      <c r="I14" s="345"/>
      <c r="J14" s="320" t="s">
        <v>74</v>
      </c>
      <c r="K14" s="320">
        <v>291462.71000000002</v>
      </c>
      <c r="L14" s="320"/>
      <c r="M14" s="320"/>
      <c r="N14" s="320"/>
      <c r="O14" s="320"/>
      <c r="P14" s="320"/>
      <c r="Q14" s="320"/>
      <c r="R14" s="320"/>
      <c r="S14" s="320"/>
      <c r="T14" s="320"/>
      <c r="U14" s="320"/>
      <c r="V14" s="320"/>
      <c r="W14" s="320"/>
      <c r="X14" s="320"/>
      <c r="Y14" s="372">
        <v>7</v>
      </c>
      <c r="Z14" s="373">
        <v>291462.71000000002</v>
      </c>
      <c r="AA14" s="872"/>
      <c r="AB14" s="413">
        <v>291462.71000000002</v>
      </c>
      <c r="AC14" s="322">
        <v>280166.43</v>
      </c>
      <c r="AD14" s="469">
        <v>11296.28</v>
      </c>
    </row>
    <row r="15" spans="1:30" s="323" customFormat="1" x14ac:dyDescent="0.25">
      <c r="A15" s="887"/>
      <c r="B15" s="890"/>
      <c r="C15" s="867"/>
      <c r="D15" s="869"/>
      <c r="E15" s="319"/>
      <c r="F15" s="320"/>
      <c r="G15" s="322"/>
      <c r="H15" s="345"/>
      <c r="I15" s="345"/>
      <c r="J15" s="320" t="s">
        <v>77</v>
      </c>
      <c r="K15" s="320">
        <v>449187.01</v>
      </c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72">
        <v>8</v>
      </c>
      <c r="Z15" s="373">
        <f>K15</f>
        <v>449187.01</v>
      </c>
      <c r="AA15" s="872"/>
      <c r="AB15" s="413">
        <f>Z15</f>
        <v>449187.01</v>
      </c>
      <c r="AC15" s="322">
        <v>439722.83</v>
      </c>
      <c r="AD15" s="469">
        <v>9464.18</v>
      </c>
    </row>
    <row r="16" spans="1:30" s="323" customFormat="1" x14ac:dyDescent="0.25">
      <c r="A16" s="887"/>
      <c r="B16" s="890"/>
      <c r="C16" s="867"/>
      <c r="D16" s="869"/>
      <c r="E16" s="319"/>
      <c r="F16" s="320"/>
      <c r="G16" s="322"/>
      <c r="H16" s="345"/>
      <c r="I16" s="345"/>
      <c r="J16" s="320" t="s">
        <v>78</v>
      </c>
      <c r="K16" s="321">
        <v>603287.62</v>
      </c>
      <c r="L16" s="320"/>
      <c r="M16" s="320"/>
      <c r="N16" s="320"/>
      <c r="O16" s="320"/>
      <c r="P16" s="320"/>
      <c r="Q16" s="320"/>
      <c r="R16" s="320"/>
      <c r="S16" s="320"/>
      <c r="T16" s="320"/>
      <c r="U16" s="320"/>
      <c r="V16" s="320"/>
      <c r="W16" s="320"/>
      <c r="X16" s="320"/>
      <c r="Y16" s="372">
        <v>9</v>
      </c>
      <c r="Z16" s="373">
        <v>603287.62</v>
      </c>
      <c r="AA16" s="872"/>
      <c r="AB16" s="373">
        <v>603287.62</v>
      </c>
      <c r="AC16" s="322">
        <v>595984.13</v>
      </c>
      <c r="AD16" s="469">
        <v>7303.49</v>
      </c>
    </row>
    <row r="17" spans="1:30" s="323" customFormat="1" x14ac:dyDescent="0.25">
      <c r="A17" s="887"/>
      <c r="B17" s="890"/>
      <c r="C17" s="867"/>
      <c r="D17" s="869"/>
      <c r="E17" s="319" t="s">
        <v>135</v>
      </c>
      <c r="F17" s="345"/>
      <c r="G17" s="345"/>
      <c r="H17" s="345"/>
      <c r="I17" s="345"/>
      <c r="L17" s="320" t="s">
        <v>76</v>
      </c>
      <c r="M17" s="320">
        <v>941673.71</v>
      </c>
      <c r="N17" s="345"/>
      <c r="P17" s="320"/>
      <c r="Q17" s="320"/>
      <c r="R17" s="320"/>
      <c r="S17" s="320"/>
      <c r="T17" s="320"/>
      <c r="U17" s="320"/>
      <c r="V17" s="320"/>
      <c r="W17" s="320"/>
      <c r="X17" s="320"/>
      <c r="Y17" s="372">
        <v>10</v>
      </c>
      <c r="Z17" s="373">
        <f>M17</f>
        <v>941673.71</v>
      </c>
      <c r="AA17" s="872"/>
      <c r="AB17" s="413">
        <f>Z17</f>
        <v>941673.71</v>
      </c>
      <c r="AC17" s="322">
        <f>AB17-AD17</f>
        <v>921997.46600000001</v>
      </c>
      <c r="AD17" s="469">
        <v>19676.243999999999</v>
      </c>
    </row>
    <row r="18" spans="1:30" s="323" customFormat="1" x14ac:dyDescent="0.25">
      <c r="A18" s="887"/>
      <c r="B18" s="890"/>
      <c r="C18" s="867"/>
      <c r="D18" s="869"/>
      <c r="E18" s="319" t="s">
        <v>136</v>
      </c>
      <c r="G18" s="345"/>
      <c r="H18" s="345"/>
      <c r="I18" s="345"/>
      <c r="J18" s="320"/>
      <c r="K18" s="320"/>
      <c r="L18" s="320" t="s">
        <v>79</v>
      </c>
      <c r="M18" s="320">
        <f>Z18</f>
        <v>293363.46999999997</v>
      </c>
      <c r="N18" s="320"/>
      <c r="O18" s="320"/>
      <c r="P18" s="320"/>
      <c r="Q18" s="320"/>
      <c r="R18" s="320"/>
      <c r="S18" s="320"/>
      <c r="T18" s="320"/>
      <c r="U18" s="320"/>
      <c r="V18" s="320"/>
      <c r="W18" s="320"/>
      <c r="X18" s="320"/>
      <c r="Y18" s="372">
        <v>11</v>
      </c>
      <c r="Z18" s="373">
        <v>293363.46999999997</v>
      </c>
      <c r="AA18" s="872"/>
      <c r="AB18" s="413">
        <f>Z18</f>
        <v>293363.46999999997</v>
      </c>
      <c r="AC18" s="322">
        <v>290271.42</v>
      </c>
      <c r="AD18" s="469">
        <v>3092.05</v>
      </c>
    </row>
    <row r="19" spans="1:30" s="323" customFormat="1" x14ac:dyDescent="0.25">
      <c r="A19" s="887"/>
      <c r="B19" s="890"/>
      <c r="C19" s="867"/>
      <c r="D19" s="869"/>
      <c r="E19" s="319" t="s">
        <v>137</v>
      </c>
      <c r="F19" s="345"/>
      <c r="G19" s="345"/>
      <c r="H19" s="345"/>
      <c r="I19" s="345"/>
      <c r="J19" s="320"/>
      <c r="K19" s="320"/>
      <c r="L19" s="371" t="s">
        <v>75</v>
      </c>
      <c r="M19" s="371">
        <v>372983.72</v>
      </c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72">
        <v>12</v>
      </c>
      <c r="Z19" s="373">
        <f>M19</f>
        <v>372983.72</v>
      </c>
      <c r="AA19" s="872"/>
      <c r="AB19" s="413">
        <f>Z19</f>
        <v>372983.72</v>
      </c>
      <c r="AC19" s="322">
        <v>368468.62</v>
      </c>
      <c r="AD19" s="469">
        <v>4515.1000000000004</v>
      </c>
    </row>
    <row r="20" spans="1:30" s="323" customFormat="1" x14ac:dyDescent="0.25">
      <c r="A20" s="887"/>
      <c r="B20" s="890"/>
      <c r="C20" s="867"/>
      <c r="D20" s="869"/>
      <c r="E20" s="319" t="s">
        <v>138</v>
      </c>
      <c r="F20" s="345"/>
      <c r="G20" s="420"/>
      <c r="H20" s="345"/>
      <c r="I20" s="345"/>
      <c r="J20" s="320"/>
      <c r="K20" s="320"/>
      <c r="L20" s="320"/>
      <c r="M20" s="320"/>
      <c r="N20" s="371" t="s">
        <v>80</v>
      </c>
      <c r="O20" s="371">
        <v>354144.6</v>
      </c>
      <c r="P20" s="320"/>
      <c r="Q20" s="320"/>
      <c r="R20" s="320"/>
      <c r="S20" s="320"/>
      <c r="T20" s="320"/>
      <c r="U20" s="320"/>
      <c r="V20" s="320"/>
      <c r="W20" s="320"/>
      <c r="X20" s="320"/>
      <c r="Y20" s="371" t="s">
        <v>80</v>
      </c>
      <c r="Z20" s="371">
        <v>354144.6</v>
      </c>
      <c r="AA20" s="872"/>
      <c r="AB20" s="413">
        <v>354144.6</v>
      </c>
      <c r="AC20" s="322">
        <f>Z20-AD20</f>
        <v>349857.55</v>
      </c>
      <c r="AD20" s="469">
        <v>4287.05</v>
      </c>
    </row>
    <row r="21" spans="1:30" s="323" customFormat="1" x14ac:dyDescent="0.25">
      <c r="A21" s="887"/>
      <c r="B21" s="890"/>
      <c r="C21" s="845"/>
      <c r="D21" s="869"/>
      <c r="E21" s="319" t="s">
        <v>139</v>
      </c>
      <c r="F21" s="345"/>
      <c r="G21" s="345"/>
      <c r="H21" s="345"/>
      <c r="I21" s="345"/>
      <c r="J21" s="320"/>
      <c r="K21" s="320"/>
      <c r="L21" s="320"/>
      <c r="M21" s="320"/>
      <c r="N21" s="371" t="s">
        <v>81</v>
      </c>
      <c r="O21" s="371">
        <v>177987.94</v>
      </c>
      <c r="P21" s="345"/>
      <c r="Q21" s="345"/>
      <c r="R21" s="320"/>
      <c r="S21" s="320"/>
      <c r="T21" s="320"/>
      <c r="U21" s="320"/>
      <c r="V21" s="320"/>
      <c r="W21" s="320"/>
      <c r="X21" s="320"/>
      <c r="Y21" s="371" t="s">
        <v>81</v>
      </c>
      <c r="Z21" s="373">
        <f>O21</f>
        <v>177987.94</v>
      </c>
      <c r="AA21" s="872"/>
      <c r="AB21" s="373">
        <v>177987.94</v>
      </c>
      <c r="AC21" s="322">
        <f>AB21-AD21</f>
        <v>160077.57</v>
      </c>
      <c r="AD21" s="469">
        <v>17910.37</v>
      </c>
    </row>
    <row r="22" spans="1:30" s="323" customFormat="1" ht="12.6" thickBot="1" x14ac:dyDescent="0.3">
      <c r="A22" s="888"/>
      <c r="B22" s="891"/>
      <c r="C22" s="861"/>
      <c r="D22" s="870"/>
      <c r="E22" s="398" t="s">
        <v>140</v>
      </c>
      <c r="F22" s="399"/>
      <c r="G22" s="399"/>
      <c r="H22" s="399"/>
      <c r="I22" s="399"/>
      <c r="J22" s="399"/>
      <c r="K22" s="399"/>
      <c r="L22" s="399"/>
      <c r="M22" s="399"/>
      <c r="N22" s="470"/>
      <c r="O22" s="470"/>
      <c r="P22" s="471" t="s">
        <v>158</v>
      </c>
      <c r="Q22" s="399">
        <v>2358110.9</v>
      </c>
      <c r="R22" s="399"/>
      <c r="S22" s="399"/>
      <c r="T22" s="399"/>
      <c r="U22" s="399"/>
      <c r="V22" s="399"/>
      <c r="W22" s="399"/>
      <c r="X22" s="399"/>
      <c r="Y22" s="471" t="s">
        <v>158</v>
      </c>
      <c r="Z22" s="472">
        <f>Q22</f>
        <v>2358110.9</v>
      </c>
      <c r="AA22" s="873"/>
      <c r="AB22" s="473">
        <f>Z22</f>
        <v>2358110.9</v>
      </c>
      <c r="AC22" s="474">
        <v>1910403.5699999998</v>
      </c>
      <c r="AD22" s="402">
        <v>447707.33</v>
      </c>
    </row>
    <row r="23" spans="1:30" s="323" customFormat="1" ht="12.6" customHeight="1" x14ac:dyDescent="0.25">
      <c r="A23" s="484"/>
      <c r="B23" s="422"/>
      <c r="C23" s="485"/>
      <c r="D23" s="486"/>
      <c r="E23" s="487"/>
      <c r="F23" s="385"/>
      <c r="G23" s="386"/>
      <c r="H23" s="386"/>
      <c r="I23" s="386"/>
      <c r="J23" s="386"/>
      <c r="K23" s="386"/>
      <c r="L23" s="386"/>
      <c r="M23" s="386"/>
      <c r="N23" s="386"/>
      <c r="O23" s="386"/>
      <c r="P23" s="386"/>
      <c r="Q23" s="386"/>
      <c r="R23" s="386"/>
      <c r="S23" s="386"/>
      <c r="T23" s="386"/>
      <c r="U23" s="386"/>
      <c r="V23" s="386"/>
      <c r="W23" s="386"/>
      <c r="X23" s="386"/>
      <c r="Y23" s="387" t="s">
        <v>148</v>
      </c>
      <c r="Z23" s="388">
        <f>SUM(Z8:Z22)</f>
        <v>8579031.879999999</v>
      </c>
      <c r="AA23" s="389"/>
      <c r="AB23" s="386">
        <f>SUM(AB8:AB22)</f>
        <v>8579031.879999999</v>
      </c>
      <c r="AC23" s="386">
        <f>SUM(AC8:AC22)</f>
        <v>7963998.4400000013</v>
      </c>
      <c r="AD23" s="390">
        <f>SUM(AD8:AD22)</f>
        <v>615033.43999999994</v>
      </c>
    </row>
    <row r="24" spans="1:30" s="323" customFormat="1" ht="12.6" thickBot="1" x14ac:dyDescent="0.3">
      <c r="A24" s="488"/>
      <c r="B24" s="489"/>
      <c r="C24" s="490"/>
      <c r="D24" s="491"/>
      <c r="E24" s="492"/>
      <c r="F24" s="493"/>
      <c r="G24" s="493"/>
      <c r="H24" s="493"/>
      <c r="I24" s="493"/>
      <c r="J24" s="493"/>
      <c r="K24" s="493"/>
      <c r="L24" s="493"/>
      <c r="M24" s="493"/>
      <c r="N24" s="493"/>
      <c r="O24" s="493"/>
      <c r="P24" s="493"/>
      <c r="Q24" s="493"/>
      <c r="R24" s="493"/>
      <c r="S24" s="493"/>
      <c r="T24" s="493"/>
      <c r="U24" s="493"/>
      <c r="V24" s="493"/>
      <c r="W24" s="493"/>
      <c r="X24" s="493"/>
      <c r="Y24" s="494"/>
      <c r="Z24" s="495"/>
      <c r="AA24" s="496"/>
      <c r="AB24" s="493"/>
      <c r="AC24" s="493"/>
      <c r="AD24" s="497"/>
    </row>
    <row r="25" spans="1:30" s="323" customFormat="1" ht="16.95" customHeight="1" x14ac:dyDescent="0.25">
      <c r="A25" s="881">
        <v>2</v>
      </c>
      <c r="B25" s="882" t="s">
        <v>157</v>
      </c>
      <c r="C25" s="884" t="s">
        <v>150</v>
      </c>
      <c r="D25" s="475">
        <v>281803.98</v>
      </c>
      <c r="E25" s="476"/>
      <c r="F25" s="477"/>
      <c r="G25" s="477"/>
      <c r="H25" s="477"/>
      <c r="I25" s="477"/>
      <c r="J25" s="477"/>
      <c r="K25" s="477"/>
      <c r="L25" s="478"/>
      <c r="M25" s="477"/>
      <c r="N25" s="478"/>
      <c r="O25" s="478"/>
      <c r="P25" s="479" t="s">
        <v>53</v>
      </c>
      <c r="Q25" s="480">
        <v>281803.98</v>
      </c>
      <c r="R25" s="477"/>
      <c r="S25" s="477"/>
      <c r="T25" s="477"/>
      <c r="U25" s="477"/>
      <c r="V25" s="477"/>
      <c r="W25" s="477"/>
      <c r="X25" s="477"/>
      <c r="Y25" s="479" t="s">
        <v>53</v>
      </c>
      <c r="Z25" s="481">
        <v>281803.98</v>
      </c>
      <c r="AA25" s="885">
        <f>SUM(AB25:AB26)</f>
        <v>281803.98</v>
      </c>
      <c r="AB25" s="482">
        <f>AC25+AD25</f>
        <v>281803.98</v>
      </c>
      <c r="AC25" s="482">
        <f>Z25-AD25</f>
        <v>251804.02999999997</v>
      </c>
      <c r="AD25" s="483">
        <v>29999.95</v>
      </c>
    </row>
    <row r="26" spans="1:30" s="323" customFormat="1" ht="15.6" customHeight="1" thickBot="1" x14ac:dyDescent="0.3">
      <c r="A26" s="863"/>
      <c r="B26" s="883"/>
      <c r="C26" s="861"/>
      <c r="D26" s="406"/>
      <c r="E26" s="407"/>
      <c r="F26" s="408"/>
      <c r="G26" s="408"/>
      <c r="H26" s="408"/>
      <c r="I26" s="408"/>
      <c r="J26" s="408"/>
      <c r="K26" s="408"/>
      <c r="L26" s="408"/>
      <c r="M26" s="408"/>
      <c r="N26" s="408"/>
      <c r="O26" s="408"/>
      <c r="P26" s="408"/>
      <c r="Q26" s="408"/>
      <c r="R26" s="408"/>
      <c r="S26" s="408"/>
      <c r="T26" s="408"/>
      <c r="U26" s="408"/>
      <c r="V26" s="408"/>
      <c r="W26" s="408"/>
      <c r="X26" s="408"/>
      <c r="Y26" s="409"/>
      <c r="Z26" s="417"/>
      <c r="AA26" s="886"/>
      <c r="AB26" s="418"/>
      <c r="AC26" s="418"/>
      <c r="AD26" s="419"/>
    </row>
    <row r="27" spans="1:30" s="323" customFormat="1" ht="12" customHeight="1" x14ac:dyDescent="0.25">
      <c r="A27" s="874">
        <v>3</v>
      </c>
      <c r="B27" s="875" t="s">
        <v>98</v>
      </c>
      <c r="C27" s="510"/>
      <c r="D27" s="878">
        <v>131336.26</v>
      </c>
      <c r="E27" s="391"/>
      <c r="F27" s="392"/>
      <c r="G27" s="392"/>
      <c r="H27" s="392" t="s">
        <v>53</v>
      </c>
      <c r="I27" s="392">
        <v>110363.99</v>
      </c>
      <c r="J27" s="392"/>
      <c r="K27" s="392"/>
      <c r="L27" s="392"/>
      <c r="M27" s="392"/>
      <c r="N27" s="392"/>
      <c r="O27" s="392"/>
      <c r="P27" s="392"/>
      <c r="Q27" s="392"/>
      <c r="R27" s="392"/>
      <c r="S27" s="392"/>
      <c r="T27" s="392"/>
      <c r="U27" s="392"/>
      <c r="V27" s="392"/>
      <c r="W27" s="392"/>
      <c r="X27" s="392"/>
      <c r="Y27" s="393">
        <v>1</v>
      </c>
      <c r="Z27" s="394">
        <f>I27</f>
        <v>110363.99</v>
      </c>
      <c r="AA27" s="421">
        <f>AB27</f>
        <v>110363.99</v>
      </c>
      <c r="AB27" s="392">
        <f>I27</f>
        <v>110363.99</v>
      </c>
      <c r="AC27" s="392">
        <f>AB27-AD27</f>
        <v>85118.37000000001</v>
      </c>
      <c r="AD27" s="395">
        <v>25245.62</v>
      </c>
    </row>
    <row r="28" spans="1:30" s="323" customFormat="1" ht="12" customHeight="1" x14ac:dyDescent="0.25">
      <c r="A28" s="862"/>
      <c r="B28" s="876"/>
      <c r="C28" s="511"/>
      <c r="D28" s="879"/>
      <c r="E28" s="319"/>
      <c r="F28" s="320"/>
      <c r="G28" s="320"/>
      <c r="H28" s="320"/>
      <c r="I28" s="320"/>
      <c r="AD28" s="396"/>
    </row>
    <row r="29" spans="1:30" s="323" customFormat="1" ht="12.6" thickBot="1" x14ac:dyDescent="0.3">
      <c r="A29" s="863"/>
      <c r="B29" s="877"/>
      <c r="C29" s="397"/>
      <c r="D29" s="880"/>
      <c r="E29" s="398"/>
      <c r="F29" s="399"/>
      <c r="G29" s="399"/>
      <c r="H29" s="399"/>
      <c r="I29" s="399"/>
      <c r="J29" s="399"/>
      <c r="K29" s="399"/>
      <c r="L29" s="399"/>
      <c r="M29" s="399"/>
      <c r="N29" s="399"/>
      <c r="O29" s="399"/>
      <c r="P29" s="399"/>
      <c r="Q29" s="399"/>
      <c r="R29" s="399"/>
      <c r="S29" s="399"/>
      <c r="T29" s="399"/>
      <c r="U29" s="399"/>
      <c r="V29" s="399"/>
      <c r="W29" s="399"/>
      <c r="X29" s="399"/>
      <c r="Y29" s="400"/>
      <c r="Z29" s="401"/>
      <c r="AA29" s="501"/>
      <c r="AB29" s="399"/>
      <c r="AC29" s="399"/>
      <c r="AD29" s="402"/>
    </row>
    <row r="30" spans="1:30" s="323" customFormat="1" ht="16.2" customHeight="1" x14ac:dyDescent="0.25">
      <c r="A30" s="846">
        <f>A8+1</f>
        <v>2</v>
      </c>
      <c r="B30" s="849" t="s">
        <v>152</v>
      </c>
      <c r="C30" s="852" t="s">
        <v>69</v>
      </c>
      <c r="D30" s="855" t="e">
        <f>#REF!</f>
        <v>#REF!</v>
      </c>
      <c r="E30" s="428" t="s">
        <v>141</v>
      </c>
      <c r="F30" s="410"/>
      <c r="G30" s="410"/>
      <c r="H30" s="410" t="s">
        <v>53</v>
      </c>
      <c r="I30" s="410">
        <v>111154.22</v>
      </c>
      <c r="J30" s="410"/>
      <c r="K30" s="410"/>
      <c r="L30" s="410"/>
      <c r="M30" s="410"/>
      <c r="N30" s="410"/>
      <c r="O30" s="410"/>
      <c r="P30" s="410"/>
      <c r="Q30" s="410"/>
      <c r="R30" s="410"/>
      <c r="S30" s="410"/>
      <c r="T30" s="410"/>
      <c r="U30" s="410"/>
      <c r="V30" s="410"/>
      <c r="W30" s="410"/>
      <c r="X30" s="410"/>
      <c r="Y30" s="410" t="s">
        <v>53</v>
      </c>
      <c r="Z30" s="410">
        <v>111154.22</v>
      </c>
      <c r="AA30" s="844">
        <f>SUM(AB30:AB44)</f>
        <v>2293462.2600000002</v>
      </c>
      <c r="AB30" s="410">
        <v>111154.22</v>
      </c>
      <c r="AC30" s="410">
        <f>AB30-AD30</f>
        <v>44105.48000000001</v>
      </c>
      <c r="AD30" s="429">
        <f>55873.95*1.2</f>
        <v>67048.739999999991</v>
      </c>
    </row>
    <row r="31" spans="1:30" s="323" customFormat="1" ht="12" customHeight="1" x14ac:dyDescent="0.25">
      <c r="A31" s="847"/>
      <c r="B31" s="850"/>
      <c r="C31" s="853"/>
      <c r="D31" s="856"/>
      <c r="E31" s="347" t="s">
        <v>142</v>
      </c>
      <c r="F31" s="348"/>
      <c r="G31" s="348"/>
      <c r="H31" s="348"/>
      <c r="I31" s="348"/>
      <c r="J31" s="348" t="s">
        <v>69</v>
      </c>
      <c r="K31" s="348">
        <v>99020.51</v>
      </c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51" t="s">
        <v>69</v>
      </c>
      <c r="Z31" s="352">
        <f>K31</f>
        <v>99020.51</v>
      </c>
      <c r="AA31" s="845"/>
      <c r="AB31" s="348">
        <f>K31</f>
        <v>99020.51</v>
      </c>
      <c r="AC31" s="348">
        <v>53748.149999999994</v>
      </c>
      <c r="AD31" s="430">
        <v>45272.36</v>
      </c>
    </row>
    <row r="32" spans="1:30" s="323" customFormat="1" ht="12" customHeight="1" x14ac:dyDescent="0.25">
      <c r="A32" s="847"/>
      <c r="B32" s="850"/>
      <c r="C32" s="845"/>
      <c r="D32" s="856"/>
      <c r="E32" s="347"/>
      <c r="F32" s="348"/>
      <c r="G32" s="348"/>
      <c r="H32" s="348"/>
      <c r="I32" s="348"/>
      <c r="J32" s="348" t="s">
        <v>70</v>
      </c>
      <c r="K32" s="350">
        <v>345752.57</v>
      </c>
      <c r="L32" s="348"/>
      <c r="M32" s="348"/>
      <c r="N32" s="348"/>
      <c r="O32" s="348"/>
      <c r="P32" s="348"/>
      <c r="Q32" s="348"/>
      <c r="R32" s="348"/>
      <c r="S32" s="348"/>
      <c r="T32" s="348"/>
      <c r="U32" s="348"/>
      <c r="V32" s="348"/>
      <c r="W32" s="348"/>
      <c r="X32" s="348"/>
      <c r="Y32" s="348" t="s">
        <v>70</v>
      </c>
      <c r="Z32" s="350">
        <v>345752.57</v>
      </c>
      <c r="AA32" s="845"/>
      <c r="AB32" s="350">
        <v>345752.57</v>
      </c>
      <c r="AC32" s="350">
        <v>231533.51</v>
      </c>
      <c r="AD32" s="430">
        <v>114219.06</v>
      </c>
    </row>
    <row r="33" spans="1:30" s="323" customFormat="1" ht="12" customHeight="1" x14ac:dyDescent="0.25">
      <c r="A33" s="847"/>
      <c r="B33" s="850"/>
      <c r="C33" s="845"/>
      <c r="D33" s="856"/>
      <c r="E33" s="347"/>
      <c r="F33" s="348"/>
      <c r="G33" s="348"/>
      <c r="H33" s="348"/>
      <c r="I33" s="348"/>
      <c r="J33" s="348" t="s">
        <v>71</v>
      </c>
      <c r="K33" s="349">
        <v>103230.59</v>
      </c>
      <c r="L33" s="348"/>
      <c r="M33" s="348"/>
      <c r="N33" s="348"/>
      <c r="O33" s="348"/>
      <c r="P33" s="348"/>
      <c r="Q33" s="348"/>
      <c r="R33" s="348"/>
      <c r="S33" s="348"/>
      <c r="T33" s="348"/>
      <c r="U33" s="348"/>
      <c r="V33" s="348" t="e">
        <f>D30-Z45</f>
        <v>#REF!</v>
      </c>
      <c r="W33" s="348"/>
      <c r="X33" s="348"/>
      <c r="Y33" s="348" t="s">
        <v>71</v>
      </c>
      <c r="Z33" s="349">
        <v>103230.59</v>
      </c>
      <c r="AA33" s="845"/>
      <c r="AB33" s="349">
        <v>103230.59</v>
      </c>
      <c r="AC33" s="350">
        <v>30347.26999999999</v>
      </c>
      <c r="AD33" s="430">
        <v>72883.320000000007</v>
      </c>
    </row>
    <row r="34" spans="1:30" s="323" customFormat="1" ht="12" customHeight="1" x14ac:dyDescent="0.25">
      <c r="A34" s="847"/>
      <c r="B34" s="850"/>
      <c r="C34" s="845"/>
      <c r="D34" s="856"/>
      <c r="E34" s="347"/>
      <c r="F34" s="348"/>
      <c r="G34" s="348"/>
      <c r="H34" s="348"/>
      <c r="I34" s="348"/>
      <c r="J34" s="348" t="s">
        <v>72</v>
      </c>
      <c r="K34" s="349">
        <v>58541.36</v>
      </c>
      <c r="L34" s="348"/>
      <c r="M34" s="348"/>
      <c r="N34" s="348"/>
      <c r="O34" s="348"/>
      <c r="P34" s="348"/>
      <c r="Q34" s="348"/>
      <c r="R34" s="348"/>
      <c r="S34" s="348"/>
      <c r="T34" s="348"/>
      <c r="U34" s="348"/>
      <c r="V34" s="348"/>
      <c r="W34" s="348"/>
      <c r="X34" s="348"/>
      <c r="Y34" s="348" t="s">
        <v>72</v>
      </c>
      <c r="Z34" s="349">
        <v>58541.36</v>
      </c>
      <c r="AA34" s="845"/>
      <c r="AB34" s="349">
        <v>58541.36</v>
      </c>
      <c r="AC34" s="350">
        <v>33049.979999999996</v>
      </c>
      <c r="AD34" s="430">
        <v>25491.38</v>
      </c>
    </row>
    <row r="35" spans="1:30" s="323" customFormat="1" ht="12" customHeight="1" x14ac:dyDescent="0.25">
      <c r="A35" s="847"/>
      <c r="B35" s="850"/>
      <c r="C35" s="845"/>
      <c r="D35" s="856"/>
      <c r="E35" s="347"/>
      <c r="F35" s="348"/>
      <c r="G35" s="348"/>
      <c r="H35" s="348"/>
      <c r="I35" s="348"/>
      <c r="J35" s="348"/>
      <c r="K35" s="348"/>
      <c r="L35" s="348" t="s">
        <v>73</v>
      </c>
      <c r="M35" s="349">
        <v>20510.87</v>
      </c>
      <c r="N35" s="348"/>
      <c r="O35" s="348"/>
      <c r="P35" s="348"/>
      <c r="Q35" s="348"/>
      <c r="R35" s="348"/>
      <c r="S35" s="348"/>
      <c r="T35" s="348"/>
      <c r="U35" s="348"/>
      <c r="V35" s="348"/>
      <c r="W35" s="348"/>
      <c r="X35" s="348"/>
      <c r="Y35" s="348" t="s">
        <v>73</v>
      </c>
      <c r="Z35" s="349">
        <v>20510.87</v>
      </c>
      <c r="AA35" s="845"/>
      <c r="AB35" s="349">
        <v>20510.87</v>
      </c>
      <c r="AC35" s="350">
        <f>Z35-AD35</f>
        <v>19006.322</v>
      </c>
      <c r="AD35" s="430">
        <v>1504.548</v>
      </c>
    </row>
    <row r="36" spans="1:30" s="323" customFormat="1" ht="12" customHeight="1" x14ac:dyDescent="0.25">
      <c r="A36" s="847"/>
      <c r="B36" s="850"/>
      <c r="C36" s="845"/>
      <c r="D36" s="856"/>
      <c r="E36" s="347"/>
      <c r="F36" s="348"/>
      <c r="G36" s="348"/>
      <c r="H36" s="348"/>
      <c r="I36" s="348"/>
      <c r="J36" s="348"/>
      <c r="K36" s="348"/>
      <c r="L36" s="348" t="s">
        <v>74</v>
      </c>
      <c r="M36" s="348">
        <f>Z36</f>
        <v>112396.12</v>
      </c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 t="s">
        <v>74</v>
      </c>
      <c r="Z36" s="349">
        <v>112396.12</v>
      </c>
      <c r="AA36" s="845"/>
      <c r="AB36" s="350">
        <f t="shared" ref="AB36:AB38" si="0">Z36</f>
        <v>112396.12</v>
      </c>
      <c r="AC36" s="350">
        <v>57471.423999999999</v>
      </c>
      <c r="AD36" s="430">
        <v>54924.696000000004</v>
      </c>
    </row>
    <row r="37" spans="1:30" s="323" customFormat="1" ht="12" customHeight="1" x14ac:dyDescent="0.25">
      <c r="A37" s="847"/>
      <c r="B37" s="850"/>
      <c r="C37" s="845"/>
      <c r="D37" s="856"/>
      <c r="E37" s="347"/>
      <c r="F37" s="348"/>
      <c r="G37" s="348"/>
      <c r="H37" s="348"/>
      <c r="I37" s="348"/>
      <c r="J37" s="348"/>
      <c r="K37" s="348"/>
      <c r="L37" s="348" t="s">
        <v>77</v>
      </c>
      <c r="M37" s="348">
        <v>36533.03</v>
      </c>
      <c r="N37" s="348"/>
      <c r="O37" s="348"/>
      <c r="P37" s="348"/>
      <c r="Q37" s="348"/>
      <c r="R37" s="348"/>
      <c r="S37" s="348"/>
      <c r="T37" s="348"/>
      <c r="U37" s="348"/>
      <c r="V37" s="348"/>
      <c r="W37" s="348"/>
      <c r="X37" s="348"/>
      <c r="Y37" s="348" t="s">
        <v>77</v>
      </c>
      <c r="Z37" s="349">
        <f>M37</f>
        <v>36533.03</v>
      </c>
      <c r="AA37" s="845"/>
      <c r="AB37" s="350">
        <f t="shared" si="0"/>
        <v>36533.03</v>
      </c>
      <c r="AC37" s="350">
        <v>32587.68</v>
      </c>
      <c r="AD37" s="430">
        <v>3945.35</v>
      </c>
    </row>
    <row r="38" spans="1:30" s="323" customFormat="1" ht="12" customHeight="1" x14ac:dyDescent="0.25">
      <c r="A38" s="847"/>
      <c r="B38" s="850"/>
      <c r="C38" s="845"/>
      <c r="D38" s="856"/>
      <c r="E38" s="347"/>
      <c r="F38" s="348"/>
      <c r="G38" s="348"/>
      <c r="H38" s="348"/>
      <c r="I38" s="348"/>
      <c r="J38" s="348"/>
      <c r="K38" s="348"/>
      <c r="L38" s="348" t="s">
        <v>78</v>
      </c>
      <c r="M38" s="348">
        <v>282807.74</v>
      </c>
      <c r="N38" s="348"/>
      <c r="O38" s="348"/>
      <c r="P38" s="348"/>
      <c r="Q38" s="348"/>
      <c r="R38" s="348"/>
      <c r="S38" s="348"/>
      <c r="T38" s="348"/>
      <c r="U38" s="348"/>
      <c r="V38" s="348"/>
      <c r="W38" s="348"/>
      <c r="X38" s="348"/>
      <c r="Y38" s="348" t="s">
        <v>78</v>
      </c>
      <c r="Z38" s="349">
        <f>M38</f>
        <v>282807.74</v>
      </c>
      <c r="AA38" s="845"/>
      <c r="AB38" s="350">
        <f t="shared" si="0"/>
        <v>282807.74</v>
      </c>
      <c r="AC38" s="350">
        <f t="shared" ref="AC38:AC44" si="1">AB38-AD38</f>
        <v>157013.31</v>
      </c>
      <c r="AD38" s="430">
        <v>125794.43</v>
      </c>
    </row>
    <row r="39" spans="1:30" s="323" customFormat="1" ht="12" customHeight="1" x14ac:dyDescent="0.25">
      <c r="A39" s="847"/>
      <c r="B39" s="850"/>
      <c r="C39" s="845"/>
      <c r="D39" s="856"/>
      <c r="E39" s="353"/>
      <c r="F39" s="350"/>
      <c r="G39" s="350"/>
      <c r="H39" s="350"/>
      <c r="I39" s="350"/>
      <c r="J39" s="350"/>
      <c r="K39" s="350"/>
      <c r="L39" s="350"/>
      <c r="M39" s="350"/>
      <c r="N39" s="498"/>
      <c r="O39" s="503"/>
      <c r="P39" s="498"/>
      <c r="Q39" s="498"/>
      <c r="R39" s="348" t="s">
        <v>76</v>
      </c>
      <c r="S39" s="502">
        <v>236670.38</v>
      </c>
      <c r="T39" s="350"/>
      <c r="U39" s="350"/>
      <c r="V39" s="350"/>
      <c r="W39" s="350" t="s">
        <v>160</v>
      </c>
      <c r="X39" s="348">
        <f>Z39+Z43+Z44</f>
        <v>596567.15</v>
      </c>
      <c r="Y39" s="506" t="s">
        <v>76</v>
      </c>
      <c r="Z39" s="502">
        <v>236670.38</v>
      </c>
      <c r="AA39" s="845"/>
      <c r="AB39" s="502">
        <v>236670.38</v>
      </c>
      <c r="AC39" s="504">
        <f t="shared" si="1"/>
        <v>135826.63</v>
      </c>
      <c r="AD39" s="505">
        <v>100843.75</v>
      </c>
    </row>
    <row r="40" spans="1:30" s="323" customFormat="1" ht="12" customHeight="1" x14ac:dyDescent="0.25">
      <c r="A40" s="847"/>
      <c r="B40" s="850"/>
      <c r="C40" s="845"/>
      <c r="D40" s="856"/>
      <c r="E40" s="353"/>
      <c r="F40" s="350"/>
      <c r="G40" s="350"/>
      <c r="H40" s="350"/>
      <c r="I40" s="350"/>
      <c r="J40" s="350"/>
      <c r="K40" s="350"/>
      <c r="L40" s="350"/>
      <c r="M40" s="350"/>
      <c r="N40" s="498"/>
      <c r="O40" s="503"/>
      <c r="P40" s="498"/>
      <c r="Q40" s="498"/>
      <c r="R40" s="348" t="s">
        <v>79</v>
      </c>
      <c r="S40" s="502">
        <v>78675.94</v>
      </c>
      <c r="T40" s="350"/>
      <c r="U40" s="350"/>
      <c r="V40" s="350"/>
      <c r="W40" s="350" t="s">
        <v>161</v>
      </c>
      <c r="X40" s="348" t="e">
        <f>X39+'Реєстр ДЦ '!#REF!+'Реєстр ДЦ '!#REF!+'Реєстр ДЦ '!#REF!+'Реєстр ДЦ '!#REF!</f>
        <v>#REF!</v>
      </c>
      <c r="Y40" s="506" t="s">
        <v>79</v>
      </c>
      <c r="Z40" s="514">
        <v>78675.94</v>
      </c>
      <c r="AA40" s="845"/>
      <c r="AB40" s="502">
        <v>78675.94</v>
      </c>
      <c r="AC40" s="504">
        <f t="shared" si="1"/>
        <v>32607.32</v>
      </c>
      <c r="AD40" s="505">
        <v>46068.62</v>
      </c>
    </row>
    <row r="41" spans="1:30" s="323" customFormat="1" ht="12" customHeight="1" x14ac:dyDescent="0.25">
      <c r="A41" s="847"/>
      <c r="B41" s="850"/>
      <c r="C41" s="845"/>
      <c r="D41" s="856"/>
      <c r="E41" s="499"/>
      <c r="F41" s="374"/>
      <c r="G41" s="375"/>
      <c r="H41" s="375"/>
      <c r="I41" s="375"/>
      <c r="J41" s="375"/>
      <c r="K41" s="375"/>
      <c r="L41" s="375"/>
      <c r="M41" s="375"/>
      <c r="N41" s="500"/>
      <c r="O41" s="500"/>
      <c r="P41" s="498"/>
      <c r="Q41" s="498"/>
      <c r="R41" s="348" t="s">
        <v>75</v>
      </c>
      <c r="S41" s="502">
        <v>83218.66</v>
      </c>
      <c r="T41" s="350"/>
      <c r="U41" s="350"/>
      <c r="V41" s="350"/>
      <c r="W41" s="350" t="s">
        <v>162</v>
      </c>
      <c r="X41" s="348"/>
      <c r="Y41" s="506" t="s">
        <v>75</v>
      </c>
      <c r="Z41" s="514">
        <v>75489.289999999994</v>
      </c>
      <c r="AA41" s="845"/>
      <c r="AB41" s="502">
        <f>Z41</f>
        <v>75489.289999999994</v>
      </c>
      <c r="AC41" s="504">
        <f t="shared" si="1"/>
        <v>31514.699999999997</v>
      </c>
      <c r="AD41" s="504">
        <v>43974.59</v>
      </c>
    </row>
    <row r="42" spans="1:30" s="323" customFormat="1" ht="12" customHeight="1" x14ac:dyDescent="0.25">
      <c r="A42" s="847"/>
      <c r="B42" s="850"/>
      <c r="C42" s="845"/>
      <c r="D42" s="856"/>
      <c r="E42" s="499"/>
      <c r="F42" s="374"/>
      <c r="G42" s="375"/>
      <c r="H42" s="375"/>
      <c r="I42" s="375"/>
      <c r="J42" s="375"/>
      <c r="K42" s="375"/>
      <c r="L42" s="375"/>
      <c r="M42" s="375"/>
      <c r="N42" s="500"/>
      <c r="O42" s="500"/>
      <c r="P42" s="498"/>
      <c r="Q42" s="498"/>
      <c r="R42" s="348" t="s">
        <v>80</v>
      </c>
      <c r="S42" s="502">
        <f>Z42</f>
        <v>372782.87</v>
      </c>
      <c r="T42" s="350"/>
      <c r="U42" s="350"/>
      <c r="V42" s="350"/>
      <c r="W42" s="350" t="s">
        <v>163</v>
      </c>
      <c r="X42" s="348"/>
      <c r="Y42" s="506" t="s">
        <v>80</v>
      </c>
      <c r="Z42" s="515">
        <v>372782.87</v>
      </c>
      <c r="AA42" s="845"/>
      <c r="AB42" s="502">
        <f>Z42</f>
        <v>372782.87</v>
      </c>
      <c r="AC42" s="504">
        <f t="shared" si="1"/>
        <v>152785.19</v>
      </c>
      <c r="AD42" s="504">
        <v>219997.68</v>
      </c>
    </row>
    <row r="43" spans="1:30" s="323" customFormat="1" ht="12" customHeight="1" x14ac:dyDescent="0.25">
      <c r="A43" s="847"/>
      <c r="B43" s="850"/>
      <c r="C43" s="845"/>
      <c r="D43" s="856"/>
      <c r="E43" s="499"/>
      <c r="F43" s="374"/>
      <c r="G43" s="375"/>
      <c r="H43" s="375"/>
      <c r="I43" s="375"/>
      <c r="J43" s="375"/>
      <c r="K43" s="375"/>
      <c r="L43" s="375"/>
      <c r="M43" s="375"/>
      <c r="N43" s="500"/>
      <c r="O43" s="500"/>
      <c r="P43" s="498"/>
      <c r="Q43" s="498"/>
      <c r="R43" s="348" t="s">
        <v>81</v>
      </c>
      <c r="S43" s="502">
        <v>328788.28999999998</v>
      </c>
      <c r="T43" s="350"/>
      <c r="U43" s="350"/>
      <c r="V43" s="350"/>
      <c r="W43" s="350" t="s">
        <v>164</v>
      </c>
      <c r="X43" s="348"/>
      <c r="Y43" s="506" t="s">
        <v>81</v>
      </c>
      <c r="Z43" s="502">
        <v>356228.86</v>
      </c>
      <c r="AA43" s="845"/>
      <c r="AB43" s="502">
        <f>Z43</f>
        <v>356228.86</v>
      </c>
      <c r="AC43" s="504">
        <f t="shared" si="1"/>
        <v>201417.03999999998</v>
      </c>
      <c r="AD43" s="504">
        <v>154811.82</v>
      </c>
    </row>
    <row r="44" spans="1:30" s="323" customFormat="1" ht="12" customHeight="1" x14ac:dyDescent="0.25">
      <c r="A44" s="847"/>
      <c r="B44" s="850"/>
      <c r="C44" s="845"/>
      <c r="D44" s="856"/>
      <c r="E44" s="499"/>
      <c r="F44" s="374"/>
      <c r="G44" s="375"/>
      <c r="H44" s="375"/>
      <c r="I44" s="375"/>
      <c r="J44" s="375"/>
      <c r="K44" s="375"/>
      <c r="L44" s="375"/>
      <c r="M44" s="375"/>
      <c r="N44" s="500"/>
      <c r="O44" s="500"/>
      <c r="P44" s="498"/>
      <c r="Q44" s="498"/>
      <c r="R44" s="348" t="s">
        <v>158</v>
      </c>
      <c r="S44" s="502">
        <v>12657.74</v>
      </c>
      <c r="T44" s="350"/>
      <c r="U44" s="350"/>
      <c r="V44" s="350"/>
      <c r="W44" s="350" t="s">
        <v>165</v>
      </c>
      <c r="X44" s="348"/>
      <c r="Y44" s="506" t="s">
        <v>158</v>
      </c>
      <c r="Z44" s="502">
        <v>3667.91</v>
      </c>
      <c r="AA44" s="845"/>
      <c r="AB44" s="502">
        <f>Z44</f>
        <v>3667.91</v>
      </c>
      <c r="AC44" s="504">
        <f t="shared" si="1"/>
        <v>2114.5099999999998</v>
      </c>
      <c r="AD44" s="504">
        <v>1553.4</v>
      </c>
    </row>
    <row r="45" spans="1:30" s="323" customFormat="1" ht="12" customHeight="1" thickBot="1" x14ac:dyDescent="0.3">
      <c r="A45" s="848"/>
      <c r="B45" s="851"/>
      <c r="C45" s="861"/>
      <c r="D45" s="857"/>
      <c r="E45" s="431"/>
      <c r="F45" s="423"/>
      <c r="G45" s="424"/>
      <c r="H45" s="424"/>
      <c r="I45" s="424"/>
      <c r="J45" s="424"/>
      <c r="K45" s="424"/>
      <c r="L45" s="424"/>
      <c r="M45" s="424"/>
      <c r="N45" s="424"/>
      <c r="O45" s="424"/>
      <c r="P45" s="498"/>
      <c r="Q45" s="498"/>
      <c r="R45" s="498"/>
      <c r="S45" s="498"/>
      <c r="T45" s="350"/>
      <c r="U45" s="350"/>
      <c r="V45" s="350"/>
      <c r="W45" s="424"/>
      <c r="X45" s="424"/>
      <c r="Y45" s="409" t="s">
        <v>148</v>
      </c>
      <c r="Z45" s="408">
        <f>SUM(Z30:Z44)</f>
        <v>2293462.2600000002</v>
      </c>
      <c r="AA45" s="457"/>
      <c r="AB45" s="408">
        <f>SUM(AB30:AB44)</f>
        <v>2293462.2600000002</v>
      </c>
      <c r="AC45" s="408">
        <f>SUM(AC30:AC40)</f>
        <v>827297.07599999988</v>
      </c>
      <c r="AD45" s="458">
        <f>AB45-AC45</f>
        <v>1466165.1840000004</v>
      </c>
    </row>
    <row r="46" spans="1:30" s="323" customFormat="1" ht="12" customHeight="1" thickBot="1" x14ac:dyDescent="0.3">
      <c r="A46" s="432"/>
      <c r="B46" s="433"/>
      <c r="C46" s="434"/>
      <c r="D46" s="435"/>
      <c r="E46" s="436"/>
      <c r="F46" s="437"/>
      <c r="G46" s="437"/>
      <c r="H46" s="437"/>
      <c r="I46" s="437"/>
      <c r="J46" s="437"/>
      <c r="K46" s="437"/>
      <c r="L46" s="437"/>
      <c r="M46" s="437"/>
      <c r="N46" s="437"/>
      <c r="O46" s="437"/>
      <c r="P46" s="437"/>
      <c r="Q46" s="437"/>
      <c r="R46" s="437"/>
      <c r="S46" s="437"/>
      <c r="T46" s="437"/>
      <c r="U46" s="437"/>
      <c r="V46" s="437"/>
      <c r="W46" s="437"/>
      <c r="X46" s="437"/>
      <c r="Y46" s="404"/>
      <c r="Z46" s="403"/>
      <c r="AA46" s="405"/>
      <c r="AB46" s="403"/>
      <c r="AC46" s="403"/>
      <c r="AD46" s="403"/>
    </row>
    <row r="47" spans="1:30" s="323" customFormat="1" ht="12" customHeight="1" x14ac:dyDescent="0.25">
      <c r="A47" s="846">
        <v>3</v>
      </c>
      <c r="B47" s="849" t="s">
        <v>146</v>
      </c>
      <c r="C47" s="852" t="s">
        <v>70</v>
      </c>
      <c r="D47" s="855">
        <v>1540968</v>
      </c>
      <c r="E47" s="438"/>
      <c r="F47" s="410"/>
      <c r="G47" s="410"/>
      <c r="H47" s="410"/>
      <c r="I47" s="410"/>
      <c r="J47" s="410"/>
      <c r="K47" s="410"/>
      <c r="L47" s="439"/>
      <c r="M47" s="439"/>
      <c r="N47" s="440" t="s">
        <v>53</v>
      </c>
      <c r="O47" s="440">
        <v>248026.63</v>
      </c>
      <c r="P47" s="440"/>
      <c r="Q47" s="440"/>
      <c r="R47" s="440"/>
      <c r="S47" s="440"/>
      <c r="T47" s="440"/>
      <c r="U47" s="440"/>
      <c r="V47" s="440"/>
      <c r="W47" s="440"/>
      <c r="X47" s="507"/>
      <c r="Y47" s="508" t="s">
        <v>53</v>
      </c>
      <c r="Z47" s="440">
        <v>248026.63</v>
      </c>
      <c r="AA47" s="858">
        <f>SUM(AB47:AB51)</f>
        <v>672881.95</v>
      </c>
      <c r="AB47" s="440">
        <v>248026.63</v>
      </c>
      <c r="AC47" s="441">
        <f>Z47-AD47</f>
        <v>242763.11000000002</v>
      </c>
      <c r="AD47" s="442">
        <v>5263.52</v>
      </c>
    </row>
    <row r="48" spans="1:30" s="323" customFormat="1" ht="12" customHeight="1" x14ac:dyDescent="0.25">
      <c r="A48" s="847"/>
      <c r="B48" s="850"/>
      <c r="C48" s="853"/>
      <c r="D48" s="856"/>
      <c r="E48" s="353"/>
      <c r="F48" s="348"/>
      <c r="G48" s="348"/>
      <c r="H48" s="348"/>
      <c r="I48" s="348"/>
      <c r="J48" s="348"/>
      <c r="K48" s="348"/>
      <c r="L48" s="348"/>
      <c r="M48" s="348"/>
      <c r="N48" s="369" t="s">
        <v>69</v>
      </c>
      <c r="O48" s="369">
        <v>227228.23</v>
      </c>
      <c r="P48" s="369"/>
      <c r="Q48" s="369"/>
      <c r="R48" s="369"/>
      <c r="S48" s="369"/>
      <c r="T48" s="369"/>
      <c r="U48" s="369"/>
      <c r="V48" s="369"/>
      <c r="W48" s="369"/>
      <c r="X48" s="507"/>
      <c r="Y48" s="507" t="s">
        <v>69</v>
      </c>
      <c r="Z48" s="369">
        <f>O48</f>
        <v>227228.23</v>
      </c>
      <c r="AA48" s="859"/>
      <c r="AB48" s="369">
        <f>Z48</f>
        <v>227228.23</v>
      </c>
      <c r="AC48" s="369">
        <f>AB48-AD48</f>
        <v>222406.2</v>
      </c>
      <c r="AD48" s="445">
        <v>4822.03</v>
      </c>
    </row>
    <row r="49" spans="1:30" s="323" customFormat="1" ht="12" customHeight="1" x14ac:dyDescent="0.25">
      <c r="A49" s="847"/>
      <c r="B49" s="850"/>
      <c r="C49" s="853"/>
      <c r="D49" s="856"/>
      <c r="E49" s="353"/>
      <c r="F49" s="348"/>
      <c r="G49" s="348"/>
      <c r="H49" s="348"/>
      <c r="I49" s="348"/>
      <c r="J49" s="348"/>
      <c r="K49" s="348"/>
      <c r="L49" s="348"/>
      <c r="M49" s="348"/>
      <c r="N49" s="369"/>
      <c r="O49" s="369"/>
      <c r="P49" s="369"/>
      <c r="Q49" s="369"/>
      <c r="R49" s="369"/>
      <c r="S49" s="369"/>
      <c r="T49" s="369"/>
      <c r="U49" s="369"/>
      <c r="V49" s="369"/>
      <c r="W49" s="369"/>
      <c r="X49" s="507"/>
      <c r="Y49" s="507" t="s">
        <v>70</v>
      </c>
      <c r="Z49" s="415">
        <v>197627.09</v>
      </c>
      <c r="AA49" s="859"/>
      <c r="AB49" s="415">
        <f>Z49</f>
        <v>197627.09</v>
      </c>
      <c r="AC49" s="415"/>
      <c r="AD49" s="443"/>
    </row>
    <row r="50" spans="1:30" s="323" customFormat="1" ht="12" customHeight="1" x14ac:dyDescent="0.25">
      <c r="A50" s="847"/>
      <c r="B50" s="850"/>
      <c r="C50" s="853"/>
      <c r="D50" s="856"/>
      <c r="E50" s="353"/>
      <c r="F50" s="348"/>
      <c r="G50" s="348"/>
      <c r="H50" s="348"/>
      <c r="I50" s="348"/>
      <c r="J50" s="348"/>
      <c r="K50" s="348"/>
      <c r="L50" s="348"/>
      <c r="M50" s="348"/>
      <c r="N50" s="369"/>
      <c r="O50" s="369"/>
      <c r="P50" s="369"/>
      <c r="Q50" s="369"/>
      <c r="R50" s="369"/>
      <c r="S50" s="369"/>
      <c r="T50" s="369"/>
      <c r="U50" s="369"/>
      <c r="V50" s="369"/>
      <c r="W50" s="369"/>
      <c r="X50" s="369"/>
      <c r="Y50" s="414"/>
      <c r="Z50" s="415"/>
      <c r="AA50" s="859"/>
      <c r="AB50" s="415"/>
      <c r="AC50" s="415"/>
      <c r="AD50" s="443"/>
    </row>
    <row r="51" spans="1:30" s="323" customFormat="1" ht="12" customHeight="1" thickBot="1" x14ac:dyDescent="0.3">
      <c r="A51" s="847"/>
      <c r="B51" s="850"/>
      <c r="C51" s="853"/>
      <c r="D51" s="856"/>
      <c r="E51" s="353"/>
      <c r="F51" s="360"/>
      <c r="G51" s="360"/>
      <c r="H51" s="360"/>
      <c r="I51" s="360"/>
      <c r="J51" s="360"/>
      <c r="K51" s="360"/>
      <c r="L51" s="360"/>
      <c r="M51" s="360"/>
      <c r="N51" s="370"/>
      <c r="O51" s="370"/>
      <c r="P51" s="370"/>
      <c r="Q51" s="370"/>
      <c r="R51" s="370"/>
      <c r="S51" s="370"/>
      <c r="T51" s="370"/>
      <c r="U51" s="370"/>
      <c r="V51" s="370"/>
      <c r="W51" s="370"/>
      <c r="X51" s="370"/>
      <c r="Y51" s="416"/>
      <c r="Z51" s="415"/>
      <c r="AA51" s="860"/>
      <c r="AB51" s="415"/>
      <c r="AC51" s="415"/>
      <c r="AD51" s="444"/>
    </row>
    <row r="52" spans="1:30" s="323" customFormat="1" ht="12.6" customHeight="1" thickBot="1" x14ac:dyDescent="0.3">
      <c r="A52" s="848"/>
      <c r="B52" s="851"/>
      <c r="C52" s="854"/>
      <c r="D52" s="857"/>
      <c r="E52" s="431"/>
      <c r="F52" s="361"/>
      <c r="G52" s="362"/>
      <c r="H52" s="362"/>
      <c r="I52" s="362"/>
      <c r="J52" s="362"/>
      <c r="K52" s="362"/>
      <c r="L52" s="362"/>
      <c r="M52" s="362"/>
      <c r="N52" s="362"/>
      <c r="O52" s="362"/>
      <c r="P52" s="362"/>
      <c r="Q52" s="362"/>
      <c r="R52" s="362"/>
      <c r="S52" s="362"/>
      <c r="T52" s="362"/>
      <c r="U52" s="362"/>
      <c r="V52" s="362"/>
      <c r="W52" s="362"/>
      <c r="X52" s="362"/>
      <c r="Y52" s="363" t="s">
        <v>148</v>
      </c>
      <c r="Z52" s="367">
        <f>SUM(Z47:Z51)</f>
        <v>672881.95</v>
      </c>
      <c r="AA52" s="368"/>
      <c r="AB52" s="367">
        <f>SUM(AB47:AB51)</f>
        <v>672881.95</v>
      </c>
      <c r="AC52" s="367">
        <f>SUM(AC47:AC51)</f>
        <v>465169.31000000006</v>
      </c>
      <c r="AD52" s="366">
        <f>SUM(AD47:AD51)</f>
        <v>10085.549999999999</v>
      </c>
    </row>
    <row r="53" spans="1:30" s="323" customFormat="1" ht="12" customHeight="1" x14ac:dyDescent="0.25">
      <c r="A53" s="846">
        <v>4</v>
      </c>
      <c r="B53" s="849" t="s">
        <v>151</v>
      </c>
      <c r="C53" s="852" t="s">
        <v>71</v>
      </c>
      <c r="D53" s="855">
        <v>414039.73</v>
      </c>
      <c r="E53" s="438"/>
      <c r="F53" s="410"/>
      <c r="G53" s="410"/>
      <c r="H53" s="410"/>
      <c r="I53" s="410"/>
      <c r="J53" s="410"/>
      <c r="K53" s="410"/>
      <c r="L53" s="440" t="s">
        <v>53</v>
      </c>
      <c r="M53" s="440">
        <v>87813.66</v>
      </c>
      <c r="N53" s="410"/>
      <c r="O53" s="410"/>
      <c r="P53" s="410"/>
      <c r="Q53" s="410"/>
      <c r="R53" s="410"/>
      <c r="S53" s="410"/>
      <c r="T53" s="410"/>
      <c r="U53" s="410"/>
      <c r="V53" s="410"/>
      <c r="W53" s="410"/>
      <c r="X53" s="410"/>
      <c r="Y53" s="410" t="s">
        <v>53</v>
      </c>
      <c r="Z53" s="440">
        <v>87813.66</v>
      </c>
      <c r="AA53" s="842">
        <f>SUM(AB53:AB57)</f>
        <v>376145.98000000004</v>
      </c>
      <c r="AB53" s="440">
        <f>Z53</f>
        <v>87813.66</v>
      </c>
      <c r="AC53" s="440">
        <v>42008.340000000004</v>
      </c>
      <c r="AD53" s="442">
        <v>45805.32</v>
      </c>
    </row>
    <row r="54" spans="1:30" s="323" customFormat="1" ht="12" customHeight="1" x14ac:dyDescent="0.25">
      <c r="A54" s="862"/>
      <c r="B54" s="864"/>
      <c r="C54" s="845"/>
      <c r="D54" s="845"/>
      <c r="E54" s="353"/>
      <c r="F54" s="348"/>
      <c r="G54" s="348"/>
      <c r="H54" s="348"/>
      <c r="I54" s="348"/>
      <c r="J54" s="348"/>
      <c r="K54" s="348"/>
      <c r="L54" s="369" t="s">
        <v>69</v>
      </c>
      <c r="M54" s="369">
        <f>Z54</f>
        <v>43236.49</v>
      </c>
      <c r="N54" s="348"/>
      <c r="O54" s="348"/>
      <c r="P54" s="348"/>
      <c r="Q54" s="348"/>
      <c r="R54" s="348"/>
      <c r="S54" s="348"/>
      <c r="T54" s="348"/>
      <c r="U54" s="348"/>
      <c r="V54" s="348"/>
      <c r="W54" s="348"/>
      <c r="X54" s="348"/>
      <c r="Y54" s="351" t="s">
        <v>69</v>
      </c>
      <c r="Z54" s="369">
        <v>43236.49</v>
      </c>
      <c r="AA54" s="843"/>
      <c r="AB54" s="369">
        <f>Z54</f>
        <v>43236.49</v>
      </c>
      <c r="AC54" s="369">
        <v>20794.07</v>
      </c>
      <c r="AD54" s="445">
        <v>22442.42</v>
      </c>
    </row>
    <row r="55" spans="1:30" s="323" customFormat="1" ht="12" customHeight="1" x14ac:dyDescent="0.25">
      <c r="A55" s="862"/>
      <c r="B55" s="864"/>
      <c r="C55" s="845"/>
      <c r="D55" s="845"/>
      <c r="E55" s="320"/>
      <c r="F55" s="348"/>
      <c r="G55" s="348"/>
      <c r="H55" s="348"/>
      <c r="I55" s="348"/>
      <c r="J55" s="348"/>
      <c r="K55" s="348"/>
      <c r="L55" s="369" t="s">
        <v>70</v>
      </c>
      <c r="M55" s="369">
        <f>Z55</f>
        <v>199976.26</v>
      </c>
      <c r="N55" s="348"/>
      <c r="O55" s="348"/>
      <c r="P55" s="348"/>
      <c r="Q55" s="348"/>
      <c r="R55" s="348"/>
      <c r="S55" s="348"/>
      <c r="T55" s="348"/>
      <c r="U55" s="348"/>
      <c r="V55" s="348"/>
      <c r="W55" s="348"/>
      <c r="X55" s="348"/>
      <c r="Y55" s="348" t="s">
        <v>70</v>
      </c>
      <c r="Z55" s="369">
        <v>199976.26</v>
      </c>
      <c r="AA55" s="843"/>
      <c r="AB55" s="369">
        <f t="shared" ref="AB55:AB56" si="2">Z55</f>
        <v>199976.26</v>
      </c>
      <c r="AC55" s="369">
        <v>190762.90000000002</v>
      </c>
      <c r="AD55" s="445">
        <v>9213.36</v>
      </c>
    </row>
    <row r="56" spans="1:30" s="323" customFormat="1" ht="12" customHeight="1" x14ac:dyDescent="0.25">
      <c r="A56" s="862"/>
      <c r="B56" s="864"/>
      <c r="C56" s="845"/>
      <c r="D56" s="845"/>
      <c r="E56" s="320"/>
      <c r="F56" s="348"/>
      <c r="G56" s="348"/>
      <c r="H56" s="348"/>
      <c r="I56" s="348"/>
      <c r="J56" s="348"/>
      <c r="K56" s="348"/>
      <c r="L56" s="369" t="s">
        <v>71</v>
      </c>
      <c r="M56" s="369">
        <f>Z56</f>
        <v>45119.57</v>
      </c>
      <c r="N56" s="348"/>
      <c r="O56" s="348"/>
      <c r="P56" s="348"/>
      <c r="Q56" s="348"/>
      <c r="R56" s="348"/>
      <c r="S56" s="348"/>
      <c r="T56" s="348"/>
      <c r="U56" s="348"/>
      <c r="V56" s="348"/>
      <c r="W56" s="348"/>
      <c r="X56" s="348"/>
      <c r="Y56" s="348" t="s">
        <v>71</v>
      </c>
      <c r="Z56" s="369">
        <v>45119.57</v>
      </c>
      <c r="AA56" s="843"/>
      <c r="AB56" s="369">
        <f t="shared" si="2"/>
        <v>45119.57</v>
      </c>
      <c r="AC56" s="369">
        <f>AB56</f>
        <v>45119.57</v>
      </c>
      <c r="AD56" s="445" t="s">
        <v>153</v>
      </c>
    </row>
    <row r="57" spans="1:30" s="323" customFormat="1" ht="12" customHeight="1" thickBot="1" x14ac:dyDescent="0.3">
      <c r="A57" s="862"/>
      <c r="B57" s="864"/>
      <c r="C57" s="845"/>
      <c r="D57" s="845"/>
      <c r="E57" s="320"/>
      <c r="F57" s="360"/>
      <c r="G57" s="360"/>
      <c r="H57" s="360"/>
      <c r="I57" s="360"/>
      <c r="J57" s="360"/>
      <c r="K57" s="360"/>
      <c r="L57" s="360"/>
      <c r="M57" s="360"/>
      <c r="N57" s="360"/>
      <c r="O57" s="360"/>
      <c r="P57" s="360"/>
      <c r="Q57" s="360"/>
      <c r="R57" s="360"/>
      <c r="S57" s="360"/>
      <c r="T57" s="360"/>
      <c r="U57" s="360"/>
      <c r="V57" s="360"/>
      <c r="W57" s="360"/>
      <c r="X57" s="360"/>
      <c r="Y57" s="360"/>
      <c r="Z57" s="370"/>
      <c r="AA57" s="843"/>
      <c r="AB57" s="370"/>
      <c r="AC57" s="370"/>
      <c r="AD57" s="446"/>
    </row>
    <row r="58" spans="1:30" s="323" customFormat="1" ht="13.2" customHeight="1" thickBot="1" x14ac:dyDescent="0.3">
      <c r="A58" s="863"/>
      <c r="B58" s="865"/>
      <c r="C58" s="861"/>
      <c r="D58" s="861"/>
      <c r="E58" s="447"/>
      <c r="F58" s="361"/>
      <c r="G58" s="362"/>
      <c r="H58" s="362"/>
      <c r="I58" s="362"/>
      <c r="J58" s="362"/>
      <c r="K58" s="362"/>
      <c r="L58" s="362"/>
      <c r="M58" s="362"/>
      <c r="N58" s="362"/>
      <c r="O58" s="362"/>
      <c r="P58" s="362"/>
      <c r="Q58" s="362"/>
      <c r="R58" s="362"/>
      <c r="S58" s="362"/>
      <c r="T58" s="362"/>
      <c r="U58" s="362"/>
      <c r="V58" s="362"/>
      <c r="W58" s="362"/>
      <c r="X58" s="362"/>
      <c r="Y58" s="363" t="s">
        <v>148</v>
      </c>
      <c r="Z58" s="364">
        <f>SUM(Z53:Z57)</f>
        <v>376145.98000000004</v>
      </c>
      <c r="AA58" s="365"/>
      <c r="AB58" s="364">
        <f>SUM(AB53:AB57)</f>
        <v>376145.98000000004</v>
      </c>
      <c r="AC58" s="364">
        <f>SUM(AC53:AC57)</f>
        <v>298684.88</v>
      </c>
      <c r="AD58" s="366">
        <f>SUM(AD53:AD57)</f>
        <v>77461.099999999991</v>
      </c>
    </row>
    <row r="59" spans="1:30" s="323" customFormat="1" ht="13.2" customHeight="1" x14ac:dyDescent="0.25">
      <c r="A59" s="846">
        <v>5</v>
      </c>
      <c r="B59" s="849" t="s">
        <v>154</v>
      </c>
      <c r="C59" s="852" t="s">
        <v>72</v>
      </c>
      <c r="D59" s="855">
        <v>234737.15</v>
      </c>
      <c r="E59" s="448"/>
      <c r="F59" s="449"/>
      <c r="G59" s="450"/>
      <c r="H59" s="450"/>
      <c r="I59" s="450"/>
      <c r="J59" s="450"/>
      <c r="K59" s="450"/>
      <c r="L59" s="450"/>
      <c r="M59" s="450"/>
      <c r="N59" s="450"/>
      <c r="O59" s="450"/>
      <c r="P59" s="450"/>
      <c r="Q59" s="450"/>
      <c r="R59" s="450"/>
      <c r="S59" s="450"/>
      <c r="T59" s="450"/>
      <c r="U59" s="450"/>
      <c r="V59" s="450"/>
      <c r="W59" s="450"/>
      <c r="X59" s="450"/>
      <c r="Y59" s="451"/>
      <c r="Z59" s="452"/>
      <c r="AA59" s="453"/>
      <c r="AB59" s="452"/>
      <c r="AC59" s="452"/>
      <c r="AD59" s="454"/>
    </row>
    <row r="60" spans="1:30" s="323" customFormat="1" ht="13.2" customHeight="1" x14ac:dyDescent="0.25">
      <c r="A60" s="862"/>
      <c r="B60" s="864"/>
      <c r="C60" s="845"/>
      <c r="D60" s="845"/>
      <c r="E60" s="359"/>
      <c r="F60" s="374"/>
      <c r="G60" s="375"/>
      <c r="H60" s="375"/>
      <c r="I60" s="375"/>
      <c r="J60" s="375"/>
      <c r="K60" s="375"/>
      <c r="L60" s="375"/>
      <c r="M60" s="375"/>
      <c r="N60" s="375"/>
      <c r="O60" s="375"/>
      <c r="P60" s="375"/>
      <c r="Q60" s="375"/>
      <c r="R60" s="375"/>
      <c r="S60" s="375"/>
      <c r="T60" s="375"/>
      <c r="U60" s="375"/>
      <c r="V60" s="375"/>
      <c r="W60" s="375"/>
      <c r="X60" s="375"/>
      <c r="Y60" s="376"/>
      <c r="Z60" s="377"/>
      <c r="AA60" s="378"/>
      <c r="AB60" s="377"/>
      <c r="AC60" s="377"/>
      <c r="AD60" s="455"/>
    </row>
    <row r="61" spans="1:30" s="323" customFormat="1" ht="13.2" customHeight="1" x14ac:dyDescent="0.25">
      <c r="A61" s="862"/>
      <c r="B61" s="864"/>
      <c r="C61" s="845"/>
      <c r="D61" s="845"/>
      <c r="E61" s="359"/>
      <c r="F61" s="374"/>
      <c r="G61" s="375"/>
      <c r="H61" s="375"/>
      <c r="I61" s="375"/>
      <c r="J61" s="375"/>
      <c r="K61" s="375"/>
      <c r="L61" s="375"/>
      <c r="M61" s="375"/>
      <c r="N61" s="375"/>
      <c r="O61" s="375"/>
      <c r="P61" s="375"/>
      <c r="Q61" s="375"/>
      <c r="R61" s="375"/>
      <c r="S61" s="375"/>
      <c r="T61" s="375"/>
      <c r="U61" s="375"/>
      <c r="V61" s="375"/>
      <c r="W61" s="375"/>
      <c r="X61" s="375"/>
      <c r="Y61" s="376"/>
      <c r="Z61" s="377"/>
      <c r="AA61" s="378"/>
      <c r="AB61" s="377"/>
      <c r="AC61" s="377"/>
      <c r="AD61" s="455"/>
    </row>
    <row r="62" spans="1:30" s="323" customFormat="1" ht="13.2" customHeight="1" x14ac:dyDescent="0.25">
      <c r="A62" s="862"/>
      <c r="B62" s="864"/>
      <c r="C62" s="845"/>
      <c r="D62" s="845"/>
      <c r="E62" s="359"/>
      <c r="F62" s="374"/>
      <c r="G62" s="375"/>
      <c r="H62" s="375"/>
      <c r="I62" s="375"/>
      <c r="J62" s="375"/>
      <c r="K62" s="375"/>
      <c r="L62" s="375"/>
      <c r="M62" s="375"/>
      <c r="N62" s="375"/>
      <c r="O62" s="375"/>
      <c r="P62" s="375"/>
      <c r="Q62" s="375"/>
      <c r="R62" s="375"/>
      <c r="S62" s="375"/>
      <c r="T62" s="375"/>
      <c r="U62" s="375"/>
      <c r="V62" s="375"/>
      <c r="W62" s="375"/>
      <c r="X62" s="375"/>
      <c r="Y62" s="376"/>
      <c r="Z62" s="377"/>
      <c r="AA62" s="378"/>
      <c r="AB62" s="377"/>
      <c r="AC62" s="377"/>
      <c r="AD62" s="455"/>
    </row>
    <row r="63" spans="1:30" s="323" customFormat="1" ht="13.2" customHeight="1" x14ac:dyDescent="0.25">
      <c r="A63" s="862"/>
      <c r="B63" s="864"/>
      <c r="C63" s="845"/>
      <c r="D63" s="845"/>
      <c r="E63" s="359"/>
      <c r="F63" s="374"/>
      <c r="G63" s="375"/>
      <c r="H63" s="375"/>
      <c r="I63" s="375"/>
      <c r="J63" s="375"/>
      <c r="K63" s="375"/>
      <c r="L63" s="375"/>
      <c r="M63" s="375"/>
      <c r="N63" s="375"/>
      <c r="O63" s="375"/>
      <c r="P63" s="375"/>
      <c r="Q63" s="375"/>
      <c r="R63" s="375"/>
      <c r="S63" s="375"/>
      <c r="T63" s="375"/>
      <c r="U63" s="375"/>
      <c r="V63" s="375"/>
      <c r="W63" s="375"/>
      <c r="X63" s="375"/>
      <c r="Y63" s="376"/>
      <c r="Z63" s="377"/>
      <c r="AA63" s="378"/>
      <c r="AB63" s="377"/>
      <c r="AC63" s="377"/>
      <c r="AD63" s="455"/>
    </row>
    <row r="64" spans="1:30" s="323" customFormat="1" ht="13.2" customHeight="1" thickBot="1" x14ac:dyDescent="0.3">
      <c r="A64" s="863"/>
      <c r="B64" s="865"/>
      <c r="C64" s="861"/>
      <c r="D64" s="861"/>
      <c r="E64" s="447"/>
      <c r="F64" s="456"/>
      <c r="G64" s="424"/>
      <c r="H64" s="424"/>
      <c r="I64" s="424"/>
      <c r="J64" s="424"/>
      <c r="K64" s="424"/>
      <c r="L64" s="424"/>
      <c r="M64" s="424"/>
      <c r="N64" s="424"/>
      <c r="O64" s="424"/>
      <c r="P64" s="424"/>
      <c r="Q64" s="424"/>
      <c r="R64" s="424"/>
      <c r="S64" s="424"/>
      <c r="T64" s="424"/>
      <c r="U64" s="424"/>
      <c r="V64" s="424"/>
      <c r="W64" s="424"/>
      <c r="X64" s="424"/>
      <c r="Y64" s="409"/>
      <c r="Z64" s="406"/>
      <c r="AA64" s="457"/>
      <c r="AB64" s="406"/>
      <c r="AC64" s="406"/>
      <c r="AD64" s="458"/>
    </row>
    <row r="65" spans="1:32" s="324" customFormat="1" ht="17.399999999999999" customHeight="1" thickBot="1" x14ac:dyDescent="0.3">
      <c r="A65" s="379"/>
      <c r="B65" s="380" t="s">
        <v>47</v>
      </c>
      <c r="C65" s="381"/>
      <c r="D65" s="382" t="e">
        <f>SUM(D8:D64)</f>
        <v>#REF!</v>
      </c>
      <c r="E65" s="383"/>
      <c r="F65" s="384"/>
      <c r="G65" s="384">
        <f>SUM(G8:G64)</f>
        <v>481988.70999999996</v>
      </c>
      <c r="H65" s="384"/>
      <c r="I65" s="384">
        <f>SUM(I8:I64)</f>
        <v>1542755.92</v>
      </c>
      <c r="J65" s="384"/>
      <c r="K65" s="384">
        <f>SUM(K8:K64)</f>
        <v>2884086.1499999994</v>
      </c>
      <c r="L65" s="384"/>
      <c r="M65" s="384">
        <f>SUM(M8:M64)</f>
        <v>2436414.64</v>
      </c>
      <c r="N65" s="384"/>
      <c r="O65" s="384">
        <f>SUM(O8:O64)</f>
        <v>1007387.4</v>
      </c>
      <c r="P65" s="384"/>
      <c r="Q65" s="384">
        <f>SUM(Q8:Q64)</f>
        <v>2639914.88</v>
      </c>
      <c r="R65" s="384"/>
      <c r="S65" s="384">
        <f>SUM(S8:S64)</f>
        <v>1112793.8799999999</v>
      </c>
      <c r="T65" s="384"/>
      <c r="U65" s="384">
        <f>SUM(U8:U64)</f>
        <v>0</v>
      </c>
      <c r="V65" s="384"/>
      <c r="W65" s="384">
        <f t="shared" ref="W65" si="3">SUM(W8:W64)</f>
        <v>0</v>
      </c>
      <c r="X65" s="384"/>
      <c r="Y65" s="384"/>
      <c r="Z65" s="384">
        <f>Z23+Z27+Z45+Z52+Z58+Z25</f>
        <v>12313690.039999999</v>
      </c>
      <c r="AA65" s="425">
        <f>SUM(AA8:AA58)</f>
        <v>12313690.039999999</v>
      </c>
      <c r="AB65" s="426">
        <f>AB23+AB27+AB45+AB52+AB58+AB25</f>
        <v>12313690.039999999</v>
      </c>
      <c r="AC65" s="426">
        <f>AC23+AC27+AC45+AC52+AC58+AC25</f>
        <v>9892072.1060000025</v>
      </c>
      <c r="AD65" s="427">
        <f>AD23+AD27+AD45+AD52+AD58+AD25</f>
        <v>2223990.8440000005</v>
      </c>
    </row>
    <row r="66" spans="1:32" s="324" customFormat="1" ht="22.2" customHeight="1" x14ac:dyDescent="0.25">
      <c r="C66" s="354"/>
      <c r="D66" s="355"/>
      <c r="E66" s="356"/>
      <c r="F66" s="357"/>
      <c r="G66" s="357"/>
      <c r="H66" s="357"/>
      <c r="I66" s="357"/>
      <c r="J66" s="357"/>
      <c r="K66" s="357"/>
      <c r="L66" s="357"/>
      <c r="M66" s="357"/>
      <c r="N66" s="357"/>
      <c r="O66" s="357"/>
      <c r="P66" s="357"/>
      <c r="Q66" s="357"/>
      <c r="R66" s="357"/>
      <c r="S66" s="357"/>
      <c r="T66" s="357"/>
      <c r="U66" s="357"/>
      <c r="V66" s="357"/>
      <c r="W66" s="357"/>
      <c r="X66" s="357"/>
      <c r="Y66" s="358"/>
      <c r="Z66" s="357"/>
      <c r="AA66" s="358"/>
      <c r="AB66" s="357"/>
      <c r="AC66" s="357"/>
      <c r="AD66" s="357"/>
      <c r="AF66" s="509" t="e">
        <f>D30-AA30</f>
        <v>#REF!</v>
      </c>
    </row>
    <row r="67" spans="1:32" s="324" customFormat="1" ht="21.75" customHeight="1" x14ac:dyDescent="0.2">
      <c r="A67" s="309"/>
      <c r="B67" s="325"/>
      <c r="C67" s="326"/>
      <c r="D67" s="327"/>
      <c r="E67" s="325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8"/>
      <c r="Q67" s="328"/>
      <c r="R67" s="328"/>
      <c r="S67" s="328"/>
      <c r="T67" s="328"/>
      <c r="U67" s="328"/>
      <c r="V67" s="328"/>
      <c r="W67" s="328"/>
      <c r="X67" s="328"/>
      <c r="Y67" s="326"/>
      <c r="Z67" s="326"/>
      <c r="AA67" s="326"/>
    </row>
    <row r="68" spans="1:32" s="324" customFormat="1" ht="17.25" customHeight="1" x14ac:dyDescent="0.2">
      <c r="A68" s="309"/>
      <c r="B68" s="329" t="s">
        <v>147</v>
      </c>
      <c r="C68" s="326"/>
      <c r="D68" s="327"/>
      <c r="E68" s="325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8"/>
      <c r="Q68" s="328"/>
      <c r="R68" s="328"/>
      <c r="S68" s="328"/>
      <c r="T68" s="328"/>
      <c r="U68" s="328"/>
      <c r="V68" s="328"/>
      <c r="W68" s="328"/>
      <c r="X68" s="328"/>
      <c r="Y68" s="326"/>
      <c r="Z68" s="326"/>
      <c r="AB68" s="330"/>
    </row>
    <row r="69" spans="1:32" s="331" customFormat="1" x14ac:dyDescent="0.25">
      <c r="C69" s="332"/>
      <c r="D69" s="333"/>
      <c r="E69" s="311"/>
      <c r="F69" s="334"/>
      <c r="G69" s="334"/>
      <c r="H69" s="334"/>
      <c r="I69" s="334"/>
      <c r="J69" s="334"/>
      <c r="K69" s="334"/>
      <c r="L69" s="334"/>
      <c r="M69" s="334"/>
      <c r="N69" s="334"/>
      <c r="O69" s="334"/>
      <c r="P69" s="334"/>
      <c r="Q69" s="334"/>
      <c r="R69" s="334"/>
      <c r="S69" s="334"/>
      <c r="T69" s="334"/>
      <c r="U69" s="334"/>
      <c r="V69" s="334"/>
      <c r="W69" s="334"/>
      <c r="X69" s="334"/>
      <c r="Y69" s="335"/>
      <c r="Z69" s="335"/>
      <c r="AA69" s="336"/>
    </row>
    <row r="70" spans="1:32" s="331" customFormat="1" x14ac:dyDescent="0.25">
      <c r="C70" s="332"/>
      <c r="D70" s="333"/>
      <c r="E70" s="311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4"/>
      <c r="Q70" s="334"/>
      <c r="R70" s="334"/>
      <c r="S70" s="334"/>
      <c r="T70" s="334"/>
      <c r="U70" s="334"/>
      <c r="V70" s="334"/>
      <c r="W70" s="334"/>
      <c r="X70" s="334"/>
      <c r="Y70" s="335"/>
      <c r="Z70" s="335"/>
      <c r="AA70" s="335"/>
      <c r="AB70" s="337"/>
    </row>
    <row r="71" spans="1:32" x14ac:dyDescent="0.25">
      <c r="C71" s="338"/>
      <c r="D71" s="339"/>
      <c r="F71" s="334"/>
      <c r="G71" s="334"/>
      <c r="H71" s="334"/>
      <c r="I71" s="334"/>
      <c r="J71" s="334"/>
      <c r="K71" s="334"/>
      <c r="L71" s="334"/>
      <c r="M71" s="334"/>
      <c r="N71" s="334"/>
      <c r="O71" s="334"/>
      <c r="P71" s="334"/>
      <c r="Q71" s="334"/>
      <c r="R71" s="334"/>
      <c r="S71" s="334"/>
      <c r="T71" s="334"/>
      <c r="U71" s="334"/>
      <c r="V71" s="334"/>
      <c r="W71" s="334"/>
      <c r="X71" s="334"/>
      <c r="Y71" s="340"/>
      <c r="Z71" s="340"/>
      <c r="AA71" s="340"/>
    </row>
    <row r="72" spans="1:32" x14ac:dyDescent="0.25">
      <c r="B72" s="308" t="s">
        <v>7</v>
      </c>
      <c r="C72" s="338"/>
      <c r="D72" s="339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4"/>
      <c r="Q72" s="334"/>
      <c r="R72" s="334"/>
      <c r="S72" s="334"/>
      <c r="T72" s="334"/>
      <c r="U72" s="334"/>
      <c r="V72" s="334"/>
      <c r="W72" s="334"/>
      <c r="X72" s="334"/>
      <c r="Y72" s="335"/>
      <c r="Z72" s="335"/>
      <c r="AA72" s="335"/>
    </row>
    <row r="73" spans="1:32" x14ac:dyDescent="0.25">
      <c r="C73" s="338"/>
      <c r="D73" s="339"/>
      <c r="F73" s="334"/>
      <c r="G73" s="334"/>
      <c r="H73" s="334"/>
      <c r="I73" s="334"/>
      <c r="J73" s="334"/>
      <c r="K73" s="334"/>
      <c r="L73" s="334"/>
      <c r="M73" s="334"/>
      <c r="N73" s="334"/>
      <c r="O73" s="334"/>
      <c r="P73" s="334"/>
      <c r="Q73" s="334"/>
      <c r="R73" s="334"/>
      <c r="S73" s="334"/>
      <c r="T73" s="334"/>
      <c r="U73" s="334"/>
      <c r="V73" s="334"/>
      <c r="W73" s="334"/>
      <c r="X73" s="334"/>
      <c r="Y73" s="340"/>
      <c r="Z73" s="340"/>
      <c r="AA73" s="340"/>
    </row>
    <row r="74" spans="1:32" x14ac:dyDescent="0.25">
      <c r="C74" s="338"/>
      <c r="D74" s="339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4"/>
      <c r="Q74" s="334"/>
      <c r="R74" s="334"/>
      <c r="S74" s="334"/>
      <c r="T74" s="334"/>
      <c r="U74" s="334"/>
      <c r="V74" s="334"/>
      <c r="W74" s="334"/>
      <c r="X74" s="334"/>
      <c r="Y74" s="318"/>
      <c r="Z74" s="318"/>
      <c r="AA74" s="318"/>
    </row>
    <row r="75" spans="1:32" x14ac:dyDescent="0.25">
      <c r="C75" s="338"/>
      <c r="D75" s="339"/>
      <c r="F75" s="334"/>
      <c r="G75" s="334"/>
      <c r="H75" s="334"/>
      <c r="I75" s="334"/>
      <c r="J75" s="334"/>
      <c r="K75" s="334"/>
      <c r="L75" s="334"/>
      <c r="M75" s="334"/>
      <c r="N75" s="334"/>
      <c r="O75" s="334"/>
      <c r="P75" s="334"/>
      <c r="Q75" s="334"/>
      <c r="R75" s="334"/>
      <c r="S75" s="334"/>
      <c r="T75" s="334"/>
      <c r="U75" s="334"/>
      <c r="V75" s="334"/>
      <c r="W75" s="334"/>
      <c r="X75" s="334"/>
      <c r="Y75" s="318"/>
      <c r="Z75" s="318"/>
      <c r="AA75" s="318"/>
    </row>
    <row r="76" spans="1:32" x14ac:dyDescent="0.25">
      <c r="C76" s="338"/>
      <c r="D76" s="339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4"/>
      <c r="Q76" s="334"/>
      <c r="R76" s="334"/>
      <c r="S76" s="334"/>
      <c r="T76" s="334"/>
      <c r="U76" s="334"/>
      <c r="V76" s="334"/>
      <c r="W76" s="334"/>
      <c r="X76" s="334"/>
      <c r="Y76" s="318"/>
      <c r="Z76" s="318"/>
      <c r="AA76" s="318"/>
    </row>
    <row r="77" spans="1:32" x14ac:dyDescent="0.25">
      <c r="C77" s="338"/>
      <c r="D77" s="339"/>
      <c r="F77" s="334"/>
      <c r="G77" s="334"/>
      <c r="H77" s="334"/>
      <c r="I77" s="334"/>
      <c r="J77" s="334"/>
      <c r="K77" s="334"/>
      <c r="L77" s="334"/>
      <c r="M77" s="334"/>
      <c r="N77" s="334"/>
      <c r="O77" s="334"/>
      <c r="P77" s="334"/>
      <c r="Q77" s="334"/>
      <c r="R77" s="334"/>
      <c r="S77" s="334"/>
      <c r="T77" s="334"/>
      <c r="U77" s="334"/>
      <c r="V77" s="334"/>
      <c r="W77" s="334"/>
      <c r="X77" s="334"/>
      <c r="Y77" s="318"/>
      <c r="Z77" s="318"/>
      <c r="AA77" s="318"/>
    </row>
    <row r="78" spans="1:32" x14ac:dyDescent="0.25">
      <c r="C78" s="338"/>
      <c r="D78" s="339"/>
      <c r="F78" s="334"/>
      <c r="G78" s="334"/>
      <c r="H78" s="334"/>
      <c r="I78" s="334"/>
      <c r="J78" s="334"/>
      <c r="K78" s="334"/>
      <c r="L78" s="334"/>
      <c r="M78" s="334"/>
      <c r="N78" s="334"/>
      <c r="O78" s="334"/>
      <c r="P78" s="334"/>
      <c r="Q78" s="334"/>
      <c r="R78" s="334"/>
      <c r="S78" s="334"/>
      <c r="T78" s="334"/>
      <c r="U78" s="334"/>
      <c r="V78" s="334"/>
      <c r="W78" s="334"/>
      <c r="X78" s="334"/>
      <c r="Y78" s="318"/>
      <c r="Z78" s="318"/>
      <c r="AA78" s="318"/>
    </row>
    <row r="79" spans="1:32" x14ac:dyDescent="0.25">
      <c r="C79" s="338"/>
      <c r="D79" s="339"/>
      <c r="F79" s="334"/>
      <c r="G79" s="334"/>
      <c r="H79" s="334"/>
      <c r="I79" s="334"/>
      <c r="J79" s="334"/>
      <c r="K79" s="334"/>
      <c r="L79" s="334"/>
      <c r="M79" s="334"/>
      <c r="N79" s="334"/>
      <c r="O79" s="334"/>
      <c r="P79" s="334"/>
      <c r="Q79" s="334"/>
      <c r="R79" s="334"/>
      <c r="S79" s="334"/>
      <c r="T79" s="334"/>
      <c r="U79" s="334"/>
      <c r="V79" s="334"/>
      <c r="W79" s="334"/>
      <c r="X79" s="334"/>
      <c r="Y79" s="318"/>
      <c r="Z79" s="318"/>
      <c r="AA79" s="318"/>
    </row>
    <row r="80" spans="1:32" x14ac:dyDescent="0.25">
      <c r="C80" s="338"/>
      <c r="D80" s="339"/>
      <c r="F80" s="334"/>
      <c r="G80" s="334"/>
      <c r="H80" s="334"/>
      <c r="I80" s="334"/>
      <c r="J80" s="334"/>
      <c r="K80" s="334"/>
      <c r="L80" s="334"/>
      <c r="M80" s="334"/>
      <c r="N80" s="334"/>
      <c r="O80" s="334"/>
      <c r="P80" s="334"/>
      <c r="Q80" s="334"/>
      <c r="R80" s="334"/>
      <c r="S80" s="334"/>
      <c r="T80" s="334"/>
      <c r="U80" s="334"/>
      <c r="V80" s="334"/>
      <c r="W80" s="334"/>
      <c r="X80" s="334"/>
      <c r="Y80" s="318"/>
      <c r="Z80" s="318"/>
      <c r="AA80" s="318"/>
    </row>
    <row r="81" spans="3:27" x14ac:dyDescent="0.25">
      <c r="C81" s="338"/>
      <c r="D81" s="339"/>
      <c r="F81" s="334"/>
      <c r="G81" s="334"/>
      <c r="H81" s="334"/>
      <c r="I81" s="334"/>
      <c r="J81" s="334"/>
      <c r="K81" s="334"/>
      <c r="L81" s="334"/>
      <c r="M81" s="334"/>
      <c r="N81" s="334"/>
      <c r="O81" s="334"/>
      <c r="P81" s="334"/>
      <c r="Q81" s="334"/>
      <c r="R81" s="334"/>
      <c r="S81" s="334"/>
      <c r="T81" s="334"/>
      <c r="U81" s="334"/>
      <c r="V81" s="334"/>
      <c r="W81" s="334"/>
      <c r="X81" s="334"/>
      <c r="Y81" s="318"/>
      <c r="Z81" s="318"/>
      <c r="AA81" s="318"/>
    </row>
    <row r="82" spans="3:27" x14ac:dyDescent="0.25">
      <c r="C82" s="338"/>
      <c r="D82" s="339"/>
      <c r="F82" s="334"/>
      <c r="G82" s="334"/>
      <c r="H82" s="334"/>
      <c r="I82" s="334"/>
      <c r="J82" s="334"/>
      <c r="K82" s="334"/>
      <c r="L82" s="334"/>
      <c r="M82" s="334"/>
      <c r="N82" s="334"/>
      <c r="O82" s="334"/>
      <c r="P82" s="334"/>
      <c r="Q82" s="334"/>
      <c r="R82" s="334"/>
      <c r="S82" s="334"/>
      <c r="T82" s="334"/>
      <c r="U82" s="334"/>
      <c r="V82" s="334"/>
      <c r="W82" s="334"/>
      <c r="X82" s="334"/>
      <c r="Y82" s="318"/>
      <c r="Z82" s="318"/>
      <c r="AA82" s="318"/>
    </row>
    <row r="83" spans="3:27" x14ac:dyDescent="0.25">
      <c r="C83" s="338"/>
      <c r="D83" s="339"/>
      <c r="F83" s="334"/>
      <c r="G83" s="334"/>
      <c r="H83" s="334"/>
      <c r="I83" s="334"/>
      <c r="J83" s="334"/>
      <c r="K83" s="334"/>
      <c r="L83" s="334"/>
      <c r="M83" s="334"/>
      <c r="N83" s="334"/>
      <c r="O83" s="334"/>
      <c r="P83" s="334"/>
      <c r="Q83" s="334"/>
      <c r="R83" s="334"/>
      <c r="S83" s="334"/>
      <c r="T83" s="334"/>
      <c r="U83" s="334"/>
      <c r="V83" s="334"/>
      <c r="W83" s="334"/>
      <c r="X83" s="334"/>
      <c r="Y83" s="318"/>
      <c r="Z83" s="318"/>
      <c r="AA83" s="318"/>
    </row>
    <row r="84" spans="3:27" x14ac:dyDescent="0.25">
      <c r="C84" s="338"/>
      <c r="D84" s="339"/>
      <c r="F84" s="334"/>
      <c r="G84" s="334"/>
      <c r="H84" s="334"/>
      <c r="I84" s="334"/>
      <c r="J84" s="334"/>
      <c r="K84" s="334"/>
      <c r="L84" s="334"/>
      <c r="M84" s="334"/>
      <c r="N84" s="334"/>
      <c r="O84" s="334"/>
      <c r="P84" s="334"/>
      <c r="Q84" s="334"/>
      <c r="R84" s="334"/>
      <c r="S84" s="334"/>
      <c r="T84" s="334"/>
      <c r="U84" s="334"/>
      <c r="V84" s="334"/>
      <c r="W84" s="334"/>
      <c r="X84" s="334"/>
      <c r="Y84" s="318"/>
      <c r="Z84" s="318"/>
      <c r="AA84" s="318"/>
    </row>
    <row r="85" spans="3:27" x14ac:dyDescent="0.25">
      <c r="C85" s="338"/>
      <c r="D85" s="339"/>
      <c r="F85" s="334"/>
      <c r="G85" s="334"/>
      <c r="H85" s="334"/>
      <c r="I85" s="334"/>
      <c r="J85" s="334"/>
      <c r="K85" s="334"/>
      <c r="L85" s="334"/>
      <c r="M85" s="334"/>
      <c r="N85" s="334"/>
      <c r="O85" s="334"/>
      <c r="P85" s="334"/>
      <c r="Q85" s="334"/>
      <c r="R85" s="334"/>
      <c r="S85" s="334"/>
      <c r="T85" s="334"/>
      <c r="U85" s="334"/>
      <c r="V85" s="334"/>
      <c r="W85" s="334"/>
      <c r="X85" s="334"/>
      <c r="Y85" s="318"/>
      <c r="Z85" s="318"/>
      <c r="AA85" s="318"/>
    </row>
    <row r="86" spans="3:27" x14ac:dyDescent="0.25">
      <c r="C86" s="338"/>
      <c r="D86" s="339"/>
      <c r="F86" s="334"/>
      <c r="G86" s="334"/>
      <c r="H86" s="334"/>
      <c r="I86" s="334"/>
      <c r="J86" s="334"/>
      <c r="K86" s="334"/>
      <c r="L86" s="334"/>
      <c r="M86" s="334"/>
      <c r="N86" s="334"/>
      <c r="O86" s="334"/>
      <c r="P86" s="334"/>
      <c r="Q86" s="334"/>
      <c r="R86" s="334"/>
      <c r="S86" s="334"/>
      <c r="T86" s="334"/>
      <c r="U86" s="334"/>
      <c r="V86" s="334"/>
      <c r="W86" s="334"/>
      <c r="X86" s="334"/>
      <c r="Y86" s="318"/>
      <c r="Z86" s="318"/>
      <c r="AA86" s="318"/>
    </row>
    <row r="87" spans="3:27" x14ac:dyDescent="0.25">
      <c r="C87" s="338"/>
      <c r="D87" s="339"/>
      <c r="F87" s="334"/>
      <c r="G87" s="334"/>
      <c r="H87" s="334"/>
      <c r="I87" s="334"/>
      <c r="J87" s="334"/>
      <c r="K87" s="334"/>
      <c r="L87" s="334"/>
      <c r="M87" s="334"/>
      <c r="N87" s="334"/>
      <c r="O87" s="334"/>
      <c r="P87" s="334"/>
      <c r="Q87" s="334"/>
      <c r="R87" s="334"/>
      <c r="S87" s="334"/>
      <c r="T87" s="334"/>
      <c r="U87" s="334"/>
      <c r="V87" s="334"/>
      <c r="W87" s="334"/>
      <c r="X87" s="334"/>
      <c r="Y87" s="318"/>
      <c r="Z87" s="318"/>
      <c r="AA87" s="318"/>
    </row>
    <row r="88" spans="3:27" x14ac:dyDescent="0.25">
      <c r="C88" s="338"/>
      <c r="D88" s="339"/>
      <c r="F88" s="334"/>
      <c r="G88" s="334"/>
      <c r="H88" s="334"/>
      <c r="I88" s="334"/>
      <c r="J88" s="334"/>
      <c r="K88" s="334"/>
      <c r="L88" s="334"/>
      <c r="M88" s="334"/>
      <c r="N88" s="334"/>
      <c r="O88" s="334"/>
      <c r="P88" s="334"/>
      <c r="Q88" s="334"/>
      <c r="R88" s="334"/>
      <c r="S88" s="334"/>
      <c r="T88" s="334"/>
      <c r="U88" s="334"/>
      <c r="V88" s="334"/>
      <c r="W88" s="334"/>
      <c r="X88" s="334"/>
      <c r="Y88" s="318"/>
      <c r="Z88" s="318"/>
      <c r="AA88" s="318"/>
    </row>
    <row r="89" spans="3:27" x14ac:dyDescent="0.25">
      <c r="C89" s="338"/>
      <c r="D89" s="339"/>
      <c r="F89" s="334"/>
      <c r="G89" s="334"/>
      <c r="H89" s="334"/>
      <c r="I89" s="334"/>
      <c r="J89" s="334"/>
      <c r="K89" s="334"/>
      <c r="L89" s="334"/>
      <c r="M89" s="334"/>
      <c r="N89" s="334"/>
      <c r="O89" s="334"/>
      <c r="P89" s="334"/>
      <c r="Q89" s="334"/>
      <c r="R89" s="334"/>
      <c r="S89" s="334"/>
      <c r="T89" s="334"/>
      <c r="U89" s="334"/>
      <c r="V89" s="334"/>
      <c r="W89" s="334"/>
      <c r="X89" s="334"/>
      <c r="Y89" s="318"/>
      <c r="Z89" s="318"/>
      <c r="AA89" s="318"/>
    </row>
    <row r="90" spans="3:27" x14ac:dyDescent="0.25">
      <c r="C90" s="338"/>
      <c r="D90" s="339"/>
      <c r="F90" s="334"/>
      <c r="G90" s="334"/>
      <c r="H90" s="334"/>
      <c r="I90" s="334"/>
      <c r="J90" s="334"/>
      <c r="K90" s="334"/>
      <c r="L90" s="334"/>
      <c r="M90" s="334"/>
      <c r="N90" s="334"/>
      <c r="O90" s="334"/>
      <c r="P90" s="334"/>
      <c r="Q90" s="334"/>
      <c r="R90" s="334"/>
      <c r="S90" s="334"/>
      <c r="T90" s="334"/>
      <c r="U90" s="334"/>
      <c r="V90" s="334"/>
      <c r="W90" s="334"/>
      <c r="X90" s="334"/>
      <c r="Y90" s="318"/>
      <c r="Z90" s="318"/>
      <c r="AA90" s="318"/>
    </row>
    <row r="91" spans="3:27" x14ac:dyDescent="0.25">
      <c r="C91" s="338"/>
      <c r="D91" s="339"/>
      <c r="F91" s="334"/>
      <c r="G91" s="334"/>
      <c r="H91" s="334"/>
      <c r="I91" s="334"/>
      <c r="J91" s="334"/>
      <c r="K91" s="334"/>
      <c r="L91" s="334"/>
      <c r="M91" s="334"/>
      <c r="N91" s="334"/>
      <c r="O91" s="334"/>
      <c r="P91" s="334"/>
      <c r="Q91" s="334"/>
      <c r="R91" s="334"/>
      <c r="S91" s="334"/>
      <c r="T91" s="334"/>
      <c r="U91" s="334"/>
      <c r="V91" s="334"/>
      <c r="W91" s="334"/>
      <c r="X91" s="334"/>
      <c r="Y91" s="318"/>
      <c r="Z91" s="318"/>
      <c r="AA91" s="318"/>
    </row>
    <row r="92" spans="3:27" x14ac:dyDescent="0.25">
      <c r="C92" s="338"/>
      <c r="D92" s="339"/>
      <c r="F92" s="334"/>
      <c r="G92" s="334"/>
      <c r="H92" s="334"/>
      <c r="I92" s="334"/>
      <c r="J92" s="334"/>
      <c r="K92" s="334"/>
      <c r="L92" s="334"/>
      <c r="M92" s="334"/>
      <c r="N92" s="334"/>
      <c r="O92" s="334"/>
      <c r="P92" s="334"/>
      <c r="Q92" s="334"/>
      <c r="R92" s="334"/>
      <c r="S92" s="334"/>
      <c r="T92" s="334"/>
      <c r="U92" s="334"/>
      <c r="V92" s="334"/>
      <c r="W92" s="334"/>
      <c r="X92" s="334"/>
      <c r="Y92" s="318"/>
      <c r="Z92" s="318"/>
      <c r="AA92" s="318"/>
    </row>
    <row r="93" spans="3:27" x14ac:dyDescent="0.25">
      <c r="C93" s="338"/>
      <c r="D93" s="339"/>
      <c r="F93" s="334"/>
      <c r="G93" s="334"/>
      <c r="H93" s="334"/>
      <c r="I93" s="334"/>
      <c r="J93" s="334"/>
      <c r="K93" s="334"/>
      <c r="L93" s="334"/>
      <c r="M93" s="334"/>
      <c r="N93" s="334"/>
      <c r="O93" s="334"/>
      <c r="P93" s="334"/>
      <c r="Q93" s="334"/>
      <c r="R93" s="334"/>
      <c r="S93" s="334"/>
      <c r="T93" s="334"/>
      <c r="U93" s="334"/>
      <c r="V93" s="334"/>
      <c r="W93" s="334"/>
      <c r="X93" s="334"/>
      <c r="Y93" s="318"/>
      <c r="Z93" s="318"/>
      <c r="AA93" s="318"/>
    </row>
    <row r="94" spans="3:27" x14ac:dyDescent="0.25">
      <c r="C94" s="338"/>
      <c r="D94" s="339"/>
      <c r="F94" s="334"/>
      <c r="G94" s="334"/>
      <c r="H94" s="334"/>
      <c r="I94" s="334"/>
      <c r="J94" s="334"/>
      <c r="K94" s="334"/>
      <c r="L94" s="334"/>
      <c r="M94" s="334"/>
      <c r="N94" s="334"/>
      <c r="O94" s="334"/>
      <c r="P94" s="334"/>
      <c r="Q94" s="334"/>
      <c r="R94" s="334"/>
      <c r="S94" s="334"/>
      <c r="T94" s="334"/>
      <c r="U94" s="334"/>
      <c r="V94" s="334"/>
      <c r="W94" s="334"/>
      <c r="X94" s="334"/>
      <c r="Y94" s="318"/>
      <c r="Z94" s="318"/>
      <c r="AA94" s="318"/>
    </row>
    <row r="95" spans="3:27" x14ac:dyDescent="0.25">
      <c r="C95" s="338"/>
      <c r="D95" s="339"/>
      <c r="F95" s="334"/>
      <c r="G95" s="334"/>
      <c r="H95" s="334"/>
      <c r="I95" s="334"/>
      <c r="J95" s="334"/>
      <c r="K95" s="334"/>
      <c r="L95" s="334"/>
      <c r="M95" s="334"/>
      <c r="N95" s="334"/>
      <c r="O95" s="334"/>
      <c r="P95" s="334"/>
      <c r="Q95" s="334"/>
      <c r="R95" s="334"/>
      <c r="S95" s="334"/>
      <c r="T95" s="334"/>
      <c r="U95" s="334"/>
      <c r="V95" s="334"/>
      <c r="W95" s="334"/>
      <c r="X95" s="334"/>
      <c r="Y95" s="318"/>
      <c r="Z95" s="318"/>
      <c r="AA95" s="318"/>
    </row>
    <row r="96" spans="3:27" x14ac:dyDescent="0.25">
      <c r="C96" s="338"/>
      <c r="D96" s="339"/>
      <c r="F96" s="334"/>
      <c r="G96" s="334"/>
      <c r="H96" s="334"/>
      <c r="I96" s="334"/>
      <c r="J96" s="334"/>
      <c r="K96" s="334"/>
      <c r="L96" s="334"/>
      <c r="M96" s="334"/>
      <c r="N96" s="334"/>
      <c r="O96" s="334"/>
      <c r="P96" s="334"/>
      <c r="Q96" s="334"/>
      <c r="R96" s="334"/>
      <c r="S96" s="334"/>
      <c r="T96" s="334"/>
      <c r="U96" s="334"/>
      <c r="V96" s="334"/>
      <c r="W96" s="334"/>
      <c r="X96" s="334"/>
      <c r="Y96" s="318"/>
      <c r="Z96" s="318"/>
      <c r="AA96" s="318"/>
    </row>
    <row r="97" spans="3:27" x14ac:dyDescent="0.25">
      <c r="C97" s="338"/>
      <c r="D97" s="339"/>
      <c r="F97" s="334"/>
      <c r="G97" s="334"/>
      <c r="H97" s="334"/>
      <c r="I97" s="334"/>
      <c r="J97" s="334"/>
      <c r="K97" s="334"/>
      <c r="L97" s="334"/>
      <c r="M97" s="334"/>
      <c r="N97" s="334"/>
      <c r="O97" s="334"/>
      <c r="P97" s="334"/>
      <c r="Q97" s="334"/>
      <c r="R97" s="334"/>
      <c r="S97" s="334"/>
      <c r="T97" s="334"/>
      <c r="U97" s="334"/>
      <c r="V97" s="334"/>
      <c r="W97" s="334"/>
      <c r="X97" s="334"/>
      <c r="Y97" s="318"/>
      <c r="Z97" s="318"/>
      <c r="AA97" s="318"/>
    </row>
  </sheetData>
  <mergeCells count="48">
    <mergeCell ref="A2:Y2"/>
    <mergeCell ref="A4:A6"/>
    <mergeCell ref="B4:B6"/>
    <mergeCell ref="C4:D5"/>
    <mergeCell ref="E4:E6"/>
    <mergeCell ref="F4:W4"/>
    <mergeCell ref="Y4:AA5"/>
    <mergeCell ref="AB4:AD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C8:C22"/>
    <mergeCell ref="D8:D22"/>
    <mergeCell ref="AA8:AA22"/>
    <mergeCell ref="A27:A29"/>
    <mergeCell ref="B27:B29"/>
    <mergeCell ref="D27:D29"/>
    <mergeCell ref="A25:A26"/>
    <mergeCell ref="B25:B26"/>
    <mergeCell ref="C25:C26"/>
    <mergeCell ref="AA25:AA26"/>
    <mergeCell ref="A8:A22"/>
    <mergeCell ref="B8:B22"/>
    <mergeCell ref="A59:A64"/>
    <mergeCell ref="B59:B64"/>
    <mergeCell ref="C59:C64"/>
    <mergeCell ref="D59:D64"/>
    <mergeCell ref="A53:A58"/>
    <mergeCell ref="B53:B58"/>
    <mergeCell ref="C53:C58"/>
    <mergeCell ref="D53:D58"/>
    <mergeCell ref="AA53:AA57"/>
    <mergeCell ref="AA30:AA44"/>
    <mergeCell ref="A47:A52"/>
    <mergeCell ref="B47:B52"/>
    <mergeCell ref="C47:C52"/>
    <mergeCell ref="D47:D52"/>
    <mergeCell ref="AA47:AA51"/>
    <mergeCell ref="A30:A45"/>
    <mergeCell ref="B30:B45"/>
    <mergeCell ref="C30:C45"/>
    <mergeCell ref="D30:D45"/>
  </mergeCells>
  <pageMargins left="1.1023622047244095" right="0.55118110236220474" top="1.3385826771653544" bottom="0.15748031496062992" header="0.6692913385826772" footer="0.15748031496062992"/>
  <pageSetup paperSize="9" scale="54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4"/>
  <sheetViews>
    <sheetView showWhiteSpace="0" topLeftCell="A7" zoomScale="102" zoomScaleNormal="102" zoomScaleSheetLayoutView="80" workbookViewId="0">
      <selection activeCell="E52" sqref="E52"/>
    </sheetView>
  </sheetViews>
  <sheetFormatPr defaultColWidth="9.109375" defaultRowHeight="12" x14ac:dyDescent="0.25"/>
  <cols>
    <col min="1" max="1" width="5.6640625" style="308" customWidth="1"/>
    <col min="2" max="2" width="35.6640625" style="308" customWidth="1"/>
    <col min="3" max="3" width="5.6640625" style="307" customWidth="1"/>
    <col min="4" max="4" width="10.44140625" style="307" customWidth="1"/>
    <col min="5" max="5" width="13.5546875" style="307" customWidth="1"/>
    <col min="6" max="6" width="9.109375" style="308"/>
    <col min="7" max="7" width="13.33203125" style="308" bestFit="1" customWidth="1"/>
    <col min="8" max="16384" width="9.109375" style="308"/>
  </cols>
  <sheetData>
    <row r="1" spans="1:5" ht="16.95" customHeight="1" x14ac:dyDescent="0.25">
      <c r="C1" s="309"/>
      <c r="D1" s="308"/>
      <c r="E1" s="308"/>
    </row>
    <row r="2" spans="1:5" ht="15" customHeight="1" x14ac:dyDescent="0.25">
      <c r="A2" s="916" t="s">
        <v>181</v>
      </c>
      <c r="B2" s="916"/>
      <c r="C2" s="916"/>
      <c r="D2" s="917"/>
      <c r="E2" s="917"/>
    </row>
    <row r="3" spans="1:5" ht="15" customHeight="1" x14ac:dyDescent="0.25">
      <c r="A3" s="309"/>
      <c r="B3" s="309"/>
      <c r="C3" s="309"/>
      <c r="D3" s="896" t="s">
        <v>182</v>
      </c>
      <c r="E3" s="896"/>
    </row>
    <row r="4" spans="1:5" ht="27.75" customHeight="1" x14ac:dyDescent="0.25">
      <c r="A4" s="521" t="s">
        <v>179</v>
      </c>
      <c r="B4" s="522" t="s">
        <v>180</v>
      </c>
      <c r="C4" s="314" t="s">
        <v>128</v>
      </c>
      <c r="D4" s="523" t="s">
        <v>183</v>
      </c>
      <c r="E4" s="520" t="s">
        <v>184</v>
      </c>
    </row>
    <row r="5" spans="1:5" s="323" customFormat="1" ht="12" customHeight="1" x14ac:dyDescent="0.25">
      <c r="A5" s="887">
        <v>1</v>
      </c>
      <c r="B5" s="890" t="s">
        <v>173</v>
      </c>
      <c r="C5" s="322" t="s">
        <v>53</v>
      </c>
      <c r="D5" s="322">
        <v>7494.3</v>
      </c>
      <c r="E5" s="322">
        <f>D5*1.2</f>
        <v>8993.16</v>
      </c>
    </row>
    <row r="6" spans="1:5" s="323" customFormat="1" ht="12" customHeight="1" x14ac:dyDescent="0.25">
      <c r="A6" s="887"/>
      <c r="B6" s="890"/>
      <c r="C6" s="322" t="s">
        <v>69</v>
      </c>
      <c r="D6" s="322">
        <v>23.05</v>
      </c>
      <c r="E6" s="322">
        <f t="shared" ref="E6:E19" si="0">D6*1.2</f>
        <v>27.66</v>
      </c>
    </row>
    <row r="7" spans="1:5" s="323" customFormat="1" ht="12" customHeight="1" x14ac:dyDescent="0.25">
      <c r="A7" s="887"/>
      <c r="B7" s="890"/>
      <c r="C7" s="322" t="s">
        <v>70</v>
      </c>
      <c r="D7" s="322">
        <v>7768.48</v>
      </c>
      <c r="E7" s="322">
        <f t="shared" si="0"/>
        <v>9322.1759999999995</v>
      </c>
    </row>
    <row r="8" spans="1:5" s="323" customFormat="1" ht="12" customHeight="1" x14ac:dyDescent="0.25">
      <c r="A8" s="887"/>
      <c r="B8" s="890"/>
      <c r="C8" s="322" t="s">
        <v>71</v>
      </c>
      <c r="D8" s="322">
        <v>9249.06</v>
      </c>
      <c r="E8" s="322">
        <f t="shared" si="0"/>
        <v>11098.871999999999</v>
      </c>
    </row>
    <row r="9" spans="1:5" s="323" customFormat="1" ht="12" customHeight="1" x14ac:dyDescent="0.25">
      <c r="A9" s="887"/>
      <c r="B9" s="890"/>
      <c r="C9" s="322" t="s">
        <v>72</v>
      </c>
      <c r="D9" s="322">
        <v>2284.84</v>
      </c>
      <c r="E9" s="322">
        <f t="shared" si="0"/>
        <v>2741.808</v>
      </c>
    </row>
    <row r="10" spans="1:5" s="323" customFormat="1" ht="12" customHeight="1" x14ac:dyDescent="0.25">
      <c r="A10" s="887"/>
      <c r="B10" s="890"/>
      <c r="C10" s="322" t="s">
        <v>73</v>
      </c>
      <c r="D10" s="322">
        <v>48021.11</v>
      </c>
      <c r="E10" s="322">
        <f t="shared" si="0"/>
        <v>57625.332000000002</v>
      </c>
    </row>
    <row r="11" spans="1:5" s="323" customFormat="1" ht="12" customHeight="1" x14ac:dyDescent="0.25">
      <c r="A11" s="887"/>
      <c r="B11" s="890"/>
      <c r="C11" s="322" t="s">
        <v>74</v>
      </c>
      <c r="D11" s="322">
        <v>9413.57</v>
      </c>
      <c r="E11" s="322">
        <f t="shared" si="0"/>
        <v>11296.284</v>
      </c>
    </row>
    <row r="12" spans="1:5" s="323" customFormat="1" ht="12" customHeight="1" x14ac:dyDescent="0.25">
      <c r="A12" s="887"/>
      <c r="B12" s="890"/>
      <c r="C12" s="322" t="s">
        <v>77</v>
      </c>
      <c r="D12" s="322">
        <v>7886.82</v>
      </c>
      <c r="E12" s="322">
        <f t="shared" si="0"/>
        <v>9464.1839999999993</v>
      </c>
    </row>
    <row r="13" spans="1:5" s="323" customFormat="1" ht="12" customHeight="1" x14ac:dyDescent="0.25">
      <c r="A13" s="887"/>
      <c r="B13" s="890"/>
      <c r="C13" s="322" t="s">
        <v>78</v>
      </c>
      <c r="D13" s="322">
        <v>6086.26</v>
      </c>
      <c r="E13" s="322">
        <f t="shared" si="0"/>
        <v>7303.5119999999997</v>
      </c>
    </row>
    <row r="14" spans="1:5" s="323" customFormat="1" ht="12" customHeight="1" x14ac:dyDescent="0.25">
      <c r="A14" s="887"/>
      <c r="B14" s="890"/>
      <c r="C14" s="322" t="s">
        <v>76</v>
      </c>
      <c r="D14" s="322">
        <v>16396.86</v>
      </c>
      <c r="E14" s="322">
        <f t="shared" si="0"/>
        <v>19676.232</v>
      </c>
    </row>
    <row r="15" spans="1:5" s="323" customFormat="1" ht="12" customHeight="1" x14ac:dyDescent="0.25">
      <c r="A15" s="887"/>
      <c r="B15" s="890"/>
      <c r="C15" s="322" t="s">
        <v>79</v>
      </c>
      <c r="D15" s="322">
        <v>2576.71</v>
      </c>
      <c r="E15" s="322">
        <f t="shared" si="0"/>
        <v>3092.0520000000001</v>
      </c>
    </row>
    <row r="16" spans="1:5" s="323" customFormat="1" ht="12" customHeight="1" x14ac:dyDescent="0.25">
      <c r="A16" s="887"/>
      <c r="B16" s="890"/>
      <c r="C16" s="322" t="s">
        <v>75</v>
      </c>
      <c r="D16" s="322">
        <v>3762.57</v>
      </c>
      <c r="E16" s="322">
        <f t="shared" si="0"/>
        <v>4515.0839999999998</v>
      </c>
    </row>
    <row r="17" spans="1:5" s="323" customFormat="1" ht="12" customHeight="1" x14ac:dyDescent="0.25">
      <c r="A17" s="887"/>
      <c r="B17" s="890"/>
      <c r="C17" s="322" t="s">
        <v>80</v>
      </c>
      <c r="D17" s="322">
        <v>3572.55</v>
      </c>
      <c r="E17" s="322">
        <f t="shared" si="0"/>
        <v>4287.0600000000004</v>
      </c>
    </row>
    <row r="18" spans="1:5" s="323" customFormat="1" ht="12" customHeight="1" x14ac:dyDescent="0.25">
      <c r="A18" s="887"/>
      <c r="B18" s="890"/>
      <c r="C18" s="322" t="s">
        <v>81</v>
      </c>
      <c r="D18" s="322">
        <v>14925.31</v>
      </c>
      <c r="E18" s="322">
        <f t="shared" si="0"/>
        <v>17910.371999999999</v>
      </c>
    </row>
    <row r="19" spans="1:5" s="323" customFormat="1" ht="12" customHeight="1" thickBot="1" x14ac:dyDescent="0.3">
      <c r="A19" s="887"/>
      <c r="B19" s="890"/>
      <c r="C19" s="516" t="s">
        <v>158</v>
      </c>
      <c r="D19" s="516">
        <v>373089.66</v>
      </c>
      <c r="E19" s="516">
        <f t="shared" si="0"/>
        <v>447707.59199999995</v>
      </c>
    </row>
    <row r="20" spans="1:5" s="323" customFormat="1" ht="12" customHeight="1" thickBot="1" x14ac:dyDescent="0.3">
      <c r="A20" s="530"/>
      <c r="B20" s="525"/>
      <c r="C20" s="531" t="s">
        <v>148</v>
      </c>
      <c r="D20" s="531"/>
      <c r="E20" s="532">
        <f>SUM(E5:E19)</f>
        <v>615061.37999999989</v>
      </c>
    </row>
    <row r="21" spans="1:5" s="323" customFormat="1" ht="36" customHeight="1" thickBot="1" x14ac:dyDescent="0.3">
      <c r="A21" s="527">
        <v>2</v>
      </c>
      <c r="B21" s="528" t="s">
        <v>174</v>
      </c>
      <c r="C21" s="362" t="s">
        <v>53</v>
      </c>
      <c r="D21" s="517">
        <v>24999.960000000003</v>
      </c>
      <c r="E21" s="517">
        <f>D21*1.2</f>
        <v>29999.952000000001</v>
      </c>
    </row>
    <row r="22" spans="1:5" s="323" customFormat="1" ht="40.200000000000003" customHeight="1" thickBot="1" x14ac:dyDescent="0.3">
      <c r="A22" s="524">
        <v>3</v>
      </c>
      <c r="B22" s="525" t="s">
        <v>175</v>
      </c>
      <c r="C22" s="526" t="s">
        <v>53</v>
      </c>
      <c r="D22" s="526">
        <v>21038.02</v>
      </c>
      <c r="E22" s="526">
        <f>D22*1.2</f>
        <v>25245.624</v>
      </c>
    </row>
    <row r="23" spans="1:5" s="323" customFormat="1" ht="16.2" customHeight="1" x14ac:dyDescent="0.25">
      <c r="A23" s="847">
        <f>A5+1</f>
        <v>2</v>
      </c>
      <c r="B23" s="850" t="s">
        <v>177</v>
      </c>
      <c r="C23" s="479" t="s">
        <v>53</v>
      </c>
      <c r="D23" s="517">
        <v>55874.91</v>
      </c>
      <c r="E23" s="517">
        <f t="shared" ref="E23:E50" si="1">D23*1.2</f>
        <v>67049.892000000007</v>
      </c>
    </row>
    <row r="24" spans="1:5" s="323" customFormat="1" ht="12" customHeight="1" x14ac:dyDescent="0.25">
      <c r="A24" s="847"/>
      <c r="B24" s="850"/>
      <c r="C24" s="351" t="s">
        <v>69</v>
      </c>
      <c r="D24" s="517">
        <v>37726.97</v>
      </c>
      <c r="E24" s="350">
        <f t="shared" si="1"/>
        <v>45272.364000000001</v>
      </c>
    </row>
    <row r="25" spans="1:5" s="323" customFormat="1" ht="16.2" customHeight="1" x14ac:dyDescent="0.25">
      <c r="A25" s="847"/>
      <c r="B25" s="850"/>
      <c r="C25" s="348" t="s">
        <v>70</v>
      </c>
      <c r="D25" s="517">
        <v>95182.55</v>
      </c>
      <c r="E25" s="350">
        <f t="shared" si="1"/>
        <v>114219.06</v>
      </c>
    </row>
    <row r="26" spans="1:5" s="323" customFormat="1" ht="13.95" customHeight="1" x14ac:dyDescent="0.25">
      <c r="A26" s="847"/>
      <c r="B26" s="850"/>
      <c r="C26" s="348" t="s">
        <v>71</v>
      </c>
      <c r="D26" s="517">
        <v>60736.1</v>
      </c>
      <c r="E26" s="350">
        <f t="shared" si="1"/>
        <v>72883.319999999992</v>
      </c>
    </row>
    <row r="27" spans="1:5" s="323" customFormat="1" ht="16.95" customHeight="1" x14ac:dyDescent="0.25">
      <c r="A27" s="847"/>
      <c r="B27" s="850"/>
      <c r="C27" s="348" t="s">
        <v>72</v>
      </c>
      <c r="D27" s="517">
        <v>21242.81</v>
      </c>
      <c r="E27" s="350">
        <f t="shared" si="1"/>
        <v>25491.371999999999</v>
      </c>
    </row>
    <row r="28" spans="1:5" s="323" customFormat="1" ht="12" customHeight="1" x14ac:dyDescent="0.25">
      <c r="A28" s="847"/>
      <c r="B28" s="850"/>
      <c r="C28" s="348" t="s">
        <v>73</v>
      </c>
      <c r="D28" s="517">
        <v>1253.78</v>
      </c>
      <c r="E28" s="350">
        <f t="shared" si="1"/>
        <v>1504.5359999999998</v>
      </c>
    </row>
    <row r="29" spans="1:5" s="323" customFormat="1" ht="12" customHeight="1" x14ac:dyDescent="0.25">
      <c r="A29" s="847"/>
      <c r="B29" s="850"/>
      <c r="C29" s="348" t="s">
        <v>74</v>
      </c>
      <c r="D29" s="517">
        <v>45770.58</v>
      </c>
      <c r="E29" s="350">
        <f t="shared" si="1"/>
        <v>54924.696000000004</v>
      </c>
    </row>
    <row r="30" spans="1:5" s="323" customFormat="1" ht="12" customHeight="1" x14ac:dyDescent="0.25">
      <c r="A30" s="847"/>
      <c r="B30" s="850"/>
      <c r="C30" s="348" t="s">
        <v>77</v>
      </c>
      <c r="D30" s="517">
        <v>3287.79</v>
      </c>
      <c r="E30" s="350">
        <f t="shared" si="1"/>
        <v>3945.348</v>
      </c>
    </row>
    <row r="31" spans="1:5" s="323" customFormat="1" ht="12" customHeight="1" x14ac:dyDescent="0.25">
      <c r="A31" s="847"/>
      <c r="B31" s="850"/>
      <c r="C31" s="348" t="s">
        <v>78</v>
      </c>
      <c r="D31" s="517">
        <v>104828.68</v>
      </c>
      <c r="E31" s="350">
        <f t="shared" si="1"/>
        <v>125794.41599999998</v>
      </c>
    </row>
    <row r="32" spans="1:5" s="323" customFormat="1" ht="12" customHeight="1" x14ac:dyDescent="0.25">
      <c r="A32" s="847"/>
      <c r="B32" s="850"/>
      <c r="C32" s="369" t="s">
        <v>76</v>
      </c>
      <c r="D32" s="517">
        <v>38390.54</v>
      </c>
      <c r="E32" s="350">
        <f t="shared" si="1"/>
        <v>46068.648000000001</v>
      </c>
    </row>
    <row r="33" spans="1:5" s="323" customFormat="1" ht="12" customHeight="1" x14ac:dyDescent="0.25">
      <c r="A33" s="847"/>
      <c r="B33" s="850"/>
      <c r="C33" s="369" t="s">
        <v>79</v>
      </c>
      <c r="D33" s="517">
        <v>33164.519999999997</v>
      </c>
      <c r="E33" s="350">
        <f t="shared" si="1"/>
        <v>39797.423999999992</v>
      </c>
    </row>
    <row r="34" spans="1:5" s="323" customFormat="1" ht="12" customHeight="1" x14ac:dyDescent="0.25">
      <c r="A34" s="847"/>
      <c r="B34" s="850"/>
      <c r="C34" s="370" t="s">
        <v>75</v>
      </c>
      <c r="D34" s="517">
        <v>171056.73</v>
      </c>
      <c r="E34" s="350">
        <f t="shared" si="1"/>
        <v>205268.076</v>
      </c>
    </row>
    <row r="35" spans="1:5" s="323" customFormat="1" ht="12" customHeight="1" x14ac:dyDescent="0.25">
      <c r="A35" s="847"/>
      <c r="B35" s="850"/>
      <c r="C35" s="508" t="s">
        <v>80</v>
      </c>
      <c r="D35" s="517">
        <v>59510.96</v>
      </c>
      <c r="E35" s="350">
        <f t="shared" si="1"/>
        <v>71413.152000000002</v>
      </c>
    </row>
    <row r="36" spans="1:5" s="323" customFormat="1" ht="12" customHeight="1" x14ac:dyDescent="0.25">
      <c r="A36" s="847"/>
      <c r="B36" s="850"/>
      <c r="C36" s="370" t="s">
        <v>167</v>
      </c>
      <c r="D36" s="517">
        <v>5935.61</v>
      </c>
      <c r="E36" s="350">
        <f t="shared" si="1"/>
        <v>7122.7319999999991</v>
      </c>
    </row>
    <row r="37" spans="1:5" s="323" customFormat="1" ht="12" customHeight="1" x14ac:dyDescent="0.25">
      <c r="A37" s="847"/>
      <c r="B37" s="850"/>
      <c r="C37" s="508" t="s">
        <v>168</v>
      </c>
      <c r="D37" s="517">
        <v>17328.79</v>
      </c>
      <c r="E37" s="350">
        <f t="shared" si="1"/>
        <v>20794.547999999999</v>
      </c>
    </row>
    <row r="38" spans="1:5" s="323" customFormat="1" ht="12" customHeight="1" x14ac:dyDescent="0.25">
      <c r="A38" s="847"/>
      <c r="B38" s="850"/>
      <c r="C38" s="508" t="s">
        <v>169</v>
      </c>
      <c r="D38" s="517">
        <v>29440.14</v>
      </c>
      <c r="E38" s="350">
        <f t="shared" si="1"/>
        <v>35328.167999999998</v>
      </c>
    </row>
    <row r="39" spans="1:5" s="323" customFormat="1" ht="12" customHeight="1" x14ac:dyDescent="0.25">
      <c r="A39" s="847"/>
      <c r="B39" s="850"/>
      <c r="C39" s="508" t="s">
        <v>170</v>
      </c>
      <c r="D39" s="517">
        <v>84036.47</v>
      </c>
      <c r="E39" s="350">
        <f t="shared" si="1"/>
        <v>100843.764</v>
      </c>
    </row>
    <row r="40" spans="1:5" s="323" customFormat="1" ht="12" customHeight="1" x14ac:dyDescent="0.25">
      <c r="A40" s="847"/>
      <c r="B40" s="850"/>
      <c r="C40" s="508" t="s">
        <v>171</v>
      </c>
      <c r="D40" s="517">
        <v>129009.85</v>
      </c>
      <c r="E40" s="350">
        <f t="shared" si="1"/>
        <v>154811.82</v>
      </c>
    </row>
    <row r="41" spans="1:5" s="323" customFormat="1" ht="12" customHeight="1" thickBot="1" x14ac:dyDescent="0.3">
      <c r="A41" s="847"/>
      <c r="B41" s="850"/>
      <c r="C41" s="508" t="s">
        <v>172</v>
      </c>
      <c r="D41" s="508">
        <v>766.9</v>
      </c>
      <c r="E41" s="350">
        <f t="shared" si="1"/>
        <v>920.28</v>
      </c>
    </row>
    <row r="42" spans="1:5" s="323" customFormat="1" ht="12" customHeight="1" thickBot="1" x14ac:dyDescent="0.3">
      <c r="A42" s="847"/>
      <c r="B42" s="850"/>
      <c r="C42" s="531" t="s">
        <v>148</v>
      </c>
      <c r="D42" s="531"/>
      <c r="E42" s="532">
        <f>SUM(E23:E41)</f>
        <v>1193453.6159999999</v>
      </c>
    </row>
    <row r="43" spans="1:5" s="323" customFormat="1" ht="12" customHeight="1" x14ac:dyDescent="0.25">
      <c r="A43" s="846">
        <v>3</v>
      </c>
      <c r="B43" s="849" t="s">
        <v>176</v>
      </c>
      <c r="C43" s="441" t="s">
        <v>53</v>
      </c>
      <c r="D43" s="440">
        <v>4386.25</v>
      </c>
      <c r="E43" s="350">
        <f t="shared" si="1"/>
        <v>5263.5</v>
      </c>
    </row>
    <row r="44" spans="1:5" s="323" customFormat="1" ht="12" customHeight="1" x14ac:dyDescent="0.25">
      <c r="A44" s="847"/>
      <c r="B44" s="850"/>
      <c r="C44" s="507" t="s">
        <v>69</v>
      </c>
      <c r="D44" s="507">
        <v>4018.36</v>
      </c>
      <c r="E44" s="350">
        <f t="shared" si="1"/>
        <v>4822.0320000000002</v>
      </c>
    </row>
    <row r="45" spans="1:5" s="323" customFormat="1" ht="12" customHeight="1" x14ac:dyDescent="0.25">
      <c r="A45" s="847"/>
      <c r="B45" s="850"/>
      <c r="C45" s="507" t="s">
        <v>70</v>
      </c>
      <c r="D45" s="507">
        <v>3494.95</v>
      </c>
      <c r="E45" s="350">
        <f t="shared" si="1"/>
        <v>4193.9399999999996</v>
      </c>
    </row>
    <row r="46" spans="1:5" s="323" customFormat="1" ht="12" customHeight="1" thickBot="1" x14ac:dyDescent="0.3">
      <c r="A46" s="847"/>
      <c r="B46" s="850"/>
      <c r="C46" s="507" t="s">
        <v>71</v>
      </c>
      <c r="D46" s="507">
        <v>3400.86</v>
      </c>
      <c r="E46" s="350">
        <f t="shared" si="1"/>
        <v>4081.0320000000002</v>
      </c>
    </row>
    <row r="47" spans="1:5" s="323" customFormat="1" ht="12.6" customHeight="1" thickBot="1" x14ac:dyDescent="0.3">
      <c r="A47" s="848"/>
      <c r="B47" s="851"/>
      <c r="C47" s="531" t="s">
        <v>148</v>
      </c>
      <c r="D47" s="531"/>
      <c r="E47" s="532">
        <f>SUM(E43:E46)</f>
        <v>18360.503999999997</v>
      </c>
    </row>
    <row r="48" spans="1:5" s="323" customFormat="1" ht="12" customHeight="1" x14ac:dyDescent="0.25">
      <c r="A48" s="846">
        <v>4</v>
      </c>
      <c r="B48" s="849" t="s">
        <v>178</v>
      </c>
      <c r="C48" s="410" t="s">
        <v>53</v>
      </c>
      <c r="D48" s="410">
        <v>38171.620000000003</v>
      </c>
      <c r="E48" s="350">
        <f t="shared" si="1"/>
        <v>45805.944000000003</v>
      </c>
    </row>
    <row r="49" spans="1:7" s="323" customFormat="1" ht="12" customHeight="1" x14ac:dyDescent="0.25">
      <c r="A49" s="862"/>
      <c r="B49" s="864"/>
      <c r="C49" s="351" t="s">
        <v>69</v>
      </c>
      <c r="D49" s="350">
        <v>18702.27</v>
      </c>
      <c r="E49" s="350">
        <f t="shared" si="1"/>
        <v>22442.723999999998</v>
      </c>
    </row>
    <row r="50" spans="1:7" s="323" customFormat="1" ht="12" customHeight="1" thickBot="1" x14ac:dyDescent="0.3">
      <c r="A50" s="862"/>
      <c r="B50" s="864"/>
      <c r="C50" s="348" t="s">
        <v>70</v>
      </c>
      <c r="D50" s="348">
        <v>7677.79</v>
      </c>
      <c r="E50" s="350">
        <f t="shared" si="1"/>
        <v>9213.348</v>
      </c>
    </row>
    <row r="51" spans="1:7" s="323" customFormat="1" ht="12" customHeight="1" thickBot="1" x14ac:dyDescent="0.3">
      <c r="A51" s="862"/>
      <c r="B51" s="864"/>
      <c r="C51" s="531" t="s">
        <v>148</v>
      </c>
      <c r="D51" s="531"/>
      <c r="E51" s="532">
        <f>SUM(E48:E50)</f>
        <v>77462.016000000003</v>
      </c>
    </row>
    <row r="52" spans="1:7" s="324" customFormat="1" ht="17.399999999999999" customHeight="1" thickBot="1" x14ac:dyDescent="0.3">
      <c r="A52" s="518"/>
      <c r="B52" s="519" t="s">
        <v>47</v>
      </c>
      <c r="C52" s="384"/>
      <c r="D52" s="384"/>
      <c r="E52" s="529">
        <f>E51+E47+E42+E22+E21+E20</f>
        <v>1959583.0919999999</v>
      </c>
    </row>
    <row r="53" spans="1:7" s="324" customFormat="1" ht="22.2" customHeight="1" x14ac:dyDescent="0.25">
      <c r="C53" s="358"/>
      <c r="D53" s="358"/>
      <c r="E53" s="358"/>
      <c r="G53" s="509"/>
    </row>
    <row r="54" spans="1:7" s="324" customFormat="1" ht="21.75" customHeight="1" x14ac:dyDescent="0.25">
      <c r="A54" s="309"/>
      <c r="B54" s="325"/>
      <c r="C54" s="326"/>
      <c r="D54" s="326"/>
      <c r="E54" s="326"/>
    </row>
    <row r="55" spans="1:7" s="324" customFormat="1" ht="17.25" customHeight="1" x14ac:dyDescent="0.25">
      <c r="A55" s="309"/>
      <c r="B55" s="329" t="s">
        <v>147</v>
      </c>
      <c r="C55" s="326"/>
      <c r="D55" s="326"/>
      <c r="E55" s="326"/>
    </row>
    <row r="56" spans="1:7" s="331" customFormat="1" x14ac:dyDescent="0.25">
      <c r="C56" s="335"/>
      <c r="D56" s="335"/>
      <c r="E56" s="335"/>
    </row>
    <row r="57" spans="1:7" s="331" customFormat="1" x14ac:dyDescent="0.25">
      <c r="C57" s="335"/>
      <c r="D57" s="335"/>
      <c r="E57" s="335"/>
    </row>
    <row r="58" spans="1:7" x14ac:dyDescent="0.25">
      <c r="C58" s="340"/>
      <c r="D58" s="340"/>
      <c r="E58" s="340"/>
    </row>
    <row r="59" spans="1:7" x14ac:dyDescent="0.25">
      <c r="B59" s="308" t="s">
        <v>7</v>
      </c>
      <c r="C59" s="335"/>
      <c r="D59" s="335"/>
      <c r="E59" s="335"/>
    </row>
    <row r="60" spans="1:7" x14ac:dyDescent="0.25">
      <c r="C60" s="340"/>
      <c r="D60" s="340"/>
      <c r="E60" s="340"/>
    </row>
    <row r="61" spans="1:7" x14ac:dyDescent="0.25">
      <c r="C61" s="318"/>
      <c r="D61" s="318"/>
      <c r="E61" s="318"/>
    </row>
    <row r="62" spans="1:7" x14ac:dyDescent="0.25">
      <c r="C62" s="318"/>
      <c r="D62" s="318"/>
      <c r="E62" s="318"/>
    </row>
    <row r="63" spans="1:7" x14ac:dyDescent="0.25">
      <c r="C63" s="318"/>
      <c r="D63" s="318"/>
      <c r="E63" s="318"/>
    </row>
    <row r="64" spans="1:7" x14ac:dyDescent="0.25">
      <c r="C64" s="318"/>
      <c r="D64" s="318"/>
      <c r="E64" s="318"/>
    </row>
    <row r="65" spans="3:5" x14ac:dyDescent="0.25">
      <c r="C65" s="318"/>
      <c r="D65" s="318"/>
      <c r="E65" s="318"/>
    </row>
    <row r="66" spans="3:5" x14ac:dyDescent="0.25">
      <c r="C66" s="318"/>
      <c r="D66" s="318"/>
      <c r="E66" s="318"/>
    </row>
    <row r="67" spans="3:5" x14ac:dyDescent="0.25">
      <c r="C67" s="318"/>
      <c r="D67" s="318"/>
      <c r="E67" s="318"/>
    </row>
    <row r="68" spans="3:5" x14ac:dyDescent="0.25">
      <c r="C68" s="318"/>
      <c r="D68" s="318"/>
      <c r="E68" s="318"/>
    </row>
    <row r="69" spans="3:5" x14ac:dyDescent="0.25">
      <c r="C69" s="318"/>
      <c r="D69" s="318"/>
      <c r="E69" s="318"/>
    </row>
    <row r="70" spans="3:5" x14ac:dyDescent="0.25">
      <c r="C70" s="318"/>
      <c r="D70" s="318"/>
      <c r="E70" s="318"/>
    </row>
    <row r="71" spans="3:5" x14ac:dyDescent="0.25">
      <c r="C71" s="318"/>
      <c r="D71" s="318"/>
      <c r="E71" s="318"/>
    </row>
    <row r="72" spans="3:5" x14ac:dyDescent="0.25">
      <c r="C72" s="318"/>
      <c r="D72" s="318"/>
      <c r="E72" s="318"/>
    </row>
    <row r="73" spans="3:5" x14ac:dyDescent="0.25">
      <c r="C73" s="318"/>
      <c r="D73" s="318"/>
      <c r="E73" s="318"/>
    </row>
    <row r="74" spans="3:5" x14ac:dyDescent="0.25">
      <c r="C74" s="318"/>
      <c r="D74" s="318"/>
      <c r="E74" s="318"/>
    </row>
    <row r="75" spans="3:5" x14ac:dyDescent="0.25">
      <c r="C75" s="318"/>
      <c r="D75" s="318"/>
      <c r="E75" s="318"/>
    </row>
    <row r="76" spans="3:5" x14ac:dyDescent="0.25">
      <c r="C76" s="318"/>
      <c r="D76" s="318"/>
      <c r="E76" s="318"/>
    </row>
    <row r="77" spans="3:5" x14ac:dyDescent="0.25">
      <c r="C77" s="318"/>
      <c r="D77" s="318"/>
      <c r="E77" s="318"/>
    </row>
    <row r="78" spans="3:5" x14ac:dyDescent="0.25">
      <c r="C78" s="318"/>
      <c r="D78" s="318"/>
      <c r="E78" s="318"/>
    </row>
    <row r="79" spans="3:5" x14ac:dyDescent="0.25">
      <c r="C79" s="318"/>
      <c r="D79" s="318"/>
      <c r="E79" s="318"/>
    </row>
    <row r="80" spans="3:5" x14ac:dyDescent="0.25">
      <c r="C80" s="318"/>
      <c r="D80" s="318"/>
      <c r="E80" s="318"/>
    </row>
    <row r="81" spans="3:5" x14ac:dyDescent="0.25">
      <c r="C81" s="318"/>
      <c r="D81" s="318"/>
      <c r="E81" s="318"/>
    </row>
    <row r="82" spans="3:5" x14ac:dyDescent="0.25">
      <c r="C82" s="318"/>
      <c r="D82" s="318"/>
      <c r="E82" s="318"/>
    </row>
    <row r="83" spans="3:5" x14ac:dyDescent="0.25">
      <c r="C83" s="318"/>
      <c r="D83" s="318"/>
      <c r="E83" s="318"/>
    </row>
    <row r="84" spans="3:5" x14ac:dyDescent="0.25">
      <c r="C84" s="318"/>
      <c r="D84" s="318"/>
      <c r="E84" s="318"/>
    </row>
  </sheetData>
  <mergeCells count="10">
    <mergeCell ref="D3:E3"/>
    <mergeCell ref="A2:E2"/>
    <mergeCell ref="A48:A51"/>
    <mergeCell ref="B48:B51"/>
    <mergeCell ref="A43:A47"/>
    <mergeCell ref="B43:B47"/>
    <mergeCell ref="A23:A42"/>
    <mergeCell ref="B23:B42"/>
    <mergeCell ref="A5:A19"/>
    <mergeCell ref="B5:B19"/>
  </mergeCells>
  <pageMargins left="1.1023622047244095" right="0.55118110236220474" top="1.3385826771653544" bottom="0.15748031496062992" header="0.6692913385826772" footer="0.15748031496062992"/>
  <pageSetup paperSize="9" scale="5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8"/>
  <sheetViews>
    <sheetView showWhiteSpace="0" zoomScale="115" zoomScaleNormal="115" zoomScaleSheetLayoutView="80" workbookViewId="0">
      <selection activeCell="B24" sqref="B24"/>
    </sheetView>
  </sheetViews>
  <sheetFormatPr defaultColWidth="9.109375" defaultRowHeight="13.2" x14ac:dyDescent="0.25"/>
  <cols>
    <col min="1" max="1" width="5.109375" style="105" customWidth="1"/>
    <col min="2" max="2" width="65.5546875" style="105" customWidth="1"/>
    <col min="3" max="3" width="19.6640625" style="124" customWidth="1"/>
    <col min="4" max="4" width="13.88671875" style="124" customWidth="1"/>
    <col min="5" max="5" width="16.44140625" style="125" customWidth="1"/>
    <col min="6" max="6" width="16.6640625" style="105" customWidth="1"/>
    <col min="7" max="7" width="9.109375" style="105"/>
    <col min="8" max="8" width="11.6640625" style="105" customWidth="1"/>
    <col min="9" max="16384" width="9.109375" style="105"/>
  </cols>
  <sheetData>
    <row r="1" spans="1:8" s="91" customFormat="1" ht="13.5" customHeight="1" x14ac:dyDescent="0.25">
      <c r="A1" s="918" t="s">
        <v>6</v>
      </c>
      <c r="B1" s="918"/>
      <c r="C1" s="918"/>
      <c r="D1" s="918"/>
      <c r="E1" s="918"/>
      <c r="F1" s="918"/>
    </row>
    <row r="2" spans="1:8" s="91" customFormat="1" ht="12.75" customHeight="1" x14ac:dyDescent="0.25">
      <c r="A2" s="919"/>
      <c r="B2" s="919"/>
      <c r="C2" s="919"/>
      <c r="D2" s="919"/>
      <c r="E2" s="919"/>
    </row>
    <row r="3" spans="1:8" s="91" customFormat="1" ht="33" customHeight="1" thickBot="1" x14ac:dyDescent="0.3">
      <c r="A3" s="107" t="s">
        <v>1</v>
      </c>
      <c r="B3" s="108" t="s">
        <v>2</v>
      </c>
      <c r="C3" s="109" t="s">
        <v>10</v>
      </c>
      <c r="D3" s="109" t="s">
        <v>8</v>
      </c>
      <c r="E3" s="110" t="s">
        <v>12</v>
      </c>
      <c r="F3" s="111" t="s">
        <v>9</v>
      </c>
    </row>
    <row r="4" spans="1:8" s="92" customFormat="1" ht="15" customHeight="1" x14ac:dyDescent="0.25">
      <c r="A4" s="126">
        <v>1</v>
      </c>
      <c r="B4" s="127" t="s">
        <v>54</v>
      </c>
      <c r="C4" s="112" t="s">
        <v>55</v>
      </c>
      <c r="D4" s="106" t="s">
        <v>53</v>
      </c>
      <c r="E4" s="129">
        <v>107970.18</v>
      </c>
      <c r="F4" s="128" t="s">
        <v>52</v>
      </c>
      <c r="H4" s="131"/>
    </row>
    <row r="5" spans="1:8" s="92" customFormat="1" ht="15" customHeight="1" x14ac:dyDescent="0.25">
      <c r="A5" s="126">
        <f t="shared" ref="A5:A13" si="0">A4+1</f>
        <v>2</v>
      </c>
      <c r="B5" s="127" t="s">
        <v>57</v>
      </c>
      <c r="C5" s="112" t="s">
        <v>55</v>
      </c>
      <c r="D5" s="106" t="s">
        <v>69</v>
      </c>
      <c r="E5" s="129">
        <v>38378.589999999997</v>
      </c>
      <c r="F5" s="128" t="s">
        <v>52</v>
      </c>
      <c r="H5" s="131"/>
    </row>
    <row r="6" spans="1:8" s="92" customFormat="1" ht="15" customHeight="1" x14ac:dyDescent="0.25">
      <c r="A6" s="126">
        <f t="shared" si="0"/>
        <v>3</v>
      </c>
      <c r="B6" s="127" t="s">
        <v>59</v>
      </c>
      <c r="C6" s="112" t="s">
        <v>55</v>
      </c>
      <c r="D6" s="106" t="s">
        <v>70</v>
      </c>
      <c r="E6" s="129">
        <v>82852.78</v>
      </c>
      <c r="F6" s="128" t="s">
        <v>52</v>
      </c>
      <c r="H6" s="131"/>
    </row>
    <row r="7" spans="1:8" s="92" customFormat="1" ht="15" customHeight="1" x14ac:dyDescent="0.25">
      <c r="A7" s="126">
        <f t="shared" si="0"/>
        <v>4</v>
      </c>
      <c r="B7" s="127" t="s">
        <v>60</v>
      </c>
      <c r="C7" s="112" t="s">
        <v>55</v>
      </c>
      <c r="D7" s="106" t="s">
        <v>71</v>
      </c>
      <c r="E7" s="129">
        <v>979787.02</v>
      </c>
      <c r="F7" s="128" t="s">
        <v>52</v>
      </c>
      <c r="H7" s="131"/>
    </row>
    <row r="8" spans="1:8" s="92" customFormat="1" ht="15" customHeight="1" x14ac:dyDescent="0.25">
      <c r="A8" s="126">
        <f t="shared" si="0"/>
        <v>5</v>
      </c>
      <c r="B8" s="127" t="s">
        <v>62</v>
      </c>
      <c r="C8" s="112" t="s">
        <v>55</v>
      </c>
      <c r="D8" s="106" t="s">
        <v>72</v>
      </c>
      <c r="E8" s="129">
        <v>565478.29</v>
      </c>
      <c r="F8" s="128" t="s">
        <v>52</v>
      </c>
      <c r="H8" s="131"/>
    </row>
    <row r="9" spans="1:8" s="92" customFormat="1" ht="15" customHeight="1" x14ac:dyDescent="0.25">
      <c r="A9" s="126">
        <f t="shared" si="0"/>
        <v>6</v>
      </c>
      <c r="B9" s="127" t="s">
        <v>64</v>
      </c>
      <c r="C9" s="112" t="s">
        <v>55</v>
      </c>
      <c r="D9" s="106" t="s">
        <v>73</v>
      </c>
      <c r="E9" s="129">
        <v>573308.27</v>
      </c>
      <c r="F9" s="128" t="s">
        <v>52</v>
      </c>
      <c r="H9" s="131"/>
    </row>
    <row r="10" spans="1:8" s="92" customFormat="1" ht="15" customHeight="1" x14ac:dyDescent="0.25">
      <c r="A10" s="126">
        <f t="shared" si="0"/>
        <v>7</v>
      </c>
      <c r="B10" s="127" t="s">
        <v>66</v>
      </c>
      <c r="C10" s="112" t="s">
        <v>55</v>
      </c>
      <c r="D10" s="106" t="s">
        <v>74</v>
      </c>
      <c r="E10" s="129">
        <v>88842.36</v>
      </c>
      <c r="F10" s="128" t="s">
        <v>52</v>
      </c>
      <c r="H10" s="131"/>
    </row>
    <row r="11" spans="1:8" s="92" customFormat="1" ht="15" customHeight="1" x14ac:dyDescent="0.25">
      <c r="A11" s="126">
        <f t="shared" si="0"/>
        <v>8</v>
      </c>
      <c r="B11" s="127" t="s">
        <v>63</v>
      </c>
      <c r="C11" s="112" t="s">
        <v>55</v>
      </c>
      <c r="D11" s="106" t="s">
        <v>75</v>
      </c>
      <c r="E11" s="129">
        <v>589296.65</v>
      </c>
      <c r="F11" s="128" t="s">
        <v>52</v>
      </c>
      <c r="H11" s="131"/>
    </row>
    <row r="12" spans="1:8" s="92" customFormat="1" ht="15" customHeight="1" x14ac:dyDescent="0.25">
      <c r="A12" s="126">
        <f t="shared" si="0"/>
        <v>9</v>
      </c>
      <c r="B12" s="127" t="s">
        <v>67</v>
      </c>
      <c r="C12" s="112" t="s">
        <v>55</v>
      </c>
      <c r="D12" s="106" t="s">
        <v>76</v>
      </c>
      <c r="E12" s="129">
        <v>100485.89</v>
      </c>
      <c r="F12" s="128" t="s">
        <v>52</v>
      </c>
      <c r="H12" s="131"/>
    </row>
    <row r="13" spans="1:8" s="92" customFormat="1" ht="15" customHeight="1" x14ac:dyDescent="0.25">
      <c r="A13" s="126">
        <f t="shared" si="0"/>
        <v>10</v>
      </c>
      <c r="B13" s="127" t="s">
        <v>56</v>
      </c>
      <c r="C13" s="112" t="s">
        <v>55</v>
      </c>
      <c r="D13" s="106" t="s">
        <v>77</v>
      </c>
      <c r="E13" s="129">
        <v>107970.18</v>
      </c>
      <c r="F13" s="128" t="s">
        <v>52</v>
      </c>
      <c r="H13" s="131"/>
    </row>
    <row r="14" spans="1:8" s="92" customFormat="1" ht="15" customHeight="1" x14ac:dyDescent="0.25">
      <c r="A14" s="126">
        <f>A13+1</f>
        <v>11</v>
      </c>
      <c r="B14" s="127" t="s">
        <v>58</v>
      </c>
      <c r="C14" s="112" t="s">
        <v>55</v>
      </c>
      <c r="D14" s="106" t="s">
        <v>78</v>
      </c>
      <c r="E14" s="129">
        <v>55788.36</v>
      </c>
      <c r="F14" s="128" t="s">
        <v>52</v>
      </c>
      <c r="H14" s="131"/>
    </row>
    <row r="15" spans="1:8" s="92" customFormat="1" ht="15" customHeight="1" x14ac:dyDescent="0.25">
      <c r="A15" s="126">
        <f>A14+1</f>
        <v>12</v>
      </c>
      <c r="B15" s="127" t="s">
        <v>61</v>
      </c>
      <c r="C15" s="112" t="s">
        <v>55</v>
      </c>
      <c r="D15" s="106" t="s">
        <v>79</v>
      </c>
      <c r="E15" s="129">
        <v>1129114.07</v>
      </c>
      <c r="F15" s="128" t="s">
        <v>52</v>
      </c>
      <c r="H15" s="131"/>
    </row>
    <row r="16" spans="1:8" s="92" customFormat="1" ht="15" customHeight="1" x14ac:dyDescent="0.25">
      <c r="A16" s="126">
        <f>A15+1</f>
        <v>13</v>
      </c>
      <c r="B16" s="127" t="s">
        <v>65</v>
      </c>
      <c r="C16" s="112" t="s">
        <v>55</v>
      </c>
      <c r="D16" s="106" t="s">
        <v>80</v>
      </c>
      <c r="E16" s="129">
        <v>542099.16</v>
      </c>
      <c r="F16" s="128" t="s">
        <v>52</v>
      </c>
      <c r="H16" s="131"/>
    </row>
    <row r="17" spans="1:8" s="92" customFormat="1" ht="15" customHeight="1" thickBot="1" x14ac:dyDescent="0.3">
      <c r="A17" s="126">
        <f>A16+1</f>
        <v>14</v>
      </c>
      <c r="B17" s="127" t="s">
        <v>68</v>
      </c>
      <c r="C17" s="112" t="s">
        <v>55</v>
      </c>
      <c r="D17" s="106" t="s">
        <v>81</v>
      </c>
      <c r="E17" s="129">
        <v>91400.04</v>
      </c>
      <c r="F17" s="128" t="s">
        <v>52</v>
      </c>
      <c r="H17" s="131"/>
    </row>
    <row r="18" spans="1:8" s="92" customFormat="1" ht="13.8" thickBot="1" x14ac:dyDescent="0.3">
      <c r="A18" s="113"/>
      <c r="B18" s="114" t="s">
        <v>4</v>
      </c>
      <c r="C18" s="115"/>
      <c r="D18" s="116"/>
      <c r="E18" s="117">
        <f>SUBTOTAL(109,E4:E17)</f>
        <v>5052771.84</v>
      </c>
      <c r="F18" s="118"/>
    </row>
    <row r="19" spans="1:8" s="98" customFormat="1" ht="17.25" customHeight="1" x14ac:dyDescent="0.25">
      <c r="A19" s="93"/>
      <c r="B19" s="119"/>
      <c r="C19" s="120"/>
      <c r="D19" s="121"/>
      <c r="E19" s="122"/>
      <c r="F19" s="123"/>
    </row>
    <row r="20" spans="1:8" s="98" customFormat="1" ht="17.25" customHeight="1" x14ac:dyDescent="0.25">
      <c r="A20" s="93"/>
      <c r="B20" s="94"/>
      <c r="C20" s="95"/>
      <c r="D20" s="95"/>
      <c r="E20" s="96"/>
      <c r="F20" s="97"/>
    </row>
    <row r="21" spans="1:8" s="98" customFormat="1" ht="17.25" customHeight="1" x14ac:dyDescent="0.25">
      <c r="A21" s="93"/>
      <c r="B21" s="94"/>
      <c r="C21" s="95"/>
      <c r="D21" s="95"/>
      <c r="E21" s="96"/>
      <c r="F21" s="97"/>
    </row>
    <row r="22" spans="1:8" s="103" customFormat="1" x14ac:dyDescent="0.25">
      <c r="A22" s="99"/>
      <c r="B22" s="100"/>
      <c r="C22" s="101"/>
      <c r="D22" s="101"/>
      <c r="E22" s="102"/>
      <c r="F22" s="98"/>
    </row>
    <row r="23" spans="1:8" s="103" customFormat="1" x14ac:dyDescent="0.25">
      <c r="A23" s="130"/>
      <c r="B23" s="94"/>
      <c r="C23" s="101"/>
      <c r="D23" s="101"/>
      <c r="E23" s="102"/>
      <c r="F23" s="98"/>
    </row>
    <row r="24" spans="1:8" x14ac:dyDescent="0.25">
      <c r="A24" s="103"/>
      <c r="B24" s="103"/>
      <c r="C24" s="97"/>
      <c r="D24" s="97"/>
      <c r="E24" s="104"/>
      <c r="F24" s="103"/>
    </row>
    <row r="25" spans="1:8" x14ac:dyDescent="0.25">
      <c r="A25" s="103"/>
      <c r="B25" s="103"/>
      <c r="C25" s="97"/>
      <c r="D25" s="97"/>
      <c r="E25" s="104"/>
      <c r="F25" s="103"/>
    </row>
    <row r="28" spans="1:8" x14ac:dyDescent="0.25">
      <c r="E28" s="125" t="s">
        <v>5</v>
      </c>
    </row>
  </sheetData>
  <dataConsolidate/>
  <mergeCells count="2">
    <mergeCell ref="A1:F1"/>
    <mergeCell ref="A2:E2"/>
  </mergeCells>
  <pageMargins left="0.31496062992125984" right="0.15748031496062992" top="0.35433070866141736" bottom="0.15748031496062992" header="0.6692913385826772" footer="0.15748031496062992"/>
  <pageSetup paperSize="9" orientation="landscape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28" sqref="E28"/>
    </sheetView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8</vt:i4>
      </vt:variant>
    </vt:vector>
  </HeadingPairs>
  <TitlesOfParts>
    <vt:vector size="18" baseType="lpstr">
      <vt:lpstr>ноябрь</vt:lpstr>
      <vt:lpstr>Реєстр ДЦ</vt:lpstr>
      <vt:lpstr>Реєстр АВР</vt:lpstr>
      <vt:lpstr>Реєстр ДЦ </vt:lpstr>
      <vt:lpstr>РеєстрАВР</vt:lpstr>
      <vt:lpstr>Реєстр ДЦ  (2)</vt:lpstr>
      <vt:lpstr>10 акт переносится</vt:lpstr>
      <vt:lpstr>материал Ладижин</vt:lpstr>
      <vt:lpstr>Пожарка подрядчик</vt:lpstr>
      <vt:lpstr>Лист1</vt:lpstr>
      <vt:lpstr>'10 акт переносится'!Область_печати</vt:lpstr>
      <vt:lpstr>'материал Ладижин'!Область_печати</vt:lpstr>
      <vt:lpstr>ноябрь!Область_печати</vt:lpstr>
      <vt:lpstr>'Пожарка подрядчик'!Область_печати</vt:lpstr>
      <vt:lpstr>'Реєстр АВР'!Область_печати</vt:lpstr>
      <vt:lpstr>'Реєстр ДЦ '!Область_печати</vt:lpstr>
      <vt:lpstr>'Реєстр ДЦ  (2)'!Область_печати</vt:lpstr>
      <vt:lpstr>РеєстрАВР!Область_печати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</dc:creator>
  <cp:lastModifiedBy>User</cp:lastModifiedBy>
  <cp:lastPrinted>2024-08-07T07:28:34Z</cp:lastPrinted>
  <dcterms:created xsi:type="dcterms:W3CDTF">2016-07-15T13:11:41Z</dcterms:created>
  <dcterms:modified xsi:type="dcterms:W3CDTF">2024-11-20T09:50:32Z</dcterms:modified>
</cp:coreProperties>
</file>
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обота (Валя)\НЕЖИН 2024\"/>
    </mc:Choice>
  </mc:AlternateContent>
  <bookViews>
    <workbookView xWindow="28680" yWindow="-120" windowWidth="29040" windowHeight="15840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РеєстрАВР!$A$5:$AM$152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'!$A$2:$I$77</definedName>
    <definedName name="_xlnm.Print_Area" localSheetId="4">РеєстрАВР!$A$1:$L$152</definedName>
  </definedNames>
  <calcPr calcId="152511"/>
</workbook>
</file>

<file path=xl/calcChain.xml><?xml version="1.0" encoding="utf-8"?>
<calcChain xmlns="http://schemas.openxmlformats.org/spreadsheetml/2006/main">
  <c r="E76" i="27" l="1"/>
  <c r="E116" i="27" l="1"/>
  <c r="E119" i="27" l="1"/>
  <c r="E77" i="27" l="1"/>
  <c r="E75" i="27"/>
  <c r="E67" i="27"/>
  <c r="E117" i="27" l="1"/>
  <c r="E115" i="27"/>
  <c r="E150" i="27" l="1"/>
  <c r="E149" i="27"/>
  <c r="E77" i="22"/>
  <c r="H152" i="27" l="1"/>
  <c r="G152" i="27"/>
  <c r="F152" i="27"/>
  <c r="E147" i="27" l="1"/>
  <c r="E148" i="27"/>
  <c r="F77" i="22" l="1"/>
  <c r="E69" i="27" l="1"/>
  <c r="D77" i="22" l="1"/>
  <c r="E28" i="27" l="1"/>
  <c r="E27" i="27"/>
  <c r="E21" i="27"/>
  <c r="E12" i="27"/>
  <c r="E81" i="27" l="1"/>
  <c r="E64" i="27" l="1"/>
  <c r="E65" i="27"/>
  <c r="E63" i="27"/>
  <c r="E114" i="27" l="1"/>
  <c r="E113" i="27" l="1"/>
  <c r="E44" i="27" l="1"/>
  <c r="E41" i="27" l="1"/>
  <c r="E95" i="27" l="1"/>
  <c r="E138" i="27" l="1"/>
  <c r="E112" i="27"/>
  <c r="E26" i="27" l="1"/>
  <c r="E11" i="27" l="1"/>
  <c r="E19" i="27" l="1"/>
  <c r="E45" i="27"/>
  <c r="E25" i="27" l="1"/>
  <c r="E18" i="27" l="1"/>
  <c r="E51" i="27" l="1"/>
  <c r="E111" i="27" l="1"/>
  <c r="E110" i="27"/>
  <c r="E143" i="27" l="1"/>
  <c r="E144" i="27"/>
  <c r="E145" i="27"/>
  <c r="E146" i="27"/>
  <c r="E142" i="27"/>
  <c r="E33" i="27" l="1"/>
  <c r="E141" i="27"/>
  <c r="E140" i="27"/>
  <c r="E139" i="27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25" i="27"/>
  <c r="E124" i="27"/>
  <c r="E123" i="27"/>
  <c r="E122" i="27"/>
  <c r="E121" i="27"/>
  <c r="E120" i="27"/>
  <c r="E118" i="27"/>
  <c r="E109" i="27"/>
  <c r="E108" i="27"/>
  <c r="E107" i="27"/>
  <c r="E106" i="27"/>
  <c r="E105" i="27"/>
  <c r="E104" i="27"/>
  <c r="E103" i="27"/>
  <c r="E102" i="27"/>
  <c r="E101" i="27"/>
  <c r="E100" i="27"/>
  <c r="E99" i="27"/>
  <c r="E98" i="27"/>
  <c r="E97" i="27"/>
  <c r="E96" i="27"/>
  <c r="E94" i="27"/>
  <c r="E93" i="27"/>
  <c r="E92" i="27"/>
  <c r="E91" i="27"/>
  <c r="E90" i="27"/>
  <c r="E89" i="27"/>
  <c r="E88" i="27"/>
  <c r="E87" i="27"/>
  <c r="E86" i="27"/>
  <c r="E85" i="27"/>
  <c r="E84" i="27"/>
  <c r="E83" i="27"/>
  <c r="E82" i="27"/>
  <c r="E80" i="27"/>
  <c r="E79" i="27"/>
  <c r="E78" i="27"/>
  <c r="E74" i="27"/>
  <c r="E73" i="27"/>
  <c r="E72" i="27"/>
  <c r="E71" i="27"/>
  <c r="E70" i="27"/>
  <c r="E68" i="27"/>
  <c r="E66" i="27"/>
  <c r="E62" i="27"/>
  <c r="E61" i="27"/>
  <c r="E60" i="27"/>
  <c r="E59" i="27"/>
  <c r="E58" i="27"/>
  <c r="E57" i="27"/>
  <c r="E56" i="27"/>
  <c r="E55" i="27"/>
  <c r="E54" i="27"/>
  <c r="E53" i="27"/>
  <c r="E52" i="27"/>
  <c r="E50" i="27"/>
  <c r="E49" i="27"/>
  <c r="E48" i="27"/>
  <c r="E47" i="27"/>
  <c r="E46" i="27"/>
  <c r="E43" i="27"/>
  <c r="E42" i="27"/>
  <c r="E40" i="27"/>
  <c r="E39" i="27"/>
  <c r="E30" i="27"/>
  <c r="E29" i="27"/>
  <c r="E24" i="27"/>
  <c r="E23" i="27"/>
  <c r="E22" i="27"/>
  <c r="E20" i="27"/>
  <c r="E17" i="27"/>
  <c r="E16" i="27"/>
  <c r="E15" i="27"/>
  <c r="E14" i="27"/>
  <c r="E13" i="27"/>
  <c r="E10" i="27"/>
  <c r="E9" i="27"/>
  <c r="E8" i="27"/>
  <c r="E7" i="27"/>
  <c r="C128" i="27" l="1"/>
  <c r="C152" i="27" s="1"/>
  <c r="E37" i="27" l="1"/>
  <c r="E36" i="27"/>
  <c r="E35" i="27"/>
  <c r="E34" i="27"/>
  <c r="E32" i="27"/>
  <c r="E31" i="27"/>
  <c r="E6" i="27"/>
  <c r="C12" i="22" l="1"/>
  <c r="C20" i="22" l="1"/>
  <c r="C21" i="22"/>
  <c r="C22" i="22"/>
  <c r="C19" i="22" l="1"/>
  <c r="C16" i="22" l="1"/>
  <c r="C15" i="22"/>
  <c r="C18" i="22" l="1"/>
  <c r="C14" i="22" l="1"/>
  <c r="C13" i="22" l="1"/>
  <c r="C11" i="22" l="1"/>
  <c r="C77" i="22" s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<sst xmlns="http://schemas.openxmlformats.org/spreadsheetml/2006/main" count="1460" uniqueCount="480">
  <si>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</si>
  <si>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</si>
  <si>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</si>
  <si>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</si>
  <si>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</si>
  <si>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</si>
  <si>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</si>
  <si>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</si>
  <si>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</si>
  <si>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</si>
  <si>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</si>
  <si>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</si>
  <si>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</si>
  <si>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</si>
  <si>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</si>
  <si>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</si>
  <si>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</si>
  <si>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</si>
  <si>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</si>
  <si>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</si>
  <si>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</si>
  <si>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</si>
  <si>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</si>
  <si>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</si>
  <si>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</si>
  <si>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</si>
  <si>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</si>
  <si>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</si>
  <si>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</si>
  <si>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</si>
  <si>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</si>
  <si>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</si>
  <si>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</si>
  <si>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</si>
  <si>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</si>
  <si>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</si>
  <si>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</si>
  <si>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</si>
  <si>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</si>
  <si>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</si>
  <si>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</si>
  <si>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</si>
  <si>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</si>
  <si>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</si>
  <si>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</si>
  <si>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</si>
  <si>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</si>
  <si>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</si>
  <si>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</si>
  <si>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</si>
  <si>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</si>
  <si>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</si>
  <si>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</si>
  <si>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</si>
  <si>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</si>
  <si>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</si>
  <si>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</si>
  <si>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</si>
  <si>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</si>
  <si>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</si>
  <si>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</si>
  <si>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</si>
  <si>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</si>
  <si>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</si>
  <si>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</si>
  <si>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</si>
  <si>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</si>
  <si>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</si>
  <si>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</si>
  <si>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</si>
  <si>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</si>
  <si>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</si>
  <si>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</si>
  <si>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</si>
  <si>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</si>
  <si>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</si>
  <si>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</si>
  <si>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</si>
  <si>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</si>
  <si>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</si>
  <si>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</si>
  <si>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</si>
  <si>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</si>
  <si>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</si>
  <si>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</si>
  <si>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</si>
  <si>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</si>
  <si>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</si>
  <si>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</si>
  <si>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</si>
  <si>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</si>
  <si>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</si>
  <si>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</si>
  <si>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</si>
  <si>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</si>
  <si>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</si>
  <si>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</si>
  <si>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</si>
  <si>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</si>
  <si>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</si>
  <si>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</si>
  <si>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</si>
  <si>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</si>
  <si>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</si>
  <si>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</si>
  <si>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</si>
  <si>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</si>
  <si>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</si>
  <si>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</si>
  <si>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</si>
  <si>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</si>
  <si>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</si>
  <si>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</si>
  <si>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</si>
  <si>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</si>
  <si>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</si>
  <si>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</si>
  <si>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</si>
  <si>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</si>
  <si>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</si>
  <si>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</si>
  <si>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</si>
  <si>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</si>
  <si>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</si>
  <si>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</si>
  <si>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</si>
  <si>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</si>
  <si>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</si>
  <si>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</si>
  <si>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</si>
  <si>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</si>
  <si>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</si>
  <si>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</si>
  <si>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</si>
  <si>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</si>
  <si>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</si>
  <si>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</si>
  <si>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</si>
  <si>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</si>
  <si>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</si>
  <si>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</si>
  <si>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</si>
  <si>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</si>
  <si>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</si>
  <si>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</si>
  <si>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</si>
  <si>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</si>
  <si>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</si>
  <si>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</si>
  <si>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</si>
  <si>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</si>
  <si>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</si>
  <si>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</si>
  <si>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</si>
  <si>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</si>
  <si>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</si>
  <si>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</si>
  <si>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</si>
  <si>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</si>
  <si>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</si>
  <si>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</si>
  <si>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</si>
  <si>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</si>
  <si>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</si>
  <si>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</si>
  <si>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</si>
  <si>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</si>
  <si>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</si>
  <si>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</si>
  <si>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</si>
  <si>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</si>
  <si>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</si>
  <si>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</si>
  <si>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</si>
  <si>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</si>
  <si>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</si>
  <si>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</si>
  <si>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</si>
  <si>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</si>
  <si>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</si>
  <si>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</si>
  <si>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</si>
  <si>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</si>
  <si>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</si>
  <si>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</si>
  <si>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</si>
  <si>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</si>
  <si>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</si>
  <si>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</si>
  <si>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</si>
  <si>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</si>
  <si>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</si>
  <si>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</si>
  <si>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</si>
  <si>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</si>
  <si>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</si>
  <si>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</si>
  <si>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</si>
  <si>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</si>
  <si>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</si>
  <si>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</si>
  <si>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</si>
  <si>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</si>
  <si>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</si>
  <si>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</si>
  <si>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</si>
  <si>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</si>
  <si>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</si>
  <si>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</si>
  <si>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</si>
  <si>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</si>
  <si>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</si>
  <si>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</si>
  <si>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</si>
  <si>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</si>
  <si>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</si>
  <si>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</si>
  <si>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</si>
  <si>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</si>
  <si>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</si>
  <si>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</si>
  <si>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</si>
  <si>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</si>
  <si>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</si>
  <si>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</si>
  <si>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</si>
  <si>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</si>
  <si>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</si>
  <si>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</si>
  <si>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</si>
  <si>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</si>
  <si>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</si>
  <si>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</si>
  <si>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</si>
  <si>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</si>
  <si>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</si>
  <si>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</si>
  <si>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</si>
  <si>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</si>
  <si>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</si>
  <si>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</si>
  <si>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</si>
  <si>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</si>
  <si>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</si>
  <si>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</si>
  <si>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</si>
  <si>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</si>
  <si>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</si>
  <si>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</si>
  <si>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</si>
  <si>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</si>
  <si>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</si>
  <si>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</si>
  <si>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</si>
  <si>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</si>
  <si>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</si>
  <si>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</si>
  <si>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</si>
  <si>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</si>
  <si>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</si>
  <si>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</si>
  <si>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</si>
  <si>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</si>
  <si>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</si>
  <si>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</si>
  <si>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</si>
  <si>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</si>
  <si>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</si>
  <si>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</si>
  <si>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</si>
  <si>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</si>
  <si>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</si>
  <si>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</si>
  <si>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</si>
  <si>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</si>
  <si>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</si>
  <si>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</si>
  <si>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</si>
  <si>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</si>
  <si>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</si>
  <si>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</si>
  <si>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</si>
  <si>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</si>
  <si>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</si>
  <si>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</si>
  <si>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</si>
  <si>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</si>
  <si>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</si>
  <si>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</si>
  <si>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</si>
  <si>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</si>
  <si>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</si>
  <si>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</si>
  <si>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</si>
  <si>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</si>
  <si>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</si>
  <si>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</si>
  <si>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</si>
  <si>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</si>
  <si>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</si>
  <si>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</si>
  <si>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</si>
  <si>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</si>
  <si>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</si>
  <si>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</si>
  <si>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</si>
  <si>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</si>
  <si>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</si>
  <si>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</si>
  <si>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</si>
  <si>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</si>
  <si>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</si>
  <si>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</si>
  <si>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</si>
  <si>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</si>
  <si>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</si>
  <si>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</si>
  <si>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</si>
  <si>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</si>
  <si>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</si>
  <si>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</si>
  <si>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</si>
  <si>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</si>
  <si>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</si>
  <si>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</si>
  <si>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</si>
  <si>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</si>
  <si>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</si>
  <si>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</si>
  <si>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№46</t>
  </si>
  <si>
    <t>№47</t>
  </si>
  <si>
    <t>№48</t>
  </si>
  <si>
    <t>№49</t>
  </si>
  <si>
    <t>310-2023-10-КМ- Виносна площадка</t>
  </si>
  <si>
    <t>15 07 2024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</si>
  <si>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</si>
  <si>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</si>
  <si>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</si>
  <si>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</si>
  <si>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</si>
  <si>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</si>
  <si>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</si>
  <si>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</si>
  <si>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</si>
  <si>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</si>
  <si>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</si>
  <si>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</si>
  <si>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26 07 2024</t>
  </si>
  <si>
    <t>Не буде, Віканов попросив відразу вкл до АВР, закрит</t>
  </si>
  <si>
    <t>Демонтаж бетона для влаштування фундамента ФМ-1 опори транспортної галереї</t>
  </si>
  <si>
    <t>2 08 2024</t>
  </si>
  <si>
    <t>№62</t>
  </si>
  <si>
    <t>Вимощення на залізничних коліях</t>
  </si>
  <si>
    <t>№63</t>
  </si>
  <si>
    <t>Надання послуг спецтехніки</t>
  </si>
  <si>
    <t>№66</t>
  </si>
  <si>
    <t>03 08 2024</t>
  </si>
  <si>
    <t>09 08 2024</t>
  </si>
  <si>
    <t>Норія</t>
  </si>
  <si>
    <t>12 08 2024</t>
  </si>
  <si>
    <t>№67</t>
  </si>
  <si>
    <t>№69</t>
  </si>
  <si>
    <t>№68</t>
  </si>
  <si>
    <t>№70</t>
  </si>
  <si>
    <t>№71</t>
  </si>
  <si>
    <t>№72</t>
  </si>
  <si>
    <t>№64</t>
  </si>
  <si>
    <t>№65</t>
  </si>
  <si>
    <t>Демонтаж бордюрів (благоустрій)</t>
  </si>
  <si>
    <t>№73</t>
  </si>
  <si>
    <t>Виготовлення олієуловлювача</t>
  </si>
  <si>
    <t>20 08 2024</t>
  </si>
  <si>
    <t>Покриття норійного приямку, дод. роботи</t>
  </si>
  <si>
    <t>Щитова цеху експандування (операторська)</t>
  </si>
  <si>
    <t>26 08 2024</t>
  </si>
  <si>
    <t>КБ Трансформаторної підстанції</t>
  </si>
  <si>
    <t>Фундаменти під КТП, земляні роб.</t>
  </si>
  <si>
    <t>№74</t>
  </si>
  <si>
    <t>№75</t>
  </si>
  <si>
    <t>№76</t>
  </si>
  <si>
    <t>№77</t>
  </si>
  <si>
    <t>№78</t>
  </si>
  <si>
    <t xml:space="preserve">так </t>
  </si>
  <si>
    <t>№79</t>
  </si>
  <si>
    <t>№80</t>
  </si>
  <si>
    <t>№81</t>
  </si>
  <si>
    <t xml:space="preserve">Монтаж олієуловлювача </t>
  </si>
  <si>
    <t>03 09 2024</t>
  </si>
  <si>
    <t>Ремонт дорожнього покриття</t>
  </si>
  <si>
    <t>№82</t>
  </si>
  <si>
    <t>№83</t>
  </si>
  <si>
    <t>№84</t>
  </si>
  <si>
    <t>№85</t>
  </si>
  <si>
    <t>Додаткові роботи ділянка експандування</t>
  </si>
  <si>
    <t>13 09 2024</t>
  </si>
  <si>
    <t>13 08 2024</t>
  </si>
  <si>
    <t>№86</t>
  </si>
  <si>
    <t>Пандус автовигрузки</t>
  </si>
  <si>
    <t>№87</t>
  </si>
  <si>
    <t>17 09 2024</t>
  </si>
  <si>
    <t>Демонтаж олієпроводу</t>
  </si>
  <si>
    <t xml:space="preserve">Фарбування ділянки експандування </t>
  </si>
  <si>
    <t>Олієпровід</t>
  </si>
  <si>
    <t>№89</t>
  </si>
  <si>
    <t>№88</t>
  </si>
  <si>
    <t>Монтаж тельфера</t>
  </si>
  <si>
    <t>20 09 2024</t>
  </si>
  <si>
    <t>№90</t>
  </si>
  <si>
    <t>№91</t>
  </si>
  <si>
    <t>СОРТИРОВКА по актам</t>
  </si>
  <si>
    <t xml:space="preserve"> 63-24-АБ</t>
  </si>
  <si>
    <t>№92</t>
  </si>
  <si>
    <t>№93</t>
  </si>
  <si>
    <t>Влаштування покрівлі гаражу</t>
  </si>
  <si>
    <t>№94</t>
  </si>
  <si>
    <t>№95</t>
  </si>
  <si>
    <t>26 09 2024</t>
  </si>
  <si>
    <t>27 09 2024</t>
  </si>
  <si>
    <t>Влаштування дороги перед лабораторією</t>
  </si>
  <si>
    <t>№99</t>
  </si>
  <si>
    <t>№96</t>
  </si>
  <si>
    <t>№97</t>
  </si>
  <si>
    <t>№98</t>
  </si>
  <si>
    <t>№103</t>
  </si>
  <si>
    <t>№104</t>
  </si>
  <si>
    <t>№105</t>
  </si>
  <si>
    <t>№100</t>
  </si>
  <si>
    <t>щебень</t>
  </si>
  <si>
    <t>№101</t>
  </si>
  <si>
    <t>Не буде, відмовились</t>
  </si>
  <si>
    <t>№106</t>
  </si>
  <si>
    <t>№102</t>
  </si>
  <si>
    <t>07 10 2024</t>
  </si>
  <si>
    <t>Списання мат.</t>
  </si>
  <si>
    <t>МШП-</t>
  </si>
  <si>
    <t>№109</t>
  </si>
  <si>
    <t>№110</t>
  </si>
  <si>
    <t>№107</t>
  </si>
  <si>
    <t>№108</t>
  </si>
  <si>
    <t>№111</t>
  </si>
  <si>
    <t>не буде</t>
  </si>
  <si>
    <t>№112</t>
  </si>
  <si>
    <t>№113</t>
  </si>
  <si>
    <t>22 10 2024</t>
  </si>
  <si>
    <t>№114</t>
  </si>
  <si>
    <t>24 10 2024</t>
  </si>
  <si>
    <t>№115</t>
  </si>
  <si>
    <t>№116</t>
  </si>
  <si>
    <t>№117</t>
  </si>
  <si>
    <t>приямок</t>
  </si>
  <si>
    <t>№118</t>
  </si>
  <si>
    <t>№119</t>
  </si>
  <si>
    <t>№120</t>
  </si>
  <si>
    <t>№121</t>
  </si>
  <si>
    <t>№122</t>
  </si>
  <si>
    <t>Влаштування пожежних гідрантів</t>
  </si>
  <si>
    <t>№123</t>
  </si>
  <si>
    <t>Влаштування подовження конвеєра №31</t>
  </si>
  <si>
    <t>№124</t>
  </si>
  <si>
    <t>№125</t>
  </si>
  <si>
    <t>№126</t>
  </si>
  <si>
    <t>08 11 2024</t>
  </si>
  <si>
    <t xml:space="preserve">08 11 2024 </t>
  </si>
  <si>
    <t>№127</t>
  </si>
  <si>
    <t>14 11 2024</t>
  </si>
  <si>
    <t>№128</t>
  </si>
  <si>
    <t>№129</t>
  </si>
  <si>
    <t>№130</t>
  </si>
  <si>
    <t>щебінь 1 акт</t>
  </si>
  <si>
    <t>ТХ ділянка експандування</t>
  </si>
  <si>
    <t>№131</t>
  </si>
  <si>
    <t>19 11 2024</t>
  </si>
  <si>
    <t>у Діми</t>
  </si>
  <si>
    <t>№132</t>
  </si>
  <si>
    <t>№133</t>
  </si>
  <si>
    <t>20 11 2024</t>
  </si>
  <si>
    <t xml:space="preserve">Самопливи індивідувльного виготовлення </t>
  </si>
  <si>
    <t>на перевірці у Віканова</t>
  </si>
  <si>
    <t>№134</t>
  </si>
  <si>
    <t>21 11 2024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</si>
</sst>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</numFmts>
  <fonts count="56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877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0" applyFont="1" applyBorder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42" fillId="2" borderId="0" xfId="20" applyFont="1" applyFill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43" fontId="37" fillId="2" borderId="0" xfId="20" applyNumberFormat="1" applyFont="1" applyFill="1" applyBorder="1" applyAlignment="1">
      <alignment horizontal="center" vertical="center"/>
    </xf>
    <xf numFmtId="164" fontId="40" fillId="2" borderId="0" xfId="20" applyNumberFormat="1" applyFont="1" applyFill="1" applyBorder="1" applyAlignment="1">
      <alignment horizontal="center" vertical="center"/>
    </xf>
    <xf numFmtId="164" fontId="39" fillId="2" borderId="0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8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1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6" xfId="20" applyNumberFormat="1" applyFont="1" applyFill="1" applyBorder="1" applyAlignment="1">
      <alignment vertical="center"/>
    </xf>
    <xf numFmtId="164" fontId="49" fillId="10" borderId="20" xfId="20" applyNumberFormat="1" applyFont="1" applyFill="1" applyBorder="1" applyAlignment="1">
      <alignment vertical="center"/>
    </xf>
    <xf numFmtId="164" fontId="49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vertical="center" wrapText="1"/>
    </xf>
    <xf numFmtId="164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8" fillId="10" borderId="2" xfId="20" applyNumberFormat="1" applyFont="1" applyFill="1" applyBorder="1" applyAlignment="1">
      <alignment horizontal="center" vertical="center" wrapText="1"/>
    </xf>
    <xf numFmtId="164" fontId="48" fillId="10" borderId="2" xfId="20" applyNumberFormat="1" applyFont="1" applyFill="1" applyBorder="1" applyAlignment="1">
      <alignment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75" fontId="49" fillId="12" borderId="2" xfId="20" applyNumberFormat="1" applyFont="1" applyFill="1" applyBorder="1" applyAlignment="1">
      <alignment horizontal="center" vertical="center"/>
    </xf>
    <xf numFmtId="164" fontId="48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/>
    </xf>
    <xf numFmtId="164" fontId="49" fillId="12" borderId="2" xfId="20" applyNumberFormat="1" applyFont="1" applyFill="1" applyBorder="1" applyAlignment="1">
      <alignment horizontal="center" vertical="center" wrapText="1"/>
    </xf>
    <xf numFmtId="164" fontId="48" fillId="12" borderId="6" xfId="20" applyNumberFormat="1" applyFont="1" applyFill="1" applyBorder="1" applyAlignment="1">
      <alignment horizontal="center" vertical="center"/>
    </xf>
    <xf numFmtId="164" fontId="49" fillId="12" borderId="6" xfId="20" applyNumberFormat="1" applyFont="1" applyFill="1" applyBorder="1" applyAlignment="1">
      <alignment horizontal="center" vertical="center"/>
    </xf>
    <xf numFmtId="0" fontId="49" fillId="12" borderId="6" xfId="20" applyNumberFormat="1" applyFont="1" applyFill="1" applyBorder="1" applyAlignment="1">
      <alignment horizontal="center" vertical="center" wrapText="1"/>
    </xf>
    <xf numFmtId="0" fontId="49" fillId="12" borderId="6" xfId="20" applyFont="1" applyFill="1" applyBorder="1" applyAlignment="1">
      <alignment horizontal="center" vertical="center"/>
    </xf>
    <xf numFmtId="0" fontId="49" fillId="12" borderId="6" xfId="20" applyFont="1" applyFill="1" applyBorder="1" applyAlignment="1">
      <alignment horizontal="left" vertical="center" wrapText="1"/>
    </xf>
    <xf numFmtId="0" fontId="49" fillId="12" borderId="2" xfId="20" applyNumberFormat="1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51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vertical="center"/>
    </xf>
    <xf numFmtId="0" fontId="49" fillId="10" borderId="2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4" fontId="49" fillId="12" borderId="19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 wrapText="1"/>
    </xf>
    <xf numFmtId="176" fontId="49" fillId="10" borderId="2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 wrapText="1"/>
    </xf>
    <xf numFmtId="175" fontId="49" fillId="12" borderId="19" xfId="20" applyNumberFormat="1" applyFont="1" applyFill="1" applyBorder="1" applyAlignment="1">
      <alignment horizontal="center" vertical="center"/>
    </xf>
    <xf numFmtId="164" fontId="48" fillId="12" borderId="19" xfId="20" applyNumberFormat="1" applyFont="1" applyFill="1" applyBorder="1" applyAlignment="1">
      <alignment horizontal="center" vertical="center"/>
    </xf>
    <xf numFmtId="164" fontId="49" fillId="12" borderId="19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vertical="center" wrapText="1"/>
    </xf>
    <xf numFmtId="0" fontId="52" fillId="10" borderId="2" xfId="20" applyNumberFormat="1" applyFont="1" applyFill="1" applyBorder="1" applyAlignment="1">
      <alignment horizontal="center" vertical="center" wrapText="1"/>
    </xf>
    <xf numFmtId="164" fontId="53" fillId="10" borderId="2" xfId="20" applyNumberFormat="1" applyFont="1" applyFill="1" applyBorder="1" applyAlignment="1">
      <alignment horizontal="center" vertical="center"/>
    </xf>
    <xf numFmtId="0" fontId="54" fillId="0" borderId="0" xfId="20" applyFont="1" applyBorder="1" applyAlignment="1">
      <alignment horizontal="center" vertical="center"/>
    </xf>
    <xf numFmtId="164" fontId="52" fillId="10" borderId="2" xfId="20" applyNumberFormat="1" applyFont="1" applyFill="1" applyBorder="1" applyAlignment="1">
      <alignment horizontal="center" vertical="center" wrapText="1"/>
    </xf>
    <xf numFmtId="175" fontId="49" fillId="10" borderId="2" xfId="20" applyNumberFormat="1" applyFont="1" applyFill="1" applyBorder="1" applyAlignment="1">
      <alignment vertical="center" wrapText="1"/>
    </xf>
    <xf numFmtId="164" fontId="49" fillId="10" borderId="2" xfId="20" applyNumberFormat="1" applyFont="1" applyFill="1" applyBorder="1" applyAlignment="1">
      <alignment horizontal="left" vertical="center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6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vertical="center" wrapText="1"/>
    </xf>
    <xf numFmtId="0" fontId="49" fillId="10" borderId="20" xfId="20" applyFont="1" applyFill="1" applyBorder="1" applyAlignment="1">
      <alignment vertical="center" wrapText="1"/>
    </xf>
    <xf numFmtId="0" fontId="49" fillId="10" borderId="19" xfId="20" applyFont="1" applyFill="1" applyBorder="1" applyAlignment="1">
      <alignment vertical="center" wrapText="1"/>
    </xf>
    <xf numFmtId="164" fontId="49" fillId="10" borderId="19" xfId="20" applyNumberFormat="1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 wrapText="1"/>
    </xf>
    <xf numFmtId="164" fontId="52" fillId="10" borderId="20" xfId="20" applyNumberFormat="1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 wrapText="1"/>
    </xf>
    <xf numFmtId="164" fontId="52" fillId="10" borderId="19" xfId="20" applyNumberFormat="1" applyFont="1" applyFill="1" applyBorder="1" applyAlignment="1">
      <alignment vertical="center"/>
    </xf>
    <xf numFmtId="43" fontId="37" fillId="0" borderId="0" xfId="20" applyNumberFormat="1" applyFont="1" applyBorder="1" applyAlignment="1">
      <alignment horizontal="center" vertical="center"/>
    </xf>
    <xf numFmtId="0" fontId="49" fillId="10" borderId="6" xfId="20" applyFont="1" applyFill="1" applyBorder="1" applyAlignment="1">
      <alignment vertical="center"/>
    </xf>
    <xf numFmtId="0" fontId="49" fillId="10" borderId="20" xfId="20" applyFont="1" applyFill="1" applyBorder="1" applyAlignment="1">
      <alignment vertical="center"/>
    </xf>
    <xf numFmtId="0" fontId="49" fillId="10" borderId="19" xfId="20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/>
    </xf>
    <xf numFmtId="167" fontId="48" fillId="0" borderId="2" xfId="21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left" vertical="center" wrapText="1"/>
    </xf>
    <xf numFmtId="0" fontId="49" fillId="10" borderId="12" xfId="20" applyFont="1" applyFill="1" applyBorder="1" applyAlignment="1">
      <alignment vertical="center"/>
    </xf>
    <xf numFmtId="1" fontId="49" fillId="10" borderId="3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vertical="center" wrapText="1"/>
    </xf>
    <xf numFmtId="164" fontId="49" fillId="10" borderId="11" xfId="20" applyNumberFormat="1" applyFont="1" applyFill="1" applyBorder="1" applyAlignment="1">
      <alignment vertical="center"/>
    </xf>
    <xf numFmtId="0" fontId="49" fillId="10" borderId="15" xfId="20" applyFont="1" applyFill="1" applyBorder="1" applyAlignment="1">
      <alignment vertical="center" wrapText="1"/>
    </xf>
    <xf numFmtId="164" fontId="49" fillId="10" borderId="9" xfId="20" applyNumberFormat="1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 wrapText="1"/>
    </xf>
    <xf numFmtId="164" fontId="49" fillId="10" borderId="10" xfId="20" applyNumberFormat="1" applyFont="1" applyFill="1" applyBorder="1" applyAlignment="1">
      <alignment vertical="center"/>
    </xf>
    <xf numFmtId="0" fontId="49" fillId="10" borderId="1" xfId="20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4" fontId="49" fillId="10" borderId="11" xfId="20" applyNumberFormat="1" applyFont="1" applyFill="1" applyBorder="1" applyAlignment="1">
      <alignment horizontal="center" vertical="center"/>
    </xf>
    <xf numFmtId="164" fontId="49" fillId="10" borderId="19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horizontal="left" vertical="center" wrapText="1"/>
    </xf>
    <xf numFmtId="0" fontId="49" fillId="10" borderId="14" xfId="20" applyFont="1" applyFill="1" applyBorder="1" applyAlignment="1">
      <alignment horizontal="left" vertical="center" wrapText="1"/>
    </xf>
    <xf numFmtId="164" fontId="49" fillId="10" borderId="10" xfId="20" applyNumberFormat="1" applyFont="1" applyFill="1" applyBorder="1" applyAlignment="1">
      <alignment horizontal="center" vertical="center"/>
    </xf>
    <xf numFmtId="164" fontId="49" fillId="10" borderId="6" xfId="20" applyNumberFormat="1" applyFont="1" applyFill="1" applyBorder="1" applyAlignment="1">
      <alignment horizontal="center" vertical="center" wrapText="1"/>
    </xf>
    <xf numFmtId="0" fontId="49" fillId="10" borderId="19" xfId="20" applyFont="1" applyFill="1" applyBorder="1" applyAlignment="1">
      <alignment horizontal="center" vertical="center"/>
    </xf>
    <xf numFmtId="164" fontId="49" fillId="10" borderId="20" xfId="20" applyNumberFormat="1" applyFont="1" applyFill="1" applyBorder="1" applyAlignment="1">
      <alignment horizontal="center" vertical="center"/>
    </xf>
    <xf numFmtId="164" fontId="48" fillId="10" borderId="6" xfId="20" applyNumberFormat="1" applyFont="1" applyFill="1" applyBorder="1" applyAlignment="1">
      <alignment horizontal="center" vertical="center"/>
    </xf>
    <xf numFmtId="1" fontId="49" fillId="10" borderId="19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horizontal="center" vertical="center"/>
    </xf>
    <xf numFmtId="0" fontId="49" fillId="10" borderId="3" xfId="20" applyNumberFormat="1" applyFont="1" applyFill="1" applyBorder="1" applyAlignment="1">
      <alignment horizontal="center" vertical="center" wrapText="1"/>
    </xf>
    <xf numFmtId="0" fontId="49" fillId="10" borderId="15" xfId="20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/>
    </xf>
    <xf numFmtId="164" fontId="49" fillId="10" borderId="3" xfId="20" applyNumberFormat="1" applyFont="1" applyFill="1" applyBorder="1" applyAlignment="1">
      <alignment horizontal="center" vertical="center"/>
    </xf>
    <xf numFmtId="0" fontId="55" fillId="10" borderId="2" xfId="20" applyNumberFormat="1" applyFont="1" applyFill="1" applyBorder="1" applyAlignment="1">
      <alignment vertical="center" wrapText="1"/>
    </xf>
    <xf numFmtId="164" fontId="55" fillId="10" borderId="2" xfId="20" applyNumberFormat="1" applyFont="1" applyFill="1" applyBorder="1" applyAlignment="1">
      <alignment horizontal="left" vertical="center"/>
    </xf>
    <xf numFmtId="0" fontId="39" fillId="0" borderId="0" xfId="20" applyFont="1" applyBorder="1" applyAlignment="1">
      <alignment horizontal="center" vertical="center" wrapText="1"/>
    </xf>
    <xf numFmtId="164" fontId="52" fillId="10" borderId="3" xfId="20" applyNumberFormat="1" applyFont="1" applyFill="1" applyBorder="1" applyAlignment="1">
      <alignment horizontal="center" vertical="center"/>
    </xf>
    <xf numFmtId="0" fontId="52" fillId="10" borderId="0" xfId="20" applyFont="1" applyFill="1" applyBorder="1" applyAlignment="1">
      <alignment vertical="center" wrapText="1"/>
    </xf>
    <xf numFmtId="164" fontId="52" fillId="10" borderId="9" xfId="20" applyNumberFormat="1" applyFont="1" applyFill="1" applyBorder="1" applyAlignment="1">
      <alignment vertical="center"/>
    </xf>
    <xf numFmtId="0" fontId="52" fillId="10" borderId="2" xfId="20" applyFont="1" applyFill="1" applyBorder="1" applyAlignment="1">
      <alignment vertical="center"/>
    </xf>
    <xf numFmtId="0" fontId="49" fillId="10" borderId="0" xfId="20" applyFont="1" applyFill="1" applyBorder="1" applyAlignment="1">
      <alignment vertical="center" wrapText="1"/>
    </xf>
    <xf numFmtId="164" fontId="49" fillId="10" borderId="0" xfId="20" applyNumberFormat="1" applyFont="1" applyFill="1" applyBorder="1" applyAlignment="1">
      <alignment vertical="center"/>
    </xf>
    <xf numFmtId="1" fontId="49" fillId="10" borderId="10" xfId="20" applyNumberFormat="1" applyFont="1" applyFill="1" applyBorder="1" applyAlignment="1">
      <alignment horizontal="center" vertical="center"/>
    </xf>
    <xf numFmtId="0" fontId="49" fillId="10" borderId="1" xfId="20" applyFont="1" applyFill="1" applyBorder="1" applyAlignment="1">
      <alignment vertical="center"/>
    </xf>
    <xf numFmtId="164" fontId="55" fillId="10" borderId="2" xfId="20" applyNumberFormat="1" applyFont="1" applyFill="1" applyBorder="1" applyAlignment="1">
      <alignment vertical="center"/>
    </xf>
    <xf numFmtId="164" fontId="55" fillId="10" borderId="6" xfId="20" applyNumberFormat="1" applyFont="1" applyFill="1" applyBorder="1" applyAlignment="1">
      <alignment horizontal="center" vertical="center"/>
    </xf>
    <xf numFmtId="1" fontId="52" fillId="10" borderId="3" xfId="20" applyNumberFormat="1" applyFont="1" applyFill="1" applyBorder="1" applyAlignment="1">
      <alignment horizontal="center" vertical="center"/>
    </xf>
    <xf numFmtId="14" fontId="49" fillId="10" borderId="6" xfId="20" applyNumberFormat="1" applyFont="1" applyFill="1" applyBorder="1" applyAlignment="1">
      <alignment horizontal="center" vertical="center"/>
    </xf>
    <xf numFmtId="164" fontId="52" fillId="10" borderId="10" xfId="20" applyNumberFormat="1" applyFont="1" applyFill="1" applyBorder="1" applyAlignment="1">
      <alignment horizontal="center" vertical="center"/>
    </xf>
    <xf numFmtId="176" fontId="52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vertical="center"/>
    </xf>
    <xf numFmtId="0" fontId="52" fillId="10" borderId="19" xfId="20" applyNumberFormat="1" applyFont="1" applyFill="1" applyBorder="1" applyAlignment="1">
      <alignment horizontal="center" vertical="center" wrapText="1"/>
    </xf>
    <xf numFmtId="164" fontId="52" fillId="10" borderId="19" xfId="20" applyNumberFormat="1" applyFont="1" applyFill="1" applyBorder="1" applyAlignment="1">
      <alignment horizontal="center" vertical="center" wrapText="1"/>
    </xf>
    <xf numFmtId="0" fontId="0" fillId="10" borderId="14" xfId="0" applyFill="1" applyBorder="1" applyAlignment="1">
      <alignment vertical="center" wrapText="1"/>
    </xf>
    <xf numFmtId="0" fontId="49" fillId="10" borderId="14" xfId="20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5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165" fontId="48" fillId="4" borderId="26" xfId="21" applyFont="1" applyFill="1" applyBorder="1" applyAlignment="1">
      <alignment horizontal="center" vertical="center" wrapText="1"/>
    </xf>
    <xf numFmtId="165" fontId="48" fillId="4" borderId="28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4" xfId="21" applyFont="1" applyFill="1" applyBorder="1" applyAlignment="1">
      <alignment horizontal="center" vertical="center" wrapText="1"/>
    </xf>
    <xf numFmtId="165" fontId="48" fillId="4" borderId="29" xfId="21" applyFont="1" applyFill="1" applyBorder="1" applyAlignment="1">
      <alignment horizontal="center" vertical="center" wrapText="1"/>
    </xf>
    <xf numFmtId="165" fontId="48" fillId="4" borderId="62" xfId="21" applyFont="1" applyFill="1" applyBorder="1" applyAlignment="1">
      <alignment horizontal="center" vertical="center" wrapText="1"/>
    </xf>
    <xf numFmtId="165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66" xfId="21" applyFont="1" applyFill="1" applyBorder="1" applyAlignment="1">
      <alignment horizontal="center" vertical="center" wrapText="1"/>
    </xf>
    <xf numFmtId="165" fontId="48" fillId="4" borderId="67" xfId="21" applyFont="1" applyFill="1" applyBorder="1" applyAlignment="1">
      <alignment horizontal="center" vertical="center" wrapText="1"/>
    </xf>
    <xf numFmtId="165" fontId="48" fillId="4" borderId="14" xfId="21" applyFont="1" applyFill="1" applyBorder="1" applyAlignment="1">
      <alignment horizontal="center" vertical="center" wrapText="1"/>
    </xf>
    <xf numFmtId="165" fontId="48" fillId="4" borderId="16" xfId="21" applyFont="1" applyFill="1" applyBorder="1" applyAlignment="1">
      <alignment horizontal="center" vertical="center" wrapText="1"/>
    </xf>
    <xf numFmtId="165" fontId="48" fillId="4" borderId="10" xfId="2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E5F2B4"/>
      <color rgb="FFFF33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18" t="s">
        <v>37</v>
      </c>
      <c r="B5" s="718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18" t="s">
        <v>24</v>
      </c>
      <c r="B6" s="718"/>
      <c r="C6" s="82"/>
      <c r="D6" s="719"/>
      <c r="E6" s="719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18" t="s">
        <v>38</v>
      </c>
      <c r="B7" s="718"/>
      <c r="C7" s="718"/>
      <c r="D7" s="718"/>
      <c r="E7" s="718"/>
      <c r="F7" s="718"/>
      <c r="G7" s="718"/>
      <c r="H7" s="718"/>
      <c r="I7" s="718"/>
      <c r="J7" s="82"/>
      <c r="L7" s="61"/>
      <c r="V7" s="62"/>
      <c r="W7" s="63"/>
    </row>
    <row r="8" spans="1:23" s="60" customFormat="1" ht="12.75" customHeight="1" x14ac:dyDescent="0.25">
      <c r="A8" s="718" t="s">
        <v>39</v>
      </c>
      <c r="B8" s="718"/>
      <c r="C8" s="718"/>
      <c r="D8" s="718"/>
      <c r="E8" s="718"/>
      <c r="F8" s="718"/>
      <c r="G8" s="718"/>
      <c r="H8" s="718"/>
      <c r="I8" s="718"/>
      <c r="J8" s="82"/>
      <c r="L8" s="61"/>
      <c r="V8" s="62"/>
      <c r="W8" s="63"/>
    </row>
    <row r="9" spans="1:23" s="60" customFormat="1" ht="12.75" customHeight="1" x14ac:dyDescent="0.25">
      <c r="A9" s="717" t="s">
        <v>40</v>
      </c>
      <c r="B9" s="717"/>
      <c r="C9" s="717"/>
      <c r="D9" s="717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11" t="s">
        <v>0</v>
      </c>
      <c r="B11" s="711"/>
      <c r="C11" s="711"/>
      <c r="D11" s="711"/>
      <c r="E11" s="711"/>
      <c r="F11" s="711"/>
      <c r="G11" s="711"/>
      <c r="H11" s="711"/>
      <c r="I11" s="711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12" t="s">
        <v>1</v>
      </c>
      <c r="B13" s="713" t="s">
        <v>2</v>
      </c>
      <c r="C13" s="712" t="s">
        <v>13</v>
      </c>
      <c r="D13" s="714" t="s">
        <v>3</v>
      </c>
      <c r="E13" s="715" t="s">
        <v>14</v>
      </c>
      <c r="F13" s="716" t="s">
        <v>27</v>
      </c>
      <c r="G13" s="716"/>
      <c r="H13" s="714" t="s">
        <v>17</v>
      </c>
      <c r="I13" s="714"/>
      <c r="J13" s="721" t="s">
        <v>30</v>
      </c>
      <c r="K13" s="722"/>
      <c r="L13" s="723"/>
      <c r="M13" s="713" t="s">
        <v>26</v>
      </c>
      <c r="N13" s="713"/>
      <c r="O13" s="713"/>
      <c r="P13" s="713"/>
      <c r="Q13" s="713" t="s">
        <v>29</v>
      </c>
      <c r="R13" s="713"/>
      <c r="S13" s="713"/>
      <c r="T13" s="713"/>
      <c r="U13" s="713"/>
      <c r="V13" s="727" t="s">
        <v>34</v>
      </c>
      <c r="W13" s="728"/>
    </row>
    <row r="14" spans="1:23" s="3" customFormat="1" ht="20.25" customHeight="1" x14ac:dyDescent="0.25">
      <c r="A14" s="712"/>
      <c r="B14" s="713"/>
      <c r="C14" s="712"/>
      <c r="D14" s="714"/>
      <c r="E14" s="715"/>
      <c r="F14" s="714" t="s">
        <v>41</v>
      </c>
      <c r="G14" s="714"/>
      <c r="H14" s="714"/>
      <c r="I14" s="714"/>
      <c r="J14" s="724"/>
      <c r="K14" s="725"/>
      <c r="L14" s="726"/>
      <c r="M14" s="713"/>
      <c r="N14" s="713"/>
      <c r="O14" s="713"/>
      <c r="P14" s="713"/>
      <c r="Q14" s="713"/>
      <c r="R14" s="713"/>
      <c r="S14" s="713"/>
      <c r="T14" s="713"/>
      <c r="U14" s="713"/>
      <c r="V14" s="729"/>
      <c r="W14" s="730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29"/>
      <c r="W15" s="730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20" t="s">
        <v>32</v>
      </c>
      <c r="U16" s="720"/>
      <c r="V16" s="731"/>
      <c r="W16" s="732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42" t="s">
        <v>93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</row>
    <row r="2" spans="1:13" ht="16.2" thickBot="1" x14ac:dyDescent="0.3">
      <c r="M2" s="216"/>
    </row>
    <row r="3" spans="1:13" ht="31.5" customHeight="1" x14ac:dyDescent="0.25">
      <c r="A3" s="752" t="s">
        <v>84</v>
      </c>
      <c r="B3" s="754" t="s">
        <v>82</v>
      </c>
      <c r="C3" s="754" t="s">
        <v>86</v>
      </c>
      <c r="D3" s="754" t="s">
        <v>85</v>
      </c>
      <c r="E3" s="743" t="s">
        <v>83</v>
      </c>
      <c r="F3" s="747" t="s">
        <v>90</v>
      </c>
      <c r="G3" s="748"/>
      <c r="H3" s="749"/>
      <c r="I3" s="745" t="s">
        <v>9</v>
      </c>
      <c r="J3" s="750" t="s">
        <v>91</v>
      </c>
      <c r="K3" s="750"/>
      <c r="L3" s="751"/>
      <c r="M3" s="745" t="s">
        <v>50</v>
      </c>
    </row>
    <row r="4" spans="1:13" x14ac:dyDescent="0.25">
      <c r="A4" s="753"/>
      <c r="B4" s="755"/>
      <c r="C4" s="755"/>
      <c r="D4" s="755"/>
      <c r="E4" s="744"/>
      <c r="F4" s="145" t="s">
        <v>87</v>
      </c>
      <c r="G4" s="135" t="s">
        <v>88</v>
      </c>
      <c r="H4" s="135" t="s">
        <v>89</v>
      </c>
      <c r="I4" s="746"/>
      <c r="J4" s="143" t="s">
        <v>87</v>
      </c>
      <c r="K4" s="135" t="s">
        <v>88</v>
      </c>
      <c r="L4" s="135" t="s">
        <v>89</v>
      </c>
      <c r="M4" s="746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36">
        <v>4</v>
      </c>
      <c r="B6" s="733" t="s">
        <v>97</v>
      </c>
      <c r="C6" s="739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37"/>
      <c r="B7" s="734"/>
      <c r="C7" s="740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37"/>
      <c r="B8" s="734"/>
      <c r="C8" s="740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38"/>
      <c r="B9" s="735"/>
      <c r="C9" s="741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71" t="s">
        <v>84</v>
      </c>
      <c r="B2" s="771" t="s">
        <v>99</v>
      </c>
      <c r="C2" s="771" t="s">
        <v>86</v>
      </c>
      <c r="D2" s="771" t="s">
        <v>51</v>
      </c>
      <c r="E2" s="765" t="s">
        <v>100</v>
      </c>
      <c r="F2" s="766"/>
      <c r="G2" s="767"/>
      <c r="H2" s="768" t="s">
        <v>101</v>
      </c>
      <c r="I2" s="769"/>
      <c r="J2" s="769"/>
      <c r="K2" s="769"/>
      <c r="L2" s="769"/>
      <c r="M2" s="770"/>
      <c r="N2" s="765" t="s">
        <v>102</v>
      </c>
      <c r="O2" s="766"/>
      <c r="P2" s="767"/>
    </row>
    <row r="3" spans="1:16" ht="16.2" thickBot="1" x14ac:dyDescent="0.3">
      <c r="A3" s="772"/>
      <c r="B3" s="772"/>
      <c r="C3" s="772"/>
      <c r="D3" s="772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56">
        <v>4</v>
      </c>
      <c r="B4" s="759" t="s">
        <v>109</v>
      </c>
      <c r="C4" s="759" t="s">
        <v>94</v>
      </c>
      <c r="D4" s="759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57"/>
      <c r="B5" s="760"/>
      <c r="C5" s="760"/>
      <c r="D5" s="760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57"/>
      <c r="B6" s="760"/>
      <c r="C6" s="760"/>
      <c r="D6" s="760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57"/>
      <c r="B7" s="760"/>
      <c r="C7" s="760"/>
      <c r="D7" s="760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57"/>
      <c r="B8" s="760"/>
      <c r="C8" s="760"/>
      <c r="D8" s="761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57"/>
      <c r="B9" s="760"/>
      <c r="C9" s="760"/>
      <c r="D9" s="762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57"/>
      <c r="B10" s="760"/>
      <c r="C10" s="760"/>
      <c r="D10" s="763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57"/>
      <c r="B11" s="760"/>
      <c r="C11" s="760"/>
      <c r="D11" s="764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57"/>
      <c r="B12" s="760"/>
      <c r="C12" s="760"/>
      <c r="D12" s="759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57"/>
      <c r="B13" s="760"/>
      <c r="C13" s="760"/>
      <c r="D13" s="760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57"/>
      <c r="B14" s="760"/>
      <c r="C14" s="760"/>
      <c r="D14" s="761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57"/>
      <c r="B15" s="760"/>
      <c r="C15" s="760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58"/>
      <c r="B16" s="761"/>
      <c r="C16" s="761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83"/>
  <sheetViews>
    <sheetView showWhiteSpace="0" zoomScale="81" zoomScaleNormal="81" zoomScaleSheetLayoutView="76" workbookViewId="0">
      <pane ySplit="5" topLeftCell="A69" activePane="bottomLeft" state="frozen"/>
      <selection pane="bottomLeft" activeCell="B77" sqref="B77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773" t="s">
        <v>268</v>
      </c>
      <c r="B1" s="773"/>
      <c r="C1" s="773"/>
      <c r="D1" s="773"/>
      <c r="E1" s="773"/>
      <c r="F1" s="773"/>
      <c r="G1" s="773"/>
      <c r="H1" s="773"/>
      <c r="I1" s="773"/>
    </row>
    <row r="2" spans="1:36" ht="59.4" customHeight="1" thickBot="1" x14ac:dyDescent="0.3">
      <c r="A2" s="773"/>
      <c r="B2" s="773"/>
      <c r="C2" s="773"/>
      <c r="D2" s="773"/>
      <c r="E2" s="773"/>
      <c r="F2" s="773"/>
      <c r="G2" s="773"/>
      <c r="H2" s="773"/>
      <c r="I2" s="773"/>
    </row>
    <row r="3" spans="1:36" ht="17.399999999999999" customHeight="1" x14ac:dyDescent="0.25">
      <c r="A3" s="774" t="s">
        <v>124</v>
      </c>
      <c r="B3" s="787" t="s">
        <v>185</v>
      </c>
      <c r="C3" s="777" t="s">
        <v>192</v>
      </c>
      <c r="D3" s="777" t="s">
        <v>193</v>
      </c>
      <c r="E3" s="777" t="s">
        <v>204</v>
      </c>
      <c r="F3" s="777" t="s">
        <v>187</v>
      </c>
      <c r="G3" s="780" t="s">
        <v>9</v>
      </c>
      <c r="H3" s="781"/>
      <c r="I3" s="784" t="s">
        <v>191</v>
      </c>
    </row>
    <row r="4" spans="1:36" ht="21" customHeight="1" x14ac:dyDescent="0.25">
      <c r="A4" s="775"/>
      <c r="B4" s="788"/>
      <c r="C4" s="778"/>
      <c r="D4" s="778"/>
      <c r="E4" s="778"/>
      <c r="F4" s="778"/>
      <c r="G4" s="782"/>
      <c r="H4" s="782" t="s">
        <v>190</v>
      </c>
      <c r="I4" s="785"/>
    </row>
    <row r="5" spans="1:36" ht="30" customHeight="1" thickBot="1" x14ac:dyDescent="0.3">
      <c r="A5" s="776"/>
      <c r="B5" s="789"/>
      <c r="C5" s="779"/>
      <c r="D5" s="779"/>
      <c r="E5" s="779"/>
      <c r="F5" s="779"/>
      <c r="G5" s="783"/>
      <c r="H5" s="783"/>
      <c r="I5" s="786"/>
    </row>
    <row r="6" spans="1:36" s="323" customFormat="1" ht="49.2" customHeight="1" x14ac:dyDescent="0.25">
      <c r="A6" s="625" t="s">
        <v>53</v>
      </c>
      <c r="B6" s="626" t="s">
        <v>199</v>
      </c>
      <c r="C6" s="627">
        <v>69779.8</v>
      </c>
      <c r="D6" s="631">
        <v>0</v>
      </c>
      <c r="E6" s="632">
        <v>69779.8</v>
      </c>
      <c r="F6" s="633">
        <v>53555.703999999998</v>
      </c>
      <c r="G6" s="627" t="s">
        <v>249</v>
      </c>
      <c r="H6" s="627" t="s">
        <v>201</v>
      </c>
      <c r="I6" s="627"/>
      <c r="J6" s="533" t="s">
        <v>311</v>
      </c>
      <c r="K6" s="637" t="s">
        <v>317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97" t="s">
        <v>69</v>
      </c>
      <c r="B7" s="598" t="s">
        <v>200</v>
      </c>
      <c r="C7" s="599">
        <v>2044</v>
      </c>
      <c r="D7" s="600">
        <v>0</v>
      </c>
      <c r="E7" s="605">
        <v>2044</v>
      </c>
      <c r="F7" s="606">
        <v>1470.91625</v>
      </c>
      <c r="G7" s="599" t="s">
        <v>249</v>
      </c>
      <c r="H7" s="606" t="s">
        <v>251</v>
      </c>
      <c r="I7" s="607"/>
      <c r="J7" s="307" t="s">
        <v>189</v>
      </c>
      <c r="K7" s="637" t="s">
        <v>318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23" t="s">
        <v>293</v>
      </c>
      <c r="B8" s="559" t="s">
        <v>292</v>
      </c>
      <c r="C8" s="547">
        <v>5179518.46</v>
      </c>
      <c r="D8" s="620">
        <v>2703844.6878399146</v>
      </c>
      <c r="E8" s="546">
        <v>7883363.147839915</v>
      </c>
      <c r="F8" s="547">
        <v>4754646.7705159308</v>
      </c>
      <c r="G8" s="550" t="s">
        <v>203</v>
      </c>
      <c r="H8" s="620" t="s">
        <v>296</v>
      </c>
      <c r="I8" s="554"/>
      <c r="J8" s="533" t="s">
        <v>203</v>
      </c>
      <c r="K8" s="637" t="s">
        <v>319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23" t="s">
        <v>294</v>
      </c>
      <c r="B9" s="559" t="s">
        <v>291</v>
      </c>
      <c r="C9" s="547">
        <v>5158551.46</v>
      </c>
      <c r="D9" s="620">
        <v>1893049.3518639102</v>
      </c>
      <c r="E9" s="546">
        <v>7051600.8118639104</v>
      </c>
      <c r="F9" s="547">
        <v>3860347.5408726884</v>
      </c>
      <c r="G9" s="550" t="s">
        <v>203</v>
      </c>
      <c r="H9" s="620" t="s">
        <v>296</v>
      </c>
      <c r="I9" s="555"/>
      <c r="J9" s="307" t="s">
        <v>188</v>
      </c>
      <c r="K9" s="637" t="s">
        <v>315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23" t="s">
        <v>295</v>
      </c>
      <c r="B10" s="559" t="s">
        <v>290</v>
      </c>
      <c r="C10" s="547">
        <v>5110301.6399999997</v>
      </c>
      <c r="D10" s="620">
        <v>2656005.817839914</v>
      </c>
      <c r="E10" s="546">
        <v>7766307.4578399099</v>
      </c>
      <c r="F10" s="547">
        <v>4730790.0551202716</v>
      </c>
      <c r="G10" s="550" t="s">
        <v>203</v>
      </c>
      <c r="H10" s="620" t="s">
        <v>296</v>
      </c>
      <c r="I10" s="555"/>
      <c r="J10" s="534" t="s">
        <v>249</v>
      </c>
      <c r="K10" s="637" t="s">
        <v>320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9" t="s">
        <v>71</v>
      </c>
      <c r="B11" s="580" t="s">
        <v>194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249</v>
      </c>
      <c r="H11" s="556" t="s">
        <v>212</v>
      </c>
      <c r="I11" s="556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08" t="s">
        <v>264</v>
      </c>
      <c r="B12" s="609" t="s">
        <v>265</v>
      </c>
      <c r="C12" s="599">
        <f>E12-D12</f>
        <v>37400</v>
      </c>
      <c r="D12" s="599">
        <v>9854.52</v>
      </c>
      <c r="E12" s="601">
        <v>47254.520000000004</v>
      </c>
      <c r="F12" s="599">
        <v>29668.175600000002</v>
      </c>
      <c r="G12" s="599" t="s">
        <v>249</v>
      </c>
      <c r="H12" s="604" t="s">
        <v>269</v>
      </c>
      <c r="I12" s="604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195</v>
      </c>
      <c r="C13" s="547">
        <f t="shared" si="0"/>
        <v>37087.250000000007</v>
      </c>
      <c r="D13" s="547">
        <v>863.35</v>
      </c>
      <c r="E13" s="558">
        <v>37950.600000000006</v>
      </c>
      <c r="F13" s="547">
        <v>19776.593000000001</v>
      </c>
      <c r="G13" s="578" t="s">
        <v>249</v>
      </c>
      <c r="H13" s="556" t="s">
        <v>212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208</v>
      </c>
      <c r="B14" s="544" t="s">
        <v>211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8" t="s">
        <v>249</v>
      </c>
      <c r="H14" s="556" t="s">
        <v>212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95" customHeight="1" x14ac:dyDescent="0.25">
      <c r="A15" s="543" t="s">
        <v>209</v>
      </c>
      <c r="B15" s="544" t="s">
        <v>206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8" t="s">
        <v>249</v>
      </c>
      <c r="H15" s="556" t="s">
        <v>212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210</v>
      </c>
      <c r="B16" s="544" t="s">
        <v>207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8" t="s">
        <v>249</v>
      </c>
      <c r="H16" s="556" t="s">
        <v>212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597" t="s">
        <v>74</v>
      </c>
      <c r="B17" s="598" t="s">
        <v>186</v>
      </c>
      <c r="C17" s="602">
        <v>70000</v>
      </c>
      <c r="D17" s="602">
        <v>0</v>
      </c>
      <c r="E17" s="603">
        <v>70000</v>
      </c>
      <c r="F17" s="599">
        <v>45779.08</v>
      </c>
      <c r="G17" s="599" t="s">
        <v>249</v>
      </c>
      <c r="H17" s="604" t="s">
        <v>212</v>
      </c>
      <c r="I17" s="604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196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8" t="s">
        <v>249</v>
      </c>
      <c r="H18" s="556" t="s">
        <v>212</v>
      </c>
      <c r="I18" s="550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197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8" t="s">
        <v>249</v>
      </c>
      <c r="H19" s="556" t="s">
        <v>219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215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8" t="s">
        <v>249</v>
      </c>
      <c r="H20" s="556" t="s">
        <v>220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597" t="s">
        <v>79</v>
      </c>
      <c r="B21" s="598" t="s">
        <v>213</v>
      </c>
      <c r="C21" s="599">
        <f t="shared" si="1"/>
        <v>76937.850000000006</v>
      </c>
      <c r="D21" s="602">
        <v>0</v>
      </c>
      <c r="E21" s="601">
        <v>76937.850000000006</v>
      </c>
      <c r="F21" s="602">
        <v>17455.175500000001</v>
      </c>
      <c r="G21" s="599" t="s">
        <v>249</v>
      </c>
      <c r="H21" s="606" t="s">
        <v>251</v>
      </c>
      <c r="I21" s="602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597" t="s">
        <v>75</v>
      </c>
      <c r="B22" s="598" t="s">
        <v>214</v>
      </c>
      <c r="C22" s="599">
        <f t="shared" si="1"/>
        <v>300000</v>
      </c>
      <c r="D22" s="602">
        <v>0</v>
      </c>
      <c r="E22" s="601">
        <v>300000</v>
      </c>
      <c r="F22" s="602">
        <v>164500</v>
      </c>
      <c r="G22" s="599" t="s">
        <v>249</v>
      </c>
      <c r="H22" s="606" t="s">
        <v>251</v>
      </c>
      <c r="I22" s="602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217</v>
      </c>
      <c r="C23" s="545">
        <v>658888.21000000008</v>
      </c>
      <c r="D23" s="547">
        <v>0</v>
      </c>
      <c r="E23" s="546">
        <v>658888.21000000008</v>
      </c>
      <c r="F23" s="547">
        <v>300153.67330000002</v>
      </c>
      <c r="G23" s="620" t="s">
        <v>249</v>
      </c>
      <c r="H23" s="556" t="s">
        <v>347</v>
      </c>
      <c r="I23" s="638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597" t="s">
        <v>81</v>
      </c>
      <c r="B24" s="598" t="s">
        <v>227</v>
      </c>
      <c r="C24" s="599">
        <v>92115.83</v>
      </c>
      <c r="D24" s="602">
        <v>0</v>
      </c>
      <c r="E24" s="601">
        <v>92115.83</v>
      </c>
      <c r="F24" s="602">
        <v>44816.32</v>
      </c>
      <c r="G24" s="599" t="s">
        <v>249</v>
      </c>
      <c r="H24" s="604" t="s">
        <v>242</v>
      </c>
      <c r="I24" s="602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597" t="s">
        <v>243</v>
      </c>
      <c r="B25" s="598" t="s">
        <v>247</v>
      </c>
      <c r="C25" s="599">
        <v>69692.789999999994</v>
      </c>
      <c r="D25" s="602">
        <v>0</v>
      </c>
      <c r="E25" s="601">
        <v>69692.789999999994</v>
      </c>
      <c r="F25" s="602">
        <v>44109.519699999997</v>
      </c>
      <c r="G25" s="599" t="s">
        <v>249</v>
      </c>
      <c r="H25" s="604" t="s">
        <v>242</v>
      </c>
      <c r="I25" s="610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597" t="s">
        <v>244</v>
      </c>
      <c r="B26" s="598" t="s">
        <v>248</v>
      </c>
      <c r="C26" s="599">
        <v>130832</v>
      </c>
      <c r="D26" s="602">
        <v>0</v>
      </c>
      <c r="E26" s="601">
        <v>130832</v>
      </c>
      <c r="F26" s="602">
        <v>48252.100000000006</v>
      </c>
      <c r="G26" s="599" t="s">
        <v>249</v>
      </c>
      <c r="H26" s="604" t="s">
        <v>242</v>
      </c>
      <c r="I26" s="610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21" t="s">
        <v>286</v>
      </c>
      <c r="B27" s="622" t="s">
        <v>287</v>
      </c>
      <c r="C27" s="620">
        <v>61643.270000000004</v>
      </c>
      <c r="D27" s="547">
        <v>0</v>
      </c>
      <c r="E27" s="546">
        <v>61643.270000000004</v>
      </c>
      <c r="F27" s="547">
        <v>22365.6181</v>
      </c>
      <c r="G27" s="620" t="s">
        <v>249</v>
      </c>
      <c r="H27" s="556" t="s">
        <v>298</v>
      </c>
      <c r="I27" s="619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950000000000003" customHeight="1" x14ac:dyDescent="0.25">
      <c r="A28" s="551" t="s">
        <v>169</v>
      </c>
      <c r="B28" s="552" t="s">
        <v>233</v>
      </c>
      <c r="C28" s="553">
        <v>5868795.1899999995</v>
      </c>
      <c r="D28" s="547">
        <v>0</v>
      </c>
      <c r="E28" s="546">
        <v>5868795.1899999995</v>
      </c>
      <c r="F28" s="547">
        <v>2423899.2856999999</v>
      </c>
      <c r="G28" s="583" t="s">
        <v>249</v>
      </c>
      <c r="H28" s="583" t="s">
        <v>263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950000000000003" customHeight="1" x14ac:dyDescent="0.25">
      <c r="A29" s="566" t="s">
        <v>170</v>
      </c>
      <c r="B29" s="567" t="s">
        <v>198</v>
      </c>
      <c r="C29" s="564">
        <v>1109034.9700000002</v>
      </c>
      <c r="D29" s="547"/>
      <c r="E29" s="546">
        <v>1109034.9700000002</v>
      </c>
      <c r="F29" s="547">
        <v>656317.54006999708</v>
      </c>
      <c r="G29" s="592" t="s">
        <v>249</v>
      </c>
      <c r="H29" s="556" t="s">
        <v>269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597" t="s">
        <v>171</v>
      </c>
      <c r="B30" s="598" t="s">
        <v>226</v>
      </c>
      <c r="C30" s="599">
        <v>220420.19</v>
      </c>
      <c r="D30" s="602">
        <v>0</v>
      </c>
      <c r="E30" s="601">
        <v>220420.19</v>
      </c>
      <c r="F30" s="602">
        <v>172065.92569999999</v>
      </c>
      <c r="G30" s="599" t="s">
        <v>249</v>
      </c>
      <c r="H30" s="604" t="s">
        <v>242</v>
      </c>
      <c r="I30" s="602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597" t="s">
        <v>172</v>
      </c>
      <c r="B31" s="598" t="s">
        <v>228</v>
      </c>
      <c r="C31" s="599">
        <v>19075.719999999998</v>
      </c>
      <c r="D31" s="602">
        <v>0</v>
      </c>
      <c r="E31" s="601">
        <v>19075.719999999998</v>
      </c>
      <c r="F31" s="602">
        <v>10869.5216</v>
      </c>
      <c r="G31" s="599" t="s">
        <v>249</v>
      </c>
      <c r="H31" s="604" t="s">
        <v>269</v>
      </c>
      <c r="I31" s="602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597" t="s">
        <v>221</v>
      </c>
      <c r="B32" s="598" t="s">
        <v>231</v>
      </c>
      <c r="C32" s="599">
        <v>8730</v>
      </c>
      <c r="D32" s="602">
        <v>0</v>
      </c>
      <c r="E32" s="601">
        <v>8730</v>
      </c>
      <c r="F32" s="602">
        <v>4643.8600000000006</v>
      </c>
      <c r="G32" s="599" t="s">
        <v>249</v>
      </c>
      <c r="H32" s="604" t="s">
        <v>242</v>
      </c>
      <c r="I32" s="602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70" t="s">
        <v>222</v>
      </c>
      <c r="B33" s="571" t="s">
        <v>241</v>
      </c>
      <c r="C33" s="569">
        <v>1821725.04</v>
      </c>
      <c r="D33" s="547">
        <v>0</v>
      </c>
      <c r="E33" s="546">
        <v>1821725.04</v>
      </c>
      <c r="F33" s="547">
        <v>1331254.8872</v>
      </c>
      <c r="G33" s="583" t="s">
        <v>249</v>
      </c>
      <c r="H33" s="583" t="s">
        <v>263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7" t="s">
        <v>223</v>
      </c>
      <c r="B34" s="576" t="s">
        <v>246</v>
      </c>
      <c r="C34" s="575">
        <v>505000</v>
      </c>
      <c r="D34" s="547">
        <v>0</v>
      </c>
      <c r="E34" s="546">
        <v>505000</v>
      </c>
      <c r="F34" s="547">
        <v>298585.15000000002</v>
      </c>
      <c r="G34" s="583" t="s">
        <v>249</v>
      </c>
      <c r="H34" s="583" t="s">
        <v>263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4" t="s">
        <v>245</v>
      </c>
      <c r="B35" s="573" t="s">
        <v>232</v>
      </c>
      <c r="C35" s="572">
        <v>959112.20788461529</v>
      </c>
      <c r="D35" s="547">
        <v>0</v>
      </c>
      <c r="E35" s="546">
        <v>959112.20788461529</v>
      </c>
      <c r="F35" s="547">
        <v>664712.82491923077</v>
      </c>
      <c r="G35" s="583" t="s">
        <v>249</v>
      </c>
      <c r="H35" s="583" t="s">
        <v>263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597" t="s">
        <v>252</v>
      </c>
      <c r="B36" s="609" t="s">
        <v>254</v>
      </c>
      <c r="C36" s="599">
        <v>16887.37</v>
      </c>
      <c r="D36" s="602">
        <v>0</v>
      </c>
      <c r="E36" s="601">
        <v>16887.37</v>
      </c>
      <c r="F36" s="602">
        <v>9606.6483500000013</v>
      </c>
      <c r="G36" s="599" t="s">
        <v>249</v>
      </c>
      <c r="H36" s="604" t="s">
        <v>274</v>
      </c>
      <c r="I36" s="602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82" t="s">
        <v>253</v>
      </c>
      <c r="B37" s="580" t="s">
        <v>255</v>
      </c>
      <c r="C37" s="581">
        <v>35345</v>
      </c>
      <c r="D37" s="547">
        <v>0</v>
      </c>
      <c r="E37" s="546">
        <v>35345</v>
      </c>
      <c r="F37" s="547">
        <v>18769.95</v>
      </c>
      <c r="G37" s="593" t="s">
        <v>249</v>
      </c>
      <c r="H37" s="556" t="s">
        <v>274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82" t="s">
        <v>258</v>
      </c>
      <c r="B38" s="580" t="s">
        <v>256</v>
      </c>
      <c r="C38" s="581">
        <v>35365.25</v>
      </c>
      <c r="D38" s="547">
        <v>0</v>
      </c>
      <c r="E38" s="546">
        <v>35365.25</v>
      </c>
      <c r="F38" s="547">
        <v>18744.2775</v>
      </c>
      <c r="G38" s="593" t="s">
        <v>249</v>
      </c>
      <c r="H38" s="556" t="s">
        <v>274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597" t="s">
        <v>259</v>
      </c>
      <c r="B39" s="609" t="s">
        <v>257</v>
      </c>
      <c r="C39" s="599">
        <v>35433.65</v>
      </c>
      <c r="D39" s="602">
        <v>0</v>
      </c>
      <c r="E39" s="601">
        <v>35433.65</v>
      </c>
      <c r="F39" s="602">
        <v>18743.161499999998</v>
      </c>
      <c r="G39" s="599" t="s">
        <v>249</v>
      </c>
      <c r="H39" s="604" t="s">
        <v>274</v>
      </c>
      <c r="I39" s="602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82" t="s">
        <v>272</v>
      </c>
      <c r="B40" s="580" t="s">
        <v>261</v>
      </c>
      <c r="C40" s="581">
        <v>30402.5</v>
      </c>
      <c r="D40" s="547">
        <v>0</v>
      </c>
      <c r="E40" s="546">
        <v>30402.5</v>
      </c>
      <c r="F40" s="547">
        <v>15491.275</v>
      </c>
      <c r="G40" s="593" t="s">
        <v>249</v>
      </c>
      <c r="H40" s="556" t="s">
        <v>274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6" t="s">
        <v>224</v>
      </c>
      <c r="B41" s="565" t="s">
        <v>234</v>
      </c>
      <c r="C41" s="564">
        <v>246953.74</v>
      </c>
      <c r="D41" s="547">
        <v>0</v>
      </c>
      <c r="E41" s="546">
        <v>246953.74</v>
      </c>
      <c r="F41" s="547">
        <v>102324.3898102552</v>
      </c>
      <c r="G41" s="593" t="s">
        <v>249</v>
      </c>
      <c r="H41" s="556" t="s">
        <v>274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8" t="s">
        <v>225</v>
      </c>
      <c r="B42" s="563" t="s">
        <v>229</v>
      </c>
      <c r="C42" s="562">
        <v>799305.07999999984</v>
      </c>
      <c r="D42" s="547">
        <v>0</v>
      </c>
      <c r="E42" s="546">
        <v>799305.07999999984</v>
      </c>
      <c r="F42" s="547">
        <v>460219.92040000006</v>
      </c>
      <c r="G42" s="620" t="s">
        <v>249</v>
      </c>
      <c r="H42" s="556" t="s">
        <v>326</v>
      </c>
      <c r="I42" s="638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950000000000003" customHeight="1" x14ac:dyDescent="0.25">
      <c r="A43" s="585" t="s">
        <v>235</v>
      </c>
      <c r="B43" s="586" t="s">
        <v>273</v>
      </c>
      <c r="C43" s="584">
        <v>48963.26</v>
      </c>
      <c r="D43" s="547">
        <v>0</v>
      </c>
      <c r="E43" s="546">
        <v>48963.26</v>
      </c>
      <c r="F43" s="547">
        <v>31782.817800000001</v>
      </c>
      <c r="G43" s="614" t="s">
        <v>249</v>
      </c>
      <c r="H43" s="556" t="s">
        <v>281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8" t="s">
        <v>262</v>
      </c>
      <c r="B44" s="589" t="s">
        <v>280</v>
      </c>
      <c r="C44" s="587">
        <v>1900000</v>
      </c>
      <c r="D44" s="547">
        <v>0</v>
      </c>
      <c r="E44" s="546">
        <v>1900000</v>
      </c>
      <c r="F44" s="547">
        <v>798121.95360000001</v>
      </c>
      <c r="G44" s="550" t="s">
        <v>249</v>
      </c>
      <c r="H44" s="556" t="s">
        <v>284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635" t="s">
        <v>230</v>
      </c>
      <c r="B45" s="634" t="s">
        <v>216</v>
      </c>
      <c r="C45" s="620">
        <v>510000</v>
      </c>
      <c r="D45" s="558"/>
      <c r="E45" s="546">
        <v>510000</v>
      </c>
      <c r="F45" s="558">
        <v>269907.19</v>
      </c>
      <c r="G45" s="550" t="s">
        <v>249</v>
      </c>
      <c r="H45" s="556" t="s">
        <v>350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597" t="s">
        <v>236</v>
      </c>
      <c r="B46" s="598" t="s">
        <v>271</v>
      </c>
      <c r="C46" s="599">
        <v>44103.59</v>
      </c>
      <c r="D46" s="602">
        <v>0</v>
      </c>
      <c r="E46" s="601">
        <v>44103.59</v>
      </c>
      <c r="F46" s="602">
        <v>25357.502700000005</v>
      </c>
      <c r="G46" s="599" t="s">
        <v>202</v>
      </c>
      <c r="H46" s="599" t="s">
        <v>288</v>
      </c>
      <c r="I46" s="602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595" t="s">
        <v>237</v>
      </c>
      <c r="B47" s="596" t="s">
        <v>276</v>
      </c>
      <c r="C47" s="594">
        <v>25935.460399999996</v>
      </c>
      <c r="D47" s="547">
        <v>0</v>
      </c>
      <c r="E47" s="546">
        <v>25935.460399999996</v>
      </c>
      <c r="F47" s="547">
        <v>10860.509212000001</v>
      </c>
      <c r="G47" s="614" t="s">
        <v>249</v>
      </c>
      <c r="H47" s="556" t="s">
        <v>281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16" t="s">
        <v>238</v>
      </c>
      <c r="B48" s="617" t="s">
        <v>282</v>
      </c>
      <c r="C48" s="615">
        <v>337206.36</v>
      </c>
      <c r="D48" s="547">
        <v>0</v>
      </c>
      <c r="E48" s="546">
        <v>337206.36</v>
      </c>
      <c r="F48" s="547">
        <v>186007.31080000001</v>
      </c>
      <c r="G48" s="550" t="s">
        <v>249</v>
      </c>
      <c r="H48" s="556" t="s">
        <v>284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12" t="s">
        <v>239</v>
      </c>
      <c r="B49" s="613" t="s">
        <v>279</v>
      </c>
      <c r="C49" s="611">
        <v>5040</v>
      </c>
      <c r="D49" s="547">
        <v>0</v>
      </c>
      <c r="E49" s="546">
        <v>5040</v>
      </c>
      <c r="F49" s="547">
        <v>1252.905</v>
      </c>
      <c r="G49" s="550" t="s">
        <v>203</v>
      </c>
      <c r="H49" s="556" t="s">
        <v>278</v>
      </c>
      <c r="I49" s="638" t="s">
        <v>325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595" t="s">
        <v>240</v>
      </c>
      <c r="B50" s="596" t="s">
        <v>275</v>
      </c>
      <c r="C50" s="594">
        <v>40920.067115384612</v>
      </c>
      <c r="D50" s="547">
        <v>0</v>
      </c>
      <c r="E50" s="546">
        <v>40920.067115384612</v>
      </c>
      <c r="F50" s="547">
        <v>25790.699383039995</v>
      </c>
      <c r="G50" s="550" t="s">
        <v>249</v>
      </c>
      <c r="H50" s="556" t="s">
        <v>284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21" t="s">
        <v>285</v>
      </c>
      <c r="B51" s="622" t="s">
        <v>297</v>
      </c>
      <c r="C51" s="620">
        <v>108026.29200000002</v>
      </c>
      <c r="D51" s="547">
        <v>0</v>
      </c>
      <c r="E51" s="546">
        <v>108026.29200000002</v>
      </c>
      <c r="F51" s="547">
        <v>38936.968760000003</v>
      </c>
      <c r="G51" s="550" t="s">
        <v>249</v>
      </c>
      <c r="H51" s="556" t="s">
        <v>334</v>
      </c>
      <c r="I51" s="638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24" t="s">
        <v>289</v>
      </c>
      <c r="B52" s="544" t="s">
        <v>300</v>
      </c>
      <c r="C52" s="562">
        <v>6116.26</v>
      </c>
      <c r="D52" s="547">
        <v>0</v>
      </c>
      <c r="E52" s="546">
        <v>6116.26</v>
      </c>
      <c r="F52" s="547">
        <v>4441.6160500000005</v>
      </c>
      <c r="G52" s="550" t="s">
        <v>249</v>
      </c>
      <c r="H52" s="556" t="s">
        <v>308</v>
      </c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55.8" customHeight="1" x14ac:dyDescent="0.25">
      <c r="A53" s="635" t="s">
        <v>301</v>
      </c>
      <c r="B53" s="544" t="s">
        <v>306</v>
      </c>
      <c r="C53" s="562">
        <v>15568.8</v>
      </c>
      <c r="D53" s="547">
        <v>0</v>
      </c>
      <c r="E53" s="546">
        <v>15568.8</v>
      </c>
      <c r="F53" s="547">
        <v>12830.784</v>
      </c>
      <c r="G53" s="550" t="s">
        <v>203</v>
      </c>
      <c r="H53" s="556" t="s">
        <v>310</v>
      </c>
      <c r="I53" s="638" t="s">
        <v>348</v>
      </c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51.6" customHeight="1" x14ac:dyDescent="0.25">
      <c r="A54" s="635" t="s">
        <v>302</v>
      </c>
      <c r="B54" s="544" t="s">
        <v>333</v>
      </c>
      <c r="C54" s="547">
        <v>142452.13</v>
      </c>
      <c r="D54" s="547">
        <v>0</v>
      </c>
      <c r="E54" s="546">
        <v>142452.13</v>
      </c>
      <c r="F54" s="547">
        <v>76606.931400000001</v>
      </c>
      <c r="G54" s="550" t="s">
        <v>249</v>
      </c>
      <c r="H54" s="556" t="s">
        <v>347</v>
      </c>
      <c r="I54" s="63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42.6" customHeight="1" x14ac:dyDescent="0.25">
      <c r="A55" s="635" t="s">
        <v>303</v>
      </c>
      <c r="B55" s="634" t="s">
        <v>349</v>
      </c>
      <c r="C55" s="620">
        <v>8258.1</v>
      </c>
      <c r="D55" s="620"/>
      <c r="E55" s="546">
        <v>8258.1</v>
      </c>
      <c r="F55" s="620">
        <v>4982.9030000000002</v>
      </c>
      <c r="G55" s="550" t="s">
        <v>249</v>
      </c>
      <c r="H55" s="556" t="s">
        <v>356</v>
      </c>
      <c r="I55" s="640"/>
      <c r="J55" s="641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635" t="s">
        <v>304</v>
      </c>
      <c r="B56" s="634" t="s">
        <v>354</v>
      </c>
      <c r="C56" s="620">
        <v>646774</v>
      </c>
      <c r="D56" s="620"/>
      <c r="E56" s="546">
        <v>646774</v>
      </c>
      <c r="F56" s="620">
        <v>280415.69999999995</v>
      </c>
      <c r="G56" s="550" t="s">
        <v>249</v>
      </c>
      <c r="H56" s="620" t="s">
        <v>371</v>
      </c>
      <c r="I56" s="547"/>
      <c r="J56" s="641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3" customFormat="1" ht="42.6" customHeight="1" x14ac:dyDescent="0.25">
      <c r="A57" s="635" t="s">
        <v>305</v>
      </c>
      <c r="B57" s="634" t="s">
        <v>352</v>
      </c>
      <c r="C57" s="620">
        <v>222614</v>
      </c>
      <c r="D57" s="620"/>
      <c r="E57" s="546">
        <v>222614</v>
      </c>
      <c r="F57" s="620">
        <v>187311.43</v>
      </c>
      <c r="G57" s="550" t="s">
        <v>249</v>
      </c>
      <c r="H57" s="556" t="s">
        <v>387</v>
      </c>
      <c r="I57" s="638"/>
      <c r="J57" s="641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</row>
    <row r="58" spans="1:36" s="323" customFormat="1" ht="42.6" customHeight="1" x14ac:dyDescent="0.25">
      <c r="A58" s="635" t="s">
        <v>307</v>
      </c>
      <c r="B58" s="634" t="s">
        <v>376</v>
      </c>
      <c r="C58" s="620">
        <v>24192.53</v>
      </c>
      <c r="D58" s="620"/>
      <c r="E58" s="546">
        <v>24192.53</v>
      </c>
      <c r="F58" s="620">
        <v>12279.7009</v>
      </c>
      <c r="G58" s="550" t="s">
        <v>249</v>
      </c>
      <c r="H58" s="556" t="s">
        <v>387</v>
      </c>
      <c r="I58" s="638"/>
      <c r="J58" s="641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</row>
    <row r="59" spans="1:36" s="323" customFormat="1" ht="42.6" customHeight="1" x14ac:dyDescent="0.25">
      <c r="A59" s="635" t="s">
        <v>309</v>
      </c>
      <c r="B59" s="634" t="s">
        <v>368</v>
      </c>
      <c r="C59" s="620">
        <v>5670</v>
      </c>
      <c r="D59" s="620"/>
      <c r="E59" s="546">
        <v>5670</v>
      </c>
      <c r="F59" s="620">
        <v>6269.8600000000006</v>
      </c>
      <c r="G59" s="550" t="s">
        <v>249</v>
      </c>
      <c r="H59" s="556" t="s">
        <v>406</v>
      </c>
      <c r="I59" s="638"/>
      <c r="J59" s="641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</row>
    <row r="60" spans="1:36" s="323" customFormat="1" ht="42.6" customHeight="1" x14ac:dyDescent="0.25">
      <c r="A60" s="635" t="s">
        <v>327</v>
      </c>
      <c r="B60" s="634" t="s">
        <v>370</v>
      </c>
      <c r="C60" s="620">
        <v>120000</v>
      </c>
      <c r="D60" s="620"/>
      <c r="E60" s="546">
        <v>120000</v>
      </c>
      <c r="F60" s="620">
        <v>39610.900399999999</v>
      </c>
      <c r="G60" s="550" t="s">
        <v>249</v>
      </c>
      <c r="H60" s="556" t="s">
        <v>387</v>
      </c>
      <c r="I60" s="638"/>
      <c r="J60" s="641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</row>
    <row r="61" spans="1:36" s="323" customFormat="1" ht="42.6" customHeight="1" x14ac:dyDescent="0.25">
      <c r="A61" s="635" t="s">
        <v>328</v>
      </c>
      <c r="B61" s="634" t="s">
        <v>372</v>
      </c>
      <c r="C61" s="620">
        <v>20736.719333333334</v>
      </c>
      <c r="D61" s="620"/>
      <c r="E61" s="546">
        <v>20736.719333333334</v>
      </c>
      <c r="F61" s="620">
        <v>10369.014746666666</v>
      </c>
      <c r="G61" s="550" t="s">
        <v>249</v>
      </c>
      <c r="H61" s="556" t="s">
        <v>387</v>
      </c>
      <c r="I61" s="638"/>
      <c r="J61" s="641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</row>
    <row r="62" spans="1:36" s="323" customFormat="1" ht="42.6" customHeight="1" x14ac:dyDescent="0.25">
      <c r="A62" s="635" t="s">
        <v>329</v>
      </c>
      <c r="B62" s="634" t="s">
        <v>373</v>
      </c>
      <c r="C62" s="620">
        <v>108679.85</v>
      </c>
      <c r="D62" s="620"/>
      <c r="E62" s="546">
        <v>108679.85</v>
      </c>
      <c r="F62" s="620">
        <v>65571.6005</v>
      </c>
      <c r="G62" s="550" t="s">
        <v>249</v>
      </c>
      <c r="H62" s="556" t="s">
        <v>374</v>
      </c>
      <c r="I62" s="638"/>
      <c r="J62" s="641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</row>
    <row r="63" spans="1:36" s="323" customFormat="1" ht="42.6" customHeight="1" x14ac:dyDescent="0.25">
      <c r="A63" s="635" t="s">
        <v>330</v>
      </c>
      <c r="B63" s="634" t="s">
        <v>375</v>
      </c>
      <c r="C63" s="620">
        <v>315020.03088571428</v>
      </c>
      <c r="D63" s="620" t="s">
        <v>410</v>
      </c>
      <c r="E63" s="546">
        <v>315020.03088571428</v>
      </c>
      <c r="F63" s="620">
        <v>184108.58021085718</v>
      </c>
      <c r="G63" s="550" t="s">
        <v>249</v>
      </c>
      <c r="H63" s="556" t="s">
        <v>394</v>
      </c>
      <c r="I63" s="638"/>
      <c r="J63" s="641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</row>
    <row r="64" spans="1:36" s="323" customFormat="1" ht="42.6" customHeight="1" x14ac:dyDescent="0.25">
      <c r="A64" s="635" t="s">
        <v>331</v>
      </c>
      <c r="B64" s="634" t="s">
        <v>386</v>
      </c>
      <c r="C64" s="620">
        <v>64000</v>
      </c>
      <c r="D64" s="620"/>
      <c r="E64" s="546">
        <v>64000</v>
      </c>
      <c r="F64" s="620">
        <v>21552.737000000001</v>
      </c>
      <c r="G64" s="550" t="s">
        <v>249</v>
      </c>
      <c r="H64" s="556" t="s">
        <v>394</v>
      </c>
      <c r="I64" s="638"/>
      <c r="J64" s="641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</row>
    <row r="65" spans="1:36" s="323" customFormat="1" ht="42.6" customHeight="1" x14ac:dyDescent="0.25">
      <c r="A65" s="635" t="s">
        <v>332</v>
      </c>
      <c r="B65" s="634" t="s">
        <v>388</v>
      </c>
      <c r="C65" s="620">
        <v>63217.29</v>
      </c>
      <c r="D65" s="620"/>
      <c r="E65" s="546">
        <v>63217.29</v>
      </c>
      <c r="F65" s="620">
        <v>39522.9274</v>
      </c>
      <c r="G65" s="550" t="s">
        <v>249</v>
      </c>
      <c r="H65" s="556" t="s">
        <v>406</v>
      </c>
      <c r="I65" s="638"/>
      <c r="J65" s="641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</row>
    <row r="66" spans="1:36" s="323" customFormat="1" ht="42.6" customHeight="1" x14ac:dyDescent="0.25">
      <c r="A66" s="635" t="s">
        <v>335</v>
      </c>
      <c r="B66" s="634" t="s">
        <v>393</v>
      </c>
      <c r="C66" s="620">
        <v>17140.37</v>
      </c>
      <c r="D66" s="620"/>
      <c r="E66" s="546">
        <v>17140.37</v>
      </c>
      <c r="F66" s="620">
        <v>7224.1810999999998</v>
      </c>
      <c r="G66" s="550" t="s">
        <v>249</v>
      </c>
      <c r="H66" s="556" t="s">
        <v>406</v>
      </c>
      <c r="I66" s="638"/>
      <c r="J66" s="641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</row>
    <row r="67" spans="1:36" s="323" customFormat="1" ht="42.6" customHeight="1" x14ac:dyDescent="0.25">
      <c r="A67" s="635" t="s">
        <v>336</v>
      </c>
      <c r="B67" s="634" t="s">
        <v>397</v>
      </c>
      <c r="C67" s="620">
        <v>72225.63</v>
      </c>
      <c r="D67" s="620"/>
      <c r="E67" s="546">
        <v>72225.63</v>
      </c>
      <c r="F67" s="620">
        <v>34152.668900000004</v>
      </c>
      <c r="G67" s="550" t="s">
        <v>249</v>
      </c>
      <c r="H67" s="556" t="s">
        <v>406</v>
      </c>
      <c r="I67" s="638"/>
      <c r="J67" s="641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</row>
    <row r="68" spans="1:36" s="323" customFormat="1" ht="42.6" customHeight="1" x14ac:dyDescent="0.25">
      <c r="A68" s="635" t="s">
        <v>337</v>
      </c>
      <c r="B68" s="634" t="s">
        <v>400</v>
      </c>
      <c r="C68" s="620">
        <v>23023.89</v>
      </c>
      <c r="D68" s="620"/>
      <c r="E68" s="546">
        <v>23023.89</v>
      </c>
      <c r="F68" s="620">
        <v>7049.2217000000001</v>
      </c>
      <c r="G68" s="550" t="s">
        <v>249</v>
      </c>
      <c r="H68" s="556" t="s">
        <v>406</v>
      </c>
      <c r="I68" s="638"/>
      <c r="J68" s="641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</row>
    <row r="69" spans="1:36" s="323" customFormat="1" ht="42.6" customHeight="1" x14ac:dyDescent="0.25">
      <c r="A69" s="635" t="s">
        <v>338</v>
      </c>
      <c r="B69" s="634" t="s">
        <v>401</v>
      </c>
      <c r="C69" s="620">
        <v>227922.04</v>
      </c>
      <c r="D69" s="620">
        <v>41217.47</v>
      </c>
      <c r="E69" s="546">
        <v>269139.51</v>
      </c>
      <c r="F69" s="620">
        <v>159925.39529999997</v>
      </c>
      <c r="G69" s="618" t="s">
        <v>203</v>
      </c>
      <c r="H69" s="556" t="s">
        <v>399</v>
      </c>
      <c r="I69" s="638" t="s">
        <v>440</v>
      </c>
      <c r="J69" s="641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</row>
    <row r="70" spans="1:36" s="323" customFormat="1" ht="42.6" customHeight="1" x14ac:dyDescent="0.25">
      <c r="A70" s="635" t="s">
        <v>339</v>
      </c>
      <c r="B70" s="634" t="s">
        <v>402</v>
      </c>
      <c r="C70" s="620">
        <v>107483.784</v>
      </c>
      <c r="D70" s="620"/>
      <c r="E70" s="546">
        <v>107483.784</v>
      </c>
      <c r="F70" s="620">
        <v>42715.839520000001</v>
      </c>
      <c r="G70" s="550" t="s">
        <v>249</v>
      </c>
      <c r="H70" s="556" t="s">
        <v>406</v>
      </c>
      <c r="I70" s="638"/>
      <c r="J70" s="641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</row>
    <row r="71" spans="1:36" s="323" customFormat="1" ht="42.6" customHeight="1" x14ac:dyDescent="0.25">
      <c r="A71" s="635" t="s">
        <v>340</v>
      </c>
      <c r="B71" s="634" t="s">
        <v>405</v>
      </c>
      <c r="C71" s="620">
        <v>27150</v>
      </c>
      <c r="D71" s="620"/>
      <c r="E71" s="546">
        <v>27150</v>
      </c>
      <c r="F71" s="620">
        <v>17195.89</v>
      </c>
      <c r="G71" s="550" t="s">
        <v>249</v>
      </c>
      <c r="H71" s="556" t="s">
        <v>432</v>
      </c>
      <c r="I71" s="638"/>
      <c r="J71" s="641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</row>
    <row r="72" spans="1:36" s="323" customFormat="1" ht="42.6" customHeight="1" x14ac:dyDescent="0.25">
      <c r="A72" s="635" t="s">
        <v>341</v>
      </c>
      <c r="B72" s="634" t="s">
        <v>413</v>
      </c>
      <c r="C72" s="620">
        <v>82388</v>
      </c>
      <c r="D72" s="620"/>
      <c r="E72" s="546">
        <v>82388</v>
      </c>
      <c r="F72" s="620">
        <v>36327.154999999999</v>
      </c>
      <c r="G72" s="618" t="s">
        <v>203</v>
      </c>
      <c r="H72" s="556" t="s">
        <v>416</v>
      </c>
      <c r="I72" s="638" t="s">
        <v>429</v>
      </c>
      <c r="J72" s="641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</row>
    <row r="73" spans="1:36" s="323" customFormat="1" ht="42.6" customHeight="1" x14ac:dyDescent="0.25">
      <c r="A73" s="635" t="s">
        <v>342</v>
      </c>
      <c r="B73" s="634" t="s">
        <v>418</v>
      </c>
      <c r="C73" s="620">
        <v>799800</v>
      </c>
      <c r="D73" s="620"/>
      <c r="E73" s="546">
        <v>799800</v>
      </c>
      <c r="F73" s="620">
        <v>421958</v>
      </c>
      <c r="G73" s="550" t="s">
        <v>249</v>
      </c>
      <c r="H73" s="556" t="s">
        <v>445</v>
      </c>
      <c r="I73" s="689"/>
      <c r="J73" s="641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</row>
    <row r="74" spans="1:36" s="323" customFormat="1" ht="42.6" customHeight="1" x14ac:dyDescent="0.25">
      <c r="A74" s="635" t="s">
        <v>343</v>
      </c>
      <c r="B74" s="634" t="s">
        <v>455</v>
      </c>
      <c r="C74" s="620">
        <v>15510</v>
      </c>
      <c r="D74" s="620"/>
      <c r="E74" s="546">
        <v>15510</v>
      </c>
      <c r="F74" s="620">
        <v>9915.2999999999993</v>
      </c>
      <c r="G74" s="550" t="s">
        <v>249</v>
      </c>
      <c r="H74" s="556" t="s">
        <v>461</v>
      </c>
      <c r="I74" s="689"/>
      <c r="J74" s="641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</row>
    <row r="75" spans="1:36" s="323" customFormat="1" ht="42.6" customHeight="1" x14ac:dyDescent="0.25">
      <c r="A75" s="635" t="s">
        <v>344</v>
      </c>
      <c r="B75" s="634" t="s">
        <v>457</v>
      </c>
      <c r="C75" s="620">
        <v>137366.51999999999</v>
      </c>
      <c r="D75" s="620"/>
      <c r="E75" s="546">
        <v>137366.51999999999</v>
      </c>
      <c r="F75" s="620">
        <v>62638.005600000004</v>
      </c>
      <c r="G75" s="550" t="s">
        <v>249</v>
      </c>
      <c r="H75" s="556" t="s">
        <v>461</v>
      </c>
      <c r="I75" s="689"/>
      <c r="J75" s="641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</row>
    <row r="76" spans="1:36" s="323" customFormat="1" ht="42.6" customHeight="1" x14ac:dyDescent="0.25">
      <c r="A76" s="635" t="s">
        <v>345</v>
      </c>
      <c r="B76" s="634" t="s">
        <v>476</v>
      </c>
      <c r="C76" s="620"/>
      <c r="D76" s="620"/>
      <c r="E76" s="546"/>
      <c r="F76" s="620"/>
      <c r="G76" s="550" t="s">
        <v>311</v>
      </c>
      <c r="H76" s="556" t="s">
        <v>475</v>
      </c>
      <c r="I76" s="689"/>
      <c r="J76" s="641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</row>
    <row r="77" spans="1:36" s="324" customFormat="1" ht="22.95" customHeight="1" x14ac:dyDescent="0.25">
      <c r="A77" s="560"/>
      <c r="B77" s="560" t="s">
        <v>47</v>
      </c>
      <c r="C77" s="561">
        <f>SUM(C6:C76)</f>
        <v>40416731.967997104</v>
      </c>
      <c r="D77" s="561">
        <f>SUM(D6:D76)</f>
        <v>7504533.7611656738</v>
      </c>
      <c r="E77" s="561">
        <f>SUM(E6:E76)</f>
        <v>47921265.729162782</v>
      </c>
      <c r="F77" s="561">
        <f>SUM(F6:F76)</f>
        <v>26927260.590169508</v>
      </c>
      <c r="G77" s="561"/>
      <c r="H77" s="561"/>
      <c r="I77" s="561"/>
    </row>
    <row r="78" spans="1:36" x14ac:dyDescent="0.25">
      <c r="C78" s="339"/>
      <c r="D78" s="339"/>
      <c r="E78" s="339"/>
      <c r="F78" s="339"/>
      <c r="G78" s="339"/>
      <c r="H78" s="339"/>
      <c r="I78" s="339"/>
    </row>
    <row r="79" spans="1:36" x14ac:dyDescent="0.25">
      <c r="C79" s="339"/>
      <c r="D79" s="339"/>
      <c r="E79" s="339"/>
      <c r="F79" s="339"/>
      <c r="G79" s="339"/>
      <c r="H79" s="339"/>
      <c r="I79" s="339"/>
    </row>
    <row r="80" spans="1:36" x14ac:dyDescent="0.25">
      <c r="C80" s="339"/>
      <c r="D80" s="339"/>
      <c r="E80" s="339"/>
      <c r="F80" s="339"/>
      <c r="G80" s="339"/>
      <c r="H80" s="339"/>
      <c r="I80" s="339"/>
    </row>
    <row r="81" spans="3:9" x14ac:dyDescent="0.25">
      <c r="C81" s="339"/>
      <c r="D81" s="339"/>
      <c r="E81" s="339"/>
      <c r="F81" s="339"/>
      <c r="G81" s="339"/>
      <c r="H81" s="339"/>
      <c r="I81" s="339"/>
    </row>
    <row r="82" spans="3:9" x14ac:dyDescent="0.25">
      <c r="C82" s="339"/>
      <c r="D82" s="339"/>
      <c r="E82" s="339"/>
      <c r="F82" s="339"/>
      <c r="G82" s="339"/>
      <c r="H82" s="339"/>
      <c r="I82" s="339"/>
    </row>
    <row r="83" spans="3:9" x14ac:dyDescent="0.25">
      <c r="C83" s="339"/>
      <c r="D83" s="339"/>
      <c r="E83" s="339"/>
      <c r="F83" s="339"/>
      <c r="G83" s="339"/>
      <c r="H83" s="339"/>
      <c r="I83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57"/>
  <sheetViews>
    <sheetView tabSelected="1" showWhiteSpace="0" zoomScale="76" zoomScaleNormal="76" zoomScaleSheetLayoutView="36" workbookViewId="0">
      <pane xSplit="2" ySplit="5" topLeftCell="C66" activePane="bottomRight" state="frozen"/>
      <selection pane="topRight" activeCell="C1" sqref="C1"/>
      <selection pane="bottomLeft" activeCell="A6" sqref="A6"/>
      <selection pane="bottomRight" activeCell="G75" sqref="G75:H75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2.33203125" style="342" customWidth="1"/>
    <col min="4" max="4" width="9.44140625" style="342" customWidth="1"/>
    <col min="5" max="5" width="19.88671875" style="342" customWidth="1" outlineLevel="1"/>
    <col min="6" max="6" width="21.6640625" style="342" customWidth="1"/>
    <col min="7" max="7" width="24.21875" style="342" customWidth="1"/>
    <col min="8" max="8" width="23.6640625" style="342" customWidth="1"/>
    <col min="9" max="9" width="24.109375" style="342" customWidth="1"/>
    <col min="10" max="11" width="18.5546875" style="342" customWidth="1"/>
    <col min="12" max="12" width="56.218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773" t="s">
        <v>205</v>
      </c>
      <c r="B1" s="773"/>
      <c r="C1" s="773"/>
      <c r="D1" s="773"/>
      <c r="E1" s="773"/>
      <c r="F1" s="773"/>
      <c r="G1" s="773"/>
      <c r="H1" s="773"/>
      <c r="I1" s="773"/>
      <c r="J1" s="773"/>
      <c r="K1" s="773"/>
      <c r="L1" s="773"/>
    </row>
    <row r="2" spans="1:39" ht="59.4" customHeight="1" thickBot="1" x14ac:dyDescent="0.3">
      <c r="A2" s="790"/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</row>
    <row r="3" spans="1:39" ht="17.399999999999999" customHeight="1" x14ac:dyDescent="0.25">
      <c r="A3" s="774" t="s">
        <v>124</v>
      </c>
      <c r="B3" s="787" t="s">
        <v>185</v>
      </c>
      <c r="C3" s="777" t="s">
        <v>204</v>
      </c>
      <c r="D3" s="791" t="s">
        <v>218</v>
      </c>
      <c r="E3" s="792"/>
      <c r="F3" s="792"/>
      <c r="G3" s="792"/>
      <c r="H3" s="792"/>
      <c r="I3" s="792"/>
      <c r="J3" s="793"/>
      <c r="K3" s="797" t="s">
        <v>433</v>
      </c>
      <c r="L3" s="784" t="s">
        <v>191</v>
      </c>
    </row>
    <row r="4" spans="1:39" ht="12.6" customHeight="1" x14ac:dyDescent="0.25">
      <c r="A4" s="775"/>
      <c r="B4" s="788"/>
      <c r="C4" s="778"/>
      <c r="D4" s="794"/>
      <c r="E4" s="795"/>
      <c r="F4" s="795"/>
      <c r="G4" s="795"/>
      <c r="H4" s="795"/>
      <c r="I4" s="795"/>
      <c r="J4" s="796"/>
      <c r="K4" s="798"/>
      <c r="L4" s="785"/>
    </row>
    <row r="5" spans="1:39" ht="40.950000000000003" customHeight="1" thickBot="1" x14ac:dyDescent="0.3">
      <c r="A5" s="776"/>
      <c r="B5" s="789"/>
      <c r="C5" s="779"/>
      <c r="D5" s="636" t="s">
        <v>126</v>
      </c>
      <c r="E5" s="636" t="s">
        <v>409</v>
      </c>
      <c r="F5" s="636" t="s">
        <v>267</v>
      </c>
      <c r="G5" s="636" t="s">
        <v>193</v>
      </c>
      <c r="H5" s="636" t="s">
        <v>192</v>
      </c>
      <c r="I5" s="636" t="s">
        <v>9</v>
      </c>
      <c r="J5" s="636" t="s">
        <v>190</v>
      </c>
      <c r="K5" s="783"/>
      <c r="L5" s="786"/>
    </row>
    <row r="6" spans="1:39" s="323" customFormat="1" ht="49.2" customHeight="1" x14ac:dyDescent="0.25">
      <c r="A6" s="679" t="s">
        <v>53</v>
      </c>
      <c r="B6" s="672" t="s">
        <v>199</v>
      </c>
      <c r="C6" s="674">
        <v>69779.8</v>
      </c>
      <c r="D6" s="682" t="s">
        <v>53</v>
      </c>
      <c r="E6" s="683">
        <f t="shared" ref="E6:E37" si="0">IFERROR(VALUE(MID(D6,2,LEN(D6)-1)),"")</f>
        <v>1</v>
      </c>
      <c r="F6" s="684">
        <v>74844.200000000012</v>
      </c>
      <c r="G6" s="674">
        <v>0</v>
      </c>
      <c r="H6" s="674">
        <v>74844.200000000012</v>
      </c>
      <c r="I6" s="674" t="s">
        <v>249</v>
      </c>
      <c r="J6" s="680" t="s">
        <v>251</v>
      </c>
      <c r="K6" s="680" t="s">
        <v>321</v>
      </c>
      <c r="L6" s="680" t="s">
        <v>153</v>
      </c>
      <c r="M6" s="533" t="s">
        <v>312</v>
      </c>
      <c r="N6" s="637" t="s">
        <v>313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635" t="s">
        <v>69</v>
      </c>
      <c r="B7" s="634" t="s">
        <v>200</v>
      </c>
      <c r="C7" s="646">
        <v>2044</v>
      </c>
      <c r="D7" s="549" t="s">
        <v>171</v>
      </c>
      <c r="E7" s="629">
        <f t="shared" si="0"/>
        <v>18</v>
      </c>
      <c r="F7" s="681">
        <v>2044</v>
      </c>
      <c r="G7" s="620">
        <v>0</v>
      </c>
      <c r="H7" s="646">
        <v>2044</v>
      </c>
      <c r="I7" s="620" t="s">
        <v>202</v>
      </c>
      <c r="J7" s="646" t="s">
        <v>269</v>
      </c>
      <c r="K7" s="646"/>
      <c r="L7" s="550" t="s">
        <v>153</v>
      </c>
      <c r="M7" s="307"/>
      <c r="N7" s="537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48.6" customHeight="1" x14ac:dyDescent="0.25">
      <c r="A8" s="656" t="s">
        <v>293</v>
      </c>
      <c r="B8" s="647" t="s">
        <v>292</v>
      </c>
      <c r="C8" s="554">
        <v>7883363.147839915</v>
      </c>
      <c r="D8" s="548" t="s">
        <v>230</v>
      </c>
      <c r="E8" s="629">
        <f t="shared" si="0"/>
        <v>29</v>
      </c>
      <c r="F8" s="546">
        <v>359694.36</v>
      </c>
      <c r="G8" s="620" t="s">
        <v>153</v>
      </c>
      <c r="H8" s="620">
        <v>359694.36</v>
      </c>
      <c r="I8" s="620" t="s">
        <v>202</v>
      </c>
      <c r="J8" s="646" t="s">
        <v>308</v>
      </c>
      <c r="K8" s="646" t="s">
        <v>321</v>
      </c>
      <c r="L8" s="556" t="s">
        <v>153</v>
      </c>
      <c r="M8" s="533" t="s">
        <v>203</v>
      </c>
      <c r="N8" s="637" t="s">
        <v>314</v>
      </c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39.75" customHeight="1" x14ac:dyDescent="0.25">
      <c r="A9" s="656" t="s">
        <v>293</v>
      </c>
      <c r="B9" s="648"/>
      <c r="C9" s="555"/>
      <c r="D9" s="548" t="s">
        <v>338</v>
      </c>
      <c r="E9" s="629">
        <f t="shared" si="0"/>
        <v>53</v>
      </c>
      <c r="F9" s="546">
        <v>1041800.0712068096</v>
      </c>
      <c r="G9" s="620">
        <v>358436.37120680953</v>
      </c>
      <c r="H9" s="620">
        <v>683363.70000000007</v>
      </c>
      <c r="I9" s="620" t="s">
        <v>202</v>
      </c>
      <c r="J9" s="646" t="s">
        <v>347</v>
      </c>
      <c r="K9" s="646" t="s">
        <v>321</v>
      </c>
      <c r="L9" s="550"/>
      <c r="M9" s="307" t="s">
        <v>188</v>
      </c>
      <c r="N9" s="637" t="s">
        <v>315</v>
      </c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39.75" customHeight="1" x14ac:dyDescent="0.25">
      <c r="A10" s="656" t="s">
        <v>293</v>
      </c>
      <c r="B10" s="648"/>
      <c r="C10" s="555"/>
      <c r="D10" s="548" t="s">
        <v>364</v>
      </c>
      <c r="E10" s="629">
        <f t="shared" si="0"/>
        <v>71</v>
      </c>
      <c r="F10" s="546">
        <v>3843652.4262551991</v>
      </c>
      <c r="G10" s="620">
        <v>1651331.9262551989</v>
      </c>
      <c r="H10" s="620">
        <v>2192320.5</v>
      </c>
      <c r="I10" s="620" t="s">
        <v>202</v>
      </c>
      <c r="J10" s="646" t="s">
        <v>394</v>
      </c>
      <c r="K10" s="646" t="s">
        <v>321</v>
      </c>
      <c r="L10" s="547"/>
      <c r="M10" s="533"/>
      <c r="N10" s="691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39.75" customHeight="1" x14ac:dyDescent="0.25">
      <c r="A11" s="656" t="s">
        <v>293</v>
      </c>
      <c r="B11" s="649"/>
      <c r="C11" s="650"/>
      <c r="D11" s="548" t="s">
        <v>383</v>
      </c>
      <c r="E11" s="629">
        <f t="shared" ref="E11:E12" si="1">IFERROR(VALUE(MID(D11,2,LEN(D11)-1)),"")</f>
        <v>79</v>
      </c>
      <c r="F11" s="546">
        <v>1819844.095613553</v>
      </c>
      <c r="G11" s="620">
        <v>728716.19561355305</v>
      </c>
      <c r="H11" s="620">
        <v>1091127.8999999999</v>
      </c>
      <c r="I11" s="620" t="s">
        <v>202</v>
      </c>
      <c r="J11" s="646" t="s">
        <v>394</v>
      </c>
      <c r="K11" s="646" t="s">
        <v>321</v>
      </c>
      <c r="L11" s="547"/>
      <c r="M11" s="533"/>
      <c r="N11" s="691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39.75" customHeight="1" x14ac:dyDescent="0.25">
      <c r="A12" s="656" t="s">
        <v>293</v>
      </c>
      <c r="B12" s="648"/>
      <c r="C12" s="555"/>
      <c r="D12" s="548" t="s">
        <v>420</v>
      </c>
      <c r="E12" s="629">
        <f t="shared" si="1"/>
        <v>96</v>
      </c>
      <c r="F12" s="546">
        <v>15979.2</v>
      </c>
      <c r="G12" s="620"/>
      <c r="H12" s="620">
        <v>15979.2</v>
      </c>
      <c r="I12" s="550" t="s">
        <v>249</v>
      </c>
      <c r="J12" s="646" t="s">
        <v>462</v>
      </c>
      <c r="K12" s="646"/>
      <c r="L12" s="643" t="s">
        <v>427</v>
      </c>
      <c r="M12" s="533"/>
      <c r="N12" s="691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9.75" customHeight="1" x14ac:dyDescent="0.25">
      <c r="A13" s="656" t="s">
        <v>293</v>
      </c>
      <c r="B13" s="648"/>
      <c r="C13" s="555"/>
      <c r="D13" s="664" t="s">
        <v>451</v>
      </c>
      <c r="E13" s="629">
        <f t="shared" si="0"/>
        <v>119</v>
      </c>
      <c r="F13" s="546">
        <v>16533.150000000001</v>
      </c>
      <c r="G13" s="620">
        <v>3130.71</v>
      </c>
      <c r="H13" s="620">
        <v>13402.44</v>
      </c>
      <c r="I13" s="550" t="s">
        <v>249</v>
      </c>
      <c r="J13" s="646" t="s">
        <v>462</v>
      </c>
      <c r="K13" s="646"/>
      <c r="L13" s="643"/>
      <c r="M13" s="533"/>
      <c r="N13" s="691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8.25" customHeight="1" x14ac:dyDescent="0.25">
      <c r="A14" s="663" t="s">
        <v>294</v>
      </c>
      <c r="B14" s="665" t="s">
        <v>291</v>
      </c>
      <c r="C14" s="666">
        <v>7051600.8118639104</v>
      </c>
      <c r="D14" s="664" t="s">
        <v>235</v>
      </c>
      <c r="E14" s="629">
        <f t="shared" si="0"/>
        <v>27</v>
      </c>
      <c r="F14" s="546">
        <v>330648.57999999996</v>
      </c>
      <c r="G14" s="620">
        <v>0</v>
      </c>
      <c r="H14" s="620">
        <v>330648.57999999996</v>
      </c>
      <c r="I14" s="620" t="s">
        <v>202</v>
      </c>
      <c r="J14" s="620" t="s">
        <v>288</v>
      </c>
      <c r="K14" s="646" t="s">
        <v>382</v>
      </c>
      <c r="L14" s="556" t="s">
        <v>153</v>
      </c>
      <c r="M14" s="307"/>
      <c r="N14" s="691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8.25" customHeight="1" x14ac:dyDescent="0.25">
      <c r="A15" s="663" t="s">
        <v>294</v>
      </c>
      <c r="B15" s="667"/>
      <c r="C15" s="668"/>
      <c r="D15" s="664" t="s">
        <v>307</v>
      </c>
      <c r="E15" s="629">
        <f t="shared" si="0"/>
        <v>42</v>
      </c>
      <c r="F15" s="546">
        <v>908895.93</v>
      </c>
      <c r="G15" s="620">
        <v>307721.33</v>
      </c>
      <c r="H15" s="620">
        <v>601174.6</v>
      </c>
      <c r="I15" s="620" t="s">
        <v>202</v>
      </c>
      <c r="J15" s="646" t="s">
        <v>308</v>
      </c>
      <c r="K15" s="646" t="s">
        <v>382</v>
      </c>
      <c r="L15" s="556"/>
      <c r="M15" s="307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8.25" customHeight="1" x14ac:dyDescent="0.25">
      <c r="A16" s="663" t="s">
        <v>294</v>
      </c>
      <c r="B16" s="667"/>
      <c r="C16" s="668"/>
      <c r="D16" s="664" t="s">
        <v>335</v>
      </c>
      <c r="E16" s="629">
        <f t="shared" si="0"/>
        <v>50</v>
      </c>
      <c r="F16" s="546">
        <v>15568.8</v>
      </c>
      <c r="G16" s="620"/>
      <c r="H16" s="620">
        <v>15568.8</v>
      </c>
      <c r="I16" s="620" t="s">
        <v>202</v>
      </c>
      <c r="J16" s="646" t="s">
        <v>347</v>
      </c>
      <c r="K16" s="646" t="s">
        <v>382</v>
      </c>
      <c r="L16" s="556" t="s">
        <v>153</v>
      </c>
      <c r="M16" s="307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663" t="s">
        <v>294</v>
      </c>
      <c r="B17" s="667"/>
      <c r="C17" s="668"/>
      <c r="D17" s="664" t="s">
        <v>339</v>
      </c>
      <c r="E17" s="629">
        <f t="shared" si="0"/>
        <v>54</v>
      </c>
      <c r="F17" s="546">
        <v>2738195.2531138035</v>
      </c>
      <c r="G17" s="620">
        <v>1165791.7731138035</v>
      </c>
      <c r="H17" s="620">
        <v>1572403.4799999997</v>
      </c>
      <c r="I17" s="620" t="s">
        <v>202</v>
      </c>
      <c r="J17" s="646" t="s">
        <v>347</v>
      </c>
      <c r="K17" s="646" t="s">
        <v>321</v>
      </c>
      <c r="L17" s="550"/>
      <c r="M17" s="307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8.25" customHeight="1" x14ac:dyDescent="0.25">
      <c r="A18" s="663" t="s">
        <v>294</v>
      </c>
      <c r="B18" s="667"/>
      <c r="C18" s="668"/>
      <c r="D18" s="664" t="s">
        <v>353</v>
      </c>
      <c r="E18" s="629">
        <f t="shared" ref="E18:E19" si="2">IFERROR(VALUE(MID(D18,2,LEN(D18)-1)),"")</f>
        <v>63</v>
      </c>
      <c r="F18" s="546">
        <v>3145348.21</v>
      </c>
      <c r="G18" s="620">
        <v>1234705.2081420319</v>
      </c>
      <c r="H18" s="620">
        <v>1910643</v>
      </c>
      <c r="I18" s="620" t="s">
        <v>202</v>
      </c>
      <c r="J18" s="556" t="s">
        <v>374</v>
      </c>
      <c r="K18" s="556" t="s">
        <v>321</v>
      </c>
      <c r="L18" s="643"/>
      <c r="M18" s="30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8.25" customHeight="1" x14ac:dyDescent="0.25">
      <c r="A19" s="663" t="s">
        <v>294</v>
      </c>
      <c r="B19" s="667"/>
      <c r="C19" s="668"/>
      <c r="D19" s="664" t="s">
        <v>421</v>
      </c>
      <c r="E19" s="629">
        <f t="shared" si="2"/>
        <v>97</v>
      </c>
      <c r="F19" s="546">
        <v>51616.44</v>
      </c>
      <c r="G19" s="620"/>
      <c r="H19" s="620">
        <v>51616.44</v>
      </c>
      <c r="I19" s="620" t="s">
        <v>202</v>
      </c>
      <c r="J19" s="646" t="s">
        <v>432</v>
      </c>
      <c r="K19" s="646" t="s">
        <v>321</v>
      </c>
      <c r="L19" s="643" t="s">
        <v>23</v>
      </c>
      <c r="M19" s="307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8.25" customHeight="1" x14ac:dyDescent="0.25">
      <c r="A20" s="663" t="s">
        <v>294</v>
      </c>
      <c r="B20" s="667"/>
      <c r="C20" s="668"/>
      <c r="D20" s="664" t="s">
        <v>426</v>
      </c>
      <c r="E20" s="629">
        <f t="shared" si="0"/>
        <v>100</v>
      </c>
      <c r="F20" s="546">
        <v>15979.8</v>
      </c>
      <c r="G20" s="620"/>
      <c r="H20" s="620">
        <v>15979.8</v>
      </c>
      <c r="I20" s="550" t="s">
        <v>249</v>
      </c>
      <c r="J20" s="646" t="s">
        <v>462</v>
      </c>
      <c r="K20" s="646"/>
      <c r="L20" s="643" t="s">
        <v>427</v>
      </c>
      <c r="M20" s="307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9.75" customHeight="1" x14ac:dyDescent="0.25">
      <c r="A21" s="623" t="s">
        <v>294</v>
      </c>
      <c r="B21" s="696"/>
      <c r="C21" s="697"/>
      <c r="D21" s="548" t="s">
        <v>452</v>
      </c>
      <c r="E21" s="629">
        <f t="shared" ref="E21" si="3">IFERROR(VALUE(MID(D21,2,LEN(D21)-1)),"")</f>
        <v>120</v>
      </c>
      <c r="F21" s="546">
        <v>16533.150000000001</v>
      </c>
      <c r="G21" s="620">
        <v>3130.71</v>
      </c>
      <c r="H21" s="620">
        <v>13402.44</v>
      </c>
      <c r="I21" s="550" t="s">
        <v>249</v>
      </c>
      <c r="J21" s="646" t="s">
        <v>462</v>
      </c>
      <c r="K21" s="646"/>
      <c r="L21" s="643"/>
      <c r="M21" s="533"/>
      <c r="N21" s="691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6" customHeight="1" x14ac:dyDescent="0.25">
      <c r="A22" s="686" t="s">
        <v>295</v>
      </c>
      <c r="B22" s="665" t="s">
        <v>290</v>
      </c>
      <c r="C22" s="666">
        <v>7766307.4578399099</v>
      </c>
      <c r="D22" s="698" t="s">
        <v>158</v>
      </c>
      <c r="E22" s="629">
        <f t="shared" si="0"/>
        <v>15</v>
      </c>
      <c r="F22" s="546">
        <v>554353</v>
      </c>
      <c r="G22" s="620">
        <v>0</v>
      </c>
      <c r="H22" s="620">
        <v>554353</v>
      </c>
      <c r="I22" s="620" t="s">
        <v>202</v>
      </c>
      <c r="J22" s="646" t="s">
        <v>269</v>
      </c>
      <c r="K22" s="646" t="s">
        <v>382</v>
      </c>
      <c r="L22" s="556" t="s">
        <v>153</v>
      </c>
      <c r="M22" s="534" t="s">
        <v>249</v>
      </c>
      <c r="N22" s="637" t="s">
        <v>316</v>
      </c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3" customHeight="1" x14ac:dyDescent="0.25">
      <c r="A23" s="663" t="s">
        <v>295</v>
      </c>
      <c r="B23" s="667"/>
      <c r="C23" s="668"/>
      <c r="D23" s="664" t="s">
        <v>262</v>
      </c>
      <c r="E23" s="629">
        <f t="shared" si="0"/>
        <v>28</v>
      </c>
      <c r="F23" s="546">
        <v>5437399.7429927047</v>
      </c>
      <c r="G23" s="620">
        <v>2649255.2429927043</v>
      </c>
      <c r="H23" s="620">
        <v>2788144.5</v>
      </c>
      <c r="I23" s="620" t="s">
        <v>202</v>
      </c>
      <c r="J23" s="620" t="s">
        <v>288</v>
      </c>
      <c r="K23" s="646" t="s">
        <v>382</v>
      </c>
      <c r="L23" s="556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2.4" customHeight="1" x14ac:dyDescent="0.25">
      <c r="A24" s="663" t="s">
        <v>295</v>
      </c>
      <c r="B24" s="667"/>
      <c r="C24" s="668"/>
      <c r="D24" s="664" t="s">
        <v>289</v>
      </c>
      <c r="E24" s="629">
        <f t="shared" si="0"/>
        <v>36</v>
      </c>
      <c r="F24" s="546">
        <v>887716.17086603516</v>
      </c>
      <c r="G24" s="620">
        <v>122464.17086603522</v>
      </c>
      <c r="H24" s="620">
        <v>765252</v>
      </c>
      <c r="I24" s="550" t="s">
        <v>249</v>
      </c>
      <c r="J24" s="620" t="s">
        <v>298</v>
      </c>
      <c r="K24" s="646" t="s">
        <v>382</v>
      </c>
      <c r="L24" s="556"/>
      <c r="M24" s="318"/>
      <c r="N24" s="535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2.4" customHeight="1" x14ac:dyDescent="0.25">
      <c r="A25" s="663" t="s">
        <v>295</v>
      </c>
      <c r="B25" s="667"/>
      <c r="C25" s="668"/>
      <c r="D25" s="664" t="s">
        <v>301</v>
      </c>
      <c r="E25" s="629">
        <f t="shared" ref="E25:E26" si="4">IFERROR(VALUE(MID(D25,2,LEN(D25)-1)),"")</f>
        <v>37</v>
      </c>
      <c r="F25" s="546">
        <v>426150.51662977174</v>
      </c>
      <c r="G25" s="620">
        <v>7992.5166297717396</v>
      </c>
      <c r="H25" s="620">
        <v>418158</v>
      </c>
      <c r="I25" s="620" t="s">
        <v>202</v>
      </c>
      <c r="J25" s="646" t="s">
        <v>308</v>
      </c>
      <c r="K25" s="646" t="s">
        <v>382</v>
      </c>
      <c r="L25" s="556"/>
      <c r="M25" s="318"/>
      <c r="N25" s="535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32.4" customHeight="1" x14ac:dyDescent="0.25">
      <c r="A26" s="663" t="s">
        <v>295</v>
      </c>
      <c r="B26" s="667"/>
      <c r="C26" s="668"/>
      <c r="D26" s="664" t="s">
        <v>422</v>
      </c>
      <c r="E26" s="629">
        <f t="shared" si="4"/>
        <v>98</v>
      </c>
      <c r="F26" s="546">
        <v>57640.08</v>
      </c>
      <c r="G26" s="620"/>
      <c r="H26" s="620">
        <v>57640.08</v>
      </c>
      <c r="I26" s="620" t="s">
        <v>202</v>
      </c>
      <c r="J26" s="646" t="s">
        <v>432</v>
      </c>
      <c r="K26" s="646" t="s">
        <v>321</v>
      </c>
      <c r="L26" s="662" t="s">
        <v>23</v>
      </c>
      <c r="M26" s="318"/>
      <c r="N26" s="535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38.25" customHeight="1" x14ac:dyDescent="0.25">
      <c r="A27" s="663" t="s">
        <v>295</v>
      </c>
      <c r="B27" s="667"/>
      <c r="C27" s="668"/>
      <c r="D27" s="664" t="s">
        <v>428</v>
      </c>
      <c r="E27" s="629">
        <f t="shared" ref="E27:E28" si="5">IFERROR(VALUE(MID(D27,2,LEN(D27)-1)),"")</f>
        <v>101</v>
      </c>
      <c r="F27" s="546">
        <v>15979.8</v>
      </c>
      <c r="G27" s="620"/>
      <c r="H27" s="620">
        <v>15979.8</v>
      </c>
      <c r="I27" s="550" t="s">
        <v>249</v>
      </c>
      <c r="J27" s="646" t="s">
        <v>462</v>
      </c>
      <c r="K27" s="646"/>
      <c r="L27" s="643" t="s">
        <v>427</v>
      </c>
      <c r="M27" s="307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3" customFormat="1" ht="39.75" customHeight="1" x14ac:dyDescent="0.25">
      <c r="A28" s="699" t="s">
        <v>295</v>
      </c>
      <c r="B28" s="669"/>
      <c r="C28" s="670"/>
      <c r="D28" s="664" t="s">
        <v>453</v>
      </c>
      <c r="E28" s="629">
        <f t="shared" si="5"/>
        <v>121</v>
      </c>
      <c r="F28" s="546">
        <v>16533.150000000001</v>
      </c>
      <c r="G28" s="620">
        <v>3130.71</v>
      </c>
      <c r="H28" s="620">
        <v>13402.44</v>
      </c>
      <c r="I28" s="550" t="s">
        <v>249</v>
      </c>
      <c r="J28" s="646" t="s">
        <v>462</v>
      </c>
      <c r="K28" s="646"/>
      <c r="L28" s="643"/>
      <c r="M28" s="533"/>
      <c r="N28" s="691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pans="1:39" s="323" customFormat="1" ht="56.4" customHeight="1" x14ac:dyDescent="0.25">
      <c r="A29" s="656" t="s">
        <v>71</v>
      </c>
      <c r="B29" s="648" t="s">
        <v>194</v>
      </c>
      <c r="C29" s="555">
        <v>403929.07</v>
      </c>
      <c r="D29" s="549" t="s">
        <v>169</v>
      </c>
      <c r="E29" s="629">
        <f t="shared" si="0"/>
        <v>16</v>
      </c>
      <c r="F29" s="590">
        <v>446461.48</v>
      </c>
      <c r="G29" s="556">
        <v>95684.599359999993</v>
      </c>
      <c r="H29" s="556">
        <v>350776.88</v>
      </c>
      <c r="I29" s="620" t="s">
        <v>202</v>
      </c>
      <c r="J29" s="646" t="s">
        <v>269</v>
      </c>
      <c r="K29" s="646" t="s">
        <v>382</v>
      </c>
      <c r="L29" s="556"/>
      <c r="M29" s="318"/>
      <c r="N29" s="535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pans="1:39" s="323" customFormat="1" ht="56.4" customHeight="1" x14ac:dyDescent="0.25">
      <c r="A30" s="656" t="s">
        <v>71</v>
      </c>
      <c r="B30" s="649"/>
      <c r="C30" s="650"/>
      <c r="D30" s="549" t="s">
        <v>332</v>
      </c>
      <c r="E30" s="629">
        <f t="shared" si="0"/>
        <v>49</v>
      </c>
      <c r="F30" s="590">
        <v>73376.032399999996</v>
      </c>
      <c r="G30" s="556">
        <v>45590.462399999997</v>
      </c>
      <c r="H30" s="556">
        <v>27785.57</v>
      </c>
      <c r="I30" s="620" t="s">
        <v>202</v>
      </c>
      <c r="J30" s="646" t="s">
        <v>347</v>
      </c>
      <c r="K30" s="646" t="s">
        <v>382</v>
      </c>
      <c r="L30" s="550"/>
      <c r="M30" s="318"/>
      <c r="N30" s="535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</row>
    <row r="31" spans="1:39" s="323" customFormat="1" ht="56.4" customHeight="1" x14ac:dyDescent="0.25">
      <c r="A31" s="579" t="s">
        <v>264</v>
      </c>
      <c r="B31" s="645" t="s">
        <v>265</v>
      </c>
      <c r="C31" s="620">
        <v>47254.520000000004</v>
      </c>
      <c r="D31" s="549" t="s">
        <v>170</v>
      </c>
      <c r="E31" s="629">
        <f t="shared" si="0"/>
        <v>17</v>
      </c>
      <c r="F31" s="590">
        <v>47254.520000000004</v>
      </c>
      <c r="G31" s="556">
        <v>9854.52</v>
      </c>
      <c r="H31" s="556">
        <v>37400</v>
      </c>
      <c r="I31" s="620" t="s">
        <v>202</v>
      </c>
      <c r="J31" s="646" t="s">
        <v>269</v>
      </c>
      <c r="K31" s="646" t="s">
        <v>382</v>
      </c>
      <c r="L31" s="550"/>
      <c r="M31" s="318"/>
      <c r="N31" s="535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</row>
    <row r="32" spans="1:39" s="323" customFormat="1" ht="41.4" customHeight="1" x14ac:dyDescent="0.25">
      <c r="A32" s="635" t="s">
        <v>72</v>
      </c>
      <c r="B32" s="634" t="s">
        <v>195</v>
      </c>
      <c r="C32" s="547">
        <v>37950.600000000006</v>
      </c>
      <c r="D32" s="620" t="s">
        <v>360</v>
      </c>
      <c r="E32" s="629">
        <f t="shared" si="0"/>
        <v>67</v>
      </c>
      <c r="F32" s="546">
        <v>83715.760000000009</v>
      </c>
      <c r="G32" s="620">
        <v>30619.86</v>
      </c>
      <c r="H32" s="556">
        <v>53095.9</v>
      </c>
      <c r="I32" s="620" t="s">
        <v>202</v>
      </c>
      <c r="J32" s="556" t="s">
        <v>374</v>
      </c>
      <c r="K32" s="556" t="s">
        <v>321</v>
      </c>
      <c r="L32" s="620"/>
      <c r="M32" s="539"/>
      <c r="N32" s="540"/>
      <c r="O32" s="537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</row>
    <row r="33" spans="1:39" s="323" customFormat="1" ht="55.2" customHeight="1" x14ac:dyDescent="0.25">
      <c r="A33" s="635" t="s">
        <v>208</v>
      </c>
      <c r="B33" s="634" t="s">
        <v>211</v>
      </c>
      <c r="C33" s="620">
        <v>994922</v>
      </c>
      <c r="D33" s="620" t="s">
        <v>76</v>
      </c>
      <c r="E33" s="629">
        <f t="shared" si="0"/>
        <v>10</v>
      </c>
      <c r="F33" s="546">
        <v>1609186.51</v>
      </c>
      <c r="G33" s="620">
        <v>680569.72</v>
      </c>
      <c r="H33" s="620">
        <v>928616.79</v>
      </c>
      <c r="I33" s="620" t="s">
        <v>202</v>
      </c>
      <c r="J33" s="646" t="s">
        <v>269</v>
      </c>
      <c r="K33" s="646" t="s">
        <v>382</v>
      </c>
      <c r="L33" s="620"/>
      <c r="M33" s="541"/>
      <c r="N33" s="542"/>
      <c r="O33" s="537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</row>
    <row r="34" spans="1:39" s="323" customFormat="1" ht="46.95" customHeight="1" x14ac:dyDescent="0.25">
      <c r="A34" s="635" t="s">
        <v>209</v>
      </c>
      <c r="B34" s="634" t="s">
        <v>206</v>
      </c>
      <c r="C34" s="620">
        <v>401488.07</v>
      </c>
      <c r="D34" s="548" t="s">
        <v>69</v>
      </c>
      <c r="E34" s="629">
        <f t="shared" si="0"/>
        <v>2</v>
      </c>
      <c r="F34" s="546">
        <v>585276.81999999995</v>
      </c>
      <c r="G34" s="620">
        <v>236280.52</v>
      </c>
      <c r="H34" s="620">
        <v>348996.3</v>
      </c>
      <c r="I34" s="620" t="s">
        <v>202</v>
      </c>
      <c r="J34" s="556" t="s">
        <v>242</v>
      </c>
      <c r="K34" s="646" t="s">
        <v>382</v>
      </c>
      <c r="L34" s="620"/>
      <c r="M34" s="538"/>
      <c r="N34" s="538"/>
      <c r="O34" s="537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</row>
    <row r="35" spans="1:39" s="323" customFormat="1" ht="48.6" customHeight="1" x14ac:dyDescent="0.25">
      <c r="A35" s="635" t="s">
        <v>210</v>
      </c>
      <c r="B35" s="634" t="s">
        <v>207</v>
      </c>
      <c r="C35" s="620">
        <v>401488.07</v>
      </c>
      <c r="D35" s="548" t="s">
        <v>70</v>
      </c>
      <c r="E35" s="629">
        <f t="shared" si="0"/>
        <v>3</v>
      </c>
      <c r="F35" s="558">
        <v>585218.81999999995</v>
      </c>
      <c r="G35" s="620">
        <v>236280.52</v>
      </c>
      <c r="H35" s="547">
        <v>348938.3</v>
      </c>
      <c r="I35" s="620" t="s">
        <v>202</v>
      </c>
      <c r="J35" s="556" t="s">
        <v>242</v>
      </c>
      <c r="K35" s="646" t="s">
        <v>382</v>
      </c>
      <c r="L35" s="620"/>
      <c r="M35" s="536"/>
      <c r="N35" s="536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</row>
    <row r="36" spans="1:39" s="323" customFormat="1" ht="41.4" customHeight="1" x14ac:dyDescent="0.25">
      <c r="A36" s="579" t="s">
        <v>74</v>
      </c>
      <c r="B36" s="645" t="s">
        <v>186</v>
      </c>
      <c r="C36" s="554">
        <v>70000</v>
      </c>
      <c r="D36" s="548" t="s">
        <v>71</v>
      </c>
      <c r="E36" s="629">
        <f t="shared" si="0"/>
        <v>4</v>
      </c>
      <c r="F36" s="591">
        <v>70000</v>
      </c>
      <c r="G36" s="557">
        <v>0</v>
      </c>
      <c r="H36" s="557">
        <v>70000</v>
      </c>
      <c r="I36" s="620" t="s">
        <v>249</v>
      </c>
      <c r="J36" s="646" t="s">
        <v>251</v>
      </c>
      <c r="K36" s="646" t="s">
        <v>321</v>
      </c>
      <c r="L36" s="646"/>
      <c r="M36" s="318"/>
      <c r="N36" s="655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</row>
    <row r="37" spans="1:39" s="323" customFormat="1" ht="32.4" customHeight="1" x14ac:dyDescent="0.25">
      <c r="A37" s="656" t="s">
        <v>77</v>
      </c>
      <c r="B37" s="647" t="s">
        <v>196</v>
      </c>
      <c r="C37" s="554">
        <v>2183910</v>
      </c>
      <c r="D37" s="685" t="s">
        <v>75</v>
      </c>
      <c r="E37" s="628">
        <f t="shared" si="0"/>
        <v>12</v>
      </c>
      <c r="F37" s="591">
        <v>1027136</v>
      </c>
      <c r="G37" s="550"/>
      <c r="H37" s="557">
        <v>1027136</v>
      </c>
      <c r="I37" s="620" t="s">
        <v>249</v>
      </c>
      <c r="J37" s="556" t="s">
        <v>281</v>
      </c>
      <c r="K37" s="556" t="s">
        <v>440</v>
      </c>
      <c r="L37" s="620"/>
      <c r="M37" s="536"/>
      <c r="N37" s="537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</row>
    <row r="38" spans="1:39" s="323" customFormat="1" ht="32.4" customHeight="1" x14ac:dyDescent="0.25">
      <c r="A38" s="657" t="s">
        <v>77</v>
      </c>
      <c r="B38" s="648"/>
      <c r="C38" s="555"/>
      <c r="D38" s="685" t="s">
        <v>283</v>
      </c>
      <c r="E38" s="630">
        <v>12.1</v>
      </c>
      <c r="F38" s="591">
        <v>33000</v>
      </c>
      <c r="G38" s="550"/>
      <c r="H38" s="557">
        <v>33000</v>
      </c>
      <c r="I38" s="550" t="s">
        <v>249</v>
      </c>
      <c r="J38" s="556" t="s">
        <v>284</v>
      </c>
      <c r="K38" s="556" t="s">
        <v>440</v>
      </c>
      <c r="L38" s="620"/>
      <c r="M38" s="536"/>
      <c r="N38" s="537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</row>
    <row r="39" spans="1:39" s="323" customFormat="1" ht="32.4" customHeight="1" x14ac:dyDescent="0.25">
      <c r="A39" s="657" t="s">
        <v>77</v>
      </c>
      <c r="B39" s="648"/>
      <c r="C39" s="555"/>
      <c r="D39" s="685" t="s">
        <v>366</v>
      </c>
      <c r="E39" s="628">
        <f t="shared" ref="E39:E82" si="6">IFERROR(VALUE(MID(D39,2,LEN(D39)-1)),"")</f>
        <v>64</v>
      </c>
      <c r="F39" s="591">
        <v>397492.83880000003</v>
      </c>
      <c r="G39" s="620">
        <v>21942.838799999998</v>
      </c>
      <c r="H39" s="557">
        <v>375550</v>
      </c>
      <c r="I39" s="550" t="s">
        <v>249</v>
      </c>
      <c r="J39" s="556" t="s">
        <v>374</v>
      </c>
      <c r="K39" s="556" t="s">
        <v>321</v>
      </c>
      <c r="L39" s="620"/>
      <c r="M39" s="536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</row>
    <row r="40" spans="1:39" s="323" customFormat="1" ht="32.4" customHeight="1" x14ac:dyDescent="0.25">
      <c r="A40" s="657" t="s">
        <v>77</v>
      </c>
      <c r="B40" s="648"/>
      <c r="C40" s="555"/>
      <c r="D40" s="685" t="s">
        <v>369</v>
      </c>
      <c r="E40" s="628">
        <f t="shared" si="6"/>
        <v>73</v>
      </c>
      <c r="F40" s="591">
        <v>221742.8388</v>
      </c>
      <c r="G40" s="620">
        <v>21942.838799999998</v>
      </c>
      <c r="H40" s="557">
        <v>199800</v>
      </c>
      <c r="I40" s="550" t="s">
        <v>249</v>
      </c>
      <c r="J40" s="556" t="s">
        <v>374</v>
      </c>
      <c r="K40" s="556" t="s">
        <v>321</v>
      </c>
      <c r="L40" s="620"/>
      <c r="M40" s="536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</row>
    <row r="41" spans="1:39" s="323" customFormat="1" ht="38.4" customHeight="1" x14ac:dyDescent="0.25">
      <c r="A41" s="657" t="s">
        <v>77</v>
      </c>
      <c r="B41" s="648"/>
      <c r="C41" s="555"/>
      <c r="D41" s="685" t="s">
        <v>385</v>
      </c>
      <c r="E41" s="628">
        <f t="shared" ref="E41" si="7">IFERROR(VALUE(MID(D41,2,LEN(D41)-1)),"")</f>
        <v>81</v>
      </c>
      <c r="F41" s="591">
        <v>283975</v>
      </c>
      <c r="G41" s="620"/>
      <c r="H41" s="557">
        <v>283975</v>
      </c>
      <c r="I41" s="620" t="s">
        <v>202</v>
      </c>
      <c r="J41" s="646" t="s">
        <v>416</v>
      </c>
      <c r="K41" s="646" t="s">
        <v>434</v>
      </c>
      <c r="L41" s="547"/>
      <c r="M41" s="536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</row>
    <row r="42" spans="1:39" s="323" customFormat="1" ht="38.4" customHeight="1" x14ac:dyDescent="0.25">
      <c r="A42" s="658" t="s">
        <v>77</v>
      </c>
      <c r="B42" s="649"/>
      <c r="C42" s="650"/>
      <c r="D42" s="664" t="s">
        <v>435</v>
      </c>
      <c r="E42" s="628">
        <f t="shared" si="6"/>
        <v>109</v>
      </c>
      <c r="F42" s="591">
        <v>173344.82</v>
      </c>
      <c r="G42" s="620">
        <v>32824.519999999997</v>
      </c>
      <c r="H42" s="557">
        <v>140520.29999999999</v>
      </c>
      <c r="I42" s="620" t="s">
        <v>202</v>
      </c>
      <c r="J42" s="646" t="s">
        <v>462</v>
      </c>
      <c r="K42" s="646"/>
      <c r="L42" s="547"/>
      <c r="M42" s="536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</row>
    <row r="43" spans="1:39" s="323" customFormat="1" ht="55.2" customHeight="1" x14ac:dyDescent="0.25">
      <c r="A43" s="657" t="s">
        <v>78</v>
      </c>
      <c r="B43" s="648" t="s">
        <v>197</v>
      </c>
      <c r="C43" s="555">
        <v>644106.1</v>
      </c>
      <c r="D43" s="550" t="s">
        <v>80</v>
      </c>
      <c r="E43" s="628">
        <f t="shared" si="6"/>
        <v>13</v>
      </c>
      <c r="F43" s="546">
        <v>309258.40000000002</v>
      </c>
      <c r="G43" s="620"/>
      <c r="H43" s="557">
        <v>309258.40000000002</v>
      </c>
      <c r="I43" s="620" t="s">
        <v>249</v>
      </c>
      <c r="J43" s="556" t="s">
        <v>281</v>
      </c>
      <c r="K43" s="556" t="s">
        <v>440</v>
      </c>
      <c r="L43" s="620"/>
      <c r="M43" s="536"/>
      <c r="N43" s="536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</row>
    <row r="44" spans="1:39" s="323" customFormat="1" ht="55.2" customHeight="1" x14ac:dyDescent="0.25">
      <c r="A44" s="658" t="s">
        <v>78</v>
      </c>
      <c r="B44" s="648"/>
      <c r="C44" s="555"/>
      <c r="D44" s="548" t="s">
        <v>391</v>
      </c>
      <c r="E44" s="628">
        <f t="shared" si="6"/>
        <v>84</v>
      </c>
      <c r="F44" s="546">
        <v>185810.15</v>
      </c>
      <c r="G44" s="620">
        <v>11910.15</v>
      </c>
      <c r="H44" s="557">
        <v>173900</v>
      </c>
      <c r="I44" s="620" t="s">
        <v>249</v>
      </c>
      <c r="J44" s="556" t="s">
        <v>406</v>
      </c>
      <c r="K44" s="556" t="s">
        <v>321</v>
      </c>
      <c r="L44" s="620"/>
      <c r="M44" s="536"/>
      <c r="N44" s="536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</row>
    <row r="45" spans="1:39" s="323" customFormat="1" ht="37.200000000000003" customHeight="1" x14ac:dyDescent="0.25">
      <c r="A45" s="658" t="s">
        <v>78</v>
      </c>
      <c r="B45" s="649"/>
      <c r="C45" s="650"/>
      <c r="D45" s="702" t="s">
        <v>436</v>
      </c>
      <c r="E45" s="628">
        <f t="shared" ref="E45" si="8">IFERROR(VALUE(MID(D45,2,LEN(D45)-1)),"")</f>
        <v>110</v>
      </c>
      <c r="F45" s="546">
        <v>59259.826000000001</v>
      </c>
      <c r="G45" s="620">
        <v>9655.93</v>
      </c>
      <c r="H45" s="557">
        <v>49603.896000000001</v>
      </c>
      <c r="I45" s="618" t="s">
        <v>203</v>
      </c>
      <c r="J45" s="646" t="s">
        <v>471</v>
      </c>
      <c r="K45" s="556"/>
      <c r="L45" s="547" t="s">
        <v>477</v>
      </c>
      <c r="M45" s="536"/>
      <c r="N45" s="535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</row>
    <row r="46" spans="1:39" s="323" customFormat="1" ht="48" customHeight="1" x14ac:dyDescent="0.25">
      <c r="A46" s="658" t="s">
        <v>78</v>
      </c>
      <c r="B46" s="649"/>
      <c r="C46" s="650"/>
      <c r="D46" s="620" t="s">
        <v>424</v>
      </c>
      <c r="E46" s="628">
        <f t="shared" si="6"/>
        <v>104</v>
      </c>
      <c r="F46" s="546">
        <v>86210</v>
      </c>
      <c r="G46" s="620"/>
      <c r="H46" s="557">
        <v>86210</v>
      </c>
      <c r="I46" s="620" t="s">
        <v>202</v>
      </c>
      <c r="J46" s="646" t="s">
        <v>432</v>
      </c>
      <c r="K46" s="646" t="s">
        <v>321</v>
      </c>
      <c r="L46" s="620"/>
      <c r="M46" s="536"/>
      <c r="N46" s="535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</row>
    <row r="47" spans="1:39" s="323" customFormat="1" ht="41.4" customHeight="1" x14ac:dyDescent="0.25">
      <c r="A47" s="635" t="s">
        <v>76</v>
      </c>
      <c r="B47" s="634" t="s">
        <v>215</v>
      </c>
      <c r="C47" s="620">
        <v>526703.78</v>
      </c>
      <c r="D47" s="620" t="s">
        <v>245</v>
      </c>
      <c r="E47" s="629">
        <f t="shared" si="6"/>
        <v>23</v>
      </c>
      <c r="F47" s="558">
        <v>593059.22000000009</v>
      </c>
      <c r="G47" s="547">
        <v>150765.30000000002</v>
      </c>
      <c r="H47" s="547">
        <v>442293.92000000004</v>
      </c>
      <c r="I47" s="620" t="s">
        <v>249</v>
      </c>
      <c r="J47" s="556" t="s">
        <v>281</v>
      </c>
      <c r="K47" s="556" t="s">
        <v>321</v>
      </c>
      <c r="L47" s="620" t="s">
        <v>153</v>
      </c>
      <c r="M47" s="318"/>
      <c r="N47" s="534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</row>
    <row r="48" spans="1:39" s="323" customFormat="1" ht="28.95" customHeight="1" x14ac:dyDescent="0.25">
      <c r="A48" s="656" t="s">
        <v>79</v>
      </c>
      <c r="B48" s="647" t="s">
        <v>213</v>
      </c>
      <c r="C48" s="554">
        <v>76937.850000000006</v>
      </c>
      <c r="D48" s="620" t="s">
        <v>167</v>
      </c>
      <c r="E48" s="629">
        <f t="shared" si="6"/>
        <v>14</v>
      </c>
      <c r="F48" s="558">
        <v>27868</v>
      </c>
      <c r="G48" s="547">
        <v>0</v>
      </c>
      <c r="H48" s="547">
        <v>27868</v>
      </c>
      <c r="I48" s="620" t="s">
        <v>202</v>
      </c>
      <c r="J48" s="646" t="s">
        <v>269</v>
      </c>
      <c r="K48" s="646" t="s">
        <v>321</v>
      </c>
      <c r="L48" s="547" t="s">
        <v>323</v>
      </c>
      <c r="M48" s="318"/>
      <c r="N48" s="655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</row>
    <row r="49" spans="1:39" s="323" customFormat="1" ht="36" customHeight="1" x14ac:dyDescent="0.25">
      <c r="A49" s="657" t="s">
        <v>79</v>
      </c>
      <c r="B49" s="648"/>
      <c r="C49" s="555"/>
      <c r="D49" s="620" t="s">
        <v>236</v>
      </c>
      <c r="E49" s="629">
        <f t="shared" si="6"/>
        <v>30</v>
      </c>
      <c r="F49" s="558">
        <v>27224</v>
      </c>
      <c r="G49" s="547">
        <v>0</v>
      </c>
      <c r="H49" s="547">
        <v>27224</v>
      </c>
      <c r="I49" s="620" t="s">
        <v>202</v>
      </c>
      <c r="J49" s="620" t="s">
        <v>288</v>
      </c>
      <c r="K49" s="646" t="s">
        <v>321</v>
      </c>
      <c r="L49" s="554" t="s">
        <v>322</v>
      </c>
      <c r="M49" s="318"/>
      <c r="N49" s="534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</row>
    <row r="50" spans="1:39" s="323" customFormat="1" ht="36" customHeight="1" x14ac:dyDescent="0.25">
      <c r="A50" s="657" t="s">
        <v>79</v>
      </c>
      <c r="B50" s="648"/>
      <c r="C50" s="555"/>
      <c r="D50" s="620" t="s">
        <v>239</v>
      </c>
      <c r="E50" s="629">
        <f t="shared" si="6"/>
        <v>33</v>
      </c>
      <c r="F50" s="558">
        <v>28858</v>
      </c>
      <c r="G50" s="547">
        <v>0</v>
      </c>
      <c r="H50" s="547">
        <v>28858</v>
      </c>
      <c r="I50" s="550" t="s">
        <v>249</v>
      </c>
      <c r="J50" s="620" t="s">
        <v>298</v>
      </c>
      <c r="K50" s="646" t="s">
        <v>321</v>
      </c>
      <c r="L50" s="554" t="s">
        <v>324</v>
      </c>
      <c r="M50" s="318"/>
      <c r="N50" s="534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</row>
    <row r="51" spans="1:39" s="323" customFormat="1" ht="36" customHeight="1" x14ac:dyDescent="0.25">
      <c r="A51" s="658" t="s">
        <v>79</v>
      </c>
      <c r="B51" s="649"/>
      <c r="C51" s="650"/>
      <c r="D51" s="620" t="s">
        <v>336</v>
      </c>
      <c r="E51" s="629">
        <f t="shared" ref="E51" si="9">IFERROR(VALUE(MID(D51,2,LEN(D51)-1)),"")</f>
        <v>51</v>
      </c>
      <c r="F51" s="558">
        <v>5193.3999999999996</v>
      </c>
      <c r="G51" s="547">
        <v>0</v>
      </c>
      <c r="H51" s="547">
        <v>5193.3999999999996</v>
      </c>
      <c r="I51" s="550" t="s">
        <v>249</v>
      </c>
      <c r="J51" s="556" t="s">
        <v>347</v>
      </c>
      <c r="K51" s="678" t="s">
        <v>321</v>
      </c>
      <c r="L51" s="646"/>
      <c r="M51" s="318"/>
      <c r="N51" s="534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</row>
    <row r="52" spans="1:39" s="323" customFormat="1" ht="35.4" customHeight="1" x14ac:dyDescent="0.25">
      <c r="A52" s="663" t="s">
        <v>75</v>
      </c>
      <c r="B52" s="647" t="s">
        <v>214</v>
      </c>
      <c r="C52" s="554">
        <v>300000</v>
      </c>
      <c r="D52" s="688" t="s">
        <v>79</v>
      </c>
      <c r="E52" s="629">
        <f t="shared" si="6"/>
        <v>11</v>
      </c>
      <c r="F52" s="558">
        <v>231000</v>
      </c>
      <c r="G52" s="547">
        <v>0</v>
      </c>
      <c r="H52" s="547">
        <v>231000</v>
      </c>
      <c r="I52" s="620" t="s">
        <v>202</v>
      </c>
      <c r="J52" s="646" t="s">
        <v>269</v>
      </c>
      <c r="K52" s="646" t="s">
        <v>321</v>
      </c>
      <c r="L52" s="646"/>
      <c r="M52" s="318"/>
      <c r="N52" s="655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</row>
    <row r="53" spans="1:39" s="323" customFormat="1" ht="35.4" customHeight="1" x14ac:dyDescent="0.25">
      <c r="A53" s="686" t="s">
        <v>75</v>
      </c>
      <c r="B53" s="648"/>
      <c r="C53" s="555"/>
      <c r="D53" s="688" t="s">
        <v>223</v>
      </c>
      <c r="E53" s="629">
        <f t="shared" si="6"/>
        <v>22</v>
      </c>
      <c r="F53" s="558">
        <v>111000</v>
      </c>
      <c r="G53" s="547">
        <v>0</v>
      </c>
      <c r="H53" s="547">
        <v>111000</v>
      </c>
      <c r="I53" s="620" t="s">
        <v>249</v>
      </c>
      <c r="J53" s="556" t="s">
        <v>281</v>
      </c>
      <c r="K53" s="646" t="s">
        <v>321</v>
      </c>
      <c r="L53" s="646"/>
      <c r="M53" s="318"/>
      <c r="N53" s="534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</row>
    <row r="54" spans="1:39" s="323" customFormat="1" ht="35.4" customHeight="1" x14ac:dyDescent="0.25">
      <c r="A54" s="686" t="s">
        <v>75</v>
      </c>
      <c r="B54" s="648"/>
      <c r="C54" s="555"/>
      <c r="D54" s="688" t="s">
        <v>302</v>
      </c>
      <c r="E54" s="629">
        <f t="shared" si="6"/>
        <v>38</v>
      </c>
      <c r="F54" s="558">
        <v>106875</v>
      </c>
      <c r="G54" s="547">
        <v>0</v>
      </c>
      <c r="H54" s="547">
        <v>106875</v>
      </c>
      <c r="I54" s="620" t="s">
        <v>202</v>
      </c>
      <c r="J54" s="646" t="s">
        <v>308</v>
      </c>
      <c r="K54" s="646" t="s">
        <v>321</v>
      </c>
      <c r="L54" s="646"/>
      <c r="M54" s="318"/>
      <c r="N54" s="534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</row>
    <row r="55" spans="1:39" s="323" customFormat="1" ht="43.8" customHeight="1" x14ac:dyDescent="0.25">
      <c r="A55" s="686" t="s">
        <v>75</v>
      </c>
      <c r="B55" s="648"/>
      <c r="C55" s="555"/>
      <c r="D55" s="688" t="s">
        <v>309</v>
      </c>
      <c r="E55" s="629">
        <f t="shared" si="6"/>
        <v>43</v>
      </c>
      <c r="F55" s="558">
        <v>70875</v>
      </c>
      <c r="G55" s="547">
        <v>0</v>
      </c>
      <c r="H55" s="547">
        <v>70875</v>
      </c>
      <c r="I55" s="620" t="s">
        <v>202</v>
      </c>
      <c r="J55" s="646" t="s">
        <v>334</v>
      </c>
      <c r="K55" s="646" t="s">
        <v>321</v>
      </c>
      <c r="L55" s="646"/>
      <c r="M55" s="318"/>
      <c r="N55" s="534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</row>
    <row r="56" spans="1:39" s="323" customFormat="1" ht="49.2" customHeight="1" x14ac:dyDescent="0.25">
      <c r="A56" s="686" t="s">
        <v>75</v>
      </c>
      <c r="B56" s="648"/>
      <c r="C56" s="555"/>
      <c r="D56" s="688" t="s">
        <v>327</v>
      </c>
      <c r="E56" s="629">
        <f t="shared" si="6"/>
        <v>44</v>
      </c>
      <c r="F56" s="558">
        <v>33750</v>
      </c>
      <c r="G56" s="547">
        <v>0</v>
      </c>
      <c r="H56" s="547">
        <v>33750</v>
      </c>
      <c r="I56" s="550" t="s">
        <v>249</v>
      </c>
      <c r="J56" s="556" t="s">
        <v>347</v>
      </c>
      <c r="K56" s="678" t="s">
        <v>321</v>
      </c>
      <c r="L56" s="646"/>
      <c r="M56" s="318"/>
      <c r="N56" s="534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</row>
    <row r="57" spans="1:39" s="323" customFormat="1" ht="34.799999999999997" customHeight="1" x14ac:dyDescent="0.25">
      <c r="A57" s="686" t="s">
        <v>75</v>
      </c>
      <c r="B57" s="648"/>
      <c r="C57" s="555"/>
      <c r="D57" s="688" t="s">
        <v>328</v>
      </c>
      <c r="E57" s="629">
        <f t="shared" si="6"/>
        <v>45</v>
      </c>
      <c r="F57" s="558">
        <v>30375</v>
      </c>
      <c r="G57" s="547">
        <v>0</v>
      </c>
      <c r="H57" s="547">
        <v>30375</v>
      </c>
      <c r="I57" s="550" t="s">
        <v>249</v>
      </c>
      <c r="J57" s="556" t="s">
        <v>347</v>
      </c>
      <c r="K57" s="678" t="s">
        <v>321</v>
      </c>
      <c r="L57" s="646"/>
      <c r="M57" s="318"/>
      <c r="N57" s="534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</row>
    <row r="58" spans="1:39" s="323" customFormat="1" ht="40.200000000000003" customHeight="1" x14ac:dyDescent="0.25">
      <c r="A58" s="686" t="s">
        <v>75</v>
      </c>
      <c r="B58" s="648"/>
      <c r="C58" s="555"/>
      <c r="D58" s="688" t="s">
        <v>340</v>
      </c>
      <c r="E58" s="629">
        <f t="shared" si="6"/>
        <v>55</v>
      </c>
      <c r="F58" s="558">
        <v>76125</v>
      </c>
      <c r="G58" s="547">
        <v>0</v>
      </c>
      <c r="H58" s="547">
        <v>76125</v>
      </c>
      <c r="I58" s="550" t="s">
        <v>249</v>
      </c>
      <c r="J58" s="646" t="s">
        <v>357</v>
      </c>
      <c r="K58" s="678" t="s">
        <v>321</v>
      </c>
      <c r="L58" s="638"/>
      <c r="M58" s="318"/>
      <c r="N58" s="534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</row>
    <row r="59" spans="1:39" s="323" customFormat="1" ht="40.200000000000003" customHeight="1" x14ac:dyDescent="0.25">
      <c r="A59" s="686" t="s">
        <v>75</v>
      </c>
      <c r="B59" s="648"/>
      <c r="C59" s="555"/>
      <c r="D59" s="688" t="s">
        <v>341</v>
      </c>
      <c r="E59" s="629">
        <f t="shared" si="6"/>
        <v>56</v>
      </c>
      <c r="F59" s="558">
        <v>169875</v>
      </c>
      <c r="G59" s="547">
        <v>0</v>
      </c>
      <c r="H59" s="547">
        <v>169875</v>
      </c>
      <c r="I59" s="550" t="s">
        <v>249</v>
      </c>
      <c r="J59" s="646" t="s">
        <v>357</v>
      </c>
      <c r="K59" s="678" t="s">
        <v>321</v>
      </c>
      <c r="L59" s="638" t="s">
        <v>358</v>
      </c>
      <c r="M59" s="318"/>
      <c r="N59" s="534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</row>
    <row r="60" spans="1:39" s="323" customFormat="1" ht="40.200000000000003" customHeight="1" x14ac:dyDescent="0.25">
      <c r="A60" s="686" t="s">
        <v>75</v>
      </c>
      <c r="B60" s="667"/>
      <c r="C60" s="668"/>
      <c r="D60" s="688" t="s">
        <v>342</v>
      </c>
      <c r="E60" s="629">
        <f t="shared" si="6"/>
        <v>57</v>
      </c>
      <c r="F60" s="558">
        <v>21000</v>
      </c>
      <c r="G60" s="547">
        <v>0</v>
      </c>
      <c r="H60" s="547">
        <v>21000</v>
      </c>
      <c r="I60" s="550" t="s">
        <v>249</v>
      </c>
      <c r="J60" s="646" t="s">
        <v>357</v>
      </c>
      <c r="K60" s="678" t="s">
        <v>321</v>
      </c>
      <c r="L60" s="638" t="s">
        <v>358</v>
      </c>
      <c r="M60" s="318"/>
      <c r="N60" s="534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</row>
    <row r="61" spans="1:39" s="323" customFormat="1" ht="40.200000000000003" customHeight="1" x14ac:dyDescent="0.25">
      <c r="A61" s="686" t="s">
        <v>75</v>
      </c>
      <c r="B61" s="667"/>
      <c r="C61" s="668"/>
      <c r="D61" s="688" t="s">
        <v>343</v>
      </c>
      <c r="E61" s="629">
        <f t="shared" si="6"/>
        <v>58</v>
      </c>
      <c r="F61" s="558">
        <v>36750</v>
      </c>
      <c r="G61" s="547">
        <v>0</v>
      </c>
      <c r="H61" s="547">
        <v>36750</v>
      </c>
      <c r="I61" s="550" t="s">
        <v>249</v>
      </c>
      <c r="J61" s="646" t="s">
        <v>357</v>
      </c>
      <c r="K61" s="678" t="s">
        <v>321</v>
      </c>
      <c r="L61" s="638" t="s">
        <v>358</v>
      </c>
      <c r="M61" s="318"/>
      <c r="N61" s="534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</row>
    <row r="62" spans="1:39" s="323" customFormat="1" ht="40.200000000000003" customHeight="1" x14ac:dyDescent="0.25">
      <c r="A62" s="686" t="s">
        <v>75</v>
      </c>
      <c r="B62" s="667"/>
      <c r="C62" s="668"/>
      <c r="D62" s="688" t="s">
        <v>345</v>
      </c>
      <c r="E62" s="629">
        <f t="shared" si="6"/>
        <v>60</v>
      </c>
      <c r="F62" s="558">
        <v>21000</v>
      </c>
      <c r="G62" s="547">
        <v>0</v>
      </c>
      <c r="H62" s="547">
        <v>21000</v>
      </c>
      <c r="I62" s="550" t="s">
        <v>249</v>
      </c>
      <c r="J62" s="646" t="s">
        <v>357</v>
      </c>
      <c r="K62" s="646" t="s">
        <v>321</v>
      </c>
      <c r="L62" s="638" t="s">
        <v>358</v>
      </c>
      <c r="M62" s="318"/>
      <c r="N62" s="534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</row>
    <row r="63" spans="1:39" s="323" customFormat="1" ht="40.200000000000003" customHeight="1" x14ac:dyDescent="0.25">
      <c r="A63" s="687" t="s">
        <v>75</v>
      </c>
      <c r="B63" s="667"/>
      <c r="C63" s="668"/>
      <c r="D63" s="688" t="s">
        <v>377</v>
      </c>
      <c r="E63" s="629">
        <f t="shared" ref="E63:E65" si="10">IFERROR(VALUE(MID(D63,2,LEN(D63)-1)),"")</f>
        <v>74</v>
      </c>
      <c r="F63" s="558">
        <v>2250</v>
      </c>
      <c r="G63" s="547">
        <v>0</v>
      </c>
      <c r="H63" s="547">
        <v>2250</v>
      </c>
      <c r="I63" s="550" t="s">
        <v>249</v>
      </c>
      <c r="J63" s="646" t="s">
        <v>395</v>
      </c>
      <c r="K63" s="646" t="s">
        <v>321</v>
      </c>
      <c r="L63" s="638"/>
      <c r="M63" s="318"/>
      <c r="N63" s="534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</row>
    <row r="64" spans="1:39" s="323" customFormat="1" ht="40.200000000000003" customHeight="1" x14ac:dyDescent="0.25">
      <c r="A64" s="687" t="s">
        <v>75</v>
      </c>
      <c r="B64" s="667"/>
      <c r="C64" s="668"/>
      <c r="D64" s="688" t="s">
        <v>446</v>
      </c>
      <c r="E64" s="629">
        <f t="shared" si="10"/>
        <v>115</v>
      </c>
      <c r="F64" s="558">
        <v>22500</v>
      </c>
      <c r="G64" s="547">
        <v>0</v>
      </c>
      <c r="H64" s="547">
        <v>22500</v>
      </c>
      <c r="I64" s="550" t="s">
        <v>249</v>
      </c>
      <c r="J64" s="646" t="s">
        <v>462</v>
      </c>
      <c r="K64" s="646"/>
      <c r="L64" s="638" t="s">
        <v>449</v>
      </c>
      <c r="M64" s="318"/>
      <c r="N64" s="534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</row>
    <row r="65" spans="1:39" s="323" customFormat="1" ht="40.200000000000003" customHeight="1" x14ac:dyDescent="0.25">
      <c r="A65" s="687" t="s">
        <v>75</v>
      </c>
      <c r="B65" s="667"/>
      <c r="C65" s="668"/>
      <c r="D65" s="688" t="s">
        <v>447</v>
      </c>
      <c r="E65" s="629">
        <f t="shared" si="10"/>
        <v>116</v>
      </c>
      <c r="F65" s="558">
        <v>22500</v>
      </c>
      <c r="G65" s="547">
        <v>0</v>
      </c>
      <c r="H65" s="547">
        <v>22500</v>
      </c>
      <c r="I65" s="550" t="s">
        <v>249</v>
      </c>
      <c r="J65" s="646" t="s">
        <v>462</v>
      </c>
      <c r="K65" s="646"/>
      <c r="L65" s="638" t="s">
        <v>449</v>
      </c>
      <c r="M65" s="318"/>
      <c r="N65" s="534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</row>
    <row r="66" spans="1:39" s="323" customFormat="1" ht="40.200000000000003" customHeight="1" x14ac:dyDescent="0.25">
      <c r="A66" s="687" t="s">
        <v>75</v>
      </c>
      <c r="B66" s="648"/>
      <c r="C66" s="555"/>
      <c r="D66" s="688" t="s">
        <v>448</v>
      </c>
      <c r="E66" s="629">
        <f t="shared" si="6"/>
        <v>117</v>
      </c>
      <c r="F66" s="558">
        <v>22500</v>
      </c>
      <c r="G66" s="547">
        <v>0</v>
      </c>
      <c r="H66" s="547">
        <v>22500</v>
      </c>
      <c r="I66" s="550" t="s">
        <v>249</v>
      </c>
      <c r="J66" s="646" t="s">
        <v>462</v>
      </c>
      <c r="K66" s="646"/>
      <c r="L66" s="638" t="s">
        <v>449</v>
      </c>
      <c r="M66" s="318"/>
      <c r="N66" s="534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</row>
    <row r="67" spans="1:39" s="323" customFormat="1" ht="40.200000000000003" customHeight="1" x14ac:dyDescent="0.25">
      <c r="A67" s="687" t="s">
        <v>75</v>
      </c>
      <c r="B67" s="667"/>
      <c r="C67" s="668"/>
      <c r="D67" s="688" t="s">
        <v>465</v>
      </c>
      <c r="E67" s="629">
        <f t="shared" si="6"/>
        <v>128</v>
      </c>
      <c r="F67" s="558">
        <v>75000</v>
      </c>
      <c r="G67" s="547"/>
      <c r="H67" s="547">
        <v>75000</v>
      </c>
      <c r="I67" s="620" t="s">
        <v>202</v>
      </c>
      <c r="J67" s="646" t="s">
        <v>479</v>
      </c>
      <c r="K67" s="646"/>
      <c r="L67" s="638" t="s">
        <v>469</v>
      </c>
      <c r="M67" s="318"/>
      <c r="N67" s="534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</row>
    <row r="68" spans="1:39" s="323" customFormat="1" ht="42" customHeight="1" x14ac:dyDescent="0.25">
      <c r="A68" s="671" t="s">
        <v>80</v>
      </c>
      <c r="B68" s="675" t="s">
        <v>217</v>
      </c>
      <c r="C68" s="673">
        <v>658888.21000000008</v>
      </c>
      <c r="D68" s="688" t="s">
        <v>454</v>
      </c>
      <c r="E68" s="629">
        <f t="shared" si="6"/>
        <v>122</v>
      </c>
      <c r="F68" s="558">
        <v>240316.35</v>
      </c>
      <c r="G68" s="547"/>
      <c r="H68" s="547">
        <v>240316.35</v>
      </c>
      <c r="I68" s="620" t="s">
        <v>202</v>
      </c>
      <c r="J68" s="620" t="s">
        <v>461</v>
      </c>
      <c r="K68" s="646"/>
      <c r="L68" s="638"/>
      <c r="M68" s="318"/>
      <c r="N68" s="534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</row>
    <row r="69" spans="1:39" s="323" customFormat="1" ht="39.6" customHeight="1" x14ac:dyDescent="0.25">
      <c r="A69" s="671" t="s">
        <v>80</v>
      </c>
      <c r="B69" s="676"/>
      <c r="C69" s="677"/>
      <c r="D69" s="688" t="s">
        <v>458</v>
      </c>
      <c r="E69" s="629">
        <f t="shared" si="6"/>
        <v>124</v>
      </c>
      <c r="F69" s="547">
        <v>178615.2</v>
      </c>
      <c r="G69" s="547"/>
      <c r="H69" s="547">
        <v>178615.2</v>
      </c>
      <c r="I69" s="620" t="s">
        <v>202</v>
      </c>
      <c r="J69" s="646" t="s">
        <v>479</v>
      </c>
      <c r="K69" s="646"/>
      <c r="L69" s="638"/>
      <c r="M69" s="318"/>
      <c r="N69" s="534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</row>
    <row r="70" spans="1:39" s="323" customFormat="1" ht="32.4" customHeight="1" x14ac:dyDescent="0.25">
      <c r="A70" s="635" t="s">
        <v>81</v>
      </c>
      <c r="B70" s="672" t="s">
        <v>227</v>
      </c>
      <c r="C70" s="674">
        <v>92115.83</v>
      </c>
      <c r="D70" s="620" t="s">
        <v>72</v>
      </c>
      <c r="E70" s="629">
        <f t="shared" si="6"/>
        <v>5</v>
      </c>
      <c r="F70" s="591">
        <v>92115.83</v>
      </c>
      <c r="G70" s="557">
        <v>0</v>
      </c>
      <c r="H70" s="557">
        <v>92115.83</v>
      </c>
      <c r="I70" s="620" t="s">
        <v>249</v>
      </c>
      <c r="J70" s="620" t="s">
        <v>263</v>
      </c>
      <c r="K70" s="620" t="s">
        <v>321</v>
      </c>
      <c r="L70" s="620"/>
      <c r="M70" s="318"/>
      <c r="N70" s="655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</row>
    <row r="71" spans="1:39" s="323" customFormat="1" ht="40.200000000000003" customHeight="1" x14ac:dyDescent="0.25">
      <c r="A71" s="635" t="s">
        <v>243</v>
      </c>
      <c r="B71" s="634" t="s">
        <v>247</v>
      </c>
      <c r="C71" s="620">
        <v>69692.789999999994</v>
      </c>
      <c r="D71" s="620" t="s">
        <v>73</v>
      </c>
      <c r="E71" s="629">
        <f t="shared" si="6"/>
        <v>6</v>
      </c>
      <c r="F71" s="546">
        <v>69692.789999999994</v>
      </c>
      <c r="G71" s="620">
        <v>0</v>
      </c>
      <c r="H71" s="620">
        <v>69692.789999999994</v>
      </c>
      <c r="I71" s="620" t="s">
        <v>249</v>
      </c>
      <c r="J71" s="620" t="s">
        <v>263</v>
      </c>
      <c r="K71" s="620" t="s">
        <v>321</v>
      </c>
      <c r="L71" s="620"/>
      <c r="M71" s="318"/>
      <c r="N71" s="655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</row>
    <row r="72" spans="1:39" s="323" customFormat="1" ht="53.4" customHeight="1" x14ac:dyDescent="0.25">
      <c r="A72" s="635" t="s">
        <v>244</v>
      </c>
      <c r="B72" s="634" t="s">
        <v>248</v>
      </c>
      <c r="C72" s="620">
        <v>130832</v>
      </c>
      <c r="D72" s="620" t="s">
        <v>172</v>
      </c>
      <c r="E72" s="629">
        <f t="shared" si="6"/>
        <v>19</v>
      </c>
      <c r="F72" s="558">
        <v>151220.25</v>
      </c>
      <c r="G72" s="547">
        <v>0</v>
      </c>
      <c r="H72" s="547">
        <v>151220.25</v>
      </c>
      <c r="I72" s="620" t="s">
        <v>249</v>
      </c>
      <c r="J72" s="556" t="s">
        <v>281</v>
      </c>
      <c r="K72" s="646" t="s">
        <v>321</v>
      </c>
      <c r="L72" s="620"/>
      <c r="M72" s="318"/>
      <c r="N72" s="534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</row>
    <row r="73" spans="1:39" s="323" customFormat="1" ht="37.950000000000003" customHeight="1" x14ac:dyDescent="0.25">
      <c r="A73" s="635" t="s">
        <v>286</v>
      </c>
      <c r="B73" s="645" t="s">
        <v>287</v>
      </c>
      <c r="C73" s="646"/>
      <c r="D73" s="620"/>
      <c r="E73" s="629" t="str">
        <f t="shared" si="6"/>
        <v/>
      </c>
      <c r="F73" s="546"/>
      <c r="G73" s="547"/>
      <c r="H73" s="550"/>
      <c r="I73" s="556"/>
      <c r="J73" s="619"/>
      <c r="K73" s="619"/>
      <c r="L73" s="550"/>
      <c r="M73" s="318"/>
      <c r="N73" s="534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</row>
    <row r="74" spans="1:39" s="323" customFormat="1" ht="65.400000000000006" customHeight="1" x14ac:dyDescent="0.25">
      <c r="A74" s="635" t="s">
        <v>169</v>
      </c>
      <c r="B74" s="675" t="s">
        <v>233</v>
      </c>
      <c r="C74" s="673">
        <v>5868795.1899999995</v>
      </c>
      <c r="D74" s="664" t="s">
        <v>438</v>
      </c>
      <c r="E74" s="629">
        <f t="shared" si="6"/>
        <v>108</v>
      </c>
      <c r="F74" s="558">
        <v>285228.46000000002</v>
      </c>
      <c r="G74" s="547">
        <v>52701.46</v>
      </c>
      <c r="H74" s="547">
        <v>232527</v>
      </c>
      <c r="I74" s="550" t="s">
        <v>249</v>
      </c>
      <c r="J74" s="646" t="s">
        <v>462</v>
      </c>
      <c r="K74" s="547"/>
      <c r="L74" s="638"/>
      <c r="M74" s="318"/>
      <c r="N74" s="534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</row>
    <row r="75" spans="1:39" s="323" customFormat="1" ht="47.4" customHeight="1" x14ac:dyDescent="0.25">
      <c r="A75" s="635" t="s">
        <v>169</v>
      </c>
      <c r="B75" s="667"/>
      <c r="C75" s="677"/>
      <c r="D75" s="664" t="s">
        <v>460</v>
      </c>
      <c r="E75" s="629">
        <f t="shared" si="6"/>
        <v>126</v>
      </c>
      <c r="F75" s="558">
        <v>116806.2066</v>
      </c>
      <c r="G75" s="547">
        <v>1956.6065999999998</v>
      </c>
      <c r="H75" s="547">
        <v>114849.60000000001</v>
      </c>
      <c r="I75" s="550" t="s">
        <v>249</v>
      </c>
      <c r="J75" s="646" t="s">
        <v>464</v>
      </c>
      <c r="K75" s="547"/>
      <c r="L75" s="638"/>
      <c r="M75" s="318"/>
      <c r="N75" s="534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</row>
    <row r="76" spans="1:39" s="323" customFormat="1" ht="47.4" customHeight="1" x14ac:dyDescent="0.25">
      <c r="A76" s="635" t="s">
        <v>169</v>
      </c>
      <c r="B76" s="709"/>
      <c r="C76" s="677"/>
      <c r="D76" s="664" t="s">
        <v>467</v>
      </c>
      <c r="E76" s="629">
        <f t="shared" ref="E76" si="11">IFERROR(VALUE(MID(D76,2,LEN(D76)-1)),"")</f>
        <v>130</v>
      </c>
      <c r="F76" s="558">
        <v>72180</v>
      </c>
      <c r="G76" s="547"/>
      <c r="H76" s="547">
        <v>72180</v>
      </c>
      <c r="I76" s="550" t="s">
        <v>249</v>
      </c>
      <c r="J76" s="646" t="s">
        <v>479</v>
      </c>
      <c r="K76" s="547"/>
      <c r="L76" s="638" t="s">
        <v>468</v>
      </c>
      <c r="M76" s="318"/>
      <c r="N76" s="534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</row>
    <row r="77" spans="1:39" s="323" customFormat="1" ht="47.4" customHeight="1" x14ac:dyDescent="0.25">
      <c r="A77" s="635" t="s">
        <v>169</v>
      </c>
      <c r="B77" s="709"/>
      <c r="C77" s="677"/>
      <c r="D77" s="664" t="s">
        <v>478</v>
      </c>
      <c r="E77" s="629">
        <f t="shared" si="6"/>
        <v>134</v>
      </c>
      <c r="F77" s="558">
        <v>161603.9823</v>
      </c>
      <c r="G77" s="547">
        <v>148366</v>
      </c>
      <c r="H77" s="547">
        <v>13237.9823</v>
      </c>
      <c r="I77" s="618"/>
      <c r="J77" s="620" t="s">
        <v>475</v>
      </c>
      <c r="K77" s="547"/>
      <c r="L77" s="638" t="s">
        <v>472</v>
      </c>
      <c r="M77" s="318"/>
      <c r="N77" s="534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</row>
    <row r="78" spans="1:39" s="323" customFormat="1" ht="37.950000000000003" customHeight="1" x14ac:dyDescent="0.25">
      <c r="A78" s="659" t="s">
        <v>170</v>
      </c>
      <c r="B78" s="651" t="s">
        <v>198</v>
      </c>
      <c r="C78" s="652">
        <v>1109034.9700000002</v>
      </c>
      <c r="D78" s="704" t="s">
        <v>337</v>
      </c>
      <c r="E78" s="705">
        <f t="shared" si="6"/>
        <v>52</v>
      </c>
      <c r="F78" s="706">
        <v>244644.62437129952</v>
      </c>
      <c r="G78" s="654">
        <v>129446.72437129953</v>
      </c>
      <c r="H78" s="654">
        <v>115197.90000000001</v>
      </c>
      <c r="I78" s="707" t="s">
        <v>249</v>
      </c>
      <c r="J78" s="708" t="s">
        <v>347</v>
      </c>
      <c r="K78" s="708" t="s">
        <v>382</v>
      </c>
      <c r="L78" s="642"/>
      <c r="M78" s="318"/>
      <c r="N78" s="534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</row>
    <row r="79" spans="1:39" s="323" customFormat="1" ht="37.950000000000003" customHeight="1" x14ac:dyDescent="0.25">
      <c r="A79" s="659" t="s">
        <v>170</v>
      </c>
      <c r="B79" s="651"/>
      <c r="C79" s="652"/>
      <c r="D79" s="692" t="s">
        <v>351</v>
      </c>
      <c r="E79" s="629">
        <f t="shared" si="6"/>
        <v>62</v>
      </c>
      <c r="F79" s="558">
        <v>593014.25678718765</v>
      </c>
      <c r="G79" s="547">
        <v>228541.95678718766</v>
      </c>
      <c r="H79" s="547">
        <v>364472.3</v>
      </c>
      <c r="I79" s="639" t="s">
        <v>249</v>
      </c>
      <c r="J79" s="556" t="s">
        <v>359</v>
      </c>
      <c r="K79" s="642" t="s">
        <v>321</v>
      </c>
      <c r="L79" s="642"/>
      <c r="M79" s="318"/>
      <c r="N79" s="534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</row>
    <row r="80" spans="1:39" s="323" customFormat="1" ht="37.950000000000003" customHeight="1" x14ac:dyDescent="0.25">
      <c r="A80" s="659" t="s">
        <v>170</v>
      </c>
      <c r="B80" s="651"/>
      <c r="C80" s="652"/>
      <c r="D80" s="692" t="s">
        <v>362</v>
      </c>
      <c r="E80" s="629">
        <f t="shared" si="6"/>
        <v>68</v>
      </c>
      <c r="F80" s="558">
        <v>118268.03085</v>
      </c>
      <c r="G80" s="547">
        <v>38288.330849999998</v>
      </c>
      <c r="H80" s="547">
        <v>79979.7</v>
      </c>
      <c r="I80" s="639" t="s">
        <v>249</v>
      </c>
      <c r="J80" s="556" t="s">
        <v>374</v>
      </c>
      <c r="K80" s="556" t="s">
        <v>321</v>
      </c>
      <c r="L80" s="642"/>
      <c r="M80" s="318"/>
      <c r="N80" s="534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</row>
    <row r="81" spans="1:39" s="323" customFormat="1" ht="37.950000000000003" customHeight="1" x14ac:dyDescent="0.25">
      <c r="A81" s="695" t="s">
        <v>170</v>
      </c>
      <c r="B81" s="693"/>
      <c r="C81" s="694"/>
      <c r="D81" s="692" t="s">
        <v>384</v>
      </c>
      <c r="E81" s="629">
        <f t="shared" ref="E81" si="12">IFERROR(VALUE(MID(D81,2,LEN(D81)-1)),"")</f>
        <v>80</v>
      </c>
      <c r="F81" s="558">
        <v>98295.327522600724</v>
      </c>
      <c r="G81" s="547">
        <v>25544.387522600726</v>
      </c>
      <c r="H81" s="547">
        <v>72750.94</v>
      </c>
      <c r="I81" s="639" t="s">
        <v>249</v>
      </c>
      <c r="J81" s="646" t="s">
        <v>394</v>
      </c>
      <c r="K81" s="646" t="s">
        <v>321</v>
      </c>
      <c r="L81" s="644"/>
      <c r="M81" s="318"/>
      <c r="N81" s="534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</row>
    <row r="82" spans="1:39" s="323" customFormat="1" ht="37.950000000000003" customHeight="1" x14ac:dyDescent="0.25">
      <c r="A82" s="660" t="s">
        <v>170</v>
      </c>
      <c r="B82" s="653"/>
      <c r="C82" s="654"/>
      <c r="D82" s="664" t="s">
        <v>450</v>
      </c>
      <c r="E82" s="629">
        <f t="shared" si="6"/>
        <v>118</v>
      </c>
      <c r="F82" s="558">
        <v>7729.53</v>
      </c>
      <c r="G82" s="547">
        <v>1463.66</v>
      </c>
      <c r="H82" s="547">
        <v>6265.87</v>
      </c>
      <c r="I82" s="550" t="s">
        <v>249</v>
      </c>
      <c r="J82" s="646" t="s">
        <v>462</v>
      </c>
      <c r="K82" s="646"/>
      <c r="L82" s="644"/>
      <c r="M82" s="318"/>
      <c r="N82" s="534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</row>
    <row r="83" spans="1:39" s="323" customFormat="1" ht="32.4" customHeight="1" x14ac:dyDescent="0.25">
      <c r="A83" s="635" t="s">
        <v>171</v>
      </c>
      <c r="B83" s="634" t="s">
        <v>226</v>
      </c>
      <c r="C83" s="620">
        <v>220420.19</v>
      </c>
      <c r="D83" s="620" t="s">
        <v>74</v>
      </c>
      <c r="E83" s="629">
        <f t="shared" ref="E83:E123" si="13">IFERROR(VALUE(MID(D83,2,LEN(D83)-1)),"")</f>
        <v>7</v>
      </c>
      <c r="F83" s="558">
        <v>220420.19</v>
      </c>
      <c r="G83" s="547">
        <v>0</v>
      </c>
      <c r="H83" s="547">
        <v>220420.19</v>
      </c>
      <c r="I83" s="620" t="s">
        <v>249</v>
      </c>
      <c r="J83" s="620" t="s">
        <v>263</v>
      </c>
      <c r="K83" s="620" t="s">
        <v>321</v>
      </c>
      <c r="L83" s="620"/>
      <c r="M83" s="318"/>
      <c r="N83" s="655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</row>
    <row r="84" spans="1:39" s="323" customFormat="1" ht="34.200000000000003" customHeight="1" x14ac:dyDescent="0.25">
      <c r="A84" s="635" t="s">
        <v>172</v>
      </c>
      <c r="B84" s="634" t="s">
        <v>228</v>
      </c>
      <c r="C84" s="620">
        <v>19075.719999999998</v>
      </c>
      <c r="D84" s="620" t="s">
        <v>77</v>
      </c>
      <c r="E84" s="629">
        <f t="shared" si="13"/>
        <v>8</v>
      </c>
      <c r="F84" s="546">
        <v>19075.719999999998</v>
      </c>
      <c r="G84" s="547">
        <v>0</v>
      </c>
      <c r="H84" s="620">
        <v>19075.719999999998</v>
      </c>
      <c r="I84" s="620" t="s">
        <v>249</v>
      </c>
      <c r="J84" s="620" t="s">
        <v>263</v>
      </c>
      <c r="K84" s="620" t="s">
        <v>321</v>
      </c>
      <c r="L84" s="620"/>
      <c r="M84" s="318"/>
      <c r="N84" s="534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</row>
    <row r="85" spans="1:39" s="323" customFormat="1" ht="37.200000000000003" customHeight="1" x14ac:dyDescent="0.25">
      <c r="A85" s="635" t="s">
        <v>221</v>
      </c>
      <c r="B85" s="634" t="s">
        <v>231</v>
      </c>
      <c r="C85" s="620">
        <v>8730</v>
      </c>
      <c r="D85" s="620" t="s">
        <v>250</v>
      </c>
      <c r="E85" s="629">
        <f t="shared" si="13"/>
        <v>9</v>
      </c>
      <c r="F85" s="546">
        <v>8730</v>
      </c>
      <c r="G85" s="547">
        <v>0</v>
      </c>
      <c r="H85" s="620">
        <v>8730</v>
      </c>
      <c r="I85" s="620" t="s">
        <v>249</v>
      </c>
      <c r="J85" s="620" t="s">
        <v>263</v>
      </c>
      <c r="K85" s="620" t="s">
        <v>321</v>
      </c>
      <c r="L85" s="620"/>
      <c r="M85" s="318"/>
      <c r="N85" s="534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</row>
    <row r="86" spans="1:39" s="323" customFormat="1" ht="39.6" customHeight="1" x14ac:dyDescent="0.25">
      <c r="A86" s="656" t="s">
        <v>222</v>
      </c>
      <c r="B86" s="647" t="s">
        <v>241</v>
      </c>
      <c r="C86" s="554">
        <v>1821725.04</v>
      </c>
      <c r="D86" s="620" t="s">
        <v>225</v>
      </c>
      <c r="E86" s="629">
        <f t="shared" si="13"/>
        <v>26</v>
      </c>
      <c r="F86" s="558">
        <v>954520.6</v>
      </c>
      <c r="G86" s="547">
        <v>0</v>
      </c>
      <c r="H86" s="547">
        <v>954520.6</v>
      </c>
      <c r="I86" s="550" t="s">
        <v>249</v>
      </c>
      <c r="J86" s="556" t="s">
        <v>284</v>
      </c>
      <c r="K86" s="556" t="s">
        <v>440</v>
      </c>
      <c r="L86" s="620"/>
      <c r="M86" s="318"/>
      <c r="N86" s="534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</row>
    <row r="87" spans="1:39" s="323" customFormat="1" ht="39.6" customHeight="1" x14ac:dyDescent="0.25">
      <c r="A87" s="657" t="s">
        <v>222</v>
      </c>
      <c r="B87" s="648"/>
      <c r="C87" s="555"/>
      <c r="D87" s="620" t="s">
        <v>285</v>
      </c>
      <c r="E87" s="629">
        <f t="shared" si="13"/>
        <v>35</v>
      </c>
      <c r="F87" s="558">
        <v>320050</v>
      </c>
      <c r="G87" s="547">
        <v>0</v>
      </c>
      <c r="H87" s="547">
        <v>320050</v>
      </c>
      <c r="I87" s="550" t="s">
        <v>249</v>
      </c>
      <c r="J87" s="620" t="s">
        <v>299</v>
      </c>
      <c r="K87" s="646" t="s">
        <v>321</v>
      </c>
      <c r="L87" s="620"/>
      <c r="M87" s="318"/>
      <c r="N87" s="534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</row>
    <row r="88" spans="1:39" s="323" customFormat="1" ht="39.6" customHeight="1" x14ac:dyDescent="0.25">
      <c r="A88" s="657" t="s">
        <v>222</v>
      </c>
      <c r="B88" s="648"/>
      <c r="C88" s="555"/>
      <c r="D88" s="620" t="s">
        <v>303</v>
      </c>
      <c r="E88" s="629">
        <f t="shared" si="13"/>
        <v>39</v>
      </c>
      <c r="F88" s="558">
        <v>255300</v>
      </c>
      <c r="G88" s="547">
        <v>0</v>
      </c>
      <c r="H88" s="547">
        <v>255300</v>
      </c>
      <c r="I88" s="620" t="s">
        <v>202</v>
      </c>
      <c r="J88" s="646" t="s">
        <v>308</v>
      </c>
      <c r="K88" s="646" t="s">
        <v>321</v>
      </c>
      <c r="L88" s="620"/>
      <c r="M88" s="318"/>
      <c r="N88" s="534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</row>
    <row r="89" spans="1:39" s="323" customFormat="1" ht="39.6" customHeight="1" x14ac:dyDescent="0.25">
      <c r="A89" s="657" t="s">
        <v>222</v>
      </c>
      <c r="B89" s="648"/>
      <c r="C89" s="555"/>
      <c r="D89" s="620" t="s">
        <v>367</v>
      </c>
      <c r="E89" s="629">
        <f t="shared" si="13"/>
        <v>65</v>
      </c>
      <c r="F89" s="558">
        <v>356841.48</v>
      </c>
      <c r="G89" s="547">
        <v>234741.48</v>
      </c>
      <c r="H89" s="547">
        <v>122100</v>
      </c>
      <c r="I89" s="620" t="s">
        <v>202</v>
      </c>
      <c r="J89" s="556" t="s">
        <v>374</v>
      </c>
      <c r="K89" s="556" t="s">
        <v>321</v>
      </c>
      <c r="L89" s="620"/>
      <c r="M89" s="318"/>
      <c r="N89" s="534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</row>
    <row r="90" spans="1:39" s="323" customFormat="1" ht="39.6" customHeight="1" x14ac:dyDescent="0.25">
      <c r="A90" s="658" t="s">
        <v>222</v>
      </c>
      <c r="B90" s="648"/>
      <c r="C90" s="555"/>
      <c r="D90" s="548" t="s">
        <v>378</v>
      </c>
      <c r="E90" s="629">
        <f t="shared" si="13"/>
        <v>75</v>
      </c>
      <c r="F90" s="558">
        <v>77459.5</v>
      </c>
      <c r="G90" s="547"/>
      <c r="H90" s="547">
        <v>77459.5</v>
      </c>
      <c r="I90" s="620" t="s">
        <v>202</v>
      </c>
      <c r="J90" s="646" t="s">
        <v>416</v>
      </c>
      <c r="K90" s="556" t="s">
        <v>321</v>
      </c>
      <c r="L90" s="547"/>
      <c r="M90" s="318"/>
      <c r="N90" s="534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</row>
    <row r="91" spans="1:39" s="323" customFormat="1" ht="33" customHeight="1" x14ac:dyDescent="0.25">
      <c r="A91" s="656" t="s">
        <v>223</v>
      </c>
      <c r="B91" s="647" t="s">
        <v>246</v>
      </c>
      <c r="C91" s="554">
        <v>505000</v>
      </c>
      <c r="D91" s="620" t="s">
        <v>224</v>
      </c>
      <c r="E91" s="629">
        <f t="shared" si="13"/>
        <v>25</v>
      </c>
      <c r="F91" s="558">
        <v>290457</v>
      </c>
      <c r="G91" s="547">
        <v>0</v>
      </c>
      <c r="H91" s="547">
        <v>290457</v>
      </c>
      <c r="I91" s="550" t="s">
        <v>249</v>
      </c>
      <c r="J91" s="556" t="s">
        <v>284</v>
      </c>
      <c r="K91" s="556" t="s">
        <v>321</v>
      </c>
      <c r="L91" s="620"/>
      <c r="M91" s="318"/>
      <c r="N91" s="534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</row>
    <row r="92" spans="1:39" s="323" customFormat="1" ht="33" customHeight="1" x14ac:dyDescent="0.25">
      <c r="A92" s="657" t="s">
        <v>223</v>
      </c>
      <c r="B92" s="648"/>
      <c r="C92" s="555"/>
      <c r="D92" s="620" t="s">
        <v>238</v>
      </c>
      <c r="E92" s="629">
        <f t="shared" si="13"/>
        <v>32</v>
      </c>
      <c r="F92" s="558">
        <v>145228.5</v>
      </c>
      <c r="G92" s="547">
        <v>0</v>
      </c>
      <c r="H92" s="547">
        <v>145228.5</v>
      </c>
      <c r="I92" s="550" t="s">
        <v>249</v>
      </c>
      <c r="J92" s="620" t="s">
        <v>298</v>
      </c>
      <c r="K92" s="556" t="s">
        <v>321</v>
      </c>
      <c r="L92" s="620"/>
      <c r="M92" s="318"/>
      <c r="N92" s="534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</row>
    <row r="93" spans="1:39" s="323" customFormat="1" ht="34.5" customHeight="1" x14ac:dyDescent="0.25">
      <c r="A93" s="657" t="s">
        <v>223</v>
      </c>
      <c r="B93" s="648"/>
      <c r="C93" s="555"/>
      <c r="D93" s="620" t="s">
        <v>304</v>
      </c>
      <c r="E93" s="629">
        <f t="shared" si="13"/>
        <v>40</v>
      </c>
      <c r="F93" s="558">
        <v>69314.5</v>
      </c>
      <c r="G93" s="547">
        <v>0</v>
      </c>
      <c r="H93" s="547">
        <v>69314.5</v>
      </c>
      <c r="I93" s="620" t="s">
        <v>202</v>
      </c>
      <c r="J93" s="646" t="s">
        <v>308</v>
      </c>
      <c r="K93" s="556" t="s">
        <v>321</v>
      </c>
      <c r="L93" s="620"/>
      <c r="M93" s="318"/>
      <c r="N93" s="534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</row>
    <row r="94" spans="1:39" s="323" customFormat="1" ht="36.6" customHeight="1" x14ac:dyDescent="0.25">
      <c r="A94" s="663" t="s">
        <v>245</v>
      </c>
      <c r="B94" s="647" t="s">
        <v>232</v>
      </c>
      <c r="C94" s="666">
        <v>959112.20788461529</v>
      </c>
      <c r="D94" s="688" t="s">
        <v>363</v>
      </c>
      <c r="E94" s="629">
        <f t="shared" si="13"/>
        <v>70</v>
      </c>
      <c r="F94" s="558">
        <v>203939.56</v>
      </c>
      <c r="G94" s="547">
        <v>32946.06</v>
      </c>
      <c r="H94" s="547">
        <v>170993.5</v>
      </c>
      <c r="I94" s="550" t="s">
        <v>249</v>
      </c>
      <c r="J94" s="556" t="s">
        <v>387</v>
      </c>
      <c r="K94" s="556" t="s">
        <v>321</v>
      </c>
      <c r="L94" s="620"/>
      <c r="M94" s="318"/>
      <c r="N94" s="534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</row>
    <row r="95" spans="1:39" s="323" customFormat="1" ht="36.6" customHeight="1" x14ac:dyDescent="0.25">
      <c r="A95" s="686" t="s">
        <v>245</v>
      </c>
      <c r="B95" s="648"/>
      <c r="C95" s="668"/>
      <c r="D95" s="664" t="s">
        <v>392</v>
      </c>
      <c r="E95" s="629">
        <f t="shared" ref="E95" si="14">IFERROR(VALUE(MID(D95,2,LEN(D95)-1)),"")</f>
        <v>85</v>
      </c>
      <c r="F95" s="558">
        <v>337941.17000000004</v>
      </c>
      <c r="G95" s="547">
        <v>143315.36000000002</v>
      </c>
      <c r="H95" s="547">
        <v>194625.81</v>
      </c>
      <c r="I95" s="550" t="s">
        <v>249</v>
      </c>
      <c r="J95" s="646" t="s">
        <v>445</v>
      </c>
      <c r="K95" s="646" t="s">
        <v>321</v>
      </c>
      <c r="L95" s="690"/>
      <c r="M95" s="318"/>
      <c r="N95" s="534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</row>
    <row r="96" spans="1:39" s="323" customFormat="1" ht="36.6" customHeight="1" x14ac:dyDescent="0.25">
      <c r="A96" s="687" t="s">
        <v>245</v>
      </c>
      <c r="B96" s="649"/>
      <c r="C96" s="670"/>
      <c r="D96" s="664" t="s">
        <v>437</v>
      </c>
      <c r="E96" s="629">
        <f t="shared" si="13"/>
        <v>107</v>
      </c>
      <c r="F96" s="558">
        <v>511938.25680000003</v>
      </c>
      <c r="G96" s="547">
        <v>62419.356800000001</v>
      </c>
      <c r="H96" s="547">
        <v>449518.9</v>
      </c>
      <c r="I96" s="550" t="s">
        <v>249</v>
      </c>
      <c r="J96" s="646" t="s">
        <v>462</v>
      </c>
      <c r="K96" s="646"/>
      <c r="L96" s="638"/>
      <c r="M96" s="318"/>
      <c r="N96" s="534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</row>
    <row r="97" spans="1:39" s="323" customFormat="1" ht="43.2" customHeight="1" x14ac:dyDescent="0.25">
      <c r="A97" s="635" t="s">
        <v>252</v>
      </c>
      <c r="B97" s="645" t="s">
        <v>254</v>
      </c>
      <c r="C97" s="620">
        <v>16887.37</v>
      </c>
      <c r="D97" s="620" t="s">
        <v>221</v>
      </c>
      <c r="E97" s="629">
        <f t="shared" si="13"/>
        <v>20</v>
      </c>
      <c r="F97" s="558">
        <v>46960.607999999993</v>
      </c>
      <c r="G97" s="547">
        <v>30073.237999999998</v>
      </c>
      <c r="H97" s="547">
        <v>16887.37</v>
      </c>
      <c r="I97" s="620" t="s">
        <v>249</v>
      </c>
      <c r="J97" s="556" t="s">
        <v>281</v>
      </c>
      <c r="K97" s="620" t="s">
        <v>321</v>
      </c>
      <c r="L97" s="620"/>
      <c r="M97" s="318"/>
      <c r="N97" s="534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</row>
    <row r="98" spans="1:39" s="323" customFormat="1" ht="32.4" customHeight="1" x14ac:dyDescent="0.25">
      <c r="A98" s="635" t="s">
        <v>253</v>
      </c>
      <c r="B98" s="645" t="s">
        <v>255</v>
      </c>
      <c r="C98" s="620">
        <v>35345</v>
      </c>
      <c r="D98" s="620" t="s">
        <v>346</v>
      </c>
      <c r="E98" s="629">
        <f t="shared" si="13"/>
        <v>61</v>
      </c>
      <c r="F98" s="558">
        <v>129839.32</v>
      </c>
      <c r="G98" s="547">
        <v>102300.57</v>
      </c>
      <c r="H98" s="547">
        <v>27538.75</v>
      </c>
      <c r="I98" s="550" t="s">
        <v>249</v>
      </c>
      <c r="J98" s="646" t="s">
        <v>350</v>
      </c>
      <c r="K98" s="620" t="s">
        <v>321</v>
      </c>
      <c r="L98" s="620"/>
      <c r="M98" s="318"/>
      <c r="N98" s="534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</row>
    <row r="99" spans="1:39" s="323" customFormat="1" ht="32.4" customHeight="1" x14ac:dyDescent="0.25">
      <c r="A99" s="635" t="s">
        <v>253</v>
      </c>
      <c r="B99" s="645"/>
      <c r="C99" s="620"/>
      <c r="D99" s="620" t="s">
        <v>381</v>
      </c>
      <c r="E99" s="629">
        <f t="shared" si="13"/>
        <v>78</v>
      </c>
      <c r="F99" s="558">
        <v>29576.124592</v>
      </c>
      <c r="G99" s="547">
        <v>23015.874592</v>
      </c>
      <c r="H99" s="547">
        <v>6560.25</v>
      </c>
      <c r="I99" s="550" t="s">
        <v>249</v>
      </c>
      <c r="J99" s="646" t="s">
        <v>394</v>
      </c>
      <c r="K99" s="646" t="s">
        <v>321</v>
      </c>
      <c r="L99" s="620"/>
      <c r="M99" s="318"/>
      <c r="N99" s="534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</row>
    <row r="100" spans="1:39" s="323" customFormat="1" ht="32.4" customHeight="1" x14ac:dyDescent="0.25">
      <c r="A100" s="635" t="s">
        <v>258</v>
      </c>
      <c r="B100" s="645" t="s">
        <v>256</v>
      </c>
      <c r="C100" s="620">
        <v>35365.25</v>
      </c>
      <c r="D100" s="620" t="s">
        <v>329</v>
      </c>
      <c r="E100" s="629">
        <f t="shared" si="13"/>
        <v>46</v>
      </c>
      <c r="F100" s="558">
        <v>148135.124392</v>
      </c>
      <c r="G100" s="547">
        <v>115874.374392</v>
      </c>
      <c r="H100" s="547">
        <v>32260.75</v>
      </c>
      <c r="I100" s="620" t="s">
        <v>249</v>
      </c>
      <c r="J100" s="556" t="s">
        <v>347</v>
      </c>
      <c r="K100" s="550" t="s">
        <v>321</v>
      </c>
      <c r="L100" s="550"/>
      <c r="M100" s="318"/>
      <c r="N100" s="534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</row>
    <row r="101" spans="1:39" s="323" customFormat="1" ht="32.4" customHeight="1" x14ac:dyDescent="0.25">
      <c r="A101" s="635" t="s">
        <v>259</v>
      </c>
      <c r="B101" s="645" t="s">
        <v>257</v>
      </c>
      <c r="C101" s="620">
        <v>35433.65</v>
      </c>
      <c r="D101" s="620" t="s">
        <v>222</v>
      </c>
      <c r="E101" s="629">
        <f t="shared" si="13"/>
        <v>21</v>
      </c>
      <c r="F101" s="558">
        <v>148179.73000000001</v>
      </c>
      <c r="G101" s="547">
        <v>115912.73</v>
      </c>
      <c r="H101" s="547">
        <v>32267</v>
      </c>
      <c r="I101" s="620" t="s">
        <v>249</v>
      </c>
      <c r="J101" s="556" t="s">
        <v>298</v>
      </c>
      <c r="K101" s="550" t="s">
        <v>321</v>
      </c>
      <c r="L101" s="620"/>
      <c r="M101" s="318"/>
      <c r="N101" s="534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</row>
    <row r="102" spans="1:39" s="323" customFormat="1" ht="39.6" customHeight="1" x14ac:dyDescent="0.25">
      <c r="A102" s="635" t="s">
        <v>260</v>
      </c>
      <c r="B102" s="645" t="s">
        <v>261</v>
      </c>
      <c r="C102" s="620">
        <v>30402.5</v>
      </c>
      <c r="D102" s="620" t="s">
        <v>361</v>
      </c>
      <c r="E102" s="629">
        <f t="shared" si="13"/>
        <v>69</v>
      </c>
      <c r="F102" s="558">
        <v>117879.35040000001</v>
      </c>
      <c r="G102" s="547">
        <v>91549.85040000001</v>
      </c>
      <c r="H102" s="547">
        <v>26329.5</v>
      </c>
      <c r="I102" s="550" t="s">
        <v>249</v>
      </c>
      <c r="J102" s="556" t="s">
        <v>374</v>
      </c>
      <c r="K102" s="556" t="s">
        <v>321</v>
      </c>
      <c r="L102" s="620"/>
      <c r="M102" s="318"/>
      <c r="N102" s="534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</row>
    <row r="103" spans="1:39" s="323" customFormat="1" ht="39.6" customHeight="1" x14ac:dyDescent="0.25">
      <c r="A103" s="656" t="s">
        <v>224</v>
      </c>
      <c r="B103" s="647" t="s">
        <v>234</v>
      </c>
      <c r="C103" s="554">
        <v>246953.74</v>
      </c>
      <c r="D103" s="620" t="s">
        <v>240</v>
      </c>
      <c r="E103" s="629">
        <f t="shared" si="13"/>
        <v>34</v>
      </c>
      <c r="F103" s="558">
        <v>325313.90174200002</v>
      </c>
      <c r="G103" s="547">
        <v>168734.02174199998</v>
      </c>
      <c r="H103" s="547">
        <v>156579.88</v>
      </c>
      <c r="I103" s="550" t="s">
        <v>249</v>
      </c>
      <c r="J103" s="620" t="s">
        <v>298</v>
      </c>
      <c r="K103" s="620" t="s">
        <v>321</v>
      </c>
      <c r="L103" s="620"/>
      <c r="M103" s="318"/>
      <c r="N103" s="534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</row>
    <row r="104" spans="1:39" s="323" customFormat="1" ht="39.6" customHeight="1" x14ac:dyDescent="0.25">
      <c r="A104" s="657" t="s">
        <v>224</v>
      </c>
      <c r="B104" s="648"/>
      <c r="C104" s="555"/>
      <c r="D104" s="620" t="s">
        <v>305</v>
      </c>
      <c r="E104" s="629">
        <f t="shared" si="13"/>
        <v>41</v>
      </c>
      <c r="F104" s="558">
        <v>121976.767742368</v>
      </c>
      <c r="G104" s="547">
        <v>59072.827742367997</v>
      </c>
      <c r="H104" s="547">
        <v>62903.94</v>
      </c>
      <c r="I104" s="620" t="s">
        <v>202</v>
      </c>
      <c r="J104" s="646" t="s">
        <v>308</v>
      </c>
      <c r="K104" s="620" t="s">
        <v>321</v>
      </c>
      <c r="L104" s="620"/>
      <c r="M104" s="318"/>
      <c r="N104" s="534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</row>
    <row r="105" spans="1:39" s="323" customFormat="1" ht="39.6" customHeight="1" x14ac:dyDescent="0.25">
      <c r="A105" s="658" t="s">
        <v>224</v>
      </c>
      <c r="B105" s="649"/>
      <c r="C105" s="650"/>
      <c r="D105" s="620" t="s">
        <v>331</v>
      </c>
      <c r="E105" s="629">
        <f t="shared" si="13"/>
        <v>48</v>
      </c>
      <c r="F105" s="558">
        <v>27190.45</v>
      </c>
      <c r="G105" s="547">
        <v>7129.87</v>
      </c>
      <c r="H105" s="547">
        <v>20060.580000000002</v>
      </c>
      <c r="I105" s="550" t="s">
        <v>249</v>
      </c>
      <c r="J105" s="556" t="s">
        <v>347</v>
      </c>
      <c r="K105" s="556" t="s">
        <v>321</v>
      </c>
      <c r="L105" s="556"/>
      <c r="M105" s="318"/>
      <c r="N105" s="534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</row>
    <row r="106" spans="1:39" s="323" customFormat="1" ht="36.6" customHeight="1" x14ac:dyDescent="0.25">
      <c r="A106" s="635" t="s">
        <v>225</v>
      </c>
      <c r="B106" s="634" t="s">
        <v>229</v>
      </c>
      <c r="C106" s="620"/>
      <c r="D106" s="620" t="s">
        <v>380</v>
      </c>
      <c r="E106" s="629">
        <f t="shared" si="13"/>
        <v>77</v>
      </c>
      <c r="F106" s="558">
        <v>71715.899999999994</v>
      </c>
      <c r="G106" s="547"/>
      <c r="H106" s="547">
        <v>71715.899999999994</v>
      </c>
      <c r="I106" s="620" t="s">
        <v>202</v>
      </c>
      <c r="J106" s="646" t="s">
        <v>416</v>
      </c>
      <c r="K106" s="646" t="s">
        <v>321</v>
      </c>
      <c r="L106" s="547"/>
      <c r="M106" s="318"/>
      <c r="N106" s="534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</row>
    <row r="107" spans="1:39" s="323" customFormat="1" ht="32.4" customHeight="1" x14ac:dyDescent="0.25">
      <c r="A107" s="579" t="s">
        <v>235</v>
      </c>
      <c r="B107" s="645" t="s">
        <v>266</v>
      </c>
      <c r="C107" s="646">
        <v>48963.26</v>
      </c>
      <c r="D107" s="664" t="s">
        <v>439</v>
      </c>
      <c r="E107" s="629">
        <f t="shared" si="13"/>
        <v>111</v>
      </c>
      <c r="F107" s="558">
        <v>40868.340000000004</v>
      </c>
      <c r="G107" s="547"/>
      <c r="H107" s="547">
        <v>40868.340000000004</v>
      </c>
      <c r="I107" s="620" t="s">
        <v>202</v>
      </c>
      <c r="J107" s="646" t="s">
        <v>462</v>
      </c>
      <c r="K107" s="547"/>
      <c r="L107" s="644"/>
      <c r="M107" s="318"/>
      <c r="N107" s="534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</row>
    <row r="108" spans="1:39" s="323" customFormat="1" ht="32.4" customHeight="1" x14ac:dyDescent="0.25">
      <c r="A108" s="663" t="s">
        <v>262</v>
      </c>
      <c r="B108" s="647" t="s">
        <v>270</v>
      </c>
      <c r="C108" s="666">
        <v>1900000</v>
      </c>
      <c r="D108" s="688" t="s">
        <v>365</v>
      </c>
      <c r="E108" s="629">
        <f t="shared" si="13"/>
        <v>72</v>
      </c>
      <c r="F108" s="558">
        <v>254850</v>
      </c>
      <c r="G108" s="547"/>
      <c r="H108" s="547">
        <v>254850</v>
      </c>
      <c r="I108" s="550" t="s">
        <v>249</v>
      </c>
      <c r="J108" s="556" t="s">
        <v>374</v>
      </c>
      <c r="K108" s="556" t="s">
        <v>321</v>
      </c>
      <c r="L108" s="620"/>
      <c r="M108" s="318"/>
      <c r="N108" s="534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</row>
    <row r="109" spans="1:39" s="323" customFormat="1" ht="32.4" customHeight="1" x14ac:dyDescent="0.25">
      <c r="A109" s="686" t="s">
        <v>262</v>
      </c>
      <c r="B109" s="648"/>
      <c r="C109" s="668"/>
      <c r="D109" s="688" t="s">
        <v>396</v>
      </c>
      <c r="E109" s="629">
        <f t="shared" si="13"/>
        <v>86</v>
      </c>
      <c r="F109" s="558">
        <v>51720</v>
      </c>
      <c r="G109" s="547"/>
      <c r="H109" s="547">
        <v>51720</v>
      </c>
      <c r="I109" s="620" t="s">
        <v>202</v>
      </c>
      <c r="J109" s="646" t="s">
        <v>416</v>
      </c>
      <c r="K109" s="556" t="s">
        <v>321</v>
      </c>
      <c r="L109" s="620"/>
      <c r="M109" s="318"/>
      <c r="N109" s="534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</row>
    <row r="110" spans="1:39" s="323" customFormat="1" ht="32.4" customHeight="1" x14ac:dyDescent="0.25">
      <c r="A110" s="686" t="s">
        <v>262</v>
      </c>
      <c r="B110" s="648"/>
      <c r="C110" s="668"/>
      <c r="D110" s="688" t="s">
        <v>404</v>
      </c>
      <c r="E110" s="629">
        <f t="shared" ref="E110:E114" si="15">IFERROR(VALUE(MID(D110,2,LEN(D110)-1)),"")</f>
        <v>88</v>
      </c>
      <c r="F110" s="558">
        <v>264860</v>
      </c>
      <c r="G110" s="547"/>
      <c r="H110" s="547">
        <v>264860</v>
      </c>
      <c r="I110" s="550" t="s">
        <v>249</v>
      </c>
      <c r="J110" s="646" t="s">
        <v>406</v>
      </c>
      <c r="K110" s="646" t="s">
        <v>321</v>
      </c>
      <c r="L110" s="620"/>
      <c r="M110" s="318"/>
      <c r="N110" s="534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</row>
    <row r="111" spans="1:39" s="323" customFormat="1" ht="32.4" customHeight="1" x14ac:dyDescent="0.25">
      <c r="A111" s="686" t="s">
        <v>262</v>
      </c>
      <c r="B111" s="648"/>
      <c r="C111" s="668"/>
      <c r="D111" s="664" t="s">
        <v>414</v>
      </c>
      <c r="E111" s="629">
        <f t="shared" si="15"/>
        <v>94</v>
      </c>
      <c r="F111" s="558">
        <v>134843.24</v>
      </c>
      <c r="G111" s="547"/>
      <c r="H111" s="547">
        <v>134843.24</v>
      </c>
      <c r="I111" s="550" t="s">
        <v>249</v>
      </c>
      <c r="J111" s="646" t="s">
        <v>417</v>
      </c>
      <c r="K111" s="646" t="s">
        <v>321</v>
      </c>
      <c r="L111" s="644"/>
      <c r="M111" s="318"/>
      <c r="N111" s="534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</row>
    <row r="112" spans="1:39" s="323" customFormat="1" ht="36.6" customHeight="1" x14ac:dyDescent="0.25">
      <c r="A112" s="686" t="s">
        <v>262</v>
      </c>
      <c r="B112" s="648"/>
      <c r="C112" s="668"/>
      <c r="D112" s="664" t="s">
        <v>415</v>
      </c>
      <c r="E112" s="629">
        <f t="shared" si="15"/>
        <v>95</v>
      </c>
      <c r="F112" s="558">
        <v>198330</v>
      </c>
      <c r="G112" s="547"/>
      <c r="H112" s="547">
        <v>198330</v>
      </c>
      <c r="I112" s="550" t="s">
        <v>249</v>
      </c>
      <c r="J112" s="646" t="s">
        <v>417</v>
      </c>
      <c r="K112" s="646" t="s">
        <v>321</v>
      </c>
      <c r="L112" s="644"/>
      <c r="M112" s="318"/>
      <c r="N112" s="534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</row>
    <row r="113" spans="1:39" s="323" customFormat="1" ht="36.6" customHeight="1" x14ac:dyDescent="0.25">
      <c r="A113" s="686" t="s">
        <v>262</v>
      </c>
      <c r="B113" s="648"/>
      <c r="C113" s="668"/>
      <c r="D113" s="664" t="s">
        <v>430</v>
      </c>
      <c r="E113" s="629">
        <f t="shared" si="15"/>
        <v>106</v>
      </c>
      <c r="F113" s="558">
        <v>163000</v>
      </c>
      <c r="G113" s="547"/>
      <c r="H113" s="547">
        <v>163000</v>
      </c>
      <c r="I113" s="620" t="s">
        <v>202</v>
      </c>
      <c r="J113" s="646" t="s">
        <v>432</v>
      </c>
      <c r="K113" s="646" t="s">
        <v>321</v>
      </c>
      <c r="L113" s="644"/>
      <c r="M113" s="318"/>
      <c r="N113" s="534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</row>
    <row r="114" spans="1:39" s="323" customFormat="1" ht="36.6" customHeight="1" x14ac:dyDescent="0.25">
      <c r="A114" s="687" t="s">
        <v>262</v>
      </c>
      <c r="B114" s="649"/>
      <c r="C114" s="670"/>
      <c r="D114" s="664" t="s">
        <v>441</v>
      </c>
      <c r="E114" s="629">
        <f t="shared" si="15"/>
        <v>112</v>
      </c>
      <c r="F114" s="558">
        <v>262930</v>
      </c>
      <c r="G114" s="547"/>
      <c r="H114" s="547">
        <v>262930</v>
      </c>
      <c r="I114" s="620" t="s">
        <v>202</v>
      </c>
      <c r="J114" s="646" t="s">
        <v>443</v>
      </c>
      <c r="K114" s="646"/>
      <c r="L114" s="644"/>
      <c r="M114" s="318"/>
      <c r="N114" s="534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</row>
    <row r="115" spans="1:39" s="323" customFormat="1" ht="36.6" customHeight="1" x14ac:dyDescent="0.25">
      <c r="A115" s="687" t="s">
        <v>262</v>
      </c>
      <c r="B115" s="649"/>
      <c r="C115" s="670"/>
      <c r="D115" s="664" t="s">
        <v>444</v>
      </c>
      <c r="E115" s="629">
        <f>IFERROR(VALUE(MID(D115,2,LEN(D115)-1)),"")</f>
        <v>114</v>
      </c>
      <c r="F115" s="558">
        <v>267630</v>
      </c>
      <c r="G115" s="547"/>
      <c r="H115" s="547">
        <v>262930</v>
      </c>
      <c r="I115" s="620" t="s">
        <v>202</v>
      </c>
      <c r="J115" s="646" t="s">
        <v>445</v>
      </c>
      <c r="K115" s="646"/>
      <c r="L115" s="644"/>
      <c r="M115" s="318"/>
      <c r="N115" s="534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</row>
    <row r="116" spans="1:39" s="323" customFormat="1" ht="36.6" customHeight="1" x14ac:dyDescent="0.25">
      <c r="A116" s="687" t="s">
        <v>262</v>
      </c>
      <c r="B116" s="648"/>
      <c r="C116" s="668"/>
      <c r="D116" s="664" t="s">
        <v>466</v>
      </c>
      <c r="E116" s="629">
        <f>IFERROR(VALUE(MID(D116,2,LEN(D116)-1)),"")</f>
        <v>129</v>
      </c>
      <c r="F116" s="558">
        <v>88000</v>
      </c>
      <c r="G116" s="547"/>
      <c r="H116" s="547">
        <v>88000</v>
      </c>
      <c r="I116" s="620" t="s">
        <v>202</v>
      </c>
      <c r="J116" s="646" t="s">
        <v>479</v>
      </c>
      <c r="K116" s="646"/>
      <c r="L116" s="638"/>
      <c r="M116" s="318"/>
      <c r="N116" s="534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</row>
    <row r="117" spans="1:39" s="323" customFormat="1" ht="36.6" customHeight="1" x14ac:dyDescent="0.25">
      <c r="A117" s="687" t="s">
        <v>262</v>
      </c>
      <c r="B117" s="648"/>
      <c r="C117" s="668"/>
      <c r="D117" s="664" t="s">
        <v>474</v>
      </c>
      <c r="E117" s="629">
        <f>IFERROR(VALUE(MID(D117,2,LEN(D117)-1)),"")</f>
        <v>133</v>
      </c>
      <c r="F117" s="558">
        <v>44000</v>
      </c>
      <c r="G117" s="547"/>
      <c r="H117" s="547">
        <v>44000</v>
      </c>
      <c r="I117" s="620"/>
      <c r="J117" s="703">
        <v>45615</v>
      </c>
      <c r="K117" s="646"/>
      <c r="L117" s="638" t="s">
        <v>472</v>
      </c>
      <c r="M117" s="318"/>
      <c r="N117" s="534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</row>
    <row r="118" spans="1:39" s="323" customFormat="1" ht="32.4" customHeight="1" x14ac:dyDescent="0.25">
      <c r="A118" s="710" t="s">
        <v>230</v>
      </c>
      <c r="B118" s="675" t="s">
        <v>216</v>
      </c>
      <c r="C118" s="673"/>
      <c r="D118" s="688" t="s">
        <v>456</v>
      </c>
      <c r="E118" s="629">
        <f t="shared" si="13"/>
        <v>123</v>
      </c>
      <c r="F118" s="558">
        <v>292822</v>
      </c>
      <c r="G118" s="547"/>
      <c r="H118" s="547">
        <v>292822</v>
      </c>
      <c r="I118" s="620" t="s">
        <v>202</v>
      </c>
      <c r="J118" s="620" t="s">
        <v>461</v>
      </c>
      <c r="K118" s="547"/>
      <c r="L118" s="638"/>
      <c r="M118" s="318"/>
      <c r="N118" s="534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</row>
    <row r="119" spans="1:39" s="323" customFormat="1" ht="39.6" customHeight="1" x14ac:dyDescent="0.25">
      <c r="A119" s="710" t="s">
        <v>230</v>
      </c>
      <c r="B119" s="676"/>
      <c r="C119" s="677"/>
      <c r="D119" s="688" t="s">
        <v>470</v>
      </c>
      <c r="E119" s="629">
        <f t="shared" si="13"/>
        <v>131</v>
      </c>
      <c r="F119" s="558">
        <v>182372</v>
      </c>
      <c r="G119" s="547"/>
      <c r="H119" s="547">
        <v>182372</v>
      </c>
      <c r="I119" s="620" t="s">
        <v>202</v>
      </c>
      <c r="J119" s="646" t="s">
        <v>479</v>
      </c>
      <c r="K119" s="547"/>
      <c r="L119" s="638"/>
      <c r="M119" s="318"/>
      <c r="N119" s="534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</row>
    <row r="120" spans="1:39" s="323" customFormat="1" ht="37.200000000000003" customHeight="1" x14ac:dyDescent="0.25">
      <c r="A120" s="635" t="s">
        <v>236</v>
      </c>
      <c r="B120" s="672" t="s">
        <v>271</v>
      </c>
      <c r="C120" s="674">
        <v>44103.59</v>
      </c>
      <c r="D120" s="620" t="s">
        <v>277</v>
      </c>
      <c r="E120" s="629">
        <f t="shared" si="13"/>
        <v>24</v>
      </c>
      <c r="F120" s="558">
        <v>40991.121999999996</v>
      </c>
      <c r="G120" s="547">
        <v>187.78200000000001</v>
      </c>
      <c r="H120" s="547">
        <v>40803.339999999997</v>
      </c>
      <c r="I120" s="620" t="s">
        <v>249</v>
      </c>
      <c r="J120" s="556" t="s">
        <v>281</v>
      </c>
      <c r="K120" s="620" t="s">
        <v>321</v>
      </c>
      <c r="L120" s="620"/>
      <c r="M120" s="318"/>
      <c r="N120" s="534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</row>
    <row r="121" spans="1:39" s="323" customFormat="1" ht="32.4" customHeight="1" x14ac:dyDescent="0.25">
      <c r="A121" s="635" t="s">
        <v>237</v>
      </c>
      <c r="B121" s="634" t="s">
        <v>276</v>
      </c>
      <c r="C121" s="620"/>
      <c r="D121" s="620"/>
      <c r="E121" s="629" t="str">
        <f t="shared" si="13"/>
        <v/>
      </c>
      <c r="F121" s="558"/>
      <c r="G121" s="547"/>
      <c r="H121" s="547"/>
      <c r="I121" s="547"/>
      <c r="J121" s="547"/>
      <c r="K121" s="547"/>
      <c r="L121" s="547"/>
      <c r="M121" s="318"/>
      <c r="N121" s="534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</row>
    <row r="122" spans="1:39" s="323" customFormat="1" ht="43.95" customHeight="1" x14ac:dyDescent="0.25">
      <c r="A122" s="635" t="s">
        <v>238</v>
      </c>
      <c r="B122" s="634" t="s">
        <v>282</v>
      </c>
      <c r="C122" s="620">
        <v>337206.36</v>
      </c>
      <c r="D122" s="620" t="s">
        <v>237</v>
      </c>
      <c r="E122" s="629">
        <f t="shared" si="13"/>
        <v>31</v>
      </c>
      <c r="F122" s="546">
        <v>337206.36</v>
      </c>
      <c r="G122" s="547">
        <v>0</v>
      </c>
      <c r="H122" s="547">
        <v>337206.36</v>
      </c>
      <c r="I122" s="550" t="s">
        <v>249</v>
      </c>
      <c r="J122" s="620" t="s">
        <v>298</v>
      </c>
      <c r="K122" s="646" t="s">
        <v>321</v>
      </c>
      <c r="L122" s="620"/>
      <c r="M122" s="534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</row>
    <row r="123" spans="1:39" s="323" customFormat="1" ht="43.95" customHeight="1" x14ac:dyDescent="0.25">
      <c r="A123" s="635" t="s">
        <v>239</v>
      </c>
      <c r="B123" s="634" t="s">
        <v>279</v>
      </c>
      <c r="C123" s="620">
        <v>5040</v>
      </c>
      <c r="D123" s="620"/>
      <c r="E123" s="629" t="str">
        <f t="shared" si="13"/>
        <v/>
      </c>
      <c r="F123" s="546"/>
      <c r="G123" s="547"/>
      <c r="H123" s="547"/>
      <c r="I123" s="550"/>
      <c r="J123" s="620"/>
      <c r="K123" s="620"/>
      <c r="L123" s="620"/>
      <c r="M123" s="534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</row>
    <row r="124" spans="1:39" s="323" customFormat="1" ht="43.95" customHeight="1" x14ac:dyDescent="0.25">
      <c r="A124" s="635" t="s">
        <v>240</v>
      </c>
      <c r="B124" s="634" t="s">
        <v>275</v>
      </c>
      <c r="C124" s="620">
        <v>40920.067115384612</v>
      </c>
      <c r="D124" s="620"/>
      <c r="E124" s="629" t="str">
        <f t="shared" ref="E124:E141" si="16">IFERROR(VALUE(MID(D124,2,LEN(D124)-1)),"")</f>
        <v/>
      </c>
      <c r="F124" s="546"/>
      <c r="G124" s="547"/>
      <c r="H124" s="547"/>
      <c r="I124" s="550"/>
      <c r="J124" s="620"/>
      <c r="K124" s="620"/>
      <c r="L124" s="620"/>
      <c r="M124" s="534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</row>
    <row r="125" spans="1:39" s="323" customFormat="1" ht="43.95" customHeight="1" x14ac:dyDescent="0.25">
      <c r="A125" s="635" t="s">
        <v>285</v>
      </c>
      <c r="B125" s="634" t="s">
        <v>297</v>
      </c>
      <c r="C125" s="620">
        <v>108026.29200000002</v>
      </c>
      <c r="D125" s="620" t="s">
        <v>330</v>
      </c>
      <c r="E125" s="629">
        <f t="shared" si="16"/>
        <v>47</v>
      </c>
      <c r="F125" s="546">
        <v>120418.52706000002</v>
      </c>
      <c r="G125" s="547">
        <v>12392.235060000001</v>
      </c>
      <c r="H125" s="547">
        <v>108026.29200000002</v>
      </c>
      <c r="I125" s="550" t="s">
        <v>249</v>
      </c>
      <c r="J125" s="620" t="s">
        <v>334</v>
      </c>
      <c r="K125" s="620" t="s">
        <v>321</v>
      </c>
      <c r="L125" s="550"/>
      <c r="M125" s="534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</row>
    <row r="126" spans="1:39" s="323" customFormat="1" ht="43.95" customHeight="1" x14ac:dyDescent="0.25">
      <c r="A126" s="635" t="s">
        <v>289</v>
      </c>
      <c r="B126" s="634" t="s">
        <v>300</v>
      </c>
      <c r="C126" s="620">
        <v>6116.26</v>
      </c>
      <c r="D126" s="620"/>
      <c r="E126" s="629" t="str">
        <f t="shared" si="16"/>
        <v/>
      </c>
      <c r="F126" s="546"/>
      <c r="G126" s="547"/>
      <c r="H126" s="547"/>
      <c r="I126" s="550"/>
      <c r="J126" s="620"/>
      <c r="K126" s="620"/>
      <c r="L126" s="620"/>
      <c r="M126" s="534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</row>
    <row r="127" spans="1:39" s="323" customFormat="1" ht="43.95" customHeight="1" x14ac:dyDescent="0.25">
      <c r="A127" s="635" t="s">
        <v>302</v>
      </c>
      <c r="B127" s="634" t="s">
        <v>333</v>
      </c>
      <c r="C127" s="620">
        <v>142452.13</v>
      </c>
      <c r="D127" s="620"/>
      <c r="E127" s="629" t="str">
        <f t="shared" si="16"/>
        <v/>
      </c>
      <c r="F127" s="546"/>
      <c r="G127" s="547"/>
      <c r="H127" s="547"/>
      <c r="I127" s="550"/>
      <c r="J127" s="620"/>
      <c r="K127" s="620"/>
      <c r="L127" s="620"/>
      <c r="M127" s="534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</row>
    <row r="128" spans="1:39" s="323" customFormat="1" ht="37.950000000000003" customHeight="1" x14ac:dyDescent="0.25">
      <c r="A128" s="635" t="s">
        <v>303</v>
      </c>
      <c r="B128" s="634" t="s">
        <v>349</v>
      </c>
      <c r="C128" s="620">
        <f>'Реєстр ДЦ '!E55</f>
        <v>8258.1</v>
      </c>
      <c r="D128" s="620" t="s">
        <v>344</v>
      </c>
      <c r="E128" s="629">
        <f t="shared" si="16"/>
        <v>59</v>
      </c>
      <c r="F128" s="546">
        <v>8258.1</v>
      </c>
      <c r="G128" s="547"/>
      <c r="H128" s="620">
        <v>8258.1</v>
      </c>
      <c r="I128" s="550" t="s">
        <v>249</v>
      </c>
      <c r="J128" s="620" t="s">
        <v>371</v>
      </c>
      <c r="K128" s="620" t="s">
        <v>321</v>
      </c>
      <c r="L128" s="547"/>
      <c r="M128" s="534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</row>
    <row r="129" spans="1:38" s="323" customFormat="1" ht="31.8" customHeight="1" x14ac:dyDescent="0.25">
      <c r="A129" s="656" t="s">
        <v>304</v>
      </c>
      <c r="B129" s="647" t="s">
        <v>354</v>
      </c>
      <c r="C129" s="554"/>
      <c r="D129" s="620" t="s">
        <v>355</v>
      </c>
      <c r="E129" s="629">
        <f t="shared" si="16"/>
        <v>66</v>
      </c>
      <c r="F129" s="546">
        <v>646774</v>
      </c>
      <c r="G129" s="547"/>
      <c r="H129" s="620">
        <v>646774</v>
      </c>
      <c r="I129" s="550" t="s">
        <v>249</v>
      </c>
      <c r="J129" s="620" t="s">
        <v>371</v>
      </c>
      <c r="K129" s="620"/>
      <c r="L129" s="547"/>
      <c r="M129" s="534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</row>
    <row r="130" spans="1:38" s="323" customFormat="1" ht="35.4" customHeight="1" x14ac:dyDescent="0.25">
      <c r="A130" s="658" t="s">
        <v>304</v>
      </c>
      <c r="B130" s="649"/>
      <c r="C130" s="650"/>
      <c r="D130" s="620" t="s">
        <v>379</v>
      </c>
      <c r="E130" s="629">
        <f t="shared" si="16"/>
        <v>76</v>
      </c>
      <c r="F130" s="546">
        <v>15700</v>
      </c>
      <c r="G130" s="547"/>
      <c r="H130" s="620">
        <v>15700</v>
      </c>
      <c r="I130" s="550" t="s">
        <v>249</v>
      </c>
      <c r="J130" s="646" t="s">
        <v>394</v>
      </c>
      <c r="K130" s="646"/>
      <c r="L130" s="547"/>
      <c r="M130" s="534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</row>
    <row r="131" spans="1:38" s="323" customFormat="1" ht="37.950000000000003" customHeight="1" x14ac:dyDescent="0.25">
      <c r="A131" s="635" t="s">
        <v>305</v>
      </c>
      <c r="B131" s="634" t="s">
        <v>352</v>
      </c>
      <c r="C131" s="620"/>
      <c r="D131" s="620"/>
      <c r="E131" s="629" t="str">
        <f t="shared" si="16"/>
        <v/>
      </c>
      <c r="F131" s="546"/>
      <c r="G131" s="547"/>
      <c r="H131" s="546"/>
      <c r="I131" s="639"/>
      <c r="J131" s="620"/>
      <c r="K131" s="620"/>
      <c r="L131" s="547"/>
      <c r="M131" s="534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</row>
    <row r="132" spans="1:38" s="323" customFormat="1" ht="37.950000000000003" customHeight="1" x14ac:dyDescent="0.25">
      <c r="A132" s="635" t="s">
        <v>307</v>
      </c>
      <c r="B132" s="634" t="s">
        <v>376</v>
      </c>
      <c r="C132" s="620"/>
      <c r="D132" s="620" t="s">
        <v>389</v>
      </c>
      <c r="E132" s="629">
        <f t="shared" si="16"/>
        <v>82</v>
      </c>
      <c r="F132" s="546">
        <v>24192.53</v>
      </c>
      <c r="G132" s="547"/>
      <c r="H132" s="620">
        <v>24192.53</v>
      </c>
      <c r="I132" s="550" t="s">
        <v>249</v>
      </c>
      <c r="J132" s="646" t="s">
        <v>394</v>
      </c>
      <c r="K132" s="646" t="s">
        <v>321</v>
      </c>
      <c r="L132" s="547"/>
      <c r="M132" s="534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</row>
    <row r="133" spans="1:38" s="323" customFormat="1" ht="37.950000000000003" customHeight="1" x14ac:dyDescent="0.25">
      <c r="A133" s="635" t="s">
        <v>309</v>
      </c>
      <c r="B133" s="634" t="s">
        <v>368</v>
      </c>
      <c r="C133" s="620"/>
      <c r="D133" s="548" t="s">
        <v>408</v>
      </c>
      <c r="E133" s="629">
        <f t="shared" si="16"/>
        <v>91</v>
      </c>
      <c r="F133" s="546">
        <v>5670</v>
      </c>
      <c r="G133" s="547"/>
      <c r="H133" s="620">
        <v>5670</v>
      </c>
      <c r="I133" s="550" t="s">
        <v>249</v>
      </c>
      <c r="J133" s="646" t="s">
        <v>406</v>
      </c>
      <c r="K133" s="646" t="s">
        <v>321</v>
      </c>
      <c r="L133" s="547"/>
      <c r="M133" s="534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</row>
    <row r="134" spans="1:38" s="323" customFormat="1" ht="37.950000000000003" customHeight="1" x14ac:dyDescent="0.25">
      <c r="A134" s="635" t="s">
        <v>327</v>
      </c>
      <c r="B134" s="634" t="s">
        <v>370</v>
      </c>
      <c r="C134" s="620">
        <v>120000</v>
      </c>
      <c r="D134" s="548" t="s">
        <v>390</v>
      </c>
      <c r="E134" s="629">
        <f t="shared" si="16"/>
        <v>83</v>
      </c>
      <c r="F134" s="546">
        <v>111272.5</v>
      </c>
      <c r="G134" s="547"/>
      <c r="H134" s="620">
        <v>111272.5</v>
      </c>
      <c r="I134" s="550" t="s">
        <v>249</v>
      </c>
      <c r="J134" s="646" t="s">
        <v>406</v>
      </c>
      <c r="K134" s="646" t="s">
        <v>321</v>
      </c>
      <c r="L134" s="547"/>
      <c r="M134" s="534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</row>
    <row r="135" spans="1:38" s="323" customFormat="1" ht="37.950000000000003" customHeight="1" x14ac:dyDescent="0.25">
      <c r="A135" s="635" t="s">
        <v>328</v>
      </c>
      <c r="B135" s="634" t="s">
        <v>372</v>
      </c>
      <c r="C135" s="620">
        <v>20736.719333333334</v>
      </c>
      <c r="D135" s="548" t="s">
        <v>398</v>
      </c>
      <c r="E135" s="629">
        <f t="shared" si="16"/>
        <v>87</v>
      </c>
      <c r="F135" s="546">
        <v>19339.953333333331</v>
      </c>
      <c r="G135" s="547"/>
      <c r="H135" s="620">
        <v>19339.953333333331</v>
      </c>
      <c r="I135" s="550" t="s">
        <v>249</v>
      </c>
      <c r="J135" s="646" t="s">
        <v>417</v>
      </c>
      <c r="K135" s="620" t="s">
        <v>321</v>
      </c>
      <c r="L135" s="547"/>
      <c r="M135" s="534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</row>
    <row r="136" spans="1:38" s="323" customFormat="1" ht="37.950000000000003" customHeight="1" x14ac:dyDescent="0.25">
      <c r="A136" s="635" t="s">
        <v>329</v>
      </c>
      <c r="B136" s="645" t="s">
        <v>373</v>
      </c>
      <c r="C136" s="646">
        <v>108679.85</v>
      </c>
      <c r="D136" s="548" t="s">
        <v>473</v>
      </c>
      <c r="E136" s="629">
        <f t="shared" si="16"/>
        <v>132</v>
      </c>
      <c r="F136" s="546">
        <v>111221.5</v>
      </c>
      <c r="G136" s="547"/>
      <c r="H136" s="620">
        <v>111221.5</v>
      </c>
      <c r="I136" s="618"/>
      <c r="J136" s="646" t="s">
        <v>471</v>
      </c>
      <c r="K136" s="646"/>
      <c r="L136" s="547" t="s">
        <v>472</v>
      </c>
      <c r="M136" s="534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</row>
    <row r="137" spans="1:38" s="323" customFormat="1" ht="37.950000000000003" customHeight="1" x14ac:dyDescent="0.25">
      <c r="A137" s="671" t="s">
        <v>330</v>
      </c>
      <c r="B137" s="675" t="s">
        <v>375</v>
      </c>
      <c r="C137" s="673">
        <v>315020.03088571428</v>
      </c>
      <c r="D137" s="664" t="s">
        <v>411</v>
      </c>
      <c r="E137" s="629">
        <f t="shared" si="16"/>
        <v>92</v>
      </c>
      <c r="F137" s="546">
        <v>229503.26231428573</v>
      </c>
      <c r="G137" s="547"/>
      <c r="H137" s="620">
        <v>229503.26231428573</v>
      </c>
      <c r="I137" s="550" t="s">
        <v>249</v>
      </c>
      <c r="J137" s="646" t="s">
        <v>417</v>
      </c>
      <c r="K137" s="646" t="s">
        <v>321</v>
      </c>
      <c r="L137" s="547"/>
      <c r="M137" s="534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</row>
    <row r="138" spans="1:38" s="323" customFormat="1" ht="37.950000000000003" customHeight="1" x14ac:dyDescent="0.25">
      <c r="A138" s="671" t="s">
        <v>330</v>
      </c>
      <c r="B138" s="676"/>
      <c r="C138" s="677"/>
      <c r="D138" s="664" t="s">
        <v>431</v>
      </c>
      <c r="E138" s="629">
        <f t="shared" ref="E138" si="17">IFERROR(VALUE(MID(D138,2,LEN(D138)-1)),"")</f>
        <v>102</v>
      </c>
      <c r="F138" s="546">
        <v>44001.440000000002</v>
      </c>
      <c r="G138" s="547"/>
      <c r="H138" s="620">
        <v>44001.440000000002</v>
      </c>
      <c r="I138" s="620" t="s">
        <v>202</v>
      </c>
      <c r="J138" s="646" t="s">
        <v>432</v>
      </c>
      <c r="K138" s="646" t="s">
        <v>321</v>
      </c>
      <c r="L138" s="547"/>
      <c r="M138" s="534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</row>
    <row r="139" spans="1:38" s="323" customFormat="1" ht="37.950000000000003" customHeight="1" x14ac:dyDescent="0.25">
      <c r="A139" s="635" t="s">
        <v>331</v>
      </c>
      <c r="B139" s="672" t="s">
        <v>386</v>
      </c>
      <c r="C139" s="674">
        <v>64000</v>
      </c>
      <c r="D139" s="548" t="s">
        <v>419</v>
      </c>
      <c r="E139" s="629">
        <f t="shared" si="16"/>
        <v>99</v>
      </c>
      <c r="F139" s="546">
        <v>63889.68</v>
      </c>
      <c r="G139" s="547"/>
      <c r="H139" s="620">
        <v>63889.68</v>
      </c>
      <c r="I139" s="620" t="s">
        <v>202</v>
      </c>
      <c r="J139" s="646" t="s">
        <v>432</v>
      </c>
      <c r="K139" s="646" t="s">
        <v>321</v>
      </c>
      <c r="L139" s="547"/>
      <c r="M139" s="534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</row>
    <row r="140" spans="1:38" s="323" customFormat="1" ht="37.950000000000003" customHeight="1" x14ac:dyDescent="0.25">
      <c r="A140" s="635" t="s">
        <v>332</v>
      </c>
      <c r="B140" s="634" t="s">
        <v>388</v>
      </c>
      <c r="C140" s="620">
        <v>63217.29</v>
      </c>
      <c r="D140" s="548" t="s">
        <v>403</v>
      </c>
      <c r="E140" s="629">
        <f t="shared" si="16"/>
        <v>89</v>
      </c>
      <c r="F140" s="546">
        <v>63217.29</v>
      </c>
      <c r="G140" s="547"/>
      <c r="H140" s="620">
        <v>63217.29</v>
      </c>
      <c r="I140" s="550" t="s">
        <v>249</v>
      </c>
      <c r="J140" s="646" t="s">
        <v>406</v>
      </c>
      <c r="K140" s="620" t="s">
        <v>321</v>
      </c>
      <c r="L140" s="547"/>
      <c r="M140" s="534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</row>
    <row r="141" spans="1:38" s="323" customFormat="1" ht="37.950000000000003" customHeight="1" x14ac:dyDescent="0.25">
      <c r="A141" s="635" t="s">
        <v>335</v>
      </c>
      <c r="B141" s="634" t="s">
        <v>393</v>
      </c>
      <c r="C141" s="620">
        <v>17140.37</v>
      </c>
      <c r="D141" s="548" t="s">
        <v>423</v>
      </c>
      <c r="E141" s="629">
        <f t="shared" si="16"/>
        <v>103</v>
      </c>
      <c r="F141" s="546">
        <v>15762.599999999999</v>
      </c>
      <c r="G141" s="547"/>
      <c r="H141" s="620">
        <v>15762.599999999999</v>
      </c>
      <c r="I141" s="620" t="s">
        <v>202</v>
      </c>
      <c r="J141" s="646" t="s">
        <v>432</v>
      </c>
      <c r="K141" s="646" t="s">
        <v>321</v>
      </c>
      <c r="L141" s="547"/>
      <c r="M141" s="534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</row>
    <row r="142" spans="1:38" s="323" customFormat="1" ht="37.950000000000003" customHeight="1" x14ac:dyDescent="0.25">
      <c r="A142" s="635" t="s">
        <v>336</v>
      </c>
      <c r="B142" s="634" t="s">
        <v>397</v>
      </c>
      <c r="C142" s="620"/>
      <c r="D142" s="548" t="s">
        <v>407</v>
      </c>
      <c r="E142" s="629">
        <f t="shared" ref="E142:E148" si="18">IFERROR(VALUE(MID(D142,2,LEN(D142)-1)),"")</f>
        <v>90</v>
      </c>
      <c r="F142" s="546">
        <v>72225.63</v>
      </c>
      <c r="G142" s="547"/>
      <c r="H142" s="620">
        <v>72225.63</v>
      </c>
      <c r="I142" s="550" t="s">
        <v>249</v>
      </c>
      <c r="J142" s="646" t="s">
        <v>406</v>
      </c>
      <c r="K142" s="646" t="s">
        <v>321</v>
      </c>
      <c r="L142" s="547"/>
      <c r="M142" s="534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</row>
    <row r="143" spans="1:38" s="323" customFormat="1" ht="37.950000000000003" customHeight="1" x14ac:dyDescent="0.25">
      <c r="A143" s="635" t="s">
        <v>337</v>
      </c>
      <c r="B143" s="634" t="s">
        <v>400</v>
      </c>
      <c r="C143" s="620">
        <v>23023.89</v>
      </c>
      <c r="D143" s="548" t="s">
        <v>425</v>
      </c>
      <c r="E143" s="629">
        <f t="shared" si="18"/>
        <v>105</v>
      </c>
      <c r="F143" s="546">
        <v>23023.89</v>
      </c>
      <c r="G143" s="547"/>
      <c r="H143" s="620">
        <v>23023.89</v>
      </c>
      <c r="I143" s="620" t="s">
        <v>202</v>
      </c>
      <c r="J143" s="646" t="s">
        <v>432</v>
      </c>
      <c r="K143" s="646" t="s">
        <v>321</v>
      </c>
      <c r="L143" s="547"/>
      <c r="M143" s="534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</row>
    <row r="144" spans="1:38" s="323" customFormat="1" ht="37.950000000000003" customHeight="1" x14ac:dyDescent="0.25">
      <c r="A144" s="635" t="s">
        <v>338</v>
      </c>
      <c r="B144" s="634" t="s">
        <v>401</v>
      </c>
      <c r="C144" s="620">
        <v>227922.04</v>
      </c>
      <c r="D144" s="620"/>
      <c r="E144" s="629" t="str">
        <f t="shared" si="18"/>
        <v/>
      </c>
      <c r="F144" s="546"/>
      <c r="G144" s="547"/>
      <c r="H144" s="546"/>
      <c r="I144" s="639"/>
      <c r="J144" s="646"/>
      <c r="K144" s="646"/>
      <c r="L144" s="547"/>
      <c r="M144" s="534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</row>
    <row r="145" spans="1:38" s="323" customFormat="1" ht="37.950000000000003" customHeight="1" x14ac:dyDescent="0.25">
      <c r="A145" s="635" t="s">
        <v>339</v>
      </c>
      <c r="B145" s="634" t="s">
        <v>402</v>
      </c>
      <c r="C145" s="620">
        <v>107483.784</v>
      </c>
      <c r="D145" s="664" t="s">
        <v>442</v>
      </c>
      <c r="E145" s="629">
        <f t="shared" si="18"/>
        <v>113</v>
      </c>
      <c r="F145" s="546">
        <v>110477.484</v>
      </c>
      <c r="G145" s="547"/>
      <c r="H145" s="620">
        <v>110477.484</v>
      </c>
      <c r="I145" s="620" t="s">
        <v>202</v>
      </c>
      <c r="J145" s="646" t="s">
        <v>445</v>
      </c>
      <c r="K145" s="646"/>
      <c r="L145" s="547"/>
      <c r="M145" s="534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</row>
    <row r="146" spans="1:38" s="323" customFormat="1" ht="37.950000000000003" customHeight="1" x14ac:dyDescent="0.25">
      <c r="A146" s="635" t="s">
        <v>340</v>
      </c>
      <c r="B146" s="634" t="s">
        <v>405</v>
      </c>
      <c r="C146" s="620">
        <v>27150</v>
      </c>
      <c r="D146" s="548" t="s">
        <v>412</v>
      </c>
      <c r="E146" s="629">
        <f t="shared" si="18"/>
        <v>93</v>
      </c>
      <c r="F146" s="546">
        <v>27150</v>
      </c>
      <c r="G146" s="547"/>
      <c r="H146" s="620">
        <v>27150</v>
      </c>
      <c r="I146" s="550" t="s">
        <v>249</v>
      </c>
      <c r="J146" s="646" t="s">
        <v>417</v>
      </c>
      <c r="K146" s="646" t="s">
        <v>321</v>
      </c>
      <c r="L146" s="547"/>
      <c r="M146" s="534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</row>
    <row r="147" spans="1:38" s="323" customFormat="1" ht="37.950000000000003" customHeight="1" x14ac:dyDescent="0.25">
      <c r="A147" s="635" t="s">
        <v>341</v>
      </c>
      <c r="B147" s="634" t="s">
        <v>413</v>
      </c>
      <c r="C147" s="620">
        <v>82388</v>
      </c>
      <c r="D147" s="548"/>
      <c r="E147" s="629" t="str">
        <f t="shared" si="18"/>
        <v/>
      </c>
      <c r="F147" s="546"/>
      <c r="G147" s="547"/>
      <c r="H147" s="620"/>
      <c r="I147" s="550"/>
      <c r="J147" s="646"/>
      <c r="K147" s="646"/>
      <c r="L147" s="547"/>
      <c r="M147" s="534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</row>
    <row r="148" spans="1:38" s="323" customFormat="1" ht="37.950000000000003" customHeight="1" x14ac:dyDescent="0.25">
      <c r="A148" s="635" t="s">
        <v>342</v>
      </c>
      <c r="B148" s="634" t="s">
        <v>418</v>
      </c>
      <c r="C148" s="620">
        <v>799800</v>
      </c>
      <c r="D148" s="548"/>
      <c r="E148" s="629" t="str">
        <f t="shared" si="18"/>
        <v/>
      </c>
      <c r="F148" s="546"/>
      <c r="G148" s="547"/>
      <c r="H148" s="620"/>
      <c r="I148" s="550"/>
      <c r="J148" s="646"/>
      <c r="K148" s="646"/>
      <c r="L148" s="547"/>
      <c r="M148" s="534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</row>
    <row r="149" spans="1:38" s="323" customFormat="1" ht="37.950000000000003" customHeight="1" x14ac:dyDescent="0.25">
      <c r="A149" s="635" t="s">
        <v>343</v>
      </c>
      <c r="B149" s="634" t="s">
        <v>455</v>
      </c>
      <c r="C149" s="620">
        <v>15510</v>
      </c>
      <c r="D149" s="548" t="s">
        <v>459</v>
      </c>
      <c r="E149" s="629">
        <f>IFERROR(VALUE(MID(D149,2,LEN(D149)-1)),"")</f>
        <v>125</v>
      </c>
      <c r="F149" s="546">
        <v>15510</v>
      </c>
      <c r="G149" s="547"/>
      <c r="H149" s="620">
        <v>15510</v>
      </c>
      <c r="I149" s="550" t="s">
        <v>249</v>
      </c>
      <c r="J149" s="703">
        <v>45610</v>
      </c>
      <c r="K149" s="646"/>
      <c r="L149" s="547"/>
      <c r="M149" s="534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</row>
    <row r="150" spans="1:38" s="323" customFormat="1" ht="37.950000000000003" customHeight="1" x14ac:dyDescent="0.25">
      <c r="A150" s="635" t="s">
        <v>344</v>
      </c>
      <c r="B150" s="634" t="s">
        <v>457</v>
      </c>
      <c r="C150" s="620"/>
      <c r="D150" s="548" t="s">
        <v>463</v>
      </c>
      <c r="E150" s="629">
        <f>IFERROR(VALUE(MID(D150,2,LEN(D150)-1)),"")</f>
        <v>127</v>
      </c>
      <c r="F150" s="546">
        <v>113715</v>
      </c>
      <c r="G150" s="547"/>
      <c r="H150" s="620">
        <v>113715</v>
      </c>
      <c r="I150" s="550" t="s">
        <v>249</v>
      </c>
      <c r="J150" s="703">
        <v>45611</v>
      </c>
      <c r="K150" s="701"/>
      <c r="L150" s="700"/>
      <c r="M150" s="534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</row>
    <row r="151" spans="1:38" s="323" customFormat="1" ht="37.950000000000003" customHeight="1" x14ac:dyDescent="0.25">
      <c r="A151" s="635"/>
      <c r="B151" s="634"/>
      <c r="C151" s="620"/>
      <c r="D151" s="548"/>
      <c r="E151" s="629"/>
      <c r="F151" s="546"/>
      <c r="G151" s="547"/>
      <c r="H151" s="546"/>
      <c r="I151" s="618"/>
      <c r="J151" s="646"/>
      <c r="K151" s="646"/>
      <c r="L151" s="547"/>
      <c r="M151" s="534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</row>
    <row r="152" spans="1:38" s="324" customFormat="1" ht="22.95" customHeight="1" x14ac:dyDescent="0.25">
      <c r="A152" s="560"/>
      <c r="B152" s="560" t="s">
        <v>47</v>
      </c>
      <c r="C152" s="561">
        <f>SUM(C6:C151)</f>
        <v>45358752.968762785</v>
      </c>
      <c r="D152" s="661"/>
      <c r="E152" s="661"/>
      <c r="F152" s="561">
        <f>SUM(F6:F151)</f>
        <v>41639708.603484958</v>
      </c>
      <c r="G152" s="561">
        <f>SUM(G6:G151)</f>
        <v>11645703.401039364</v>
      </c>
      <c r="H152" s="561">
        <f>SUM(H6:H151)</f>
        <v>29989305.199947622</v>
      </c>
      <c r="I152" s="561"/>
      <c r="J152" s="561"/>
      <c r="K152" s="561"/>
      <c r="L152" s="561"/>
    </row>
    <row r="153" spans="1:38" x14ac:dyDescent="0.25"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</row>
    <row r="154" spans="1:38" x14ac:dyDescent="0.25"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</row>
    <row r="155" spans="1:38" x14ac:dyDescent="0.25"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</row>
    <row r="156" spans="1:38" x14ac:dyDescent="0.25"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</row>
    <row r="157" spans="1:38" x14ac:dyDescent="0.25"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</row>
  </sheetData>
  <autoFilter ref="A5:AM152"/>
  <mergeCells count="7">
    <mergeCell ref="A1:L2"/>
    <mergeCell ref="L3:L5"/>
    <mergeCell ref="D3:J4"/>
    <mergeCell ref="A3:A5"/>
    <mergeCell ref="B3:B5"/>
    <mergeCell ref="C3:C5"/>
    <mergeCell ref="K3:K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7" fitToHeight="0" orientation="landscape" verticalDpi="300" r:id="rId1"/>
  <rowBreaks count="2" manualBreakCount="2">
    <brk id="26" max="11" man="1"/>
    <brk id="49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99" t="s">
        <v>149</v>
      </c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00" t="s">
        <v>118</v>
      </c>
      <c r="B4" s="803" t="s">
        <v>2</v>
      </c>
      <c r="C4" s="806" t="s">
        <v>119</v>
      </c>
      <c r="D4" s="807"/>
      <c r="E4" s="810" t="s">
        <v>120</v>
      </c>
      <c r="F4" s="813" t="s">
        <v>121</v>
      </c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  <c r="R4" s="814"/>
      <c r="S4" s="814"/>
      <c r="T4" s="814"/>
      <c r="U4" s="814"/>
      <c r="V4" s="814"/>
      <c r="W4" s="815"/>
      <c r="X4" s="512"/>
      <c r="Y4" s="806" t="s">
        <v>122</v>
      </c>
      <c r="Z4" s="816"/>
      <c r="AA4" s="807"/>
      <c r="AB4" s="818" t="s">
        <v>123</v>
      </c>
      <c r="AC4" s="819"/>
      <c r="AD4" s="820"/>
    </row>
    <row r="5" spans="1:30" ht="15.45" customHeight="1" x14ac:dyDescent="0.25">
      <c r="A5" s="801"/>
      <c r="B5" s="804"/>
      <c r="C5" s="808"/>
      <c r="D5" s="809"/>
      <c r="E5" s="811"/>
      <c r="F5" s="813" t="s">
        <v>143</v>
      </c>
      <c r="G5" s="815"/>
      <c r="H5" s="813" t="s">
        <v>144</v>
      </c>
      <c r="I5" s="815"/>
      <c r="J5" s="813" t="s">
        <v>145</v>
      </c>
      <c r="K5" s="815"/>
      <c r="L5" s="813" t="s">
        <v>156</v>
      </c>
      <c r="M5" s="815"/>
      <c r="N5" s="813" t="s">
        <v>155</v>
      </c>
      <c r="O5" s="815"/>
      <c r="P5" s="813" t="s">
        <v>159</v>
      </c>
      <c r="Q5" s="815"/>
      <c r="R5" s="813" t="s">
        <v>166</v>
      </c>
      <c r="S5" s="815"/>
      <c r="T5" s="813"/>
      <c r="U5" s="815"/>
      <c r="V5" s="813"/>
      <c r="W5" s="815"/>
      <c r="X5" s="513"/>
      <c r="Y5" s="808"/>
      <c r="Z5" s="817"/>
      <c r="AA5" s="809"/>
      <c r="AB5" s="821"/>
      <c r="AC5" s="822"/>
      <c r="AD5" s="823"/>
    </row>
    <row r="6" spans="1:30" ht="27.75" customHeight="1" x14ac:dyDescent="0.25">
      <c r="A6" s="802"/>
      <c r="B6" s="805"/>
      <c r="C6" s="314" t="s">
        <v>124</v>
      </c>
      <c r="D6" s="315" t="s">
        <v>125</v>
      </c>
      <c r="E6" s="812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34">
        <v>1</v>
      </c>
      <c r="B8" s="850" t="s">
        <v>95</v>
      </c>
      <c r="C8" s="824" t="s">
        <v>53</v>
      </c>
      <c r="D8" s="828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31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48"/>
      <c r="B9" s="851"/>
      <c r="C9" s="825"/>
      <c r="D9" s="829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32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48"/>
      <c r="B10" s="851"/>
      <c r="C10" s="825"/>
      <c r="D10" s="829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32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48"/>
      <c r="B11" s="851"/>
      <c r="C11" s="825"/>
      <c r="D11" s="829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32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48"/>
      <c r="B12" s="851"/>
      <c r="C12" s="825"/>
      <c r="D12" s="829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32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48"/>
      <c r="B13" s="851"/>
      <c r="C13" s="825"/>
      <c r="D13" s="829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32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48"/>
      <c r="B14" s="851"/>
      <c r="C14" s="825"/>
      <c r="D14" s="829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32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48"/>
      <c r="B15" s="851"/>
      <c r="C15" s="825"/>
      <c r="D15" s="829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32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48"/>
      <c r="B16" s="851"/>
      <c r="C16" s="825"/>
      <c r="D16" s="829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32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48"/>
      <c r="B17" s="851"/>
      <c r="C17" s="825"/>
      <c r="D17" s="829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32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48"/>
      <c r="B18" s="851"/>
      <c r="C18" s="825"/>
      <c r="D18" s="829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32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48"/>
      <c r="B19" s="851"/>
      <c r="C19" s="825"/>
      <c r="D19" s="829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32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48"/>
      <c r="B20" s="851"/>
      <c r="C20" s="825"/>
      <c r="D20" s="829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32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48"/>
      <c r="B21" s="851"/>
      <c r="C21" s="826"/>
      <c r="D21" s="829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32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49"/>
      <c r="B22" s="852"/>
      <c r="C22" s="827"/>
      <c r="D22" s="830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33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43">
        <v>2</v>
      </c>
      <c r="B25" s="844" t="s">
        <v>157</v>
      </c>
      <c r="C25" s="804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46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36"/>
      <c r="B26" s="845"/>
      <c r="C26" s="827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47"/>
      <c r="AB26" s="418"/>
      <c r="AC26" s="418"/>
      <c r="AD26" s="419"/>
    </row>
    <row r="27" spans="1:30" s="323" customFormat="1" ht="12" customHeight="1" x14ac:dyDescent="0.25">
      <c r="A27" s="834">
        <v>3</v>
      </c>
      <c r="B27" s="837" t="s">
        <v>98</v>
      </c>
      <c r="C27" s="510"/>
      <c r="D27" s="840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35"/>
      <c r="B28" s="838"/>
      <c r="C28" s="511"/>
      <c r="D28" s="841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36"/>
      <c r="B29" s="839"/>
      <c r="C29" s="397"/>
      <c r="D29" s="842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53">
        <f>A8+1</f>
        <v>2</v>
      </c>
      <c r="B30" s="854" t="s">
        <v>152</v>
      </c>
      <c r="C30" s="857" t="s">
        <v>69</v>
      </c>
      <c r="D30" s="858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61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62"/>
      <c r="B31" s="864"/>
      <c r="C31" s="866"/>
      <c r="D31" s="868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26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62"/>
      <c r="B32" s="864"/>
      <c r="C32" s="826"/>
      <c r="D32" s="868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26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62"/>
      <c r="B33" s="864"/>
      <c r="C33" s="826"/>
      <c r="D33" s="868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26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62"/>
      <c r="B34" s="864"/>
      <c r="C34" s="826"/>
      <c r="D34" s="868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26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62"/>
      <c r="B35" s="864"/>
      <c r="C35" s="826"/>
      <c r="D35" s="868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26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62"/>
      <c r="B36" s="864"/>
      <c r="C36" s="826"/>
      <c r="D36" s="868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26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62"/>
      <c r="B37" s="864"/>
      <c r="C37" s="826"/>
      <c r="D37" s="868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26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62"/>
      <c r="B38" s="864"/>
      <c r="C38" s="826"/>
      <c r="D38" s="868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26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62"/>
      <c r="B39" s="864"/>
      <c r="C39" s="826"/>
      <c r="D39" s="868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26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62"/>
      <c r="B40" s="864"/>
      <c r="C40" s="826"/>
      <c r="D40" s="868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26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62"/>
      <c r="B41" s="864"/>
      <c r="C41" s="826"/>
      <c r="D41" s="868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26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62"/>
      <c r="B42" s="864"/>
      <c r="C42" s="826"/>
      <c r="D42" s="868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26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62"/>
      <c r="B43" s="864"/>
      <c r="C43" s="826"/>
      <c r="D43" s="868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26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62"/>
      <c r="B44" s="864"/>
      <c r="C44" s="826"/>
      <c r="D44" s="868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26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63"/>
      <c r="B45" s="865"/>
      <c r="C45" s="827"/>
      <c r="D45" s="869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53">
        <v>3</v>
      </c>
      <c r="B47" s="854" t="s">
        <v>146</v>
      </c>
      <c r="C47" s="857" t="s">
        <v>70</v>
      </c>
      <c r="D47" s="858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70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62"/>
      <c r="B48" s="864"/>
      <c r="C48" s="866"/>
      <c r="D48" s="868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71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62"/>
      <c r="B49" s="864"/>
      <c r="C49" s="866"/>
      <c r="D49" s="868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71"/>
      <c r="AB49" s="415">
        <f>Z49</f>
        <v>197627.09</v>
      </c>
      <c r="AC49" s="415"/>
      <c r="AD49" s="443"/>
    </row>
    <row r="50" spans="1:30" s="323" customFormat="1" ht="12" customHeight="1" x14ac:dyDescent="0.25">
      <c r="A50" s="862"/>
      <c r="B50" s="864"/>
      <c r="C50" s="866"/>
      <c r="D50" s="868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71"/>
      <c r="AB50" s="415"/>
      <c r="AC50" s="415"/>
      <c r="AD50" s="443"/>
    </row>
    <row r="51" spans="1:30" s="323" customFormat="1" ht="12" customHeight="1" thickBot="1" x14ac:dyDescent="0.3">
      <c r="A51" s="862"/>
      <c r="B51" s="864"/>
      <c r="C51" s="866"/>
      <c r="D51" s="868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72"/>
      <c r="AB51" s="415"/>
      <c r="AC51" s="415"/>
      <c r="AD51" s="444"/>
    </row>
    <row r="52" spans="1:30" s="323" customFormat="1" ht="12.6" customHeight="1" thickBot="1" x14ac:dyDescent="0.3">
      <c r="A52" s="863"/>
      <c r="B52" s="865"/>
      <c r="C52" s="867"/>
      <c r="D52" s="869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53">
        <v>4</v>
      </c>
      <c r="B53" s="854" t="s">
        <v>151</v>
      </c>
      <c r="C53" s="857" t="s">
        <v>71</v>
      </c>
      <c r="D53" s="858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59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35"/>
      <c r="B54" s="855"/>
      <c r="C54" s="826"/>
      <c r="D54" s="826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60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35"/>
      <c r="B55" s="855"/>
      <c r="C55" s="826"/>
      <c r="D55" s="826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60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35"/>
      <c r="B56" s="855"/>
      <c r="C56" s="826"/>
      <c r="D56" s="826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60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35"/>
      <c r="B57" s="855"/>
      <c r="C57" s="826"/>
      <c r="D57" s="826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60"/>
      <c r="AB57" s="370"/>
      <c r="AC57" s="370"/>
      <c r="AD57" s="446"/>
    </row>
    <row r="58" spans="1:30" s="323" customFormat="1" ht="13.2" customHeight="1" thickBot="1" x14ac:dyDescent="0.3">
      <c r="A58" s="836"/>
      <c r="B58" s="856"/>
      <c r="C58" s="827"/>
      <c r="D58" s="827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53">
        <v>5</v>
      </c>
      <c r="B59" s="854" t="s">
        <v>154</v>
      </c>
      <c r="C59" s="857" t="s">
        <v>72</v>
      </c>
      <c r="D59" s="858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35"/>
      <c r="B60" s="855"/>
      <c r="C60" s="826"/>
      <c r="D60" s="826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35"/>
      <c r="B61" s="855"/>
      <c r="C61" s="826"/>
      <c r="D61" s="826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35"/>
      <c r="B62" s="855"/>
      <c r="C62" s="826"/>
      <c r="D62" s="826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35"/>
      <c r="B63" s="855"/>
      <c r="C63" s="826"/>
      <c r="D63" s="826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36"/>
      <c r="B64" s="856"/>
      <c r="C64" s="827"/>
      <c r="D64" s="827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73" t="s">
        <v>181</v>
      </c>
      <c r="B2" s="873"/>
      <c r="C2" s="873"/>
      <c r="D2" s="874"/>
      <c r="E2" s="874"/>
    </row>
    <row r="3" spans="1:5" ht="15" customHeight="1" x14ac:dyDescent="0.25">
      <c r="A3" s="309"/>
      <c r="B3" s="309"/>
      <c r="C3" s="309"/>
      <c r="D3" s="822" t="s">
        <v>182</v>
      </c>
      <c r="E3" s="822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48">
        <v>1</v>
      </c>
      <c r="B5" s="851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48"/>
      <c r="B6" s="851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48"/>
      <c r="B7" s="851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48"/>
      <c r="B8" s="851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48"/>
      <c r="B9" s="851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48"/>
      <c r="B10" s="851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48"/>
      <c r="B11" s="851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48"/>
      <c r="B12" s="851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48"/>
      <c r="B13" s="851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48"/>
      <c r="B14" s="851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48"/>
      <c r="B15" s="851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48"/>
      <c r="B16" s="851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48"/>
      <c r="B17" s="851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48"/>
      <c r="B18" s="851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48"/>
      <c r="B19" s="851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62">
        <f>A5+1</f>
        <v>2</v>
      </c>
      <c r="B23" s="864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62"/>
      <c r="B24" s="864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62"/>
      <c r="B25" s="864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62"/>
      <c r="B26" s="864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62"/>
      <c r="B27" s="864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62"/>
      <c r="B28" s="864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62"/>
      <c r="B29" s="864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62"/>
      <c r="B30" s="864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62"/>
      <c r="B31" s="864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62"/>
      <c r="B32" s="864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62"/>
      <c r="B33" s="864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62"/>
      <c r="B34" s="864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62"/>
      <c r="B35" s="864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62"/>
      <c r="B36" s="864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62"/>
      <c r="B37" s="864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62"/>
      <c r="B38" s="864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62"/>
      <c r="B39" s="864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62"/>
      <c r="B40" s="864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62"/>
      <c r="B41" s="864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62"/>
      <c r="B42" s="864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53">
        <v>3</v>
      </c>
      <c r="B43" s="854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62"/>
      <c r="B44" s="864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62"/>
      <c r="B45" s="864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62"/>
      <c r="B46" s="864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63"/>
      <c r="B47" s="865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53">
        <v>4</v>
      </c>
      <c r="B48" s="854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35"/>
      <c r="B49" s="855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35"/>
      <c r="B50" s="855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35"/>
      <c r="B51" s="855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75" t="s">
        <v>6</v>
      </c>
      <c r="B1" s="875"/>
      <c r="C1" s="875"/>
      <c r="D1" s="875"/>
      <c r="E1" s="875"/>
      <c r="F1" s="875"/>
    </row>
    <row r="2" spans="1:8" s="91" customFormat="1" ht="12.75" customHeight="1" x14ac:dyDescent="0.25">
      <c r="A2" s="876"/>
      <c r="B2" s="876"/>
      <c r="C2" s="876"/>
      <c r="D2" s="876"/>
      <c r="E2" s="876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2024-11-18T09:58:46Z</cp:lastPrinted>
  <dcterms:created xsi:type="dcterms:W3CDTF">2016-07-15T13:11:41Z</dcterms:created>
  <dcterms:modified xsi:type="dcterms:W3CDTF">2024-11-21T10:51:28Z</dcterms:modified>
</cp:coreProperties>
</file>
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СВОД" sheetId="1" r:id="rId1"/>
    <sheet name="АВР травень" sheetId="4" r:id="rId2"/>
    <sheet name="Субподряд" sheetId="5" r:id="rId3"/>
  </sheets>
  <definedNames>
    <definedName name="_xlnm._FilterDatabase" localSheetId="1" hidden="1">'АВР травень'!#REF!</definedName>
    <definedName name="_xlnm._FilterDatabase" localSheetId="0" hidden="1">СВОД!$D$2:$D$44</definedName>
    <definedName name="_xlnm.Print_Area" localSheetId="1">'АВР травень'!$A$2:$N$19</definedName>
  </definedNames>
  <calcPr calcId="145621"/>
</workbook>
</file>

<file path=xl/calcChain.xml><?xml version="1.0" encoding="utf-8"?>
<calcChain xmlns="http://schemas.openxmlformats.org/spreadsheetml/2006/main">
  <c r="H7" i="1" l="1"/>
  <c r="F7" i="1"/>
  <c r="E7" i="1" s="1"/>
  <c r="J28" i="1" l="1"/>
  <c r="G28" i="1"/>
  <c r="F24" i="1"/>
  <c r="I26" i="1" l="1"/>
  <c r="F26" i="1"/>
  <c r="N18" i="4" l="1"/>
  <c r="I31" i="1" l="1"/>
  <c r="I25" i="1"/>
  <c r="I30" i="1" l="1"/>
  <c r="I37" i="1" l="1"/>
  <c r="J38" i="1"/>
  <c r="G38" i="1"/>
  <c r="D8" i="1" l="1"/>
  <c r="F8" i="1" s="1"/>
  <c r="E8" i="1" s="1"/>
  <c r="D9" i="1"/>
  <c r="D10" i="1"/>
  <c r="I10" i="1" s="1"/>
  <c r="H10" i="1" s="1"/>
  <c r="D11" i="1"/>
  <c r="D12" i="1"/>
  <c r="F12" i="1" s="1"/>
  <c r="E12" i="1" s="1"/>
  <c r="D13" i="1"/>
  <c r="F13" i="1" s="1"/>
  <c r="E13" i="1" s="1"/>
  <c r="D14" i="1"/>
  <c r="D15" i="1"/>
  <c r="F15" i="1" s="1"/>
  <c r="E15" i="1" s="1"/>
  <c r="D16" i="1"/>
  <c r="F16" i="1" s="1"/>
  <c r="E16" i="1" s="1"/>
  <c r="D17" i="1"/>
  <c r="F17" i="1" s="1"/>
  <c r="E17" i="1" s="1"/>
  <c r="D6" i="1"/>
  <c r="F6" i="1" s="1"/>
  <c r="C11" i="1"/>
  <c r="C8" i="1"/>
  <c r="C9" i="1"/>
  <c r="C12" i="1"/>
  <c r="C13" i="1"/>
  <c r="C14" i="1"/>
  <c r="C15" i="1"/>
  <c r="C16" i="1"/>
  <c r="C17" i="1"/>
  <c r="C6" i="1"/>
  <c r="B8" i="1"/>
  <c r="B9" i="1"/>
  <c r="B10" i="1"/>
  <c r="B11" i="1"/>
  <c r="B12" i="1"/>
  <c r="B13" i="1"/>
  <c r="B14" i="1"/>
  <c r="B15" i="1"/>
  <c r="B16" i="1"/>
  <c r="B17" i="1"/>
  <c r="B6" i="1"/>
  <c r="H13" i="1"/>
  <c r="H12" i="1"/>
  <c r="E10" i="1"/>
  <c r="H8" i="1"/>
  <c r="H17" i="1"/>
  <c r="H16" i="1"/>
  <c r="H15" i="1"/>
  <c r="K18" i="4"/>
  <c r="F18" i="4"/>
  <c r="D18" i="4"/>
  <c r="J17" i="4"/>
  <c r="I17" i="4"/>
  <c r="I16" i="4"/>
  <c r="J16" i="4" s="1"/>
  <c r="J15" i="4"/>
  <c r="I14" i="4"/>
  <c r="J14" i="4" s="1"/>
  <c r="F13" i="4"/>
  <c r="I13" i="4" s="1"/>
  <c r="J13" i="4" s="1"/>
  <c r="J12" i="4"/>
  <c r="I12" i="4"/>
  <c r="J11" i="4"/>
  <c r="I11" i="4"/>
  <c r="I10" i="4"/>
  <c r="J10" i="4" s="1"/>
  <c r="J9" i="4"/>
  <c r="I9" i="4"/>
  <c r="J8" i="4"/>
  <c r="I8" i="4"/>
  <c r="I7" i="4"/>
  <c r="J7" i="4" s="1"/>
  <c r="I11" i="1" l="1"/>
  <c r="F11" i="1" s="1"/>
  <c r="E11" i="1" s="1"/>
  <c r="H9" i="1"/>
  <c r="F9" i="1"/>
  <c r="E9" i="1" s="1"/>
  <c r="H14" i="1"/>
  <c r="F14" i="1"/>
  <c r="E14" i="1" s="1"/>
  <c r="J18" i="4"/>
  <c r="I18" i="4"/>
  <c r="H11" i="1" l="1"/>
  <c r="J39" i="1"/>
  <c r="I39" i="1"/>
  <c r="G39" i="1"/>
  <c r="F39" i="1"/>
  <c r="H38" i="1"/>
  <c r="E38" i="1"/>
  <c r="H37" i="1"/>
  <c r="E37" i="1"/>
  <c r="H36" i="1"/>
  <c r="E36" i="1"/>
  <c r="H35" i="1"/>
  <c r="E35" i="1"/>
  <c r="H34" i="1"/>
  <c r="E34" i="1"/>
  <c r="H33" i="1"/>
  <c r="E33" i="1"/>
  <c r="H32" i="1"/>
  <c r="E32" i="1"/>
  <c r="H31" i="1"/>
  <c r="E31" i="1"/>
  <c r="H30" i="1"/>
  <c r="E30" i="1"/>
  <c r="H29" i="1"/>
  <c r="E29" i="1"/>
  <c r="H28" i="1"/>
  <c r="E28" i="1"/>
  <c r="H27" i="1"/>
  <c r="E27" i="1"/>
  <c r="H26" i="1"/>
  <c r="E26" i="1"/>
  <c r="H25" i="1"/>
  <c r="E25" i="1"/>
  <c r="H24" i="1"/>
  <c r="E24" i="1"/>
  <c r="H6" i="1"/>
  <c r="E6" i="1"/>
  <c r="I18" i="1"/>
  <c r="G18" i="1"/>
  <c r="D33" i="1" l="1"/>
  <c r="D32" i="1"/>
  <c r="D29" i="1"/>
  <c r="D30" i="1"/>
  <c r="D24" i="1"/>
  <c r="D36" i="1"/>
  <c r="D26" i="1"/>
  <c r="K19" i="4" s="1"/>
  <c r="D28" i="1"/>
  <c r="N19" i="4" s="1"/>
  <c r="D34" i="1"/>
  <c r="D38" i="1"/>
  <c r="E39" i="1"/>
  <c r="D31" i="1"/>
  <c r="H39" i="1"/>
  <c r="D27" i="1"/>
  <c r="D25" i="1"/>
  <c r="D37" i="1"/>
  <c r="D35" i="1"/>
  <c r="G41" i="1"/>
  <c r="I41" i="1"/>
  <c r="E18" i="1"/>
  <c r="H18" i="1"/>
  <c r="E41" i="1" l="1"/>
  <c r="E45" i="1" s="1"/>
  <c r="H41" i="1"/>
  <c r="D39" i="1"/>
  <c r="K39" i="1" s="1"/>
  <c r="J18" i="1"/>
  <c r="J41" i="1" s="1"/>
  <c r="F18" i="1"/>
  <c r="F41" i="1" s="1"/>
  <c r="D18" i="1"/>
  <c r="K18" i="1" l="1"/>
  <c r="D41" i="1"/>
  <c r="K41" i="1" l="1"/>
</calcChain>
</file>

<file path=xl/sharedStrings.xml><?xml version="1.0" encoding="utf-8"?>
<sst xmlns="http://schemas.openxmlformats.org/spreadsheetml/2006/main" count="212" uniqueCount="136">
  <si>
    <t>№ АВР</t>
  </si>
  <si>
    <t>Сумма</t>
  </si>
  <si>
    <t>Май</t>
  </si>
  <si>
    <t>ИТОГО</t>
  </si>
  <si>
    <t>Затраты</t>
  </si>
  <si>
    <t>Примечания</t>
  </si>
  <si>
    <t>№</t>
  </si>
  <si>
    <t>Строительные материалы</t>
  </si>
  <si>
    <t>Оплата за выполненные работы</t>
  </si>
  <si>
    <t>Строит. мат-лы (потеряны)</t>
  </si>
  <si>
    <t>Аренда техники</t>
  </si>
  <si>
    <t>Аренда сторонней техники</t>
  </si>
  <si>
    <t>Аренда опалубки</t>
  </si>
  <si>
    <t>ЗП ИТР</t>
  </si>
  <si>
    <t>ЗП РМ</t>
  </si>
  <si>
    <t>Комиссия Фин. (13%)</t>
  </si>
  <si>
    <t>Аренда квартиры+коммун</t>
  </si>
  <si>
    <t>ЗП подсобников</t>
  </si>
  <si>
    <t>Услуги сторонних организаций</t>
  </si>
  <si>
    <t>Транспортные затраты</t>
  </si>
  <si>
    <t>Суточные</t>
  </si>
  <si>
    <t>ф1</t>
  </si>
  <si>
    <t>ф2</t>
  </si>
  <si>
    <t>Сумма, грн</t>
  </si>
  <si>
    <t>ГСМ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</si>
  <si>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"Нове будівництво виробничого комплексу центру передових технологій в
с.Крушинка, Фастівського району, Київської області"</t>
    </r>
  </si>
  <si>
    <t>Найменування договірної ціни</t>
  </si>
  <si>
    <t>Договірна ціна</t>
  </si>
  <si>
    <t>№, період, статус 2023 р.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</si>
  <si>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</si>
  <si>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</si>
  <si>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</si>
  <si>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</si>
  <si>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</si>
  <si>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статус</t>
  </si>
  <si>
    <t>всього</t>
  </si>
  <si>
    <t>робота</t>
  </si>
  <si>
    <t>мат-ли</t>
  </si>
  <si>
    <t xml:space="preserve">Земляні роботи </t>
  </si>
  <si>
    <t>№1</t>
  </si>
  <si>
    <t>готується документація</t>
  </si>
  <si>
    <t>Конструкції залізобетонні</t>
  </si>
  <si>
    <t>тн замовника</t>
  </si>
  <si>
    <t>стіни підвалу</t>
  </si>
  <si>
    <t>17травня</t>
  </si>
  <si>
    <t>гідроізоляція ст.фундаментів</t>
  </si>
  <si>
    <t>Гідроізоляція котловану</t>
  </si>
  <si>
    <t>№ F-20231127-1</t>
  </si>
  <si>
    <t>Водозниження</t>
  </si>
  <si>
    <t>№2</t>
  </si>
  <si>
    <t>оригінал на підпис у замовника</t>
  </si>
  <si>
    <t>водозниження</t>
  </si>
  <si>
    <t>Каналізація (в плиті)</t>
  </si>
  <si>
    <t>№3</t>
  </si>
  <si>
    <t>каналізація в плиті</t>
  </si>
  <si>
    <t>8</t>
  </si>
  <si>
    <t>Зворотня засипка піском</t>
  </si>
  <si>
    <t>№7</t>
  </si>
  <si>
    <t>17 травня</t>
  </si>
  <si>
    <t>зворотня засипка піском</t>
  </si>
  <si>
    <t>9</t>
  </si>
  <si>
    <t>Водозниження (ВУХО)</t>
  </si>
  <si>
    <t>№8</t>
  </si>
  <si>
    <t>водозниження (вухо)</t>
  </si>
  <si>
    <t>10</t>
  </si>
  <si>
    <t>Армування підбетонки; Двері; Бентонітовий шнур</t>
  </si>
  <si>
    <t>№9</t>
  </si>
  <si>
    <t>кошторисник замовника</t>
  </si>
  <si>
    <t>бентонвтовий шнур</t>
  </si>
  <si>
    <t>Гідрошпонка</t>
  </si>
  <si>
    <t>ДУ№2</t>
  </si>
  <si>
    <t>гідрошпонка</t>
  </si>
  <si>
    <t>ВСЬОГО:</t>
  </si>
  <si>
    <t>ДНІПРО АКВАБУД ІНВЕСТ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</si>
  <si>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</si>
  <si>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</si>
  <si>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</si>
  <si>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</si>
  <si>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</si>
  <si>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</si>
  <si>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</si>
  <si>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</si>
  <si>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</si>
  <si>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</si>
  <si>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</si>
  <si>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</si>
  <si>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Відповідальний</t>
  </si>
  <si>
    <t>Коментар</t>
  </si>
  <si>
    <t>30.11.2023 19:00:00</t>
  </si>
  <si>
    <t>ІБ00-001841</t>
  </si>
  <si>
    <t>Покупка, комісія</t>
  </si>
  <si>
    <t>грн</t>
  </si>
  <si>
    <t>Крушинка</t>
  </si>
  <si>
    <t>30.11.2023</t>
  </si>
  <si>
    <t>Акт 1</t>
  </si>
  <si>
    <t>Договір №12/09 від 12.09.2023 Крушинка</t>
  </si>
  <si>
    <t>Рахунок на оплату постачальника ІБ00-000432 от 15.09.2023 18:08:03</t>
  </si>
  <si>
    <t>Хлань Елена</t>
  </si>
  <si>
    <t>ІБ00-001842</t>
  </si>
  <si>
    <t>Акт 2</t>
  </si>
  <si>
    <t>АКТ 2</t>
  </si>
  <si>
    <t>ІБ00-001843</t>
  </si>
  <si>
    <t>Акт 3</t>
  </si>
  <si>
    <t>25.12.2023 10:36:50</t>
  </si>
  <si>
    <t>ІБ00-002154</t>
  </si>
  <si>
    <t>25.12.2023</t>
  </si>
  <si>
    <t>Акт 4</t>
  </si>
  <si>
    <t>26.01.2024 17:45:29</t>
  </si>
  <si>
    <t>ІБ00-000281</t>
  </si>
  <si>
    <t>26.01.2024</t>
  </si>
  <si>
    <t>Акт 5</t>
  </si>
  <si>
    <t>Дог№12/09 від 12.09.23 ДУ1_661 044,29_Крушинка</t>
  </si>
  <si>
    <t>Рахунок на оплату постачальника ІБ00-000314 от 26.01.2024 17:45:34</t>
  </si>
  <si>
    <t>Шостак Жанета</t>
  </si>
  <si>
    <t>28.02.2024 17:11:38</t>
  </si>
  <si>
    <t>ІБ00-000725</t>
  </si>
  <si>
    <t>28.02.2024</t>
  </si>
  <si>
    <t>Акт 6</t>
  </si>
  <si>
    <t>29.03.2024 22:00:02</t>
  </si>
  <si>
    <t>ІБ00-001324</t>
  </si>
  <si>
    <t>29.03.2024</t>
  </si>
  <si>
    <t>Акт 7</t>
  </si>
  <si>
    <t>* с начислениями и удержаниями</t>
  </si>
  <si>
    <t>* бензоинструмент + ГСМ РМ и ИТР</t>
  </si>
  <si>
    <t>Доходы - акты выполненных работ</t>
  </si>
  <si>
    <t>Апрель (закроются в мае)</t>
  </si>
  <si>
    <t>* доставка опалубки и прочие транспортные</t>
  </si>
  <si>
    <t>бетонирование стен 3я захватка</t>
  </si>
  <si>
    <t>бц</t>
  </si>
  <si>
    <t>РАБОТЫ</t>
  </si>
  <si>
    <t>*щебень</t>
  </si>
  <si>
    <t>Розробка котловану ВУХО. Зворотня засипка 10-19</t>
  </si>
  <si>
    <t>PL Апрель 24</t>
  </si>
  <si>
    <t>МАРЖА (План)</t>
  </si>
  <si>
    <t>МАРЖА итог</t>
  </si>
  <si>
    <t xml:space="preserve">Зворотня засипка 10-19 съёмка №2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</si>
</sst>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₴_-;\-* #,##0.00_₴_-;_-* &quot;-&quot;??_₴_-;_-@_-"/>
    <numFmt numFmtId="164" formatCode="#,##0.00\ _₴"/>
    <numFmt numFmtId="165" formatCode="_-* #,##0.00\ _₴_-;\-* #,##0.00\ _₴_-;_-* &quot;-&quot;??\ _₴_-;_-@_-"/>
    <numFmt numFmtId="166" formatCode="_-* #,##0.00\ _₽_-;\-* #,##0.00\ _₽_-;_-* &quot;-&quot;??\ _₽_-;_-@_-"/>
    <numFmt numFmtId="167" formatCode="_-* #,##0\ _₽_-;\-* #,##0\ _₽_-;_-* &quot;-&quot;??\ _₽_-;_-@_-"/>
    <numFmt numFmtId="168" formatCode="#,##0_ ;\-#,##0\ "/>
    <numFmt numFmtId="169" formatCode="_-* #,##0\ _₴_-;\-* #,##0\ _₴_-;_-* &quot;-&quot;??\ _₴_-;_-@_-"/>
    <numFmt numFmtId="170" formatCode="_-* #,##0.00_р_._-;\-* #,##0.00_р_._-;_-* &quot;-&quot;??_р_._-;_-@_-"/>
    <numFmt numFmtId="171" formatCode="_-* #,##0.00\ _г_р_н_._-;\-* #,##0.00\ _г_р_н_._-;_-* &quot;-&quot;??\ _г_р_н_.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1"/>
      <color rgb="FF7030A0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auto="1"/>
      </left>
      <right/>
      <top/>
      <bottom/>
      <diagonal/>
    </border>
  </borders>
  <cellStyleXfs count="3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1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18" fillId="0" borderId="0"/>
    <xf numFmtId="0" fontId="2" fillId="0" borderId="0"/>
    <xf numFmtId="0" fontId="18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11" fillId="0" borderId="0" applyFont="0" applyFill="0" applyBorder="0" applyAlignment="0" applyProtection="0"/>
    <xf numFmtId="171" fontId="19" fillId="0" borderId="0" applyFont="0" applyFill="0" applyBorder="0" applyAlignment="0" applyProtection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4" fillId="0" borderId="0" xfId="0" applyFont="1"/>
    <xf numFmtId="0" fontId="3" fillId="0" borderId="0" xfId="0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3" fillId="0" borderId="12" xfId="0" applyNumberFormat="1" applyFont="1" applyBorder="1" applyAlignment="1">
      <alignment horizontal="center" vertical="center"/>
    </xf>
    <xf numFmtId="4" fontId="3" fillId="0" borderId="13" xfId="0" applyNumberFormat="1" applyFon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34" xfId="0" applyBorder="1" applyAlignment="1">
      <alignment horizontal="center" vertical="center"/>
    </xf>
    <xf numFmtId="0" fontId="0" fillId="0" borderId="22" xfId="0" applyBorder="1"/>
    <xf numFmtId="0" fontId="0" fillId="0" borderId="7" xfId="0" applyBorder="1"/>
    <xf numFmtId="4" fontId="0" fillId="0" borderId="39" xfId="0" applyNumberFormat="1" applyBorder="1" applyAlignment="1">
      <alignment horizontal="center" vertical="center"/>
    </xf>
    <xf numFmtId="4" fontId="3" fillId="0" borderId="35" xfId="0" applyNumberFormat="1" applyFont="1" applyBorder="1" applyAlignment="1">
      <alignment horizontal="center" vertical="center"/>
    </xf>
    <xf numFmtId="4" fontId="3" fillId="0" borderId="4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1" applyFont="1"/>
    <xf numFmtId="43" fontId="7" fillId="2" borderId="0" xfId="2" applyFont="1" applyFill="1" applyAlignment="1">
      <alignment horizontal="center"/>
    </xf>
    <xf numFmtId="164" fontId="7" fillId="2" borderId="0" xfId="2" applyNumberFormat="1" applyFont="1" applyFill="1" applyAlignment="1">
      <alignment horizontal="center"/>
    </xf>
    <xf numFmtId="164" fontId="7" fillId="2" borderId="0" xfId="1" applyNumberFormat="1" applyFont="1" applyFill="1"/>
    <xf numFmtId="0" fontId="8" fillId="0" borderId="0" xfId="1" applyFont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164" fontId="8" fillId="0" borderId="42" xfId="1" applyNumberFormat="1" applyFont="1" applyBorder="1" applyAlignment="1">
      <alignment horizontal="center" vertical="center"/>
    </xf>
    <xf numFmtId="164" fontId="8" fillId="2" borderId="42" xfId="1" applyNumberFormat="1" applyFont="1" applyFill="1" applyBorder="1" applyAlignment="1">
      <alignment horizontal="center" vertical="center"/>
    </xf>
    <xf numFmtId="0" fontId="7" fillId="0" borderId="42" xfId="1" applyFont="1" applyBorder="1"/>
    <xf numFmtId="43" fontId="8" fillId="2" borderId="47" xfId="2" applyFont="1" applyFill="1" applyBorder="1" applyAlignment="1">
      <alignment horizontal="center" vertical="center" wrapText="1"/>
    </xf>
    <xf numFmtId="164" fontId="8" fillId="2" borderId="47" xfId="2" applyNumberFormat="1" applyFont="1" applyFill="1" applyBorder="1" applyAlignment="1">
      <alignment horizontal="center" vertical="center" wrapText="1"/>
    </xf>
    <xf numFmtId="0" fontId="8" fillId="2" borderId="47" xfId="1" applyFont="1" applyFill="1" applyBorder="1" applyAlignment="1">
      <alignment horizontal="center" vertical="center"/>
    </xf>
    <xf numFmtId="17" fontId="8" fillId="2" borderId="47" xfId="4" applyNumberFormat="1" applyFont="1" applyFill="1" applyBorder="1" applyAlignment="1">
      <alignment horizontal="center" vertical="center"/>
    </xf>
    <xf numFmtId="17" fontId="8" fillId="2" borderId="4" xfId="4" applyNumberFormat="1" applyFont="1" applyFill="1" applyBorder="1" applyAlignment="1">
      <alignment horizontal="center" vertical="center"/>
    </xf>
    <xf numFmtId="0" fontId="13" fillId="3" borderId="46" xfId="1" applyFont="1" applyFill="1" applyBorder="1" applyAlignment="1">
      <alignment horizontal="left" vertical="center" wrapText="1"/>
    </xf>
    <xf numFmtId="0" fontId="13" fillId="3" borderId="46" xfId="1" applyFont="1" applyFill="1" applyBorder="1" applyAlignment="1">
      <alignment horizontal="center" vertical="center" wrapText="1"/>
    </xf>
    <xf numFmtId="165" fontId="13" fillId="3" borderId="46" xfId="1" applyNumberFormat="1" applyFont="1" applyFill="1" applyBorder="1" applyAlignment="1">
      <alignment horizontal="center" vertical="center"/>
    </xf>
    <xf numFmtId="1" fontId="14" fillId="3" borderId="46" xfId="1" applyNumberFormat="1" applyFont="1" applyFill="1" applyBorder="1" applyAlignment="1">
      <alignment horizontal="center" vertical="center"/>
    </xf>
    <xf numFmtId="166" fontId="15" fillId="3" borderId="46" xfId="1" applyNumberFormat="1" applyFont="1" applyFill="1" applyBorder="1"/>
    <xf numFmtId="167" fontId="15" fillId="3" borderId="46" xfId="1" applyNumberFormat="1" applyFont="1" applyFill="1" applyBorder="1"/>
    <xf numFmtId="0" fontId="7" fillId="3" borderId="46" xfId="1" applyFont="1" applyFill="1" applyBorder="1" applyAlignment="1">
      <alignment horizontal="center" vertical="center"/>
    </xf>
    <xf numFmtId="0" fontId="11" fillId="3" borderId="46" xfId="3" applyFill="1" applyBorder="1" applyAlignment="1">
      <alignment horizontal="center" vertical="center"/>
    </xf>
    <xf numFmtId="165" fontId="14" fillId="3" borderId="46" xfId="1" applyNumberFormat="1" applyFont="1" applyFill="1" applyBorder="1" applyAlignment="1">
      <alignment horizontal="center" vertical="center"/>
    </xf>
    <xf numFmtId="168" fontId="14" fillId="3" borderId="46" xfId="1" applyNumberFormat="1" applyFont="1" applyFill="1" applyBorder="1" applyAlignment="1">
      <alignment horizontal="center" vertical="center"/>
    </xf>
    <xf numFmtId="16" fontId="14" fillId="0" borderId="48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16" fontId="14" fillId="0" borderId="49" xfId="1" applyNumberFormat="1" applyFont="1" applyBorder="1" applyAlignment="1">
      <alignment horizontal="center" vertical="center"/>
    </xf>
    <xf numFmtId="166" fontId="7" fillId="3" borderId="1" xfId="1" applyNumberFormat="1" applyFont="1" applyFill="1" applyBorder="1" applyAlignment="1">
      <alignment horizontal="center" vertical="center"/>
    </xf>
    <xf numFmtId="165" fontId="13" fillId="3" borderId="40" xfId="1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/>
    </xf>
    <xf numFmtId="16" fontId="7" fillId="0" borderId="50" xfId="1" applyNumberFormat="1" applyFont="1" applyBorder="1" applyAlignment="1">
      <alignment horizontal="center" vertical="center"/>
    </xf>
    <xf numFmtId="166" fontId="7" fillId="3" borderId="46" xfId="1" applyNumberFormat="1" applyFont="1" applyFill="1" applyBorder="1" applyAlignment="1">
      <alignment horizontal="center" vertical="center"/>
    </xf>
    <xf numFmtId="165" fontId="13" fillId="3" borderId="46" xfId="1" applyNumberFormat="1" applyFont="1" applyFill="1" applyBorder="1" applyAlignment="1">
      <alignment vertical="center"/>
    </xf>
    <xf numFmtId="169" fontId="14" fillId="3" borderId="46" xfId="1" applyNumberFormat="1" applyFont="1" applyFill="1" applyBorder="1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49" fontId="7" fillId="3" borderId="46" xfId="1" applyNumberFormat="1" applyFont="1" applyFill="1" applyBorder="1" applyAlignment="1">
      <alignment horizontal="center" vertical="center"/>
    </xf>
    <xf numFmtId="165" fontId="7" fillId="3" borderId="46" xfId="1" applyNumberFormat="1" applyFont="1" applyFill="1" applyBorder="1" applyAlignment="1">
      <alignment horizontal="center" vertical="center"/>
    </xf>
    <xf numFmtId="166" fontId="14" fillId="3" borderId="46" xfId="1" applyNumberFormat="1" applyFont="1" applyFill="1" applyBorder="1" applyAlignment="1">
      <alignment vertical="center"/>
    </xf>
    <xf numFmtId="0" fontId="7" fillId="0" borderId="50" xfId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8" fillId="0" borderId="38" xfId="1" applyFont="1" applyBorder="1" applyAlignment="1">
      <alignment vertical="center"/>
    </xf>
    <xf numFmtId="0" fontId="8" fillId="0" borderId="25" xfId="1" applyFont="1" applyBorder="1" applyAlignment="1">
      <alignment vertical="center"/>
    </xf>
    <xf numFmtId="43" fontId="8" fillId="0" borderId="26" xfId="2" applyFont="1" applyFill="1" applyBorder="1" applyAlignment="1">
      <alignment vertical="center"/>
    </xf>
    <xf numFmtId="164" fontId="9" fillId="0" borderId="27" xfId="2" applyNumberFormat="1" applyFont="1" applyFill="1" applyBorder="1" applyAlignment="1">
      <alignment vertical="center"/>
    </xf>
    <xf numFmtId="164" fontId="8" fillId="0" borderId="27" xfId="2" applyNumberFormat="1" applyFont="1" applyFill="1" applyBorder="1" applyAlignment="1">
      <alignment vertical="center"/>
    </xf>
    <xf numFmtId="0" fontId="8" fillId="0" borderId="6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2" borderId="0" xfId="1" applyFont="1" applyFill="1" applyAlignment="1">
      <alignment vertical="center"/>
    </xf>
    <xf numFmtId="43" fontId="8" fillId="2" borderId="0" xfId="2" applyFont="1" applyFill="1" applyBorder="1" applyAlignment="1">
      <alignment vertical="center"/>
    </xf>
    <xf numFmtId="164" fontId="9" fillId="2" borderId="0" xfId="2" applyNumberFormat="1" applyFont="1" applyFill="1" applyBorder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164" fontId="8" fillId="0" borderId="0" xfId="2" applyNumberFormat="1" applyFont="1" applyFill="1" applyBorder="1" applyAlignment="1">
      <alignment vertical="center"/>
    </xf>
    <xf numFmtId="0" fontId="7" fillId="2" borderId="0" xfId="1" applyFont="1" applyFill="1"/>
    <xf numFmtId="164" fontId="7" fillId="2" borderId="0" xfId="2" applyNumberFormat="1" applyFont="1" applyFill="1" applyBorder="1" applyAlignment="1">
      <alignment horizontal="center"/>
    </xf>
    <xf numFmtId="164" fontId="7" fillId="0" borderId="0" xfId="1" applyNumberFormat="1" applyFont="1"/>
    <xf numFmtId="166" fontId="14" fillId="0" borderId="0" xfId="1" applyNumberFormat="1" applyFont="1"/>
    <xf numFmtId="166" fontId="7" fillId="0" borderId="0" xfId="1" applyNumberFormat="1" applyFont="1"/>
    <xf numFmtId="43" fontId="7" fillId="0" borderId="0" xfId="2" applyFont="1" applyFill="1" applyAlignment="1">
      <alignment horizontal="center"/>
    </xf>
    <xf numFmtId="164" fontId="7" fillId="0" borderId="0" xfId="2" applyNumberFormat="1" applyFont="1" applyFill="1" applyAlignment="1">
      <alignment horizontal="center"/>
    </xf>
    <xf numFmtId="166" fontId="13" fillId="3" borderId="46" xfId="1" applyNumberFormat="1" applyFont="1" applyFill="1" applyBorder="1"/>
    <xf numFmtId="165" fontId="13" fillId="5" borderId="46" xfId="1" applyNumberFormat="1" applyFont="1" applyFill="1" applyBorder="1" applyAlignment="1">
      <alignment horizontal="center" vertical="center"/>
    </xf>
    <xf numFmtId="166" fontId="13" fillId="3" borderId="46" xfId="1" applyNumberFormat="1" applyFont="1" applyFill="1" applyBorder="1" applyAlignment="1">
      <alignment vertical="center"/>
    </xf>
    <xf numFmtId="166" fontId="13" fillId="5" borderId="46" xfId="1" applyNumberFormat="1" applyFont="1" applyFill="1" applyBorder="1" applyAlignment="1">
      <alignment vertical="center"/>
    </xf>
    <xf numFmtId="1" fontId="0" fillId="0" borderId="31" xfId="0" applyNumberFormat="1" applyBorder="1" applyAlignment="1">
      <alignment horizontal="center" vertical="center"/>
    </xf>
    <xf numFmtId="4" fontId="20" fillId="0" borderId="0" xfId="0" applyNumberFormat="1" applyFont="1" applyBorder="1" applyAlignment="1">
      <alignment horizontal="center" vertical="center"/>
    </xf>
    <xf numFmtId="165" fontId="14" fillId="5" borderId="46" xfId="1" applyNumberFormat="1" applyFont="1" applyFill="1" applyBorder="1" applyAlignment="1">
      <alignment horizontal="center" vertical="center"/>
    </xf>
    <xf numFmtId="0" fontId="22" fillId="6" borderId="51" xfId="24" applyNumberFormat="1" applyFont="1" applyFill="1" applyBorder="1" applyAlignment="1">
      <alignment horizontal="left" vertical="top"/>
    </xf>
    <xf numFmtId="0" fontId="23" fillId="6" borderId="51" xfId="24" applyNumberFormat="1" applyFont="1" applyFill="1" applyBorder="1" applyAlignment="1">
      <alignment horizontal="left" vertical="top"/>
    </xf>
    <xf numFmtId="4" fontId="23" fillId="6" borderId="51" xfId="24" applyNumberFormat="1" applyFont="1" applyFill="1" applyBorder="1" applyAlignment="1">
      <alignment horizontal="right" vertical="top"/>
    </xf>
    <xf numFmtId="4" fontId="0" fillId="0" borderId="0" xfId="0" applyNumberFormat="1" applyBorder="1" applyAlignment="1">
      <alignment horizontal="left" vertical="center"/>
    </xf>
    <xf numFmtId="0" fontId="0" fillId="0" borderId="9" xfId="0" applyFill="1" applyBorder="1"/>
    <xf numFmtId="4" fontId="0" fillId="0" borderId="15" xfId="0" applyNumberFormat="1" applyFill="1" applyBorder="1" applyAlignment="1">
      <alignment horizontal="center" vertical="center"/>
    </xf>
    <xf numFmtId="4" fontId="0" fillId="0" borderId="2" xfId="0" applyNumberFormat="1" applyFill="1" applyBorder="1" applyAlignment="1">
      <alignment horizontal="center" vertical="center"/>
    </xf>
    <xf numFmtId="4" fontId="0" fillId="0" borderId="9" xfId="0" applyNumberFormat="1" applyFill="1" applyBorder="1" applyAlignment="1">
      <alignment horizontal="center" vertical="center"/>
    </xf>
    <xf numFmtId="0" fontId="0" fillId="0" borderId="18" xfId="0" applyFill="1" applyBorder="1"/>
    <xf numFmtId="4" fontId="0" fillId="0" borderId="16" xfId="0" applyNumberFormat="1" applyFill="1" applyBorder="1" applyAlignment="1">
      <alignment horizontal="center" vertical="center"/>
    </xf>
    <xf numFmtId="4" fontId="0" fillId="0" borderId="17" xfId="0" applyNumberFormat="1" applyFill="1" applyBorder="1" applyAlignment="1">
      <alignment horizontal="center" vertical="center"/>
    </xf>
    <xf numFmtId="4" fontId="0" fillId="0" borderId="18" xfId="0" applyNumberFormat="1" applyFill="1" applyBorder="1" applyAlignment="1">
      <alignment horizontal="center" vertical="center"/>
    </xf>
    <xf numFmtId="4" fontId="7" fillId="0" borderId="0" xfId="1" applyNumberFormat="1" applyFont="1"/>
    <xf numFmtId="4" fontId="7" fillId="0" borderId="0" xfId="1" applyNumberFormat="1" applyFont="1" applyAlignment="1">
      <alignment horizontal="center" vertical="center"/>
    </xf>
    <xf numFmtId="4" fontId="7" fillId="4" borderId="0" xfId="1" applyNumberFormat="1" applyFont="1" applyFill="1" applyAlignment="1">
      <alignment horizontal="center" vertical="center"/>
    </xf>
    <xf numFmtId="4" fontId="8" fillId="0" borderId="0" xfId="1" applyNumberFormat="1" applyFont="1" applyAlignment="1">
      <alignment horizontal="center" vertical="center"/>
    </xf>
    <xf numFmtId="0" fontId="0" fillId="7" borderId="9" xfId="0" applyFill="1" applyBorder="1"/>
    <xf numFmtId="4" fontId="0" fillId="7" borderId="15" xfId="0" applyNumberFormat="1" applyFill="1" applyBorder="1" applyAlignment="1">
      <alignment horizontal="center" vertical="center"/>
    </xf>
    <xf numFmtId="4" fontId="0" fillId="7" borderId="2" xfId="0" applyNumberFormat="1" applyFill="1" applyBorder="1" applyAlignment="1">
      <alignment horizontal="center" vertical="center"/>
    </xf>
    <xf numFmtId="4" fontId="0" fillId="7" borderId="9" xfId="0" applyNumberForma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7" fillId="0" borderId="32" xfId="1" applyFont="1" applyBorder="1" applyAlignment="1">
      <alignment horizontal="center"/>
    </xf>
    <xf numFmtId="0" fontId="7" fillId="0" borderId="33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43" fontId="8" fillId="2" borderId="46" xfId="2" applyFont="1" applyFill="1" applyBorder="1" applyAlignment="1">
      <alignment horizontal="center" vertical="center" wrapText="1"/>
    </xf>
    <xf numFmtId="0" fontId="11" fillId="0" borderId="46" xfId="3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10" fillId="0" borderId="43" xfId="1" applyFont="1" applyBorder="1" applyAlignment="1">
      <alignment horizontal="center" vertical="center" wrapText="1"/>
    </xf>
    <xf numFmtId="0" fontId="10" fillId="0" borderId="46" xfId="1" applyFont="1" applyBorder="1" applyAlignment="1">
      <alignment horizontal="center" vertical="center" wrapText="1"/>
    </xf>
    <xf numFmtId="0" fontId="10" fillId="0" borderId="47" xfId="1" applyFont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0" fontId="8" fillId="0" borderId="47" xfId="1" applyFont="1" applyBorder="1" applyAlignment="1">
      <alignment horizontal="center" vertical="center"/>
    </xf>
    <xf numFmtId="43" fontId="8" fillId="2" borderId="44" xfId="2" applyFont="1" applyFill="1" applyBorder="1" applyAlignment="1">
      <alignment horizontal="center" vertical="center" wrapText="1"/>
    </xf>
    <xf numFmtId="43" fontId="8" fillId="2" borderId="7" xfId="2" applyFont="1" applyFill="1" applyBorder="1" applyAlignment="1">
      <alignment horizontal="center" vertical="center" wrapText="1"/>
    </xf>
    <xf numFmtId="43" fontId="8" fillId="2" borderId="45" xfId="2" applyFont="1" applyFill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2" fillId="0" borderId="45" xfId="3" applyFont="1" applyBorder="1" applyAlignment="1">
      <alignment horizontal="center" vertical="center"/>
    </xf>
    <xf numFmtId="4" fontId="8" fillId="0" borderId="0" xfId="1" applyNumberFormat="1" applyFont="1" applyAlignment="1">
      <alignment vertical="center"/>
    </xf>
    <xf numFmtId="0" fontId="0" fillId="0" borderId="52" xfId="0" applyBorder="1"/>
    <xf numFmtId="4" fontId="0" fillId="0" borderId="52" xfId="0" applyNumberFormat="1" applyBorder="1"/>
    <xf numFmtId="4" fontId="24" fillId="0" borderId="6" xfId="0" applyNumberFormat="1" applyFont="1" applyBorder="1" applyAlignment="1">
      <alignment horizontal="center" vertical="center"/>
    </xf>
    <xf numFmtId="0" fontId="0" fillId="0" borderId="0" xfId="0"/>
    <xf numFmtId="4" fontId="0" fillId="0" borderId="1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</cellXfs>
  <cellStyles count="39">
    <cellStyle name="TableStyleLight1 2" xfId="5"/>
    <cellStyle name="Обычный" xfId="0" builtinId="0"/>
    <cellStyle name="Обычный 13" xfId="6"/>
    <cellStyle name="Обычный 13 2" xfId="7"/>
    <cellStyle name="Обычный 13 2 2" xfId="8"/>
    <cellStyle name="Обычный 13 2 2 2" xfId="4"/>
    <cellStyle name="Обычный 13 2 2 2 2" xfId="27"/>
    <cellStyle name="Обычный 13 2 2 3" xfId="30"/>
    <cellStyle name="Обычный 13 2 3" xfId="29"/>
    <cellStyle name="Обычный 13 3" xfId="9"/>
    <cellStyle name="Обычный 13 3 2" xfId="1"/>
    <cellStyle name="Обычный 13 3 2 2" xfId="25"/>
    <cellStyle name="Обычный 13 3 3" xfId="31"/>
    <cellStyle name="Обычный 13 4" xfId="28"/>
    <cellStyle name="Обычный 2" xfId="3"/>
    <cellStyle name="Обычный 2 2" xfId="10"/>
    <cellStyle name="Обычный 3" xfId="11"/>
    <cellStyle name="Обычный 3 2" xfId="12"/>
    <cellStyle name="Обычный 4" xfId="13"/>
    <cellStyle name="Обычный 4 2" xfId="32"/>
    <cellStyle name="Обычный 5" xfId="14"/>
    <cellStyle name="Обычный 5 2" xfId="15"/>
    <cellStyle name="Обычный 6" xfId="16"/>
    <cellStyle name="Обычный 6 2" xfId="33"/>
    <cellStyle name="Обычный_Лист1" xfId="24"/>
    <cellStyle name="Финансовый 2" xfId="17"/>
    <cellStyle name="Финансовый 2 2" xfId="18"/>
    <cellStyle name="Финансовый 2 2 2" xfId="19"/>
    <cellStyle name="Финансовый 2 2 2 2" xfId="20"/>
    <cellStyle name="Финансовый 2 2 2 2 2" xfId="37"/>
    <cellStyle name="Финансовый 2 2 2 3" xfId="36"/>
    <cellStyle name="Финансовый 2 2 3" xfId="35"/>
    <cellStyle name="Финансовый 2 3" xfId="21"/>
    <cellStyle name="Финансовый 2 3 2" xfId="2"/>
    <cellStyle name="Финансовый 2 3 2 2" xfId="26"/>
    <cellStyle name="Финансовый 2 3 3" xfId="38"/>
    <cellStyle name="Финансовый 2 4" xfId="34"/>
    <cellStyle name="Финансовый 3" xfId="22"/>
    <cellStyle name="Финансовый 4" xf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5"/>
  <sheetViews>
    <sheetView tabSelected="1" workbookViewId="0">
      <selection activeCell="E45" sqref="E45"/>
    </sheetView>
  </sheetViews>
  <sheetFormatPr defaultRowHeight="14.4" outlineLevelRow="1" outlineLevelCol="1" x14ac:dyDescent="0.3"/>
  <cols>
    <col min="1" max="1" width="3.6640625" customWidth="1"/>
    <col min="2" max="2" width="5" customWidth="1"/>
    <col min="3" max="3" width="45.77734375" bestFit="1" customWidth="1"/>
    <col min="4" max="4" width="13.109375" hidden="1" customWidth="1"/>
    <col min="5" max="5" width="28" customWidth="1"/>
    <col min="6" max="10" width="12.33203125" hidden="1" customWidth="1" outlineLevel="1"/>
    <col min="11" max="11" width="7.33203125" hidden="1" customWidth="1" outlineLevel="1"/>
    <col min="12" max="12" width="9.88671875" bestFit="1" customWidth="1" collapsed="1"/>
  </cols>
  <sheetData>
    <row r="2" spans="2:13" ht="21.6" thickBot="1" x14ac:dyDescent="0.45">
      <c r="B2" s="1" t="s">
        <v>124</v>
      </c>
    </row>
    <row r="3" spans="2:13" ht="14.4" customHeight="1" thickBot="1" x14ac:dyDescent="0.35">
      <c r="B3" s="135" t="s">
        <v>0</v>
      </c>
      <c r="C3" s="132" t="s">
        <v>5</v>
      </c>
      <c r="D3" s="129" t="s">
        <v>1</v>
      </c>
      <c r="E3" s="124" t="s">
        <v>23</v>
      </c>
      <c r="F3" s="125"/>
      <c r="G3" s="125"/>
      <c r="H3" s="125"/>
      <c r="I3" s="125"/>
      <c r="J3" s="126"/>
      <c r="K3" s="2"/>
      <c r="L3" s="169"/>
    </row>
    <row r="4" spans="2:13" ht="15" thickBot="1" x14ac:dyDescent="0.35">
      <c r="B4" s="136"/>
      <c r="C4" s="133"/>
      <c r="D4" s="130"/>
      <c r="E4" s="144" t="s">
        <v>125</v>
      </c>
      <c r="F4" s="145"/>
      <c r="G4" s="147"/>
      <c r="H4" s="144" t="s">
        <v>2</v>
      </c>
      <c r="I4" s="145"/>
      <c r="J4" s="146"/>
      <c r="K4" s="2"/>
      <c r="L4" s="169"/>
    </row>
    <row r="5" spans="2:13" ht="15" thickBot="1" x14ac:dyDescent="0.35">
      <c r="B5" s="137"/>
      <c r="C5" s="134"/>
      <c r="D5" s="131"/>
      <c r="E5" s="21" t="s">
        <v>1</v>
      </c>
      <c r="F5" s="19" t="s">
        <v>21</v>
      </c>
      <c r="G5" s="122" t="s">
        <v>22</v>
      </c>
      <c r="H5" s="21" t="s">
        <v>1</v>
      </c>
      <c r="I5" s="19" t="s">
        <v>21</v>
      </c>
      <c r="J5" s="123" t="s">
        <v>22</v>
      </c>
      <c r="K5" s="2"/>
      <c r="L5" s="169"/>
    </row>
    <row r="6" spans="2:13" hidden="1" outlineLevel="1" x14ac:dyDescent="0.3">
      <c r="B6" s="99">
        <f>'АВР травень'!E7</f>
        <v>12</v>
      </c>
      <c r="C6" s="29" t="str">
        <f>'АВР травень'!M7</f>
        <v>Розробка котловану ВУХО. Зворотня засипка 10-19</v>
      </c>
      <c r="D6" s="30">
        <f>'АВР травень'!I7</f>
        <v>1266503.02</v>
      </c>
      <c r="E6" s="15">
        <f t="shared" ref="E6:E15" si="0">SUM(F6:G6)</f>
        <v>1266503.02</v>
      </c>
      <c r="F6" s="16">
        <f>D6</f>
        <v>1266503.02</v>
      </c>
      <c r="G6" s="14"/>
      <c r="H6" s="15">
        <f t="shared" ref="H6:H15" si="1">SUM(I6:J6)</f>
        <v>0</v>
      </c>
      <c r="I6" s="16"/>
      <c r="J6" s="17"/>
      <c r="K6" s="3"/>
      <c r="L6" s="169"/>
      <c r="M6" s="172"/>
    </row>
    <row r="7" spans="2:13" hidden="1" outlineLevel="1" x14ac:dyDescent="0.3">
      <c r="B7" s="99"/>
      <c r="C7" s="29" t="s">
        <v>135</v>
      </c>
      <c r="D7" s="30">
        <v>531791</v>
      </c>
      <c r="E7" s="173">
        <f t="shared" ref="E7" si="2">SUM(F7:G7)</f>
        <v>531791</v>
      </c>
      <c r="F7" s="174">
        <f>D7</f>
        <v>531791</v>
      </c>
      <c r="G7" s="14"/>
      <c r="H7" s="173">
        <f t="shared" si="1"/>
        <v>0</v>
      </c>
      <c r="I7" s="16"/>
      <c r="J7" s="17"/>
      <c r="K7" s="3"/>
      <c r="L7" s="169"/>
      <c r="M7" s="172"/>
    </row>
    <row r="8" spans="2:13" hidden="1" outlineLevel="1" x14ac:dyDescent="0.3">
      <c r="B8" s="99">
        <f>'АВР травень'!E8</f>
        <v>26</v>
      </c>
      <c r="C8" s="29" t="str">
        <f>'АВР травень'!M8</f>
        <v>стіни підвалу</v>
      </c>
      <c r="D8" s="30">
        <f>'АВР травень'!I8</f>
        <v>3760428</v>
      </c>
      <c r="E8" s="9">
        <f t="shared" ref="E8:E13" si="3">SUM(F8:G8)</f>
        <v>3760428</v>
      </c>
      <c r="F8" s="5">
        <f>D8</f>
        <v>3760428</v>
      </c>
      <c r="G8" s="4"/>
      <c r="H8" s="9">
        <f t="shared" ref="H8:H13" si="4">SUM(I8:J8)</f>
        <v>0</v>
      </c>
      <c r="I8" s="5"/>
      <c r="J8" s="6"/>
      <c r="K8" s="3"/>
      <c r="L8" s="170"/>
      <c r="M8" s="172"/>
    </row>
    <row r="9" spans="2:13" hidden="1" outlineLevel="1" x14ac:dyDescent="0.3">
      <c r="B9" s="99">
        <f>'АВР травень'!E9</f>
        <v>27</v>
      </c>
      <c r="C9" s="29" t="str">
        <f>'АВР травень'!M9</f>
        <v>гідроізоляція ст.фундаментів</v>
      </c>
      <c r="D9" s="30">
        <f>'АВР травень'!I9</f>
        <v>105069.23</v>
      </c>
      <c r="E9" s="9">
        <f t="shared" si="3"/>
        <v>105069.23</v>
      </c>
      <c r="F9" s="5">
        <f>D9</f>
        <v>105069.23</v>
      </c>
      <c r="G9" s="4"/>
      <c r="H9" s="9">
        <f t="shared" si="4"/>
        <v>0</v>
      </c>
      <c r="I9" s="16"/>
      <c r="J9" s="6"/>
      <c r="K9" s="3"/>
      <c r="L9" s="170"/>
      <c r="M9" s="172"/>
    </row>
    <row r="10" spans="2:13" hidden="1" outlineLevel="1" x14ac:dyDescent="0.3">
      <c r="B10" s="99">
        <f>'АВР травень'!E10</f>
        <v>28</v>
      </c>
      <c r="C10" s="29" t="s">
        <v>127</v>
      </c>
      <c r="D10" s="30">
        <f>'АВР травень'!I10</f>
        <v>3718814.21</v>
      </c>
      <c r="E10" s="9">
        <f t="shared" si="3"/>
        <v>0</v>
      </c>
      <c r="F10" s="5"/>
      <c r="G10" s="4"/>
      <c r="H10" s="9">
        <f t="shared" si="4"/>
        <v>3718814.21</v>
      </c>
      <c r="I10" s="16">
        <f t="shared" ref="I10" si="5">D10</f>
        <v>3718814.21</v>
      </c>
      <c r="J10" s="6"/>
      <c r="K10" s="3"/>
      <c r="L10" s="170"/>
      <c r="M10" s="172"/>
    </row>
    <row r="11" spans="2:13" hidden="1" outlineLevel="1" x14ac:dyDescent="0.3">
      <c r="B11" s="99">
        <f>'АВР травень'!E11</f>
        <v>3</v>
      </c>
      <c r="C11" s="29" t="str">
        <f>'АВР травень'!B11</f>
        <v>Гідроізоляція котловану</v>
      </c>
      <c r="D11" s="30">
        <f>'АВР травень'!I11</f>
        <v>715575.3</v>
      </c>
      <c r="E11" s="9">
        <f t="shared" si="3"/>
        <v>357787.65</v>
      </c>
      <c r="F11" s="5">
        <f>I11</f>
        <v>357787.65</v>
      </c>
      <c r="G11" s="4"/>
      <c r="H11" s="9">
        <f t="shared" si="4"/>
        <v>357787.65</v>
      </c>
      <c r="I11" s="16">
        <f>D11/2</f>
        <v>357787.65</v>
      </c>
      <c r="J11" s="6"/>
      <c r="K11" s="3"/>
      <c r="L11" s="170"/>
      <c r="M11" s="172"/>
    </row>
    <row r="12" spans="2:13" hidden="1" outlineLevel="1" x14ac:dyDescent="0.3">
      <c r="B12" s="99">
        <f>'АВР травень'!E12</f>
        <v>7</v>
      </c>
      <c r="C12" s="29" t="str">
        <f>'АВР травень'!M12</f>
        <v>водозниження</v>
      </c>
      <c r="D12" s="30">
        <f>'АВР травень'!I12</f>
        <v>472322.34</v>
      </c>
      <c r="E12" s="9">
        <f t="shared" si="3"/>
        <v>472322.34</v>
      </c>
      <c r="F12" s="5">
        <f t="shared" ref="F12:F17" si="6">D12</f>
        <v>472322.34</v>
      </c>
      <c r="G12" s="4"/>
      <c r="H12" s="9">
        <f t="shared" si="4"/>
        <v>0</v>
      </c>
      <c r="I12" s="5"/>
      <c r="J12" s="6"/>
      <c r="K12" s="3"/>
      <c r="L12" s="170"/>
    </row>
    <row r="13" spans="2:13" hidden="1" outlineLevel="1" x14ac:dyDescent="0.3">
      <c r="B13" s="99">
        <f>'АВР травень'!E13</f>
        <v>1</v>
      </c>
      <c r="C13" s="29" t="str">
        <f>'АВР травень'!M13</f>
        <v>каналізація в плиті</v>
      </c>
      <c r="D13" s="30">
        <f>'АВР травень'!I13</f>
        <v>98309.75</v>
      </c>
      <c r="E13" s="9">
        <f t="shared" si="3"/>
        <v>98309.75</v>
      </c>
      <c r="F13" s="5">
        <f t="shared" si="6"/>
        <v>98309.75</v>
      </c>
      <c r="G13" s="4"/>
      <c r="H13" s="9">
        <f t="shared" si="4"/>
        <v>0</v>
      </c>
      <c r="I13" s="5"/>
      <c r="J13" s="6"/>
      <c r="K13" s="3"/>
      <c r="L13" s="170"/>
    </row>
    <row r="14" spans="2:13" hidden="1" outlineLevel="1" x14ac:dyDescent="0.3">
      <c r="B14" s="99">
        <f>'АВР травень'!E14</f>
        <v>1</v>
      </c>
      <c r="C14" s="29" t="str">
        <f>'АВР травень'!M14</f>
        <v>зворотня засипка піском</v>
      </c>
      <c r="D14" s="30">
        <f>'АВР травень'!I14</f>
        <v>836792.11</v>
      </c>
      <c r="E14" s="9">
        <f t="shared" si="0"/>
        <v>836792.11</v>
      </c>
      <c r="F14" s="5">
        <f t="shared" si="6"/>
        <v>836792.11</v>
      </c>
      <c r="G14" s="4"/>
      <c r="H14" s="9">
        <f t="shared" si="1"/>
        <v>0</v>
      </c>
      <c r="I14" s="16"/>
      <c r="J14" s="6"/>
      <c r="K14" s="3"/>
      <c r="L14" s="170"/>
    </row>
    <row r="15" spans="2:13" hidden="1" outlineLevel="1" x14ac:dyDescent="0.3">
      <c r="B15" s="99">
        <f>'АВР травень'!E15</f>
        <v>1</v>
      </c>
      <c r="C15" s="29" t="str">
        <f>'АВР травень'!M15</f>
        <v>водозниження (вухо)</v>
      </c>
      <c r="D15" s="30">
        <f>'АВР травень'!I15</f>
        <v>233757.78</v>
      </c>
      <c r="E15" s="9">
        <f t="shared" si="0"/>
        <v>233757.78</v>
      </c>
      <c r="F15" s="5">
        <f t="shared" si="6"/>
        <v>233757.78</v>
      </c>
      <c r="G15" s="4"/>
      <c r="H15" s="9">
        <f t="shared" si="1"/>
        <v>0</v>
      </c>
      <c r="I15" s="5"/>
      <c r="J15" s="6"/>
      <c r="K15" s="3"/>
      <c r="L15" s="170"/>
    </row>
    <row r="16" spans="2:13" hidden="1" outlineLevel="1" x14ac:dyDescent="0.3">
      <c r="B16" s="99">
        <f>'АВР травень'!E16</f>
        <v>1</v>
      </c>
      <c r="C16" s="29" t="str">
        <f>'АВР травень'!M16</f>
        <v>бентонвтовий шнур</v>
      </c>
      <c r="D16" s="30">
        <f>'АВР травень'!I16</f>
        <v>36249.65</v>
      </c>
      <c r="E16" s="9">
        <f t="shared" ref="E16:E17" si="7">SUM(F16:G16)</f>
        <v>36249.65</v>
      </c>
      <c r="F16" s="5">
        <f t="shared" si="6"/>
        <v>36249.65</v>
      </c>
      <c r="G16" s="4"/>
      <c r="H16" s="9">
        <f t="shared" ref="H16:H17" si="8">SUM(I16:J16)</f>
        <v>0</v>
      </c>
      <c r="I16" s="5"/>
      <c r="J16" s="6"/>
      <c r="K16" s="3"/>
      <c r="L16" s="170"/>
    </row>
    <row r="17" spans="2:12" ht="15" hidden="1" outlineLevel="1" thickBot="1" x14ac:dyDescent="0.35">
      <c r="B17" s="99">
        <f>'АВР травень'!E17</f>
        <v>1</v>
      </c>
      <c r="C17" s="29" t="str">
        <f>'АВР травень'!M17</f>
        <v>гідрошпонка</v>
      </c>
      <c r="D17" s="30">
        <f>'АВР травень'!I17</f>
        <v>98455.63</v>
      </c>
      <c r="E17" s="9">
        <f t="shared" si="7"/>
        <v>98455.63</v>
      </c>
      <c r="F17" s="5">
        <f t="shared" si="6"/>
        <v>98455.63</v>
      </c>
      <c r="G17" s="4"/>
      <c r="H17" s="9">
        <f t="shared" si="8"/>
        <v>0</v>
      </c>
      <c r="I17" s="5"/>
      <c r="J17" s="6"/>
      <c r="K17" s="3"/>
      <c r="L17" s="170"/>
    </row>
    <row r="18" spans="2:12" ht="15" collapsed="1" thickBot="1" x14ac:dyDescent="0.35">
      <c r="B18" s="141" t="s">
        <v>3</v>
      </c>
      <c r="C18" s="142"/>
      <c r="D18" s="31">
        <f t="shared" ref="D18:J18" si="9">SUM(D6:D17)</f>
        <v>11874068.020000001</v>
      </c>
      <c r="E18" s="10">
        <f t="shared" si="9"/>
        <v>7797466.1600000011</v>
      </c>
      <c r="F18" s="8">
        <f t="shared" si="9"/>
        <v>7797466.1600000011</v>
      </c>
      <c r="G18" s="32">
        <f t="shared" si="9"/>
        <v>0</v>
      </c>
      <c r="H18" s="10">
        <f t="shared" si="9"/>
        <v>4076601.86</v>
      </c>
      <c r="I18" s="8">
        <f t="shared" si="9"/>
        <v>4076601.86</v>
      </c>
      <c r="J18" s="7">
        <f t="shared" si="9"/>
        <v>0</v>
      </c>
      <c r="K18" s="100">
        <f>D18-F18-G18-I18-J18</f>
        <v>4.6566128730773926E-10</v>
      </c>
      <c r="L18" s="169"/>
    </row>
    <row r="20" spans="2:12" ht="21.6" thickBot="1" x14ac:dyDescent="0.45">
      <c r="B20" s="1" t="s">
        <v>4</v>
      </c>
    </row>
    <row r="21" spans="2:12" ht="15" thickBot="1" x14ac:dyDescent="0.35">
      <c r="B21" s="135" t="s">
        <v>6</v>
      </c>
      <c r="C21" s="126" t="s">
        <v>5</v>
      </c>
      <c r="D21" s="129" t="s">
        <v>1</v>
      </c>
      <c r="E21" s="144" t="s">
        <v>23</v>
      </c>
      <c r="F21" s="145"/>
      <c r="G21" s="145"/>
      <c r="H21" s="145"/>
      <c r="I21" s="145"/>
      <c r="J21" s="146"/>
      <c r="K21" s="2"/>
      <c r="L21" s="169"/>
    </row>
    <row r="22" spans="2:12" ht="15" thickBot="1" x14ac:dyDescent="0.35">
      <c r="B22" s="136"/>
      <c r="C22" s="139"/>
      <c r="D22" s="130"/>
      <c r="E22" s="144" t="s">
        <v>125</v>
      </c>
      <c r="F22" s="145"/>
      <c r="G22" s="146"/>
      <c r="H22" s="124" t="s">
        <v>2</v>
      </c>
      <c r="I22" s="125"/>
      <c r="J22" s="126"/>
      <c r="K22" s="2"/>
      <c r="L22" s="169"/>
    </row>
    <row r="23" spans="2:12" ht="15" thickBot="1" x14ac:dyDescent="0.35">
      <c r="B23" s="137"/>
      <c r="C23" s="140"/>
      <c r="D23" s="138"/>
      <c r="E23" s="18" t="s">
        <v>1</v>
      </c>
      <c r="F23" s="19" t="s">
        <v>21</v>
      </c>
      <c r="G23" s="20" t="s">
        <v>22</v>
      </c>
      <c r="H23" s="21" t="s">
        <v>1</v>
      </c>
      <c r="I23" s="22" t="s">
        <v>21</v>
      </c>
      <c r="J23" s="23" t="s">
        <v>22</v>
      </c>
      <c r="K23" s="2"/>
      <c r="L23" s="169"/>
    </row>
    <row r="24" spans="2:12" hidden="1" outlineLevel="1" x14ac:dyDescent="0.3">
      <c r="B24" s="24">
        <v>1</v>
      </c>
      <c r="C24" s="110" t="s">
        <v>18</v>
      </c>
      <c r="D24" s="111">
        <f t="shared" ref="D24:D38" si="10">E24+H24</f>
        <v>445855.26</v>
      </c>
      <c r="E24" s="111">
        <f t="shared" ref="E24:E38" si="11">SUM(F24:G24)</f>
        <v>445855.26</v>
      </c>
      <c r="F24" s="112">
        <f>115137.1+330718.16</f>
        <v>445855.26</v>
      </c>
      <c r="G24" s="113"/>
      <c r="H24" s="111">
        <f t="shared" ref="H24:H38" si="12">SUM(I24:J24)</f>
        <v>0</v>
      </c>
      <c r="I24" s="112"/>
      <c r="J24" s="113"/>
      <c r="K24" s="3"/>
      <c r="L24" s="169"/>
    </row>
    <row r="25" spans="2:12" hidden="1" outlineLevel="1" x14ac:dyDescent="0.3">
      <c r="B25" s="25">
        <v>2</v>
      </c>
      <c r="C25" s="106" t="s">
        <v>19</v>
      </c>
      <c r="D25" s="107">
        <f t="shared" si="10"/>
        <v>57100</v>
      </c>
      <c r="E25" s="107">
        <f t="shared" si="11"/>
        <v>0</v>
      </c>
      <c r="F25" s="108"/>
      <c r="G25" s="109"/>
      <c r="H25" s="107">
        <f t="shared" si="12"/>
        <v>57100</v>
      </c>
      <c r="I25" s="108">
        <f>2000+6500+7100+7100+5500+3600+1800+9500+5500+8500</f>
        <v>57100</v>
      </c>
      <c r="J25" s="109"/>
      <c r="K25" s="105" t="s">
        <v>126</v>
      </c>
      <c r="L25" s="169"/>
    </row>
    <row r="26" spans="2:12" hidden="1" outlineLevel="1" x14ac:dyDescent="0.3">
      <c r="B26" s="25">
        <v>3</v>
      </c>
      <c r="C26" s="26" t="s">
        <v>7</v>
      </c>
      <c r="D26" s="9">
        <f t="shared" si="10"/>
        <v>4934662.5911200009</v>
      </c>
      <c r="E26" s="9">
        <f t="shared" si="11"/>
        <v>2826724.9191200002</v>
      </c>
      <c r="F26" s="5">
        <f>('АВР травень'!K8+'АВР травень'!K9+'АВР травень'!K12+'АВР травень'!K13+'АВР травень'!K14+'АВР травень'!K15+'АВР травень'!K16+'АВР травень'!K17)*0.92+'АВР травень'!K11/2*0.92</f>
        <v>2826724.9191200002</v>
      </c>
      <c r="G26" s="6"/>
      <c r="H26" s="9">
        <f t="shared" si="12"/>
        <v>2107937.6720000003</v>
      </c>
      <c r="I26" s="5">
        <f>('АВР травень'!K10+'АВР травень'!K11/2)*0.92</f>
        <v>2107937.6720000003</v>
      </c>
      <c r="J26" s="6"/>
      <c r="K26" s="3"/>
      <c r="L26" s="169"/>
    </row>
    <row r="27" spans="2:12" hidden="1" outlineLevel="1" x14ac:dyDescent="0.3">
      <c r="B27" s="25">
        <v>4</v>
      </c>
      <c r="C27" s="118" t="s">
        <v>9</v>
      </c>
      <c r="D27" s="119">
        <f t="shared" si="10"/>
        <v>135000</v>
      </c>
      <c r="E27" s="119">
        <f t="shared" si="11"/>
        <v>135000</v>
      </c>
      <c r="F27" s="120">
        <v>135000</v>
      </c>
      <c r="G27" s="121"/>
      <c r="H27" s="119">
        <f t="shared" si="12"/>
        <v>0</v>
      </c>
      <c r="I27" s="120"/>
      <c r="J27" s="121"/>
      <c r="K27" s="105" t="s">
        <v>130</v>
      </c>
      <c r="L27" s="169"/>
    </row>
    <row r="28" spans="2:12" hidden="1" outlineLevel="1" x14ac:dyDescent="0.3">
      <c r="B28" s="25">
        <v>5</v>
      </c>
      <c r="C28" s="106" t="s">
        <v>8</v>
      </c>
      <c r="D28" s="107">
        <f t="shared" si="10"/>
        <v>471558.62745098042</v>
      </c>
      <c r="E28" s="107">
        <f t="shared" si="11"/>
        <v>118495</v>
      </c>
      <c r="F28" s="108"/>
      <c r="G28" s="109">
        <f>'АВР травень'!N9+'АВР травень'!N11/2+'АВР травень'!N13+'АВР травень'!N16+'АВР травень'!N17</f>
        <v>118495</v>
      </c>
      <c r="H28" s="107">
        <f t="shared" si="12"/>
        <v>353063.62745098042</v>
      </c>
      <c r="I28" s="108"/>
      <c r="J28" s="109">
        <f>'АВР травень'!N10+'АВР травень'!N11/2</f>
        <v>353063.62745098042</v>
      </c>
      <c r="K28" s="3"/>
      <c r="L28" s="169"/>
    </row>
    <row r="29" spans="2:12" hidden="1" outlineLevel="1" x14ac:dyDescent="0.3">
      <c r="B29" s="25">
        <v>6</v>
      </c>
      <c r="C29" s="106" t="s">
        <v>10</v>
      </c>
      <c r="D29" s="107">
        <f t="shared" si="10"/>
        <v>1054305.96</v>
      </c>
      <c r="E29" s="107">
        <f t="shared" si="11"/>
        <v>0</v>
      </c>
      <c r="F29" s="108"/>
      <c r="G29" s="109"/>
      <c r="H29" s="107">
        <f t="shared" si="12"/>
        <v>1054305.96</v>
      </c>
      <c r="I29" s="108">
        <v>1054305.96</v>
      </c>
      <c r="J29" s="109"/>
      <c r="K29" s="3"/>
      <c r="L29" s="169"/>
    </row>
    <row r="30" spans="2:12" hidden="1" outlineLevel="1" x14ac:dyDescent="0.3">
      <c r="B30" s="25">
        <v>7</v>
      </c>
      <c r="C30" s="106" t="s">
        <v>11</v>
      </c>
      <c r="D30" s="107">
        <f t="shared" si="10"/>
        <v>267700</v>
      </c>
      <c r="E30" s="107">
        <f t="shared" si="11"/>
        <v>0</v>
      </c>
      <c r="F30" s="108"/>
      <c r="G30" s="109"/>
      <c r="H30" s="107">
        <f t="shared" si="12"/>
        <v>267700</v>
      </c>
      <c r="I30" s="108">
        <f>177600+4500+67600+18000</f>
        <v>267700</v>
      </c>
      <c r="J30" s="109"/>
      <c r="K30" s="3"/>
      <c r="L30" s="169"/>
    </row>
    <row r="31" spans="2:12" hidden="1" outlineLevel="1" x14ac:dyDescent="0.3">
      <c r="B31" s="25">
        <v>8</v>
      </c>
      <c r="C31" s="106" t="s">
        <v>12</v>
      </c>
      <c r="D31" s="107">
        <f t="shared" si="10"/>
        <v>733000</v>
      </c>
      <c r="E31" s="107">
        <f t="shared" si="11"/>
        <v>0</v>
      </c>
      <c r="F31" s="108"/>
      <c r="G31" s="109"/>
      <c r="H31" s="107">
        <f t="shared" si="12"/>
        <v>733000</v>
      </c>
      <c r="I31" s="108">
        <f>22600*25+5600*30</f>
        <v>733000</v>
      </c>
      <c r="J31" s="109"/>
      <c r="K31" s="3"/>
      <c r="L31" s="169"/>
    </row>
    <row r="32" spans="2:12" hidden="1" outlineLevel="1" x14ac:dyDescent="0.3">
      <c r="B32" s="25">
        <v>9</v>
      </c>
      <c r="C32" s="26" t="s">
        <v>13</v>
      </c>
      <c r="D32" s="9">
        <f t="shared" si="10"/>
        <v>234320</v>
      </c>
      <c r="E32" s="9">
        <f t="shared" si="11"/>
        <v>0</v>
      </c>
      <c r="F32" s="5"/>
      <c r="G32" s="6"/>
      <c r="H32" s="9">
        <f t="shared" si="12"/>
        <v>234320</v>
      </c>
      <c r="I32" s="5">
        <v>83020</v>
      </c>
      <c r="J32" s="6">
        <v>151300</v>
      </c>
      <c r="K32" s="105" t="s">
        <v>122</v>
      </c>
      <c r="L32" s="169"/>
    </row>
    <row r="33" spans="2:12" hidden="1" outlineLevel="1" x14ac:dyDescent="0.3">
      <c r="B33" s="25">
        <v>10</v>
      </c>
      <c r="C33" s="26" t="s">
        <v>14</v>
      </c>
      <c r="D33" s="9">
        <f t="shared" si="10"/>
        <v>63480</v>
      </c>
      <c r="E33" s="9">
        <f t="shared" si="11"/>
        <v>0</v>
      </c>
      <c r="F33" s="5"/>
      <c r="G33" s="6"/>
      <c r="H33" s="9">
        <f t="shared" si="12"/>
        <v>63480</v>
      </c>
      <c r="I33" s="5">
        <v>19580</v>
      </c>
      <c r="J33" s="6">
        <v>43900</v>
      </c>
      <c r="K33" s="105" t="s">
        <v>122</v>
      </c>
      <c r="L33" s="169"/>
    </row>
    <row r="34" spans="2:12" hidden="1" outlineLevel="1" x14ac:dyDescent="0.3">
      <c r="B34" s="25">
        <v>11</v>
      </c>
      <c r="C34" s="26" t="s">
        <v>16</v>
      </c>
      <c r="D34" s="9">
        <f t="shared" si="10"/>
        <v>86900</v>
      </c>
      <c r="E34" s="9">
        <f t="shared" si="11"/>
        <v>0</v>
      </c>
      <c r="F34" s="5"/>
      <c r="G34" s="6"/>
      <c r="H34" s="9">
        <f t="shared" si="12"/>
        <v>86900</v>
      </c>
      <c r="I34" s="5"/>
      <c r="J34" s="6">
        <v>86900</v>
      </c>
      <c r="K34" s="105"/>
      <c r="L34" s="169"/>
    </row>
    <row r="35" spans="2:12" hidden="1" outlineLevel="1" x14ac:dyDescent="0.3">
      <c r="B35" s="25">
        <v>12</v>
      </c>
      <c r="C35" s="26" t="s">
        <v>17</v>
      </c>
      <c r="D35" s="9">
        <f t="shared" si="10"/>
        <v>234000</v>
      </c>
      <c r="E35" s="9">
        <f t="shared" si="11"/>
        <v>0</v>
      </c>
      <c r="F35" s="5"/>
      <c r="G35" s="6"/>
      <c r="H35" s="9">
        <f t="shared" si="12"/>
        <v>234000</v>
      </c>
      <c r="I35" s="5"/>
      <c r="J35" s="6">
        <v>234000</v>
      </c>
      <c r="K35" s="3"/>
      <c r="L35" s="169"/>
    </row>
    <row r="36" spans="2:12" hidden="1" outlineLevel="1" x14ac:dyDescent="0.3">
      <c r="B36" s="25">
        <v>13</v>
      </c>
      <c r="C36" s="26" t="s">
        <v>20</v>
      </c>
      <c r="D36" s="9">
        <f t="shared" si="10"/>
        <v>20150</v>
      </c>
      <c r="E36" s="9">
        <f t="shared" si="11"/>
        <v>0</v>
      </c>
      <c r="F36" s="5"/>
      <c r="G36" s="6"/>
      <c r="H36" s="9">
        <f t="shared" si="12"/>
        <v>20150</v>
      </c>
      <c r="I36" s="5">
        <v>20150</v>
      </c>
      <c r="J36" s="6"/>
      <c r="K36" s="3"/>
      <c r="L36" s="169"/>
    </row>
    <row r="37" spans="2:12" hidden="1" outlineLevel="1" x14ac:dyDescent="0.3">
      <c r="B37" s="25">
        <v>14</v>
      </c>
      <c r="C37" s="26" t="s">
        <v>24</v>
      </c>
      <c r="D37" s="9">
        <f t="shared" si="10"/>
        <v>39000</v>
      </c>
      <c r="E37" s="9">
        <f t="shared" si="11"/>
        <v>0</v>
      </c>
      <c r="F37" s="5"/>
      <c r="G37" s="6"/>
      <c r="H37" s="9">
        <f t="shared" si="12"/>
        <v>39000</v>
      </c>
      <c r="I37" s="5">
        <f>15000+24000</f>
        <v>39000</v>
      </c>
      <c r="J37" s="6"/>
      <c r="K37" s="105" t="s">
        <v>123</v>
      </c>
      <c r="L37" s="169"/>
    </row>
    <row r="38" spans="2:12" ht="15" hidden="1" outlineLevel="1" thickBot="1" x14ac:dyDescent="0.35">
      <c r="B38" s="27">
        <v>6</v>
      </c>
      <c r="C38" s="28" t="s">
        <v>15</v>
      </c>
      <c r="D38" s="11">
        <f t="shared" si="10"/>
        <v>174292.69896193774</v>
      </c>
      <c r="E38" s="11">
        <f t="shared" si="11"/>
        <v>20910.882352941175</v>
      </c>
      <c r="F38" s="12"/>
      <c r="G38" s="13">
        <f>SUM(G24:G37)/(1-15%)*15%</f>
        <v>20910.882352941175</v>
      </c>
      <c r="H38" s="11">
        <f t="shared" si="12"/>
        <v>153381.81660899657</v>
      </c>
      <c r="I38" s="12"/>
      <c r="J38" s="13">
        <f>SUM(J24:J37)/(1-15%)*15%</f>
        <v>153381.81660899657</v>
      </c>
      <c r="K38" s="3"/>
      <c r="L38" s="169"/>
    </row>
    <row r="39" spans="2:12" ht="15" collapsed="1" thickBot="1" x14ac:dyDescent="0.35">
      <c r="B39" s="141" t="s">
        <v>3</v>
      </c>
      <c r="C39" s="143"/>
      <c r="D39" s="10">
        <f>SUM(D24:D38)</f>
        <v>8951325.1375329178</v>
      </c>
      <c r="E39" s="10">
        <f t="shared" ref="E39:J39" si="13">SUM(E24:E38)</f>
        <v>3546986.0614729417</v>
      </c>
      <c r="F39" s="8">
        <f t="shared" si="13"/>
        <v>3407580.1791200005</v>
      </c>
      <c r="G39" s="7">
        <f t="shared" si="13"/>
        <v>139405.88235294117</v>
      </c>
      <c r="H39" s="10">
        <f t="shared" si="13"/>
        <v>5404339.0760599766</v>
      </c>
      <c r="I39" s="8">
        <f t="shared" si="13"/>
        <v>4381793.6320000002</v>
      </c>
      <c r="J39" s="7">
        <f t="shared" si="13"/>
        <v>1022545.4440599771</v>
      </c>
      <c r="K39" s="100">
        <f>D39-F39-G39-I39-J39</f>
        <v>0</v>
      </c>
      <c r="L39" s="169"/>
    </row>
    <row r="40" spans="2:12" ht="15" thickBot="1" x14ac:dyDescent="0.35"/>
    <row r="41" spans="2:12" ht="26.4" thickBot="1" x14ac:dyDescent="0.35">
      <c r="B41" s="127" t="s">
        <v>133</v>
      </c>
      <c r="C41" s="128"/>
      <c r="D41" s="10">
        <f>D18-D39</f>
        <v>2922742.8824670836</v>
      </c>
      <c r="E41" s="10">
        <f>E18-E39</f>
        <v>4250480.098527059</v>
      </c>
      <c r="F41" s="8">
        <f>F18-F39</f>
        <v>4389885.9808800006</v>
      </c>
      <c r="G41" s="7">
        <f t="shared" ref="G41:I41" si="14">G18-G39</f>
        <v>-139405.88235294117</v>
      </c>
      <c r="H41" s="10">
        <f t="shared" si="14"/>
        <v>-1327737.2160599767</v>
      </c>
      <c r="I41" s="8">
        <f t="shared" si="14"/>
        <v>-305191.77200000035</v>
      </c>
      <c r="J41" s="7">
        <f>J18-J39</f>
        <v>-1022545.4440599771</v>
      </c>
      <c r="K41" s="100">
        <f>D41-F41-G41-I41-J41</f>
        <v>1.6298145055770874E-9</v>
      </c>
    </row>
    <row r="42" spans="2:12" ht="15" thickBot="1" x14ac:dyDescent="0.35"/>
    <row r="43" spans="2:12" ht="26.4" thickBot="1" x14ac:dyDescent="0.35">
      <c r="B43" s="127" t="s">
        <v>132</v>
      </c>
      <c r="C43" s="128"/>
      <c r="D43" s="10"/>
      <c r="E43" s="10">
        <v>-3292448.949172413</v>
      </c>
    </row>
    <row r="44" spans="2:12" ht="15" thickBot="1" x14ac:dyDescent="0.35">
      <c r="D44" s="33"/>
    </row>
    <row r="45" spans="2:12" ht="26.4" thickBot="1" x14ac:dyDescent="0.35">
      <c r="B45" s="127" t="s">
        <v>134</v>
      </c>
      <c r="C45" s="128"/>
      <c r="D45" s="10"/>
      <c r="E45" s="171">
        <f>E41+E43</f>
        <v>958031.14935464598</v>
      </c>
    </row>
  </sheetData>
  <mergeCells count="17">
    <mergeCell ref="B43:C43"/>
    <mergeCell ref="B45:C45"/>
    <mergeCell ref="E3:J3"/>
    <mergeCell ref="B41:C41"/>
    <mergeCell ref="D3:D5"/>
    <mergeCell ref="C3:C5"/>
    <mergeCell ref="B3:B5"/>
    <mergeCell ref="D21:D23"/>
    <mergeCell ref="C21:C23"/>
    <mergeCell ref="B21:B23"/>
    <mergeCell ref="B18:C18"/>
    <mergeCell ref="B39:C39"/>
    <mergeCell ref="H4:J4"/>
    <mergeCell ref="E4:G4"/>
    <mergeCell ref="E21:J21"/>
    <mergeCell ref="E22:G22"/>
    <mergeCell ref="H22:J2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4"/>
  <sheetViews>
    <sheetView showWhiteSpace="0" view="pageBreakPreview" topLeftCell="A4" zoomScale="115" zoomScaleNormal="80" zoomScaleSheetLayoutView="115" workbookViewId="0">
      <pane xSplit="2" topLeftCell="G1" activePane="topRight" state="frozen"/>
      <selection activeCell="B1" sqref="B1"/>
      <selection pane="topRight" activeCell="N20" sqref="N20"/>
    </sheetView>
  </sheetViews>
  <sheetFormatPr defaultColWidth="9.109375" defaultRowHeight="12" x14ac:dyDescent="0.25"/>
  <cols>
    <col min="1" max="1" width="5.6640625" style="34" customWidth="1"/>
    <col min="2" max="2" width="31.33203125" style="34" customWidth="1"/>
    <col min="3" max="3" width="12.5546875" style="35" customWidth="1"/>
    <col min="4" max="4" width="19.44140625" style="36" customWidth="1"/>
    <col min="5" max="5" width="6.5546875" style="37" customWidth="1"/>
    <col min="6" max="6" width="16.77734375" style="37" customWidth="1"/>
    <col min="7" max="7" width="26" style="37" customWidth="1"/>
    <col min="8" max="8" width="6" style="37" customWidth="1"/>
    <col min="9" max="9" width="16.21875" style="34" bestFit="1" customWidth="1"/>
    <col min="10" max="10" width="16.77734375" style="34" customWidth="1"/>
    <col min="11" max="11" width="13.33203125" style="34" customWidth="1"/>
    <col min="12" max="12" width="16.44140625" style="34" customWidth="1"/>
    <col min="13" max="13" width="20.77734375" style="34" customWidth="1"/>
    <col min="14" max="14" width="20.5546875" style="34" customWidth="1"/>
    <col min="15" max="16384" width="9.109375" style="34"/>
  </cols>
  <sheetData>
    <row r="1" spans="1:36" ht="16.8" customHeight="1" x14ac:dyDescent="0.25"/>
    <row r="2" spans="1:36" ht="59.4" customHeight="1" x14ac:dyDescent="0.25">
      <c r="A2" s="153" t="s">
        <v>25</v>
      </c>
      <c r="B2" s="154"/>
      <c r="C2" s="154"/>
      <c r="D2" s="154"/>
      <c r="E2" s="154"/>
      <c r="F2" s="154"/>
      <c r="G2" s="154"/>
      <c r="H2" s="38"/>
    </row>
    <row r="3" spans="1:36" ht="15" customHeight="1" thickBot="1" x14ac:dyDescent="0.3">
      <c r="A3" s="38"/>
      <c r="B3" s="39"/>
      <c r="C3" s="39"/>
      <c r="D3" s="40"/>
      <c r="E3" s="41"/>
      <c r="F3" s="41"/>
      <c r="G3" s="41"/>
      <c r="H3" s="41"/>
      <c r="I3" s="42"/>
      <c r="J3" s="42"/>
      <c r="K3" s="42"/>
    </row>
    <row r="4" spans="1:36" ht="17.399999999999999" customHeight="1" x14ac:dyDescent="0.25">
      <c r="A4" s="155"/>
      <c r="B4" s="158" t="s">
        <v>26</v>
      </c>
      <c r="C4" s="161" t="s">
        <v>27</v>
      </c>
      <c r="D4" s="161"/>
      <c r="E4" s="162" t="s">
        <v>28</v>
      </c>
      <c r="F4" s="163"/>
      <c r="G4" s="163"/>
      <c r="H4" s="164" t="s">
        <v>29</v>
      </c>
      <c r="I4" s="165"/>
      <c r="J4" s="165"/>
      <c r="K4" s="165"/>
      <c r="L4" s="148"/>
    </row>
    <row r="5" spans="1:36" ht="21" customHeight="1" x14ac:dyDescent="0.25">
      <c r="A5" s="156"/>
      <c r="B5" s="159"/>
      <c r="C5" s="151"/>
      <c r="D5" s="151"/>
      <c r="E5" s="151"/>
      <c r="F5" s="151"/>
      <c r="G5" s="152"/>
      <c r="H5" s="166"/>
      <c r="I5" s="167"/>
      <c r="J5" s="167"/>
      <c r="K5" s="167"/>
      <c r="L5" s="149"/>
    </row>
    <row r="6" spans="1:36" ht="30" customHeight="1" thickBot="1" x14ac:dyDescent="0.3">
      <c r="A6" s="157"/>
      <c r="B6" s="160"/>
      <c r="C6" s="43" t="s">
        <v>30</v>
      </c>
      <c r="D6" s="44" t="s">
        <v>31</v>
      </c>
      <c r="E6" s="43" t="s">
        <v>32</v>
      </c>
      <c r="F6" s="43" t="s">
        <v>33</v>
      </c>
      <c r="G6" s="43" t="s">
        <v>34</v>
      </c>
      <c r="H6" s="43"/>
      <c r="I6" s="45" t="s">
        <v>35</v>
      </c>
      <c r="J6" s="46" t="s">
        <v>36</v>
      </c>
      <c r="K6" s="47" t="s">
        <v>37</v>
      </c>
      <c r="L6" s="150"/>
      <c r="N6" s="34" t="s">
        <v>129</v>
      </c>
    </row>
    <row r="7" spans="1:36" ht="30" customHeight="1" x14ac:dyDescent="0.3">
      <c r="A7" s="48"/>
      <c r="B7" s="48" t="s">
        <v>38</v>
      </c>
      <c r="C7" s="49" t="s">
        <v>39</v>
      </c>
      <c r="D7" s="50">
        <v>20014627.07</v>
      </c>
      <c r="E7" s="51">
        <v>12</v>
      </c>
      <c r="F7" s="52">
        <v>1266503.02</v>
      </c>
      <c r="G7" s="52" t="s">
        <v>40</v>
      </c>
      <c r="H7" s="53">
        <v>12</v>
      </c>
      <c r="I7" s="95">
        <f t="shared" ref="I7:I13" si="0">F7</f>
        <v>1266503.02</v>
      </c>
      <c r="J7" s="52">
        <f t="shared" ref="J7:J17" si="1">I7-K7</f>
        <v>1266503.02</v>
      </c>
      <c r="K7" s="52">
        <v>0</v>
      </c>
      <c r="L7" s="52"/>
      <c r="M7" s="34" t="s">
        <v>131</v>
      </c>
      <c r="N7" s="114"/>
    </row>
    <row r="8" spans="1:36" s="60" customFormat="1" ht="15.6" x14ac:dyDescent="0.25">
      <c r="A8" s="54"/>
      <c r="B8" s="48" t="s">
        <v>41</v>
      </c>
      <c r="C8" s="55" t="s">
        <v>39</v>
      </c>
      <c r="D8" s="50">
        <v>162902614.16</v>
      </c>
      <c r="E8" s="51">
        <v>26</v>
      </c>
      <c r="F8" s="52">
        <v>3760428</v>
      </c>
      <c r="G8" s="56" t="s">
        <v>42</v>
      </c>
      <c r="H8" s="57">
        <v>26</v>
      </c>
      <c r="I8" s="96">
        <f t="shared" si="0"/>
        <v>3760428</v>
      </c>
      <c r="J8" s="56">
        <f t="shared" si="1"/>
        <v>1775879.81</v>
      </c>
      <c r="K8" s="101">
        <v>1984548.19</v>
      </c>
      <c r="L8" s="58">
        <v>45413</v>
      </c>
      <c r="M8" s="59" t="s">
        <v>43</v>
      </c>
      <c r="N8" s="115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</row>
    <row r="9" spans="1:36" s="60" customFormat="1" ht="15.6" x14ac:dyDescent="0.25">
      <c r="A9" s="54"/>
      <c r="B9" s="48"/>
      <c r="C9" s="55"/>
      <c r="D9" s="50"/>
      <c r="E9" s="51">
        <v>27</v>
      </c>
      <c r="F9" s="52">
        <v>105069.23</v>
      </c>
      <c r="G9" s="56" t="s">
        <v>42</v>
      </c>
      <c r="H9" s="57">
        <v>27</v>
      </c>
      <c r="I9" s="50">
        <f t="shared" si="0"/>
        <v>105069.23</v>
      </c>
      <c r="J9" s="56">
        <f t="shared" si="1"/>
        <v>48094.119999999995</v>
      </c>
      <c r="K9" s="56">
        <v>56975.11</v>
      </c>
      <c r="L9" s="61" t="s">
        <v>44</v>
      </c>
      <c r="M9" s="59" t="s">
        <v>45</v>
      </c>
      <c r="N9" s="115">
        <v>9000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</row>
    <row r="10" spans="1:36" s="60" customFormat="1" ht="15.6" x14ac:dyDescent="0.25">
      <c r="A10" s="54"/>
      <c r="B10" s="48"/>
      <c r="C10" s="55"/>
      <c r="D10" s="50"/>
      <c r="E10" s="51">
        <v>28</v>
      </c>
      <c r="F10" s="52">
        <v>3718814.21</v>
      </c>
      <c r="G10" s="56" t="s">
        <v>40</v>
      </c>
      <c r="H10" s="57">
        <v>28</v>
      </c>
      <c r="I10" s="50">
        <f t="shared" si="0"/>
        <v>3718814.21</v>
      </c>
      <c r="J10" s="56">
        <f t="shared" si="1"/>
        <v>1677769.6099999999</v>
      </c>
      <c r="K10" s="56">
        <v>2041044.6</v>
      </c>
      <c r="L10" s="61"/>
      <c r="M10" s="59"/>
      <c r="N10" s="115">
        <v>276568.62745098042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</row>
    <row r="11" spans="1:36" s="60" customFormat="1" ht="15.6" x14ac:dyDescent="0.25">
      <c r="A11" s="54"/>
      <c r="B11" s="48" t="s">
        <v>46</v>
      </c>
      <c r="C11" s="62" t="s">
        <v>47</v>
      </c>
      <c r="D11" s="63">
        <v>11216410.33</v>
      </c>
      <c r="E11" s="51">
        <v>3</v>
      </c>
      <c r="F11" s="52">
        <v>715575.3</v>
      </c>
      <c r="G11" s="56" t="s">
        <v>40</v>
      </c>
      <c r="H11" s="57">
        <v>3</v>
      </c>
      <c r="I11" s="50">
        <f t="shared" si="0"/>
        <v>715575.3</v>
      </c>
      <c r="J11" s="56">
        <f t="shared" si="1"/>
        <v>215191.30000000005</v>
      </c>
      <c r="K11" s="56">
        <v>500384</v>
      </c>
      <c r="L11" s="61"/>
      <c r="M11" s="59"/>
      <c r="N11" s="115">
        <v>152990</v>
      </c>
      <c r="O11" s="59" t="s">
        <v>128</v>
      </c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</row>
    <row r="12" spans="1:36" s="60" customFormat="1" ht="13.2" customHeight="1" thickBot="1" x14ac:dyDescent="0.3">
      <c r="A12" s="54"/>
      <c r="B12" s="48" t="s">
        <v>48</v>
      </c>
      <c r="C12" s="64" t="s">
        <v>49</v>
      </c>
      <c r="D12" s="50">
        <v>1479619.45</v>
      </c>
      <c r="E12" s="51">
        <v>7</v>
      </c>
      <c r="F12" s="52">
        <v>472322.34</v>
      </c>
      <c r="G12" s="56" t="s">
        <v>50</v>
      </c>
      <c r="H12" s="57">
        <v>7</v>
      </c>
      <c r="I12" s="96">
        <f t="shared" si="0"/>
        <v>472322.34</v>
      </c>
      <c r="J12" s="56">
        <f t="shared" si="1"/>
        <v>449708.22000000003</v>
      </c>
      <c r="K12" s="101">
        <v>22614.12</v>
      </c>
      <c r="L12" s="65">
        <v>45412</v>
      </c>
      <c r="M12" s="59" t="s">
        <v>51</v>
      </c>
      <c r="N12" s="115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</row>
    <row r="13" spans="1:36" s="60" customFormat="1" ht="16.2" thickBot="1" x14ac:dyDescent="0.3">
      <c r="A13" s="54">
        <v>4</v>
      </c>
      <c r="B13" s="48" t="s">
        <v>52</v>
      </c>
      <c r="C13" s="66" t="s">
        <v>53</v>
      </c>
      <c r="D13" s="67">
        <v>98309.75</v>
      </c>
      <c r="E13" s="68">
        <v>1</v>
      </c>
      <c r="F13" s="52">
        <f>D13</f>
        <v>98309.75</v>
      </c>
      <c r="G13" s="56" t="s">
        <v>42</v>
      </c>
      <c r="H13" s="57">
        <v>1</v>
      </c>
      <c r="I13" s="96">
        <f t="shared" si="0"/>
        <v>98309.75</v>
      </c>
      <c r="J13" s="56">
        <f t="shared" si="1"/>
        <v>42182.080000000002</v>
      </c>
      <c r="K13" s="101">
        <v>56127.67</v>
      </c>
      <c r="L13" s="65">
        <v>45432</v>
      </c>
      <c r="M13" s="59" t="s">
        <v>54</v>
      </c>
      <c r="N13" s="115">
        <v>18000</v>
      </c>
      <c r="O13" s="59"/>
      <c r="P13" s="59"/>
      <c r="Q13" s="70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</row>
    <row r="14" spans="1:36" s="60" customFormat="1" ht="13.8" customHeight="1" x14ac:dyDescent="0.3">
      <c r="A14" s="71" t="s">
        <v>55</v>
      </c>
      <c r="B14" s="48" t="s">
        <v>56</v>
      </c>
      <c r="C14" s="66" t="s">
        <v>57</v>
      </c>
      <c r="D14" s="72">
        <v>1907190.76</v>
      </c>
      <c r="E14" s="68">
        <v>1</v>
      </c>
      <c r="F14" s="73">
        <v>836792.11</v>
      </c>
      <c r="G14" s="56" t="s">
        <v>42</v>
      </c>
      <c r="H14" s="57">
        <v>1</v>
      </c>
      <c r="I14" s="97">
        <f>F14</f>
        <v>836792.11</v>
      </c>
      <c r="J14" s="56">
        <f t="shared" si="1"/>
        <v>227573.59999999998</v>
      </c>
      <c r="K14" s="56">
        <v>609218.51</v>
      </c>
      <c r="L14" s="65" t="s">
        <v>58</v>
      </c>
      <c r="M14" s="59" t="s">
        <v>59</v>
      </c>
      <c r="N14" s="116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</row>
    <row r="15" spans="1:36" s="60" customFormat="1" ht="13.8" customHeight="1" x14ac:dyDescent="0.3">
      <c r="A15" s="71" t="s">
        <v>60</v>
      </c>
      <c r="B15" s="48" t="s">
        <v>61</v>
      </c>
      <c r="C15" s="66" t="s">
        <v>62</v>
      </c>
      <c r="D15" s="72">
        <v>554589.34</v>
      </c>
      <c r="E15" s="68">
        <v>1</v>
      </c>
      <c r="F15" s="73">
        <v>233757.78</v>
      </c>
      <c r="G15" s="56" t="s">
        <v>50</v>
      </c>
      <c r="H15" s="57">
        <v>1</v>
      </c>
      <c r="I15" s="98">
        <v>233757.78</v>
      </c>
      <c r="J15" s="56">
        <f t="shared" si="1"/>
        <v>225075.77</v>
      </c>
      <c r="K15" s="101">
        <v>8682.01</v>
      </c>
      <c r="L15" s="65">
        <v>45412</v>
      </c>
      <c r="M15" s="59" t="s">
        <v>63</v>
      </c>
      <c r="N15" s="115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</row>
    <row r="16" spans="1:36" s="60" customFormat="1" ht="37.799999999999997" customHeight="1" x14ac:dyDescent="0.3">
      <c r="A16" s="71" t="s">
        <v>64</v>
      </c>
      <c r="B16" s="48" t="s">
        <v>65</v>
      </c>
      <c r="C16" s="66" t="s">
        <v>66</v>
      </c>
      <c r="D16" s="72">
        <v>205250.65</v>
      </c>
      <c r="E16" s="68">
        <v>1</v>
      </c>
      <c r="F16" s="73">
        <v>36249.65</v>
      </c>
      <c r="G16" s="56" t="s">
        <v>67</v>
      </c>
      <c r="H16" s="57">
        <v>1</v>
      </c>
      <c r="I16" s="96">
        <f t="shared" ref="I16:I17" si="2">F16</f>
        <v>36249.65</v>
      </c>
      <c r="J16" s="56">
        <f t="shared" si="1"/>
        <v>21207.086000000003</v>
      </c>
      <c r="K16" s="101">
        <v>15042.564</v>
      </c>
      <c r="L16" s="74" t="s">
        <v>58</v>
      </c>
      <c r="M16" s="59" t="s">
        <v>68</v>
      </c>
      <c r="N16" s="115">
        <v>10000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</row>
    <row r="17" spans="1:36" s="60" customFormat="1" ht="13.8" customHeight="1" thickBot="1" x14ac:dyDescent="0.35">
      <c r="A17" s="54">
        <v>14</v>
      </c>
      <c r="B17" s="48" t="s">
        <v>69</v>
      </c>
      <c r="C17" s="66" t="s">
        <v>70</v>
      </c>
      <c r="D17" s="50">
        <v>164975.04000000001</v>
      </c>
      <c r="E17" s="68">
        <v>1</v>
      </c>
      <c r="F17" s="73">
        <v>98455.63</v>
      </c>
      <c r="G17" s="56" t="s">
        <v>67</v>
      </c>
      <c r="H17" s="57">
        <v>1</v>
      </c>
      <c r="I17" s="96">
        <f t="shared" si="2"/>
        <v>98455.63</v>
      </c>
      <c r="J17" s="56">
        <f t="shared" si="1"/>
        <v>29328.718000000008</v>
      </c>
      <c r="K17" s="101">
        <v>69126.911999999997</v>
      </c>
      <c r="L17" s="75"/>
      <c r="M17" s="59" t="s">
        <v>71</v>
      </c>
      <c r="N17" s="117">
        <v>5000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</row>
    <row r="18" spans="1:36" s="82" customFormat="1" ht="17.399999999999999" customHeight="1" thickBot="1" x14ac:dyDescent="0.35">
      <c r="A18" s="76"/>
      <c r="B18" s="77" t="s">
        <v>72</v>
      </c>
      <c r="C18" s="78"/>
      <c r="D18" s="79">
        <f>SUM(D8:D17)</f>
        <v>178528959.47999999</v>
      </c>
      <c r="E18" s="80"/>
      <c r="F18" s="80">
        <f>SUM(F7:F17)</f>
        <v>11342277.020000001</v>
      </c>
      <c r="G18" s="80"/>
      <c r="H18" s="80"/>
      <c r="I18" s="80">
        <f>SUM(I7:I17)</f>
        <v>11342277.020000001</v>
      </c>
      <c r="J18" s="80">
        <f t="shared" ref="J18:K18" si="3">SUM(J7:J17)</f>
        <v>5978513.3339999998</v>
      </c>
      <c r="K18" s="80">
        <f t="shared" si="3"/>
        <v>5363763.6859999998</v>
      </c>
      <c r="L18" s="81"/>
      <c r="N18" s="117">
        <f>SUM(N7:N17)</f>
        <v>471558.62745098042</v>
      </c>
    </row>
    <row r="19" spans="1:36" s="82" customFormat="1" ht="22.2" customHeight="1" x14ac:dyDescent="0.3">
      <c r="A19" s="83"/>
      <c r="B19" s="83"/>
      <c r="C19" s="84"/>
      <c r="D19" s="85"/>
      <c r="E19" s="86"/>
      <c r="F19" s="86"/>
      <c r="G19" s="86"/>
      <c r="H19" s="87"/>
      <c r="I19" s="69"/>
      <c r="J19" s="87"/>
      <c r="K19" s="87">
        <f>K18*0.92-СВОД!D26</f>
        <v>0</v>
      </c>
      <c r="N19" s="168">
        <f>N18-СВОД!D28</f>
        <v>0</v>
      </c>
    </row>
    <row r="20" spans="1:36" x14ac:dyDescent="0.25">
      <c r="A20" s="88"/>
      <c r="B20" s="88"/>
      <c r="D20" s="89"/>
      <c r="H20" s="90"/>
    </row>
    <row r="21" spans="1:36" x14ac:dyDescent="0.25">
      <c r="A21" s="88"/>
      <c r="B21" s="88"/>
      <c r="D21" s="89"/>
      <c r="H21" s="90"/>
    </row>
    <row r="22" spans="1:36" x14ac:dyDescent="0.25">
      <c r="A22" s="88"/>
      <c r="B22" s="88"/>
      <c r="D22" s="89"/>
      <c r="H22" s="90"/>
    </row>
    <row r="23" spans="1:36" ht="10.199999999999999" customHeight="1" x14ac:dyDescent="0.25">
      <c r="A23" s="88"/>
      <c r="B23" s="88"/>
      <c r="D23" s="89"/>
      <c r="H23" s="90"/>
    </row>
    <row r="24" spans="1:36" x14ac:dyDescent="0.25">
      <c r="A24" s="88"/>
      <c r="B24" s="88"/>
      <c r="D24" s="89"/>
      <c r="H24" s="90"/>
    </row>
    <row r="25" spans="1:36" x14ac:dyDescent="0.25">
      <c r="A25" s="88"/>
      <c r="B25" s="88"/>
      <c r="D25" s="89"/>
      <c r="H25" s="90"/>
      <c r="I25" s="91"/>
      <c r="J25" s="92"/>
    </row>
    <row r="26" spans="1:36" x14ac:dyDescent="0.25">
      <c r="A26" s="88"/>
      <c r="B26" s="88"/>
      <c r="H26" s="90"/>
    </row>
    <row r="27" spans="1:36" x14ac:dyDescent="0.25">
      <c r="A27" s="88"/>
      <c r="B27" s="88"/>
      <c r="H27" s="90"/>
    </row>
    <row r="28" spans="1:36" x14ac:dyDescent="0.25">
      <c r="A28" s="88"/>
      <c r="B28" s="88"/>
      <c r="H28" s="90"/>
    </row>
    <row r="29" spans="1:36" x14ac:dyDescent="0.25">
      <c r="A29" s="88"/>
      <c r="B29" s="88"/>
      <c r="H29" s="90"/>
    </row>
    <row r="30" spans="1:36" x14ac:dyDescent="0.25">
      <c r="A30" s="88"/>
      <c r="B30" s="88"/>
      <c r="H30" s="90"/>
    </row>
    <row r="31" spans="1:36" x14ac:dyDescent="0.25">
      <c r="A31" s="88"/>
      <c r="B31" s="88"/>
      <c r="H31" s="90"/>
    </row>
    <row r="32" spans="1:36" x14ac:dyDescent="0.25">
      <c r="C32" s="93"/>
      <c r="D32" s="94"/>
      <c r="E32" s="90"/>
      <c r="F32" s="90"/>
      <c r="G32" s="90"/>
      <c r="H32" s="90"/>
    </row>
    <row r="33" spans="3:8" x14ac:dyDescent="0.25">
      <c r="C33" s="93"/>
      <c r="D33" s="94"/>
      <c r="E33" s="90"/>
      <c r="F33" s="90"/>
      <c r="G33" s="90"/>
      <c r="H33" s="90"/>
    </row>
    <row r="34" spans="3:8" x14ac:dyDescent="0.25">
      <c r="C34" s="93"/>
      <c r="D34" s="94"/>
      <c r="E34" s="90"/>
      <c r="F34" s="90"/>
      <c r="G34" s="90"/>
      <c r="H34" s="90"/>
    </row>
  </sheetData>
  <mergeCells count="8">
    <mergeCell ref="L4:L6"/>
    <mergeCell ref="E5:G5"/>
    <mergeCell ref="A2:G2"/>
    <mergeCell ref="A4:A6"/>
    <mergeCell ref="B4:B6"/>
    <mergeCell ref="C4:D5"/>
    <mergeCell ref="E4:G4"/>
    <mergeCell ref="H4:K5"/>
  </mergeCells>
  <pageMargins left="0.25" right="0.25" top="0.75" bottom="0.75" header="0.3" footer="0.3"/>
  <pageSetup paperSize="9" scale="63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G2" sqref="G2:G7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7.88671875" bestFit="1" customWidth="1"/>
    <col min="5" max="5" width="7.6640625" bestFit="1" customWidth="1"/>
    <col min="6" max="6" width="7.44140625" bestFit="1" customWidth="1"/>
    <col min="7" max="7" width="19.21875" bestFit="1" customWidth="1"/>
    <col min="8" max="8" width="8.109375" bestFit="1" customWidth="1"/>
    <col min="9" max="9" width="9.33203125" bestFit="1" customWidth="1"/>
    <col min="10" max="10" width="35.77734375" bestFit="1" customWidth="1"/>
    <col min="11" max="11" width="48.21875" bestFit="1" customWidth="1"/>
    <col min="12" max="12" width="16.6640625" bestFit="1" customWidth="1"/>
  </cols>
  <sheetData>
    <row r="1" spans="1:14" x14ac:dyDescent="0.3">
      <c r="A1" s="102" t="s">
        <v>74</v>
      </c>
      <c r="B1" s="102" t="s">
        <v>75</v>
      </c>
      <c r="C1" s="102" t="s">
        <v>76</v>
      </c>
      <c r="D1" s="102" t="s">
        <v>77</v>
      </c>
      <c r="E1" s="102" t="s">
        <v>78</v>
      </c>
      <c r="F1" s="102" t="s">
        <v>79</v>
      </c>
      <c r="G1" s="102" t="s">
        <v>80</v>
      </c>
      <c r="H1" s="102" t="s">
        <v>81</v>
      </c>
      <c r="I1" s="102" t="s">
        <v>82</v>
      </c>
      <c r="J1" s="102" t="s">
        <v>83</v>
      </c>
      <c r="K1" s="102" t="s">
        <v>84</v>
      </c>
      <c r="L1" s="102" t="s">
        <v>85</v>
      </c>
      <c r="M1" s="102" t="s">
        <v>86</v>
      </c>
      <c r="N1" s="102" t="s">
        <v>87</v>
      </c>
    </row>
    <row r="2" spans="1:14" x14ac:dyDescent="0.3">
      <c r="A2" s="103" t="s">
        <v>88</v>
      </c>
      <c r="B2" s="103" t="s">
        <v>89</v>
      </c>
      <c r="C2" s="103" t="s">
        <v>90</v>
      </c>
      <c r="D2" s="104">
        <v>225572.6</v>
      </c>
      <c r="E2" s="103" t="s">
        <v>91</v>
      </c>
      <c r="F2" s="103" t="s">
        <v>92</v>
      </c>
      <c r="G2" s="103" t="s">
        <v>73</v>
      </c>
      <c r="H2" s="103" t="s">
        <v>93</v>
      </c>
      <c r="I2" s="103" t="s">
        <v>94</v>
      </c>
      <c r="J2" s="103" t="s">
        <v>95</v>
      </c>
      <c r="K2" s="103" t="s">
        <v>96</v>
      </c>
      <c r="L2" s="103" t="s">
        <v>29</v>
      </c>
      <c r="M2" s="103" t="s">
        <v>97</v>
      </c>
      <c r="N2" s="103"/>
    </row>
    <row r="3" spans="1:14" x14ac:dyDescent="0.3">
      <c r="A3" s="103" t="s">
        <v>88</v>
      </c>
      <c r="B3" s="103" t="s">
        <v>98</v>
      </c>
      <c r="C3" s="103" t="s">
        <v>90</v>
      </c>
      <c r="D3" s="104">
        <v>152858.76</v>
      </c>
      <c r="E3" s="103" t="s">
        <v>91</v>
      </c>
      <c r="F3" s="103" t="s">
        <v>92</v>
      </c>
      <c r="G3" s="103" t="s">
        <v>73</v>
      </c>
      <c r="H3" s="103" t="s">
        <v>93</v>
      </c>
      <c r="I3" s="103" t="s">
        <v>99</v>
      </c>
      <c r="J3" s="103" t="s">
        <v>95</v>
      </c>
      <c r="K3" s="103" t="s">
        <v>96</v>
      </c>
      <c r="L3" s="103" t="s">
        <v>29</v>
      </c>
      <c r="M3" s="103" t="s">
        <v>97</v>
      </c>
      <c r="N3" s="103" t="s">
        <v>100</v>
      </c>
    </row>
    <row r="4" spans="1:14" x14ac:dyDescent="0.3">
      <c r="A4" s="103" t="s">
        <v>88</v>
      </c>
      <c r="B4" s="103" t="s">
        <v>101</v>
      </c>
      <c r="C4" s="103" t="s">
        <v>90</v>
      </c>
      <c r="D4" s="104">
        <v>167820.77</v>
      </c>
      <c r="E4" s="103" t="s">
        <v>91</v>
      </c>
      <c r="F4" s="103" t="s">
        <v>92</v>
      </c>
      <c r="G4" s="103" t="s">
        <v>73</v>
      </c>
      <c r="H4" s="103" t="s">
        <v>93</v>
      </c>
      <c r="I4" s="103" t="s">
        <v>102</v>
      </c>
      <c r="J4" s="103" t="s">
        <v>95</v>
      </c>
      <c r="K4" s="103" t="s">
        <v>96</v>
      </c>
      <c r="L4" s="103" t="s">
        <v>29</v>
      </c>
      <c r="M4" s="103" t="s">
        <v>97</v>
      </c>
      <c r="N4" s="103"/>
    </row>
    <row r="5" spans="1:14" x14ac:dyDescent="0.3">
      <c r="A5" s="103" t="s">
        <v>103</v>
      </c>
      <c r="B5" s="103" t="s">
        <v>104</v>
      </c>
      <c r="C5" s="103" t="s">
        <v>90</v>
      </c>
      <c r="D5" s="104">
        <v>367828.66</v>
      </c>
      <c r="E5" s="103" t="s">
        <v>91</v>
      </c>
      <c r="F5" s="103" t="s">
        <v>92</v>
      </c>
      <c r="G5" s="103" t="s">
        <v>73</v>
      </c>
      <c r="H5" s="103" t="s">
        <v>105</v>
      </c>
      <c r="I5" s="103" t="s">
        <v>106</v>
      </c>
      <c r="J5" s="103" t="s">
        <v>95</v>
      </c>
      <c r="K5" s="103" t="s">
        <v>96</v>
      </c>
      <c r="L5" s="103" t="s">
        <v>29</v>
      </c>
      <c r="M5" s="103" t="s">
        <v>97</v>
      </c>
      <c r="N5" s="103"/>
    </row>
    <row r="6" spans="1:14" x14ac:dyDescent="0.3">
      <c r="A6" s="103" t="s">
        <v>107</v>
      </c>
      <c r="B6" s="103" t="s">
        <v>108</v>
      </c>
      <c r="C6" s="103" t="s">
        <v>90</v>
      </c>
      <c r="D6" s="104">
        <v>348055.43</v>
      </c>
      <c r="E6" s="103" t="s">
        <v>91</v>
      </c>
      <c r="F6" s="103" t="s">
        <v>92</v>
      </c>
      <c r="G6" s="103" t="s">
        <v>73</v>
      </c>
      <c r="H6" s="103" t="s">
        <v>109</v>
      </c>
      <c r="I6" s="103" t="s">
        <v>110</v>
      </c>
      <c r="J6" s="103" t="s">
        <v>111</v>
      </c>
      <c r="K6" s="103" t="s">
        <v>112</v>
      </c>
      <c r="L6" s="103" t="s">
        <v>29</v>
      </c>
      <c r="M6" s="103" t="s">
        <v>113</v>
      </c>
      <c r="N6" s="103"/>
    </row>
    <row r="7" spans="1:14" x14ac:dyDescent="0.3">
      <c r="A7" s="103" t="s">
        <v>114</v>
      </c>
      <c r="B7" s="103" t="s">
        <v>115</v>
      </c>
      <c r="C7" s="103" t="s">
        <v>90</v>
      </c>
      <c r="D7" s="104">
        <v>331224.06</v>
      </c>
      <c r="E7" s="103" t="s">
        <v>91</v>
      </c>
      <c r="F7" s="103" t="s">
        <v>92</v>
      </c>
      <c r="G7" s="103" t="s">
        <v>73</v>
      </c>
      <c r="H7" s="103" t="s">
        <v>116</v>
      </c>
      <c r="I7" s="103" t="s">
        <v>117</v>
      </c>
      <c r="J7" s="103" t="s">
        <v>111</v>
      </c>
      <c r="K7" s="103" t="s">
        <v>112</v>
      </c>
      <c r="L7" s="103" t="s">
        <v>29</v>
      </c>
      <c r="M7" s="103" t="s">
        <v>97</v>
      </c>
      <c r="N7" s="103"/>
    </row>
    <row r="8" spans="1:14" x14ac:dyDescent="0.3">
      <c r="A8" s="103" t="s">
        <v>118</v>
      </c>
      <c r="B8" s="103" t="s">
        <v>119</v>
      </c>
      <c r="C8" s="103" t="s">
        <v>90</v>
      </c>
      <c r="D8" s="104">
        <v>293561.58</v>
      </c>
      <c r="E8" s="103" t="s">
        <v>91</v>
      </c>
      <c r="F8" s="103" t="s">
        <v>92</v>
      </c>
      <c r="G8" s="103" t="s">
        <v>73</v>
      </c>
      <c r="H8" s="103" t="s">
        <v>120</v>
      </c>
      <c r="I8" s="103" t="s">
        <v>121</v>
      </c>
      <c r="J8" s="103" t="s">
        <v>111</v>
      </c>
      <c r="K8" s="103" t="s">
        <v>112</v>
      </c>
      <c r="L8" s="103" t="s">
        <v>29</v>
      </c>
      <c r="M8" s="103" t="s">
        <v>97</v>
      </c>
      <c r="N8" s="1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СВОД</vt:lpstr>
      <vt:lpstr>АВР травень</vt:lpstr>
      <vt:lpstr>Субподряд</vt:lpstr>
      <vt:lpstr>'АВР травень'!Область_печати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2024-05-21T15:02:47Z</dcterms:modified>
</cp:coreProperties>
</file>
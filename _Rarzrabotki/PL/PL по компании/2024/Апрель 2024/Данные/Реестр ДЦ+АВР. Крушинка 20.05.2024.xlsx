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Богданюк\Крушинка\ФІН ПОДАЧА Погоджено-Замовник\"/>
    </mc:Choice>
  </mc:AlternateContent>
  <xr:revisionPtr revIDLastSave="0" documentId="13_ncr:1_{11DC8D16-936B-4798-832D-6DF3BAD2F46A}" xr6:coauthVersionLast="47" xr6:coauthVersionMax="47" xr10:uidLastSave="{00000000-0000-0000-0000-000000000000}"/>
  <bookViews>
    <workbookView xWindow="28692" yWindow="-108" windowWidth="29016" windowHeight="15696" tabRatio="531" firstSheet="3" activeTab="5" xr2:uid="{00000000-000D-0000-FFFF-FFFF00000000}"/>
  </bookViews>
  <sheets>
    <sheet name="ноябрь" sheetId="10" state="hidden" r:id="rId1"/>
    <sheet name="Реєстр ДЦ" sheetId="18" state="hidden" r:id="rId2"/>
    <sheet name="Реєстр АВР" sheetId="19" state="hidden" r:id="rId3"/>
    <sheet name="ДЦ Замовник" sheetId="21" r:id="rId4"/>
    <sheet name="Реєстр АВР " sheetId="22" r:id="rId5"/>
    <sheet name="АВР травень" sheetId="27" r:id="rId6"/>
    <sheet name="10 акт переносится" sheetId="25" state="hidden" r:id="rId7"/>
    <sheet name="материал Ладижин" sheetId="26" state="hidden" r:id="rId8"/>
    <sheet name="Пожарка подрядчик" sheetId="17" state="hidden" r:id="rId9"/>
    <sheet name="Лист1" sheetId="15" state="hidden" r:id="rId10"/>
  </sheets>
  <externalReferences>
    <externalReference r:id="rId11"/>
  </externalReferences>
  <definedNames>
    <definedName name="_xlnm._FilterDatabase" localSheetId="6" hidden="1">'10 акт переносится'!$A$7:$AD$31</definedName>
    <definedName name="_xlnm._FilterDatabase" localSheetId="5" hidden="1">'АВР травень'!#REF!</definedName>
    <definedName name="_xlnm._FilterDatabase" localSheetId="3" hidden="1">'ДЦ Замовник'!#REF!</definedName>
    <definedName name="_xlnm._FilterDatabase" localSheetId="7" hidden="1">'материал Ладижин'!$A$5:$E$24</definedName>
    <definedName name="_xlnm._FilterDatabase" localSheetId="0" hidden="1">ноябрь!$A$15:$N$19</definedName>
    <definedName name="_xlnm._FilterDatabase" localSheetId="8" hidden="1">'Пожарка подрядчик'!$A$4:$H$17</definedName>
    <definedName name="_xlnm._FilterDatabase" localSheetId="4" hidden="1">'Реєстр АВР '!$A$7:$K$12</definedName>
    <definedName name="_xlnm.Print_Area" localSheetId="6">'10 акт переносится'!$A$2:$Y$72</definedName>
    <definedName name="_xlnm.Print_Area" localSheetId="5">'АВР травень'!$A$2:$G$19</definedName>
    <definedName name="_xlnm.Print_Area" localSheetId="3">'ДЦ Замовник'!$B$1:$R$35</definedName>
    <definedName name="_xlnm.Print_Area" localSheetId="7">'материал Ладижин'!$A$2:$C$59</definedName>
    <definedName name="_xlnm.Print_Area" localSheetId="0">ноябрь!$A$1:$I$27</definedName>
    <definedName name="_xlnm.Print_Area" localSheetId="8">'Пожарка подрядчик'!$A$1:$F$23</definedName>
    <definedName name="_xlnm.Print_Area" localSheetId="2">'Реєстр АВР'!$A$1:$P$18</definedName>
    <definedName name="_xlnm.Print_Area" localSheetId="4">'Реєстр АВР '!$A$2:$G$60</definedName>
  </definedNames>
  <calcPr calcId="181029" refMode="R1C1"/>
</workbook>
</file>

<file path=xl/calcChain.xml><?xml version="1.0" encoding="utf-8"?>
<calcChain xmlns="http://schemas.openxmlformats.org/spreadsheetml/2006/main">
  <c r="J18" i="27" l="1"/>
  <c r="K18" i="27"/>
  <c r="I18" i="27"/>
  <c r="J11" i="27"/>
  <c r="I11" i="27"/>
  <c r="F18" i="27"/>
  <c r="J7" i="27"/>
  <c r="I7" i="27"/>
  <c r="I10" i="27"/>
  <c r="J10" i="27" s="1"/>
  <c r="F22" i="27"/>
  <c r="I17" i="27"/>
  <c r="J17" i="27" s="1"/>
  <c r="I16" i="27"/>
  <c r="J16" i="27" s="1"/>
  <c r="J15" i="27"/>
  <c r="I14" i="27"/>
  <c r="J14" i="27" s="1"/>
  <c r="F13" i="27"/>
  <c r="I12" i="27"/>
  <c r="J12" i="27" s="1"/>
  <c r="I9" i="27"/>
  <c r="J9" i="27" s="1"/>
  <c r="I8" i="27"/>
  <c r="J8" i="27" s="1"/>
  <c r="D18" i="27"/>
  <c r="J34" i="22"/>
  <c r="I34" i="22"/>
  <c r="I49" i="22"/>
  <c r="J49" i="22" s="1"/>
  <c r="I33" i="22"/>
  <c r="J33" i="22" s="1"/>
  <c r="I43" i="22"/>
  <c r="J43" i="22" s="1"/>
  <c r="J50" i="22"/>
  <c r="F63" i="22"/>
  <c r="I31" i="22"/>
  <c r="J31" i="22" s="1"/>
  <c r="I32" i="22"/>
  <c r="I30" i="22"/>
  <c r="J30" i="22" s="1"/>
  <c r="I29" i="22"/>
  <c r="J29" i="22" s="1"/>
  <c r="G31" i="21"/>
  <c r="F57" i="22"/>
  <c r="I57" i="22" s="1"/>
  <c r="J57" i="22" s="1"/>
  <c r="I48" i="22"/>
  <c r="J48" i="22" s="1"/>
  <c r="I55" i="22"/>
  <c r="J55" i="22" s="1"/>
  <c r="I28" i="22"/>
  <c r="J28" i="22" s="1"/>
  <c r="T14" i="21"/>
  <c r="I51" i="22"/>
  <c r="J51" i="22" s="1"/>
  <c r="J42" i="22"/>
  <c r="J41" i="22"/>
  <c r="I40" i="22"/>
  <c r="J40" i="22" s="1"/>
  <c r="J39" i="22"/>
  <c r="J38" i="22"/>
  <c r="J37" i="22"/>
  <c r="N31" i="21"/>
  <c r="O15" i="21"/>
  <c r="O17" i="21"/>
  <c r="E18" i="21"/>
  <c r="E17" i="21"/>
  <c r="E16" i="21"/>
  <c r="E15" i="21"/>
  <c r="E14" i="21"/>
  <c r="E13" i="21"/>
  <c r="E12" i="21"/>
  <c r="E10" i="21"/>
  <c r="E11" i="21"/>
  <c r="E19" i="21"/>
  <c r="E20" i="21"/>
  <c r="E21" i="21"/>
  <c r="E22" i="21"/>
  <c r="E23" i="21"/>
  <c r="F9" i="21"/>
  <c r="F31" i="21" s="1"/>
  <c r="F58" i="22"/>
  <c r="I58" i="22" s="1"/>
  <c r="J58" i="22" s="1"/>
  <c r="I46" i="22"/>
  <c r="J46" i="22" s="1"/>
  <c r="I56" i="22"/>
  <c r="J56" i="22" s="1"/>
  <c r="F44" i="22"/>
  <c r="I44" i="22" s="1"/>
  <c r="J44" i="22" s="1"/>
  <c r="I13" i="27" l="1"/>
  <c r="J13" i="27" s="1"/>
  <c r="F59" i="22"/>
  <c r="J32" i="22"/>
  <c r="E31" i="21"/>
  <c r="E9" i="21"/>
  <c r="I27" i="22"/>
  <c r="J27" i="22" s="1"/>
  <c r="J47" i="22"/>
  <c r="D7" i="22"/>
  <c r="I7" i="22"/>
  <c r="I10" i="22"/>
  <c r="J10" i="22" s="1"/>
  <c r="I11" i="22"/>
  <c r="J11" i="22" s="1"/>
  <c r="D13" i="22"/>
  <c r="I13" i="22"/>
  <c r="K13" i="22" s="1"/>
  <c r="K14" i="22"/>
  <c r="I15" i="22"/>
  <c r="K15" i="22" s="1"/>
  <c r="I16" i="22"/>
  <c r="K16" i="22" s="1"/>
  <c r="J17" i="22"/>
  <c r="J18" i="22"/>
  <c r="I19" i="22"/>
  <c r="K19" i="22"/>
  <c r="I20" i="22"/>
  <c r="J20" i="22" s="1"/>
  <c r="I21" i="22"/>
  <c r="J21" i="22" s="1"/>
  <c r="I22" i="22"/>
  <c r="J22" i="22" s="1"/>
  <c r="I23" i="22"/>
  <c r="J23" i="22" s="1"/>
  <c r="I24" i="22"/>
  <c r="J24" i="22" s="1"/>
  <c r="I25" i="22"/>
  <c r="J25" i="22" s="1"/>
  <c r="I26" i="22"/>
  <c r="J26" i="22" s="1"/>
  <c r="I45" i="22"/>
  <c r="J45" i="22" s="1"/>
  <c r="I52" i="22"/>
  <c r="J52" i="22" s="1"/>
  <c r="I53" i="22"/>
  <c r="J53" i="22" s="1"/>
  <c r="I54" i="22"/>
  <c r="J54" i="22" s="1"/>
  <c r="I59" i="22" l="1"/>
  <c r="K59" i="22"/>
  <c r="D59" i="22"/>
  <c r="J7" i="22"/>
  <c r="J19" i="22"/>
  <c r="J59" i="22" l="1"/>
  <c r="P11" i="21" l="1"/>
  <c r="O11" i="21" s="1"/>
  <c r="O31" i="21" s="1"/>
  <c r="P31" i="21" l="1"/>
  <c r="H31" i="21" l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C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s="1"/>
  <c r="H9" i="18" l="1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PTO</author>
  </authors>
  <commentList>
    <comment ref="Z37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 shapeId="0" xr:uid="{00000000-0006-0000-0500-000003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 shapeId="0" xr:uid="{00000000-0006-0000-0500-000004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 shapeId="0" xr:uid="{00000000-0006-0000-0500-000005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 shapeId="0" xr:uid="{00000000-0006-0000-0500-000006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 shapeId="0" xr:uid="{00000000-0006-0000-0500-000007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 shapeId="0" xr:uid="{00000000-0006-0000-0500-000008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 shapeId="0" xr:uid="{00000000-0006-0000-0500-000009000000}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<sst xmlns="http://schemas.openxmlformats.org/spreadsheetml/2006/main" count="622" uniqueCount="266">
  <si>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</si>
  <si>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</si>
  <si>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</si>
  <si>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</si>
  <si>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</si>
  <si>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</si>
  <si>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</si>
  <si>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</si>
  <si>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</si>
  <si>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</si>
  <si>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</si>
  <si>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</si>
  <si>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</si>
  <si>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</si>
  <si>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</si>
  <si>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</si>
  <si>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</si>
  <si>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</si>
  <si>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</si>
  <si>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</si>
  <si>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</si>
  <si>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</si>
  <si>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</si>
  <si>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</si>
  <si>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</si>
  <si>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</si>
  <si>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</si>
  <si>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</si>
  <si>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</si>
  <si>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</si>
  <si>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</si>
  <si>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</si>
  <si>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</si>
  <si>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</si>
  <si>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</si>
  <si>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</si>
  <si>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</si>
  <si>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</si>
  <si>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</si>
  <si>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</si>
  <si>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</si>
  <si>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</si>
  <si>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</si>
  <si>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</si>
  <si>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</si>
  <si>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</si>
  <si>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</si>
  <si>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</si>
  <si>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</si>
  <si>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</si>
  <si>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</si>
  <si>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</si>
  <si>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</si>
  <si>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</si>
  <si>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</si>
  <si>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</si>
  <si>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</si>
  <si>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</si>
  <si>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</si>
  <si>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</si>
  <si>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</si>
  <si>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</si>
  <si>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</si>
  <si>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</si>
  <si>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</si>
  <si>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</si>
  <si>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</si>
  <si>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</si>
  <si>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</si>
  <si>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</si>
  <si>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</si>
  <si>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</si>
  <si>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</si>
  <si>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</si>
  <si>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</si>
  <si>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</si>
  <si>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</si>
  <si>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</si>
  <si>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</si>
  <si>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</si>
  <si>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</si>
  <si>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</si>
  <si>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</si>
  <si>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</si>
  <si>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</si>
  <si>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</si>
  <si>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</si>
  <si>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</si>
  <si>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</si>
  <si>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</si>
  <si>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</si>
  <si>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</si>
  <si>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</si>
  <si>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</si>
  <si>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</si>
  <si>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</si>
  <si>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</si>
  <si>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</si>
  <si>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</si>
  <si>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</si>
  <si>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</si>
  <si>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</si>
  <si>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</si>
  <si>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</si>
  <si>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</si>
  <si>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</si>
  <si>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</si>
  <si>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</si>
  <si>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</si>
  <si>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</si>
  <si>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</si>
  <si>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</si>
  <si>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</si>
  <si>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</si>
  <si>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</si>
  <si>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</si>
  <si>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</si>
  <si>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</si>
  <si>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r>
      <t xml:space="preserve">Підрядник: </t>
    </r>
    <r>
      <rPr>
        <sz val="11"/>
        <color indexed="8"/>
        <rFont val="Times New Roman"/>
        <family val="1"/>
        <charset val="204"/>
      </rPr>
      <t>ТОВ "ІНДАСТРІАЛБУД"</t>
    </r>
  </si>
  <si>
    <t>ВСЬОГО вартість погоджених ДЦ, грн з ПДВ</t>
  </si>
  <si>
    <t>матеріал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</si>
  <si>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</si>
  <si>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</si>
  <si>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</si>
  <si>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</si>
  <si>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</si>
  <si>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</si>
  <si>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</si>
  <si>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</si>
  <si>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</si>
  <si>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</si>
  <si>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</si>
  <si>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</si>
  <si>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</si>
  <si>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</si>
  <si>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</si>
  <si>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</si>
  <si>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</si>
  <si>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</si>
  <si>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</si>
  <si>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</si>
  <si>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</si>
  <si>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</si>
  <si>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</si>
  <si>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</si>
  <si>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</si>
  <si>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</si>
  <si>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</si>
  <si>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</si>
  <si>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</si>
  <si>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</si>
  <si>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</si>
  <si>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</si>
  <si>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</si>
  <si>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</si>
  <si>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</si>
  <si>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</si>
  <si>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</si>
  <si>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</si>
  <si>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</si>
  <si>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</si>
  <si>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</si>
  <si>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</si>
  <si>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</si>
  <si>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</si>
  <si>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</si>
  <si>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</si>
  <si>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</si>
  <si>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</si>
  <si>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</si>
  <si>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</si>
  <si>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</si>
  <si>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</si>
  <si>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</si>
  <si>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</si>
  <si>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</si>
  <si>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</si>
  <si>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</si>
  <si>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</si>
  <si>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</si>
  <si>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</si>
  <si>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</si>
  <si>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</si>
  <si>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</si>
  <si>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</si>
  <si>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</si>
  <si>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</si>
  <si>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</si>
  <si>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№, період, статус 2023 р.</t>
  </si>
  <si>
    <t>статус</t>
  </si>
  <si>
    <t>Найменування договірної ціни</t>
  </si>
  <si>
    <t>оригінал</t>
  </si>
  <si>
    <t>Земляні роботи</t>
  </si>
  <si>
    <t>Конструкції залізобетонні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</si>
  <si>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"Нове будівництво виробничого комплексу центру передових технологій в
с.Крушинка, Фастівського району, Київської області"</t>
    </r>
  </si>
  <si>
    <r>
      <t xml:space="preserve">Замовник: </t>
    </r>
    <r>
      <rPr>
        <sz val="11"/>
        <color indexed="8"/>
        <rFont val="Times New Roman"/>
        <family val="1"/>
        <charset val="204"/>
      </rPr>
      <t xml:space="preserve">ТОВ «АВІА ВЕНЧУРС»  </t>
    </r>
  </si>
  <si>
    <r>
      <t xml:space="preserve">Договір </t>
    </r>
    <r>
      <rPr>
        <sz val="11"/>
        <color indexed="8"/>
        <rFont val="Times New Roman"/>
        <family val="1"/>
        <charset val="204"/>
      </rPr>
      <t xml:space="preserve">№ 20230815-3  від “15 ” серпня  2023  р.  </t>
    </r>
  </si>
  <si>
    <t xml:space="preserve">ДУ №1 від 20.09.2023 р. до Договору №20230815-3 від 15.08.2023 р.  </t>
  </si>
  <si>
    <t>Будівельне водозниження</t>
  </si>
  <si>
    <t xml:space="preserve">ДУ №2 від 22.09.2023 р. до Договору №20230815-3 від 15.08.2023 р.  </t>
  </si>
  <si>
    <t>Найменування субпідрядної організації</t>
  </si>
  <si>
    <t xml:space="preserve">ТОВ «ДНІПРО АКВАБУД ІНВЕСТ»  </t>
  </si>
  <si>
    <t>СУБПІДРЯД</t>
  </si>
  <si>
    <t>підписано</t>
  </si>
  <si>
    <t>Водозниження</t>
  </si>
  <si>
    <t>ДУ№2</t>
  </si>
  <si>
    <t>Гідроізоляція автоклаву</t>
  </si>
  <si>
    <t>Гідроізоляція котловану</t>
  </si>
  <si>
    <t>Договір № F-20231127-1 від 27.11.2023 р.</t>
  </si>
  <si>
    <t xml:space="preserve">ДУ №1 від 27.11.2023 р. до Договору № F-20231127-1 від 27.11.2023 р.  </t>
  </si>
  <si>
    <t>Каналізація (в плиті)</t>
  </si>
  <si>
    <t>Хім.анкера (дефектний акт №5)</t>
  </si>
  <si>
    <t>ДУ №4 від 04.01.2024 р. до Договору №20230815-3 від 15.08.2023 р.</t>
  </si>
  <si>
    <t>Каналізація в плиті</t>
  </si>
  <si>
    <t>Підписано</t>
  </si>
  <si>
    <t>ДУ №3 від 26.12.2023 р. до Договору №20230815-3 від 15.08.2023 р.</t>
  </si>
  <si>
    <t>ДУ№1</t>
  </si>
  <si>
    <t>№ F-20231127-1</t>
  </si>
  <si>
    <t>Гідрошпонка</t>
  </si>
  <si>
    <t xml:space="preserve">ДУ №2 від 17.01.2024 р. до Договору № F-20231127-1 від 27.11.2023 р.  </t>
  </si>
  <si>
    <t>Електрообігрів бетону</t>
  </si>
  <si>
    <t>ДУ №5 від 17.01.2024 р. до Договору №20230815-3 від 15.08.2023 р.</t>
  </si>
  <si>
    <t>ДУ №6 від 22.01.2024 р. до Договору №20230815-3 від 15.08.2023 р.</t>
  </si>
  <si>
    <t>Зворотня засипка піском</t>
  </si>
  <si>
    <t>Заїзд в котлован</t>
  </si>
  <si>
    <t>Армування підбетонки; Двері; Бентонітовий шнур</t>
  </si>
  <si>
    <t>Армування підбетонки приямків сіткою+Двері+Бентонітовий шнур</t>
  </si>
  <si>
    <t>Найменування будівництва та його адреса: Нове будівництво виробничого комплексу центру передових технологій за адресою: вул. Авіаційна,
с.Крушинка, Фастівського району, Київської області</t>
  </si>
  <si>
    <t>Робота з ПДВ,грн</t>
  </si>
  <si>
    <t>Матеріали з ПДВ,грн</t>
  </si>
  <si>
    <t>Всього по ДЦ з ПДВ, грн</t>
  </si>
  <si>
    <t>Собівартість,грн</t>
  </si>
  <si>
    <t>Коментарі</t>
  </si>
  <si>
    <t>ДУ №7 від 24.01.2024 р. до Договору №20230815-3 від 15.08.2023 р.</t>
  </si>
  <si>
    <t>ДУ№3</t>
  </si>
  <si>
    <t>ДУ №8 від 07.03.2024 р. до Договору №20230815-3 від 15.08.2023 р.</t>
  </si>
  <si>
    <t>ДУ №9 від 07.03.2024 р. до Договору №20230815-3 від 15.08.2023 р.</t>
  </si>
  <si>
    <t>не підписано</t>
  </si>
  <si>
    <t>7</t>
  </si>
  <si>
    <t>8</t>
  </si>
  <si>
    <t>9</t>
  </si>
  <si>
    <t>10</t>
  </si>
  <si>
    <t>Дорога до відвалу +Водовідведення Зумпф,дорога для крана</t>
  </si>
  <si>
    <t>Влаштування ЗУМПФ+водовідведення+ дорога для крану+дорога у відвал</t>
  </si>
  <si>
    <t>тн замовника</t>
  </si>
  <si>
    <t>погодження об'ємів</t>
  </si>
  <si>
    <t>ДУ10</t>
  </si>
  <si>
    <t>ДУ11</t>
  </si>
  <si>
    <t>ДУ №10 від .2024 р. до Договору №20230815-3 від 15.08.2023 р.</t>
  </si>
  <si>
    <t>ДУ №11 від .2024 р. до Договору №20230815-3 від 15.08.2023 р.</t>
  </si>
  <si>
    <t>Водозниження (ВУХО)</t>
  </si>
  <si>
    <t>оригінал на підпис у замовника</t>
  </si>
  <si>
    <t>17 травня</t>
  </si>
  <si>
    <t>17травня</t>
  </si>
  <si>
    <t>бентонвтовий шнур</t>
  </si>
  <si>
    <t>кошторисник замовника</t>
  </si>
  <si>
    <t>стіни підвалу</t>
  </si>
  <si>
    <t>гідроізоляція ст.фундаментів</t>
  </si>
  <si>
    <t>водозниження</t>
  </si>
  <si>
    <t>каналізація в плиті</t>
  </si>
  <si>
    <t>зворотня засипка піском</t>
  </si>
  <si>
    <t>водозниження (вухо)</t>
  </si>
  <si>
    <t>гідрошпонка</t>
  </si>
  <si>
    <t>готується документація</t>
  </si>
  <si>
    <t xml:space="preserve">Земляні роботи </t>
  </si>
  <si>
    <t>Розробка котловану ВУХО. Зворотня засипка 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</si>
</sst>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164" formatCode="_-* #,##0.00\ _₽_-;\-* #,##0.00\ _₽_-;_-* &quot;-&quot;??\ _₽_-;_-@_-"/>
    <numFmt numFmtId="165" formatCode="_-* #,##0.00\ _₴_-;\-* #,##0.00\ _₴_-;_-* &quot;-&quot;??\ _₴_-;_-@_-"/>
    <numFmt numFmtId="166" formatCode="_-* #,##0.00_₴_-;\-* #,##0.00_₴_-;_-* &quot;-&quot;??_₴_-;_-@_-"/>
    <numFmt numFmtId="167" formatCode="_-* #,##0.00_р_._-;\-* #,##0.00_р_._-;_-* &quot;-&quot;??_р_._-;_-@_-"/>
    <numFmt numFmtId="168" formatCode="#,##0.00\ _₴"/>
    <numFmt numFmtId="169" formatCode="#,##0.0\ _₴"/>
    <numFmt numFmtId="170" formatCode="#,##0.000\ _₴"/>
    <numFmt numFmtId="171" formatCode="_-* #,##0.00\ _г_р_н_._-;\-* #,##0.00\ _г_р_н_._-;_-* &quot;-&quot;??\ _г_р_н_._-;_-@_-"/>
    <numFmt numFmtId="172" formatCode="#,##0.00\ _₽;[Red]#,##0.00\ _₽"/>
    <numFmt numFmtId="173" formatCode="#,##0\ _₴"/>
    <numFmt numFmtId="174" formatCode="_-* #,##0.00\ _₴_-;\-* #,##0.00\ _₴_-;_-* &quot;-&quot;\ _₴_-;_-@_-"/>
    <numFmt numFmtId="175" formatCode="#,##0.00\ _₽"/>
    <numFmt numFmtId="176" formatCode="#,##0_ ;\-#,##0\ "/>
    <numFmt numFmtId="177" formatCode="_-* #,##0\ _₴_-;\-* #,##0\ _₴_-;_-* &quot;-&quot;??\ _₴_-;_-@_-"/>
    <numFmt numFmtId="178" formatCode="[$-F800]dddd\,\ mmmm\ dd\,\ yyyy"/>
    <numFmt numFmtId="179" formatCode="#,##0.00;[Red]#,##0.00"/>
    <numFmt numFmtId="183" formatCode="_-* #,##0\ _₽_-;\-* #,##0\ _₽_-;_-* &quot;-&quot;??\ _₽_-;_-@_-"/>
  </numFmts>
  <fonts count="56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sz val="11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0"/>
      <name val="Arial Cyr"/>
      <charset val="204"/>
    </font>
    <font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4C6B2"/>
        <bgColor indexed="64"/>
      </patternFill>
    </fill>
    <fill>
      <patternFill patternType="solid">
        <fgColor theme="5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5" fillId="0" borderId="0"/>
    <xf numFmtId="166" fontId="5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9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21" fillId="0" borderId="0"/>
    <xf numFmtId="0" fontId="11" fillId="0" borderId="0"/>
    <xf numFmtId="0" fontId="23" fillId="0" borderId="0"/>
    <xf numFmtId="0" fontId="9" fillId="0" borderId="0"/>
    <xf numFmtId="0" fontId="3" fillId="0" borderId="0"/>
    <xf numFmtId="0" fontId="21" fillId="0" borderId="0"/>
    <xf numFmtId="171" fontId="2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1" fillId="0" borderId="0"/>
    <xf numFmtId="0" fontId="21" fillId="0" borderId="0"/>
  </cellStyleXfs>
  <cellXfs count="949">
    <xf numFmtId="0" fontId="0" fillId="0" borderId="0" xfId="0"/>
    <xf numFmtId="0" fontId="13" fillId="2" borderId="2" xfId="3" applyFont="1" applyFill="1" applyBorder="1" applyAlignment="1">
      <alignment horizontal="left" vertical="top" wrapText="1"/>
    </xf>
    <xf numFmtId="4" fontId="14" fillId="2" borderId="2" xfId="1" applyNumberFormat="1" applyFont="1" applyFill="1" applyBorder="1" applyAlignment="1">
      <alignment horizontal="left" vertical="top"/>
    </xf>
    <xf numFmtId="0" fontId="13" fillId="0" borderId="0" xfId="1" applyFont="1"/>
    <xf numFmtId="0" fontId="17" fillId="0" borderId="0" xfId="1" applyFont="1"/>
    <xf numFmtId="168" fontId="13" fillId="0" borderId="0" xfId="1" applyNumberFormat="1" applyFont="1"/>
    <xf numFmtId="0" fontId="15" fillId="2" borderId="0" xfId="1" applyFont="1" applyFill="1" applyAlignment="1">
      <alignment horizontal="left" wrapText="1"/>
    </xf>
    <xf numFmtId="168" fontId="18" fillId="0" borderId="0" xfId="1" applyNumberFormat="1" applyFont="1" applyAlignment="1">
      <alignment horizontal="center" vertical="center"/>
    </xf>
    <xf numFmtId="168" fontId="18" fillId="2" borderId="0" xfId="1" applyNumberFormat="1" applyFont="1" applyFill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2" borderId="2" xfId="1" applyFont="1" applyFill="1" applyBorder="1" applyAlignment="1">
      <alignment horizontal="center" vertical="center" wrapText="1"/>
    </xf>
    <xf numFmtId="0" fontId="13" fillId="2" borderId="2" xfId="1" applyFont="1" applyFill="1" applyBorder="1" applyAlignment="1">
      <alignment horizontal="center" vertical="center"/>
    </xf>
    <xf numFmtId="168" fontId="13" fillId="2" borderId="2" xfId="1" applyNumberFormat="1" applyFont="1" applyFill="1" applyBorder="1" applyAlignment="1">
      <alignment vertical="center"/>
    </xf>
    <xf numFmtId="49" fontId="13" fillId="2" borderId="2" xfId="1" applyNumberFormat="1" applyFont="1" applyFill="1" applyBorder="1" applyAlignment="1">
      <alignment vertical="center"/>
    </xf>
    <xf numFmtId="4" fontId="13" fillId="2" borderId="2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168" fontId="13" fillId="0" borderId="2" xfId="1" applyNumberFormat="1" applyFont="1" applyBorder="1" applyAlignment="1">
      <alignment vertical="center"/>
    </xf>
    <xf numFmtId="0" fontId="13" fillId="2" borderId="2" xfId="1" applyFont="1" applyFill="1" applyBorder="1" applyAlignment="1">
      <alignment vertical="center" wrapText="1"/>
    </xf>
    <xf numFmtId="168" fontId="17" fillId="2" borderId="2" xfId="1" applyNumberFormat="1" applyFont="1" applyFill="1" applyBorder="1" applyAlignment="1">
      <alignment horizontal="center" vertical="center" wrapText="1"/>
    </xf>
    <xf numFmtId="0" fontId="13" fillId="2" borderId="2" xfId="1" applyFont="1" applyFill="1" applyBorder="1" applyAlignment="1">
      <alignment vertical="center"/>
    </xf>
    <xf numFmtId="0" fontId="13" fillId="0" borderId="0" xfId="1" applyFont="1" applyAlignment="1">
      <alignment vertical="center"/>
    </xf>
    <xf numFmtId="49" fontId="18" fillId="2" borderId="2" xfId="2" applyNumberFormat="1" applyFont="1" applyFill="1" applyBorder="1" applyAlignment="1">
      <alignment vertical="center"/>
    </xf>
    <xf numFmtId="168" fontId="18" fillId="2" borderId="2" xfId="2" applyNumberFormat="1" applyFont="1" applyFill="1" applyBorder="1" applyAlignment="1">
      <alignment vertical="center"/>
    </xf>
    <xf numFmtId="0" fontId="18" fillId="0" borderId="2" xfId="1" applyFont="1" applyBorder="1" applyAlignment="1">
      <alignment vertical="center"/>
    </xf>
    <xf numFmtId="0" fontId="18" fillId="0" borderId="0" xfId="1" applyFont="1" applyAlignment="1">
      <alignment vertical="center"/>
    </xf>
    <xf numFmtId="0" fontId="18" fillId="0" borderId="0" xfId="1" applyFont="1" applyAlignment="1">
      <alignment horizontal="center" vertical="center"/>
    </xf>
    <xf numFmtId="0" fontId="20" fillId="0" borderId="0" xfId="1" applyFont="1" applyAlignment="1">
      <alignment vertical="center"/>
    </xf>
    <xf numFmtId="168" fontId="18" fillId="0" borderId="0" xfId="1" applyNumberFormat="1" applyFont="1" applyAlignment="1">
      <alignment vertical="center"/>
    </xf>
    <xf numFmtId="0" fontId="13" fillId="0" borderId="0" xfId="1" applyFont="1" applyAlignment="1">
      <alignment horizontal="left" vertical="center"/>
    </xf>
    <xf numFmtId="0" fontId="13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168" fontId="13" fillId="0" borderId="0" xfId="1" applyNumberFormat="1" applyFont="1" applyAlignment="1">
      <alignment horizontal="center"/>
    </xf>
    <xf numFmtId="0" fontId="14" fillId="0" borderId="0" xfId="1" applyFont="1"/>
    <xf numFmtId="166" fontId="13" fillId="2" borderId="0" xfId="2" applyFont="1" applyFill="1" applyAlignment="1">
      <alignment horizontal="center"/>
    </xf>
    <xf numFmtId="168" fontId="13" fillId="2" borderId="0" xfId="2" applyNumberFormat="1" applyFont="1" applyFill="1" applyAlignment="1">
      <alignment horizontal="center"/>
    </xf>
    <xf numFmtId="168" fontId="14" fillId="2" borderId="0" xfId="1" applyNumberFormat="1" applyFont="1" applyFill="1"/>
    <xf numFmtId="168" fontId="14" fillId="0" borderId="0" xfId="1" applyNumberFormat="1" applyFont="1"/>
    <xf numFmtId="0" fontId="14" fillId="2" borderId="0" xfId="1" applyFont="1" applyFill="1" applyAlignment="1">
      <alignment horizontal="center" vertical="center"/>
    </xf>
    <xf numFmtId="168" fontId="13" fillId="2" borderId="2" xfId="1" applyNumberFormat="1" applyFont="1" applyFill="1" applyBorder="1" applyAlignment="1">
      <alignment horizontal="center" vertical="center"/>
    </xf>
    <xf numFmtId="168" fontId="13" fillId="2" borderId="2" xfId="1" applyNumberFormat="1" applyFont="1" applyFill="1" applyBorder="1" applyAlignment="1">
      <alignment horizontal="left" vertical="center"/>
    </xf>
    <xf numFmtId="168" fontId="13" fillId="0" borderId="2" xfId="1" applyNumberFormat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17" fontId="19" fillId="2" borderId="2" xfId="3" applyNumberFormat="1" applyFont="1" applyFill="1" applyBorder="1" applyAlignment="1">
      <alignment horizontal="center" vertical="center"/>
    </xf>
    <xf numFmtId="17" fontId="17" fillId="2" borderId="2" xfId="3" applyNumberFormat="1" applyFont="1" applyFill="1" applyBorder="1" applyAlignment="1">
      <alignment horizontal="center" vertical="center"/>
    </xf>
    <xf numFmtId="168" fontId="18" fillId="2" borderId="2" xfId="3" applyNumberFormat="1" applyFont="1" applyFill="1" applyBorder="1" applyAlignment="1">
      <alignment horizontal="center"/>
    </xf>
    <xf numFmtId="0" fontId="18" fillId="2" borderId="2" xfId="3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17" fontId="13" fillId="2" borderId="2" xfId="3" applyNumberFormat="1" applyFont="1" applyFill="1" applyBorder="1" applyAlignment="1">
      <alignment horizontal="center" vertical="center"/>
    </xf>
    <xf numFmtId="168" fontId="13" fillId="2" borderId="2" xfId="3" applyNumberFormat="1" applyFont="1" applyFill="1" applyBorder="1" applyAlignment="1">
      <alignment horizontal="center"/>
    </xf>
    <xf numFmtId="0" fontId="13" fillId="2" borderId="2" xfId="3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169" fontId="13" fillId="0" borderId="2" xfId="1" applyNumberFormat="1" applyFont="1" applyBorder="1" applyAlignment="1">
      <alignment horizontal="center" vertical="center"/>
    </xf>
    <xf numFmtId="170" fontId="13" fillId="0" borderId="0" xfId="1" applyNumberFormat="1" applyFont="1" applyAlignment="1">
      <alignment horizontal="center" vertical="center"/>
    </xf>
    <xf numFmtId="170" fontId="13" fillId="0" borderId="2" xfId="1" applyNumberFormat="1" applyFont="1" applyBorder="1" applyAlignment="1">
      <alignment horizontal="center" vertical="center"/>
    </xf>
    <xf numFmtId="170" fontId="18" fillId="0" borderId="0" xfId="1" applyNumberFormat="1" applyFont="1" applyAlignment="1">
      <alignment horizontal="center" vertical="center"/>
    </xf>
    <xf numFmtId="170" fontId="14" fillId="0" borderId="0" xfId="1" applyNumberFormat="1" applyFont="1" applyAlignment="1">
      <alignment horizontal="center" vertical="center"/>
    </xf>
    <xf numFmtId="168" fontId="13" fillId="3" borderId="0" xfId="1" applyNumberFormat="1" applyFont="1" applyFill="1"/>
    <xf numFmtId="168" fontId="15" fillId="2" borderId="0" xfId="1" applyNumberFormat="1" applyFont="1" applyFill="1" applyAlignment="1">
      <alignment horizontal="left" wrapText="1"/>
    </xf>
    <xf numFmtId="168" fontId="14" fillId="2" borderId="0" xfId="1" applyNumberFormat="1" applyFont="1" applyFill="1" applyAlignment="1">
      <alignment horizontal="left"/>
    </xf>
    <xf numFmtId="0" fontId="13" fillId="2" borderId="0" xfId="1" applyFont="1" applyFill="1"/>
    <xf numFmtId="0" fontId="17" fillId="2" borderId="0" xfId="1" applyFont="1" applyFill="1"/>
    <xf numFmtId="168" fontId="13" fillId="2" borderId="0" xfId="1" applyNumberFormat="1" applyFont="1" applyFill="1"/>
    <xf numFmtId="170" fontId="13" fillId="2" borderId="0" xfId="1" applyNumberFormat="1" applyFont="1" applyFill="1" applyAlignment="1">
      <alignment horizontal="center" vertical="center"/>
    </xf>
    <xf numFmtId="168" fontId="15" fillId="2" borderId="0" xfId="2" applyNumberFormat="1" applyFont="1" applyFill="1" applyBorder="1" applyAlignment="1">
      <alignment horizontal="left" vertical="center" wrapText="1"/>
    </xf>
    <xf numFmtId="168" fontId="15" fillId="2" borderId="0" xfId="1" applyNumberFormat="1" applyFont="1" applyFill="1" applyAlignment="1">
      <alignment horizontal="left" vertical="center" wrapText="1"/>
    </xf>
    <xf numFmtId="0" fontId="13" fillId="2" borderId="2" xfId="1" applyFont="1" applyFill="1" applyBorder="1" applyAlignment="1">
      <alignment horizontal="center" vertical="top" wrapText="1"/>
    </xf>
    <xf numFmtId="0" fontId="13" fillId="2" borderId="2" xfId="1" applyFont="1" applyFill="1" applyBorder="1" applyAlignment="1">
      <alignment horizontal="left" vertical="center" wrapText="1"/>
    </xf>
    <xf numFmtId="166" fontId="18" fillId="0" borderId="0" xfId="2" applyFont="1" applyFill="1" applyBorder="1" applyAlignment="1">
      <alignment horizontal="center" vertical="center"/>
    </xf>
    <xf numFmtId="168" fontId="18" fillId="0" borderId="0" xfId="2" applyNumberFormat="1" applyFont="1" applyFill="1" applyBorder="1" applyAlignment="1">
      <alignment horizontal="center" vertical="center"/>
    </xf>
    <xf numFmtId="168" fontId="18" fillId="0" borderId="0" xfId="2" applyNumberFormat="1" applyFont="1" applyFill="1" applyBorder="1" applyAlignment="1"/>
    <xf numFmtId="166" fontId="13" fillId="0" borderId="0" xfId="2" applyFont="1" applyFill="1" applyBorder="1" applyAlignment="1">
      <alignment horizontal="center"/>
    </xf>
    <xf numFmtId="168" fontId="13" fillId="0" borderId="0" xfId="2" applyNumberFormat="1" applyFont="1" applyFill="1" applyBorder="1" applyAlignment="1">
      <alignment horizontal="center"/>
    </xf>
    <xf numFmtId="4" fontId="13" fillId="0" borderId="0" xfId="1" applyNumberFormat="1" applyFont="1" applyAlignment="1">
      <alignment horizontal="center" vertical="center"/>
    </xf>
    <xf numFmtId="166" fontId="13" fillId="0" borderId="0" xfId="2" applyFont="1" applyFill="1" applyAlignment="1">
      <alignment horizontal="center"/>
    </xf>
    <xf numFmtId="168" fontId="13" fillId="0" borderId="0" xfId="2" applyNumberFormat="1" applyFont="1" applyFill="1" applyAlignment="1">
      <alignment horizontal="center"/>
    </xf>
    <xf numFmtId="166" fontId="14" fillId="0" borderId="0" xfId="1" applyNumberFormat="1" applyFont="1" applyAlignment="1">
      <alignment horizontal="center" vertical="center"/>
    </xf>
    <xf numFmtId="4" fontId="14" fillId="0" borderId="0" xfId="1" applyNumberFormat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8" fillId="2" borderId="0" xfId="2" applyNumberFormat="1" applyFont="1" applyFill="1" applyBorder="1" applyAlignment="1">
      <alignment vertical="center"/>
    </xf>
    <xf numFmtId="166" fontId="18" fillId="2" borderId="0" xfId="2" applyFont="1" applyFill="1" applyBorder="1" applyAlignment="1">
      <alignment horizontal="right" vertical="center"/>
    </xf>
    <xf numFmtId="0" fontId="18" fillId="0" borderId="2" xfId="1" applyFont="1" applyBorder="1" applyAlignment="1">
      <alignment horizontal="center" vertical="center"/>
    </xf>
    <xf numFmtId="0" fontId="15" fillId="2" borderId="0" xfId="1" applyFont="1" applyFill="1" applyAlignment="1">
      <alignment horizontal="left" vertical="center" wrapText="1"/>
    </xf>
    <xf numFmtId="168" fontId="20" fillId="2" borderId="2" xfId="3" applyNumberFormat="1" applyFont="1" applyFill="1" applyBorder="1" applyAlignment="1">
      <alignment horizontal="center"/>
    </xf>
    <xf numFmtId="0" fontId="18" fillId="0" borderId="2" xfId="1" applyFont="1" applyBorder="1" applyAlignment="1">
      <alignment horizontal="left" vertical="center"/>
    </xf>
    <xf numFmtId="166" fontId="18" fillId="0" borderId="2" xfId="2" applyFont="1" applyFill="1" applyBorder="1" applyAlignment="1">
      <alignment horizontal="center" vertical="center"/>
    </xf>
    <xf numFmtId="168" fontId="18" fillId="0" borderId="2" xfId="2" applyNumberFormat="1" applyFont="1" applyFill="1" applyBorder="1" applyAlignment="1">
      <alignment horizontal="center" vertical="center"/>
    </xf>
    <xf numFmtId="168" fontId="18" fillId="0" borderId="2" xfId="2" applyNumberFormat="1" applyFont="1" applyFill="1" applyBorder="1" applyAlignment="1"/>
    <xf numFmtId="0" fontId="18" fillId="0" borderId="0" xfId="1" applyFont="1" applyAlignment="1">
      <alignment horizontal="left" vertical="center"/>
    </xf>
    <xf numFmtId="0" fontId="13" fillId="0" borderId="2" xfId="1" applyFont="1" applyBorder="1" applyAlignment="1">
      <alignment vertical="center"/>
    </xf>
    <xf numFmtId="49" fontId="13" fillId="2" borderId="2" xfId="1" applyNumberFormat="1" applyFont="1" applyFill="1" applyBorder="1" applyAlignment="1">
      <alignment horizontal="center" vertical="center"/>
    </xf>
    <xf numFmtId="0" fontId="9" fillId="0" borderId="0" xfId="9" applyFont="1"/>
    <xf numFmtId="0" fontId="9" fillId="0" borderId="0" xfId="9" applyFont="1" applyAlignment="1">
      <alignment vertical="center"/>
    </xf>
    <xf numFmtId="0" fontId="9" fillId="0" borderId="0" xfId="9" applyFont="1" applyAlignment="1">
      <alignment horizontal="center" vertical="top"/>
    </xf>
    <xf numFmtId="0" fontId="9" fillId="0" borderId="0" xfId="9" applyFont="1" applyAlignment="1">
      <alignment horizontal="left" vertical="center"/>
    </xf>
    <xf numFmtId="49" fontId="9" fillId="0" borderId="0" xfId="9" applyNumberFormat="1" applyFont="1" applyAlignment="1">
      <alignment horizontal="center" vertical="center" wrapText="1"/>
    </xf>
    <xf numFmtId="4" fontId="12" fillId="0" borderId="0" xfId="9" applyNumberFormat="1" applyFont="1"/>
    <xf numFmtId="166" fontId="9" fillId="0" borderId="0" xfId="10" applyFont="1" applyFill="1" applyBorder="1" applyAlignment="1">
      <alignment horizontal="center" vertical="center"/>
    </xf>
    <xf numFmtId="0" fontId="8" fillId="0" borderId="0" xfId="9" applyFont="1" applyAlignment="1">
      <alignment vertical="center"/>
    </xf>
    <xf numFmtId="0" fontId="9" fillId="0" borderId="0" xfId="9" applyFont="1" applyAlignment="1">
      <alignment horizontal="center" vertical="center"/>
    </xf>
    <xf numFmtId="0" fontId="8" fillId="0" borderId="0" xfId="9" applyFont="1" applyAlignment="1">
      <alignment horizontal="left"/>
    </xf>
    <xf numFmtId="166" fontId="8" fillId="0" borderId="0" xfId="10" applyFont="1" applyFill="1" applyBorder="1" applyAlignment="1">
      <alignment horizontal="center" vertical="center"/>
    </xf>
    <xf numFmtId="166" fontId="8" fillId="0" borderId="0" xfId="10" applyFont="1" applyFill="1" applyBorder="1" applyAlignment="1">
      <alignment horizontal="right"/>
    </xf>
    <xf numFmtId="0" fontId="9" fillId="0" borderId="0" xfId="9" applyFont="1" applyAlignment="1">
      <alignment horizontal="center"/>
    </xf>
    <xf numFmtId="4" fontId="10" fillId="0" borderId="0" xfId="9" applyNumberFormat="1" applyFont="1" applyAlignment="1">
      <alignment horizontal="right"/>
    </xf>
    <xf numFmtId="0" fontId="7" fillId="0" borderId="0" xfId="9" applyFont="1"/>
    <xf numFmtId="0" fontId="10" fillId="0" borderId="2" xfId="9" applyFont="1" applyBorder="1" applyAlignment="1">
      <alignment horizontal="center" vertical="center" wrapText="1"/>
    </xf>
    <xf numFmtId="0" fontId="8" fillId="0" borderId="5" xfId="9" applyFont="1" applyBorder="1" applyAlignment="1">
      <alignment horizontal="center" vertical="center" wrapText="1"/>
    </xf>
    <xf numFmtId="0" fontId="8" fillId="0" borderId="4" xfId="9" applyFont="1" applyBorder="1" applyAlignment="1">
      <alignment horizontal="center" vertical="center"/>
    </xf>
    <xf numFmtId="0" fontId="8" fillId="0" borderId="4" xfId="9" applyFont="1" applyBorder="1" applyAlignment="1">
      <alignment horizontal="center" vertical="center" wrapText="1"/>
    </xf>
    <xf numFmtId="166" fontId="8" fillId="0" borderId="4" xfId="10" applyFont="1" applyFill="1" applyBorder="1" applyAlignment="1">
      <alignment horizontal="center" vertical="center" wrapText="1"/>
    </xf>
    <xf numFmtId="17" fontId="8" fillId="0" borderId="4" xfId="9" applyNumberFormat="1" applyFont="1" applyBorder="1" applyAlignment="1">
      <alignment horizontal="center" vertical="center" wrapText="1"/>
    </xf>
    <xf numFmtId="49" fontId="9" fillId="0" borderId="1" xfId="3" applyNumberFormat="1" applyFont="1" applyBorder="1" applyAlignment="1">
      <alignment horizontal="center" vertical="center" wrapText="1"/>
    </xf>
    <xf numFmtId="0" fontId="9" fillId="0" borderId="7" xfId="9" applyFont="1" applyBorder="1" applyAlignment="1">
      <alignment horizontal="center" vertical="top"/>
    </xf>
    <xf numFmtId="0" fontId="9" fillId="0" borderId="8" xfId="9" applyFont="1" applyBorder="1" applyAlignment="1">
      <alignment horizontal="left" vertical="top" wrapText="1"/>
    </xf>
    <xf numFmtId="49" fontId="9" fillId="0" borderId="13" xfId="9" applyNumberFormat="1" applyFont="1" applyBorder="1" applyAlignment="1">
      <alignment horizontal="left" vertical="center" wrapText="1"/>
    </xf>
    <xf numFmtId="0" fontId="10" fillId="0" borderId="8" xfId="9" applyFont="1" applyBorder="1" applyAlignment="1">
      <alignment horizontal="left" vertical="center" wrapText="1"/>
    </xf>
    <xf numFmtId="165" fontId="8" fillId="0" borderId="8" xfId="9" applyNumberFormat="1" applyFont="1" applyBorder="1" applyAlignment="1">
      <alignment horizontal="right" vertical="top"/>
    </xf>
    <xf numFmtId="14" fontId="9" fillId="0" borderId="8" xfId="9" applyNumberFormat="1" applyFont="1" applyBorder="1" applyAlignment="1">
      <alignment horizontal="left" vertical="top"/>
    </xf>
    <xf numFmtId="0" fontId="9" fillId="0" borderId="0" xfId="9" applyFont="1" applyAlignment="1">
      <alignment horizontal="left" vertical="top" wrapText="1"/>
    </xf>
    <xf numFmtId="49" fontId="9" fillId="0" borderId="0" xfId="9" applyNumberFormat="1" applyFont="1" applyAlignment="1">
      <alignment horizontal="left" vertical="center" wrapText="1"/>
    </xf>
    <xf numFmtId="0" fontId="10" fillId="0" borderId="0" xfId="9" applyFont="1" applyAlignment="1">
      <alignment horizontal="left" vertical="center" wrapText="1"/>
    </xf>
    <xf numFmtId="4" fontId="9" fillId="0" borderId="0" xfId="9" applyNumberFormat="1" applyFont="1" applyAlignment="1">
      <alignment horizontal="left" vertical="top"/>
    </xf>
    <xf numFmtId="14" fontId="9" fillId="0" borderId="0" xfId="9" applyNumberFormat="1" applyFont="1" applyAlignment="1">
      <alignment horizontal="left" vertical="top"/>
    </xf>
    <xf numFmtId="166" fontId="9" fillId="0" borderId="0" xfId="10" applyFont="1" applyFill="1" applyAlignment="1">
      <alignment horizontal="center" vertical="center"/>
    </xf>
    <xf numFmtId="0" fontId="7" fillId="0" borderId="0" xfId="9" applyFont="1" applyAlignment="1">
      <alignment horizontal="right"/>
    </xf>
    <xf numFmtId="0" fontId="9" fillId="0" borderId="3" xfId="9" applyFont="1" applyBorder="1" applyAlignment="1">
      <alignment horizontal="center" vertical="center"/>
    </xf>
    <xf numFmtId="0" fontId="9" fillId="0" borderId="2" xfId="3" applyFont="1" applyBorder="1" applyAlignment="1">
      <alignment horizontal="left" vertical="center" wrapText="1"/>
    </xf>
    <xf numFmtId="14" fontId="9" fillId="0" borderId="2" xfId="9" applyNumberFormat="1" applyFont="1" applyBorder="1" applyAlignment="1">
      <alignment horizontal="center" vertical="center"/>
    </xf>
    <xf numFmtId="165" fontId="9" fillId="0" borderId="3" xfId="3" applyNumberFormat="1" applyFont="1" applyBorder="1" applyAlignment="1">
      <alignment horizontal="right" vertical="center"/>
    </xf>
    <xf numFmtId="0" fontId="8" fillId="0" borderId="0" xfId="9" applyFont="1" applyAlignment="1">
      <alignment horizontal="center" vertical="center"/>
    </xf>
    <xf numFmtId="2" fontId="9" fillId="0" borderId="0" xfId="9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25" fillId="0" borderId="2" xfId="0" applyFont="1" applyBorder="1" applyAlignment="1">
      <alignment vertical="center" wrapText="1"/>
    </xf>
    <xf numFmtId="4" fontId="27" fillId="0" borderId="2" xfId="0" applyNumberFormat="1" applyFont="1" applyBorder="1" applyAlignment="1">
      <alignment vertical="center"/>
    </xf>
    <xf numFmtId="0" fontId="27" fillId="4" borderId="2" xfId="0" applyFont="1" applyFill="1" applyBorder="1" applyAlignment="1">
      <alignment horizontal="center" vertical="center"/>
    </xf>
    <xf numFmtId="0" fontId="24" fillId="4" borderId="31" xfId="9" applyFont="1" applyFill="1" applyBorder="1" applyAlignment="1">
      <alignment horizontal="center" vertical="center" wrapText="1"/>
    </xf>
    <xf numFmtId="0" fontId="24" fillId="4" borderId="4" xfId="9" applyFont="1" applyFill="1" applyBorder="1" applyAlignment="1">
      <alignment horizontal="center" vertical="center" wrapText="1"/>
    </xf>
    <xf numFmtId="0" fontId="24" fillId="4" borderId="32" xfId="9" applyFont="1" applyFill="1" applyBorder="1" applyAlignment="1">
      <alignment horizontal="center" vertical="center" wrapText="1"/>
    </xf>
    <xf numFmtId="0" fontId="28" fillId="0" borderId="2" xfId="0" applyFont="1" applyBorder="1" applyAlignment="1">
      <alignment vertical="center" wrapText="1"/>
    </xf>
    <xf numFmtId="4" fontId="27" fillId="0" borderId="34" xfId="0" applyNumberFormat="1" applyFont="1" applyBorder="1" applyAlignment="1">
      <alignment vertical="center"/>
    </xf>
    <xf numFmtId="0" fontId="25" fillId="0" borderId="34" xfId="0" applyFont="1" applyBorder="1" applyAlignment="1">
      <alignment vertical="center" wrapText="1"/>
    </xf>
    <xf numFmtId="0" fontId="24" fillId="4" borderId="41" xfId="9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center" vertical="center" wrapText="1"/>
    </xf>
    <xf numFmtId="0" fontId="24" fillId="4" borderId="5" xfId="9" applyFont="1" applyFill="1" applyBorder="1" applyAlignment="1">
      <alignment horizontal="center" vertical="center" wrapText="1"/>
    </xf>
    <xf numFmtId="0" fontId="26" fillId="4" borderId="18" xfId="0" applyFont="1" applyFill="1" applyBorder="1" applyAlignment="1">
      <alignment horizontal="center" vertical="center" wrapText="1"/>
    </xf>
    <xf numFmtId="4" fontId="29" fillId="0" borderId="18" xfId="0" applyNumberFormat="1" applyFont="1" applyBorder="1" applyAlignment="1">
      <alignment vertical="center" wrapText="1"/>
    </xf>
    <xf numFmtId="0" fontId="28" fillId="0" borderId="37" xfId="0" applyFont="1" applyBorder="1" applyAlignment="1">
      <alignment vertical="center" wrapText="1"/>
    </xf>
    <xf numFmtId="0" fontId="25" fillId="0" borderId="37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0" fontId="28" fillId="0" borderId="43" xfId="0" applyFont="1" applyBorder="1" applyAlignment="1">
      <alignment vertical="center" wrapText="1"/>
    </xf>
    <xf numFmtId="4" fontId="29" fillId="0" borderId="33" xfId="0" applyNumberFormat="1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8" fillId="0" borderId="30" xfId="0" applyFont="1" applyBorder="1" applyAlignment="1">
      <alignment vertical="center" wrapText="1"/>
    </xf>
    <xf numFmtId="4" fontId="29" fillId="0" borderId="23" xfId="0" applyNumberFormat="1" applyFont="1" applyBorder="1" applyAlignment="1">
      <alignment vertical="center" wrapText="1"/>
    </xf>
    <xf numFmtId="4" fontId="28" fillId="0" borderId="19" xfId="0" applyNumberFormat="1" applyFont="1" applyBorder="1" applyAlignment="1">
      <alignment vertical="center"/>
    </xf>
    <xf numFmtId="0" fontId="28" fillId="0" borderId="12" xfId="0" applyFont="1" applyBorder="1" applyAlignment="1">
      <alignment vertical="center"/>
    </xf>
    <xf numFmtId="0" fontId="28" fillId="0" borderId="6" xfId="0" applyFont="1" applyBorder="1" applyAlignment="1">
      <alignment vertical="center" wrapText="1"/>
    </xf>
    <xf numFmtId="4" fontId="29" fillId="0" borderId="36" xfId="0" applyNumberFormat="1" applyFont="1" applyBorder="1" applyAlignment="1">
      <alignment vertical="center" wrapText="1"/>
    </xf>
    <xf numFmtId="4" fontId="28" fillId="0" borderId="20" xfId="0" applyNumberFormat="1" applyFont="1" applyBorder="1" applyAlignment="1">
      <alignment vertical="center"/>
    </xf>
    <xf numFmtId="4" fontId="28" fillId="0" borderId="2" xfId="0" applyNumberFormat="1" applyFont="1" applyBorder="1" applyAlignment="1">
      <alignment vertical="center"/>
    </xf>
    <xf numFmtId="0" fontId="25" fillId="6" borderId="44" xfId="0" applyFont="1" applyFill="1" applyBorder="1" applyAlignment="1">
      <alignment vertical="center"/>
    </xf>
    <xf numFmtId="0" fontId="25" fillId="6" borderId="6" xfId="0" applyFont="1" applyFill="1" applyBorder="1" applyAlignment="1">
      <alignment vertical="center"/>
    </xf>
    <xf numFmtId="0" fontId="25" fillId="6" borderId="12" xfId="0" applyFont="1" applyFill="1" applyBorder="1" applyAlignment="1">
      <alignment vertical="center"/>
    </xf>
    <xf numFmtId="4" fontId="24" fillId="6" borderId="46" xfId="0" applyNumberFormat="1" applyFont="1" applyFill="1" applyBorder="1" applyAlignment="1">
      <alignment vertical="center"/>
    </xf>
    <xf numFmtId="4" fontId="25" fillId="6" borderId="12" xfId="0" applyNumberFormat="1" applyFont="1" applyFill="1" applyBorder="1" applyAlignment="1">
      <alignment vertical="center"/>
    </xf>
    <xf numFmtId="4" fontId="25" fillId="6" borderId="6" xfId="0" applyNumberFormat="1" applyFont="1" applyFill="1" applyBorder="1" applyAlignment="1">
      <alignment vertical="center"/>
    </xf>
    <xf numFmtId="0" fontId="25" fillId="6" borderId="43" xfId="0" applyFont="1" applyFill="1" applyBorder="1" applyAlignment="1">
      <alignment vertical="center"/>
    </xf>
    <xf numFmtId="0" fontId="25" fillId="6" borderId="11" xfId="0" applyFont="1" applyFill="1" applyBorder="1" applyAlignment="1">
      <alignment vertical="center"/>
    </xf>
    <xf numFmtId="0" fontId="24" fillId="7" borderId="7" xfId="0" applyFont="1" applyFill="1" applyBorder="1" applyAlignment="1">
      <alignment vertical="center"/>
    </xf>
    <xf numFmtId="0" fontId="24" fillId="7" borderId="8" xfId="0" applyFont="1" applyFill="1" applyBorder="1" applyAlignment="1">
      <alignment vertical="center"/>
    </xf>
    <xf numFmtId="0" fontId="24" fillId="7" borderId="47" xfId="0" applyFont="1" applyFill="1" applyBorder="1" applyAlignment="1">
      <alignment vertical="center"/>
    </xf>
    <xf numFmtId="4" fontId="24" fillId="7" borderId="8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14" fontId="32" fillId="8" borderId="0" xfId="0" applyNumberFormat="1" applyFont="1" applyFill="1" applyAlignment="1">
      <alignment vertical="center"/>
    </xf>
    <xf numFmtId="0" fontId="27" fillId="0" borderId="22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6" fillId="4" borderId="21" xfId="0" applyFont="1" applyFill="1" applyBorder="1" applyAlignment="1">
      <alignment horizontal="center" vertical="center" wrapText="1"/>
    </xf>
    <xf numFmtId="0" fontId="26" fillId="4" borderId="22" xfId="0" applyFont="1" applyFill="1" applyBorder="1" applyAlignment="1">
      <alignment horizontal="center" vertical="center"/>
    </xf>
    <xf numFmtId="0" fontId="26" fillId="4" borderId="39" xfId="0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4" fontId="26" fillId="0" borderId="33" xfId="0" applyNumberFormat="1" applyFont="1" applyBorder="1" applyAlignment="1">
      <alignment vertical="center"/>
    </xf>
    <xf numFmtId="0" fontId="27" fillId="0" borderId="35" xfId="0" applyFont="1" applyBorder="1" applyAlignment="1">
      <alignment vertical="center" wrapText="1"/>
    </xf>
    <xf numFmtId="4" fontId="26" fillId="4" borderId="23" xfId="0" applyNumberFormat="1" applyFont="1" applyFill="1" applyBorder="1" applyAlignment="1">
      <alignment vertical="center"/>
    </xf>
    <xf numFmtId="4" fontId="27" fillId="4" borderId="19" xfId="0" applyNumberFormat="1" applyFont="1" applyFill="1" applyBorder="1" applyAlignment="1">
      <alignment vertical="center"/>
    </xf>
    <xf numFmtId="4" fontId="27" fillId="4" borderId="30" xfId="0" applyNumberFormat="1" applyFont="1" applyFill="1" applyBorder="1" applyAlignment="1">
      <alignment vertical="center"/>
    </xf>
    <xf numFmtId="0" fontId="26" fillId="4" borderId="18" xfId="0" applyFont="1" applyFill="1" applyBorder="1" applyAlignment="1">
      <alignment vertical="center"/>
    </xf>
    <xf numFmtId="4" fontId="26" fillId="0" borderId="18" xfId="0" applyNumberFormat="1" applyFont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0" fontId="27" fillId="4" borderId="2" xfId="0" applyFont="1" applyFill="1" applyBorder="1" applyAlignment="1">
      <alignment vertical="center"/>
    </xf>
    <xf numFmtId="0" fontId="27" fillId="4" borderId="37" xfId="0" applyFont="1" applyFill="1" applyBorder="1" applyAlignment="1">
      <alignment vertical="center"/>
    </xf>
    <xf numFmtId="0" fontId="27" fillId="0" borderId="37" xfId="0" applyFont="1" applyBorder="1" applyAlignment="1">
      <alignment vertical="center" wrapText="1"/>
    </xf>
    <xf numFmtId="4" fontId="27" fillId="4" borderId="35" xfId="0" applyNumberFormat="1" applyFont="1" applyFill="1" applyBorder="1" applyAlignment="1">
      <alignment vertical="center"/>
    </xf>
    <xf numFmtId="4" fontId="26" fillId="4" borderId="33" xfId="0" applyNumberFormat="1" applyFont="1" applyFill="1" applyBorder="1" applyAlignment="1">
      <alignment vertical="center"/>
    </xf>
    <xf numFmtId="4" fontId="27" fillId="0" borderId="0" xfId="0" applyNumberFormat="1" applyFont="1" applyAlignment="1">
      <alignment vertical="center"/>
    </xf>
    <xf numFmtId="4" fontId="26" fillId="8" borderId="56" xfId="0" applyNumberFormat="1" applyFont="1" applyFill="1" applyBorder="1" applyAlignment="1">
      <alignment vertical="center"/>
    </xf>
    <xf numFmtId="4" fontId="26" fillId="8" borderId="8" xfId="0" applyNumberFormat="1" applyFont="1" applyFill="1" applyBorder="1" applyAlignment="1">
      <alignment vertical="center"/>
    </xf>
    <xf numFmtId="4" fontId="26" fillId="8" borderId="57" xfId="0" applyNumberFormat="1" applyFont="1" applyFill="1" applyBorder="1" applyAlignment="1">
      <alignment vertical="center"/>
    </xf>
    <xf numFmtId="4" fontId="26" fillId="0" borderId="59" xfId="0" applyNumberFormat="1" applyFont="1" applyBorder="1" applyAlignment="1">
      <alignment vertical="center"/>
    </xf>
    <xf numFmtId="0" fontId="27" fillId="0" borderId="60" xfId="0" applyFont="1" applyBorder="1" applyAlignment="1">
      <alignment vertical="center"/>
    </xf>
    <xf numFmtId="0" fontId="28" fillId="0" borderId="1" xfId="0" applyFont="1" applyBorder="1" applyAlignment="1">
      <alignment vertical="center" wrapText="1"/>
    </xf>
    <xf numFmtId="4" fontId="26" fillId="8" borderId="61" xfId="0" applyNumberFormat="1" applyFont="1" applyFill="1" applyBorder="1" applyAlignment="1">
      <alignment vertical="center"/>
    </xf>
    <xf numFmtId="0" fontId="27" fillId="0" borderId="0" xfId="0" applyFont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3" fontId="26" fillId="0" borderId="51" xfId="0" applyNumberFormat="1" applyFont="1" applyBorder="1" applyAlignment="1">
      <alignment horizontal="right" vertical="center"/>
    </xf>
    <xf numFmtId="0" fontId="26" fillId="0" borderId="53" xfId="0" applyFont="1" applyBorder="1" applyAlignment="1">
      <alignment horizontal="right" vertical="center"/>
    </xf>
    <xf numFmtId="3" fontId="26" fillId="0" borderId="42" xfId="0" applyNumberFormat="1" applyFont="1" applyBorder="1" applyAlignment="1">
      <alignment horizontal="right" vertical="center"/>
    </xf>
    <xf numFmtId="0" fontId="27" fillId="0" borderId="58" xfId="0" applyFont="1" applyBorder="1" applyAlignment="1">
      <alignment horizontal="right" vertical="center"/>
    </xf>
    <xf numFmtId="0" fontId="24" fillId="0" borderId="53" xfId="0" applyFont="1" applyBorder="1" applyAlignment="1">
      <alignment horizontal="right" vertical="center"/>
    </xf>
    <xf numFmtId="4" fontId="25" fillId="0" borderId="2" xfId="0" applyNumberFormat="1" applyFont="1" applyBorder="1" applyAlignment="1">
      <alignment vertical="center"/>
    </xf>
    <xf numFmtId="14" fontId="31" fillId="0" borderId="0" xfId="0" applyNumberFormat="1" applyFont="1" applyAlignment="1">
      <alignment vertical="center"/>
    </xf>
    <xf numFmtId="0" fontId="25" fillId="0" borderId="1" xfId="0" applyFont="1" applyBorder="1" applyAlignment="1">
      <alignment vertical="center" wrapText="1"/>
    </xf>
    <xf numFmtId="3" fontId="24" fillId="0" borderId="42" xfId="0" applyNumberFormat="1" applyFont="1" applyBorder="1" applyAlignment="1">
      <alignment horizontal="right" vertical="center"/>
    </xf>
    <xf numFmtId="4" fontId="24" fillId="0" borderId="33" xfId="0" applyNumberFormat="1" applyFont="1" applyBorder="1" applyAlignment="1">
      <alignment vertical="center"/>
    </xf>
    <xf numFmtId="4" fontId="25" fillId="0" borderId="34" xfId="0" applyNumberFormat="1" applyFont="1" applyBorder="1" applyAlignment="1">
      <alignment vertical="center"/>
    </xf>
    <xf numFmtId="14" fontId="25" fillId="0" borderId="26" xfId="0" applyNumberFormat="1" applyFont="1" applyBorder="1" applyAlignment="1">
      <alignment vertical="center"/>
    </xf>
    <xf numFmtId="0" fontId="27" fillId="0" borderId="26" xfId="0" applyFont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0" borderId="58" xfId="0" applyFont="1" applyBorder="1" applyAlignment="1">
      <alignment horizontal="right" vertical="center"/>
    </xf>
    <xf numFmtId="4" fontId="26" fillId="5" borderId="31" xfId="0" applyNumberFormat="1" applyFont="1" applyFill="1" applyBorder="1" applyAlignment="1">
      <alignment vertical="center"/>
    </xf>
    <xf numFmtId="10" fontId="28" fillId="0" borderId="37" xfId="0" applyNumberFormat="1" applyFont="1" applyBorder="1" applyAlignment="1">
      <alignment vertical="center"/>
    </xf>
    <xf numFmtId="0" fontId="25" fillId="5" borderId="34" xfId="0" applyFont="1" applyFill="1" applyBorder="1" applyAlignment="1">
      <alignment vertical="center"/>
    </xf>
    <xf numFmtId="0" fontId="25" fillId="5" borderId="35" xfId="0" applyFont="1" applyFill="1" applyBorder="1" applyAlignment="1">
      <alignment vertical="center" wrapText="1"/>
    </xf>
    <xf numFmtId="0" fontId="25" fillId="5" borderId="28" xfId="0" applyFont="1" applyFill="1" applyBorder="1" applyAlignment="1">
      <alignment vertical="center"/>
    </xf>
    <xf numFmtId="4" fontId="28" fillId="0" borderId="1" xfId="0" applyNumberFormat="1" applyFont="1" applyBorder="1" applyAlignment="1">
      <alignment vertical="center"/>
    </xf>
    <xf numFmtId="0" fontId="25" fillId="5" borderId="3" xfId="0" applyFont="1" applyFill="1" applyBorder="1" applyAlignment="1">
      <alignment vertical="center"/>
    </xf>
    <xf numFmtId="0" fontId="25" fillId="5" borderId="2" xfId="0" applyFont="1" applyFill="1" applyBorder="1" applyAlignment="1">
      <alignment vertical="center"/>
    </xf>
    <xf numFmtId="0" fontId="25" fillId="5" borderId="37" xfId="0" applyFont="1" applyFill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0" fontId="25" fillId="0" borderId="43" xfId="0" applyFont="1" applyBorder="1" applyAlignment="1">
      <alignment vertical="center"/>
    </xf>
    <xf numFmtId="0" fontId="27" fillId="4" borderId="23" xfId="0" applyFont="1" applyFill="1" applyBorder="1" applyAlignment="1">
      <alignment vertical="center"/>
    </xf>
    <xf numFmtId="0" fontId="27" fillId="4" borderId="19" xfId="0" applyFont="1" applyFill="1" applyBorder="1" applyAlignment="1">
      <alignment vertical="center"/>
    </xf>
    <xf numFmtId="0" fontId="27" fillId="4" borderId="30" xfId="0" applyFont="1" applyFill="1" applyBorder="1" applyAlignment="1">
      <alignment vertical="center"/>
    </xf>
    <xf numFmtId="4" fontId="24" fillId="0" borderId="18" xfId="0" applyNumberFormat="1" applyFont="1" applyBorder="1" applyAlignment="1">
      <alignment vertical="center"/>
    </xf>
    <xf numFmtId="14" fontId="25" fillId="0" borderId="1" xfId="0" applyNumberFormat="1" applyFont="1" applyBorder="1" applyAlignment="1">
      <alignment vertical="center"/>
    </xf>
    <xf numFmtId="4" fontId="29" fillId="4" borderId="33" xfId="0" applyNumberFormat="1" applyFont="1" applyFill="1" applyBorder="1" applyAlignment="1">
      <alignment vertical="center"/>
    </xf>
    <xf numFmtId="4" fontId="29" fillId="4" borderId="23" xfId="0" applyNumberFormat="1" applyFont="1" applyFill="1" applyBorder="1" applyAlignment="1">
      <alignment vertical="center"/>
    </xf>
    <xf numFmtId="0" fontId="27" fillId="0" borderId="14" xfId="0" applyFont="1" applyBorder="1" applyAlignment="1">
      <alignment vertical="center"/>
    </xf>
    <xf numFmtId="0" fontId="27" fillId="0" borderId="61" xfId="0" applyFont="1" applyBorder="1" applyAlignment="1">
      <alignment horizontal="center" vertical="center" wrapText="1"/>
    </xf>
    <xf numFmtId="0" fontId="29" fillId="4" borderId="36" xfId="0" applyFont="1" applyFill="1" applyBorder="1" applyAlignment="1">
      <alignment vertical="center"/>
    </xf>
    <xf numFmtId="0" fontId="26" fillId="0" borderId="55" xfId="0" applyFont="1" applyBorder="1" applyAlignment="1">
      <alignment horizontal="right" vertical="center"/>
    </xf>
    <xf numFmtId="4" fontId="29" fillId="0" borderId="23" xfId="0" applyNumberFormat="1" applyFont="1" applyBorder="1" applyAlignment="1">
      <alignment vertical="center"/>
    </xf>
    <xf numFmtId="0" fontId="26" fillId="4" borderId="31" xfId="0" applyFont="1" applyFill="1" applyBorder="1" applyAlignment="1">
      <alignment vertical="center"/>
    </xf>
    <xf numFmtId="4" fontId="29" fillId="5" borderId="36" xfId="0" applyNumberFormat="1" applyFont="1" applyFill="1" applyBorder="1" applyAlignment="1">
      <alignment vertical="center"/>
    </xf>
    <xf numFmtId="4" fontId="28" fillId="5" borderId="20" xfId="0" applyNumberFormat="1" applyFont="1" applyFill="1" applyBorder="1" applyAlignment="1">
      <alignment vertical="center"/>
    </xf>
    <xf numFmtId="0" fontId="27" fillId="5" borderId="15" xfId="0" applyFont="1" applyFill="1" applyBorder="1" applyAlignment="1">
      <alignment vertical="center"/>
    </xf>
    <xf numFmtId="0" fontId="27" fillId="5" borderId="62" xfId="0" applyFont="1" applyFill="1" applyBorder="1" applyAlignment="1">
      <alignment vertical="center" wrapText="1"/>
    </xf>
    <xf numFmtId="4" fontId="27" fillId="5" borderId="4" xfId="0" applyNumberFormat="1" applyFont="1" applyFill="1" applyBorder="1" applyAlignment="1">
      <alignment vertical="center"/>
    </xf>
    <xf numFmtId="0" fontId="27" fillId="5" borderId="41" xfId="0" applyFont="1" applyFill="1" applyBorder="1" applyAlignment="1">
      <alignment vertical="center"/>
    </xf>
    <xf numFmtId="0" fontId="27" fillId="5" borderId="32" xfId="0" applyFont="1" applyFill="1" applyBorder="1" applyAlignment="1">
      <alignment vertical="center" wrapText="1"/>
    </xf>
    <xf numFmtId="4" fontId="26" fillId="4" borderId="58" xfId="0" applyNumberFormat="1" applyFont="1" applyFill="1" applyBorder="1" applyAlignment="1">
      <alignment vertical="center"/>
    </xf>
    <xf numFmtId="0" fontId="26" fillId="4" borderId="60" xfId="0" applyFont="1" applyFill="1" applyBorder="1" applyAlignment="1">
      <alignment vertical="center"/>
    </xf>
    <xf numFmtId="0" fontId="27" fillId="4" borderId="58" xfId="0" applyFont="1" applyFill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7" fillId="0" borderId="61" xfId="0" applyFont="1" applyBorder="1" applyAlignment="1">
      <alignment horizontal="center" vertical="center"/>
    </xf>
    <xf numFmtId="0" fontId="27" fillId="0" borderId="61" xfId="0" applyFont="1" applyBorder="1" applyAlignment="1">
      <alignment vertical="center" wrapText="1"/>
    </xf>
    <xf numFmtId="4" fontId="26" fillId="9" borderId="58" xfId="0" applyNumberFormat="1" applyFont="1" applyFill="1" applyBorder="1" applyAlignment="1">
      <alignment vertical="center"/>
    </xf>
    <xf numFmtId="4" fontId="26" fillId="9" borderId="13" xfId="0" applyNumberFormat="1" applyFont="1" applyFill="1" applyBorder="1" applyAlignment="1">
      <alignment vertical="center"/>
    </xf>
    <xf numFmtId="0" fontId="27" fillId="9" borderId="47" xfId="0" applyFont="1" applyFill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0" fontId="27" fillId="4" borderId="32" xfId="0" applyFont="1" applyFill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29" fillId="4" borderId="18" xfId="0" applyFont="1" applyFill="1" applyBorder="1" applyAlignment="1">
      <alignment vertical="center"/>
    </xf>
    <xf numFmtId="0" fontId="26" fillId="0" borderId="54" xfId="0" applyFont="1" applyBorder="1" applyAlignment="1">
      <alignment horizontal="right" vertical="center"/>
    </xf>
    <xf numFmtId="0" fontId="24" fillId="4" borderId="31" xfId="0" applyFont="1" applyFill="1" applyBorder="1" applyAlignment="1">
      <alignment vertical="center"/>
    </xf>
    <xf numFmtId="0" fontId="24" fillId="0" borderId="58" xfId="0" applyFont="1" applyBorder="1" applyAlignment="1">
      <alignment horizontal="right" vertical="center"/>
    </xf>
    <xf numFmtId="4" fontId="24" fillId="5" borderId="31" xfId="0" applyNumberFormat="1" applyFont="1" applyFill="1" applyBorder="1" applyAlignment="1">
      <alignment vertical="center"/>
    </xf>
    <xf numFmtId="4" fontId="25" fillId="5" borderId="4" xfId="0" applyNumberFormat="1" applyFont="1" applyFill="1" applyBorder="1" applyAlignment="1">
      <alignment vertical="center"/>
    </xf>
    <xf numFmtId="14" fontId="25" fillId="5" borderId="41" xfId="0" applyNumberFormat="1" applyFont="1" applyFill="1" applyBorder="1" applyAlignment="1">
      <alignment vertical="center"/>
    </xf>
    <xf numFmtId="0" fontId="25" fillId="5" borderId="32" xfId="0" applyFont="1" applyFill="1" applyBorder="1" applyAlignment="1">
      <alignment vertical="center" wrapText="1"/>
    </xf>
    <xf numFmtId="0" fontId="25" fillId="4" borderId="31" xfId="0" applyFont="1" applyFill="1" applyBorder="1" applyAlignment="1">
      <alignment vertical="center"/>
    </xf>
    <xf numFmtId="0" fontId="25" fillId="4" borderId="4" xfId="0" applyFont="1" applyFill="1" applyBorder="1" applyAlignment="1">
      <alignment vertical="center"/>
    </xf>
    <xf numFmtId="0" fontId="25" fillId="4" borderId="32" xfId="0" applyFont="1" applyFill="1" applyBorder="1" applyAlignment="1">
      <alignment vertical="center"/>
    </xf>
    <xf numFmtId="4" fontId="27" fillId="4" borderId="34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4" borderId="20" xfId="0" applyFont="1" applyFill="1" applyBorder="1" applyAlignment="1">
      <alignment vertical="center"/>
    </xf>
    <xf numFmtId="0" fontId="28" fillId="4" borderId="62" xfId="0" applyFont="1" applyFill="1" applyBorder="1" applyAlignment="1">
      <alignment vertical="center"/>
    </xf>
    <xf numFmtId="0" fontId="28" fillId="0" borderId="42" xfId="0" applyFont="1" applyBorder="1" applyAlignment="1">
      <alignment horizontal="center" vertical="center" wrapText="1"/>
    </xf>
    <xf numFmtId="4" fontId="28" fillId="4" borderId="34" xfId="0" applyNumberFormat="1" applyFont="1" applyFill="1" applyBorder="1" applyAlignment="1">
      <alignment vertical="center"/>
    </xf>
    <xf numFmtId="4" fontId="28" fillId="4" borderId="35" xfId="0" applyNumberFormat="1" applyFont="1" applyFill="1" applyBorder="1" applyAlignment="1">
      <alignment vertical="center"/>
    </xf>
    <xf numFmtId="0" fontId="29" fillId="0" borderId="42" xfId="0" applyFont="1" applyBorder="1" applyAlignment="1">
      <alignment horizontal="right" vertical="center"/>
    </xf>
    <xf numFmtId="4" fontId="29" fillId="0" borderId="33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8" fillId="0" borderId="58" xfId="0" applyFont="1" applyBorder="1" applyAlignment="1">
      <alignment vertical="center" wrapText="1"/>
    </xf>
    <xf numFmtId="4" fontId="29" fillId="4" borderId="31" xfId="0" applyNumberFormat="1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0" fontId="29" fillId="0" borderId="58" xfId="0" applyFont="1" applyBorder="1" applyAlignment="1">
      <alignment horizontal="right" vertical="center"/>
    </xf>
    <xf numFmtId="4" fontId="29" fillId="5" borderId="58" xfId="0" applyNumberFormat="1" applyFont="1" applyFill="1" applyBorder="1" applyAlignment="1">
      <alignment vertical="center"/>
    </xf>
    <xf numFmtId="4" fontId="29" fillId="5" borderId="41" xfId="0" applyNumberFormat="1" applyFont="1" applyFill="1" applyBorder="1" applyAlignment="1">
      <alignment vertical="center"/>
    </xf>
    <xf numFmtId="4" fontId="29" fillId="5" borderId="22" xfId="0" applyNumberFormat="1" applyFont="1" applyFill="1" applyBorder="1" applyAlignment="1">
      <alignment vertical="center"/>
    </xf>
    <xf numFmtId="0" fontId="28" fillId="5" borderId="32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14" fontId="25" fillId="0" borderId="1" xfId="0" applyNumberFormat="1" applyFont="1" applyBorder="1" applyAlignment="1">
      <alignment horizontal="right" vertical="center" wrapText="1"/>
    </xf>
    <xf numFmtId="0" fontId="33" fillId="0" borderId="0" xfId="18" applyFont="1" applyAlignment="1">
      <alignment horizontal="left" vertical="center" wrapText="1"/>
    </xf>
    <xf numFmtId="0" fontId="35" fillId="0" borderId="0" xfId="18" applyFont="1"/>
    <xf numFmtId="0" fontId="33" fillId="0" borderId="0" xfId="18" applyFont="1" applyAlignment="1">
      <alignment horizontal="left" vertical="center"/>
    </xf>
    <xf numFmtId="166" fontId="33" fillId="0" borderId="0" xfId="19" applyFont="1" applyFill="1" applyBorder="1" applyAlignment="1">
      <alignment horizontal="left" vertical="top" wrapText="1"/>
    </xf>
    <xf numFmtId="0" fontId="35" fillId="0" borderId="0" xfId="18" applyFont="1" applyAlignment="1">
      <alignment vertical="center"/>
    </xf>
    <xf numFmtId="0" fontId="36" fillId="0" borderId="0" xfId="18" applyFont="1" applyAlignment="1">
      <alignment vertical="center"/>
    </xf>
    <xf numFmtId="0" fontId="35" fillId="0" borderId="0" xfId="18" applyFont="1" applyAlignment="1">
      <alignment horizontal="center" vertical="top"/>
    </xf>
    <xf numFmtId="0" fontId="35" fillId="0" borderId="0" xfId="18" applyFont="1" applyAlignment="1">
      <alignment horizontal="left" vertical="center"/>
    </xf>
    <xf numFmtId="2" fontId="39" fillId="0" borderId="0" xfId="18" applyNumberFormat="1" applyFont="1"/>
    <xf numFmtId="166" fontId="35" fillId="0" borderId="0" xfId="19" applyFont="1" applyFill="1" applyBorder="1" applyAlignment="1">
      <alignment horizontal="center" vertical="center"/>
    </xf>
    <xf numFmtId="4" fontId="39" fillId="0" borderId="0" xfId="18" applyNumberFormat="1" applyFont="1"/>
    <xf numFmtId="0" fontId="35" fillId="0" borderId="0" xfId="18" applyFont="1" applyAlignment="1">
      <alignment horizontal="center" vertical="center"/>
    </xf>
    <xf numFmtId="0" fontId="36" fillId="0" borderId="0" xfId="18" applyFont="1" applyAlignment="1">
      <alignment horizontal="left"/>
    </xf>
    <xf numFmtId="166" fontId="36" fillId="0" borderId="0" xfId="19" applyFont="1" applyFill="1" applyBorder="1" applyAlignment="1">
      <alignment horizontal="right"/>
    </xf>
    <xf numFmtId="165" fontId="36" fillId="0" borderId="0" xfId="18" applyNumberFormat="1" applyFont="1" applyAlignment="1">
      <alignment vertical="center"/>
    </xf>
    <xf numFmtId="0" fontId="35" fillId="0" borderId="0" xfId="18" applyFont="1" applyAlignment="1">
      <alignment horizontal="center"/>
    </xf>
    <xf numFmtId="0" fontId="36" fillId="0" borderId="0" xfId="18" applyFont="1" applyAlignment="1">
      <alignment horizontal="center" vertical="center"/>
    </xf>
    <xf numFmtId="4" fontId="37" fillId="0" borderId="0" xfId="18" applyNumberFormat="1" applyFont="1" applyAlignment="1">
      <alignment horizontal="right"/>
    </xf>
    <xf numFmtId="0" fontId="38" fillId="0" borderId="0" xfId="18" applyFont="1"/>
    <xf numFmtId="0" fontId="38" fillId="0" borderId="0" xfId="18" applyFont="1" applyAlignment="1">
      <alignment horizontal="right"/>
    </xf>
    <xf numFmtId="172" fontId="36" fillId="0" borderId="2" xfId="18" applyNumberFormat="1" applyFont="1" applyBorder="1" applyAlignment="1">
      <alignment horizontal="center" vertical="center" wrapText="1"/>
    </xf>
    <xf numFmtId="0" fontId="33" fillId="0" borderId="0" xfId="18" applyFont="1" applyAlignment="1">
      <alignment horizontal="left" vertical="top" wrapText="1"/>
    </xf>
    <xf numFmtId="0" fontId="42" fillId="2" borderId="0" xfId="20" applyFont="1" applyFill="1" applyAlignment="1">
      <alignment horizontal="center" vertical="center"/>
    </xf>
    <xf numFmtId="0" fontId="42" fillId="0" borderId="0" xfId="20" applyFont="1"/>
    <xf numFmtId="0" fontId="43" fillId="0" borderId="0" xfId="20" applyFont="1" applyAlignment="1">
      <alignment horizontal="center" vertical="center"/>
    </xf>
    <xf numFmtId="168" fontId="43" fillId="0" borderId="0" xfId="20" applyNumberFormat="1" applyFont="1" applyAlignment="1">
      <alignment horizontal="center" vertical="center"/>
    </xf>
    <xf numFmtId="0" fontId="42" fillId="0" borderId="0" xfId="20" applyFont="1" applyAlignment="1">
      <alignment horizontal="left"/>
    </xf>
    <xf numFmtId="168" fontId="43" fillId="2" borderId="0" xfId="20" applyNumberFormat="1" applyFont="1" applyFill="1" applyAlignment="1">
      <alignment horizontal="center" vertical="center"/>
    </xf>
    <xf numFmtId="0" fontId="43" fillId="2" borderId="0" xfId="20" applyFont="1" applyFill="1" applyAlignment="1">
      <alignment horizontal="center" vertical="center"/>
    </xf>
    <xf numFmtId="166" fontId="43" fillId="2" borderId="2" xfId="21" applyFont="1" applyFill="1" applyBorder="1" applyAlignment="1">
      <alignment horizontal="center" vertical="center" wrapText="1"/>
    </xf>
    <xf numFmtId="168" fontId="43" fillId="2" borderId="2" xfId="21" applyNumberFormat="1" applyFont="1" applyFill="1" applyBorder="1" applyAlignment="1">
      <alignment horizontal="center" vertical="center" wrapText="1"/>
    </xf>
    <xf numFmtId="0" fontId="43" fillId="2" borderId="2" xfId="20" applyFont="1" applyFill="1" applyBorder="1" applyAlignment="1">
      <alignment horizontal="center" vertical="center"/>
    </xf>
    <xf numFmtId="17" fontId="43" fillId="2" borderId="2" xfId="18" applyNumberFormat="1" applyFont="1" applyFill="1" applyBorder="1" applyAlignment="1">
      <alignment horizontal="center" vertical="center"/>
    </xf>
    <xf numFmtId="0" fontId="42" fillId="0" borderId="0" xfId="20" applyFont="1" applyAlignment="1">
      <alignment horizontal="center" vertical="center"/>
    </xf>
    <xf numFmtId="165" fontId="42" fillId="10" borderId="2" xfId="20" applyNumberFormat="1" applyFont="1" applyFill="1" applyBorder="1" applyAlignment="1">
      <alignment horizontal="left" vertical="center"/>
    </xf>
    <xf numFmtId="165" fontId="42" fillId="10" borderId="1" xfId="20" applyNumberFormat="1" applyFont="1" applyFill="1" applyBorder="1" applyAlignment="1">
      <alignment horizontal="center" vertical="center"/>
    </xf>
    <xf numFmtId="174" fontId="42" fillId="10" borderId="2" xfId="20" applyNumberFormat="1" applyFont="1" applyFill="1" applyBorder="1" applyAlignment="1">
      <alignment horizontal="center" vertical="center"/>
    </xf>
    <xf numFmtId="165" fontId="42" fillId="10" borderId="2" xfId="20" applyNumberFormat="1" applyFont="1" applyFill="1" applyBorder="1" applyAlignment="1">
      <alignment horizontal="center" vertical="center"/>
    </xf>
    <xf numFmtId="0" fontId="42" fillId="10" borderId="0" xfId="20" applyFont="1" applyFill="1" applyAlignment="1">
      <alignment horizontal="center" vertical="center"/>
    </xf>
    <xf numFmtId="0" fontId="43" fillId="0" borderId="0" xfId="20" applyFont="1" applyAlignment="1">
      <alignment vertical="center"/>
    </xf>
    <xf numFmtId="0" fontId="43" fillId="0" borderId="0" xfId="20" applyFont="1" applyAlignment="1">
      <alignment horizontal="left" vertical="center"/>
    </xf>
    <xf numFmtId="166" fontId="43" fillId="0" borderId="0" xfId="21" applyFont="1" applyFill="1" applyBorder="1" applyAlignment="1">
      <alignment horizontal="center" vertical="center"/>
    </xf>
    <xf numFmtId="168" fontId="43" fillId="0" borderId="0" xfId="21" applyNumberFormat="1" applyFont="1" applyFill="1" applyBorder="1" applyAlignment="1">
      <alignment horizontal="center" vertical="center"/>
    </xf>
    <xf numFmtId="168" fontId="43" fillId="0" borderId="0" xfId="21" applyNumberFormat="1" applyFont="1" applyFill="1" applyBorder="1" applyAlignment="1"/>
    <xf numFmtId="0" fontId="42" fillId="0" borderId="0" xfId="20" applyFont="1" applyAlignment="1">
      <alignment horizontal="left" vertical="center"/>
    </xf>
    <xf numFmtId="165" fontId="43" fillId="0" borderId="0" xfId="20" applyNumberFormat="1" applyFont="1" applyAlignment="1">
      <alignment vertical="center"/>
    </xf>
    <xf numFmtId="0" fontId="42" fillId="0" borderId="0" xfId="20" applyFont="1" applyAlignment="1">
      <alignment horizontal="center"/>
    </xf>
    <xf numFmtId="166" fontId="42" fillId="0" borderId="0" xfId="21" applyFont="1" applyFill="1" applyBorder="1" applyAlignment="1">
      <alignment horizontal="center"/>
    </xf>
    <xf numFmtId="168" fontId="42" fillId="0" borderId="0" xfId="21" applyNumberFormat="1" applyFont="1" applyFill="1" applyBorder="1" applyAlignment="1">
      <alignment horizontal="center"/>
    </xf>
    <xf numFmtId="168" fontId="42" fillId="0" borderId="0" xfId="20" applyNumberFormat="1" applyFont="1"/>
    <xf numFmtId="4" fontId="42" fillId="0" borderId="0" xfId="20" applyNumberFormat="1" applyFont="1" applyAlignment="1">
      <alignment horizontal="center" vertical="center"/>
    </xf>
    <xf numFmtId="164" fontId="42" fillId="0" borderId="0" xfId="20" applyNumberFormat="1" applyFont="1" applyAlignment="1">
      <alignment horizontal="center"/>
    </xf>
    <xf numFmtId="4" fontId="42" fillId="0" borderId="0" xfId="20" applyNumberFormat="1" applyFont="1" applyAlignment="1">
      <alignment horizontal="center"/>
    </xf>
    <xf numFmtId="166" fontId="42" fillId="0" borderId="0" xfId="21" applyFont="1" applyFill="1" applyAlignment="1">
      <alignment horizontal="center"/>
    </xf>
    <xf numFmtId="168" fontId="42" fillId="0" borderId="0" xfId="21" applyNumberFormat="1" applyFont="1" applyFill="1" applyAlignment="1">
      <alignment horizontal="center"/>
    </xf>
    <xf numFmtId="166" fontId="42" fillId="0" borderId="0" xfId="20" applyNumberFormat="1" applyFont="1" applyAlignment="1">
      <alignment horizontal="center" vertical="center"/>
    </xf>
    <xf numFmtId="166" fontId="42" fillId="2" borderId="0" xfId="21" applyFont="1" applyFill="1" applyAlignment="1">
      <alignment horizontal="center"/>
    </xf>
    <xf numFmtId="168" fontId="42" fillId="2" borderId="0" xfId="21" applyNumberFormat="1" applyFont="1" applyFill="1" applyAlignment="1">
      <alignment horizontal="center"/>
    </xf>
    <xf numFmtId="168" fontId="42" fillId="2" borderId="0" xfId="20" applyNumberFormat="1" applyFont="1" applyFill="1"/>
    <xf numFmtId="165" fontId="35" fillId="10" borderId="1" xfId="20" applyNumberFormat="1" applyFont="1" applyFill="1" applyBorder="1" applyAlignment="1">
      <alignment horizontal="center" vertical="center"/>
    </xf>
    <xf numFmtId="0" fontId="42" fillId="10" borderId="2" xfId="20" applyFont="1" applyFill="1" applyBorder="1" applyAlignment="1">
      <alignment horizontal="center" vertical="center"/>
    </xf>
    <xf numFmtId="168" fontId="42" fillId="10" borderId="2" xfId="20" applyNumberFormat="1" applyFont="1" applyFill="1" applyBorder="1" applyAlignment="1">
      <alignment horizontal="center" vertical="center"/>
    </xf>
    <xf numFmtId="165" fontId="42" fillId="0" borderId="2" xfId="20" applyNumberFormat="1" applyFont="1" applyBorder="1" applyAlignment="1">
      <alignment horizontal="left" vertical="center"/>
    </xf>
    <xf numFmtId="165" fontId="42" fillId="0" borderId="1" xfId="20" applyNumberFormat="1" applyFont="1" applyBorder="1" applyAlignment="1">
      <alignment horizontal="center" vertical="center"/>
    </xf>
    <xf numFmtId="174" fontId="42" fillId="0" borderId="2" xfId="20" applyNumberFormat="1" applyFont="1" applyBorder="1" applyAlignment="1">
      <alignment horizontal="center" vertical="center"/>
    </xf>
    <xf numFmtId="165" fontId="42" fillId="0" borderId="2" xfId="20" applyNumberFormat="1" applyFont="1" applyBorder="1" applyAlignment="1">
      <alignment horizontal="center" vertical="center"/>
    </xf>
    <xf numFmtId="173" fontId="42" fillId="0" borderId="1" xfId="20" applyNumberFormat="1" applyFont="1" applyBorder="1" applyAlignment="1">
      <alignment horizontal="center" vertical="center"/>
    </xf>
    <xf numFmtId="174" fontId="42" fillId="0" borderId="1" xfId="20" applyNumberFormat="1" applyFont="1" applyBorder="1" applyAlignment="1">
      <alignment horizontal="center" vertical="center"/>
    </xf>
    <xf numFmtId="165" fontId="42" fillId="0" borderId="1" xfId="20" applyNumberFormat="1" applyFont="1" applyBorder="1" applyAlignment="1">
      <alignment horizontal="left" vertical="center"/>
    </xf>
    <xf numFmtId="166" fontId="43" fillId="0" borderId="0" xfId="21" applyFont="1" applyFill="1" applyBorder="1" applyAlignment="1">
      <alignment vertical="center"/>
    </xf>
    <xf numFmtId="168" fontId="45" fillId="0" borderId="0" xfId="21" applyNumberFormat="1" applyFont="1" applyFill="1" applyBorder="1" applyAlignment="1">
      <alignment vertical="center"/>
    </xf>
    <xf numFmtId="166" fontId="43" fillId="0" borderId="0" xfId="21" applyFont="1" applyFill="1" applyBorder="1" applyAlignment="1">
      <alignment horizontal="left" vertical="center"/>
    </xf>
    <xf numFmtId="168" fontId="43" fillId="0" borderId="0" xfId="21" applyNumberFormat="1" applyFont="1" applyFill="1" applyBorder="1" applyAlignment="1">
      <alignment vertical="center"/>
    </xf>
    <xf numFmtId="165" fontId="43" fillId="0" borderId="0" xfId="21" applyNumberFormat="1" applyFont="1" applyFill="1" applyBorder="1" applyAlignment="1">
      <alignment vertical="center"/>
    </xf>
    <xf numFmtId="165" fontId="42" fillId="10" borderId="1" xfId="20" applyNumberFormat="1" applyFont="1" applyFill="1" applyBorder="1" applyAlignment="1">
      <alignment horizontal="left" vertical="center"/>
    </xf>
    <xf numFmtId="165" fontId="42" fillId="0" borderId="12" xfId="20" applyNumberFormat="1" applyFont="1" applyBorder="1" applyAlignment="1">
      <alignment horizontal="center" vertical="center"/>
    </xf>
    <xf numFmtId="165" fontId="42" fillId="0" borderId="56" xfId="20" applyNumberFormat="1" applyFont="1" applyBorder="1" applyAlignment="1">
      <alignment horizontal="center" vertical="center"/>
    </xf>
    <xf numFmtId="165" fontId="42" fillId="0" borderId="13" xfId="20" applyNumberFormat="1" applyFont="1" applyBorder="1" applyAlignment="1">
      <alignment horizontal="center" vertical="center"/>
    </xf>
    <xf numFmtId="173" fontId="43" fillId="0" borderId="13" xfId="20" applyNumberFormat="1" applyFont="1" applyBorder="1" applyAlignment="1">
      <alignment horizontal="center" vertical="center"/>
    </xf>
    <xf numFmtId="165" fontId="43" fillId="0" borderId="8" xfId="20" applyNumberFormat="1" applyFont="1" applyBorder="1" applyAlignment="1">
      <alignment horizontal="center" vertical="center"/>
    </xf>
    <xf numFmtId="174" fontId="43" fillId="0" borderId="8" xfId="20" applyNumberFormat="1" applyFont="1" applyBorder="1" applyAlignment="1">
      <alignment horizontal="center" vertical="center"/>
    </xf>
    <xf numFmtId="165" fontId="43" fillId="0" borderId="47" xfId="20" applyNumberFormat="1" applyFont="1" applyBorder="1" applyAlignment="1">
      <alignment horizontal="center" vertical="center"/>
    </xf>
    <xf numFmtId="165" fontId="43" fillId="0" borderId="13" xfId="20" applyNumberFormat="1" applyFont="1" applyBorder="1" applyAlignment="1">
      <alignment horizontal="center" vertical="center"/>
    </xf>
    <xf numFmtId="174" fontId="43" fillId="0" borderId="13" xfId="20" applyNumberFormat="1" applyFont="1" applyBorder="1" applyAlignment="1">
      <alignment horizontal="center" vertical="center"/>
    </xf>
    <xf numFmtId="165" fontId="48" fillId="0" borderId="1" xfId="20" applyNumberFormat="1" applyFont="1" applyBorder="1" applyAlignment="1">
      <alignment horizontal="center" vertical="center"/>
    </xf>
    <xf numFmtId="165" fontId="48" fillId="0" borderId="12" xfId="20" applyNumberFormat="1" applyFont="1" applyBorder="1" applyAlignment="1">
      <alignment horizontal="center" vertical="center"/>
    </xf>
    <xf numFmtId="165" fontId="48" fillId="10" borderId="1" xfId="20" applyNumberFormat="1" applyFont="1" applyFill="1" applyBorder="1" applyAlignment="1">
      <alignment horizontal="center" vertical="center"/>
    </xf>
    <xf numFmtId="173" fontId="48" fillId="10" borderId="2" xfId="20" applyNumberFormat="1" applyFont="1" applyFill="1" applyBorder="1" applyAlignment="1">
      <alignment horizontal="center" vertical="center"/>
    </xf>
    <xf numFmtId="174" fontId="48" fillId="10" borderId="2" xfId="20" applyNumberFormat="1" applyFont="1" applyFill="1" applyBorder="1" applyAlignment="1">
      <alignment horizontal="center" vertical="center"/>
    </xf>
    <xf numFmtId="165" fontId="42" fillId="0" borderId="0" xfId="20" applyNumberFormat="1" applyFont="1" applyAlignment="1">
      <alignment horizontal="center" vertical="center"/>
    </xf>
    <xf numFmtId="165" fontId="42" fillId="0" borderId="15" xfId="20" applyNumberFormat="1" applyFont="1" applyBorder="1" applyAlignment="1">
      <alignment horizontal="center" vertical="center"/>
    </xf>
    <xf numFmtId="173" fontId="43" fillId="0" borderId="15" xfId="20" applyNumberFormat="1" applyFont="1" applyBorder="1" applyAlignment="1">
      <alignment horizontal="center" vertical="center"/>
    </xf>
    <xf numFmtId="165" fontId="43" fillId="0" borderId="20" xfId="20" applyNumberFormat="1" applyFont="1" applyBorder="1" applyAlignment="1">
      <alignment horizontal="center" vertical="center"/>
    </xf>
    <xf numFmtId="174" fontId="43" fillId="0" borderId="20" xfId="20" applyNumberFormat="1" applyFont="1" applyBorder="1" applyAlignment="1">
      <alignment horizontal="center" vertical="center"/>
    </xf>
    <xf numFmtId="0" fontId="43" fillId="0" borderId="7" xfId="20" applyFont="1" applyBorder="1" applyAlignment="1">
      <alignment vertical="center"/>
    </xf>
    <xf numFmtId="0" fontId="43" fillId="0" borderId="8" xfId="20" applyFont="1" applyBorder="1" applyAlignment="1">
      <alignment vertical="center"/>
    </xf>
    <xf numFmtId="166" fontId="43" fillId="0" borderId="8" xfId="21" applyFont="1" applyFill="1" applyBorder="1" applyAlignment="1">
      <alignment vertical="center"/>
    </xf>
    <xf numFmtId="168" fontId="45" fillId="0" borderId="8" xfId="21" applyNumberFormat="1" applyFont="1" applyFill="1" applyBorder="1" applyAlignment="1">
      <alignment vertical="center"/>
    </xf>
    <xf numFmtId="166" fontId="43" fillId="0" borderId="8" xfId="21" applyFont="1" applyFill="1" applyBorder="1" applyAlignment="1">
      <alignment horizontal="left" vertical="center"/>
    </xf>
    <xf numFmtId="168" fontId="43" fillId="0" borderId="13" xfId="21" applyNumberFormat="1" applyFont="1" applyFill="1" applyBorder="1" applyAlignment="1">
      <alignment vertical="center"/>
    </xf>
    <xf numFmtId="165" fontId="43" fillId="10" borderId="64" xfId="20" applyNumberFormat="1" applyFont="1" applyFill="1" applyBorder="1" applyAlignment="1">
      <alignment horizontal="center" vertical="center"/>
    </xf>
    <xf numFmtId="165" fontId="43" fillId="10" borderId="40" xfId="20" applyNumberFormat="1" applyFont="1" applyFill="1" applyBorder="1" applyAlignment="1">
      <alignment horizontal="center" vertical="center"/>
    </xf>
    <xf numFmtId="173" fontId="43" fillId="10" borderId="40" xfId="20" applyNumberFormat="1" applyFont="1" applyFill="1" applyBorder="1" applyAlignment="1">
      <alignment horizontal="center" vertical="center"/>
    </xf>
    <xf numFmtId="174" fontId="43" fillId="10" borderId="40" xfId="20" applyNumberFormat="1" applyFont="1" applyFill="1" applyBorder="1" applyAlignment="1">
      <alignment horizontal="center" vertical="center"/>
    </xf>
    <xf numFmtId="174" fontId="43" fillId="10" borderId="25" xfId="20" applyNumberFormat="1" applyFont="1" applyFill="1" applyBorder="1" applyAlignment="1">
      <alignment horizontal="center" vertical="center"/>
    </xf>
    <xf numFmtId="165" fontId="43" fillId="10" borderId="29" xfId="20" applyNumberFormat="1" applyFont="1" applyFill="1" applyBorder="1" applyAlignment="1">
      <alignment horizontal="center" vertical="center"/>
    </xf>
    <xf numFmtId="165" fontId="42" fillId="10" borderId="34" xfId="20" applyNumberFormat="1" applyFont="1" applyFill="1" applyBorder="1" applyAlignment="1">
      <alignment horizontal="left" vertical="center"/>
    </xf>
    <xf numFmtId="165" fontId="42" fillId="10" borderId="26" xfId="20" applyNumberFormat="1" applyFont="1" applyFill="1" applyBorder="1" applyAlignment="1">
      <alignment horizontal="center" vertical="center"/>
    </xf>
    <xf numFmtId="173" fontId="42" fillId="10" borderId="26" xfId="20" applyNumberFormat="1" applyFont="1" applyFill="1" applyBorder="1" applyAlignment="1">
      <alignment horizontal="center" vertical="center"/>
    </xf>
    <xf numFmtId="174" fontId="42" fillId="10" borderId="26" xfId="20" applyNumberFormat="1" applyFont="1" applyFill="1" applyBorder="1" applyAlignment="1">
      <alignment horizontal="center" vertical="center"/>
    </xf>
    <xf numFmtId="165" fontId="42" fillId="10" borderId="35" xfId="20" applyNumberFormat="1" applyFont="1" applyFill="1" applyBorder="1" applyAlignment="1">
      <alignment horizontal="center" vertical="center"/>
    </xf>
    <xf numFmtId="0" fontId="42" fillId="10" borderId="65" xfId="20" applyFont="1" applyFill="1" applyBorder="1" applyAlignment="1">
      <alignment horizontal="center" vertical="center"/>
    </xf>
    <xf numFmtId="0" fontId="42" fillId="10" borderId="4" xfId="20" applyFont="1" applyFill="1" applyBorder="1" applyAlignment="1">
      <alignment horizontal="center" vertical="center"/>
    </xf>
    <xf numFmtId="165" fontId="42" fillId="10" borderId="22" xfId="20" applyNumberFormat="1" applyFont="1" applyFill="1" applyBorder="1" applyAlignment="1">
      <alignment horizontal="left" vertical="center"/>
    </xf>
    <xf numFmtId="165" fontId="42" fillId="10" borderId="38" xfId="20" applyNumberFormat="1" applyFont="1" applyFill="1" applyBorder="1" applyAlignment="1">
      <alignment horizontal="center" vertical="center"/>
    </xf>
    <xf numFmtId="173" fontId="42" fillId="10" borderId="38" xfId="20" applyNumberFormat="1" applyFont="1" applyFill="1" applyBorder="1" applyAlignment="1">
      <alignment horizontal="center" vertical="center"/>
    </xf>
    <xf numFmtId="174" fontId="42" fillId="10" borderId="38" xfId="20" applyNumberFormat="1" applyFont="1" applyFill="1" applyBorder="1" applyAlignment="1">
      <alignment horizontal="center" vertical="center"/>
    </xf>
    <xf numFmtId="165" fontId="42" fillId="10" borderId="39" xfId="20" applyNumberFormat="1" applyFont="1" applyFill="1" applyBorder="1" applyAlignment="1">
      <alignment horizontal="center" vertical="center"/>
    </xf>
    <xf numFmtId="165" fontId="43" fillId="4" borderId="15" xfId="20" applyNumberFormat="1" applyFont="1" applyFill="1" applyBorder="1" applyAlignment="1">
      <alignment horizontal="center" vertical="center"/>
    </xf>
    <xf numFmtId="173" fontId="43" fillId="4" borderId="15" xfId="20" applyNumberFormat="1" applyFont="1" applyFill="1" applyBorder="1" applyAlignment="1">
      <alignment horizontal="center" vertical="center"/>
    </xf>
    <xf numFmtId="174" fontId="43" fillId="4" borderId="15" xfId="20" applyNumberFormat="1" applyFont="1" applyFill="1" applyBorder="1" applyAlignment="1">
      <alignment horizontal="center" vertical="center"/>
    </xf>
    <xf numFmtId="165" fontId="43" fillId="0" borderId="4" xfId="20" applyNumberFormat="1" applyFont="1" applyBorder="1" applyAlignment="1">
      <alignment horizontal="center" vertical="center"/>
    </xf>
    <xf numFmtId="165" fontId="43" fillId="0" borderId="4" xfId="20" applyNumberFormat="1" applyFont="1" applyBorder="1" applyAlignment="1">
      <alignment horizontal="left" vertical="center"/>
    </xf>
    <xf numFmtId="165" fontId="43" fillId="0" borderId="41" xfId="20" applyNumberFormat="1" applyFont="1" applyBorder="1" applyAlignment="1">
      <alignment horizontal="center" vertical="center"/>
    </xf>
    <xf numFmtId="173" fontId="43" fillId="0" borderId="41" xfId="20" applyNumberFormat="1" applyFont="1" applyBorder="1" applyAlignment="1">
      <alignment horizontal="center" vertical="center"/>
    </xf>
    <xf numFmtId="165" fontId="42" fillId="0" borderId="26" xfId="20" applyNumberFormat="1" applyFont="1" applyBorder="1" applyAlignment="1">
      <alignment horizontal="center" vertical="center"/>
    </xf>
    <xf numFmtId="0" fontId="48" fillId="10" borderId="2" xfId="20" applyFont="1" applyFill="1" applyBorder="1" applyAlignment="1">
      <alignment horizontal="center" vertical="center"/>
    </xf>
    <xf numFmtId="168" fontId="48" fillId="10" borderId="2" xfId="20" applyNumberFormat="1" applyFont="1" applyFill="1" applyBorder="1" applyAlignment="1">
      <alignment horizontal="center" vertical="center"/>
    </xf>
    <xf numFmtId="165" fontId="48" fillId="10" borderId="2" xfId="20" applyNumberFormat="1" applyFont="1" applyFill="1" applyBorder="1" applyAlignment="1">
      <alignment horizontal="center" vertical="center"/>
    </xf>
    <xf numFmtId="173" fontId="49" fillId="0" borderId="1" xfId="20" applyNumberFormat="1" applyFont="1" applyBorder="1" applyAlignment="1">
      <alignment horizontal="center" vertical="center"/>
    </xf>
    <xf numFmtId="165" fontId="49" fillId="0" borderId="1" xfId="20" applyNumberFormat="1" applyFont="1" applyBorder="1" applyAlignment="1">
      <alignment horizontal="center" vertical="center"/>
    </xf>
    <xf numFmtId="173" fontId="49" fillId="0" borderId="12" xfId="20" applyNumberFormat="1" applyFont="1" applyBorder="1" applyAlignment="1">
      <alignment horizontal="center" vertical="center"/>
    </xf>
    <xf numFmtId="174" fontId="49" fillId="0" borderId="41" xfId="20" applyNumberFormat="1" applyFont="1" applyBorder="1" applyAlignment="1">
      <alignment horizontal="center" vertical="center"/>
    </xf>
    <xf numFmtId="165" fontId="49" fillId="0" borderId="41" xfId="20" applyNumberFormat="1" applyFont="1" applyBorder="1" applyAlignment="1">
      <alignment horizontal="center" vertical="center"/>
    </xf>
    <xf numFmtId="165" fontId="49" fillId="0" borderId="32" xfId="20" applyNumberFormat="1" applyFont="1" applyBorder="1" applyAlignment="1">
      <alignment horizontal="center" vertical="center"/>
    </xf>
    <xf numFmtId="164" fontId="42" fillId="10" borderId="2" xfId="20" applyNumberFormat="1" applyFont="1" applyFill="1" applyBorder="1" applyAlignment="1">
      <alignment horizontal="center" vertical="center"/>
    </xf>
    <xf numFmtId="174" fontId="43" fillId="10" borderId="19" xfId="20" applyNumberFormat="1" applyFont="1" applyFill="1" applyBorder="1" applyAlignment="1">
      <alignment horizontal="center" vertical="center"/>
    </xf>
    <xf numFmtId="0" fontId="43" fillId="10" borderId="25" xfId="20" applyFont="1" applyFill="1" applyBorder="1" applyAlignment="1">
      <alignment horizontal="left" vertical="center" wrapText="1"/>
    </xf>
    <xf numFmtId="165" fontId="42" fillId="0" borderId="58" xfId="20" applyNumberFormat="1" applyFont="1" applyBorder="1" applyAlignment="1">
      <alignment horizontal="center" vertical="center"/>
    </xf>
    <xf numFmtId="165" fontId="42" fillId="0" borderId="41" xfId="20" applyNumberFormat="1" applyFont="1" applyBorder="1" applyAlignment="1">
      <alignment horizontal="center" vertical="center"/>
    </xf>
    <xf numFmtId="165" fontId="43" fillId="0" borderId="8" xfId="21" applyNumberFormat="1" applyFont="1" applyFill="1" applyBorder="1" applyAlignment="1">
      <alignment vertical="center"/>
    </xf>
    <xf numFmtId="168" fontId="43" fillId="0" borderId="8" xfId="21" applyNumberFormat="1" applyFont="1" applyFill="1" applyBorder="1" applyAlignment="1">
      <alignment vertical="center"/>
    </xf>
    <xf numFmtId="168" fontId="43" fillId="0" borderId="47" xfId="21" applyNumberFormat="1" applyFont="1" applyFill="1" applyBorder="1" applyAlignment="1">
      <alignment vertical="center"/>
    </xf>
    <xf numFmtId="165" fontId="42" fillId="0" borderId="34" xfId="20" applyNumberFormat="1" applyFont="1" applyBorder="1" applyAlignment="1">
      <alignment horizontal="left" vertical="center"/>
    </xf>
    <xf numFmtId="165" fontId="42" fillId="0" borderId="35" xfId="20" applyNumberFormat="1" applyFont="1" applyBorder="1" applyAlignment="1">
      <alignment horizontal="center" vertical="center"/>
    </xf>
    <xf numFmtId="165" fontId="42" fillId="0" borderId="37" xfId="20" applyNumberFormat="1" applyFont="1" applyBorder="1" applyAlignment="1">
      <alignment horizontal="center" vertical="center"/>
    </xf>
    <xf numFmtId="165" fontId="42" fillId="0" borderId="38" xfId="20" applyNumberFormat="1" applyFont="1" applyBorder="1" applyAlignment="1">
      <alignment horizontal="left" vertical="center"/>
    </xf>
    <xf numFmtId="0" fontId="42" fillId="4" borderId="0" xfId="20" applyFont="1" applyFill="1" applyAlignment="1">
      <alignment horizontal="center" vertical="center"/>
    </xf>
    <xf numFmtId="0" fontId="44" fillId="4" borderId="15" xfId="20" applyFont="1" applyFill="1" applyBorder="1" applyAlignment="1">
      <alignment horizontal="left" vertical="center" wrapText="1"/>
    </xf>
    <xf numFmtId="0" fontId="42" fillId="4" borderId="20" xfId="20" applyFont="1" applyFill="1" applyBorder="1" applyAlignment="1">
      <alignment horizontal="center" vertical="center"/>
    </xf>
    <xf numFmtId="165" fontId="44" fillId="4" borderId="15" xfId="20" applyNumberFormat="1" applyFont="1" applyFill="1" applyBorder="1" applyAlignment="1">
      <alignment horizontal="center" vertical="center"/>
    </xf>
    <xf numFmtId="165" fontId="42" fillId="4" borderId="15" xfId="20" applyNumberFormat="1" applyFont="1" applyFill="1" applyBorder="1" applyAlignment="1">
      <alignment horizontal="left" vertical="center"/>
    </xf>
    <xf numFmtId="165" fontId="42" fillId="4" borderId="15" xfId="20" applyNumberFormat="1" applyFont="1" applyFill="1" applyBorder="1" applyAlignment="1">
      <alignment horizontal="center" vertical="center"/>
    </xf>
    <xf numFmtId="165" fontId="42" fillId="0" borderId="26" xfId="20" applyNumberFormat="1" applyFont="1" applyBorder="1" applyAlignment="1">
      <alignment horizontal="left" vertical="center"/>
    </xf>
    <xf numFmtId="165" fontId="47" fillId="0" borderId="26" xfId="20" applyNumberFormat="1" applyFont="1" applyBorder="1" applyAlignment="1">
      <alignment horizontal="center" vertical="center"/>
    </xf>
    <xf numFmtId="165" fontId="48" fillId="0" borderId="26" xfId="20" applyNumberFormat="1" applyFont="1" applyBorder="1" applyAlignment="1">
      <alignment horizontal="center" vertical="center"/>
    </xf>
    <xf numFmtId="165" fontId="48" fillId="0" borderId="34" xfId="20" applyNumberFormat="1" applyFont="1" applyBorder="1" applyAlignment="1">
      <alignment horizontal="center" vertical="center"/>
    </xf>
    <xf numFmtId="165" fontId="48" fillId="0" borderId="35" xfId="20" applyNumberFormat="1" applyFont="1" applyBorder="1" applyAlignment="1">
      <alignment horizontal="center" vertical="center"/>
    </xf>
    <xf numFmtId="165" fontId="49" fillId="0" borderId="37" xfId="20" applyNumberFormat="1" applyFont="1" applyBorder="1" applyAlignment="1">
      <alignment horizontal="center" vertical="center"/>
    </xf>
    <xf numFmtId="165" fontId="49" fillId="0" borderId="43" xfId="20" applyNumberFormat="1" applyFont="1" applyBorder="1" applyAlignment="1">
      <alignment horizontal="center" vertical="center"/>
    </xf>
    <xf numFmtId="165" fontId="48" fillId="0" borderId="37" xfId="20" applyNumberFormat="1" applyFont="1" applyBorder="1" applyAlignment="1">
      <alignment horizontal="center" vertical="center"/>
    </xf>
    <xf numFmtId="165" fontId="48" fillId="0" borderId="43" xfId="20" applyNumberFormat="1" applyFont="1" applyBorder="1" applyAlignment="1">
      <alignment horizontal="center" vertical="center"/>
    </xf>
    <xf numFmtId="165" fontId="42" fillId="10" borderId="38" xfId="20" applyNumberFormat="1" applyFont="1" applyFill="1" applyBorder="1" applyAlignment="1">
      <alignment horizontal="left" vertical="center"/>
    </xf>
    <xf numFmtId="165" fontId="42" fillId="10" borderId="26" xfId="20" applyNumberFormat="1" applyFont="1" applyFill="1" applyBorder="1" applyAlignment="1">
      <alignment horizontal="left" vertical="center"/>
    </xf>
    <xf numFmtId="165" fontId="42" fillId="0" borderId="66" xfId="20" applyNumberFormat="1" applyFont="1" applyBorder="1" applyAlignment="1">
      <alignment horizontal="center" vertical="center"/>
    </xf>
    <xf numFmtId="165" fontId="42" fillId="0" borderId="40" xfId="20" applyNumberFormat="1" applyFont="1" applyBorder="1" applyAlignment="1">
      <alignment horizontal="center" vertical="center"/>
    </xf>
    <xf numFmtId="173" fontId="43" fillId="0" borderId="40" xfId="20" applyNumberFormat="1" applyFont="1" applyBorder="1" applyAlignment="1">
      <alignment horizontal="center" vertical="center"/>
    </xf>
    <xf numFmtId="165" fontId="43" fillId="0" borderId="25" xfId="20" applyNumberFormat="1" applyFont="1" applyBorder="1" applyAlignment="1">
      <alignment horizontal="center" vertical="center"/>
    </xf>
    <xf numFmtId="174" fontId="43" fillId="0" borderId="25" xfId="20" applyNumberFormat="1" applyFont="1" applyBorder="1" applyAlignment="1">
      <alignment horizontal="center" vertical="center"/>
    </xf>
    <xf numFmtId="165" fontId="43" fillId="0" borderId="29" xfId="20" applyNumberFormat="1" applyFont="1" applyBorder="1" applyAlignment="1">
      <alignment horizontal="center" vertical="center"/>
    </xf>
    <xf numFmtId="165" fontId="43" fillId="0" borderId="62" xfId="20" applyNumberFormat="1" applyFont="1" applyBorder="1" applyAlignment="1">
      <alignment horizontal="center" vertical="center"/>
    </xf>
    <xf numFmtId="165" fontId="42" fillId="0" borderId="59" xfId="20" applyNumberFormat="1" applyFont="1" applyBorder="1" applyAlignment="1">
      <alignment horizontal="center" vertical="center"/>
    </xf>
    <xf numFmtId="174" fontId="43" fillId="0" borderId="4" xfId="20" applyNumberFormat="1" applyFont="1" applyBorder="1" applyAlignment="1">
      <alignment horizontal="center" vertical="center"/>
    </xf>
    <xf numFmtId="165" fontId="43" fillId="0" borderId="32" xfId="20" applyNumberFormat="1" applyFont="1" applyBorder="1" applyAlignment="1">
      <alignment horizontal="center" vertical="center"/>
    </xf>
    <xf numFmtId="0" fontId="42" fillId="0" borderId="44" xfId="20" applyFont="1" applyBorder="1" applyAlignment="1">
      <alignment horizontal="center" vertical="center"/>
    </xf>
    <xf numFmtId="0" fontId="42" fillId="0" borderId="6" xfId="20" applyFont="1" applyBorder="1" applyAlignment="1">
      <alignment horizontal="center" vertical="center"/>
    </xf>
    <xf numFmtId="0" fontId="42" fillId="2" borderId="6" xfId="20" applyFont="1" applyFill="1" applyBorder="1" applyAlignment="1">
      <alignment horizontal="center" vertical="center"/>
    </xf>
    <xf numFmtId="173" fontId="42" fillId="2" borderId="12" xfId="20" applyNumberFormat="1" applyFont="1" applyFill="1" applyBorder="1" applyAlignment="1">
      <alignment horizontal="center" vertical="center"/>
    </xf>
    <xf numFmtId="173" fontId="42" fillId="2" borderId="6" xfId="20" applyNumberFormat="1" applyFont="1" applyFill="1" applyBorder="1" applyAlignment="1">
      <alignment horizontal="center" vertical="center"/>
    </xf>
    <xf numFmtId="165" fontId="35" fillId="10" borderId="26" xfId="20" applyNumberFormat="1" applyFont="1" applyFill="1" applyBorder="1" applyAlignment="1">
      <alignment horizontal="center" vertical="center"/>
    </xf>
    <xf numFmtId="0" fontId="48" fillId="10" borderId="34" xfId="20" applyFont="1" applyFill="1" applyBorder="1" applyAlignment="1">
      <alignment horizontal="center" vertical="center"/>
    </xf>
    <xf numFmtId="174" fontId="48" fillId="10" borderId="34" xfId="20" applyNumberFormat="1" applyFont="1" applyFill="1" applyBorder="1" applyAlignment="1">
      <alignment horizontal="center" vertical="center"/>
    </xf>
    <xf numFmtId="168" fontId="48" fillId="10" borderId="34" xfId="20" applyNumberFormat="1" applyFont="1" applyFill="1" applyBorder="1" applyAlignment="1">
      <alignment horizontal="center" vertical="center"/>
    </xf>
    <xf numFmtId="165" fontId="42" fillId="10" borderId="34" xfId="20" applyNumberFormat="1" applyFont="1" applyFill="1" applyBorder="1" applyAlignment="1">
      <alignment horizontal="center" vertical="center"/>
    </xf>
    <xf numFmtId="165" fontId="42" fillId="10" borderId="37" xfId="20" applyNumberFormat="1" applyFont="1" applyFill="1" applyBorder="1" applyAlignment="1">
      <alignment horizontal="center" vertical="center"/>
    </xf>
    <xf numFmtId="0" fontId="42" fillId="10" borderId="22" xfId="20" applyFont="1" applyFill="1" applyBorder="1" applyAlignment="1">
      <alignment horizontal="center" vertical="center"/>
    </xf>
    <xf numFmtId="165" fontId="48" fillId="10" borderId="38" xfId="20" applyNumberFormat="1" applyFont="1" applyFill="1" applyBorder="1" applyAlignment="1">
      <alignment horizontal="center" vertical="center"/>
    </xf>
    <xf numFmtId="174" fontId="48" fillId="10" borderId="22" xfId="20" applyNumberFormat="1" applyFont="1" applyFill="1" applyBorder="1" applyAlignment="1">
      <alignment horizontal="center" vertical="center"/>
    </xf>
    <xf numFmtId="165" fontId="48" fillId="10" borderId="22" xfId="20" applyNumberFormat="1" applyFont="1" applyFill="1" applyBorder="1" applyAlignment="1">
      <alignment horizontal="center" vertical="center"/>
    </xf>
    <xf numFmtId="165" fontId="42" fillId="10" borderId="22" xfId="20" applyNumberFormat="1" applyFont="1" applyFill="1" applyBorder="1" applyAlignment="1">
      <alignment horizontal="center" vertical="center"/>
    </xf>
    <xf numFmtId="172" fontId="36" fillId="0" borderId="19" xfId="18" applyNumberFormat="1" applyFont="1" applyBorder="1" applyAlignment="1">
      <alignment horizontal="center" vertical="center" wrapText="1"/>
    </xf>
    <xf numFmtId="165" fontId="43" fillId="0" borderId="19" xfId="20" applyNumberFormat="1" applyFont="1" applyBorder="1" applyAlignment="1">
      <alignment horizontal="left" vertical="center"/>
    </xf>
    <xf numFmtId="165" fontId="43" fillId="0" borderId="14" xfId="20" applyNumberFormat="1" applyFont="1" applyBorder="1" applyAlignment="1">
      <alignment horizontal="center" vertical="center"/>
    </xf>
    <xf numFmtId="0" fontId="42" fillId="0" borderId="19" xfId="20" applyFont="1" applyBorder="1" applyAlignment="1">
      <alignment horizontal="center" vertical="center"/>
    </xf>
    <xf numFmtId="165" fontId="42" fillId="0" borderId="14" xfId="20" applyNumberFormat="1" applyFont="1" applyBorder="1" applyAlignment="1">
      <alignment horizontal="center" vertical="center"/>
    </xf>
    <xf numFmtId="175" fontId="51" fillId="0" borderId="30" xfId="23" applyNumberFormat="1" applyFont="1" applyBorder="1" applyAlignment="1">
      <alignment horizontal="right" vertical="center" wrapText="1"/>
    </xf>
    <xf numFmtId="175" fontId="51" fillId="0" borderId="14" xfId="23" applyNumberFormat="1" applyFont="1" applyBorder="1" applyAlignment="1">
      <alignment horizontal="right" vertical="center" wrapText="1"/>
    </xf>
    <xf numFmtId="165" fontId="49" fillId="0" borderId="14" xfId="20" applyNumberFormat="1" applyFont="1" applyBorder="1" applyAlignment="1">
      <alignment horizontal="center" vertical="center"/>
    </xf>
    <xf numFmtId="165" fontId="49" fillId="0" borderId="30" xfId="20" applyNumberFormat="1" applyFont="1" applyBorder="1" applyAlignment="1">
      <alignment horizontal="center" vertical="center"/>
    </xf>
    <xf numFmtId="0" fontId="43" fillId="10" borderId="24" xfId="20" applyFont="1" applyFill="1" applyBorder="1" applyAlignment="1">
      <alignment horizontal="center" vertical="center"/>
    </xf>
    <xf numFmtId="0" fontId="43" fillId="10" borderId="25" xfId="20" applyFont="1" applyFill="1" applyBorder="1" applyAlignment="1">
      <alignment horizontal="center" vertical="center"/>
    </xf>
    <xf numFmtId="165" fontId="43" fillId="10" borderId="25" xfId="20" applyNumberFormat="1" applyFont="1" applyFill="1" applyBorder="1" applyAlignment="1">
      <alignment horizontal="center" vertical="center"/>
    </xf>
    <xf numFmtId="165" fontId="43" fillId="10" borderId="40" xfId="20" applyNumberFormat="1" applyFont="1" applyFill="1" applyBorder="1" applyAlignment="1">
      <alignment horizontal="left" vertical="center"/>
    </xf>
    <xf numFmtId="0" fontId="43" fillId="4" borderId="31" xfId="20" applyFont="1" applyFill="1" applyBorder="1" applyAlignment="1">
      <alignment horizontal="center" vertical="center"/>
    </xf>
    <xf numFmtId="0" fontId="43" fillId="4" borderId="4" xfId="20" applyFont="1" applyFill="1" applyBorder="1" applyAlignment="1">
      <alignment horizontal="left" vertical="center" wrapText="1"/>
    </xf>
    <xf numFmtId="0" fontId="43" fillId="4" borderId="4" xfId="20" applyFont="1" applyFill="1" applyBorder="1" applyAlignment="1">
      <alignment horizontal="center" vertical="center"/>
    </xf>
    <xf numFmtId="165" fontId="43" fillId="4" borderId="4" xfId="20" applyNumberFormat="1" applyFont="1" applyFill="1" applyBorder="1" applyAlignment="1">
      <alignment horizontal="center" vertical="center"/>
    </xf>
    <xf numFmtId="165" fontId="43" fillId="4" borderId="4" xfId="20" applyNumberFormat="1" applyFont="1" applyFill="1" applyBorder="1" applyAlignment="1">
      <alignment horizontal="left" vertical="center"/>
    </xf>
    <xf numFmtId="165" fontId="43" fillId="4" borderId="41" xfId="20" applyNumberFormat="1" applyFont="1" applyFill="1" applyBorder="1" applyAlignment="1">
      <alignment horizontal="center" vertical="center"/>
    </xf>
    <xf numFmtId="173" fontId="43" fillId="4" borderId="41" xfId="20" applyNumberFormat="1" applyFont="1" applyFill="1" applyBorder="1" applyAlignment="1">
      <alignment horizontal="center" vertical="center"/>
    </xf>
    <xf numFmtId="174" fontId="43" fillId="4" borderId="41" xfId="20" applyNumberFormat="1" applyFont="1" applyFill="1" applyBorder="1" applyAlignment="1">
      <alignment horizontal="center" vertical="center"/>
    </xf>
    <xf numFmtId="174" fontId="43" fillId="4" borderId="4" xfId="20" applyNumberFormat="1" applyFont="1" applyFill="1" applyBorder="1" applyAlignment="1">
      <alignment horizontal="center" vertical="center"/>
    </xf>
    <xf numFmtId="165" fontId="43" fillId="4" borderId="32" xfId="20" applyNumberFormat="1" applyFont="1" applyFill="1" applyBorder="1" applyAlignment="1">
      <alignment horizontal="center" vertical="center"/>
    </xf>
    <xf numFmtId="0" fontId="42" fillId="0" borderId="2" xfId="20" applyFont="1" applyBorder="1" applyAlignment="1">
      <alignment horizontal="center" vertical="center"/>
    </xf>
    <xf numFmtId="165" fontId="42" fillId="0" borderId="12" xfId="20" applyNumberFormat="1" applyFont="1" applyBorder="1" applyAlignment="1">
      <alignment horizontal="left" vertical="center"/>
    </xf>
    <xf numFmtId="0" fontId="42" fillId="0" borderId="15" xfId="20" applyFont="1" applyBorder="1" applyAlignment="1">
      <alignment horizontal="center" vertical="center"/>
    </xf>
    <xf numFmtId="174" fontId="42" fillId="10" borderId="6" xfId="20" applyNumberFormat="1" applyFont="1" applyFill="1" applyBorder="1" applyAlignment="1">
      <alignment horizontal="center" vertical="center"/>
    </xf>
    <xf numFmtId="174" fontId="47" fillId="0" borderId="2" xfId="20" applyNumberFormat="1" applyFont="1" applyBorder="1" applyAlignment="1">
      <alignment horizontal="center" vertical="center"/>
    </xf>
    <xf numFmtId="0" fontId="42" fillId="0" borderId="1" xfId="20" applyFont="1" applyBorder="1" applyAlignment="1">
      <alignment horizontal="center" vertical="center"/>
    </xf>
    <xf numFmtId="165" fontId="47" fillId="0" borderId="2" xfId="20" applyNumberFormat="1" applyFont="1" applyBorder="1" applyAlignment="1">
      <alignment horizontal="center" vertical="center"/>
    </xf>
    <xf numFmtId="165" fontId="47" fillId="0" borderId="37" xfId="20" applyNumberFormat="1" applyFont="1" applyBorder="1" applyAlignment="1">
      <alignment horizontal="center" vertical="center"/>
    </xf>
    <xf numFmtId="165" fontId="47" fillId="0" borderId="1" xfId="20" applyNumberFormat="1" applyFont="1" applyBorder="1" applyAlignment="1">
      <alignment horizontal="center" vertical="center"/>
    </xf>
    <xf numFmtId="165" fontId="48" fillId="0" borderId="14" xfId="20" applyNumberFormat="1" applyFont="1" applyBorder="1" applyAlignment="1">
      <alignment horizontal="center" vertical="center"/>
    </xf>
    <xf numFmtId="165" fontId="48" fillId="0" borderId="2" xfId="20" applyNumberFormat="1" applyFont="1" applyBorder="1" applyAlignment="1">
      <alignment horizontal="center" vertical="center"/>
    </xf>
    <xf numFmtId="164" fontId="43" fillId="0" borderId="0" xfId="20" applyNumberFormat="1" applyFont="1" applyAlignment="1">
      <alignment vertical="center"/>
    </xf>
    <xf numFmtId="0" fontId="42" fillId="10" borderId="25" xfId="20" applyFont="1" applyFill="1" applyBorder="1" applyAlignment="1">
      <alignment horizontal="center" vertical="center"/>
    </xf>
    <xf numFmtId="0" fontId="42" fillId="10" borderId="20" xfId="20" applyFont="1" applyFill="1" applyBorder="1" applyAlignment="1">
      <alignment horizontal="center" vertical="center"/>
    </xf>
    <xf numFmtId="166" fontId="43" fillId="2" borderId="17" xfId="21" applyFont="1" applyFill="1" applyBorder="1" applyAlignment="1">
      <alignment horizontal="center" vertical="center" wrapText="1"/>
    </xf>
    <xf numFmtId="166" fontId="43" fillId="2" borderId="16" xfId="21" applyFont="1" applyFill="1" applyBorder="1" applyAlignment="1">
      <alignment horizontal="center" vertical="center" wrapText="1"/>
    </xf>
    <xf numFmtId="174" fontId="48" fillId="11" borderId="2" xfId="20" applyNumberFormat="1" applyFont="1" applyFill="1" applyBorder="1" applyAlignment="1">
      <alignment horizontal="center" vertical="center"/>
    </xf>
    <xf numFmtId="174" fontId="48" fillId="11" borderId="6" xfId="20" applyNumberFormat="1" applyFont="1" applyFill="1" applyBorder="1" applyAlignment="1">
      <alignment horizontal="center" vertical="center"/>
    </xf>
    <xf numFmtId="165" fontId="42" fillId="10" borderId="6" xfId="20" applyNumberFormat="1" applyFont="1" applyFill="1" applyBorder="1" applyAlignment="1">
      <alignment horizontal="center" vertical="center"/>
    </xf>
    <xf numFmtId="165" fontId="42" fillId="0" borderId="19" xfId="20" applyNumberFormat="1" applyFont="1" applyBorder="1" applyAlignment="1">
      <alignment horizontal="center" vertical="center"/>
    </xf>
    <xf numFmtId="0" fontId="43" fillId="0" borderId="31" xfId="20" applyFont="1" applyBorder="1" applyAlignment="1">
      <alignment vertical="center"/>
    </xf>
    <xf numFmtId="0" fontId="43" fillId="0" borderId="4" xfId="20" applyFont="1" applyBorder="1" applyAlignment="1">
      <alignment vertical="center"/>
    </xf>
    <xf numFmtId="17" fontId="43" fillId="2" borderId="6" xfId="18" applyNumberFormat="1" applyFont="1" applyFill="1" applyBorder="1" applyAlignment="1">
      <alignment horizontal="center" vertical="center"/>
    </xf>
    <xf numFmtId="0" fontId="7" fillId="0" borderId="2" xfId="20" applyFont="1" applyBorder="1" applyAlignment="1">
      <alignment horizontal="center" vertical="center" wrapText="1"/>
    </xf>
    <xf numFmtId="0" fontId="43" fillId="0" borderId="2" xfId="20" applyFont="1" applyBorder="1" applyAlignment="1">
      <alignment horizontal="center" vertical="center"/>
    </xf>
    <xf numFmtId="166" fontId="43" fillId="2" borderId="6" xfId="21" applyFont="1" applyFill="1" applyBorder="1" applyAlignment="1">
      <alignment horizontal="center" vertical="center" wrapText="1"/>
    </xf>
    <xf numFmtId="0" fontId="42" fillId="10" borderId="7" xfId="20" applyFont="1" applyFill="1" applyBorder="1" applyAlignment="1">
      <alignment horizontal="center" vertical="center"/>
    </xf>
    <xf numFmtId="0" fontId="43" fillId="10" borderId="8" xfId="20" applyFont="1" applyFill="1" applyBorder="1" applyAlignment="1">
      <alignment horizontal="left" vertical="center" wrapText="1"/>
    </xf>
    <xf numFmtId="165" fontId="42" fillId="10" borderId="8" xfId="20" applyNumberFormat="1" applyFont="1" applyFill="1" applyBorder="1" applyAlignment="1">
      <alignment horizontal="center" vertical="center"/>
    </xf>
    <xf numFmtId="0" fontId="43" fillId="0" borderId="7" xfId="20" applyFont="1" applyBorder="1" applyAlignment="1">
      <alignment horizontal="center" vertical="center"/>
    </xf>
    <xf numFmtId="0" fontId="43" fillId="0" borderId="8" xfId="20" applyFont="1" applyBorder="1" applyAlignment="1">
      <alignment horizontal="left" vertical="center" wrapText="1"/>
    </xf>
    <xf numFmtId="168" fontId="43" fillId="0" borderId="61" xfId="21" applyNumberFormat="1" applyFont="1" applyFill="1" applyBorder="1" applyAlignment="1">
      <alignment vertical="center"/>
    </xf>
    <xf numFmtId="0" fontId="43" fillId="10" borderId="7" xfId="20" applyFont="1" applyFill="1" applyBorder="1" applyAlignment="1">
      <alignment horizontal="center" vertical="center"/>
    </xf>
    <xf numFmtId="173" fontId="43" fillId="6" borderId="13" xfId="20" applyNumberFormat="1" applyFont="1" applyFill="1" applyBorder="1" applyAlignment="1">
      <alignment horizontal="center" vertical="center"/>
    </xf>
    <xf numFmtId="165" fontId="43" fillId="6" borderId="47" xfId="20" applyNumberFormat="1" applyFont="1" applyFill="1" applyBorder="1" applyAlignment="1">
      <alignment horizontal="center" vertical="center"/>
    </xf>
    <xf numFmtId="168" fontId="43" fillId="2" borderId="6" xfId="21" applyNumberFormat="1" applyFont="1" applyFill="1" applyBorder="1" applyAlignment="1">
      <alignment horizontal="center" vertical="center" wrapText="1"/>
    </xf>
    <xf numFmtId="0" fontId="36" fillId="12" borderId="8" xfId="18" applyFont="1" applyFill="1" applyBorder="1" applyAlignment="1">
      <alignment horizontal="center" vertical="center"/>
    </xf>
    <xf numFmtId="166" fontId="36" fillId="12" borderId="8" xfId="19" applyFont="1" applyFill="1" applyBorder="1" applyAlignment="1">
      <alignment horizontal="center" vertical="center" wrapText="1"/>
    </xf>
    <xf numFmtId="17" fontId="36" fillId="12" borderId="8" xfId="18" applyNumberFormat="1" applyFont="1" applyFill="1" applyBorder="1" applyAlignment="1">
      <alignment horizontal="center" vertical="center" wrapText="1"/>
    </xf>
    <xf numFmtId="17" fontId="36" fillId="12" borderId="47" xfId="18" applyNumberFormat="1" applyFont="1" applyFill="1" applyBorder="1" applyAlignment="1">
      <alignment horizontal="center" vertical="center" wrapText="1"/>
    </xf>
    <xf numFmtId="172" fontId="36" fillId="2" borderId="2" xfId="18" applyNumberFormat="1" applyFont="1" applyFill="1" applyBorder="1" applyAlignment="1">
      <alignment horizontal="center" vertical="center" wrapText="1"/>
    </xf>
    <xf numFmtId="172" fontId="36" fillId="12" borderId="2" xfId="18" applyNumberFormat="1" applyFont="1" applyFill="1" applyBorder="1" applyAlignment="1">
      <alignment horizontal="center" vertical="center" wrapText="1"/>
    </xf>
    <xf numFmtId="0" fontId="36" fillId="12" borderId="7" xfId="18" applyFont="1" applyFill="1" applyBorder="1" applyAlignment="1">
      <alignment horizontal="center" vertical="center" wrapText="1"/>
    </xf>
    <xf numFmtId="0" fontId="36" fillId="12" borderId="22" xfId="18" applyFont="1" applyFill="1" applyBorder="1" applyAlignment="1">
      <alignment horizontal="center" vertical="center" wrapText="1"/>
    </xf>
    <xf numFmtId="172" fontId="36" fillId="12" borderId="22" xfId="18" applyNumberFormat="1" applyFont="1" applyFill="1" applyBorder="1" applyAlignment="1">
      <alignment horizontal="center" vertical="center" wrapText="1"/>
    </xf>
    <xf numFmtId="166" fontId="36" fillId="12" borderId="22" xfId="19" applyFont="1" applyFill="1" applyBorder="1" applyAlignment="1">
      <alignment horizontal="left" vertical="center"/>
    </xf>
    <xf numFmtId="17" fontId="39" fillId="12" borderId="39" xfId="18" applyNumberFormat="1" applyFont="1" applyFill="1" applyBorder="1" applyAlignment="1">
      <alignment vertical="center"/>
    </xf>
    <xf numFmtId="172" fontId="40" fillId="2" borderId="2" xfId="18" applyNumberFormat="1" applyFont="1" applyFill="1" applyBorder="1" applyAlignment="1">
      <alignment horizontal="center" vertical="center" wrapText="1"/>
    </xf>
    <xf numFmtId="172" fontId="40" fillId="12" borderId="2" xfId="18" applyNumberFormat="1" applyFont="1" applyFill="1" applyBorder="1" applyAlignment="1">
      <alignment horizontal="center" vertical="center" wrapText="1"/>
    </xf>
    <xf numFmtId="172" fontId="40" fillId="0" borderId="2" xfId="18" applyNumberFormat="1" applyFont="1" applyBorder="1" applyAlignment="1">
      <alignment horizontal="center" vertical="center" wrapText="1"/>
    </xf>
    <xf numFmtId="0" fontId="54" fillId="0" borderId="0" xfId="18" applyFont="1" applyAlignment="1">
      <alignment vertical="center"/>
    </xf>
    <xf numFmtId="164" fontId="42" fillId="0" borderId="0" xfId="20" applyNumberFormat="1" applyFont="1"/>
    <xf numFmtId="172" fontId="36" fillId="2" borderId="6" xfId="18" applyNumberFormat="1" applyFont="1" applyFill="1" applyBorder="1" applyAlignment="1">
      <alignment horizontal="center" vertical="center" wrapText="1"/>
    </xf>
    <xf numFmtId="172" fontId="36" fillId="12" borderId="6" xfId="18" applyNumberFormat="1" applyFont="1" applyFill="1" applyBorder="1" applyAlignment="1">
      <alignment horizontal="center" vertical="center" wrapText="1"/>
    </xf>
    <xf numFmtId="172" fontId="36" fillId="0" borderId="6" xfId="18" applyNumberFormat="1" applyFont="1" applyBorder="1" applyAlignment="1">
      <alignment horizontal="center" vertical="center" wrapText="1"/>
    </xf>
    <xf numFmtId="17" fontId="35" fillId="0" borderId="43" xfId="18" applyNumberFormat="1" applyFont="1" applyBorder="1" applyAlignment="1">
      <alignment vertical="center"/>
    </xf>
    <xf numFmtId="164" fontId="47" fillId="0" borderId="0" xfId="20" applyNumberFormat="1" applyFont="1"/>
    <xf numFmtId="0" fontId="51" fillId="0" borderId="1" xfId="0" applyFont="1" applyBorder="1" applyAlignment="1">
      <alignment horizontal="center" vertical="center" wrapText="1"/>
    </xf>
    <xf numFmtId="0" fontId="51" fillId="0" borderId="2" xfId="0" applyFont="1" applyBorder="1" applyAlignment="1">
      <alignment vertical="center" wrapText="1"/>
    </xf>
    <xf numFmtId="0" fontId="51" fillId="0" borderId="37" xfId="0" applyFont="1" applyBorder="1" applyAlignment="1">
      <alignment vertical="center" wrapText="1"/>
    </xf>
    <xf numFmtId="0" fontId="55" fillId="0" borderId="1" xfId="0" applyFont="1" applyBorder="1" applyAlignment="1">
      <alignment horizontal="center" vertical="center" wrapText="1"/>
    </xf>
    <xf numFmtId="0" fontId="55" fillId="0" borderId="2" xfId="0" applyFont="1" applyBorder="1" applyAlignment="1">
      <alignment vertical="center" wrapText="1"/>
    </xf>
    <xf numFmtId="0" fontId="55" fillId="0" borderId="37" xfId="0" applyFont="1" applyBorder="1" applyAlignment="1">
      <alignment vertical="center" wrapText="1"/>
    </xf>
    <xf numFmtId="0" fontId="51" fillId="0" borderId="12" xfId="0" applyFont="1" applyBorder="1" applyAlignment="1">
      <alignment horizontal="center" vertical="center" wrapText="1"/>
    </xf>
    <xf numFmtId="0" fontId="51" fillId="0" borderId="6" xfId="0" applyFont="1" applyBorder="1" applyAlignment="1">
      <alignment vertical="center" wrapText="1"/>
    </xf>
    <xf numFmtId="0" fontId="36" fillId="13" borderId="2" xfId="18" applyFont="1" applyFill="1" applyBorder="1" applyAlignment="1">
      <alignment horizontal="center" vertical="center" wrapText="1"/>
    </xf>
    <xf numFmtId="0" fontId="51" fillId="12" borderId="63" xfId="0" applyFont="1" applyFill="1" applyBorder="1" applyAlignment="1">
      <alignment horizontal="center" vertical="center" wrapText="1"/>
    </xf>
    <xf numFmtId="0" fontId="55" fillId="12" borderId="63" xfId="0" applyFont="1" applyFill="1" applyBorder="1" applyAlignment="1">
      <alignment horizontal="center" vertical="center" wrapText="1"/>
    </xf>
    <xf numFmtId="17" fontId="35" fillId="12" borderId="69" xfId="4" applyNumberFormat="1" applyFont="1" applyFill="1" applyBorder="1" applyAlignment="1">
      <alignment horizontal="left" vertical="center"/>
    </xf>
    <xf numFmtId="172" fontId="39" fillId="0" borderId="2" xfId="18" applyNumberFormat="1" applyFont="1" applyBorder="1" applyAlignment="1">
      <alignment horizontal="center" vertical="center"/>
    </xf>
    <xf numFmtId="0" fontId="36" fillId="0" borderId="2" xfId="18" applyFont="1" applyBorder="1" applyAlignment="1">
      <alignment horizontal="center" vertical="center" wrapText="1"/>
    </xf>
    <xf numFmtId="0" fontId="36" fillId="0" borderId="2" xfId="18" applyFont="1" applyBorder="1" applyAlignment="1">
      <alignment horizontal="left" vertical="center" wrapText="1"/>
    </xf>
    <xf numFmtId="166" fontId="36" fillId="0" borderId="2" xfId="19" applyFont="1" applyFill="1" applyBorder="1" applyAlignment="1">
      <alignment horizontal="left" vertical="center"/>
    </xf>
    <xf numFmtId="17" fontId="39" fillId="0" borderId="2" xfId="18" applyNumberFormat="1" applyFont="1" applyBorder="1" applyAlignment="1">
      <alignment vertical="center"/>
    </xf>
    <xf numFmtId="0" fontId="36" fillId="14" borderId="6" xfId="18" applyFont="1" applyFill="1" applyBorder="1" applyAlignment="1">
      <alignment horizontal="center" vertical="center" wrapText="1"/>
    </xf>
    <xf numFmtId="0" fontId="36" fillId="14" borderId="24" xfId="18" applyFont="1" applyFill="1" applyBorder="1" applyAlignment="1">
      <alignment horizontal="center" vertical="center" wrapText="1"/>
    </xf>
    <xf numFmtId="0" fontId="36" fillId="14" borderId="25" xfId="18" applyFont="1" applyFill="1" applyBorder="1" applyAlignment="1">
      <alignment horizontal="center" vertical="center"/>
    </xf>
    <xf numFmtId="166" fontId="36" fillId="14" borderId="25" xfId="19" applyFont="1" applyFill="1" applyBorder="1" applyAlignment="1">
      <alignment horizontal="center" vertical="center" wrapText="1"/>
    </xf>
    <xf numFmtId="165" fontId="38" fillId="14" borderId="25" xfId="18" applyNumberFormat="1" applyFont="1" applyFill="1" applyBorder="1" applyAlignment="1">
      <alignment horizontal="center" vertical="center"/>
    </xf>
    <xf numFmtId="17" fontId="36" fillId="14" borderId="25" xfId="18" applyNumberFormat="1" applyFont="1" applyFill="1" applyBorder="1" applyAlignment="1">
      <alignment horizontal="center" vertical="center" wrapText="1"/>
    </xf>
    <xf numFmtId="17" fontId="36" fillId="14" borderId="29" xfId="18" applyNumberFormat="1" applyFont="1" applyFill="1" applyBorder="1" applyAlignment="1">
      <alignment horizontal="center" vertical="center" wrapText="1"/>
    </xf>
    <xf numFmtId="166" fontId="43" fillId="2" borderId="22" xfId="21" applyFont="1" applyFill="1" applyBorder="1" applyAlignment="1">
      <alignment horizontal="center" vertical="center" wrapText="1"/>
    </xf>
    <xf numFmtId="0" fontId="43" fillId="2" borderId="22" xfId="20" applyFont="1" applyFill="1" applyBorder="1" applyAlignment="1">
      <alignment horizontal="center" vertical="center"/>
    </xf>
    <xf numFmtId="17" fontId="43" fillId="2" borderId="22" xfId="18" applyNumberFormat="1" applyFont="1" applyFill="1" applyBorder="1" applyAlignment="1">
      <alignment horizontal="center" vertical="center"/>
    </xf>
    <xf numFmtId="17" fontId="43" fillId="2" borderId="38" xfId="18" applyNumberFormat="1" applyFont="1" applyFill="1" applyBorder="1" applyAlignment="1">
      <alignment horizontal="center" vertical="center"/>
    </xf>
    <xf numFmtId="0" fontId="42" fillId="0" borderId="61" xfId="20" applyFont="1" applyBorder="1" applyAlignment="1">
      <alignment horizontal="center" vertical="center"/>
    </xf>
    <xf numFmtId="0" fontId="43" fillId="0" borderId="61" xfId="20" applyFont="1" applyBorder="1" applyAlignment="1">
      <alignment vertical="center"/>
    </xf>
    <xf numFmtId="0" fontId="43" fillId="0" borderId="59" xfId="20" applyFont="1" applyBorder="1" applyAlignment="1">
      <alignment horizontal="center" vertical="center"/>
    </xf>
    <xf numFmtId="168" fontId="43" fillId="0" borderId="59" xfId="20" applyNumberFormat="1" applyFont="1" applyBorder="1" applyAlignment="1">
      <alignment horizontal="center" vertical="center"/>
    </xf>
    <xf numFmtId="168" fontId="43" fillId="2" borderId="59" xfId="20" applyNumberFormat="1" applyFont="1" applyFill="1" applyBorder="1" applyAlignment="1">
      <alignment horizontal="center" vertical="center"/>
    </xf>
    <xf numFmtId="0" fontId="42" fillId="0" borderId="59" xfId="20" applyFont="1" applyBorder="1"/>
    <xf numFmtId="0" fontId="42" fillId="0" borderId="70" xfId="20" applyFont="1" applyBorder="1" applyAlignment="1">
      <alignment horizontal="center" vertical="center"/>
    </xf>
    <xf numFmtId="0" fontId="42" fillId="0" borderId="54" xfId="20" applyFont="1" applyBorder="1" applyAlignment="1">
      <alignment horizontal="center" vertical="center"/>
    </xf>
    <xf numFmtId="0" fontId="42" fillId="0" borderId="68" xfId="20" applyFont="1" applyBorder="1" applyAlignment="1">
      <alignment horizontal="center" vertical="center"/>
    </xf>
    <xf numFmtId="0" fontId="43" fillId="2" borderId="0" xfId="20" applyFont="1" applyFill="1" applyAlignment="1">
      <alignment vertical="center"/>
    </xf>
    <xf numFmtId="166" fontId="43" fillId="2" borderId="0" xfId="21" applyFont="1" applyFill="1" applyBorder="1" applyAlignment="1">
      <alignment vertical="center"/>
    </xf>
    <xf numFmtId="168" fontId="45" fillId="2" borderId="0" xfId="21" applyNumberFormat="1" applyFont="1" applyFill="1" applyBorder="1" applyAlignment="1">
      <alignment vertical="center"/>
    </xf>
    <xf numFmtId="168" fontId="43" fillId="2" borderId="0" xfId="21" applyNumberFormat="1" applyFont="1" applyFill="1" applyBorder="1" applyAlignment="1">
      <alignment vertical="center"/>
    </xf>
    <xf numFmtId="0" fontId="42" fillId="2" borderId="0" xfId="20" applyFont="1" applyFill="1"/>
    <xf numFmtId="168" fontId="42" fillId="2" borderId="0" xfId="21" applyNumberFormat="1" applyFont="1" applyFill="1" applyBorder="1" applyAlignment="1">
      <alignment horizontal="center"/>
    </xf>
    <xf numFmtId="1" fontId="42" fillId="4" borderId="19" xfId="20" applyNumberFormat="1" applyFont="1" applyFill="1" applyBorder="1" applyAlignment="1">
      <alignment horizontal="center" vertical="center"/>
    </xf>
    <xf numFmtId="164" fontId="13" fillId="4" borderId="19" xfId="20" applyNumberFormat="1" applyFont="1" applyFill="1" applyBorder="1"/>
    <xf numFmtId="165" fontId="35" fillId="4" borderId="19" xfId="20" applyNumberFormat="1" applyFont="1" applyFill="1" applyBorder="1" applyAlignment="1">
      <alignment horizontal="center" vertical="center" wrapText="1"/>
    </xf>
    <xf numFmtId="168" fontId="48" fillId="4" borderId="19" xfId="20" applyNumberFormat="1" applyFont="1" applyFill="1" applyBorder="1" applyAlignment="1">
      <alignment horizontal="center" vertical="center"/>
    </xf>
    <xf numFmtId="165" fontId="42" fillId="4" borderId="19" xfId="20" applyNumberFormat="1" applyFont="1" applyFill="1" applyBorder="1" applyAlignment="1">
      <alignment horizontal="center" vertical="center"/>
    </xf>
    <xf numFmtId="165" fontId="42" fillId="4" borderId="14" xfId="20" applyNumberFormat="1" applyFont="1" applyFill="1" applyBorder="1" applyAlignment="1">
      <alignment horizontal="center" vertical="center"/>
    </xf>
    <xf numFmtId="0" fontId="42" fillId="4" borderId="36" xfId="20" applyFont="1" applyFill="1" applyBorder="1" applyAlignment="1">
      <alignment horizontal="center" vertical="center"/>
    </xf>
    <xf numFmtId="1" fontId="42" fillId="4" borderId="2" xfId="20" applyNumberFormat="1" applyFont="1" applyFill="1" applyBorder="1" applyAlignment="1">
      <alignment horizontal="center" vertical="center"/>
    </xf>
    <xf numFmtId="164" fontId="13" fillId="4" borderId="2" xfId="20" applyNumberFormat="1" applyFont="1" applyFill="1" applyBorder="1"/>
    <xf numFmtId="165" fontId="42" fillId="4" borderId="2" xfId="20" applyNumberFormat="1" applyFont="1" applyFill="1" applyBorder="1" applyAlignment="1">
      <alignment horizontal="center" vertical="center"/>
    </xf>
    <xf numFmtId="165" fontId="35" fillId="4" borderId="2" xfId="20" applyNumberFormat="1" applyFont="1" applyFill="1" applyBorder="1" applyAlignment="1">
      <alignment horizontal="center" vertical="center"/>
    </xf>
    <xf numFmtId="165" fontId="42" fillId="4" borderId="1" xfId="20" applyNumberFormat="1" applyFont="1" applyFill="1" applyBorder="1" applyAlignment="1">
      <alignment horizontal="center" vertical="center"/>
    </xf>
    <xf numFmtId="168" fontId="48" fillId="4" borderId="2" xfId="20" applyNumberFormat="1" applyFont="1" applyFill="1" applyBorder="1" applyAlignment="1">
      <alignment horizontal="center" vertical="center"/>
    </xf>
    <xf numFmtId="165" fontId="42" fillId="4" borderId="22" xfId="20" applyNumberFormat="1" applyFont="1" applyFill="1" applyBorder="1" applyAlignment="1">
      <alignment horizontal="center" vertical="center"/>
    </xf>
    <xf numFmtId="164" fontId="13" fillId="4" borderId="22" xfId="20" applyNumberFormat="1" applyFont="1" applyFill="1" applyBorder="1"/>
    <xf numFmtId="176" fontId="42" fillId="4" borderId="22" xfId="20" applyNumberFormat="1" applyFont="1" applyFill="1" applyBorder="1" applyAlignment="1">
      <alignment horizontal="center" vertical="center"/>
    </xf>
    <xf numFmtId="165" fontId="48" fillId="4" borderId="22" xfId="20" applyNumberFormat="1" applyFont="1" applyFill="1" applyBorder="1" applyAlignment="1">
      <alignment horizontal="center" vertical="center"/>
    </xf>
    <xf numFmtId="165" fontId="42" fillId="4" borderId="38" xfId="20" applyNumberFormat="1" applyFont="1" applyFill="1" applyBorder="1" applyAlignment="1">
      <alignment horizontal="center" vertical="center"/>
    </xf>
    <xf numFmtId="164" fontId="13" fillId="4" borderId="19" xfId="20" applyNumberFormat="1" applyFont="1" applyFill="1" applyBorder="1" applyAlignment="1">
      <alignment horizontal="right"/>
    </xf>
    <xf numFmtId="165" fontId="35" fillId="4" borderId="19" xfId="20" applyNumberFormat="1" applyFont="1" applyFill="1" applyBorder="1" applyAlignment="1">
      <alignment horizontal="center" vertical="center"/>
    </xf>
    <xf numFmtId="168" fontId="48" fillId="4" borderId="19" xfId="20" applyNumberFormat="1" applyFont="1" applyFill="1" applyBorder="1" applyAlignment="1">
      <alignment vertical="center"/>
    </xf>
    <xf numFmtId="165" fontId="42" fillId="4" borderId="35" xfId="20" applyNumberFormat="1" applyFont="1" applyFill="1" applyBorder="1" applyAlignment="1">
      <alignment horizontal="center" vertical="center"/>
    </xf>
    <xf numFmtId="1" fontId="48" fillId="4" borderId="2" xfId="20" applyNumberFormat="1" applyFont="1" applyFill="1" applyBorder="1" applyAlignment="1">
      <alignment horizontal="center" vertical="center"/>
    </xf>
    <xf numFmtId="168" fontId="48" fillId="4" borderId="2" xfId="20" applyNumberFormat="1" applyFont="1" applyFill="1" applyBorder="1" applyAlignment="1">
      <alignment vertical="center"/>
    </xf>
    <xf numFmtId="165" fontId="42" fillId="4" borderId="37" xfId="20" applyNumberFormat="1" applyFont="1" applyFill="1" applyBorder="1" applyAlignment="1">
      <alignment horizontal="center" vertical="center"/>
    </xf>
    <xf numFmtId="164" fontId="14" fillId="4" borderId="2" xfId="20" applyNumberFormat="1" applyFont="1" applyFill="1" applyBorder="1"/>
    <xf numFmtId="165" fontId="48" fillId="4" borderId="2" xfId="20" applyNumberFormat="1" applyFont="1" applyFill="1" applyBorder="1" applyAlignment="1">
      <alignment vertical="center"/>
    </xf>
    <xf numFmtId="165" fontId="48" fillId="4" borderId="2" xfId="20" applyNumberFormat="1" applyFont="1" applyFill="1" applyBorder="1" applyAlignment="1">
      <alignment horizontal="center" vertical="center"/>
    </xf>
    <xf numFmtId="0" fontId="42" fillId="4" borderId="37" xfId="20" applyFont="1" applyFill="1" applyBorder="1" applyAlignment="1">
      <alignment horizontal="center" vertical="center"/>
    </xf>
    <xf numFmtId="177" fontId="42" fillId="4" borderId="2" xfId="20" applyNumberFormat="1" applyFont="1" applyFill="1" applyBorder="1" applyAlignment="1">
      <alignment horizontal="center" vertical="center"/>
    </xf>
    <xf numFmtId="174" fontId="48" fillId="4" borderId="2" xfId="20" applyNumberFormat="1" applyFont="1" applyFill="1" applyBorder="1" applyAlignment="1">
      <alignment vertical="center"/>
    </xf>
    <xf numFmtId="0" fontId="42" fillId="4" borderId="2" xfId="20" applyFont="1" applyFill="1" applyBorder="1" applyAlignment="1">
      <alignment horizontal="center" vertical="center"/>
    </xf>
    <xf numFmtId="174" fontId="48" fillId="4" borderId="2" xfId="20" applyNumberFormat="1" applyFont="1" applyFill="1" applyBorder="1" applyAlignment="1">
      <alignment horizontal="center" vertical="center"/>
    </xf>
    <xf numFmtId="176" fontId="42" fillId="4" borderId="2" xfId="20" applyNumberFormat="1" applyFont="1" applyFill="1" applyBorder="1" applyAlignment="1">
      <alignment horizontal="center" vertical="center"/>
    </xf>
    <xf numFmtId="0" fontId="42" fillId="4" borderId="31" xfId="20" applyFont="1" applyFill="1" applyBorder="1" applyAlignment="1">
      <alignment horizontal="center" vertical="center"/>
    </xf>
    <xf numFmtId="176" fontId="42" fillId="4" borderId="19" xfId="20" applyNumberFormat="1" applyFont="1" applyFill="1" applyBorder="1" applyAlignment="1">
      <alignment horizontal="center" vertical="center"/>
    </xf>
    <xf numFmtId="165" fontId="48" fillId="4" borderId="19" xfId="20" applyNumberFormat="1" applyFont="1" applyFill="1" applyBorder="1" applyAlignment="1">
      <alignment horizontal="center" vertical="center"/>
    </xf>
    <xf numFmtId="164" fontId="42" fillId="4" borderId="2" xfId="20" applyNumberFormat="1" applyFont="1" applyFill="1" applyBorder="1" applyAlignment="1">
      <alignment vertical="center"/>
    </xf>
    <xf numFmtId="1" fontId="47" fillId="4" borderId="2" xfId="20" applyNumberFormat="1" applyFont="1" applyFill="1" applyBorder="1" applyAlignment="1">
      <alignment horizontal="center" vertical="center"/>
    </xf>
    <xf numFmtId="164" fontId="17" fillId="4" borderId="2" xfId="20" applyNumberFormat="1" applyFont="1" applyFill="1" applyBorder="1"/>
    <xf numFmtId="165" fontId="47" fillId="4" borderId="2" xfId="20" applyNumberFormat="1" applyFont="1" applyFill="1" applyBorder="1" applyAlignment="1">
      <alignment horizontal="center" vertical="center"/>
    </xf>
    <xf numFmtId="176" fontId="47" fillId="4" borderId="2" xfId="20" applyNumberFormat="1" applyFont="1" applyFill="1" applyBorder="1" applyAlignment="1">
      <alignment horizontal="center" vertical="center"/>
    </xf>
    <xf numFmtId="165" fontId="47" fillId="4" borderId="37" xfId="20" applyNumberFormat="1" applyFont="1" applyFill="1" applyBorder="1" applyAlignment="1">
      <alignment horizontal="center" vertical="center"/>
    </xf>
    <xf numFmtId="0" fontId="44" fillId="4" borderId="2" xfId="20" applyFont="1" applyFill="1" applyBorder="1" applyAlignment="1">
      <alignment horizontal="left" vertical="center" wrapText="1"/>
    </xf>
    <xf numFmtId="164" fontId="42" fillId="4" borderId="37" xfId="20" applyNumberFormat="1" applyFont="1" applyFill="1" applyBorder="1" applyAlignment="1">
      <alignment horizontal="center" vertical="center"/>
    </xf>
    <xf numFmtId="165" fontId="44" fillId="4" borderId="46" xfId="20" applyNumberFormat="1" applyFont="1" applyFill="1" applyBorder="1" applyAlignment="1">
      <alignment vertical="center"/>
    </xf>
    <xf numFmtId="177" fontId="47" fillId="4" borderId="2" xfId="20" applyNumberFormat="1" applyFont="1" applyFill="1" applyBorder="1" applyAlignment="1">
      <alignment horizontal="center" vertical="center"/>
    </xf>
    <xf numFmtId="0" fontId="42" fillId="4" borderId="44" xfId="20" applyFont="1" applyFill="1" applyBorder="1" applyAlignment="1">
      <alignment horizontal="center" vertical="center"/>
    </xf>
    <xf numFmtId="0" fontId="44" fillId="4" borderId="6" xfId="20" applyFont="1" applyFill="1" applyBorder="1" applyAlignment="1">
      <alignment horizontal="left" vertical="center" wrapText="1"/>
    </xf>
    <xf numFmtId="164" fontId="42" fillId="4" borderId="62" xfId="20" applyNumberFormat="1" applyFont="1" applyFill="1" applyBorder="1" applyAlignment="1">
      <alignment horizontal="center" vertical="center"/>
    </xf>
    <xf numFmtId="164" fontId="42" fillId="4" borderId="1" xfId="20" applyNumberFormat="1" applyFont="1" applyFill="1" applyBorder="1" applyAlignment="1">
      <alignment horizontal="center" vertical="center"/>
    </xf>
    <xf numFmtId="165" fontId="44" fillId="4" borderId="53" xfId="20" applyNumberFormat="1" applyFont="1" applyFill="1" applyBorder="1" applyAlignment="1">
      <alignment vertical="center"/>
    </xf>
    <xf numFmtId="49" fontId="42" fillId="4" borderId="2" xfId="20" applyNumberFormat="1" applyFont="1" applyFill="1" applyBorder="1" applyAlignment="1">
      <alignment horizontal="center" vertical="center"/>
    </xf>
    <xf numFmtId="165" fontId="42" fillId="4" borderId="63" xfId="20" applyNumberFormat="1" applyFont="1" applyFill="1" applyBorder="1" applyAlignment="1">
      <alignment horizontal="center" vertical="center"/>
    </xf>
    <xf numFmtId="164" fontId="47" fillId="4" borderId="2" xfId="20" applyNumberFormat="1" applyFont="1" applyFill="1" applyBorder="1" applyAlignment="1">
      <alignment vertical="center"/>
    </xf>
    <xf numFmtId="165" fontId="44" fillId="4" borderId="53" xfId="20" applyNumberFormat="1" applyFont="1" applyFill="1" applyBorder="1" applyAlignment="1">
      <alignment horizontal="center" vertical="center"/>
    </xf>
    <xf numFmtId="0" fontId="42" fillId="4" borderId="6" xfId="20" applyFont="1" applyFill="1" applyBorder="1" applyAlignment="1">
      <alignment horizontal="center" vertical="center"/>
    </xf>
    <xf numFmtId="164" fontId="42" fillId="4" borderId="43" xfId="20" applyNumberFormat="1" applyFont="1" applyFill="1" applyBorder="1" applyAlignment="1">
      <alignment horizontal="center" vertical="center"/>
    </xf>
    <xf numFmtId="165" fontId="44" fillId="4" borderId="46" xfId="20" applyNumberFormat="1" applyFont="1" applyFill="1" applyBorder="1" applyAlignment="1">
      <alignment horizontal="center" vertical="center"/>
    </xf>
    <xf numFmtId="165" fontId="47" fillId="4" borderId="6" xfId="20" applyNumberFormat="1" applyFont="1" applyFill="1" applyBorder="1" applyAlignment="1">
      <alignment horizontal="center" vertical="center"/>
    </xf>
    <xf numFmtId="165" fontId="47" fillId="4" borderId="43" xfId="20" applyNumberFormat="1" applyFont="1" applyFill="1" applyBorder="1" applyAlignment="1">
      <alignment horizontal="center" vertical="center"/>
    </xf>
    <xf numFmtId="164" fontId="42" fillId="0" borderId="0" xfId="20" applyNumberFormat="1" applyFont="1" applyAlignment="1">
      <alignment horizontal="center" vertical="center"/>
    </xf>
    <xf numFmtId="172" fontId="51" fillId="2" borderId="2" xfId="0" applyNumberFormat="1" applyFont="1" applyFill="1" applyBorder="1" applyAlignment="1">
      <alignment horizontal="center" vertical="center" wrapText="1"/>
    </xf>
    <xf numFmtId="172" fontId="35" fillId="2" borderId="2" xfId="18" applyNumberFormat="1" applyFont="1" applyFill="1" applyBorder="1" applyAlignment="1">
      <alignment horizontal="center" vertical="center" wrapText="1"/>
    </xf>
    <xf numFmtId="166" fontId="35" fillId="2" borderId="2" xfId="4" applyFont="1" applyFill="1" applyBorder="1" applyAlignment="1">
      <alignment horizontal="left" vertical="center"/>
    </xf>
    <xf numFmtId="0" fontId="51" fillId="2" borderId="2" xfId="0" applyFont="1" applyFill="1" applyBorder="1" applyAlignment="1">
      <alignment vertical="center" wrapText="1"/>
    </xf>
    <xf numFmtId="172" fontId="38" fillId="2" borderId="2" xfId="18" applyNumberFormat="1" applyFont="1" applyFill="1" applyBorder="1" applyAlignment="1">
      <alignment horizontal="right" vertical="center"/>
    </xf>
    <xf numFmtId="0" fontId="39" fillId="2" borderId="2" xfId="0" applyFont="1" applyFill="1" applyBorder="1" applyAlignment="1">
      <alignment horizontal="center" vertical="center" wrapText="1"/>
    </xf>
    <xf numFmtId="172" fontId="39" fillId="2" borderId="2" xfId="18" applyNumberFormat="1" applyFont="1" applyFill="1" applyBorder="1" applyAlignment="1">
      <alignment horizontal="right" vertical="center"/>
    </xf>
    <xf numFmtId="17" fontId="38" fillId="2" borderId="2" xfId="9" applyNumberFormat="1" applyFont="1" applyFill="1" applyBorder="1"/>
    <xf numFmtId="17" fontId="35" fillId="2" borderId="2" xfId="18" applyNumberFormat="1" applyFont="1" applyFill="1" applyBorder="1" applyAlignment="1">
      <alignment vertical="center"/>
    </xf>
    <xf numFmtId="172" fontId="35" fillId="2" borderId="2" xfId="18" applyNumberFormat="1" applyFont="1" applyFill="1" applyBorder="1" applyAlignment="1">
      <alignment horizontal="center" vertical="center"/>
    </xf>
    <xf numFmtId="172" fontId="36" fillId="2" borderId="2" xfId="18" applyNumberFormat="1" applyFont="1" applyFill="1" applyBorder="1" applyAlignment="1">
      <alignment horizontal="center" vertical="center"/>
    </xf>
    <xf numFmtId="172" fontId="38" fillId="2" borderId="2" xfId="18" applyNumberFormat="1" applyFont="1" applyFill="1" applyBorder="1" applyAlignment="1">
      <alignment horizontal="center" vertical="center"/>
    </xf>
    <xf numFmtId="172" fontId="39" fillId="2" borderId="2" xfId="18" applyNumberFormat="1" applyFont="1" applyFill="1" applyBorder="1" applyAlignment="1">
      <alignment horizontal="center" vertical="center"/>
    </xf>
    <xf numFmtId="172" fontId="38" fillId="2" borderId="2" xfId="0" applyNumberFormat="1" applyFont="1" applyFill="1" applyBorder="1" applyAlignment="1">
      <alignment horizontal="center" vertical="center" wrapText="1"/>
    </xf>
    <xf numFmtId="172" fontId="35" fillId="2" borderId="2" xfId="18" applyNumberFormat="1" applyFont="1" applyFill="1" applyBorder="1" applyAlignment="1">
      <alignment horizontal="right" vertical="center"/>
    </xf>
    <xf numFmtId="172" fontId="36" fillId="2" borderId="2" xfId="18" applyNumberFormat="1" applyFont="1" applyFill="1" applyBorder="1" applyAlignment="1">
      <alignment horizontal="right" vertical="center"/>
    </xf>
    <xf numFmtId="172" fontId="38" fillId="2" borderId="2" xfId="18" applyNumberFormat="1" applyFont="1" applyFill="1" applyBorder="1" applyAlignment="1">
      <alignment horizontal="center" vertical="center" wrapText="1"/>
    </xf>
    <xf numFmtId="172" fontId="39" fillId="2" borderId="2" xfId="18" applyNumberFormat="1" applyFont="1" applyFill="1" applyBorder="1" applyAlignment="1">
      <alignment horizontal="center" vertical="center" wrapText="1"/>
    </xf>
    <xf numFmtId="0" fontId="55" fillId="2" borderId="2" xfId="0" applyFont="1" applyFill="1" applyBorder="1" applyAlignment="1">
      <alignment vertical="center" wrapText="1"/>
    </xf>
    <xf numFmtId="172" fontId="44" fillId="2" borderId="2" xfId="0" applyNumberFormat="1" applyFont="1" applyFill="1" applyBorder="1" applyAlignment="1">
      <alignment horizontal="center" vertical="center" wrapText="1"/>
    </xf>
    <xf numFmtId="172" fontId="38" fillId="15" borderId="2" xfId="0" applyNumberFormat="1" applyFont="1" applyFill="1" applyBorder="1" applyAlignment="1">
      <alignment horizontal="center" vertical="center" wrapText="1"/>
    </xf>
    <xf numFmtId="172" fontId="35" fillId="15" borderId="2" xfId="18" applyNumberFormat="1" applyFont="1" applyFill="1" applyBorder="1" applyAlignment="1">
      <alignment horizontal="right" vertical="center"/>
    </xf>
    <xf numFmtId="172" fontId="36" fillId="15" borderId="2" xfId="18" applyNumberFormat="1" applyFont="1" applyFill="1" applyBorder="1" applyAlignment="1">
      <alignment horizontal="center" vertical="center" wrapText="1"/>
    </xf>
    <xf numFmtId="172" fontId="36" fillId="15" borderId="2" xfId="18" applyNumberFormat="1" applyFont="1" applyFill="1" applyBorder="1" applyAlignment="1">
      <alignment horizontal="right" vertical="center"/>
    </xf>
    <xf numFmtId="178" fontId="38" fillId="15" borderId="2" xfId="9" applyNumberFormat="1" applyFont="1" applyFill="1" applyBorder="1"/>
    <xf numFmtId="178" fontId="54" fillId="15" borderId="2" xfId="9" applyNumberFormat="1" applyFont="1" applyFill="1" applyBorder="1"/>
    <xf numFmtId="172" fontId="54" fillId="15" borderId="2" xfId="18" applyNumberFormat="1" applyFont="1" applyFill="1" applyBorder="1" applyAlignment="1">
      <alignment horizontal="right" vertical="center"/>
    </xf>
    <xf numFmtId="0" fontId="51" fillId="15" borderId="2" xfId="0" applyFont="1" applyFill="1" applyBorder="1" applyAlignment="1">
      <alignment vertical="center" wrapText="1"/>
    </xf>
    <xf numFmtId="166" fontId="35" fillId="15" borderId="2" xfId="4" applyFont="1" applyFill="1" applyBorder="1" applyAlignment="1">
      <alignment horizontal="left" vertical="center"/>
    </xf>
    <xf numFmtId="17" fontId="38" fillId="15" borderId="2" xfId="9" applyNumberFormat="1" applyFont="1" applyFill="1" applyBorder="1"/>
    <xf numFmtId="0" fontId="35" fillId="2" borderId="2" xfId="18" applyFont="1" applyFill="1" applyBorder="1" applyAlignment="1">
      <alignment horizontal="center" vertical="center"/>
    </xf>
    <xf numFmtId="0" fontId="35" fillId="2" borderId="2" xfId="18" applyFont="1" applyFill="1" applyBorder="1" applyAlignment="1">
      <alignment horizontal="center" vertical="center" wrapText="1"/>
    </xf>
    <xf numFmtId="0" fontId="51" fillId="2" borderId="2" xfId="0" applyFont="1" applyFill="1" applyBorder="1" applyAlignment="1">
      <alignment horizontal="left" vertical="center" wrapText="1"/>
    </xf>
    <xf numFmtId="0" fontId="35" fillId="2" borderId="2" xfId="3" applyFont="1" applyFill="1" applyBorder="1" applyAlignment="1">
      <alignment horizontal="center" vertical="center"/>
    </xf>
    <xf numFmtId="0" fontId="38" fillId="2" borderId="2" xfId="0" applyFont="1" applyFill="1" applyBorder="1" applyAlignment="1">
      <alignment horizontal="left" vertical="center" wrapText="1"/>
    </xf>
    <xf numFmtId="0" fontId="38" fillId="2" borderId="2" xfId="18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left" vertical="center" wrapText="1"/>
    </xf>
    <xf numFmtId="172" fontId="38" fillId="15" borderId="2" xfId="0" applyNumberFormat="1" applyFont="1" applyFill="1" applyBorder="1" applyAlignment="1">
      <alignment horizontal="left" vertical="center" wrapText="1"/>
    </xf>
    <xf numFmtId="178" fontId="38" fillId="15" borderId="2" xfId="9" applyNumberFormat="1" applyFont="1" applyFill="1" applyBorder="1" applyAlignment="1">
      <alignment horizontal="right"/>
    </xf>
    <xf numFmtId="179" fontId="35" fillId="0" borderId="0" xfId="18" applyNumberFormat="1" applyFont="1" applyAlignment="1">
      <alignment vertical="center"/>
    </xf>
    <xf numFmtId="0" fontId="44" fillId="4" borderId="20" xfId="20" applyFont="1" applyFill="1" applyBorder="1" applyAlignment="1">
      <alignment horizontal="left" vertical="center" wrapText="1"/>
    </xf>
    <xf numFmtId="0" fontId="0" fillId="4" borderId="62" xfId="0" applyFill="1" applyBorder="1" applyAlignment="1">
      <alignment horizontal="center" vertical="center"/>
    </xf>
    <xf numFmtId="165" fontId="44" fillId="4" borderId="55" xfId="20" applyNumberFormat="1" applyFont="1" applyFill="1" applyBorder="1" applyAlignment="1">
      <alignment horizontal="center" vertical="center"/>
    </xf>
    <xf numFmtId="16" fontId="47" fillId="0" borderId="67" xfId="20" applyNumberFormat="1" applyFont="1" applyBorder="1" applyAlignment="1">
      <alignment horizontal="center" vertical="center"/>
    </xf>
    <xf numFmtId="165" fontId="42" fillId="4" borderId="34" xfId="20" applyNumberFormat="1" applyFont="1" applyFill="1" applyBorder="1" applyAlignment="1">
      <alignment horizontal="center" vertical="center"/>
    </xf>
    <xf numFmtId="164" fontId="42" fillId="4" borderId="12" xfId="20" applyNumberFormat="1" applyFont="1" applyFill="1" applyBorder="1" applyAlignment="1">
      <alignment horizontal="center" vertical="center"/>
    </xf>
    <xf numFmtId="0" fontId="43" fillId="0" borderId="56" xfId="20" applyFont="1" applyBorder="1" applyAlignment="1">
      <alignment vertical="center"/>
    </xf>
    <xf numFmtId="166" fontId="43" fillId="0" borderId="13" xfId="21" applyFont="1" applyFill="1" applyBorder="1" applyAlignment="1">
      <alignment vertical="center"/>
    </xf>
    <xf numFmtId="168" fontId="45" fillId="0" borderId="61" xfId="21" applyNumberFormat="1" applyFont="1" applyFill="1" applyBorder="1" applyAlignment="1">
      <alignment vertical="center"/>
    </xf>
    <xf numFmtId="16" fontId="42" fillId="0" borderId="67" xfId="20" applyNumberFormat="1" applyFont="1" applyBorder="1" applyAlignment="1">
      <alignment horizontal="center" vertical="center"/>
    </xf>
    <xf numFmtId="1" fontId="42" fillId="4" borderId="6" xfId="20" applyNumberFormat="1" applyFont="1" applyFill="1" applyBorder="1" applyAlignment="1">
      <alignment horizontal="center" vertical="center"/>
    </xf>
    <xf numFmtId="164" fontId="13" fillId="4" borderId="6" xfId="20" applyNumberFormat="1" applyFont="1" applyFill="1" applyBorder="1"/>
    <xf numFmtId="176" fontId="42" fillId="4" borderId="6" xfId="20" applyNumberFormat="1" applyFont="1" applyFill="1" applyBorder="1" applyAlignment="1">
      <alignment horizontal="center" vertical="center"/>
    </xf>
    <xf numFmtId="165" fontId="42" fillId="4" borderId="6" xfId="20" applyNumberFormat="1" applyFont="1" applyFill="1" applyBorder="1" applyAlignment="1">
      <alignment horizontal="center" vertical="center"/>
    </xf>
    <xf numFmtId="165" fontId="42" fillId="4" borderId="43" xfId="20" applyNumberFormat="1" applyFont="1" applyFill="1" applyBorder="1" applyAlignment="1">
      <alignment horizontal="center" vertical="center"/>
    </xf>
    <xf numFmtId="177" fontId="42" fillId="4" borderId="6" xfId="20" applyNumberFormat="1" applyFont="1" applyFill="1" applyBorder="1" applyAlignment="1">
      <alignment horizontal="center" vertical="center"/>
    </xf>
    <xf numFmtId="164" fontId="42" fillId="4" borderId="6" xfId="20" applyNumberFormat="1" applyFont="1" applyFill="1" applyBorder="1" applyAlignment="1">
      <alignment vertical="center"/>
    </xf>
    <xf numFmtId="16" fontId="42" fillId="0" borderId="54" xfId="20" applyNumberFormat="1" applyFont="1" applyBorder="1" applyAlignment="1">
      <alignment horizontal="center" vertical="center"/>
    </xf>
    <xf numFmtId="0" fontId="42" fillId="4" borderId="24" xfId="20" applyFont="1" applyFill="1" applyBorder="1" applyAlignment="1">
      <alignment horizontal="center" vertical="center"/>
    </xf>
    <xf numFmtId="165" fontId="47" fillId="4" borderId="20" xfId="20" applyNumberFormat="1" applyFont="1" applyFill="1" applyBorder="1" applyAlignment="1">
      <alignment horizontal="center" vertical="center"/>
    </xf>
    <xf numFmtId="165" fontId="47" fillId="4" borderId="62" xfId="20" applyNumberFormat="1" applyFont="1" applyFill="1" applyBorder="1" applyAlignment="1">
      <alignment horizontal="center" vertical="center"/>
    </xf>
    <xf numFmtId="16" fontId="47" fillId="0" borderId="52" xfId="20" applyNumberFormat="1" applyFont="1" applyBorder="1" applyAlignment="1">
      <alignment horizontal="center" vertical="center"/>
    </xf>
    <xf numFmtId="0" fontId="47" fillId="0" borderId="54" xfId="20" applyFont="1" applyBorder="1" applyAlignment="1">
      <alignment horizontal="center" vertical="center"/>
    </xf>
    <xf numFmtId="0" fontId="42" fillId="4" borderId="19" xfId="20" applyFont="1" applyFill="1" applyBorder="1" applyAlignment="1">
      <alignment horizontal="center" vertical="center"/>
    </xf>
    <xf numFmtId="0" fontId="44" fillId="4" borderId="19" xfId="20" applyFont="1" applyFill="1" applyBorder="1" applyAlignment="1">
      <alignment horizontal="left" vertical="center" wrapText="1"/>
    </xf>
    <xf numFmtId="164" fontId="42" fillId="4" borderId="30" xfId="20" applyNumberFormat="1" applyFont="1" applyFill="1" applyBorder="1" applyAlignment="1">
      <alignment horizontal="center" vertical="center"/>
    </xf>
    <xf numFmtId="165" fontId="44" fillId="4" borderId="36" xfId="20" applyNumberFormat="1" applyFont="1" applyFill="1" applyBorder="1" applyAlignment="1">
      <alignment horizontal="center" vertical="center"/>
    </xf>
    <xf numFmtId="1" fontId="47" fillId="4" borderId="4" xfId="20" applyNumberFormat="1" applyFont="1" applyFill="1" applyBorder="1" applyAlignment="1">
      <alignment horizontal="center" vertical="center"/>
    </xf>
    <xf numFmtId="164" fontId="17" fillId="4" borderId="4" xfId="20" applyNumberFormat="1" applyFont="1" applyFill="1" applyBorder="1"/>
    <xf numFmtId="176" fontId="47" fillId="4" borderId="4" xfId="20" applyNumberFormat="1" applyFont="1" applyFill="1" applyBorder="1" applyAlignment="1">
      <alignment horizontal="center" vertical="center"/>
    </xf>
    <xf numFmtId="165" fontId="47" fillId="4" borderId="4" xfId="20" applyNumberFormat="1" applyFont="1" applyFill="1" applyBorder="1" applyAlignment="1">
      <alignment horizontal="center" vertical="center"/>
    </xf>
    <xf numFmtId="176" fontId="47" fillId="4" borderId="6" xfId="20" applyNumberFormat="1" applyFont="1" applyFill="1" applyBorder="1" applyAlignment="1">
      <alignment horizontal="center" vertical="center"/>
    </xf>
    <xf numFmtId="16" fontId="47" fillId="0" borderId="65" xfId="2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165" fontId="44" fillId="4" borderId="2" xfId="20" applyNumberFormat="1" applyFont="1" applyFill="1" applyBorder="1" applyAlignment="1">
      <alignment horizontal="center" vertical="center"/>
    </xf>
    <xf numFmtId="16" fontId="47" fillId="0" borderId="71" xfId="20" applyNumberFormat="1" applyFont="1" applyBorder="1" applyAlignment="1">
      <alignment horizontal="center" vertical="center"/>
    </xf>
    <xf numFmtId="16" fontId="42" fillId="0" borderId="72" xfId="20" applyNumberFormat="1" applyFont="1" applyBorder="1" applyAlignment="1">
      <alignment horizontal="center" vertical="center"/>
    </xf>
    <xf numFmtId="0" fontId="42" fillId="0" borderId="72" xfId="20" applyFont="1" applyBorder="1" applyAlignment="1">
      <alignment horizontal="center" vertical="center"/>
    </xf>
    <xf numFmtId="0" fontId="47" fillId="0" borderId="72" xfId="20" applyFont="1" applyBorder="1" applyAlignment="1">
      <alignment horizontal="center" vertical="center"/>
    </xf>
    <xf numFmtId="0" fontId="43" fillId="2" borderId="6" xfId="20" applyFont="1" applyFill="1" applyBorder="1" applyAlignment="1">
      <alignment horizontal="center" vertical="center"/>
    </xf>
    <xf numFmtId="17" fontId="43" fillId="2" borderId="12" xfId="18" applyNumberFormat="1" applyFont="1" applyFill="1" applyBorder="1" applyAlignment="1">
      <alignment horizontal="center" vertical="center"/>
    </xf>
    <xf numFmtId="0" fontId="43" fillId="0" borderId="58" xfId="20" applyFont="1" applyBorder="1" applyAlignment="1">
      <alignment vertical="center"/>
    </xf>
    <xf numFmtId="166" fontId="43" fillId="0" borderId="41" xfId="21" applyFont="1" applyFill="1" applyBorder="1" applyAlignment="1">
      <alignment vertical="center"/>
    </xf>
    <xf numFmtId="168" fontId="45" fillId="0" borderId="50" xfId="21" applyNumberFormat="1" applyFont="1" applyFill="1" applyBorder="1" applyAlignment="1">
      <alignment vertical="center"/>
    </xf>
    <xf numFmtId="168" fontId="43" fillId="0" borderId="50" xfId="21" applyNumberFormat="1" applyFont="1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164" fontId="42" fillId="4" borderId="2" xfId="20" applyNumberFormat="1" applyFont="1" applyFill="1" applyBorder="1" applyAlignment="1">
      <alignment horizontal="center" vertical="center"/>
    </xf>
    <xf numFmtId="165" fontId="44" fillId="4" borderId="2" xfId="20" applyNumberFormat="1" applyFont="1" applyFill="1" applyBorder="1" applyAlignment="1">
      <alignment vertical="center"/>
    </xf>
    <xf numFmtId="0" fontId="18" fillId="0" borderId="0" xfId="1" applyFont="1" applyAlignment="1">
      <alignment horizontal="center" vertical="center"/>
    </xf>
    <xf numFmtId="0" fontId="18" fillId="0" borderId="2" xfId="1" applyFont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/>
    </xf>
    <xf numFmtId="166" fontId="18" fillId="2" borderId="2" xfId="2" applyFont="1" applyFill="1" applyBorder="1" applyAlignment="1">
      <alignment horizontal="center" vertical="center" wrapText="1"/>
    </xf>
    <xf numFmtId="168" fontId="18" fillId="2" borderId="2" xfId="2" applyNumberFormat="1" applyFont="1" applyFill="1" applyBorder="1" applyAlignment="1">
      <alignment horizontal="center" vertical="center" wrapText="1"/>
    </xf>
    <xf numFmtId="17" fontId="18" fillId="2" borderId="2" xfId="1" applyNumberFormat="1" applyFont="1" applyFill="1" applyBorder="1" applyAlignment="1">
      <alignment horizontal="center" vertical="center"/>
    </xf>
    <xf numFmtId="0" fontId="15" fillId="2" borderId="0" xfId="1" applyFont="1" applyFill="1" applyAlignment="1">
      <alignment wrapText="1"/>
    </xf>
    <xf numFmtId="0" fontId="15" fillId="2" borderId="0" xfId="1" applyFont="1" applyFill="1" applyAlignment="1">
      <alignment horizontal="left" vertical="center" wrapText="1"/>
    </xf>
    <xf numFmtId="166" fontId="15" fillId="2" borderId="0" xfId="2" applyFont="1" applyFill="1" applyBorder="1" applyAlignment="1">
      <alignment horizontal="left" vertical="center" wrapText="1"/>
    </xf>
    <xf numFmtId="168" fontId="20" fillId="2" borderId="2" xfId="3" applyNumberFormat="1" applyFont="1" applyFill="1" applyBorder="1" applyAlignment="1">
      <alignment horizontal="center"/>
    </xf>
    <xf numFmtId="0" fontId="18" fillId="0" borderId="12" xfId="1" applyFont="1" applyBorder="1" applyAlignment="1">
      <alignment horizontal="center" vertical="center"/>
    </xf>
    <xf numFmtId="0" fontId="18" fillId="0" borderId="17" xfId="1" applyFont="1" applyBorder="1" applyAlignment="1">
      <alignment horizontal="center" vertical="center"/>
    </xf>
    <xf numFmtId="0" fontId="18" fillId="0" borderId="11" xfId="1" applyFont="1" applyBorder="1" applyAlignment="1">
      <alignment horizontal="center" vertical="center"/>
    </xf>
    <xf numFmtId="0" fontId="18" fillId="0" borderId="14" xfId="1" applyFont="1" applyBorder="1" applyAlignment="1">
      <alignment horizontal="center" vertical="center"/>
    </xf>
    <xf numFmtId="0" fontId="18" fillId="0" borderId="16" xfId="1" applyFont="1" applyBorder="1" applyAlignment="1">
      <alignment horizontal="center" vertical="center"/>
    </xf>
    <xf numFmtId="0" fontId="18" fillId="0" borderId="10" xfId="1" applyFont="1" applyBorder="1" applyAlignment="1">
      <alignment horizontal="center" vertical="center"/>
    </xf>
    <xf numFmtId="168" fontId="13" fillId="0" borderId="12" xfId="1" applyNumberFormat="1" applyFont="1" applyBorder="1" applyAlignment="1">
      <alignment horizontal="center" vertical="center"/>
    </xf>
    <xf numFmtId="168" fontId="13" fillId="0" borderId="11" xfId="1" applyNumberFormat="1" applyFont="1" applyBorder="1" applyAlignment="1">
      <alignment horizontal="center" vertical="center"/>
    </xf>
    <xf numFmtId="168" fontId="13" fillId="0" borderId="15" xfId="1" applyNumberFormat="1" applyFont="1" applyBorder="1" applyAlignment="1">
      <alignment horizontal="center" vertical="center"/>
    </xf>
    <xf numFmtId="168" fontId="13" fillId="0" borderId="9" xfId="1" applyNumberFormat="1" applyFont="1" applyBorder="1" applyAlignment="1">
      <alignment horizontal="center" vertical="center"/>
    </xf>
    <xf numFmtId="168" fontId="13" fillId="0" borderId="14" xfId="1" applyNumberFormat="1" applyFont="1" applyBorder="1" applyAlignment="1">
      <alignment horizontal="center" vertical="center"/>
    </xf>
    <xf numFmtId="168" fontId="13" fillId="0" borderId="10" xfId="1" applyNumberFormat="1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4" fillId="4" borderId="40" xfId="9" applyFont="1" applyFill="1" applyBorder="1" applyAlignment="1">
      <alignment horizontal="center" vertical="center" wrapText="1"/>
    </xf>
    <xf numFmtId="0" fontId="24" fillId="4" borderId="14" xfId="9" applyFont="1" applyFill="1" applyBorder="1" applyAlignment="1">
      <alignment horizontal="center" vertical="center" wrapText="1"/>
    </xf>
    <xf numFmtId="17" fontId="24" fillId="4" borderId="29" xfId="9" applyNumberFormat="1" applyFont="1" applyFill="1" applyBorder="1" applyAlignment="1">
      <alignment horizontal="center" vertical="center" wrapText="1"/>
    </xf>
    <xf numFmtId="17" fontId="24" fillId="4" borderId="30" xfId="9" applyNumberFormat="1" applyFont="1" applyFill="1" applyBorder="1" applyAlignment="1">
      <alignment horizontal="center" vertical="center" wrapText="1"/>
    </xf>
    <xf numFmtId="0" fontId="24" fillId="4" borderId="42" xfId="9" applyFont="1" applyFill="1" applyBorder="1" applyAlignment="1">
      <alignment horizontal="center" vertical="center" wrapText="1"/>
    </xf>
    <xf numFmtId="0" fontId="24" fillId="4" borderId="27" xfId="9" applyFont="1" applyFill="1" applyBorder="1" applyAlignment="1">
      <alignment horizontal="center" vertical="center" wrapText="1"/>
    </xf>
    <xf numFmtId="0" fontId="24" fillId="4" borderId="28" xfId="9" applyFont="1" applyFill="1" applyBorder="1" applyAlignment="1">
      <alignment horizontal="center" vertical="center" wrapText="1"/>
    </xf>
    <xf numFmtId="166" fontId="24" fillId="4" borderId="27" xfId="10" applyFont="1" applyFill="1" applyBorder="1" applyAlignment="1">
      <alignment horizontal="center" vertical="center" wrapText="1"/>
    </xf>
    <xf numFmtId="166" fontId="24" fillId="4" borderId="28" xfId="10" applyFont="1" applyFill="1" applyBorder="1" applyAlignment="1">
      <alignment horizontal="center" vertical="center" wrapText="1"/>
    </xf>
    <xf numFmtId="0" fontId="24" fillId="4" borderId="24" xfId="9" applyFont="1" applyFill="1" applyBorder="1" applyAlignment="1">
      <alignment horizontal="center" vertical="center" wrapText="1"/>
    </xf>
    <xf numFmtId="0" fontId="24" fillId="4" borderId="23" xfId="9" applyFont="1" applyFill="1" applyBorder="1" applyAlignment="1">
      <alignment horizontal="center" vertical="center" wrapText="1"/>
    </xf>
    <xf numFmtId="0" fontId="24" fillId="4" borderId="25" xfId="9" applyFont="1" applyFill="1" applyBorder="1" applyAlignment="1">
      <alignment horizontal="center" vertical="center" wrapText="1"/>
    </xf>
    <xf numFmtId="0" fontId="24" fillId="4" borderId="19" xfId="9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/>
    </xf>
    <xf numFmtId="0" fontId="27" fillId="0" borderId="52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6" fillId="4" borderId="42" xfId="0" applyFont="1" applyFill="1" applyBorder="1" applyAlignment="1">
      <alignment horizontal="center" vertical="center" wrapText="1"/>
    </xf>
    <xf numFmtId="0" fontId="26" fillId="4" borderId="27" xfId="0" applyFont="1" applyFill="1" applyBorder="1" applyAlignment="1">
      <alignment horizontal="center" vertical="center" wrapText="1"/>
    </xf>
    <xf numFmtId="0" fontId="26" fillId="4" borderId="49" xfId="0" applyFont="1" applyFill="1" applyBorder="1" applyAlignment="1">
      <alignment horizontal="center" vertical="center" wrapText="1"/>
    </xf>
    <xf numFmtId="0" fontId="26" fillId="5" borderId="42" xfId="0" applyFont="1" applyFill="1" applyBorder="1" applyAlignment="1">
      <alignment horizontal="center" vertical="center" wrapText="1"/>
    </xf>
    <xf numFmtId="0" fontId="26" fillId="5" borderId="27" xfId="0" applyFont="1" applyFill="1" applyBorder="1" applyAlignment="1">
      <alignment horizontal="center" vertical="center" wrapText="1"/>
    </xf>
    <xf numFmtId="0" fontId="26" fillId="5" borderId="49" xfId="0" applyFont="1" applyFill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36" fillId="0" borderId="0" xfId="18" applyFont="1" applyAlignment="1">
      <alignment horizontal="center"/>
    </xf>
    <xf numFmtId="0" fontId="36" fillId="0" borderId="0" xfId="18" applyFont="1" applyAlignment="1">
      <alignment horizontal="center" vertical="center"/>
    </xf>
    <xf numFmtId="0" fontId="33" fillId="0" borderId="0" xfId="18" applyFont="1" applyAlignment="1">
      <alignment horizontal="left" vertical="center" wrapText="1"/>
    </xf>
    <xf numFmtId="0" fontId="33" fillId="0" borderId="0" xfId="18" applyFont="1" applyAlignment="1">
      <alignment horizontal="center" wrapText="1"/>
    </xf>
    <xf numFmtId="0" fontId="44" fillId="4" borderId="25" xfId="20" applyFont="1" applyFill="1" applyBorder="1" applyAlignment="1">
      <alignment horizontal="left" vertical="center" wrapText="1"/>
    </xf>
    <xf numFmtId="0" fontId="44" fillId="4" borderId="20" xfId="20" applyFont="1" applyFill="1" applyBorder="1" applyAlignment="1">
      <alignment horizontal="left" vertical="center" wrapText="1"/>
    </xf>
    <xf numFmtId="0" fontId="44" fillId="4" borderId="4" xfId="20" applyFont="1" applyFill="1" applyBorder="1" applyAlignment="1">
      <alignment horizontal="left" vertical="center" wrapText="1"/>
    </xf>
    <xf numFmtId="0" fontId="42" fillId="0" borderId="48" xfId="20" applyFont="1" applyBorder="1" applyAlignment="1">
      <alignment horizontal="center"/>
    </xf>
    <xf numFmtId="0" fontId="42" fillId="0" borderId="52" xfId="20" applyFont="1" applyBorder="1" applyAlignment="1">
      <alignment horizontal="center"/>
    </xf>
    <xf numFmtId="0" fontId="42" fillId="0" borderId="50" xfId="20" applyFont="1" applyBorder="1" applyAlignment="1">
      <alignment horizontal="center"/>
    </xf>
    <xf numFmtId="166" fontId="43" fillId="2" borderId="14" xfId="21" applyFont="1" applyFill="1" applyBorder="1" applyAlignment="1">
      <alignment horizontal="center" vertical="center" wrapText="1"/>
    </xf>
    <xf numFmtId="166" fontId="43" fillId="2" borderId="16" xfId="21" applyFont="1" applyFill="1" applyBorder="1" applyAlignment="1">
      <alignment horizontal="center" vertical="center" wrapText="1"/>
    </xf>
    <xf numFmtId="0" fontId="42" fillId="4" borderId="24" xfId="20" applyFont="1" applyFill="1" applyBorder="1" applyAlignment="1">
      <alignment horizontal="center" vertical="center"/>
    </xf>
    <xf numFmtId="0" fontId="42" fillId="4" borderId="36" xfId="20" applyFont="1" applyFill="1" applyBorder="1" applyAlignment="1">
      <alignment horizontal="center" vertical="center"/>
    </xf>
    <xf numFmtId="0" fontId="42" fillId="4" borderId="29" xfId="20" applyFont="1" applyFill="1" applyBorder="1" applyAlignment="1">
      <alignment horizontal="center" vertical="center"/>
    </xf>
    <xf numFmtId="0" fontId="42" fillId="4" borderId="62" xfId="20" applyFont="1" applyFill="1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  <xf numFmtId="165" fontId="44" fillId="4" borderId="64" xfId="20" applyNumberFormat="1" applyFont="1" applyFill="1" applyBorder="1" applyAlignment="1">
      <alignment horizontal="center" vertical="center"/>
    </xf>
    <xf numFmtId="165" fontId="44" fillId="4" borderId="55" xfId="20" applyNumberFormat="1" applyFont="1" applyFill="1" applyBorder="1" applyAlignment="1">
      <alignment horizontal="center" vertical="center"/>
    </xf>
    <xf numFmtId="0" fontId="42" fillId="4" borderId="40" xfId="20" applyFont="1" applyFill="1" applyBorder="1" applyAlignment="1">
      <alignment horizontal="center" vertical="center"/>
    </xf>
    <xf numFmtId="0" fontId="42" fillId="4" borderId="15" xfId="2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/>
    </xf>
    <xf numFmtId="0" fontId="13" fillId="4" borderId="62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 vertical="center"/>
    </xf>
    <xf numFmtId="165" fontId="44" fillId="4" borderId="24" xfId="20" applyNumberFormat="1" applyFont="1" applyFill="1" applyBorder="1" applyAlignment="1">
      <alignment horizontal="center" vertical="center"/>
    </xf>
    <xf numFmtId="165" fontId="44" fillId="4" borderId="36" xfId="20" applyNumberFormat="1" applyFont="1" applyFill="1" applyBorder="1" applyAlignment="1">
      <alignment horizontal="center" vertical="center"/>
    </xf>
    <xf numFmtId="165" fontId="44" fillId="4" borderId="23" xfId="20" applyNumberFormat="1" applyFont="1" applyFill="1" applyBorder="1" applyAlignment="1">
      <alignment horizontal="center" vertical="center"/>
    </xf>
    <xf numFmtId="0" fontId="53" fillId="0" borderId="15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53" fillId="0" borderId="14" xfId="0" applyFont="1" applyBorder="1" applyAlignment="1">
      <alignment horizontal="center" vertical="center"/>
    </xf>
    <xf numFmtId="0" fontId="53" fillId="0" borderId="16" xfId="0" applyFont="1" applyBorder="1" applyAlignment="1">
      <alignment horizontal="center" vertical="center"/>
    </xf>
    <xf numFmtId="0" fontId="43" fillId="0" borderId="0" xfId="20" applyFont="1" applyAlignment="1">
      <alignment horizontal="center" vertical="center" wrapText="1"/>
    </xf>
    <xf numFmtId="0" fontId="43" fillId="0" borderId="0" xfId="20" applyFont="1" applyAlignment="1">
      <alignment horizontal="center" vertical="center"/>
    </xf>
    <xf numFmtId="0" fontId="7" fillId="0" borderId="34" xfId="20" applyFont="1" applyBorder="1" applyAlignment="1">
      <alignment horizontal="center" vertical="center" wrapText="1"/>
    </xf>
    <xf numFmtId="0" fontId="7" fillId="0" borderId="2" xfId="20" applyFont="1" applyBorder="1" applyAlignment="1">
      <alignment horizontal="center" vertical="center" wrapText="1"/>
    </xf>
    <xf numFmtId="0" fontId="7" fillId="0" borderId="22" xfId="20" applyFont="1" applyBorder="1" applyAlignment="1">
      <alignment horizontal="center" vertical="center" wrapText="1"/>
    </xf>
    <xf numFmtId="0" fontId="43" fillId="0" borderId="19" xfId="20" applyFont="1" applyBorder="1" applyAlignment="1">
      <alignment horizontal="center" vertical="center"/>
    </xf>
    <xf numFmtId="0" fontId="43" fillId="0" borderId="2" xfId="20" applyFont="1" applyBorder="1" applyAlignment="1">
      <alignment horizontal="center" vertical="center"/>
    </xf>
    <xf numFmtId="0" fontId="43" fillId="0" borderId="6" xfId="20" applyFont="1" applyBorder="1" applyAlignment="1">
      <alignment horizontal="center" vertical="center"/>
    </xf>
    <xf numFmtId="166" fontId="43" fillId="2" borderId="19" xfId="21" applyFont="1" applyFill="1" applyBorder="1" applyAlignment="1">
      <alignment horizontal="center" vertical="center" wrapText="1"/>
    </xf>
    <xf numFmtId="166" fontId="43" fillId="2" borderId="2" xfId="2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7" fillId="0" borderId="6" xfId="20" applyFont="1" applyBorder="1" applyAlignment="1">
      <alignment horizontal="center" vertical="center" wrapText="1"/>
    </xf>
    <xf numFmtId="0" fontId="7" fillId="0" borderId="20" xfId="20" applyFont="1" applyBorder="1" applyAlignment="1">
      <alignment horizontal="center" vertical="center" wrapText="1"/>
    </xf>
    <xf numFmtId="0" fontId="7" fillId="0" borderId="19" xfId="20" applyFont="1" applyBorder="1" applyAlignment="1">
      <alignment horizontal="center" vertical="center" wrapText="1"/>
    </xf>
    <xf numFmtId="0" fontId="43" fillId="0" borderId="20" xfId="20" applyFont="1" applyBorder="1" applyAlignment="1">
      <alignment horizontal="center" vertical="center"/>
    </xf>
    <xf numFmtId="166" fontId="43" fillId="2" borderId="12" xfId="21" applyFont="1" applyFill="1" applyBorder="1" applyAlignment="1">
      <alignment horizontal="center" vertical="center" wrapText="1"/>
    </xf>
    <xf numFmtId="166" fontId="43" fillId="2" borderId="11" xfId="21" applyFont="1" applyFill="1" applyBorder="1" applyAlignment="1">
      <alignment horizontal="center" vertical="center" wrapText="1"/>
    </xf>
    <xf numFmtId="166" fontId="43" fillId="2" borderId="10" xfId="21" applyFont="1" applyFill="1" applyBorder="1" applyAlignment="1">
      <alignment horizontal="center" vertical="center" wrapText="1"/>
    </xf>
    <xf numFmtId="17" fontId="43" fillId="2" borderId="6" xfId="18" applyNumberFormat="1" applyFont="1" applyFill="1" applyBorder="1" applyAlignment="1">
      <alignment horizontal="center" vertical="center"/>
    </xf>
    <xf numFmtId="17" fontId="43" fillId="2" borderId="20" xfId="18" applyNumberFormat="1" applyFont="1" applyFill="1" applyBorder="1" applyAlignment="1">
      <alignment horizontal="center" vertical="center"/>
    </xf>
    <xf numFmtId="17" fontId="43" fillId="2" borderId="19" xfId="18" applyNumberFormat="1" applyFont="1" applyFill="1" applyBorder="1" applyAlignment="1">
      <alignment horizontal="center" vertical="center"/>
    </xf>
    <xf numFmtId="166" fontId="43" fillId="2" borderId="1" xfId="21" applyFont="1" applyFill="1" applyBorder="1" applyAlignment="1">
      <alignment horizontal="center" vertical="center" wrapText="1"/>
    </xf>
    <xf numFmtId="166" fontId="43" fillId="2" borderId="63" xfId="21" applyFont="1" applyFill="1" applyBorder="1" applyAlignment="1">
      <alignment horizontal="center" vertical="center" wrapText="1"/>
    </xf>
    <xf numFmtId="166" fontId="43" fillId="2" borderId="3" xfId="21" applyFont="1" applyFill="1" applyBorder="1" applyAlignment="1">
      <alignment horizontal="center" vertical="center" wrapText="1"/>
    </xf>
    <xf numFmtId="166" fontId="43" fillId="2" borderId="17" xfId="21" applyFont="1" applyFill="1" applyBorder="1" applyAlignment="1">
      <alignment horizontal="center" vertical="center" wrapText="1"/>
    </xf>
    <xf numFmtId="0" fontId="43" fillId="0" borderId="12" xfId="20" applyFont="1" applyBorder="1" applyAlignment="1">
      <alignment horizontal="center" vertical="center"/>
    </xf>
    <xf numFmtId="0" fontId="43" fillId="0" borderId="17" xfId="20" applyFont="1" applyBorder="1" applyAlignment="1">
      <alignment horizontal="center" vertical="center"/>
    </xf>
    <xf numFmtId="0" fontId="43" fillId="0" borderId="11" xfId="20" applyFont="1" applyBorder="1" applyAlignment="1">
      <alignment horizontal="center" vertical="center"/>
    </xf>
    <xf numFmtId="0" fontId="43" fillId="0" borderId="14" xfId="20" applyFont="1" applyBorder="1" applyAlignment="1">
      <alignment horizontal="center" vertical="center"/>
    </xf>
    <xf numFmtId="0" fontId="43" fillId="0" borderId="16" xfId="20" applyFont="1" applyBorder="1" applyAlignment="1">
      <alignment horizontal="center" vertical="center"/>
    </xf>
    <xf numFmtId="0" fontId="43" fillId="0" borderId="10" xfId="20" applyFont="1" applyBorder="1" applyAlignment="1">
      <alignment horizontal="center" vertical="center"/>
    </xf>
    <xf numFmtId="0" fontId="42" fillId="10" borderId="25" xfId="20" applyFont="1" applyFill="1" applyBorder="1" applyAlignment="1">
      <alignment horizontal="center" vertical="center"/>
    </xf>
    <xf numFmtId="0" fontId="42" fillId="10" borderId="20" xfId="2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44" fillId="10" borderId="25" xfId="20" applyNumberFormat="1" applyFont="1" applyFill="1" applyBorder="1" applyAlignment="1">
      <alignment horizontal="center" vertical="center"/>
    </xf>
    <xf numFmtId="165" fontId="44" fillId="10" borderId="20" xfId="20" applyNumberFormat="1" applyFont="1" applyFill="1" applyBorder="1" applyAlignment="1">
      <alignment horizontal="center" vertical="center"/>
    </xf>
    <xf numFmtId="165" fontId="44" fillId="10" borderId="4" xfId="20" applyNumberFormat="1" applyFont="1" applyFill="1" applyBorder="1" applyAlignment="1">
      <alignment horizontal="center" vertical="center"/>
    </xf>
    <xf numFmtId="174" fontId="49" fillId="10" borderId="25" xfId="20" applyNumberFormat="1" applyFont="1" applyFill="1" applyBorder="1" applyAlignment="1">
      <alignment horizontal="center" vertical="center"/>
    </xf>
    <xf numFmtId="174" fontId="49" fillId="10" borderId="20" xfId="20" applyNumberFormat="1" applyFont="1" applyFill="1" applyBorder="1" applyAlignment="1">
      <alignment horizontal="center" vertical="center"/>
    </xf>
    <xf numFmtId="174" fontId="49" fillId="10" borderId="4" xfId="20" applyNumberFormat="1" applyFont="1" applyFill="1" applyBorder="1" applyAlignment="1">
      <alignment horizontal="center" vertical="center"/>
    </xf>
    <xf numFmtId="0" fontId="42" fillId="10" borderId="24" xfId="2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43" fillId="10" borderId="25" xfId="20" applyFont="1" applyFill="1" applyBorder="1" applyAlignment="1">
      <alignment horizontal="left" vertical="center" wrapText="1"/>
    </xf>
    <xf numFmtId="0" fontId="43" fillId="10" borderId="20" xfId="20" applyFont="1" applyFill="1" applyBorder="1" applyAlignment="1">
      <alignment horizontal="left" vertical="center" wrapText="1"/>
    </xf>
    <xf numFmtId="0" fontId="43" fillId="10" borderId="4" xfId="20" applyFont="1" applyFill="1" applyBorder="1" applyAlignment="1">
      <alignment horizontal="left" vertical="center" wrapText="1"/>
    </xf>
    <xf numFmtId="165" fontId="44" fillId="10" borderId="25" xfId="20" applyNumberFormat="1" applyFont="1" applyFill="1" applyBorder="1" applyAlignment="1">
      <alignment horizontal="left" vertical="center"/>
    </xf>
    <xf numFmtId="165" fontId="44" fillId="10" borderId="20" xfId="20" applyNumberFormat="1" applyFont="1" applyFill="1" applyBorder="1" applyAlignment="1">
      <alignment horizontal="left" vertical="center"/>
    </xf>
    <xf numFmtId="165" fontId="44" fillId="10" borderId="4" xfId="20" applyNumberFormat="1" applyFont="1" applyFill="1" applyBorder="1" applyAlignment="1">
      <alignment horizontal="left" vertical="center"/>
    </xf>
    <xf numFmtId="0" fontId="43" fillId="0" borderId="36" xfId="20" applyFont="1" applyBorder="1" applyAlignment="1">
      <alignment horizontal="center" vertical="center"/>
    </xf>
    <xf numFmtId="0" fontId="43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74" fontId="49" fillId="0" borderId="19" xfId="20" applyNumberFormat="1" applyFont="1" applyBorder="1" applyAlignment="1">
      <alignment horizontal="center" vertical="center"/>
    </xf>
    <xf numFmtId="0" fontId="50" fillId="0" borderId="2" xfId="0" applyFont="1" applyBorder="1" applyAlignment="1">
      <alignment horizontal="center" vertical="center"/>
    </xf>
    <xf numFmtId="0" fontId="42" fillId="10" borderId="36" xfId="20" applyFont="1" applyFill="1" applyBorder="1" applyAlignment="1">
      <alignment horizontal="center" vertical="center"/>
    </xf>
    <xf numFmtId="0" fontId="42" fillId="10" borderId="31" xfId="20" applyFont="1" applyFill="1" applyBorder="1" applyAlignment="1">
      <alignment horizontal="center" vertical="center"/>
    </xf>
    <xf numFmtId="0" fontId="44" fillId="10" borderId="25" xfId="20" applyFont="1" applyFill="1" applyBorder="1" applyAlignment="1">
      <alignment horizontal="left" vertical="center" wrapText="1"/>
    </xf>
    <xf numFmtId="0" fontId="44" fillId="10" borderId="20" xfId="20" applyFont="1" applyFill="1" applyBorder="1" applyAlignment="1">
      <alignment horizontal="left" vertical="center" wrapText="1"/>
    </xf>
    <xf numFmtId="0" fontId="44" fillId="10" borderId="4" xfId="20" applyFont="1" applyFill="1" applyBorder="1" applyAlignment="1">
      <alignment horizontal="left" vertical="center" wrapText="1"/>
    </xf>
    <xf numFmtId="0" fontId="42" fillId="0" borderId="24" xfId="20" applyFont="1" applyBorder="1" applyAlignment="1">
      <alignment horizontal="center" vertical="center"/>
    </xf>
    <xf numFmtId="0" fontId="44" fillId="0" borderId="25" xfId="20" applyFont="1" applyBorder="1" applyAlignment="1">
      <alignment horizontal="left" vertical="center" wrapText="1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42" fillId="0" borderId="25" xfId="20" applyFont="1" applyBorder="1" applyAlignment="1">
      <alignment horizontal="center" vertical="center"/>
    </xf>
    <xf numFmtId="165" fontId="44" fillId="0" borderId="25" xfId="20" applyNumberFormat="1" applyFont="1" applyBorder="1" applyAlignment="1">
      <alignment horizontal="center" vertical="center"/>
    </xf>
    <xf numFmtId="174" fontId="49" fillId="0" borderId="25" xfId="20" applyNumberFormat="1" applyFont="1" applyBorder="1" applyAlignment="1">
      <alignment horizontal="center" vertical="center"/>
    </xf>
    <xf numFmtId="174" fontId="49" fillId="0" borderId="20" xfId="20" applyNumberFormat="1" applyFont="1" applyBorder="1" applyAlignment="1">
      <alignment horizontal="center" vertical="center"/>
    </xf>
    <xf numFmtId="174" fontId="43" fillId="0" borderId="6" xfId="20" applyNumberFormat="1" applyFont="1" applyBorder="1" applyAlignment="1">
      <alignment horizontal="center" vertical="center"/>
    </xf>
    <xf numFmtId="0" fontId="42" fillId="0" borderId="36" xfId="20" applyFont="1" applyBorder="1" applyAlignment="1">
      <alignment horizontal="center" vertical="center"/>
    </xf>
    <xf numFmtId="0" fontId="42" fillId="0" borderId="31" xfId="20" applyFont="1" applyBorder="1" applyAlignment="1">
      <alignment horizontal="center" vertical="center"/>
    </xf>
    <xf numFmtId="0" fontId="44" fillId="0" borderId="20" xfId="20" applyFont="1" applyBorder="1" applyAlignment="1">
      <alignment horizontal="left" vertical="center" wrapText="1"/>
    </xf>
    <xf numFmtId="0" fontId="44" fillId="0" borderId="4" xfId="20" applyFont="1" applyBorder="1" applyAlignment="1">
      <alignment horizontal="left" vertical="center" wrapText="1"/>
    </xf>
    <xf numFmtId="0" fontId="42" fillId="0" borderId="20" xfId="20" applyFont="1" applyBorder="1" applyAlignment="1">
      <alignment horizontal="center" vertical="center"/>
    </xf>
    <xf numFmtId="0" fontId="42" fillId="0" borderId="4" xfId="20" applyFont="1" applyBorder="1" applyAlignment="1">
      <alignment horizontal="center" vertical="center"/>
    </xf>
    <xf numFmtId="165" fontId="44" fillId="0" borderId="20" xfId="20" applyNumberFormat="1" applyFont="1" applyBorder="1" applyAlignment="1">
      <alignment horizontal="center" vertical="center"/>
    </xf>
    <xf numFmtId="165" fontId="44" fillId="0" borderId="4" xfId="20" applyNumberFormat="1" applyFont="1" applyBorder="1" applyAlignment="1">
      <alignment horizontal="center" vertical="center"/>
    </xf>
    <xf numFmtId="165" fontId="49" fillId="0" borderId="25" xfId="20" applyNumberFormat="1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/>
    </xf>
    <xf numFmtId="0" fontId="50" fillId="0" borderId="4" xfId="0" applyFont="1" applyBorder="1" applyAlignment="1">
      <alignment horizontal="center" vertical="center"/>
    </xf>
    <xf numFmtId="0" fontId="45" fillId="0" borderId="0" xfId="20" applyFont="1" applyAlignment="1">
      <alignment horizontal="center" vertical="center"/>
    </xf>
    <xf numFmtId="0" fontId="0" fillId="0" borderId="0" xfId="0"/>
    <xf numFmtId="0" fontId="6" fillId="0" borderId="0" xfId="9" applyFont="1" applyAlignment="1">
      <alignment horizontal="center" wrapText="1"/>
    </xf>
    <xf numFmtId="0" fontId="8" fillId="0" borderId="0" xfId="9" applyFont="1" applyAlignment="1">
      <alignment horizontal="center" vertical="center"/>
    </xf>
    <xf numFmtId="183" fontId="17" fillId="4" borderId="2" xfId="20" applyNumberFormat="1" applyFont="1" applyFill="1" applyBorder="1"/>
    <xf numFmtId="0" fontId="44" fillId="4" borderId="2" xfId="20" applyFont="1" applyFill="1" applyBorder="1" applyAlignment="1">
      <alignment horizontal="center" vertical="center" wrapText="1"/>
    </xf>
  </cellXfs>
  <cellStyles count="24">
    <cellStyle name="TableStyleLight1 2" xfId="13" xr:uid="{00000000-0005-0000-0000-000000000000}"/>
    <cellStyle name="Обычный" xfId="0" builtinId="0"/>
    <cellStyle name="Обычный 13" xfId="1" xr:uid="{00000000-0005-0000-0000-000002000000}"/>
    <cellStyle name="Обычный 13 2" xfId="3" xr:uid="{00000000-0005-0000-0000-000003000000}"/>
    <cellStyle name="Обычный 13 2 2" xfId="9" xr:uid="{00000000-0005-0000-0000-000004000000}"/>
    <cellStyle name="Обычный 13 2 2 2" xfId="18" xr:uid="{00000000-0005-0000-0000-000005000000}"/>
    <cellStyle name="Обычный 13 3" xfId="7" xr:uid="{00000000-0005-0000-0000-000006000000}"/>
    <cellStyle name="Обычный 13 3 2" xfId="20" xr:uid="{00000000-0005-0000-0000-000007000000}"/>
    <cellStyle name="Обычный 2" xfId="12" xr:uid="{00000000-0005-0000-0000-000008000000}"/>
    <cellStyle name="Обычный 2 2" xfId="23" xr:uid="{00000000-0005-0000-0000-000009000000}"/>
    <cellStyle name="Обычный 3" xfId="11" xr:uid="{00000000-0005-0000-0000-00000A000000}"/>
    <cellStyle name="Обычный 3 2" xfId="14" xr:uid="{00000000-0005-0000-0000-00000B000000}"/>
    <cellStyle name="Обычный 4" xfId="15" xr:uid="{00000000-0005-0000-0000-00000C000000}"/>
    <cellStyle name="Обычный 5" xfId="6" xr:uid="{00000000-0005-0000-0000-00000D000000}"/>
    <cellStyle name="Обычный 5 2" xfId="16" xr:uid="{00000000-0005-0000-0000-00000E000000}"/>
    <cellStyle name="Обычный 6" xfId="22" xr:uid="{00000000-0005-0000-0000-00000F000000}"/>
    <cellStyle name="Финансовый 2" xfId="2" xr:uid="{00000000-0005-0000-0000-000010000000}"/>
    <cellStyle name="Финансовый 2 2" xfId="4" xr:uid="{00000000-0005-0000-0000-000011000000}"/>
    <cellStyle name="Финансовый 2 2 2" xfId="10" xr:uid="{00000000-0005-0000-0000-000012000000}"/>
    <cellStyle name="Финансовый 2 2 2 2" xfId="19" xr:uid="{00000000-0005-0000-0000-000013000000}"/>
    <cellStyle name="Финансовый 2 3" xfId="8" xr:uid="{00000000-0005-0000-0000-000014000000}"/>
    <cellStyle name="Финансовый 2 3 2" xfId="21" xr:uid="{00000000-0005-0000-0000-000015000000}"/>
    <cellStyle name="Финансовый 3" xfId="5" xr:uid="{00000000-0005-0000-0000-000016000000}"/>
    <cellStyle name="Финансовый 4" xfId="17" xr:uid="{00000000-0005-0000-0000-000017000000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  <numFmt numFmtId="22" formatCode="mmm/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auto="1"/>
        </right>
        <top style="medium">
          <color auto="1"/>
        </top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name val="Times New Roman"/>
        <family val="1"/>
        <charset val="204"/>
        <scheme val="none"/>
      </font>
      <numFmt numFmtId="22" formatCode="mmm/yy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6" formatCode="_-* #,##0.00_₴_-;\-* #,##0.00_₴_-;_-* &quot;-&quot;??_₴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-* #,##0.00\ _₴_-;\-* #,##0.00\ _₴_-;_-* &quot;-&quot;??\ _₴_-;_-@_-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Times New Roman"/>
        <family val="1"/>
        <charset val="204"/>
        <scheme val="none"/>
      </font>
      <numFmt numFmtId="172" formatCode="#,##0.00\ _₽;[Red]#,##0.00\ _₽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-* #,##0.00\ _₴_-;\-* #,##0.00\ _₴_-;_-* &quot;-&quot;??\ _₴_-;_-@_-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Times New Roman"/>
        <family val="1"/>
        <charset val="204"/>
        <scheme val="none"/>
      </font>
      <numFmt numFmtId="172" formatCode="#,##0.00\ _₽;[Red]#,##0.00\ _₽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-* #,##0.00\ _₴_-;\-* #,##0.00\ _₴_-;_-* &quot;-&quot;??\ _₴_-;_-@_-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172" formatCode="#,##0.00\ _₽;[Red]#,##0.00\ _₽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Times New Roman"/>
        <family val="1"/>
        <charset val="204"/>
        <scheme val="none"/>
      </font>
      <numFmt numFmtId="172" formatCode="#,##0.00\ _₽;[Red]#,##0.00\ _₽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172" formatCode="#,##0.00\ _₽;[Red]#,##0.00\ _₽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charset val="204"/>
        <scheme val="none"/>
      </font>
      <numFmt numFmtId="22" formatCode="mmm/yy"/>
      <fill>
        <patternFill patternType="none">
          <fgColor indexed="64"/>
          <bgColor auto="1"/>
        </patternFill>
      </fill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charset val="204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 xr9:uid="{00000000-0011-0000-FFFF-FFFF00000000}">
      <tableStyleElement type="secondRowStripe" dxfId="40"/>
    </tableStyle>
    <tableStyle name="Стиль таблицы 2" pivot="0" count="2" xr9:uid="{00000000-0011-0000-FFFF-FFFF01000000}">
      <tableStyleElement type="headerRow" dxfId="39"/>
      <tableStyleElement type="totalRow" dxfId="38"/>
    </tableStyle>
    <tableStyle name="Стиль таблицы 3" pivot="0" count="2" xr9:uid="{00000000-0011-0000-FFFF-FFFF02000000}">
      <tableStyleElement type="firstRowStripe" dxfId="37"/>
      <tableStyleElement type="secondRowStripe" dxfId="36"/>
    </tableStyle>
  </tableStyles>
  <colors>
    <mruColors>
      <color rgb="FFF4C6B2"/>
      <color rgb="FF66FFFF"/>
      <color rgb="FF66CCFF"/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TO\AppData\Local\Microsoft\Windows\INetCache\Content.Outlook\M513OIGI\&#1056;&#1077;&#1077;&#1089;&#1090;&#1088;%20&#1072;&#1085;&#1072;&#1083;&#1080;&#1090;&#1080;&#1082;&#1072;%20&#1057;&#1058;&#1040;&#1056;&#1050;&#1054;&#105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оябрь"/>
      <sheetName val="ДЦ Замовник"/>
      <sheetName val="Реєстр АВР"/>
      <sheetName val="Пожарка подрядчик"/>
      <sheetName val="Лист1"/>
    </sheetNames>
    <sheetDataSet>
      <sheetData sheetId="0"/>
      <sheetData sheetId="1">
        <row r="9">
          <cell r="B9" t="str">
            <v>Нове будівництво комплексу будівель та споруд по зберіганню та переробці зерна за адресою: Хмельницька обл., м. Старокостянтинів, вул. Франка, 67</v>
          </cell>
        </row>
        <row r="17">
          <cell r="E17" t="str">
            <v>№2</v>
          </cell>
        </row>
      </sheetData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22" displayName="Таблица22" ref="B8:L31" totalsRowShown="0" headerRowDxfId="35" dataDxfId="33" headerRowBorderDxfId="34" tableBorderDxfId="32" totalsRowBorderDxfId="31">
  <tableColumns count="11">
    <tableColumn id="1" xr3:uid="{00000000-0010-0000-0000-000001000000}" name="№ ДЦ" dataDxfId="30" totalsRowDxfId="29" dataCellStyle="Обычный 13 2"/>
    <tableColumn id="15" xr3:uid="{4EAA164C-6F4E-450F-BEF3-6D128758B5E7}" name="№, дата Договору" dataDxfId="28" totalsRowDxfId="27" dataCellStyle="Обычный 13 2"/>
    <tableColumn id="2" xr3:uid="{00000000-0010-0000-0000-000002000000}" name="Найменування договірної ціни" dataDxfId="26" totalsRowDxfId="25" dataCellStyle="Обычный 13 2"/>
    <tableColumn id="5" xr3:uid="{196463F9-17DA-4F13-B580-1EC3D890040A}" name="Робота з ПДВ,грн" dataDxfId="24" totalsRowDxfId="23">
      <calculatedColumnFormula>Таблица22[[#This Row],[Всього по ДЦ з ПДВ, грн]]-Таблица22[[#This Row],[Матеріали з ПДВ,грн]]</calculatedColumnFormula>
    </tableColumn>
    <tableColumn id="16" xr3:uid="{EA39E20B-C671-4101-B5C4-6855D2FC531D}" name="Матеріали з ПДВ,грн" dataDxfId="22" totalsRowDxfId="21" dataCellStyle="Обычный 13 2 2 2"/>
    <tableColumn id="7" xr3:uid="{00000000-0010-0000-0000-000007000000}" name="Всього по ДЦ з ПДВ, грн" dataDxfId="20" totalsRowDxfId="19" dataCellStyle="Обычный 13 2">
      <calculatedColumnFormula>SUM(G7:G8)</calculatedColumnFormula>
    </tableColumn>
    <tableColumn id="14" xr3:uid="{00000000-0010-0000-0000-00000E000000}" name="Собівартість,грн" dataDxfId="18" totalsRowDxfId="17" dataCellStyle="Обычный 13 2 2 2">
      <calculatedColumnFormula>SUM(H7:H8)</calculatedColumnFormula>
    </tableColumn>
    <tableColumn id="13" xr3:uid="{00000000-0010-0000-0000-00000D000000}" name="Статус" dataDxfId="16" totalsRowDxfId="15" dataCellStyle="Обычный 13 2 2 2"/>
    <tableColumn id="8" xr3:uid="{00000000-0010-0000-0000-000008000000}" name="Дата" dataDxfId="14" totalsRowDxfId="13" dataCellStyle="Финансовый 2 2"/>
    <tableColumn id="3" xr3:uid="{00000000-0010-0000-0000-000003000000}" name="Коментарі" dataDxfId="12" totalsRowDxfId="11" dataCellStyle="Обычный 13 2 2"/>
    <tableColumn id="4" xr3:uid="{00000000-0010-0000-0000-000004000000}" name="Найменування субпідрядної організації" dataDxfId="10" dataCellStyle="Финансовый 2 2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Таблица223" displayName="Таблица223" ref="A3:F18" totalsRowShown="0" headerRowDxfId="9" dataDxfId="7" headerRowBorderDxfId="8" tableBorderDxfId="6">
  <autoFilter ref="A3:F18" xr:uid="{00000000-0009-0000-0100-000002000000}"/>
  <tableColumns count="6">
    <tableColumn id="1" xr3:uid="{00000000-0010-0000-0100-000001000000}" name="№ п/п" dataDxfId="5" dataCellStyle="Обычный 13 2"/>
    <tableColumn id="2" xr3:uid="{00000000-0010-0000-0100-000002000000}" name="Вид робіт (витрат)" dataDxfId="4" dataCellStyle="Обычный 13 2"/>
    <tableColumn id="4" xr3:uid="{00000000-0010-0000-0100-000004000000}" name="ознака робіт" dataDxfId="3" dataCellStyle="Обычный 13 2"/>
    <tableColumn id="5" xr3:uid="{00000000-0010-0000-0100-000005000000}" name="Номер ДЦ" dataDxfId="2"/>
    <tableColumn id="7" xr3:uid="{00000000-0010-0000-0100-000007000000}" name="Сумма" dataDxfId="1" dataCellStyle="Обычный 13 2"/>
    <tableColumn id="8" xr3:uid="{00000000-0010-0000-0100-000008000000}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777" t="s">
        <v>37</v>
      </c>
      <c r="B5" s="777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777" t="s">
        <v>24</v>
      </c>
      <c r="B6" s="777"/>
      <c r="C6" s="82"/>
      <c r="D6" s="778"/>
      <c r="E6" s="778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777" t="s">
        <v>38</v>
      </c>
      <c r="B7" s="777"/>
      <c r="C7" s="777"/>
      <c r="D7" s="777"/>
      <c r="E7" s="777"/>
      <c r="F7" s="777"/>
      <c r="G7" s="777"/>
      <c r="H7" s="777"/>
      <c r="I7" s="777"/>
      <c r="J7" s="82"/>
      <c r="L7" s="61"/>
      <c r="V7" s="62"/>
      <c r="W7" s="63"/>
    </row>
    <row r="8" spans="1:23" s="60" customFormat="1" ht="12.75" customHeight="1" x14ac:dyDescent="0.25">
      <c r="A8" s="777" t="s">
        <v>39</v>
      </c>
      <c r="B8" s="777"/>
      <c r="C8" s="777"/>
      <c r="D8" s="777"/>
      <c r="E8" s="777"/>
      <c r="F8" s="777"/>
      <c r="G8" s="777"/>
      <c r="H8" s="777"/>
      <c r="I8" s="777"/>
      <c r="J8" s="82"/>
      <c r="L8" s="61"/>
      <c r="V8" s="62"/>
      <c r="W8" s="63"/>
    </row>
    <row r="9" spans="1:23" s="60" customFormat="1" ht="12.75" customHeight="1" x14ac:dyDescent="0.25">
      <c r="A9" s="776" t="s">
        <v>40</v>
      </c>
      <c r="B9" s="776"/>
      <c r="C9" s="776"/>
      <c r="D9" s="776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770" t="s">
        <v>0</v>
      </c>
      <c r="B11" s="770"/>
      <c r="C11" s="770"/>
      <c r="D11" s="770"/>
      <c r="E11" s="770"/>
      <c r="F11" s="770"/>
      <c r="G11" s="770"/>
      <c r="H11" s="770"/>
      <c r="I11" s="770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771" t="s">
        <v>1</v>
      </c>
      <c r="B13" s="772" t="s">
        <v>2</v>
      </c>
      <c r="C13" s="771" t="s">
        <v>13</v>
      </c>
      <c r="D13" s="773" t="s">
        <v>3</v>
      </c>
      <c r="E13" s="774" t="s">
        <v>14</v>
      </c>
      <c r="F13" s="775" t="s">
        <v>27</v>
      </c>
      <c r="G13" s="775"/>
      <c r="H13" s="773" t="s">
        <v>17</v>
      </c>
      <c r="I13" s="773"/>
      <c r="J13" s="780" t="s">
        <v>30</v>
      </c>
      <c r="K13" s="781"/>
      <c r="L13" s="782"/>
      <c r="M13" s="772" t="s">
        <v>26</v>
      </c>
      <c r="N13" s="772"/>
      <c r="O13" s="772"/>
      <c r="P13" s="772"/>
      <c r="Q13" s="772" t="s">
        <v>29</v>
      </c>
      <c r="R13" s="772"/>
      <c r="S13" s="772"/>
      <c r="T13" s="772"/>
      <c r="U13" s="772"/>
      <c r="V13" s="786" t="s">
        <v>34</v>
      </c>
      <c r="W13" s="787"/>
    </row>
    <row r="14" spans="1:23" s="3" customFormat="1" ht="20.25" customHeight="1" x14ac:dyDescent="0.25">
      <c r="A14" s="771"/>
      <c r="B14" s="772"/>
      <c r="C14" s="771"/>
      <c r="D14" s="773"/>
      <c r="E14" s="774"/>
      <c r="F14" s="773" t="s">
        <v>41</v>
      </c>
      <c r="G14" s="773"/>
      <c r="H14" s="773"/>
      <c r="I14" s="773"/>
      <c r="J14" s="783"/>
      <c r="K14" s="784"/>
      <c r="L14" s="785"/>
      <c r="M14" s="772"/>
      <c r="N14" s="772"/>
      <c r="O14" s="772"/>
      <c r="P14" s="772"/>
      <c r="Q14" s="772"/>
      <c r="R14" s="772"/>
      <c r="S14" s="772"/>
      <c r="T14" s="772"/>
      <c r="U14" s="772"/>
      <c r="V14" s="788"/>
      <c r="W14" s="789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788"/>
      <c r="W15" s="789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779" t="s">
        <v>32</v>
      </c>
      <c r="U16" s="779"/>
      <c r="V16" s="790"/>
      <c r="W16" s="791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 xr:uid="{00000000-0009-0000-0000-000000000000}"/>
  <mergeCells count="20">
    <mergeCell ref="T16:U16"/>
    <mergeCell ref="Q13:U14"/>
    <mergeCell ref="J13:L14"/>
    <mergeCell ref="V13:W16"/>
    <mergeCell ref="M13:P14"/>
    <mergeCell ref="A9:D9"/>
    <mergeCell ref="A5:B5"/>
    <mergeCell ref="A6:B6"/>
    <mergeCell ref="D6:E6"/>
    <mergeCell ref="A7:I7"/>
    <mergeCell ref="A8:I8"/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801" t="s">
        <v>93</v>
      </c>
      <c r="B1" s="801"/>
      <c r="C1" s="801"/>
      <c r="D1" s="801"/>
      <c r="E1" s="801"/>
      <c r="F1" s="801"/>
      <c r="G1" s="801"/>
      <c r="H1" s="801"/>
      <c r="I1" s="801"/>
      <c r="J1" s="801"/>
      <c r="K1" s="801"/>
      <c r="L1" s="801"/>
      <c r="M1" s="801"/>
    </row>
    <row r="2" spans="1:13" ht="16.2" thickBot="1" x14ac:dyDescent="0.3">
      <c r="M2" s="216"/>
    </row>
    <row r="3" spans="1:13" ht="31.5" customHeight="1" x14ac:dyDescent="0.25">
      <c r="A3" s="811" t="s">
        <v>84</v>
      </c>
      <c r="B3" s="813" t="s">
        <v>82</v>
      </c>
      <c r="C3" s="813" t="s">
        <v>86</v>
      </c>
      <c r="D3" s="813" t="s">
        <v>85</v>
      </c>
      <c r="E3" s="802" t="s">
        <v>83</v>
      </c>
      <c r="F3" s="806" t="s">
        <v>90</v>
      </c>
      <c r="G3" s="807"/>
      <c r="H3" s="808"/>
      <c r="I3" s="804" t="s">
        <v>9</v>
      </c>
      <c r="J3" s="809" t="s">
        <v>91</v>
      </c>
      <c r="K3" s="809"/>
      <c r="L3" s="810"/>
      <c r="M3" s="804" t="s">
        <v>50</v>
      </c>
    </row>
    <row r="4" spans="1:13" x14ac:dyDescent="0.25">
      <c r="A4" s="812"/>
      <c r="B4" s="814"/>
      <c r="C4" s="814"/>
      <c r="D4" s="814"/>
      <c r="E4" s="803"/>
      <c r="F4" s="145" t="s">
        <v>87</v>
      </c>
      <c r="G4" s="135" t="s">
        <v>88</v>
      </c>
      <c r="H4" s="135" t="s">
        <v>89</v>
      </c>
      <c r="I4" s="805"/>
      <c r="J4" s="143" t="s">
        <v>87</v>
      </c>
      <c r="K4" s="135" t="s">
        <v>88</v>
      </c>
      <c r="L4" s="135" t="s">
        <v>89</v>
      </c>
      <c r="M4" s="805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795">
        <v>4</v>
      </c>
      <c r="B6" s="792" t="s">
        <v>97</v>
      </c>
      <c r="C6" s="798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796"/>
      <c r="B7" s="793"/>
      <c r="C7" s="799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796"/>
      <c r="B8" s="793"/>
      <c r="C8" s="799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797"/>
      <c r="B9" s="794"/>
      <c r="C9" s="800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830" t="s">
        <v>84</v>
      </c>
      <c r="B2" s="830" t="s">
        <v>99</v>
      </c>
      <c r="C2" s="830" t="s">
        <v>86</v>
      </c>
      <c r="D2" s="830" t="s">
        <v>51</v>
      </c>
      <c r="E2" s="824" t="s">
        <v>100</v>
      </c>
      <c r="F2" s="825"/>
      <c r="G2" s="826"/>
      <c r="H2" s="827" t="s">
        <v>101</v>
      </c>
      <c r="I2" s="828"/>
      <c r="J2" s="828"/>
      <c r="K2" s="828"/>
      <c r="L2" s="828"/>
      <c r="M2" s="829"/>
      <c r="N2" s="824" t="s">
        <v>102</v>
      </c>
      <c r="O2" s="825"/>
      <c r="P2" s="826"/>
    </row>
    <row r="3" spans="1:16" ht="16.2" thickBot="1" x14ac:dyDescent="0.3">
      <c r="A3" s="831"/>
      <c r="B3" s="831"/>
      <c r="C3" s="831"/>
      <c r="D3" s="831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815">
        <v>4</v>
      </c>
      <c r="B4" s="818" t="s">
        <v>109</v>
      </c>
      <c r="C4" s="818" t="s">
        <v>94</v>
      </c>
      <c r="D4" s="818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816"/>
      <c r="B5" s="819"/>
      <c r="C5" s="819"/>
      <c r="D5" s="819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816"/>
      <c r="B6" s="819"/>
      <c r="C6" s="819"/>
      <c r="D6" s="819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816"/>
      <c r="B7" s="819"/>
      <c r="C7" s="819"/>
      <c r="D7" s="819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816"/>
      <c r="B8" s="819"/>
      <c r="C8" s="819"/>
      <c r="D8" s="820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816"/>
      <c r="B9" s="819"/>
      <c r="C9" s="819"/>
      <c r="D9" s="821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816"/>
      <c r="B10" s="819"/>
      <c r="C10" s="819"/>
      <c r="D10" s="822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816"/>
      <c r="B11" s="819"/>
      <c r="C11" s="819"/>
      <c r="D11" s="823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816"/>
      <c r="B12" s="819"/>
      <c r="C12" s="819"/>
      <c r="D12" s="818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816"/>
      <c r="B13" s="819"/>
      <c r="C13" s="819"/>
      <c r="D13" s="819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816"/>
      <c r="B14" s="819"/>
      <c r="C14" s="819"/>
      <c r="D14" s="820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816"/>
      <c r="B15" s="819"/>
      <c r="C15" s="819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817"/>
      <c r="B16" s="820"/>
      <c r="C16" s="820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E2:G2"/>
    <mergeCell ref="H2:M2"/>
    <mergeCell ref="N2:P2"/>
    <mergeCell ref="A2:A3"/>
    <mergeCell ref="B2:B3"/>
    <mergeCell ref="C2:C3"/>
    <mergeCell ref="D2:D3"/>
    <mergeCell ref="A4:A16"/>
    <mergeCell ref="B4:B16"/>
    <mergeCell ref="C4:C16"/>
    <mergeCell ref="D9:D11"/>
    <mergeCell ref="D4:D8"/>
    <mergeCell ref="D12:D1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37"/>
  <sheetViews>
    <sheetView showWhiteSpace="0" topLeftCell="C4" zoomScale="70" zoomScaleNormal="70" zoomScaleSheetLayoutView="89" workbookViewId="0">
      <pane ySplit="5" topLeftCell="A18" activePane="bottomLeft" state="frozen"/>
      <selection activeCell="A4" sqref="A4"/>
      <selection pane="bottomLeft" activeCell="C22" sqref="C22"/>
    </sheetView>
  </sheetViews>
  <sheetFormatPr defaultColWidth="9.109375" defaultRowHeight="13.8" outlineLevelCol="1" x14ac:dyDescent="0.25"/>
  <cols>
    <col min="1" max="1" width="5.77734375" style="325" customWidth="1"/>
    <col min="2" max="2" width="8.44140625" style="325" customWidth="1"/>
    <col min="3" max="3" width="36.88671875" style="325" customWidth="1"/>
    <col min="4" max="4" width="34.5546875" style="325" customWidth="1"/>
    <col min="5" max="5" width="23.33203125" style="325" customWidth="1"/>
    <col min="6" max="6" width="20.77734375" style="325" customWidth="1"/>
    <col min="7" max="7" width="19.33203125" style="326" customWidth="1"/>
    <col min="8" max="8" width="17.109375" style="326" customWidth="1"/>
    <col min="9" max="9" width="16.88671875" style="326" customWidth="1"/>
    <col min="10" max="10" width="25.77734375" style="325" customWidth="1"/>
    <col min="11" max="11" width="19.33203125" style="325" customWidth="1"/>
    <col min="12" max="12" width="20.109375" style="325" customWidth="1" outlineLevel="1"/>
    <col min="13" max="13" width="17.33203125" style="325" customWidth="1" outlineLevel="1"/>
    <col min="14" max="14" width="18.77734375" style="326" customWidth="1" outlineLevel="1"/>
    <col min="15" max="15" width="17.44140625" style="326" customWidth="1" outlineLevel="1"/>
    <col min="16" max="16" width="17.21875" style="326" customWidth="1" outlineLevel="1"/>
    <col min="17" max="17" width="13.77734375" style="325" customWidth="1" outlineLevel="1"/>
    <col min="18" max="18" width="19.88671875" style="325" customWidth="1" outlineLevel="1"/>
    <col min="19" max="19" width="9.109375" style="325"/>
    <col min="20" max="20" width="17.5546875" style="325" customWidth="1"/>
    <col min="21" max="16384" width="9.109375" style="325"/>
  </cols>
  <sheetData>
    <row r="1" spans="1:20" s="308" customFormat="1" ht="18.75" customHeight="1" x14ac:dyDescent="0.25">
      <c r="B1" s="834" t="s">
        <v>195</v>
      </c>
      <c r="C1" s="834"/>
      <c r="D1" s="834"/>
      <c r="E1" s="307"/>
      <c r="F1" s="307"/>
      <c r="G1" s="328"/>
      <c r="H1" s="328"/>
      <c r="I1" s="328"/>
      <c r="M1" s="307"/>
      <c r="N1" s="328"/>
      <c r="O1" s="328"/>
      <c r="P1" s="328"/>
    </row>
    <row r="2" spans="1:20" s="308" customFormat="1" ht="15.75" customHeight="1" x14ac:dyDescent="0.25">
      <c r="B2" s="834" t="s">
        <v>118</v>
      </c>
      <c r="C2" s="834"/>
      <c r="D2" s="834"/>
      <c r="E2" s="307"/>
      <c r="F2" s="307"/>
      <c r="G2" s="310"/>
      <c r="H2" s="310"/>
      <c r="I2" s="310"/>
      <c r="M2" s="307"/>
      <c r="N2" s="310"/>
      <c r="O2" s="310"/>
      <c r="P2" s="310"/>
    </row>
    <row r="3" spans="1:20" s="308" customFormat="1" ht="21.6" customHeight="1" x14ac:dyDescent="0.25">
      <c r="B3" s="309" t="s">
        <v>196</v>
      </c>
      <c r="C3" s="309"/>
      <c r="D3" s="307"/>
      <c r="E3" s="307"/>
      <c r="F3" s="307"/>
      <c r="G3" s="310"/>
      <c r="H3" s="310"/>
      <c r="I3" s="310"/>
      <c r="M3" s="307"/>
      <c r="N3" s="310"/>
      <c r="O3" s="310"/>
      <c r="P3" s="310"/>
    </row>
    <row r="4" spans="1:20" s="308" customFormat="1" ht="33.6" customHeight="1" x14ac:dyDescent="0.25">
      <c r="B4" s="834" t="s">
        <v>227</v>
      </c>
      <c r="C4" s="834"/>
      <c r="D4" s="834"/>
      <c r="E4" s="834"/>
      <c r="F4" s="834"/>
      <c r="G4" s="834"/>
      <c r="H4" s="834"/>
      <c r="I4" s="834"/>
      <c r="J4" s="834"/>
    </row>
    <row r="5" spans="1:20" s="308" customFormat="1" ht="15.75" customHeight="1" x14ac:dyDescent="0.25">
      <c r="B5" s="307"/>
      <c r="C5" s="307"/>
      <c r="D5" s="307"/>
      <c r="E5" s="307"/>
      <c r="F5" s="307"/>
      <c r="G5" s="310"/>
      <c r="H5" s="310"/>
      <c r="I5" s="310"/>
      <c r="M5" s="307"/>
      <c r="N5" s="310"/>
      <c r="O5" s="310"/>
      <c r="P5" s="310"/>
    </row>
    <row r="6" spans="1:20" s="308" customFormat="1" ht="13.5" customHeight="1" x14ac:dyDescent="0.25">
      <c r="B6" s="835" t="s">
        <v>6</v>
      </c>
      <c r="C6" s="835"/>
      <c r="D6" s="835"/>
      <c r="E6" s="835"/>
      <c r="F6" s="835"/>
      <c r="G6" s="835"/>
      <c r="H6" s="835"/>
      <c r="I6" s="835"/>
      <c r="J6" s="835"/>
      <c r="L6" s="832" t="s">
        <v>202</v>
      </c>
      <c r="M6" s="832"/>
      <c r="N6" s="832"/>
      <c r="O6" s="832"/>
      <c r="P6" s="832"/>
      <c r="Q6" s="832"/>
      <c r="R6" s="832"/>
    </row>
    <row r="7" spans="1:20" s="308" customFormat="1" ht="12.75" customHeight="1" thickBot="1" x14ac:dyDescent="0.3">
      <c r="B7" s="833"/>
      <c r="C7" s="833"/>
      <c r="D7" s="833"/>
      <c r="E7" s="833"/>
      <c r="F7" s="833"/>
      <c r="G7" s="833"/>
      <c r="H7" s="323"/>
      <c r="I7" s="323"/>
      <c r="O7" s="323"/>
      <c r="P7" s="323"/>
    </row>
    <row r="8" spans="1:20" s="308" customFormat="1" ht="54.6" customHeight="1" thickBot="1" x14ac:dyDescent="0.3">
      <c r="A8" s="594" t="s">
        <v>1</v>
      </c>
      <c r="B8" s="595" t="s">
        <v>127</v>
      </c>
      <c r="C8" s="596" t="s">
        <v>83</v>
      </c>
      <c r="D8" s="596" t="s">
        <v>190</v>
      </c>
      <c r="E8" s="596" t="s">
        <v>228</v>
      </c>
      <c r="F8" s="596" t="s">
        <v>229</v>
      </c>
      <c r="G8" s="597" t="s">
        <v>230</v>
      </c>
      <c r="H8" s="598" t="s">
        <v>231</v>
      </c>
      <c r="I8" s="598" t="s">
        <v>9</v>
      </c>
      <c r="J8" s="599" t="s">
        <v>104</v>
      </c>
      <c r="K8" s="600" t="s">
        <v>232</v>
      </c>
      <c r="L8" s="562" t="s">
        <v>200</v>
      </c>
      <c r="M8" s="556" t="s">
        <v>83</v>
      </c>
      <c r="N8" s="557" t="s">
        <v>12</v>
      </c>
      <c r="O8" s="557" t="s">
        <v>25</v>
      </c>
      <c r="P8" s="557" t="s">
        <v>120</v>
      </c>
      <c r="Q8" s="558" t="s">
        <v>9</v>
      </c>
      <c r="R8" s="559" t="s">
        <v>50</v>
      </c>
    </row>
    <row r="9" spans="1:20" s="311" customFormat="1" ht="46.8" x14ac:dyDescent="0.25">
      <c r="A9" s="712">
        <v>1</v>
      </c>
      <c r="B9" s="713">
        <v>1</v>
      </c>
      <c r="C9" s="714" t="s">
        <v>197</v>
      </c>
      <c r="D9" s="685" t="s">
        <v>192</v>
      </c>
      <c r="E9" s="682">
        <f>Таблица22[[#This Row],[Всього по ДЦ з ПДВ, грн]]-Таблица22[[#This Row],[Матеріали з ПДВ,грн]]</f>
        <v>20014627.07</v>
      </c>
      <c r="F9" s="683">
        <f t="shared" ref="F9" si="0">SUM(F7:F8)</f>
        <v>0</v>
      </c>
      <c r="G9" s="560">
        <v>20014627.07</v>
      </c>
      <c r="H9" s="560"/>
      <c r="I9" s="684" t="s">
        <v>214</v>
      </c>
      <c r="J9" s="684"/>
      <c r="K9" s="685"/>
      <c r="L9" s="586"/>
      <c r="M9" s="577"/>
      <c r="N9" s="561"/>
      <c r="O9" s="560"/>
      <c r="P9" s="327"/>
      <c r="Q9" s="578"/>
      <c r="R9" s="579"/>
    </row>
    <row r="10" spans="1:20" s="311" customFormat="1" ht="46.8" x14ac:dyDescent="0.25">
      <c r="A10" s="712">
        <v>2</v>
      </c>
      <c r="B10" s="713">
        <v>1</v>
      </c>
      <c r="C10" s="714" t="s">
        <v>197</v>
      </c>
      <c r="D10" s="685" t="s">
        <v>193</v>
      </c>
      <c r="E10" s="682">
        <f>Таблица22[[#This Row],[Всього по ДЦ з ПДВ, грн]]-Таблица22[[#This Row],[Матеріали з ПДВ,грн]]</f>
        <v>53346485.635999992</v>
      </c>
      <c r="F10" s="683">
        <v>109556128.524</v>
      </c>
      <c r="G10" s="560">
        <v>162902614.16</v>
      </c>
      <c r="H10" s="560"/>
      <c r="I10" s="684" t="s">
        <v>214</v>
      </c>
      <c r="J10" s="684"/>
      <c r="K10" s="685"/>
      <c r="L10" s="586"/>
      <c r="M10" s="577"/>
      <c r="N10" s="561"/>
      <c r="O10" s="560"/>
      <c r="P10" s="327"/>
      <c r="Q10" s="578"/>
      <c r="R10" s="579"/>
    </row>
    <row r="11" spans="1:20" s="311" customFormat="1" ht="46.8" x14ac:dyDescent="0.25">
      <c r="A11" s="712">
        <v>3</v>
      </c>
      <c r="B11" s="712">
        <v>2</v>
      </c>
      <c r="C11" s="714" t="s">
        <v>199</v>
      </c>
      <c r="D11" s="685" t="s">
        <v>198</v>
      </c>
      <c r="E11" s="682">
        <f>Таблица22[[#This Row],[Всього по ДЦ з ПДВ, грн]]-Таблица22[[#This Row],[Матеріали з ПДВ,грн]]</f>
        <v>1445345.3499999999</v>
      </c>
      <c r="F11" s="683">
        <v>34274.1</v>
      </c>
      <c r="G11" s="560">
        <v>1479619.45</v>
      </c>
      <c r="H11" s="560"/>
      <c r="I11" s="684" t="s">
        <v>214</v>
      </c>
      <c r="J11" s="684"/>
      <c r="K11" s="685"/>
      <c r="L11" s="586" t="s">
        <v>201</v>
      </c>
      <c r="M11" s="577"/>
      <c r="N11" s="561">
        <v>903840.13</v>
      </c>
      <c r="O11" s="560">
        <f>N11-P11</f>
        <v>877810.78599999996</v>
      </c>
      <c r="P11" s="327">
        <f>21691.12*1.2</f>
        <v>26029.343999999997</v>
      </c>
      <c r="Q11" s="578" t="s">
        <v>203</v>
      </c>
      <c r="R11" s="579"/>
    </row>
    <row r="12" spans="1:20" s="311" customFormat="1" ht="46.8" x14ac:dyDescent="0.25">
      <c r="A12" s="712">
        <v>4</v>
      </c>
      <c r="B12" s="715">
        <v>3</v>
      </c>
      <c r="C12" s="714" t="s">
        <v>215</v>
      </c>
      <c r="D12" s="685" t="s">
        <v>213</v>
      </c>
      <c r="E12" s="682">
        <f>Таблица22[[#This Row],[Всього по ДЦ з ПДВ, грн]]-Таблица22[[#This Row],[Матеріали з ПДВ,грн]]</f>
        <v>42182.078000000001</v>
      </c>
      <c r="F12" s="686">
        <v>56127.671999999999</v>
      </c>
      <c r="G12" s="687">
        <v>98309.75</v>
      </c>
      <c r="H12" s="688"/>
      <c r="I12" s="684" t="s">
        <v>214</v>
      </c>
      <c r="J12" s="684"/>
      <c r="K12" s="689"/>
      <c r="L12" s="587"/>
      <c r="M12" s="577"/>
      <c r="N12" s="561"/>
      <c r="O12" s="560"/>
      <c r="P12" s="327"/>
      <c r="Q12" s="578"/>
      <c r="R12" s="579"/>
    </row>
    <row r="13" spans="1:20" s="311" customFormat="1" ht="46.8" x14ac:dyDescent="0.25">
      <c r="A13" s="712">
        <v>5</v>
      </c>
      <c r="B13" s="712">
        <v>4</v>
      </c>
      <c r="C13" s="714" t="s">
        <v>212</v>
      </c>
      <c r="D13" s="685" t="s">
        <v>211</v>
      </c>
      <c r="E13" s="682">
        <f>Таблица22[[#This Row],[Всього по ДЦ з ПДВ, грн]]-Таблица22[[#This Row],[Матеріали з ПДВ,грн]]</f>
        <v>70684.100000000006</v>
      </c>
      <c r="F13" s="683">
        <v>47269.38</v>
      </c>
      <c r="G13" s="560">
        <v>117953.48</v>
      </c>
      <c r="H13" s="560"/>
      <c r="I13" s="684" t="s">
        <v>214</v>
      </c>
      <c r="J13" s="684"/>
      <c r="K13" s="690"/>
      <c r="L13" s="587"/>
      <c r="M13" s="577"/>
      <c r="N13" s="561"/>
      <c r="O13" s="560"/>
      <c r="P13" s="327"/>
      <c r="Q13" s="578"/>
      <c r="R13" s="579"/>
    </row>
    <row r="14" spans="1:20" s="311" customFormat="1" ht="46.8" x14ac:dyDescent="0.25">
      <c r="A14" s="712">
        <v>6</v>
      </c>
      <c r="B14" s="715">
        <v>5</v>
      </c>
      <c r="C14" s="714" t="s">
        <v>221</v>
      </c>
      <c r="D14" s="685" t="s">
        <v>220</v>
      </c>
      <c r="E14" s="682">
        <f>Таблица22[[#This Row],[Всього по ДЦ з ПДВ, грн]]-Таблица22[[#This Row],[Матеріали з ПДВ,грн]]</f>
        <v>164209.79999999999</v>
      </c>
      <c r="F14" s="691">
        <v>149880.89000000001</v>
      </c>
      <c r="G14" s="560">
        <v>314090.69</v>
      </c>
      <c r="H14" s="692"/>
      <c r="I14" s="684" t="s">
        <v>214</v>
      </c>
      <c r="J14" s="684"/>
      <c r="K14" s="689"/>
      <c r="L14" s="587"/>
      <c r="M14" s="577"/>
      <c r="N14" s="561"/>
      <c r="O14" s="560"/>
      <c r="P14" s="327"/>
      <c r="Q14" s="578"/>
      <c r="R14" s="579"/>
      <c r="T14" s="721">
        <f>N11+N15</f>
        <v>1564884.42</v>
      </c>
    </row>
    <row r="15" spans="1:20" s="311" customFormat="1" ht="46.8" x14ac:dyDescent="0.25">
      <c r="A15" s="712">
        <v>7</v>
      </c>
      <c r="B15" s="715">
        <v>6</v>
      </c>
      <c r="C15" s="714" t="s">
        <v>222</v>
      </c>
      <c r="D15" s="685" t="s">
        <v>198</v>
      </c>
      <c r="E15" s="682">
        <f>Таблица22[[#This Row],[Всього по ДЦ з ПДВ, грн]]-Таблица22[[#This Row],[Матеріали з ПДВ,грн]]</f>
        <v>873320.76</v>
      </c>
      <c r="F15" s="693">
        <v>51947.46</v>
      </c>
      <c r="G15" s="560">
        <v>925268.22</v>
      </c>
      <c r="H15" s="694"/>
      <c r="I15" s="684" t="s">
        <v>214</v>
      </c>
      <c r="J15" s="684"/>
      <c r="K15" s="689"/>
      <c r="L15" s="586" t="s">
        <v>201</v>
      </c>
      <c r="M15" s="577" t="s">
        <v>216</v>
      </c>
      <c r="N15" s="561">
        <v>661044.29</v>
      </c>
      <c r="O15" s="560">
        <f>N15-P15</f>
        <v>612037.25</v>
      </c>
      <c r="P15" s="327">
        <v>49007.040000000001</v>
      </c>
      <c r="Q15" s="578" t="s">
        <v>203</v>
      </c>
      <c r="R15" s="579"/>
    </row>
    <row r="16" spans="1:20" s="311" customFormat="1" ht="27.6" x14ac:dyDescent="0.25">
      <c r="A16" s="712">
        <v>8</v>
      </c>
      <c r="B16" s="715">
        <v>7</v>
      </c>
      <c r="C16" s="716" t="s">
        <v>233</v>
      </c>
      <c r="D16" s="685" t="s">
        <v>223</v>
      </c>
      <c r="E16" s="695">
        <f>Таблица22[[#This Row],[Всього по ДЦ з ПДВ, грн]]-Таблица22[[#This Row],[Матеріали з ПДВ,грн]]</f>
        <v>520063.16999999993</v>
      </c>
      <c r="F16" s="696">
        <v>1387127.59</v>
      </c>
      <c r="G16" s="560">
        <v>1907190.76</v>
      </c>
      <c r="H16" s="697"/>
      <c r="I16" s="684" t="s">
        <v>214</v>
      </c>
      <c r="J16" s="684"/>
      <c r="K16" s="684"/>
      <c r="L16" s="587"/>
      <c r="M16" s="577"/>
      <c r="N16" s="561"/>
      <c r="O16" s="560"/>
      <c r="P16" s="327"/>
      <c r="Q16" s="578"/>
      <c r="R16" s="579"/>
    </row>
    <row r="17" spans="1:18" s="311" customFormat="1" ht="46.8" x14ac:dyDescent="0.25">
      <c r="A17" s="712">
        <v>8</v>
      </c>
      <c r="B17" s="715">
        <v>8</v>
      </c>
      <c r="C17" s="716" t="s">
        <v>235</v>
      </c>
      <c r="D17" s="685" t="s">
        <v>198</v>
      </c>
      <c r="E17" s="695">
        <f>Таблица22[[#This Row],[Всього по ДЦ з ПДВ, грн]]-Таблица22[[#This Row],[Матеріали з ПДВ,грн]]</f>
        <v>498158.72</v>
      </c>
      <c r="F17" s="696">
        <v>56430.62</v>
      </c>
      <c r="G17" s="560">
        <v>554589.34</v>
      </c>
      <c r="H17" s="697"/>
      <c r="I17" s="684" t="s">
        <v>214</v>
      </c>
      <c r="J17" s="684"/>
      <c r="K17" s="684"/>
      <c r="L17" s="586" t="s">
        <v>201</v>
      </c>
      <c r="M17" s="577" t="s">
        <v>234</v>
      </c>
      <c r="N17" s="561">
        <v>336962.14</v>
      </c>
      <c r="O17" s="560">
        <f>N17-P17</f>
        <v>284517.54399999999</v>
      </c>
      <c r="P17" s="327">
        <v>52444.595999999998</v>
      </c>
      <c r="Q17" s="581" t="s">
        <v>237</v>
      </c>
      <c r="R17" s="579"/>
    </row>
    <row r="18" spans="1:18" s="311" customFormat="1" ht="46.8" x14ac:dyDescent="0.25">
      <c r="A18" s="712">
        <v>8</v>
      </c>
      <c r="B18" s="715">
        <v>9</v>
      </c>
      <c r="C18" s="716" t="s">
        <v>236</v>
      </c>
      <c r="D18" s="685" t="s">
        <v>226</v>
      </c>
      <c r="E18" s="695">
        <f>Таблица22[[#This Row],[Всього по ДЦ з ПДВ, грн]]-Таблица22[[#This Row],[Матеріали з ПДВ,грн]]</f>
        <v>70564.63</v>
      </c>
      <c r="F18" s="696">
        <v>134686.01999999999</v>
      </c>
      <c r="G18" s="560">
        <v>205250.65</v>
      </c>
      <c r="H18" s="697"/>
      <c r="I18" s="684" t="s">
        <v>214</v>
      </c>
      <c r="J18" s="684"/>
      <c r="K18" s="684"/>
      <c r="L18" s="587"/>
      <c r="M18" s="577"/>
      <c r="N18" s="561"/>
      <c r="O18" s="560"/>
      <c r="P18" s="327"/>
      <c r="Q18" s="578"/>
      <c r="R18" s="579"/>
    </row>
    <row r="19" spans="1:18" s="570" customFormat="1" ht="35.4" customHeight="1" x14ac:dyDescent="0.25">
      <c r="A19" s="712">
        <v>9</v>
      </c>
      <c r="B19" s="717"/>
      <c r="C19" s="714" t="s">
        <v>208</v>
      </c>
      <c r="D19" s="685" t="s">
        <v>207</v>
      </c>
      <c r="E19" s="682">
        <f>Таблица22[[#This Row],[Всього по ДЦ з ПДВ, грн]]-Таблица22[[#This Row],[Матеріали з ПДВ,грн]]</f>
        <v>3477499.16</v>
      </c>
      <c r="F19" s="698">
        <v>7738911.1699999999</v>
      </c>
      <c r="G19" s="699">
        <v>11216410.33</v>
      </c>
      <c r="H19" s="699"/>
      <c r="I19" s="684" t="s">
        <v>214</v>
      </c>
      <c r="J19" s="684"/>
      <c r="K19" s="700"/>
      <c r="L19" s="587"/>
      <c r="M19" s="580"/>
      <c r="N19" s="568"/>
      <c r="O19" s="567"/>
      <c r="P19" s="569"/>
      <c r="Q19" s="581"/>
      <c r="R19" s="582"/>
    </row>
    <row r="20" spans="1:18" s="570" customFormat="1" ht="45" customHeight="1" x14ac:dyDescent="0.25">
      <c r="A20" s="712">
        <v>10</v>
      </c>
      <c r="B20" s="715">
        <v>1</v>
      </c>
      <c r="C20" s="718" t="s">
        <v>209</v>
      </c>
      <c r="D20" s="685" t="s">
        <v>206</v>
      </c>
      <c r="E20" s="701">
        <f>Таблица22[[#This Row],[Всього по ДЦ з ПДВ, грн]]-Таблица22[[#This Row],[Матеріали з ПДВ,грн]]</f>
        <v>240913.76</v>
      </c>
      <c r="F20" s="698">
        <v>549105.22</v>
      </c>
      <c r="G20" s="699">
        <v>790018.98</v>
      </c>
      <c r="H20" s="699"/>
      <c r="I20" s="684" t="s">
        <v>214</v>
      </c>
      <c r="J20" s="684"/>
      <c r="K20" s="689"/>
      <c r="L20" s="587"/>
      <c r="M20" s="580"/>
      <c r="N20" s="568"/>
      <c r="O20" s="567"/>
      <c r="P20" s="569"/>
      <c r="Q20" s="581"/>
      <c r="R20" s="582"/>
    </row>
    <row r="21" spans="1:18" s="570" customFormat="1" ht="48" customHeight="1" x14ac:dyDescent="0.25">
      <c r="A21" s="712">
        <v>11</v>
      </c>
      <c r="B21" s="715">
        <v>2</v>
      </c>
      <c r="C21" s="718" t="s">
        <v>219</v>
      </c>
      <c r="D21" s="685" t="s">
        <v>218</v>
      </c>
      <c r="E21" s="701">
        <f>Таблица22[[#This Row],[Всього по ДЦ з ПДВ, грн]]-Таблица22[[#This Row],[Матеріали з ПДВ,грн]]</f>
        <v>50000.040000000008</v>
      </c>
      <c r="F21" s="696">
        <v>114975</v>
      </c>
      <c r="G21" s="699">
        <v>164975.04000000001</v>
      </c>
      <c r="H21" s="697"/>
      <c r="I21" s="684" t="s">
        <v>214</v>
      </c>
      <c r="J21" s="684"/>
      <c r="K21" s="689"/>
      <c r="L21" s="587"/>
      <c r="M21" s="580"/>
      <c r="N21" s="568"/>
      <c r="O21" s="567"/>
      <c r="P21" s="569"/>
      <c r="Q21" s="581"/>
      <c r="R21" s="582"/>
    </row>
    <row r="22" spans="1:18" s="312" customFormat="1" ht="46.8" customHeight="1" x14ac:dyDescent="0.25">
      <c r="A22" s="712">
        <v>12</v>
      </c>
      <c r="B22" s="702"/>
      <c r="C22" s="716" t="s">
        <v>248</v>
      </c>
      <c r="D22" s="719" t="s">
        <v>243</v>
      </c>
      <c r="E22" s="702">
        <f>Таблица22[[#This Row],[Всього по ДЦ з ПДВ, грн]]-Таблица22[[#This Row],[Матеріали з ПДВ,грн]]</f>
        <v>140865.35999999999</v>
      </c>
      <c r="F22" s="703">
        <v>9613.6299999999992</v>
      </c>
      <c r="G22" s="704">
        <v>150478.99</v>
      </c>
      <c r="H22" s="705"/>
      <c r="I22" s="684" t="s">
        <v>214</v>
      </c>
      <c r="J22" s="706"/>
      <c r="K22" s="707"/>
      <c r="L22" s="587"/>
      <c r="M22" s="583"/>
      <c r="N22" s="573"/>
      <c r="O22" s="572"/>
      <c r="P22" s="574"/>
      <c r="Q22" s="584"/>
      <c r="R22" s="575"/>
    </row>
    <row r="23" spans="1:18" s="312" customFormat="1" ht="27.6" x14ac:dyDescent="0.25">
      <c r="A23" s="712">
        <v>13</v>
      </c>
      <c r="B23" s="702"/>
      <c r="C23" s="716" t="s">
        <v>249</v>
      </c>
      <c r="D23" s="719" t="s">
        <v>224</v>
      </c>
      <c r="E23" s="702">
        <f>Таблица22[[#This Row],[Всього по ДЦ з ПДВ, грн]]-Таблица22[[#This Row],[Матеріали з ПДВ,грн]]</f>
        <v>36380.339999999997</v>
      </c>
      <c r="F23" s="703">
        <v>30857.02</v>
      </c>
      <c r="G23" s="704">
        <v>67237.36</v>
      </c>
      <c r="H23" s="705"/>
      <c r="I23" s="684" t="s">
        <v>214</v>
      </c>
      <c r="J23" s="720"/>
      <c r="K23" s="707"/>
      <c r="L23" s="587"/>
      <c r="M23" s="583"/>
      <c r="N23" s="573"/>
      <c r="O23" s="572"/>
      <c r="P23" s="574"/>
      <c r="Q23" s="584"/>
      <c r="R23" s="575"/>
    </row>
    <row r="24" spans="1:18" s="312" customFormat="1" ht="15.6" x14ac:dyDescent="0.25">
      <c r="A24" s="712">
        <v>17</v>
      </c>
      <c r="B24" s="702"/>
      <c r="C24" s="702"/>
      <c r="D24" s="702"/>
      <c r="E24" s="702"/>
      <c r="F24" s="708"/>
      <c r="G24" s="709"/>
      <c r="H24" s="708"/>
      <c r="I24" s="710"/>
      <c r="J24" s="710"/>
      <c r="K24" s="711"/>
      <c r="L24" s="587"/>
      <c r="M24" s="583"/>
      <c r="N24" s="573"/>
      <c r="O24" s="572"/>
      <c r="P24" s="574"/>
      <c r="Q24" s="584"/>
      <c r="R24" s="575"/>
    </row>
    <row r="25" spans="1:18" s="312" customFormat="1" ht="15.6" x14ac:dyDescent="0.25">
      <c r="A25" s="712">
        <v>18</v>
      </c>
      <c r="B25" s="702"/>
      <c r="C25" s="702"/>
      <c r="D25" s="702"/>
      <c r="E25" s="702"/>
      <c r="F25" s="708"/>
      <c r="G25" s="709"/>
      <c r="H25" s="708"/>
      <c r="I25" s="710"/>
      <c r="J25" s="710"/>
      <c r="K25" s="711"/>
      <c r="L25" s="587"/>
      <c r="M25" s="583"/>
      <c r="N25" s="573"/>
      <c r="O25" s="572"/>
      <c r="P25" s="574"/>
      <c r="Q25" s="584"/>
      <c r="R25" s="575"/>
    </row>
    <row r="26" spans="1:18" s="312" customFormat="1" ht="15.6" x14ac:dyDescent="0.25">
      <c r="A26" s="712">
        <v>19</v>
      </c>
      <c r="B26" s="702"/>
      <c r="C26" s="702"/>
      <c r="D26" s="702"/>
      <c r="E26" s="702"/>
      <c r="F26" s="708"/>
      <c r="G26" s="709"/>
      <c r="H26" s="708"/>
      <c r="I26" s="710"/>
      <c r="J26" s="710"/>
      <c r="K26" s="711"/>
      <c r="L26" s="587"/>
      <c r="M26" s="583"/>
      <c r="N26" s="573"/>
      <c r="O26" s="572"/>
      <c r="P26" s="574"/>
      <c r="Q26" s="584"/>
      <c r="R26" s="575"/>
    </row>
    <row r="27" spans="1:18" s="312" customFormat="1" ht="15.6" x14ac:dyDescent="0.25">
      <c r="A27" s="712">
        <v>20</v>
      </c>
      <c r="B27" s="702"/>
      <c r="C27" s="702"/>
      <c r="D27" s="702"/>
      <c r="E27" s="702"/>
      <c r="F27" s="708"/>
      <c r="G27" s="709"/>
      <c r="H27" s="708"/>
      <c r="I27" s="710"/>
      <c r="J27" s="710"/>
      <c r="K27" s="711"/>
      <c r="L27" s="587"/>
      <c r="M27" s="583"/>
      <c r="N27" s="573"/>
      <c r="O27" s="572"/>
      <c r="P27" s="574"/>
      <c r="Q27" s="584"/>
      <c r="R27" s="575"/>
    </row>
    <row r="28" spans="1:18" s="312" customFormat="1" ht="15.6" x14ac:dyDescent="0.25">
      <c r="A28" s="712">
        <v>21</v>
      </c>
      <c r="B28" s="702"/>
      <c r="C28" s="702"/>
      <c r="D28" s="702"/>
      <c r="E28" s="702"/>
      <c r="F28" s="708"/>
      <c r="G28" s="709"/>
      <c r="H28" s="708"/>
      <c r="I28" s="710"/>
      <c r="J28" s="710"/>
      <c r="K28" s="711"/>
      <c r="L28" s="587"/>
      <c r="M28" s="583"/>
      <c r="N28" s="573"/>
      <c r="O28" s="572"/>
      <c r="P28" s="574"/>
      <c r="Q28" s="584"/>
      <c r="R28" s="575"/>
    </row>
    <row r="29" spans="1:18" s="312" customFormat="1" ht="15.6" x14ac:dyDescent="0.25">
      <c r="A29" s="712">
        <v>22</v>
      </c>
      <c r="B29" s="702"/>
      <c r="C29" s="702"/>
      <c r="D29" s="702"/>
      <c r="E29" s="702"/>
      <c r="F29" s="708"/>
      <c r="G29" s="709"/>
      <c r="H29" s="708"/>
      <c r="I29" s="710"/>
      <c r="J29" s="710"/>
      <c r="K29" s="711"/>
      <c r="L29" s="587"/>
      <c r="M29" s="583"/>
      <c r="N29" s="573"/>
      <c r="O29" s="572"/>
      <c r="P29" s="574"/>
      <c r="Q29" s="584"/>
      <c r="R29" s="575"/>
    </row>
    <row r="30" spans="1:18" s="312" customFormat="1" ht="15.6" x14ac:dyDescent="0.25">
      <c r="A30" s="712">
        <v>23</v>
      </c>
      <c r="B30" s="702"/>
      <c r="C30" s="702"/>
      <c r="D30" s="702"/>
      <c r="E30" s="702"/>
      <c r="F30" s="708"/>
      <c r="G30" s="709"/>
      <c r="H30" s="708"/>
      <c r="I30" s="710"/>
      <c r="J30" s="710"/>
      <c r="K30" s="711"/>
      <c r="L30" s="587"/>
      <c r="M30" s="583"/>
      <c r="N30" s="573"/>
      <c r="O30" s="572"/>
      <c r="P30" s="574"/>
      <c r="Q30" s="584"/>
      <c r="R30" s="575"/>
    </row>
    <row r="31" spans="1:18" s="312" customFormat="1" ht="34.200000000000003" customHeight="1" thickBot="1" x14ac:dyDescent="0.3">
      <c r="A31" s="585"/>
      <c r="B31" s="590"/>
      <c r="C31" s="590"/>
      <c r="D31" s="591" t="s">
        <v>119</v>
      </c>
      <c r="E31" s="327">
        <f>Таблица22[[#This Row],[Всього по ДЦ з ПДВ, грн]]-Таблица22[[#This Row],[Матеріали з ПДВ,грн]]</f>
        <v>80991299.973999992</v>
      </c>
      <c r="F31" s="589">
        <f>SUM(F9:F30)</f>
        <v>119917334.29599999</v>
      </c>
      <c r="G31" s="589">
        <f>SUM(G9:G30)</f>
        <v>200908634.26999998</v>
      </c>
      <c r="H31" s="589">
        <f>SUM(H9:H30)</f>
        <v>0</v>
      </c>
      <c r="I31" s="589"/>
      <c r="J31" s="592" t="s">
        <v>5</v>
      </c>
      <c r="K31" s="593"/>
      <c r="L31" s="588"/>
      <c r="M31" s="563"/>
      <c r="N31" s="564">
        <f>SUM(N9:N21)</f>
        <v>1901846.56</v>
      </c>
      <c r="O31" s="564">
        <f>SUM(O9:O21)</f>
        <v>1774365.5799999998</v>
      </c>
      <c r="P31" s="564">
        <f>SUM(P9:P21)</f>
        <v>127480.97999999998</v>
      </c>
      <c r="Q31" s="565" t="s">
        <v>5</v>
      </c>
      <c r="R31" s="566"/>
    </row>
    <row r="32" spans="1:18" s="312" customFormat="1" ht="17.25" customHeight="1" x14ac:dyDescent="0.25">
      <c r="B32" s="313"/>
      <c r="C32" s="313"/>
      <c r="D32" s="314"/>
      <c r="E32" s="314"/>
      <c r="F32" s="314"/>
      <c r="G32" s="315"/>
      <c r="H32" s="315"/>
      <c r="I32" s="315"/>
      <c r="J32" s="316"/>
      <c r="M32" s="314"/>
      <c r="N32" s="315"/>
      <c r="O32" s="315"/>
      <c r="P32" s="315"/>
      <c r="Q32" s="316"/>
    </row>
    <row r="33" spans="2:17" s="312" customFormat="1" ht="17.25" customHeight="1" x14ac:dyDescent="0.25">
      <c r="B33" s="313"/>
      <c r="C33" s="313"/>
      <c r="D33" s="314"/>
      <c r="E33" s="314"/>
      <c r="F33" s="314"/>
      <c r="G33" s="317"/>
      <c r="H33" s="317"/>
      <c r="I33" s="317"/>
      <c r="J33" s="316"/>
      <c r="M33" s="314"/>
      <c r="N33" s="317"/>
      <c r="O33" s="317"/>
      <c r="P33" s="317"/>
      <c r="Q33" s="316"/>
    </row>
    <row r="34" spans="2:17" s="322" customFormat="1" x14ac:dyDescent="0.25">
      <c r="B34" s="318"/>
      <c r="C34" s="318"/>
      <c r="D34" s="319"/>
      <c r="E34" s="319"/>
      <c r="F34" s="319"/>
      <c r="G34" s="320"/>
      <c r="H34" s="320"/>
      <c r="I34" s="320"/>
      <c r="J34" s="321"/>
      <c r="M34" s="319"/>
      <c r="N34" s="320"/>
      <c r="O34" s="320"/>
      <c r="P34" s="320"/>
      <c r="Q34" s="321"/>
    </row>
    <row r="35" spans="2:17" s="322" customFormat="1" x14ac:dyDescent="0.25">
      <c r="B35" s="323"/>
      <c r="C35" s="323"/>
      <c r="D35" s="314"/>
      <c r="E35" s="314"/>
      <c r="F35" s="314"/>
      <c r="G35" s="320"/>
      <c r="H35" s="320"/>
      <c r="I35" s="320"/>
      <c r="J35" s="312"/>
      <c r="M35" s="314"/>
      <c r="N35" s="320"/>
      <c r="O35" s="320"/>
      <c r="P35" s="320"/>
      <c r="Q35" s="312"/>
    </row>
    <row r="36" spans="2:17" x14ac:dyDescent="0.25">
      <c r="B36" s="322"/>
      <c r="C36" s="322"/>
      <c r="D36" s="322"/>
      <c r="E36" s="322"/>
      <c r="F36" s="322"/>
      <c r="G36" s="324"/>
      <c r="H36" s="324"/>
      <c r="I36" s="324"/>
      <c r="J36" s="322"/>
      <c r="M36" s="322"/>
      <c r="N36" s="324"/>
      <c r="O36" s="324"/>
      <c r="P36" s="324"/>
      <c r="Q36" s="322"/>
    </row>
    <row r="37" spans="2:17" x14ac:dyDescent="0.25">
      <c r="B37" s="322"/>
      <c r="C37" s="322"/>
      <c r="D37" s="322"/>
      <c r="E37" s="322"/>
      <c r="F37" s="322"/>
      <c r="G37" s="324"/>
      <c r="H37" s="324"/>
      <c r="I37" s="324"/>
      <c r="J37" s="322"/>
      <c r="M37" s="322"/>
      <c r="N37" s="324"/>
      <c r="O37" s="324"/>
      <c r="P37" s="324"/>
      <c r="Q37" s="322"/>
    </row>
  </sheetData>
  <dataConsolidate/>
  <mergeCells count="6">
    <mergeCell ref="L6:R6"/>
    <mergeCell ref="B7:G7"/>
    <mergeCell ref="B1:D1"/>
    <mergeCell ref="B2:D2"/>
    <mergeCell ref="B4:J4"/>
    <mergeCell ref="B6:J6"/>
  </mergeCells>
  <phoneticPr fontId="41" type="noConversion"/>
  <pageMargins left="0.31496062992125984" right="0.15748031496062992" top="0.35433070866141736" bottom="0.15748031496062992" header="0.6692913385826772" footer="0.15748031496062992"/>
  <pageSetup paperSize="9" scale="41" orientation="landscape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J75"/>
  <sheetViews>
    <sheetView showWhiteSpace="0" zoomScale="80" zoomScaleNormal="80" zoomScaleSheetLayoutView="80" workbookViewId="0">
      <pane xSplit="2" topLeftCell="C1" activePane="topRight" state="frozen"/>
      <selection activeCell="B1" sqref="B1"/>
      <selection pane="topRight" activeCell="N7" sqref="N7"/>
    </sheetView>
  </sheetViews>
  <sheetFormatPr defaultColWidth="9.109375" defaultRowHeight="12" x14ac:dyDescent="0.25"/>
  <cols>
    <col min="1" max="1" width="5.6640625" style="330" customWidth="1"/>
    <col min="2" max="2" width="31.33203125" style="330" customWidth="1"/>
    <col min="3" max="3" width="12.5546875" style="363" customWidth="1"/>
    <col min="4" max="4" width="19.44140625" style="364" customWidth="1"/>
    <col min="5" max="5" width="6.5546875" style="365" customWidth="1"/>
    <col min="6" max="6" width="16.77734375" style="365" customWidth="1"/>
    <col min="7" max="7" width="26" style="365" customWidth="1"/>
    <col min="8" max="8" width="6" style="365" customWidth="1"/>
    <col min="9" max="9" width="15.6640625" style="330" customWidth="1"/>
    <col min="10" max="10" width="16.77734375" style="330" customWidth="1"/>
    <col min="11" max="11" width="13.33203125" style="330" customWidth="1"/>
    <col min="12" max="12" width="16.44140625" style="330" customWidth="1"/>
    <col min="13" max="13" width="20.77734375" style="330" customWidth="1"/>
    <col min="14" max="14" width="20.5546875" style="330" customWidth="1"/>
    <col min="15" max="16384" width="9.109375" style="330"/>
  </cols>
  <sheetData>
    <row r="1" spans="1:36" ht="16.8" customHeight="1" x14ac:dyDescent="0.25"/>
    <row r="2" spans="1:36" ht="59.4" customHeight="1" x14ac:dyDescent="0.25">
      <c r="A2" s="863" t="s">
        <v>194</v>
      </c>
      <c r="B2" s="864"/>
      <c r="C2" s="864"/>
      <c r="D2" s="864"/>
      <c r="E2" s="864"/>
      <c r="F2" s="864"/>
      <c r="G2" s="864"/>
      <c r="H2" s="331"/>
    </row>
    <row r="3" spans="1:36" ht="15" customHeight="1" thickBot="1" x14ac:dyDescent="0.3">
      <c r="A3" s="331"/>
      <c r="B3" s="607"/>
      <c r="C3" s="607"/>
      <c r="D3" s="608"/>
      <c r="E3" s="609"/>
      <c r="F3" s="609"/>
      <c r="G3" s="609"/>
      <c r="H3" s="609"/>
      <c r="I3" s="610"/>
      <c r="J3" s="610"/>
      <c r="K3" s="610"/>
    </row>
    <row r="4" spans="1:36" ht="17.399999999999999" customHeight="1" x14ac:dyDescent="0.25">
      <c r="A4" s="865"/>
      <c r="B4" s="868" t="s">
        <v>190</v>
      </c>
      <c r="C4" s="871" t="s">
        <v>122</v>
      </c>
      <c r="D4" s="871"/>
      <c r="E4" s="842" t="s">
        <v>188</v>
      </c>
      <c r="F4" s="843"/>
      <c r="G4" s="843"/>
      <c r="H4" s="859" t="s">
        <v>126</v>
      </c>
      <c r="I4" s="860"/>
      <c r="J4" s="860"/>
      <c r="K4" s="860"/>
      <c r="L4" s="839"/>
    </row>
    <row r="5" spans="1:36" ht="21" customHeight="1" x14ac:dyDescent="0.25">
      <c r="A5" s="866"/>
      <c r="B5" s="869"/>
      <c r="C5" s="872"/>
      <c r="D5" s="872"/>
      <c r="E5" s="872"/>
      <c r="F5" s="872"/>
      <c r="G5" s="873"/>
      <c r="H5" s="861"/>
      <c r="I5" s="862"/>
      <c r="J5" s="862"/>
      <c r="K5" s="862"/>
      <c r="L5" s="840"/>
    </row>
    <row r="6" spans="1:36" ht="30" customHeight="1" thickBot="1" x14ac:dyDescent="0.3">
      <c r="A6" s="867"/>
      <c r="B6" s="870"/>
      <c r="C6" s="545" t="s">
        <v>127</v>
      </c>
      <c r="D6" s="555" t="s">
        <v>128</v>
      </c>
      <c r="E6" s="601" t="s">
        <v>129</v>
      </c>
      <c r="F6" s="601" t="s">
        <v>130</v>
      </c>
      <c r="G6" s="601" t="s">
        <v>189</v>
      </c>
      <c r="H6" s="601"/>
      <c r="I6" s="602" t="s">
        <v>16</v>
      </c>
      <c r="J6" s="603" t="s">
        <v>25</v>
      </c>
      <c r="K6" s="604" t="s">
        <v>15</v>
      </c>
      <c r="L6" s="841"/>
    </row>
    <row r="7" spans="1:36" s="345" customFormat="1" ht="24.6" customHeight="1" x14ac:dyDescent="0.25">
      <c r="A7" s="844">
        <v>1</v>
      </c>
      <c r="B7" s="836" t="s">
        <v>192</v>
      </c>
      <c r="C7" s="851" t="s">
        <v>53</v>
      </c>
      <c r="D7" s="849">
        <f>'ДЦ Замовник'!G9</f>
        <v>20014627.07</v>
      </c>
      <c r="E7" s="620">
        <v>1</v>
      </c>
      <c r="F7" s="621">
        <v>1104052.82</v>
      </c>
      <c r="G7" s="622" t="s">
        <v>191</v>
      </c>
      <c r="H7" s="620">
        <v>1</v>
      </c>
      <c r="I7" s="623">
        <f>F7</f>
        <v>1104052.82</v>
      </c>
      <c r="J7" s="624">
        <f>I7-K7</f>
        <v>1104052.82</v>
      </c>
      <c r="K7" s="625">
        <v>0</v>
      </c>
      <c r="L7" s="611"/>
      <c r="M7" s="340"/>
      <c r="N7" s="340"/>
      <c r="O7" s="340"/>
      <c r="P7" s="340"/>
      <c r="Q7" s="340"/>
      <c r="R7" s="340"/>
      <c r="S7" s="340"/>
      <c r="T7" s="340"/>
      <c r="U7" s="340"/>
      <c r="V7" s="340"/>
      <c r="W7" s="340"/>
      <c r="X7" s="340"/>
      <c r="Y7" s="340"/>
      <c r="Z7" s="340"/>
      <c r="AA7" s="340"/>
      <c r="AB7" s="340"/>
      <c r="AC7" s="340"/>
      <c r="AD7" s="340"/>
      <c r="AE7" s="340"/>
      <c r="AF7" s="340"/>
      <c r="AG7" s="340"/>
      <c r="AH7" s="340"/>
      <c r="AI7" s="340"/>
      <c r="AJ7" s="340"/>
    </row>
    <row r="8" spans="1:36" s="345" customFormat="1" ht="13.8" x14ac:dyDescent="0.25">
      <c r="A8" s="845"/>
      <c r="B8" s="837"/>
      <c r="C8" s="852"/>
      <c r="D8" s="850"/>
      <c r="E8" s="627">
        <v>3</v>
      </c>
      <c r="F8" s="628">
        <v>2033549.68</v>
      </c>
      <c r="G8" s="629" t="s">
        <v>191</v>
      </c>
      <c r="H8" s="627">
        <v>3</v>
      </c>
      <c r="I8" s="630">
        <v>2033549.68</v>
      </c>
      <c r="J8" s="630">
        <v>2033549.68</v>
      </c>
      <c r="K8" s="631"/>
      <c r="L8" s="612"/>
      <c r="M8" s="340"/>
      <c r="N8" s="340"/>
      <c r="O8" s="340"/>
      <c r="P8" s="340"/>
      <c r="Q8" s="340"/>
      <c r="R8" s="340"/>
      <c r="S8" s="340"/>
      <c r="T8" s="340"/>
      <c r="U8" s="340"/>
      <c r="V8" s="340"/>
      <c r="W8" s="340"/>
      <c r="X8" s="340"/>
      <c r="Y8" s="340"/>
      <c r="Z8" s="340"/>
      <c r="AA8" s="340"/>
      <c r="AB8" s="340"/>
      <c r="AC8" s="340"/>
      <c r="AD8" s="340"/>
      <c r="AE8" s="340"/>
      <c r="AF8" s="340"/>
      <c r="AG8" s="340"/>
      <c r="AH8" s="340"/>
      <c r="AI8" s="340"/>
      <c r="AJ8" s="340"/>
    </row>
    <row r="9" spans="1:36" s="345" customFormat="1" ht="13.2" x14ac:dyDescent="0.25">
      <c r="A9" s="845"/>
      <c r="B9" s="837"/>
      <c r="C9" s="852"/>
      <c r="D9" s="850"/>
      <c r="E9" s="627">
        <v>6</v>
      </c>
      <c r="F9" s="628">
        <v>1313878.48</v>
      </c>
      <c r="G9" s="629" t="s">
        <v>191</v>
      </c>
      <c r="H9" s="627">
        <v>6</v>
      </c>
      <c r="I9" s="632">
        <v>1313878.48</v>
      </c>
      <c r="J9" s="629">
        <v>1313878.48</v>
      </c>
      <c r="K9" s="631"/>
      <c r="L9" s="612"/>
      <c r="M9" s="340"/>
      <c r="N9" s="340"/>
      <c r="O9" s="340"/>
      <c r="P9" s="340"/>
      <c r="Q9" s="340"/>
      <c r="R9" s="340"/>
      <c r="S9" s="340"/>
      <c r="T9" s="340"/>
      <c r="U9" s="340"/>
      <c r="V9" s="340"/>
      <c r="W9" s="340"/>
      <c r="X9" s="340"/>
      <c r="Y9" s="340"/>
      <c r="Z9" s="340"/>
      <c r="AA9" s="340"/>
      <c r="AB9" s="340"/>
      <c r="AC9" s="340"/>
      <c r="AD9" s="340"/>
      <c r="AE9" s="340"/>
      <c r="AF9" s="340"/>
      <c r="AG9" s="340"/>
      <c r="AH9" s="340"/>
      <c r="AI9" s="340"/>
      <c r="AJ9" s="340"/>
    </row>
    <row r="10" spans="1:36" s="345" customFormat="1" ht="13.2" x14ac:dyDescent="0.25">
      <c r="A10" s="845"/>
      <c r="B10" s="837"/>
      <c r="C10" s="852"/>
      <c r="D10" s="850"/>
      <c r="E10" s="627">
        <v>8</v>
      </c>
      <c r="F10" s="628">
        <v>199967</v>
      </c>
      <c r="G10" s="629" t="s">
        <v>191</v>
      </c>
      <c r="H10" s="627">
        <v>8</v>
      </c>
      <c r="I10" s="632">
        <f>F10</f>
        <v>199967</v>
      </c>
      <c r="J10" s="629">
        <f>I10-K10</f>
        <v>199967</v>
      </c>
      <c r="K10" s="631"/>
      <c r="L10" s="612"/>
      <c r="M10" s="340"/>
      <c r="N10" s="340"/>
      <c r="O10" s="340"/>
      <c r="P10" s="340"/>
      <c r="Q10" s="340"/>
      <c r="R10" s="340"/>
      <c r="S10" s="340"/>
      <c r="T10" s="340"/>
      <c r="U10" s="340"/>
      <c r="V10" s="340"/>
      <c r="W10" s="340"/>
      <c r="X10" s="340"/>
      <c r="Y10" s="340"/>
      <c r="Z10" s="340"/>
      <c r="AA10" s="340"/>
      <c r="AB10" s="340"/>
      <c r="AC10" s="340"/>
      <c r="AD10" s="340"/>
      <c r="AE10" s="340"/>
      <c r="AF10" s="340"/>
      <c r="AG10" s="340"/>
      <c r="AH10" s="340"/>
      <c r="AI10" s="340"/>
      <c r="AJ10" s="340"/>
    </row>
    <row r="11" spans="1:36" s="345" customFormat="1" ht="13.2" x14ac:dyDescent="0.25">
      <c r="A11" s="845"/>
      <c r="B11" s="837"/>
      <c r="C11" s="852"/>
      <c r="D11" s="850"/>
      <c r="E11" s="627">
        <v>11</v>
      </c>
      <c r="F11" s="628">
        <v>1611409.02</v>
      </c>
      <c r="G11" s="629" t="s">
        <v>191</v>
      </c>
      <c r="H11" s="627">
        <v>11</v>
      </c>
      <c r="I11" s="632">
        <f>F11</f>
        <v>1611409.02</v>
      </c>
      <c r="J11" s="629">
        <f>I11-K11</f>
        <v>1611409.02</v>
      </c>
      <c r="K11" s="631"/>
      <c r="L11" s="612"/>
      <c r="M11" s="340"/>
      <c r="N11" s="340"/>
      <c r="O11" s="340"/>
      <c r="P11" s="340"/>
      <c r="Q11" s="340"/>
      <c r="R11" s="340"/>
      <c r="S11" s="340"/>
      <c r="T11" s="340"/>
      <c r="U11" s="340"/>
      <c r="V11" s="340"/>
      <c r="W11" s="340"/>
      <c r="X11" s="340"/>
      <c r="Y11" s="340"/>
      <c r="Z11" s="340"/>
      <c r="AA11" s="340"/>
      <c r="AB11" s="340"/>
      <c r="AC11" s="340"/>
      <c r="AD11" s="340"/>
      <c r="AE11" s="340"/>
      <c r="AF11" s="340"/>
      <c r="AG11" s="340"/>
      <c r="AH11" s="340"/>
      <c r="AI11" s="340"/>
      <c r="AJ11" s="340"/>
    </row>
    <row r="12" spans="1:36" s="345" customFormat="1" ht="13.8" thickBot="1" x14ac:dyDescent="0.3">
      <c r="A12" s="845"/>
      <c r="B12" s="837"/>
      <c r="C12" s="852"/>
      <c r="D12" s="850"/>
      <c r="E12" s="633"/>
      <c r="F12" s="634"/>
      <c r="G12" s="633"/>
      <c r="H12" s="635"/>
      <c r="I12" s="636"/>
      <c r="J12" s="633"/>
      <c r="K12" s="637"/>
      <c r="L12" s="613"/>
      <c r="M12" s="340"/>
      <c r="N12" s="340"/>
      <c r="O12" s="340"/>
      <c r="P12" s="340"/>
      <c r="Q12" s="340"/>
      <c r="R12" s="340"/>
      <c r="S12" s="340"/>
      <c r="T12" s="340"/>
      <c r="U12" s="340"/>
      <c r="V12" s="340"/>
      <c r="W12" s="340"/>
      <c r="X12" s="340"/>
      <c r="Y12" s="340"/>
      <c r="Z12" s="340"/>
      <c r="AA12" s="340"/>
      <c r="AB12" s="340"/>
      <c r="AC12" s="340"/>
      <c r="AD12" s="340"/>
      <c r="AE12" s="340"/>
      <c r="AF12" s="340"/>
      <c r="AG12" s="340"/>
      <c r="AH12" s="340"/>
      <c r="AI12" s="340"/>
      <c r="AJ12" s="340"/>
    </row>
    <row r="13" spans="1:36" s="345" customFormat="1" ht="12" customHeight="1" x14ac:dyDescent="0.25">
      <c r="A13" s="844">
        <v>2</v>
      </c>
      <c r="B13" s="836" t="s">
        <v>193</v>
      </c>
      <c r="C13" s="846" t="s">
        <v>53</v>
      </c>
      <c r="D13" s="849">
        <f>'ДЦ Замовник'!G10</f>
        <v>162902614.16</v>
      </c>
      <c r="E13" s="620">
        <v>2</v>
      </c>
      <c r="F13" s="638">
        <v>1727848.62</v>
      </c>
      <c r="G13" s="639" t="s">
        <v>191</v>
      </c>
      <c r="H13" s="620">
        <v>2</v>
      </c>
      <c r="I13" s="640">
        <f>F13</f>
        <v>1727848.62</v>
      </c>
      <c r="J13" s="624">
        <v>591098.65</v>
      </c>
      <c r="K13" s="641">
        <f>I13-J13</f>
        <v>1136749.9700000002</v>
      </c>
      <c r="L13" s="611"/>
      <c r="M13" s="340"/>
      <c r="N13" s="340"/>
      <c r="O13" s="340"/>
      <c r="P13" s="340"/>
      <c r="Q13" s="340"/>
      <c r="R13" s="340"/>
      <c r="S13" s="340"/>
      <c r="T13" s="340"/>
      <c r="U13" s="340"/>
      <c r="V13" s="340"/>
      <c r="W13" s="340"/>
      <c r="X13" s="340"/>
      <c r="Y13" s="340"/>
      <c r="Z13" s="340"/>
      <c r="AA13" s="340"/>
      <c r="AB13" s="340"/>
      <c r="AC13" s="340"/>
      <c r="AD13" s="340"/>
      <c r="AE13" s="340"/>
      <c r="AF13" s="340"/>
      <c r="AG13" s="340"/>
      <c r="AH13" s="340"/>
      <c r="AI13" s="340"/>
      <c r="AJ13" s="340"/>
    </row>
    <row r="14" spans="1:36" s="345" customFormat="1" ht="13.8" x14ac:dyDescent="0.25">
      <c r="A14" s="845"/>
      <c r="B14" s="837"/>
      <c r="C14" s="847"/>
      <c r="D14" s="850"/>
      <c r="E14" s="642">
        <v>4</v>
      </c>
      <c r="F14" s="628">
        <v>1624658.88</v>
      </c>
      <c r="G14" s="630" t="s">
        <v>191</v>
      </c>
      <c r="H14" s="642">
        <v>4</v>
      </c>
      <c r="I14" s="643">
        <v>1624658.88</v>
      </c>
      <c r="J14" s="629">
        <v>554629.63</v>
      </c>
      <c r="K14" s="644">
        <f>I14-J14</f>
        <v>1070029.25</v>
      </c>
      <c r="L14" s="612"/>
      <c r="M14" s="340"/>
      <c r="N14" s="340"/>
      <c r="O14" s="340"/>
      <c r="P14" s="340"/>
      <c r="Q14" s="340"/>
      <c r="R14" s="340"/>
      <c r="S14" s="340"/>
      <c r="T14" s="340"/>
      <c r="U14" s="340"/>
      <c r="V14" s="340"/>
      <c r="W14" s="340"/>
      <c r="X14" s="340"/>
      <c r="Y14" s="340"/>
      <c r="Z14" s="340"/>
      <c r="AA14" s="340"/>
      <c r="AB14" s="340"/>
      <c r="AC14" s="340"/>
      <c r="AD14" s="340"/>
      <c r="AE14" s="340"/>
      <c r="AF14" s="340"/>
      <c r="AG14" s="340"/>
      <c r="AH14" s="340"/>
      <c r="AI14" s="340"/>
      <c r="AJ14" s="340"/>
    </row>
    <row r="15" spans="1:36" s="345" customFormat="1" ht="13.8" x14ac:dyDescent="0.25">
      <c r="A15" s="845"/>
      <c r="B15" s="837"/>
      <c r="C15" s="847"/>
      <c r="D15" s="850"/>
      <c r="E15" s="642">
        <v>5</v>
      </c>
      <c r="F15" s="645">
        <v>3749612.99</v>
      </c>
      <c r="G15" s="630" t="s">
        <v>191</v>
      </c>
      <c r="H15" s="642">
        <v>5</v>
      </c>
      <c r="I15" s="643">
        <f>F15</f>
        <v>3749612.99</v>
      </c>
      <c r="J15" s="629">
        <v>1363957.02</v>
      </c>
      <c r="K15" s="644">
        <f>I15-J15</f>
        <v>2385655.9700000002</v>
      </c>
      <c r="L15" s="612"/>
      <c r="M15" s="340"/>
      <c r="N15" s="340"/>
      <c r="O15" s="340"/>
      <c r="P15" s="340"/>
      <c r="Q15" s="340"/>
      <c r="R15" s="340"/>
      <c r="S15" s="340"/>
      <c r="T15" s="340"/>
      <c r="U15" s="340"/>
      <c r="V15" s="340"/>
      <c r="W15" s="340"/>
      <c r="X15" s="340"/>
      <c r="Y15" s="340"/>
      <c r="Z15" s="340"/>
      <c r="AA15" s="340"/>
      <c r="AB15" s="340"/>
      <c r="AC15" s="340"/>
      <c r="AD15" s="340"/>
      <c r="AE15" s="340"/>
      <c r="AF15" s="340"/>
      <c r="AG15" s="340"/>
      <c r="AH15" s="340"/>
      <c r="AI15" s="340"/>
      <c r="AJ15" s="340"/>
    </row>
    <row r="16" spans="1:36" s="345" customFormat="1" ht="13.8" x14ac:dyDescent="0.25">
      <c r="A16" s="845"/>
      <c r="B16" s="837"/>
      <c r="C16" s="847"/>
      <c r="D16" s="850"/>
      <c r="E16" s="627">
        <v>7</v>
      </c>
      <c r="F16" s="628">
        <v>2005376.27</v>
      </c>
      <c r="G16" s="630" t="s">
        <v>191</v>
      </c>
      <c r="H16" s="627">
        <v>7</v>
      </c>
      <c r="I16" s="643">
        <f>F16</f>
        <v>2005376.27</v>
      </c>
      <c r="J16" s="629">
        <v>754584.78</v>
      </c>
      <c r="K16" s="644">
        <f>I16-J16</f>
        <v>1250791.49</v>
      </c>
      <c r="L16" s="612"/>
      <c r="M16" s="340"/>
      <c r="N16" s="340"/>
      <c r="O16" s="340"/>
      <c r="P16" s="340"/>
      <c r="Q16" s="340"/>
      <c r="R16" s="340"/>
      <c r="S16" s="340"/>
      <c r="T16" s="340"/>
      <c r="U16" s="340"/>
      <c r="V16" s="340"/>
      <c r="W16" s="340"/>
      <c r="X16" s="340"/>
      <c r="Y16" s="340"/>
      <c r="Z16" s="340"/>
      <c r="AA16" s="340"/>
      <c r="AB16" s="340"/>
      <c r="AC16" s="340"/>
      <c r="AD16" s="340"/>
      <c r="AE16" s="340"/>
      <c r="AF16" s="340"/>
      <c r="AG16" s="340"/>
      <c r="AH16" s="340"/>
      <c r="AI16" s="340"/>
      <c r="AJ16" s="340"/>
    </row>
    <row r="17" spans="1:36" s="345" customFormat="1" ht="13.8" x14ac:dyDescent="0.25">
      <c r="A17" s="845"/>
      <c r="B17" s="837"/>
      <c r="C17" s="847"/>
      <c r="D17" s="850"/>
      <c r="E17" s="627">
        <v>9</v>
      </c>
      <c r="F17" s="628">
        <v>69765.179999999993</v>
      </c>
      <c r="G17" s="630" t="s">
        <v>191</v>
      </c>
      <c r="H17" s="627">
        <v>9</v>
      </c>
      <c r="I17" s="643">
        <v>69765.179999999993</v>
      </c>
      <c r="J17" s="629">
        <f t="shared" ref="J17:J24" si="0">I17-K17</f>
        <v>46304.599999999991</v>
      </c>
      <c r="K17" s="644">
        <v>23460.58</v>
      </c>
      <c r="L17" s="612"/>
      <c r="M17" s="340"/>
      <c r="N17" s="340"/>
      <c r="O17" s="340"/>
      <c r="P17" s="340"/>
      <c r="Q17" s="340"/>
      <c r="R17" s="340"/>
      <c r="S17" s="340"/>
      <c r="T17" s="340"/>
      <c r="U17" s="340"/>
      <c r="V17" s="340"/>
      <c r="W17" s="340"/>
      <c r="X17" s="340"/>
      <c r="Y17" s="340"/>
      <c r="Z17" s="340"/>
      <c r="AA17" s="340"/>
      <c r="AB17" s="340"/>
      <c r="AC17" s="340"/>
      <c r="AD17" s="340"/>
      <c r="AE17" s="340"/>
      <c r="AF17" s="340"/>
      <c r="AG17" s="340"/>
      <c r="AH17" s="340"/>
      <c r="AI17" s="340"/>
      <c r="AJ17" s="340"/>
    </row>
    <row r="18" spans="1:36" s="345" customFormat="1" ht="13.2" x14ac:dyDescent="0.25">
      <c r="A18" s="845"/>
      <c r="B18" s="837"/>
      <c r="C18" s="847"/>
      <c r="D18" s="850"/>
      <c r="E18" s="627">
        <v>10</v>
      </c>
      <c r="F18" s="628">
        <v>2279032.85</v>
      </c>
      <c r="G18" s="629" t="s">
        <v>191</v>
      </c>
      <c r="H18" s="627">
        <v>10</v>
      </c>
      <c r="I18" s="646">
        <v>2279032.85</v>
      </c>
      <c r="J18" s="629">
        <f t="shared" si="0"/>
        <v>782671.01</v>
      </c>
      <c r="K18" s="644">
        <v>1496361.84</v>
      </c>
      <c r="L18" s="612"/>
      <c r="M18" s="340"/>
      <c r="N18" s="340"/>
      <c r="O18" s="340"/>
      <c r="P18" s="340"/>
      <c r="Q18" s="340"/>
      <c r="R18" s="340"/>
      <c r="S18" s="340"/>
      <c r="T18" s="340"/>
      <c r="U18" s="340"/>
      <c r="V18" s="340"/>
      <c r="W18" s="340"/>
      <c r="X18" s="340"/>
      <c r="Y18" s="340"/>
      <c r="Z18" s="340"/>
      <c r="AA18" s="340"/>
      <c r="AB18" s="340"/>
      <c r="AC18" s="340"/>
      <c r="AD18" s="340"/>
      <c r="AE18" s="340"/>
      <c r="AF18" s="340"/>
      <c r="AG18" s="340"/>
      <c r="AH18" s="340"/>
      <c r="AI18" s="340"/>
      <c r="AJ18" s="340"/>
    </row>
    <row r="19" spans="1:36" s="345" customFormat="1" ht="13.2" x14ac:dyDescent="0.25">
      <c r="A19" s="845"/>
      <c r="B19" s="837"/>
      <c r="C19" s="847"/>
      <c r="D19" s="850"/>
      <c r="E19" s="627">
        <v>12</v>
      </c>
      <c r="F19" s="628">
        <v>1660579.03</v>
      </c>
      <c r="G19" s="647" t="s">
        <v>191</v>
      </c>
      <c r="H19" s="627">
        <v>12</v>
      </c>
      <c r="I19" s="646">
        <f t="shared" ref="I19:I46" si="1">F19</f>
        <v>1660579.03</v>
      </c>
      <c r="J19" s="629">
        <f t="shared" si="0"/>
        <v>413252.53</v>
      </c>
      <c r="K19" s="648">
        <f>1039438.75*1.2</f>
        <v>1247326.5</v>
      </c>
      <c r="L19" s="612"/>
      <c r="M19" s="340"/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40"/>
      <c r="AA19" s="340"/>
      <c r="AB19" s="340"/>
      <c r="AC19" s="340"/>
      <c r="AD19" s="340"/>
      <c r="AE19" s="340"/>
      <c r="AF19" s="340"/>
      <c r="AG19" s="340"/>
      <c r="AH19" s="340"/>
      <c r="AI19" s="340"/>
      <c r="AJ19" s="340"/>
    </row>
    <row r="20" spans="1:36" s="345" customFormat="1" ht="13.2" x14ac:dyDescent="0.25">
      <c r="A20" s="845"/>
      <c r="B20" s="837"/>
      <c r="C20" s="847"/>
      <c r="D20" s="850"/>
      <c r="E20" s="627">
        <v>13</v>
      </c>
      <c r="F20" s="628">
        <v>2493224.0499999998</v>
      </c>
      <c r="G20" s="647" t="s">
        <v>191</v>
      </c>
      <c r="H20" s="627">
        <v>13</v>
      </c>
      <c r="I20" s="646">
        <f t="shared" si="1"/>
        <v>2493224.0499999998</v>
      </c>
      <c r="J20" s="629">
        <f t="shared" si="0"/>
        <v>670807.69999999972</v>
      </c>
      <c r="K20" s="644">
        <v>1822416.35</v>
      </c>
      <c r="L20" s="612"/>
      <c r="M20" s="340"/>
      <c r="N20" s="340"/>
      <c r="O20" s="340"/>
      <c r="P20" s="340"/>
      <c r="Q20" s="340"/>
      <c r="R20" s="340"/>
      <c r="S20" s="340"/>
      <c r="T20" s="340"/>
      <c r="U20" s="340"/>
      <c r="V20" s="340"/>
      <c r="W20" s="340"/>
      <c r="X20" s="340"/>
      <c r="Y20" s="340"/>
      <c r="Z20" s="340"/>
      <c r="AA20" s="340"/>
      <c r="AB20" s="340"/>
      <c r="AC20" s="340"/>
      <c r="AD20" s="340"/>
      <c r="AE20" s="340"/>
      <c r="AF20" s="340"/>
      <c r="AG20" s="340"/>
      <c r="AH20" s="340"/>
      <c r="AI20" s="340"/>
      <c r="AJ20" s="340"/>
    </row>
    <row r="21" spans="1:36" s="345" customFormat="1" ht="13.8" thickBot="1" x14ac:dyDescent="0.3">
      <c r="A21" s="845"/>
      <c r="B21" s="837"/>
      <c r="C21" s="847"/>
      <c r="D21" s="850"/>
      <c r="E21" s="649">
        <v>14</v>
      </c>
      <c r="F21" s="628">
        <v>3270399.41</v>
      </c>
      <c r="G21" s="647" t="s">
        <v>191</v>
      </c>
      <c r="H21" s="649">
        <v>14</v>
      </c>
      <c r="I21" s="650">
        <f t="shared" si="1"/>
        <v>3270399.41</v>
      </c>
      <c r="J21" s="629">
        <f t="shared" si="0"/>
        <v>1331652.8700000001</v>
      </c>
      <c r="K21" s="644">
        <v>1938746.54</v>
      </c>
      <c r="L21" s="612"/>
      <c r="M21" s="340"/>
      <c r="N21" s="340"/>
      <c r="O21" s="340"/>
      <c r="P21" s="340"/>
      <c r="Q21" s="340"/>
      <c r="R21" s="340"/>
      <c r="S21" s="340"/>
      <c r="T21" s="340"/>
      <c r="U21" s="340"/>
      <c r="V21" s="340"/>
      <c r="W21" s="340"/>
      <c r="X21" s="340"/>
      <c r="Y21" s="340"/>
      <c r="Z21" s="340"/>
      <c r="AA21" s="340"/>
      <c r="AB21" s="340"/>
      <c r="AC21" s="340"/>
      <c r="AD21" s="340"/>
      <c r="AE21" s="340"/>
      <c r="AF21" s="340"/>
      <c r="AG21" s="340"/>
      <c r="AH21" s="340"/>
      <c r="AI21" s="340"/>
      <c r="AJ21" s="340"/>
    </row>
    <row r="22" spans="1:36" s="345" customFormat="1" ht="13.8" thickBot="1" x14ac:dyDescent="0.3">
      <c r="A22" s="845"/>
      <c r="B22" s="837"/>
      <c r="C22" s="847"/>
      <c r="D22" s="850"/>
      <c r="E22" s="649">
        <v>15</v>
      </c>
      <c r="F22" s="628">
        <v>118627.25</v>
      </c>
      <c r="G22" s="647" t="s">
        <v>191</v>
      </c>
      <c r="H22" s="649">
        <v>15</v>
      </c>
      <c r="I22" s="650">
        <f t="shared" si="1"/>
        <v>118627.25</v>
      </c>
      <c r="J22" s="629">
        <f t="shared" si="0"/>
        <v>54300.18</v>
      </c>
      <c r="K22" s="644">
        <v>64327.07</v>
      </c>
      <c r="L22" s="612"/>
      <c r="M22" s="340"/>
      <c r="N22" s="605"/>
      <c r="O22" s="340"/>
      <c r="P22" s="340"/>
      <c r="Q22" s="340"/>
      <c r="R22" s="340"/>
      <c r="S22" s="340"/>
      <c r="T22" s="340"/>
      <c r="U22" s="340"/>
      <c r="V22" s="340"/>
      <c r="W22" s="340"/>
      <c r="X22" s="340"/>
      <c r="Y22" s="340"/>
      <c r="Z22" s="340"/>
      <c r="AA22" s="340"/>
      <c r="AB22" s="340"/>
      <c r="AC22" s="340"/>
      <c r="AD22" s="340"/>
      <c r="AE22" s="340"/>
      <c r="AF22" s="340"/>
      <c r="AG22" s="340"/>
      <c r="AH22" s="340"/>
      <c r="AI22" s="340"/>
      <c r="AJ22" s="340"/>
    </row>
    <row r="23" spans="1:36" s="345" customFormat="1" ht="13.2" x14ac:dyDescent="0.25">
      <c r="A23" s="845"/>
      <c r="B23" s="837"/>
      <c r="C23" s="847"/>
      <c r="D23" s="850"/>
      <c r="E23" s="651">
        <v>16</v>
      </c>
      <c r="F23" s="628">
        <v>140758.31</v>
      </c>
      <c r="G23" s="647" t="s">
        <v>191</v>
      </c>
      <c r="H23" s="651">
        <v>16</v>
      </c>
      <c r="I23" s="646">
        <f t="shared" si="1"/>
        <v>140758.31</v>
      </c>
      <c r="J23" s="629">
        <f t="shared" si="0"/>
        <v>75375.73</v>
      </c>
      <c r="K23" s="644">
        <v>65382.58</v>
      </c>
      <c r="L23" s="612"/>
      <c r="M23" s="340"/>
      <c r="N23" s="340"/>
      <c r="O23" s="340"/>
      <c r="P23" s="340"/>
      <c r="Q23" s="340"/>
      <c r="R23" s="340"/>
      <c r="S23" s="340"/>
      <c r="T23" s="340"/>
      <c r="U23" s="340"/>
      <c r="V23" s="340"/>
      <c r="W23" s="340"/>
      <c r="X23" s="340"/>
      <c r="Y23" s="340"/>
      <c r="Z23" s="340"/>
      <c r="AA23" s="340"/>
      <c r="AB23" s="340"/>
      <c r="AC23" s="340"/>
      <c r="AD23" s="340"/>
      <c r="AE23" s="340"/>
      <c r="AF23" s="340"/>
      <c r="AG23" s="340"/>
      <c r="AH23" s="340"/>
      <c r="AI23" s="340"/>
      <c r="AJ23" s="340"/>
    </row>
    <row r="24" spans="1:36" s="345" customFormat="1" ht="13.2" x14ac:dyDescent="0.25">
      <c r="A24" s="845"/>
      <c r="B24" s="837"/>
      <c r="C24" s="847"/>
      <c r="D24" s="850"/>
      <c r="E24" s="651">
        <v>17</v>
      </c>
      <c r="F24" s="628">
        <v>1287044.8600000001</v>
      </c>
      <c r="G24" s="647" t="s">
        <v>191</v>
      </c>
      <c r="H24" s="651">
        <v>17</v>
      </c>
      <c r="I24" s="646">
        <f t="shared" si="1"/>
        <v>1287044.8600000001</v>
      </c>
      <c r="J24" s="629">
        <f t="shared" si="0"/>
        <v>629179.07000000007</v>
      </c>
      <c r="K24" s="644">
        <v>657865.79</v>
      </c>
      <c r="L24" s="612"/>
      <c r="M24" s="340"/>
      <c r="N24" s="340"/>
      <c r="O24" s="340"/>
      <c r="P24" s="340"/>
      <c r="Q24" s="340"/>
      <c r="R24" s="340"/>
      <c r="S24" s="340"/>
      <c r="T24" s="340"/>
      <c r="U24" s="340"/>
      <c r="V24" s="340"/>
      <c r="W24" s="340"/>
      <c r="X24" s="340"/>
      <c r="Y24" s="340"/>
      <c r="Z24" s="340"/>
      <c r="AA24" s="340"/>
      <c r="AB24" s="340"/>
      <c r="AC24" s="340"/>
      <c r="AD24" s="340"/>
      <c r="AE24" s="340"/>
      <c r="AF24" s="340"/>
      <c r="AG24" s="340"/>
      <c r="AH24" s="340"/>
      <c r="AI24" s="340"/>
      <c r="AJ24" s="340"/>
    </row>
    <row r="25" spans="1:36" s="345" customFormat="1" ht="13.2" x14ac:dyDescent="0.25">
      <c r="A25" s="845"/>
      <c r="B25" s="837"/>
      <c r="C25" s="847"/>
      <c r="D25" s="850"/>
      <c r="E25" s="651">
        <v>18</v>
      </c>
      <c r="F25" s="645">
        <v>609343.34</v>
      </c>
      <c r="G25" s="647" t="s">
        <v>191</v>
      </c>
      <c r="H25" s="651">
        <v>18</v>
      </c>
      <c r="I25" s="646">
        <f t="shared" si="1"/>
        <v>609343.34</v>
      </c>
      <c r="J25" s="629">
        <f t="shared" ref="J25:J31" si="2">I25-K25</f>
        <v>197687.83999999997</v>
      </c>
      <c r="K25" s="644">
        <v>411655.5</v>
      </c>
      <c r="L25" s="612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Y25" s="340"/>
      <c r="Z25" s="340"/>
      <c r="AA25" s="340"/>
      <c r="AB25" s="340"/>
      <c r="AC25" s="340"/>
      <c r="AD25" s="340"/>
      <c r="AE25" s="340"/>
      <c r="AF25" s="340"/>
      <c r="AG25" s="340"/>
      <c r="AH25" s="340"/>
      <c r="AI25" s="340"/>
      <c r="AJ25" s="340"/>
    </row>
    <row r="26" spans="1:36" s="345" customFormat="1" ht="13.2" x14ac:dyDescent="0.25">
      <c r="A26" s="845"/>
      <c r="B26" s="837"/>
      <c r="C26" s="848"/>
      <c r="D26" s="850"/>
      <c r="E26" s="651">
        <v>19</v>
      </c>
      <c r="F26" s="628">
        <v>753745</v>
      </c>
      <c r="G26" s="647" t="s">
        <v>191</v>
      </c>
      <c r="H26" s="651">
        <v>19</v>
      </c>
      <c r="I26" s="652">
        <f t="shared" si="1"/>
        <v>753745</v>
      </c>
      <c r="J26" s="629">
        <f t="shared" si="2"/>
        <v>259424.5</v>
      </c>
      <c r="K26" s="644">
        <v>494320.5</v>
      </c>
      <c r="L26" s="612"/>
      <c r="M26" s="340"/>
      <c r="N26" s="340"/>
      <c r="O26" s="340"/>
      <c r="P26" s="340"/>
      <c r="Q26" s="340"/>
      <c r="R26" s="340"/>
      <c r="S26" s="340"/>
      <c r="T26" s="340"/>
      <c r="U26" s="340"/>
      <c r="V26" s="340"/>
      <c r="W26" s="340"/>
      <c r="X26" s="340"/>
      <c r="Y26" s="340"/>
      <c r="Z26" s="340"/>
      <c r="AA26" s="340"/>
      <c r="AB26" s="340"/>
      <c r="AC26" s="340"/>
      <c r="AD26" s="340"/>
      <c r="AE26" s="340"/>
      <c r="AF26" s="340"/>
      <c r="AG26" s="340"/>
      <c r="AH26" s="340"/>
      <c r="AI26" s="340"/>
      <c r="AJ26" s="340"/>
    </row>
    <row r="27" spans="1:36" s="345" customFormat="1" ht="13.2" x14ac:dyDescent="0.25">
      <c r="A27" s="845"/>
      <c r="B27" s="837"/>
      <c r="C27" s="848"/>
      <c r="D27" s="850"/>
      <c r="E27" s="627">
        <v>20</v>
      </c>
      <c r="F27" s="628">
        <v>16538270.630000001</v>
      </c>
      <c r="G27" s="629" t="s">
        <v>191</v>
      </c>
      <c r="H27" s="653">
        <v>20</v>
      </c>
      <c r="I27" s="647">
        <f t="shared" si="1"/>
        <v>16538270.630000001</v>
      </c>
      <c r="J27" s="629">
        <f t="shared" si="2"/>
        <v>5351713.7200000007</v>
      </c>
      <c r="K27" s="644">
        <v>11186556.91</v>
      </c>
      <c r="L27" s="612"/>
      <c r="M27" s="340"/>
      <c r="N27" s="340"/>
      <c r="O27" s="340"/>
      <c r="P27" s="340"/>
      <c r="Q27" s="340"/>
      <c r="R27" s="340"/>
      <c r="S27" s="340"/>
      <c r="T27" s="340"/>
      <c r="U27" s="340"/>
      <c r="V27" s="340"/>
      <c r="W27" s="340"/>
      <c r="X27" s="340"/>
      <c r="Y27" s="340"/>
      <c r="Z27" s="340"/>
      <c r="AA27" s="340"/>
      <c r="AB27" s="340"/>
      <c r="AC27" s="340"/>
      <c r="AD27" s="340"/>
      <c r="AE27" s="340"/>
      <c r="AF27" s="340"/>
      <c r="AG27" s="340"/>
      <c r="AH27" s="340"/>
      <c r="AI27" s="340"/>
      <c r="AJ27" s="340"/>
    </row>
    <row r="28" spans="1:36" s="345" customFormat="1" ht="15.6" x14ac:dyDescent="0.25">
      <c r="A28" s="626"/>
      <c r="B28" s="722"/>
      <c r="C28" s="723"/>
      <c r="D28" s="724"/>
      <c r="E28" s="732">
        <v>21</v>
      </c>
      <c r="F28" s="733">
        <v>4337508.26</v>
      </c>
      <c r="G28" s="735" t="s">
        <v>191</v>
      </c>
      <c r="H28" s="734">
        <v>21</v>
      </c>
      <c r="I28" s="735">
        <f>F28</f>
        <v>4337508.26</v>
      </c>
      <c r="J28" s="735">
        <f t="shared" si="2"/>
        <v>1978438.7999999998</v>
      </c>
      <c r="K28" s="736">
        <v>2359069.46</v>
      </c>
      <c r="L28" s="731"/>
      <c r="M28" s="340"/>
      <c r="N28" s="340"/>
      <c r="O28" s="340"/>
      <c r="P28" s="340"/>
      <c r="Q28" s="340"/>
      <c r="R28" s="340"/>
      <c r="S28" s="340"/>
      <c r="T28" s="340"/>
      <c r="U28" s="340"/>
      <c r="V28" s="340"/>
      <c r="W28" s="340"/>
      <c r="X28" s="340"/>
      <c r="Y28" s="340"/>
      <c r="Z28" s="340"/>
      <c r="AA28" s="340"/>
      <c r="AB28" s="340"/>
      <c r="AC28" s="340"/>
      <c r="AD28" s="340"/>
      <c r="AE28" s="340"/>
      <c r="AF28" s="340"/>
      <c r="AG28" s="340"/>
      <c r="AH28" s="340"/>
      <c r="AI28" s="340"/>
      <c r="AJ28" s="340"/>
    </row>
    <row r="29" spans="1:36" s="345" customFormat="1" ht="15.6" x14ac:dyDescent="0.25">
      <c r="A29" s="626"/>
      <c r="B29" s="722"/>
      <c r="C29" s="723"/>
      <c r="D29" s="724"/>
      <c r="E29" s="732">
        <v>22</v>
      </c>
      <c r="F29" s="733">
        <v>385970.59</v>
      </c>
      <c r="G29" s="735" t="s">
        <v>191</v>
      </c>
      <c r="H29" s="734">
        <v>22</v>
      </c>
      <c r="I29" s="735">
        <f t="shared" ref="I29" si="3">F29</f>
        <v>385970.59</v>
      </c>
      <c r="J29" s="735">
        <f t="shared" si="2"/>
        <v>139764.51400000002</v>
      </c>
      <c r="K29" s="736">
        <v>246206.076</v>
      </c>
      <c r="L29" s="731"/>
      <c r="M29" s="340"/>
      <c r="N29" s="340"/>
      <c r="O29" s="340"/>
      <c r="P29" s="340"/>
      <c r="Q29" s="340"/>
      <c r="R29" s="340"/>
      <c r="S29" s="340"/>
      <c r="T29" s="340"/>
      <c r="U29" s="340"/>
      <c r="V29" s="340"/>
      <c r="W29" s="340"/>
      <c r="X29" s="340"/>
      <c r="Y29" s="340"/>
      <c r="Z29" s="340"/>
      <c r="AA29" s="340"/>
      <c r="AB29" s="340"/>
      <c r="AC29" s="340"/>
      <c r="AD29" s="340"/>
      <c r="AE29" s="340"/>
      <c r="AF29" s="340"/>
      <c r="AG29" s="340"/>
      <c r="AH29" s="340"/>
      <c r="AI29" s="340"/>
      <c r="AJ29" s="340"/>
    </row>
    <row r="30" spans="1:36" s="345" customFormat="1" ht="15.6" x14ac:dyDescent="0.25">
      <c r="A30" s="626"/>
      <c r="B30" s="722"/>
      <c r="C30" s="723"/>
      <c r="D30" s="724"/>
      <c r="E30" s="627">
        <v>23</v>
      </c>
      <c r="F30" s="628">
        <v>161785.29999999999</v>
      </c>
      <c r="G30" s="629" t="s">
        <v>191</v>
      </c>
      <c r="H30" s="653">
        <v>23</v>
      </c>
      <c r="I30" s="629">
        <f>F30</f>
        <v>161785.29999999999</v>
      </c>
      <c r="J30" s="629">
        <f t="shared" si="2"/>
        <v>47278.799999999988</v>
      </c>
      <c r="K30" s="629">
        <v>114506.5</v>
      </c>
      <c r="L30" s="731"/>
      <c r="M30" s="340"/>
      <c r="N30" s="340"/>
      <c r="O30" s="340"/>
      <c r="P30" s="340"/>
      <c r="Q30" s="340"/>
      <c r="R30" s="340"/>
      <c r="S30" s="340"/>
      <c r="T30" s="340"/>
      <c r="U30" s="340"/>
      <c r="V30" s="340"/>
      <c r="W30" s="340"/>
      <c r="X30" s="340"/>
      <c r="Y30" s="340"/>
      <c r="Z30" s="340"/>
      <c r="AA30" s="340"/>
      <c r="AB30" s="340"/>
      <c r="AC30" s="340"/>
      <c r="AD30" s="340"/>
      <c r="AE30" s="340"/>
      <c r="AF30" s="340"/>
      <c r="AG30" s="340"/>
      <c r="AH30" s="340"/>
      <c r="AI30" s="340"/>
      <c r="AJ30" s="340"/>
    </row>
    <row r="31" spans="1:36" s="345" customFormat="1" ht="15.6" x14ac:dyDescent="0.25">
      <c r="A31" s="626"/>
      <c r="B31" s="722"/>
      <c r="C31" s="723"/>
      <c r="D31" s="724"/>
      <c r="E31" s="732">
        <v>24</v>
      </c>
      <c r="F31" s="733">
        <v>934814.87</v>
      </c>
      <c r="G31" s="629" t="s">
        <v>191</v>
      </c>
      <c r="H31" s="734">
        <v>24</v>
      </c>
      <c r="I31" s="735">
        <f>F31</f>
        <v>934814.87</v>
      </c>
      <c r="J31" s="735">
        <f t="shared" si="2"/>
        <v>275181.30000000005</v>
      </c>
      <c r="K31" s="736">
        <v>659633.56999999995</v>
      </c>
      <c r="L31" s="731"/>
      <c r="M31" s="340"/>
      <c r="N31" s="340"/>
      <c r="O31" s="340"/>
      <c r="P31" s="340"/>
      <c r="Q31" s="340"/>
      <c r="R31" s="340"/>
      <c r="S31" s="340"/>
      <c r="T31" s="340"/>
      <c r="U31" s="340"/>
      <c r="V31" s="340"/>
      <c r="W31" s="340"/>
      <c r="X31" s="340"/>
      <c r="Y31" s="340"/>
      <c r="Z31" s="340"/>
      <c r="AA31" s="340"/>
      <c r="AB31" s="340"/>
      <c r="AC31" s="340"/>
      <c r="AD31" s="340"/>
      <c r="AE31" s="340"/>
      <c r="AF31" s="340"/>
      <c r="AG31" s="340"/>
      <c r="AH31" s="340"/>
      <c r="AI31" s="340"/>
      <c r="AJ31" s="340"/>
    </row>
    <row r="32" spans="1:36" s="345" customFormat="1" ht="15.6" x14ac:dyDescent="0.25">
      <c r="A32" s="626"/>
      <c r="B32" s="722"/>
      <c r="C32" s="723"/>
      <c r="D32" s="724"/>
      <c r="E32" s="732">
        <v>25</v>
      </c>
      <c r="F32" s="733">
        <v>813895.61</v>
      </c>
      <c r="G32" s="629" t="s">
        <v>191</v>
      </c>
      <c r="H32" s="734">
        <v>25</v>
      </c>
      <c r="I32" s="735">
        <f>F32</f>
        <v>813895.61</v>
      </c>
      <c r="J32" s="735">
        <f>I32</f>
        <v>813895.61</v>
      </c>
      <c r="K32" s="680"/>
      <c r="L32" s="731"/>
      <c r="M32" s="340"/>
      <c r="N32" s="340"/>
      <c r="O32" s="340"/>
      <c r="P32" s="340"/>
      <c r="Q32" s="340"/>
      <c r="R32" s="340"/>
      <c r="S32" s="340"/>
      <c r="T32" s="340"/>
      <c r="U32" s="340"/>
      <c r="V32" s="340"/>
      <c r="W32" s="340"/>
      <c r="X32" s="340"/>
      <c r="Y32" s="340"/>
      <c r="Z32" s="340"/>
      <c r="AA32" s="340"/>
      <c r="AB32" s="340"/>
      <c r="AC32" s="340"/>
      <c r="AD32" s="340"/>
      <c r="AE32" s="340"/>
      <c r="AF32" s="340"/>
      <c r="AG32" s="340"/>
      <c r="AH32" s="340"/>
      <c r="AI32" s="340"/>
      <c r="AJ32" s="340"/>
    </row>
    <row r="33" spans="1:36" s="345" customFormat="1" ht="15.6" x14ac:dyDescent="0.25">
      <c r="A33" s="626"/>
      <c r="B33" s="722"/>
      <c r="C33" s="723"/>
      <c r="D33" s="748"/>
      <c r="E33" s="658">
        <v>26</v>
      </c>
      <c r="F33" s="659">
        <v>3653977.8</v>
      </c>
      <c r="G33" s="660" t="s">
        <v>244</v>
      </c>
      <c r="H33" s="753">
        <v>26</v>
      </c>
      <c r="I33" s="679">
        <f>F33</f>
        <v>3653977.8</v>
      </c>
      <c r="J33" s="660">
        <f>I33-K33</f>
        <v>1577970.0199999998</v>
      </c>
      <c r="K33" s="662">
        <v>2076007.78</v>
      </c>
      <c r="L33" s="725">
        <v>45413</v>
      </c>
      <c r="M33" s="340" t="s">
        <v>245</v>
      </c>
      <c r="N33" s="340"/>
      <c r="O33" s="340"/>
      <c r="P33" s="340"/>
      <c r="Q33" s="340"/>
      <c r="R33" s="340"/>
      <c r="S33" s="340"/>
      <c r="T33" s="340"/>
      <c r="U33" s="340"/>
      <c r="V33" s="340"/>
      <c r="W33" s="340"/>
      <c r="X33" s="340"/>
      <c r="Y33" s="340"/>
      <c r="Z33" s="340"/>
      <c r="AA33" s="340"/>
      <c r="AB33" s="340"/>
      <c r="AC33" s="340"/>
      <c r="AD33" s="340"/>
      <c r="AE33" s="340"/>
      <c r="AF33" s="340"/>
      <c r="AG33" s="340"/>
      <c r="AH33" s="340"/>
      <c r="AI33" s="340"/>
      <c r="AJ33" s="340"/>
    </row>
    <row r="34" spans="1:36" s="345" customFormat="1" ht="15.6" x14ac:dyDescent="0.25">
      <c r="A34" s="626"/>
      <c r="B34" s="722"/>
      <c r="C34" s="723"/>
      <c r="D34" s="724"/>
      <c r="E34" s="658">
        <v>27</v>
      </c>
      <c r="F34" s="659">
        <v>105069.23</v>
      </c>
      <c r="G34" s="660" t="s">
        <v>244</v>
      </c>
      <c r="H34" s="661">
        <v>27</v>
      </c>
      <c r="I34" s="660">
        <f>F34</f>
        <v>105069.23</v>
      </c>
      <c r="J34" s="660">
        <f>I34-K34</f>
        <v>48094.119999999995</v>
      </c>
      <c r="K34" s="662">
        <v>56975.11</v>
      </c>
      <c r="L34" s="754" t="s">
        <v>253</v>
      </c>
      <c r="M34" s="340"/>
      <c r="N34" s="340"/>
      <c r="O34" s="340"/>
      <c r="P34" s="340"/>
      <c r="Q34" s="340"/>
      <c r="R34" s="340"/>
      <c r="S34" s="340"/>
      <c r="T34" s="340"/>
      <c r="U34" s="340"/>
      <c r="V34" s="340"/>
      <c r="W34" s="340"/>
      <c r="X34" s="340"/>
      <c r="Y34" s="340"/>
      <c r="Z34" s="340"/>
      <c r="AA34" s="340"/>
      <c r="AB34" s="340"/>
      <c r="AC34" s="340"/>
      <c r="AD34" s="340"/>
      <c r="AE34" s="340"/>
      <c r="AF34" s="340"/>
      <c r="AG34" s="340"/>
      <c r="AH34" s="340"/>
      <c r="AI34" s="340"/>
      <c r="AJ34" s="340"/>
    </row>
    <row r="35" spans="1:36" s="345" customFormat="1" ht="15.6" x14ac:dyDescent="0.25">
      <c r="A35" s="626"/>
      <c r="B35" s="722"/>
      <c r="C35" s="723"/>
      <c r="D35" s="724"/>
      <c r="E35" s="658"/>
      <c r="F35" s="659"/>
      <c r="G35" s="660"/>
      <c r="H35" s="661"/>
      <c r="I35" s="660"/>
      <c r="J35" s="660"/>
      <c r="K35" s="662"/>
      <c r="L35" s="743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Y35" s="340"/>
      <c r="Z35" s="340"/>
      <c r="AA35" s="340"/>
      <c r="AB35" s="340"/>
      <c r="AC35" s="340"/>
      <c r="AD35" s="340"/>
      <c r="AE35" s="340"/>
      <c r="AF35" s="340"/>
      <c r="AG35" s="340"/>
      <c r="AH35" s="340"/>
      <c r="AI35" s="340"/>
      <c r="AJ35" s="340"/>
    </row>
    <row r="36" spans="1:36" s="345" customFormat="1" ht="16.2" thickBot="1" x14ac:dyDescent="0.3">
      <c r="A36" s="626"/>
      <c r="B36" s="722"/>
      <c r="C36" s="723"/>
      <c r="D36" s="724"/>
      <c r="E36" s="749"/>
      <c r="F36" s="750"/>
      <c r="G36" s="741"/>
      <c r="H36" s="751"/>
      <c r="I36" s="752"/>
      <c r="J36" s="752"/>
      <c r="K36" s="742"/>
      <c r="L36" s="743"/>
      <c r="M36" s="340"/>
      <c r="N36" s="340"/>
      <c r="O36" s="340"/>
      <c r="P36" s="340"/>
      <c r="Q36" s="340"/>
      <c r="R36" s="340"/>
      <c r="S36" s="340"/>
      <c r="T36" s="340"/>
      <c r="U36" s="340"/>
      <c r="V36" s="340"/>
      <c r="W36" s="340"/>
      <c r="X36" s="340"/>
      <c r="Y36" s="340"/>
      <c r="Z36" s="340"/>
      <c r="AA36" s="340"/>
      <c r="AB36" s="340"/>
      <c r="AC36" s="340"/>
      <c r="AD36" s="340"/>
      <c r="AE36" s="340"/>
      <c r="AF36" s="340"/>
      <c r="AG36" s="340"/>
      <c r="AH36" s="340"/>
      <c r="AI36" s="340"/>
      <c r="AJ36" s="340"/>
    </row>
    <row r="37" spans="1:36" s="345" customFormat="1" ht="15.6" customHeight="1" x14ac:dyDescent="0.25">
      <c r="A37" s="740"/>
      <c r="B37" s="836" t="s">
        <v>204</v>
      </c>
      <c r="C37" s="853" t="s">
        <v>69</v>
      </c>
      <c r="D37" s="856">
        <v>1479619.45</v>
      </c>
      <c r="E37" s="620">
        <v>1</v>
      </c>
      <c r="F37" s="621">
        <v>522833.08</v>
      </c>
      <c r="G37" s="726" t="s">
        <v>191</v>
      </c>
      <c r="H37" s="655">
        <v>1</v>
      </c>
      <c r="I37" s="656">
        <v>522833.08</v>
      </c>
      <c r="J37" s="624">
        <f t="shared" ref="J37:J42" si="4">I37-K37</f>
        <v>517153.16000000003</v>
      </c>
      <c r="K37" s="641">
        <v>5679.92</v>
      </c>
      <c r="L37" s="611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Y37" s="340"/>
      <c r="Z37" s="340"/>
      <c r="AA37" s="340"/>
      <c r="AB37" s="340"/>
      <c r="AC37" s="340"/>
      <c r="AD37" s="340"/>
      <c r="AE37" s="340"/>
      <c r="AF37" s="340"/>
      <c r="AG37" s="340"/>
      <c r="AH37" s="340"/>
      <c r="AI37" s="340"/>
      <c r="AJ37" s="340"/>
    </row>
    <row r="38" spans="1:36" s="345" customFormat="1" ht="15.6" customHeight="1" x14ac:dyDescent="0.25">
      <c r="A38" s="626"/>
      <c r="B38" s="837"/>
      <c r="C38" s="854"/>
      <c r="D38" s="857"/>
      <c r="E38" s="627">
        <v>2</v>
      </c>
      <c r="F38" s="628">
        <v>295471.78000000003</v>
      </c>
      <c r="G38" s="629" t="s">
        <v>191</v>
      </c>
      <c r="H38" s="653">
        <v>2</v>
      </c>
      <c r="I38" s="647">
        <v>295471.78000000003</v>
      </c>
      <c r="J38" s="629">
        <f t="shared" si="4"/>
        <v>292646.76</v>
      </c>
      <c r="K38" s="644">
        <v>2825.02</v>
      </c>
      <c r="L38" s="612"/>
      <c r="M38" s="340"/>
      <c r="N38" s="340"/>
      <c r="O38" s="340"/>
      <c r="P38" s="340"/>
      <c r="Q38" s="340"/>
      <c r="R38" s="340"/>
      <c r="S38" s="340"/>
      <c r="T38" s="340"/>
      <c r="U38" s="340"/>
      <c r="V38" s="340"/>
      <c r="W38" s="340"/>
      <c r="X38" s="340"/>
      <c r="Y38" s="340"/>
      <c r="Z38" s="340"/>
      <c r="AA38" s="340"/>
      <c r="AB38" s="340"/>
      <c r="AC38" s="340"/>
      <c r="AD38" s="340"/>
      <c r="AE38" s="340"/>
      <c r="AF38" s="340"/>
      <c r="AG38" s="340"/>
      <c r="AH38" s="340"/>
      <c r="AI38" s="340"/>
      <c r="AJ38" s="340"/>
    </row>
    <row r="39" spans="1:36" s="345" customFormat="1" ht="15.6" customHeight="1" x14ac:dyDescent="0.25">
      <c r="A39" s="626">
        <v>3</v>
      </c>
      <c r="B39" s="837"/>
      <c r="C39" s="854"/>
      <c r="D39" s="857"/>
      <c r="E39" s="627">
        <v>3</v>
      </c>
      <c r="F39" s="628">
        <v>246436.9</v>
      </c>
      <c r="G39" s="629" t="s">
        <v>191</v>
      </c>
      <c r="H39" s="653">
        <v>3</v>
      </c>
      <c r="I39" s="647">
        <v>246436.9</v>
      </c>
      <c r="J39" s="629">
        <f t="shared" si="4"/>
        <v>246436.9</v>
      </c>
      <c r="K39" s="644"/>
      <c r="L39" s="612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Y39" s="340"/>
      <c r="Z39" s="340"/>
      <c r="AA39" s="340"/>
      <c r="AB39" s="340"/>
      <c r="AC39" s="340"/>
      <c r="AD39" s="340"/>
      <c r="AE39" s="340"/>
      <c r="AF39" s="340"/>
      <c r="AG39" s="340"/>
      <c r="AH39" s="340"/>
      <c r="AI39" s="340"/>
      <c r="AJ39" s="340"/>
    </row>
    <row r="40" spans="1:36" s="345" customFormat="1" ht="13.2" customHeight="1" x14ac:dyDescent="0.25">
      <c r="A40" s="626"/>
      <c r="B40" s="837"/>
      <c r="C40" s="854"/>
      <c r="D40" s="857"/>
      <c r="E40" s="627">
        <v>4</v>
      </c>
      <c r="F40" s="628">
        <v>497995.15</v>
      </c>
      <c r="G40" s="629" t="s">
        <v>191</v>
      </c>
      <c r="H40" s="653">
        <v>4</v>
      </c>
      <c r="I40" s="647">
        <f>F40</f>
        <v>497995.15</v>
      </c>
      <c r="J40" s="629">
        <f t="shared" si="4"/>
        <v>435636.26</v>
      </c>
      <c r="K40" s="644">
        <v>62358.89</v>
      </c>
      <c r="L40" s="612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Y40" s="340"/>
      <c r="Z40" s="340"/>
      <c r="AA40" s="340"/>
      <c r="AB40" s="340"/>
      <c r="AC40" s="340"/>
      <c r="AD40" s="340"/>
      <c r="AE40" s="340"/>
      <c r="AF40" s="340"/>
      <c r="AG40" s="340"/>
      <c r="AH40" s="340"/>
      <c r="AI40" s="340"/>
      <c r="AJ40" s="340"/>
    </row>
    <row r="41" spans="1:36" s="345" customFormat="1" ht="12" customHeight="1" x14ac:dyDescent="0.25">
      <c r="A41" s="626"/>
      <c r="B41" s="837"/>
      <c r="C41" s="854"/>
      <c r="D41" s="857"/>
      <c r="E41" s="627">
        <v>5</v>
      </c>
      <c r="F41" s="657">
        <v>487575.25</v>
      </c>
      <c r="G41" s="629" t="s">
        <v>191</v>
      </c>
      <c r="H41" s="653">
        <v>5</v>
      </c>
      <c r="I41" s="647">
        <v>487575.25</v>
      </c>
      <c r="J41" s="629">
        <f t="shared" si="4"/>
        <v>460329.66</v>
      </c>
      <c r="K41" s="644">
        <v>27245.59</v>
      </c>
      <c r="L41" s="612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Y41" s="340"/>
      <c r="Z41" s="340"/>
      <c r="AA41" s="340"/>
      <c r="AB41" s="340"/>
      <c r="AC41" s="340"/>
      <c r="AD41" s="340"/>
      <c r="AE41" s="340"/>
      <c r="AF41" s="340"/>
      <c r="AG41" s="340"/>
      <c r="AH41" s="340"/>
      <c r="AI41" s="340"/>
      <c r="AJ41" s="340"/>
    </row>
    <row r="42" spans="1:36" s="345" customFormat="1" ht="12" customHeight="1" x14ac:dyDescent="0.25">
      <c r="A42" s="626"/>
      <c r="B42" s="837"/>
      <c r="C42" s="854"/>
      <c r="D42" s="857"/>
      <c r="E42" s="649">
        <v>6</v>
      </c>
      <c r="F42" s="657">
        <v>1996.56</v>
      </c>
      <c r="G42" s="629" t="s">
        <v>191</v>
      </c>
      <c r="H42" s="653">
        <v>6</v>
      </c>
      <c r="I42" s="657">
        <v>1996.56</v>
      </c>
      <c r="J42" s="629">
        <f t="shared" si="4"/>
        <v>1996.56</v>
      </c>
      <c r="K42" s="644">
        <v>0</v>
      </c>
      <c r="L42" s="612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Y42" s="340"/>
      <c r="Z42" s="340"/>
      <c r="AA42" s="340"/>
      <c r="AB42" s="340"/>
      <c r="AC42" s="340"/>
      <c r="AD42" s="340"/>
      <c r="AE42" s="340"/>
      <c r="AF42" s="340"/>
      <c r="AG42" s="340"/>
      <c r="AH42" s="340"/>
      <c r="AI42" s="340"/>
      <c r="AJ42" s="340"/>
    </row>
    <row r="43" spans="1:36" s="345" customFormat="1" ht="13.2" customHeight="1" thickBot="1" x14ac:dyDescent="0.3">
      <c r="A43" s="654"/>
      <c r="B43" s="838"/>
      <c r="C43" s="855"/>
      <c r="D43" s="858"/>
      <c r="E43" s="658">
        <v>7</v>
      </c>
      <c r="F43" s="659">
        <v>472322.34</v>
      </c>
      <c r="G43" s="660" t="s">
        <v>251</v>
      </c>
      <c r="H43" s="661">
        <v>7</v>
      </c>
      <c r="I43" s="660">
        <f>F43</f>
        <v>472322.34</v>
      </c>
      <c r="J43" s="660">
        <f>I43-K43</f>
        <v>449708.22000000003</v>
      </c>
      <c r="K43" s="662">
        <v>22614.12</v>
      </c>
      <c r="L43" s="739">
        <v>45412</v>
      </c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Y43" s="340"/>
      <c r="Z43" s="340"/>
      <c r="AA43" s="340"/>
      <c r="AB43" s="340"/>
      <c r="AC43" s="340"/>
      <c r="AD43" s="340"/>
      <c r="AE43" s="340"/>
      <c r="AF43" s="340"/>
      <c r="AG43" s="340"/>
      <c r="AH43" s="340"/>
      <c r="AI43" s="340"/>
      <c r="AJ43" s="340"/>
    </row>
    <row r="44" spans="1:36" s="345" customFormat="1" ht="16.2" thickBot="1" x14ac:dyDescent="0.3">
      <c r="A44" s="745">
        <v>4</v>
      </c>
      <c r="B44" s="746" t="s">
        <v>210</v>
      </c>
      <c r="C44" s="747" t="s">
        <v>70</v>
      </c>
      <c r="D44" s="665">
        <v>98309.75</v>
      </c>
      <c r="E44" s="666">
        <v>1</v>
      </c>
      <c r="F44" s="659">
        <f>D44</f>
        <v>98309.75</v>
      </c>
      <c r="G44" s="660" t="s">
        <v>244</v>
      </c>
      <c r="H44" s="661">
        <v>1</v>
      </c>
      <c r="I44" s="660">
        <f t="shared" si="1"/>
        <v>98309.75</v>
      </c>
      <c r="J44" s="660">
        <f>I44-K44</f>
        <v>42182.080000000002</v>
      </c>
      <c r="K44" s="662">
        <v>56127.67</v>
      </c>
      <c r="L44" s="739">
        <v>45432</v>
      </c>
      <c r="M44" s="340"/>
      <c r="N44" s="681"/>
      <c r="O44" s="340"/>
      <c r="P44" s="340"/>
      <c r="Q44" s="605"/>
      <c r="R44" s="340"/>
      <c r="S44" s="340"/>
      <c r="T44" s="340"/>
      <c r="U44" s="340"/>
      <c r="V44" s="340"/>
      <c r="W44" s="340"/>
      <c r="X44" s="340"/>
      <c r="Y44" s="340"/>
      <c r="Z44" s="340"/>
      <c r="AA44" s="340"/>
      <c r="AB44" s="340"/>
      <c r="AC44" s="340"/>
      <c r="AD44" s="340"/>
      <c r="AE44" s="340"/>
      <c r="AF44" s="340"/>
      <c r="AG44" s="340"/>
      <c r="AH44" s="340"/>
      <c r="AI44" s="340"/>
      <c r="AJ44" s="340"/>
    </row>
    <row r="45" spans="1:36" s="345" customFormat="1" ht="31.2" x14ac:dyDescent="0.25">
      <c r="A45" s="667">
        <v>5</v>
      </c>
      <c r="B45" s="668" t="s">
        <v>211</v>
      </c>
      <c r="C45" s="669" t="s">
        <v>71</v>
      </c>
      <c r="D45" s="665">
        <v>117953.48</v>
      </c>
      <c r="E45" s="649">
        <v>1</v>
      </c>
      <c r="F45" s="628">
        <v>117953.48</v>
      </c>
      <c r="G45" s="647" t="s">
        <v>191</v>
      </c>
      <c r="H45" s="653">
        <v>1</v>
      </c>
      <c r="I45" s="647">
        <f t="shared" si="1"/>
        <v>117953.48</v>
      </c>
      <c r="J45" s="629">
        <f>I45-K45</f>
        <v>70684.100000000006</v>
      </c>
      <c r="K45" s="644">
        <v>47269.38</v>
      </c>
      <c r="L45" s="612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Y45" s="340"/>
      <c r="Z45" s="340"/>
      <c r="AA45" s="340"/>
      <c r="AB45" s="340"/>
      <c r="AC45" s="340"/>
      <c r="AD45" s="340"/>
      <c r="AE45" s="340"/>
      <c r="AF45" s="340"/>
      <c r="AG45" s="340"/>
      <c r="AH45" s="340"/>
      <c r="AI45" s="340"/>
      <c r="AJ45" s="340"/>
    </row>
    <row r="46" spans="1:36" s="345" customFormat="1" ht="15.6" x14ac:dyDescent="0.25">
      <c r="A46" s="651">
        <v>6</v>
      </c>
      <c r="B46" s="663" t="s">
        <v>220</v>
      </c>
      <c r="C46" s="670" t="s">
        <v>72</v>
      </c>
      <c r="D46" s="671">
        <v>314090.69</v>
      </c>
      <c r="E46" s="649">
        <v>1</v>
      </c>
      <c r="F46" s="628">
        <v>18137.18</v>
      </c>
      <c r="G46" s="629"/>
      <c r="H46" s="653">
        <v>1</v>
      </c>
      <c r="I46" s="629">
        <f t="shared" si="1"/>
        <v>18137.18</v>
      </c>
      <c r="J46" s="629">
        <f>I46-K46</f>
        <v>9482.3000000000011</v>
      </c>
      <c r="K46" s="644">
        <v>8654.8799999999992</v>
      </c>
      <c r="L46" s="612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Y46" s="340"/>
      <c r="Z46" s="340"/>
      <c r="AA46" s="340"/>
      <c r="AB46" s="340"/>
      <c r="AC46" s="340"/>
      <c r="AD46" s="340"/>
      <c r="AE46" s="340"/>
      <c r="AF46" s="340"/>
      <c r="AG46" s="340"/>
      <c r="AH46" s="340"/>
      <c r="AI46" s="340"/>
      <c r="AJ46" s="340"/>
    </row>
    <row r="47" spans="1:36" s="345" customFormat="1" ht="13.8" customHeight="1" x14ac:dyDescent="0.25">
      <c r="A47" s="672" t="s">
        <v>238</v>
      </c>
      <c r="B47" s="663" t="s">
        <v>204</v>
      </c>
      <c r="C47" s="664" t="s">
        <v>73</v>
      </c>
      <c r="D47" s="673">
        <v>925268.22</v>
      </c>
      <c r="E47" s="649">
        <v>1</v>
      </c>
      <c r="F47" s="657">
        <v>462990.42</v>
      </c>
      <c r="G47" s="629" t="s">
        <v>191</v>
      </c>
      <c r="H47" s="653">
        <v>1</v>
      </c>
      <c r="I47" s="657">
        <v>462990.42</v>
      </c>
      <c r="J47" s="629">
        <f t="shared" ref="J47" si="5">I47-K47</f>
        <v>436474.81</v>
      </c>
      <c r="K47" s="644">
        <v>26515.61</v>
      </c>
      <c r="L47" s="612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Y47" s="340"/>
      <c r="Z47" s="340"/>
      <c r="AA47" s="340"/>
      <c r="AB47" s="340"/>
      <c r="AC47" s="340"/>
      <c r="AD47" s="340"/>
      <c r="AE47" s="340"/>
      <c r="AF47" s="340"/>
      <c r="AG47" s="340"/>
      <c r="AH47" s="340"/>
      <c r="AI47" s="340"/>
      <c r="AJ47" s="340"/>
    </row>
    <row r="48" spans="1:36" s="345" customFormat="1" ht="13.8" customHeight="1" x14ac:dyDescent="0.25">
      <c r="A48" s="672"/>
      <c r="B48" s="663"/>
      <c r="C48" s="664"/>
      <c r="D48" s="673"/>
      <c r="E48" s="649">
        <v>2</v>
      </c>
      <c r="F48" s="657">
        <v>413678.99</v>
      </c>
      <c r="G48" s="735" t="s">
        <v>191</v>
      </c>
      <c r="H48" s="653">
        <v>2</v>
      </c>
      <c r="I48" s="657">
        <f>F48</f>
        <v>413678.99</v>
      </c>
      <c r="J48" s="629">
        <f>I48-K48</f>
        <v>388969.62</v>
      </c>
      <c r="K48" s="644">
        <v>24709.37</v>
      </c>
      <c r="L48" s="731"/>
      <c r="M48" s="340"/>
      <c r="N48" s="340"/>
      <c r="O48" s="340"/>
      <c r="P48" s="340"/>
      <c r="Q48" s="340"/>
      <c r="R48" s="340"/>
      <c r="S48" s="340"/>
      <c r="T48" s="340"/>
      <c r="U48" s="340"/>
      <c r="V48" s="340"/>
      <c r="W48" s="340"/>
      <c r="X48" s="340"/>
      <c r="Y48" s="340"/>
      <c r="Z48" s="340"/>
      <c r="AA48" s="340"/>
      <c r="AB48" s="340"/>
      <c r="AC48" s="340"/>
      <c r="AD48" s="340"/>
      <c r="AE48" s="340"/>
      <c r="AF48" s="340"/>
      <c r="AG48" s="340"/>
      <c r="AH48" s="340"/>
      <c r="AI48" s="340"/>
      <c r="AJ48" s="340"/>
    </row>
    <row r="49" spans="1:36" s="345" customFormat="1" ht="13.8" customHeight="1" x14ac:dyDescent="0.25">
      <c r="A49" s="672" t="s">
        <v>239</v>
      </c>
      <c r="B49" s="663" t="s">
        <v>223</v>
      </c>
      <c r="C49" s="664" t="s">
        <v>74</v>
      </c>
      <c r="D49" s="673">
        <v>1907190.76</v>
      </c>
      <c r="E49" s="666">
        <v>1</v>
      </c>
      <c r="F49" s="674">
        <v>836792.11</v>
      </c>
      <c r="G49" s="660" t="s">
        <v>244</v>
      </c>
      <c r="H49" s="661">
        <v>1</v>
      </c>
      <c r="I49" s="674">
        <f>F49</f>
        <v>836792.11</v>
      </c>
      <c r="J49" s="660">
        <f>I49-K49</f>
        <v>227573.59999999998</v>
      </c>
      <c r="K49" s="662">
        <v>609218.51</v>
      </c>
      <c r="L49" s="739" t="s">
        <v>252</v>
      </c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Y49" s="340"/>
      <c r="Z49" s="340"/>
      <c r="AA49" s="340"/>
      <c r="AB49" s="340"/>
      <c r="AC49" s="340"/>
      <c r="AD49" s="340"/>
      <c r="AE49" s="340"/>
      <c r="AF49" s="340"/>
      <c r="AG49" s="340"/>
      <c r="AH49" s="340"/>
      <c r="AI49" s="340"/>
      <c r="AJ49" s="340"/>
    </row>
    <row r="50" spans="1:36" s="345" customFormat="1" ht="13.8" customHeight="1" x14ac:dyDescent="0.25">
      <c r="A50" s="672" t="s">
        <v>240</v>
      </c>
      <c r="B50" s="663" t="s">
        <v>250</v>
      </c>
      <c r="C50" s="664" t="s">
        <v>77</v>
      </c>
      <c r="D50" s="673">
        <v>554589.34</v>
      </c>
      <c r="E50" s="666">
        <v>1</v>
      </c>
      <c r="F50" s="674">
        <v>233757.78</v>
      </c>
      <c r="G50" s="660" t="s">
        <v>251</v>
      </c>
      <c r="H50" s="661">
        <v>1</v>
      </c>
      <c r="I50" s="674">
        <v>233757.78</v>
      </c>
      <c r="J50" s="660">
        <f>I50-K50</f>
        <v>225075.77</v>
      </c>
      <c r="K50" s="662">
        <v>8682.01</v>
      </c>
      <c r="L50" s="739">
        <v>45412</v>
      </c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Y50" s="340"/>
      <c r="Z50" s="340"/>
      <c r="AA50" s="340"/>
      <c r="AB50" s="340"/>
      <c r="AC50" s="340"/>
      <c r="AD50" s="340"/>
      <c r="AE50" s="340"/>
      <c r="AF50" s="340"/>
      <c r="AG50" s="340"/>
      <c r="AH50" s="340"/>
      <c r="AI50" s="340"/>
      <c r="AJ50" s="340"/>
    </row>
    <row r="51" spans="1:36" s="345" customFormat="1" ht="37.799999999999997" customHeight="1" x14ac:dyDescent="0.25">
      <c r="A51" s="672" t="s">
        <v>241</v>
      </c>
      <c r="B51" s="663" t="s">
        <v>225</v>
      </c>
      <c r="C51" s="664" t="s">
        <v>78</v>
      </c>
      <c r="D51" s="673">
        <v>205250.65</v>
      </c>
      <c r="E51" s="666">
        <v>1</v>
      </c>
      <c r="F51" s="674">
        <v>36249.65</v>
      </c>
      <c r="G51" s="660" t="s">
        <v>255</v>
      </c>
      <c r="H51" s="661">
        <v>1</v>
      </c>
      <c r="I51" s="660">
        <f t="shared" ref="I51" si="6">F51</f>
        <v>36249.65</v>
      </c>
      <c r="J51" s="660">
        <f t="shared" ref="J51" si="7">I51-K51</f>
        <v>21207.086000000003</v>
      </c>
      <c r="K51" s="662">
        <v>15042.564</v>
      </c>
      <c r="L51" s="612" t="s">
        <v>252</v>
      </c>
      <c r="M51" s="340" t="s">
        <v>254</v>
      </c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Y51" s="340"/>
      <c r="Z51" s="340"/>
      <c r="AA51" s="340"/>
      <c r="AB51" s="340"/>
      <c r="AC51" s="340"/>
      <c r="AD51" s="340"/>
      <c r="AE51" s="340"/>
      <c r="AF51" s="340"/>
      <c r="AG51" s="340"/>
      <c r="AH51" s="340"/>
      <c r="AI51" s="340"/>
      <c r="AJ51" s="340"/>
    </row>
    <row r="52" spans="1:36" s="345" customFormat="1" ht="16.8" customHeight="1" x14ac:dyDescent="0.25">
      <c r="A52" s="651">
        <v>11</v>
      </c>
      <c r="B52" s="663" t="s">
        <v>207</v>
      </c>
      <c r="C52" s="670" t="s">
        <v>217</v>
      </c>
      <c r="D52" s="675">
        <v>11216410.33</v>
      </c>
      <c r="E52" s="649">
        <v>1</v>
      </c>
      <c r="F52" s="657">
        <v>4613140.4800000004</v>
      </c>
      <c r="G52" s="629" t="s">
        <v>191</v>
      </c>
      <c r="H52" s="653">
        <v>1</v>
      </c>
      <c r="I52" s="647">
        <f t="shared" ref="I52:I58" si="8">F52</f>
        <v>4613140.4800000004</v>
      </c>
      <c r="J52" s="629">
        <f t="shared" ref="J52:J58" si="9">I52-K52</f>
        <v>1433237.4000000004</v>
      </c>
      <c r="K52" s="644">
        <v>3179903.08</v>
      </c>
      <c r="L52" s="612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Y52" s="340"/>
      <c r="Z52" s="340"/>
      <c r="AA52" s="340"/>
      <c r="AB52" s="340"/>
      <c r="AC52" s="340"/>
      <c r="AD52" s="340"/>
      <c r="AE52" s="340"/>
      <c r="AF52" s="340"/>
      <c r="AG52" s="340"/>
      <c r="AH52" s="340"/>
      <c r="AI52" s="340"/>
      <c r="AJ52" s="340"/>
    </row>
    <row r="53" spans="1:36" s="345" customFormat="1" ht="13.8" customHeight="1" x14ac:dyDescent="0.25">
      <c r="A53" s="651">
        <v>12</v>
      </c>
      <c r="B53" s="663"/>
      <c r="C53" s="670"/>
      <c r="D53" s="675"/>
      <c r="E53" s="649">
        <v>2</v>
      </c>
      <c r="F53" s="657">
        <v>648268.93000000005</v>
      </c>
      <c r="G53" s="629" t="s">
        <v>191</v>
      </c>
      <c r="H53" s="653">
        <v>2</v>
      </c>
      <c r="I53" s="647">
        <f t="shared" si="8"/>
        <v>648268.93000000005</v>
      </c>
      <c r="J53" s="629">
        <f t="shared" si="9"/>
        <v>221313.73000000004</v>
      </c>
      <c r="K53" s="644">
        <v>426955.2</v>
      </c>
      <c r="L53" s="612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Y53" s="340"/>
      <c r="Z53" s="340"/>
      <c r="AA53" s="340"/>
      <c r="AB53" s="340"/>
      <c r="AC53" s="340"/>
      <c r="AD53" s="340"/>
      <c r="AE53" s="340"/>
      <c r="AF53" s="340"/>
      <c r="AG53" s="340"/>
      <c r="AH53" s="340"/>
      <c r="AI53" s="340"/>
      <c r="AJ53" s="340"/>
    </row>
    <row r="54" spans="1:36" s="345" customFormat="1" ht="13.8" customHeight="1" x14ac:dyDescent="0.25">
      <c r="A54" s="651">
        <v>13</v>
      </c>
      <c r="B54" s="663" t="s">
        <v>206</v>
      </c>
      <c r="C54" s="670" t="s">
        <v>216</v>
      </c>
      <c r="D54" s="675">
        <v>790018.98</v>
      </c>
      <c r="E54" s="649">
        <v>1</v>
      </c>
      <c r="F54" s="657">
        <v>323673.21999999997</v>
      </c>
      <c r="G54" s="647" t="s">
        <v>191</v>
      </c>
      <c r="H54" s="653">
        <v>1</v>
      </c>
      <c r="I54" s="647">
        <f t="shared" si="8"/>
        <v>323673.21999999997</v>
      </c>
      <c r="J54" s="629">
        <f t="shared" si="9"/>
        <v>100620.12399999998</v>
      </c>
      <c r="K54" s="644">
        <v>223053.09599999999</v>
      </c>
      <c r="L54" s="612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Y54" s="340"/>
      <c r="Z54" s="340"/>
      <c r="AA54" s="340"/>
      <c r="AB54" s="340"/>
      <c r="AC54" s="340"/>
      <c r="AD54" s="340"/>
      <c r="AE54" s="340"/>
      <c r="AF54" s="340"/>
      <c r="AG54" s="340"/>
      <c r="AH54" s="340"/>
      <c r="AI54" s="340"/>
      <c r="AJ54" s="340"/>
    </row>
    <row r="55" spans="1:36" s="345" customFormat="1" ht="13.8" customHeight="1" x14ac:dyDescent="0.25">
      <c r="A55" s="676"/>
      <c r="B55" s="668"/>
      <c r="C55" s="727"/>
      <c r="D55" s="678"/>
      <c r="E55" s="649">
        <v>2</v>
      </c>
      <c r="F55" s="657">
        <v>254891.88</v>
      </c>
      <c r="G55" s="735" t="s">
        <v>191</v>
      </c>
      <c r="H55" s="653">
        <v>2</v>
      </c>
      <c r="I55" s="629">
        <f>F55</f>
        <v>254891.88</v>
      </c>
      <c r="J55" s="629">
        <f t="shared" si="9"/>
        <v>78766.608000000007</v>
      </c>
      <c r="K55" s="644">
        <v>176125.272</v>
      </c>
      <c r="L55" s="731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Y55" s="340"/>
      <c r="Z55" s="340"/>
      <c r="AA55" s="340"/>
      <c r="AB55" s="340"/>
      <c r="AC55" s="340"/>
      <c r="AD55" s="340"/>
      <c r="AE55" s="340"/>
      <c r="AF55" s="340"/>
      <c r="AG55" s="340"/>
      <c r="AH55" s="340"/>
      <c r="AI55" s="340"/>
      <c r="AJ55" s="340"/>
    </row>
    <row r="56" spans="1:36" s="345" customFormat="1" ht="13.8" customHeight="1" x14ac:dyDescent="0.25">
      <c r="A56" s="676">
        <v>14</v>
      </c>
      <c r="B56" s="668" t="s">
        <v>218</v>
      </c>
      <c r="C56" s="677" t="s">
        <v>205</v>
      </c>
      <c r="D56" s="678">
        <v>164975.04000000001</v>
      </c>
      <c r="E56" s="666">
        <v>1</v>
      </c>
      <c r="F56" s="674">
        <v>98455.63</v>
      </c>
      <c r="G56" s="660" t="s">
        <v>255</v>
      </c>
      <c r="H56" s="661">
        <v>1</v>
      </c>
      <c r="I56" s="660">
        <f t="shared" si="8"/>
        <v>98455.63</v>
      </c>
      <c r="J56" s="660">
        <f t="shared" si="9"/>
        <v>29328.718000000008</v>
      </c>
      <c r="K56" s="662">
        <v>69126.911999999997</v>
      </c>
      <c r="L56" s="744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Y56" s="340"/>
      <c r="Z56" s="340"/>
      <c r="AA56" s="340"/>
      <c r="AB56" s="340"/>
      <c r="AC56" s="340"/>
      <c r="AD56" s="340"/>
      <c r="AE56" s="340"/>
      <c r="AF56" s="340"/>
      <c r="AG56" s="340"/>
      <c r="AH56" s="340"/>
      <c r="AI56" s="340"/>
      <c r="AJ56" s="340"/>
    </row>
    <row r="57" spans="1:36" s="345" customFormat="1" ht="48" customHeight="1" x14ac:dyDescent="0.25">
      <c r="A57" s="651">
        <v>15</v>
      </c>
      <c r="B57" s="663" t="s">
        <v>242</v>
      </c>
      <c r="C57" s="664" t="s">
        <v>246</v>
      </c>
      <c r="D57" s="675">
        <v>150478.99</v>
      </c>
      <c r="E57" s="649">
        <v>1</v>
      </c>
      <c r="F57" s="657">
        <f>D57</f>
        <v>150478.99</v>
      </c>
      <c r="G57" s="629" t="s">
        <v>191</v>
      </c>
      <c r="H57" s="653">
        <v>1</v>
      </c>
      <c r="I57" s="629">
        <f t="shared" si="8"/>
        <v>150478.99</v>
      </c>
      <c r="J57" s="629">
        <f t="shared" si="9"/>
        <v>150478.99</v>
      </c>
      <c r="K57" s="644">
        <v>0</v>
      </c>
      <c r="L57" s="739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Y57" s="340"/>
      <c r="Z57" s="340"/>
      <c r="AA57" s="340"/>
      <c r="AB57" s="340"/>
      <c r="AC57" s="340"/>
      <c r="AD57" s="340"/>
      <c r="AE57" s="340"/>
      <c r="AF57" s="340"/>
      <c r="AG57" s="340"/>
      <c r="AH57" s="340"/>
      <c r="AI57" s="340"/>
      <c r="AJ57" s="340"/>
    </row>
    <row r="58" spans="1:36" s="345" customFormat="1" ht="13.8" customHeight="1" thickBot="1" x14ac:dyDescent="0.3">
      <c r="A58" s="676">
        <v>18</v>
      </c>
      <c r="B58" s="668" t="s">
        <v>224</v>
      </c>
      <c r="C58" s="677" t="s">
        <v>247</v>
      </c>
      <c r="D58" s="678">
        <v>67237.36</v>
      </c>
      <c r="E58" s="737">
        <v>1</v>
      </c>
      <c r="F58" s="738">
        <f t="shared" ref="F58" si="10">D58</f>
        <v>67237.36</v>
      </c>
      <c r="G58" s="735" t="s">
        <v>191</v>
      </c>
      <c r="H58" s="734">
        <v>1</v>
      </c>
      <c r="I58" s="735">
        <f t="shared" si="8"/>
        <v>67237.36</v>
      </c>
      <c r="J58" s="735">
        <f t="shared" si="9"/>
        <v>36380.339999999997</v>
      </c>
      <c r="K58" s="736">
        <v>30857.02</v>
      </c>
      <c r="L58" s="739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Y58" s="340"/>
      <c r="Z58" s="340"/>
      <c r="AA58" s="340"/>
      <c r="AB58" s="340"/>
      <c r="AC58" s="340"/>
      <c r="AD58" s="340"/>
      <c r="AE58" s="340"/>
      <c r="AF58" s="340"/>
      <c r="AG58" s="340"/>
      <c r="AH58" s="340"/>
      <c r="AI58" s="340"/>
      <c r="AJ58" s="340"/>
    </row>
    <row r="59" spans="1:36" s="346" customFormat="1" ht="17.399999999999999" customHeight="1" thickBot="1" x14ac:dyDescent="0.3">
      <c r="A59" s="728"/>
      <c r="B59" s="401" t="s">
        <v>47</v>
      </c>
      <c r="C59" s="729"/>
      <c r="D59" s="730">
        <f>SUM(D7:D58)</f>
        <v>200908634.26999998</v>
      </c>
      <c r="E59" s="551"/>
      <c r="F59" s="551">
        <f>SUM(F7:F58)</f>
        <v>65882812.239999995</v>
      </c>
      <c r="G59" s="551"/>
      <c r="H59" s="551"/>
      <c r="I59" s="551">
        <f>SUM(I7:I58)</f>
        <v>65882812.239999995</v>
      </c>
      <c r="J59" s="551">
        <f>SUM(J7:J58)</f>
        <v>30095802.789999999</v>
      </c>
      <c r="K59" s="551">
        <f>SUM(K7:K58)</f>
        <v>35787009.450000018</v>
      </c>
      <c r="L59" s="606"/>
    </row>
    <row r="60" spans="1:36" s="346" customFormat="1" ht="22.2" customHeight="1" x14ac:dyDescent="0.25">
      <c r="A60" s="614"/>
      <c r="B60" s="614"/>
      <c r="C60" s="615"/>
      <c r="D60" s="616"/>
      <c r="E60" s="617"/>
      <c r="F60" s="617"/>
      <c r="G60" s="617"/>
      <c r="H60" s="379"/>
      <c r="I60" s="681"/>
      <c r="J60" s="379"/>
      <c r="K60" s="379"/>
    </row>
    <row r="61" spans="1:36" x14ac:dyDescent="0.25">
      <c r="A61" s="618"/>
      <c r="B61" s="618"/>
      <c r="D61" s="619"/>
      <c r="H61" s="356"/>
    </row>
    <row r="62" spans="1:36" x14ac:dyDescent="0.25">
      <c r="A62" s="618"/>
      <c r="B62" s="618"/>
      <c r="D62" s="619"/>
      <c r="H62" s="356"/>
    </row>
    <row r="63" spans="1:36" x14ac:dyDescent="0.25">
      <c r="A63" s="618"/>
      <c r="B63" s="618"/>
      <c r="D63" s="619"/>
      <c r="F63" s="365">
        <f>F37+F38+F39+F40+F41+F42+F47+F48</f>
        <v>2928978.13</v>
      </c>
      <c r="H63" s="356"/>
    </row>
    <row r="64" spans="1:36" x14ac:dyDescent="0.25">
      <c r="A64" s="618"/>
      <c r="B64" s="618"/>
      <c r="D64" s="619"/>
      <c r="H64" s="356"/>
    </row>
    <row r="65" spans="1:10" x14ac:dyDescent="0.25">
      <c r="A65" s="618"/>
      <c r="B65" s="618"/>
      <c r="D65" s="619"/>
      <c r="H65" s="356"/>
    </row>
    <row r="66" spans="1:10" x14ac:dyDescent="0.25">
      <c r="A66" s="618"/>
      <c r="B66" s="618"/>
      <c r="D66" s="619"/>
      <c r="H66" s="356"/>
      <c r="I66" s="576"/>
      <c r="J66" s="571"/>
    </row>
    <row r="67" spans="1:10" x14ac:dyDescent="0.25">
      <c r="A67" s="618"/>
      <c r="B67" s="618"/>
      <c r="H67" s="356"/>
    </row>
    <row r="68" spans="1:10" x14ac:dyDescent="0.25">
      <c r="A68" s="618"/>
      <c r="B68" s="618"/>
      <c r="H68" s="356"/>
    </row>
    <row r="69" spans="1:10" x14ac:dyDescent="0.25">
      <c r="A69" s="618"/>
      <c r="B69" s="618"/>
      <c r="H69" s="356"/>
    </row>
    <row r="70" spans="1:10" x14ac:dyDescent="0.25">
      <c r="A70" s="618"/>
      <c r="B70" s="618"/>
      <c r="H70" s="356"/>
    </row>
    <row r="71" spans="1:10" x14ac:dyDescent="0.25">
      <c r="A71" s="618"/>
      <c r="B71" s="618"/>
      <c r="H71" s="356"/>
    </row>
    <row r="72" spans="1:10" x14ac:dyDescent="0.25">
      <c r="A72" s="618"/>
      <c r="B72" s="618"/>
      <c r="H72" s="356"/>
    </row>
    <row r="73" spans="1:10" x14ac:dyDescent="0.25">
      <c r="C73" s="360"/>
      <c r="D73" s="361"/>
      <c r="E73" s="356"/>
      <c r="F73" s="356"/>
      <c r="G73" s="356"/>
      <c r="H73" s="356"/>
    </row>
    <row r="74" spans="1:10" x14ac:dyDescent="0.25">
      <c r="C74" s="360"/>
      <c r="D74" s="361"/>
      <c r="E74" s="356"/>
      <c r="F74" s="356"/>
      <c r="G74" s="356"/>
      <c r="H74" s="356"/>
    </row>
    <row r="75" spans="1:10" x14ac:dyDescent="0.25">
      <c r="C75" s="360"/>
      <c r="D75" s="361"/>
      <c r="E75" s="356"/>
      <c r="F75" s="356"/>
      <c r="G75" s="356"/>
      <c r="H75" s="356"/>
    </row>
  </sheetData>
  <mergeCells count="19">
    <mergeCell ref="A2:G2"/>
    <mergeCell ref="A4:A6"/>
    <mergeCell ref="B4:B6"/>
    <mergeCell ref="C4:D5"/>
    <mergeCell ref="E5:G5"/>
    <mergeCell ref="B37:B43"/>
    <mergeCell ref="L4:L6"/>
    <mergeCell ref="E4:G4"/>
    <mergeCell ref="A13:A27"/>
    <mergeCell ref="B13:B27"/>
    <mergeCell ref="C13:C27"/>
    <mergeCell ref="D13:D27"/>
    <mergeCell ref="A7:A12"/>
    <mergeCell ref="D7:D12"/>
    <mergeCell ref="B7:B12"/>
    <mergeCell ref="C7:C12"/>
    <mergeCell ref="C37:C43"/>
    <mergeCell ref="D37:D43"/>
    <mergeCell ref="H4:K5"/>
  </mergeCells>
  <phoneticPr fontId="41" type="noConversion"/>
  <pageMargins left="0.25" right="0.25" top="0.75" bottom="0.75" header="0.3" footer="0.3"/>
  <pageSetup paperSize="9" scale="51" fitToWidth="0" orientation="landscape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63B4-682F-40C9-8507-1ED443CADCE7}">
  <sheetPr>
    <pageSetUpPr fitToPage="1"/>
  </sheetPr>
  <dimension ref="A1:AJ34"/>
  <sheetViews>
    <sheetView tabSelected="1" showWhiteSpace="0" zoomScale="80" zoomScaleNormal="80" zoomScaleSheetLayoutView="80" workbookViewId="0">
      <pane xSplit="2" topLeftCell="C1" activePane="topRight" state="frozen"/>
      <selection activeCell="B1" sqref="B1"/>
      <selection pane="topRight" activeCell="K21" sqref="K21"/>
    </sheetView>
  </sheetViews>
  <sheetFormatPr defaultColWidth="9.109375" defaultRowHeight="12" x14ac:dyDescent="0.25"/>
  <cols>
    <col min="1" max="1" width="5.6640625" style="330" customWidth="1"/>
    <col min="2" max="2" width="31.33203125" style="330" customWidth="1"/>
    <col min="3" max="3" width="12.5546875" style="363" customWidth="1"/>
    <col min="4" max="4" width="19.44140625" style="364" customWidth="1"/>
    <col min="5" max="5" width="6.5546875" style="365" customWidth="1"/>
    <col min="6" max="6" width="16.77734375" style="365" customWidth="1"/>
    <col min="7" max="7" width="26" style="365" customWidth="1"/>
    <col min="8" max="8" width="6" style="365" customWidth="1"/>
    <col min="9" max="9" width="15.6640625" style="330" customWidth="1"/>
    <col min="10" max="10" width="16.77734375" style="330" customWidth="1"/>
    <col min="11" max="11" width="13.33203125" style="330" customWidth="1"/>
    <col min="12" max="12" width="16.44140625" style="330" customWidth="1"/>
    <col min="13" max="13" width="20.77734375" style="330" customWidth="1"/>
    <col min="14" max="14" width="20.5546875" style="330" customWidth="1"/>
    <col min="15" max="16384" width="9.109375" style="330"/>
  </cols>
  <sheetData>
    <row r="1" spans="1:36" ht="16.8" customHeight="1" x14ac:dyDescent="0.25"/>
    <row r="2" spans="1:36" ht="59.4" customHeight="1" x14ac:dyDescent="0.25">
      <c r="A2" s="863" t="s">
        <v>194</v>
      </c>
      <c r="B2" s="864"/>
      <c r="C2" s="864"/>
      <c r="D2" s="864"/>
      <c r="E2" s="864"/>
      <c r="F2" s="864"/>
      <c r="G2" s="864"/>
      <c r="H2" s="331"/>
    </row>
    <row r="3" spans="1:36" ht="15" customHeight="1" thickBot="1" x14ac:dyDescent="0.3">
      <c r="A3" s="331"/>
      <c r="B3" s="607"/>
      <c r="C3" s="607"/>
      <c r="D3" s="608"/>
      <c r="E3" s="609"/>
      <c r="F3" s="609"/>
      <c r="G3" s="609"/>
      <c r="H3" s="609"/>
      <c r="I3" s="610"/>
      <c r="J3" s="610"/>
      <c r="K3" s="610"/>
    </row>
    <row r="4" spans="1:36" ht="17.399999999999999" customHeight="1" x14ac:dyDescent="0.25">
      <c r="A4" s="865"/>
      <c r="B4" s="868" t="s">
        <v>190</v>
      </c>
      <c r="C4" s="871" t="s">
        <v>122</v>
      </c>
      <c r="D4" s="871"/>
      <c r="E4" s="842" t="s">
        <v>188</v>
      </c>
      <c r="F4" s="843"/>
      <c r="G4" s="843"/>
      <c r="H4" s="859" t="s">
        <v>126</v>
      </c>
      <c r="I4" s="860"/>
      <c r="J4" s="860"/>
      <c r="K4" s="860"/>
      <c r="L4" s="839"/>
    </row>
    <row r="5" spans="1:36" ht="21" customHeight="1" x14ac:dyDescent="0.25">
      <c r="A5" s="866"/>
      <c r="B5" s="869"/>
      <c r="C5" s="872"/>
      <c r="D5" s="872"/>
      <c r="E5" s="872"/>
      <c r="F5" s="872"/>
      <c r="G5" s="873"/>
      <c r="H5" s="861"/>
      <c r="I5" s="862"/>
      <c r="J5" s="862"/>
      <c r="K5" s="862"/>
      <c r="L5" s="840"/>
    </row>
    <row r="6" spans="1:36" ht="30" customHeight="1" thickBot="1" x14ac:dyDescent="0.3">
      <c r="A6" s="874"/>
      <c r="B6" s="870"/>
      <c r="C6" s="545" t="s">
        <v>127</v>
      </c>
      <c r="D6" s="555" t="s">
        <v>128</v>
      </c>
      <c r="E6" s="545" t="s">
        <v>129</v>
      </c>
      <c r="F6" s="545" t="s">
        <v>130</v>
      </c>
      <c r="G6" s="545" t="s">
        <v>189</v>
      </c>
      <c r="H6" s="545"/>
      <c r="I6" s="761" t="s">
        <v>16</v>
      </c>
      <c r="J6" s="542" t="s">
        <v>25</v>
      </c>
      <c r="K6" s="762" t="s">
        <v>15</v>
      </c>
      <c r="L6" s="841"/>
    </row>
    <row r="7" spans="1:36" ht="30" customHeight="1" x14ac:dyDescent="0.25">
      <c r="A7" s="663"/>
      <c r="B7" s="663" t="s">
        <v>264</v>
      </c>
      <c r="C7" s="948" t="s">
        <v>53</v>
      </c>
      <c r="D7" s="756">
        <v>20014627.07</v>
      </c>
      <c r="E7" s="658">
        <v>12</v>
      </c>
      <c r="F7" s="659">
        <v>1266503.02</v>
      </c>
      <c r="G7" s="659" t="s">
        <v>263</v>
      </c>
      <c r="H7" s="947">
        <v>12</v>
      </c>
      <c r="I7" s="659">
        <f>F7</f>
        <v>1266503.02</v>
      </c>
      <c r="J7" s="659">
        <f>I7-K7</f>
        <v>1266503.02</v>
      </c>
      <c r="K7" s="659">
        <v>0</v>
      </c>
      <c r="L7" s="659"/>
      <c r="M7" s="330" t="s">
        <v>265</v>
      </c>
    </row>
    <row r="8" spans="1:36" s="345" customFormat="1" ht="15.6" x14ac:dyDescent="0.25">
      <c r="A8" s="651"/>
      <c r="B8" s="663" t="s">
        <v>193</v>
      </c>
      <c r="C8" s="767" t="s">
        <v>53</v>
      </c>
      <c r="D8" s="756">
        <v>162902614.16</v>
      </c>
      <c r="E8" s="658">
        <v>26</v>
      </c>
      <c r="F8" s="659">
        <v>3760428</v>
      </c>
      <c r="G8" s="660" t="s">
        <v>244</v>
      </c>
      <c r="H8" s="661">
        <v>26</v>
      </c>
      <c r="I8" s="660">
        <f>F8</f>
        <v>3760428</v>
      </c>
      <c r="J8" s="660">
        <f>I8-K8</f>
        <v>1775879.81</v>
      </c>
      <c r="K8" s="660">
        <v>1984548.19</v>
      </c>
      <c r="L8" s="757">
        <v>45413</v>
      </c>
      <c r="M8" s="340" t="s">
        <v>256</v>
      </c>
      <c r="N8" s="340"/>
      <c r="O8" s="340"/>
      <c r="P8" s="340"/>
      <c r="Q8" s="340"/>
      <c r="R8" s="340"/>
      <c r="S8" s="340"/>
      <c r="T8" s="340"/>
      <c r="U8" s="340"/>
      <c r="V8" s="340"/>
      <c r="W8" s="340"/>
      <c r="X8" s="340"/>
      <c r="Y8" s="340"/>
      <c r="Z8" s="340"/>
      <c r="AA8" s="340"/>
      <c r="AB8" s="340"/>
      <c r="AC8" s="340"/>
      <c r="AD8" s="340"/>
      <c r="AE8" s="340"/>
      <c r="AF8" s="340"/>
      <c r="AG8" s="340"/>
      <c r="AH8" s="340"/>
      <c r="AI8" s="340"/>
      <c r="AJ8" s="340"/>
    </row>
    <row r="9" spans="1:36" s="345" customFormat="1" ht="15.6" x14ac:dyDescent="0.25">
      <c r="A9" s="651"/>
      <c r="B9" s="663"/>
      <c r="C9" s="767"/>
      <c r="D9" s="756"/>
      <c r="E9" s="658">
        <v>27</v>
      </c>
      <c r="F9" s="659">
        <v>105069.23</v>
      </c>
      <c r="G9" s="660" t="s">
        <v>244</v>
      </c>
      <c r="H9" s="661">
        <v>27</v>
      </c>
      <c r="I9" s="660">
        <f>F9</f>
        <v>105069.23</v>
      </c>
      <c r="J9" s="660">
        <f>I9-K9</f>
        <v>48094.119999999995</v>
      </c>
      <c r="K9" s="660">
        <v>56975.11</v>
      </c>
      <c r="L9" s="754" t="s">
        <v>253</v>
      </c>
      <c r="M9" s="340" t="s">
        <v>257</v>
      </c>
      <c r="N9" s="340"/>
      <c r="O9" s="340"/>
      <c r="P9" s="340"/>
      <c r="Q9" s="340"/>
      <c r="R9" s="340"/>
      <c r="S9" s="340"/>
      <c r="T9" s="340"/>
      <c r="U9" s="340"/>
      <c r="V9" s="340"/>
      <c r="W9" s="340"/>
      <c r="X9" s="340"/>
      <c r="Y9" s="340"/>
      <c r="Z9" s="340"/>
      <c r="AA9" s="340"/>
      <c r="AB9" s="340"/>
      <c r="AC9" s="340"/>
      <c r="AD9" s="340"/>
      <c r="AE9" s="340"/>
      <c r="AF9" s="340"/>
      <c r="AG9" s="340"/>
      <c r="AH9" s="340"/>
      <c r="AI9" s="340"/>
      <c r="AJ9" s="340"/>
    </row>
    <row r="10" spans="1:36" s="345" customFormat="1" ht="15.6" x14ac:dyDescent="0.25">
      <c r="A10" s="651"/>
      <c r="B10" s="663"/>
      <c r="C10" s="767"/>
      <c r="D10" s="756"/>
      <c r="E10" s="658">
        <v>28</v>
      </c>
      <c r="F10" s="659">
        <v>3718814.21</v>
      </c>
      <c r="G10" s="660" t="s">
        <v>263</v>
      </c>
      <c r="H10" s="661">
        <v>28</v>
      </c>
      <c r="I10" s="660">
        <f>F10</f>
        <v>3718814.21</v>
      </c>
      <c r="J10" s="660">
        <f>I10-K10</f>
        <v>1677769.6099999999</v>
      </c>
      <c r="K10" s="660">
        <v>2041044.6</v>
      </c>
      <c r="L10" s="754"/>
      <c r="M10" s="340"/>
      <c r="N10" s="340"/>
      <c r="O10" s="340"/>
      <c r="P10" s="340"/>
      <c r="Q10" s="340"/>
      <c r="R10" s="340"/>
      <c r="S10" s="340"/>
      <c r="T10" s="340"/>
      <c r="U10" s="340"/>
      <c r="V10" s="340"/>
      <c r="W10" s="340"/>
      <c r="X10" s="340"/>
      <c r="Y10" s="340"/>
      <c r="Z10" s="340"/>
      <c r="AA10" s="340"/>
      <c r="AB10" s="340"/>
      <c r="AC10" s="340"/>
      <c r="AD10" s="340"/>
      <c r="AE10" s="340"/>
      <c r="AF10" s="340"/>
      <c r="AG10" s="340"/>
      <c r="AH10" s="340"/>
      <c r="AI10" s="340"/>
      <c r="AJ10" s="340"/>
    </row>
    <row r="11" spans="1:36" s="345" customFormat="1" ht="15.6" x14ac:dyDescent="0.25">
      <c r="A11" s="651"/>
      <c r="B11" s="663" t="s">
        <v>207</v>
      </c>
      <c r="C11" s="670" t="s">
        <v>217</v>
      </c>
      <c r="D11" s="675">
        <v>11216410.33</v>
      </c>
      <c r="E11" s="658">
        <v>3</v>
      </c>
      <c r="F11" s="659">
        <v>715575.3</v>
      </c>
      <c r="G11" s="660" t="s">
        <v>263</v>
      </c>
      <c r="H11" s="661">
        <v>3</v>
      </c>
      <c r="I11" s="660">
        <f>F11</f>
        <v>715575.3</v>
      </c>
      <c r="J11" s="660">
        <f>I11-K11</f>
        <v>215191.30000000005</v>
      </c>
      <c r="K11" s="660">
        <v>500384</v>
      </c>
      <c r="L11" s="754"/>
      <c r="M11" s="340"/>
      <c r="N11" s="340"/>
      <c r="O11" s="340"/>
      <c r="P11" s="340"/>
      <c r="Q11" s="340"/>
      <c r="R11" s="340"/>
      <c r="S11" s="340"/>
      <c r="T11" s="340"/>
      <c r="U11" s="340"/>
      <c r="V11" s="340"/>
      <c r="W11" s="340"/>
      <c r="X11" s="340"/>
      <c r="Y11" s="340"/>
      <c r="Z11" s="340"/>
      <c r="AA11" s="340"/>
      <c r="AB11" s="340"/>
      <c r="AC11" s="340"/>
      <c r="AD11" s="340"/>
      <c r="AE11" s="340"/>
      <c r="AF11" s="340"/>
      <c r="AG11" s="340"/>
      <c r="AH11" s="340"/>
      <c r="AI11" s="340"/>
      <c r="AJ11" s="340"/>
    </row>
    <row r="12" spans="1:36" s="345" customFormat="1" ht="13.2" customHeight="1" thickBot="1" x14ac:dyDescent="0.3">
      <c r="A12" s="651"/>
      <c r="B12" s="663" t="s">
        <v>204</v>
      </c>
      <c r="C12" s="755" t="s">
        <v>69</v>
      </c>
      <c r="D12" s="756">
        <v>1479619.45</v>
      </c>
      <c r="E12" s="658">
        <v>7</v>
      </c>
      <c r="F12" s="659">
        <v>472322.34</v>
      </c>
      <c r="G12" s="660" t="s">
        <v>251</v>
      </c>
      <c r="H12" s="661">
        <v>7</v>
      </c>
      <c r="I12" s="660">
        <f>F12</f>
        <v>472322.34</v>
      </c>
      <c r="J12" s="660">
        <f>I12-K12</f>
        <v>449708.22000000003</v>
      </c>
      <c r="K12" s="660">
        <v>22614.12</v>
      </c>
      <c r="L12" s="758">
        <v>45412</v>
      </c>
      <c r="M12" s="340" t="s">
        <v>258</v>
      </c>
      <c r="N12" s="340"/>
      <c r="O12" s="340"/>
      <c r="P12" s="340"/>
      <c r="Q12" s="340"/>
      <c r="R12" s="340"/>
      <c r="S12" s="340"/>
      <c r="T12" s="340"/>
      <c r="U12" s="340"/>
      <c r="V12" s="340"/>
      <c r="W12" s="340"/>
      <c r="X12" s="340"/>
      <c r="Y12" s="340"/>
      <c r="Z12" s="340"/>
      <c r="AA12" s="340"/>
      <c r="AB12" s="340"/>
      <c r="AC12" s="340"/>
      <c r="AD12" s="340"/>
      <c r="AE12" s="340"/>
      <c r="AF12" s="340"/>
      <c r="AG12" s="340"/>
      <c r="AH12" s="340"/>
      <c r="AI12" s="340"/>
      <c r="AJ12" s="340"/>
    </row>
    <row r="13" spans="1:36" s="345" customFormat="1" ht="16.2" thickBot="1" x14ac:dyDescent="0.3">
      <c r="A13" s="651">
        <v>4</v>
      </c>
      <c r="B13" s="663" t="s">
        <v>210</v>
      </c>
      <c r="C13" s="768" t="s">
        <v>70</v>
      </c>
      <c r="D13" s="769">
        <v>98309.75</v>
      </c>
      <c r="E13" s="666">
        <v>1</v>
      </c>
      <c r="F13" s="659">
        <f>D13</f>
        <v>98309.75</v>
      </c>
      <c r="G13" s="660" t="s">
        <v>244</v>
      </c>
      <c r="H13" s="661">
        <v>1</v>
      </c>
      <c r="I13" s="660">
        <f t="shared" ref="I13" si="0">F13</f>
        <v>98309.75</v>
      </c>
      <c r="J13" s="660">
        <f>I13-K13</f>
        <v>42182.080000000002</v>
      </c>
      <c r="K13" s="660">
        <v>56127.67</v>
      </c>
      <c r="L13" s="758">
        <v>45432</v>
      </c>
      <c r="M13" s="340" t="s">
        <v>259</v>
      </c>
      <c r="N13" s="681"/>
      <c r="O13" s="340"/>
      <c r="P13" s="340"/>
      <c r="Q13" s="605"/>
      <c r="R13" s="340"/>
      <c r="S13" s="340"/>
      <c r="T13" s="340"/>
      <c r="U13" s="340"/>
      <c r="V13" s="340"/>
      <c r="W13" s="340"/>
      <c r="X13" s="340"/>
      <c r="Y13" s="340"/>
      <c r="Z13" s="340"/>
      <c r="AA13" s="340"/>
      <c r="AB13" s="340"/>
      <c r="AC13" s="340"/>
      <c r="AD13" s="340"/>
      <c r="AE13" s="340"/>
      <c r="AF13" s="340"/>
      <c r="AG13" s="340"/>
      <c r="AH13" s="340"/>
      <c r="AI13" s="340"/>
      <c r="AJ13" s="340"/>
    </row>
    <row r="14" spans="1:36" s="345" customFormat="1" ht="13.8" customHeight="1" x14ac:dyDescent="0.25">
      <c r="A14" s="672" t="s">
        <v>239</v>
      </c>
      <c r="B14" s="663" t="s">
        <v>223</v>
      </c>
      <c r="C14" s="768" t="s">
        <v>74</v>
      </c>
      <c r="D14" s="629">
        <v>1907190.76</v>
      </c>
      <c r="E14" s="666">
        <v>1</v>
      </c>
      <c r="F14" s="674">
        <v>836792.11</v>
      </c>
      <c r="G14" s="660" t="s">
        <v>244</v>
      </c>
      <c r="H14" s="661">
        <v>1</v>
      </c>
      <c r="I14" s="674">
        <f>F14</f>
        <v>836792.11</v>
      </c>
      <c r="J14" s="660">
        <f>I14-K14</f>
        <v>227573.59999999998</v>
      </c>
      <c r="K14" s="660">
        <v>609218.51</v>
      </c>
      <c r="L14" s="758" t="s">
        <v>252</v>
      </c>
      <c r="M14" s="340" t="s">
        <v>260</v>
      </c>
      <c r="N14" s="340"/>
      <c r="O14" s="340"/>
      <c r="P14" s="340"/>
      <c r="Q14" s="340"/>
      <c r="R14" s="340"/>
      <c r="S14" s="340"/>
      <c r="T14" s="340"/>
      <c r="U14" s="340"/>
      <c r="V14" s="340"/>
      <c r="W14" s="340"/>
      <c r="X14" s="340"/>
      <c r="Y14" s="340"/>
      <c r="Z14" s="340"/>
      <c r="AA14" s="340"/>
      <c r="AB14" s="340"/>
      <c r="AC14" s="340"/>
      <c r="AD14" s="340"/>
      <c r="AE14" s="340"/>
      <c r="AF14" s="340"/>
      <c r="AG14" s="340"/>
      <c r="AH14" s="340"/>
      <c r="AI14" s="340"/>
      <c r="AJ14" s="340"/>
    </row>
    <row r="15" spans="1:36" s="345" customFormat="1" ht="13.8" customHeight="1" x14ac:dyDescent="0.25">
      <c r="A15" s="672" t="s">
        <v>240</v>
      </c>
      <c r="B15" s="663" t="s">
        <v>250</v>
      </c>
      <c r="C15" s="768" t="s">
        <v>77</v>
      </c>
      <c r="D15" s="629">
        <v>554589.34</v>
      </c>
      <c r="E15" s="666">
        <v>1</v>
      </c>
      <c r="F15" s="674">
        <v>233757.78</v>
      </c>
      <c r="G15" s="660" t="s">
        <v>251</v>
      </c>
      <c r="H15" s="661">
        <v>1</v>
      </c>
      <c r="I15" s="674">
        <v>233757.78</v>
      </c>
      <c r="J15" s="660">
        <f>I15-K15</f>
        <v>225075.77</v>
      </c>
      <c r="K15" s="660">
        <v>8682.01</v>
      </c>
      <c r="L15" s="758">
        <v>45412</v>
      </c>
      <c r="M15" s="340" t="s">
        <v>261</v>
      </c>
      <c r="N15" s="340"/>
      <c r="O15" s="340"/>
      <c r="P15" s="340"/>
      <c r="Q15" s="340"/>
      <c r="R15" s="340"/>
      <c r="S15" s="340"/>
      <c r="T15" s="340"/>
      <c r="U15" s="340"/>
      <c r="V15" s="340"/>
      <c r="W15" s="340"/>
      <c r="X15" s="340"/>
      <c r="Y15" s="340"/>
      <c r="Z15" s="340"/>
      <c r="AA15" s="340"/>
      <c r="AB15" s="340"/>
      <c r="AC15" s="340"/>
      <c r="AD15" s="340"/>
      <c r="AE15" s="340"/>
      <c r="AF15" s="340"/>
      <c r="AG15" s="340"/>
      <c r="AH15" s="340"/>
      <c r="AI15" s="340"/>
      <c r="AJ15" s="340"/>
    </row>
    <row r="16" spans="1:36" s="345" customFormat="1" ht="37.799999999999997" customHeight="1" x14ac:dyDescent="0.25">
      <c r="A16" s="672" t="s">
        <v>241</v>
      </c>
      <c r="B16" s="663" t="s">
        <v>225</v>
      </c>
      <c r="C16" s="768" t="s">
        <v>78</v>
      </c>
      <c r="D16" s="629">
        <v>205250.65</v>
      </c>
      <c r="E16" s="666">
        <v>1</v>
      </c>
      <c r="F16" s="674">
        <v>36249.65</v>
      </c>
      <c r="G16" s="660" t="s">
        <v>255</v>
      </c>
      <c r="H16" s="661">
        <v>1</v>
      </c>
      <c r="I16" s="660">
        <f t="shared" ref="I16:I17" si="1">F16</f>
        <v>36249.65</v>
      </c>
      <c r="J16" s="660">
        <f t="shared" ref="J16:J17" si="2">I16-K16</f>
        <v>21207.086000000003</v>
      </c>
      <c r="K16" s="660">
        <v>15042.564</v>
      </c>
      <c r="L16" s="759" t="s">
        <v>252</v>
      </c>
      <c r="M16" s="340" t="s">
        <v>254</v>
      </c>
      <c r="N16" s="340"/>
      <c r="O16" s="340"/>
      <c r="P16" s="340"/>
      <c r="Q16" s="340"/>
      <c r="R16" s="340"/>
      <c r="S16" s="340"/>
      <c r="T16" s="340"/>
      <c r="U16" s="340"/>
      <c r="V16" s="340"/>
      <c r="W16" s="340"/>
      <c r="X16" s="340"/>
      <c r="Y16" s="340"/>
      <c r="Z16" s="340"/>
      <c r="AA16" s="340"/>
      <c r="AB16" s="340"/>
      <c r="AC16" s="340"/>
      <c r="AD16" s="340"/>
      <c r="AE16" s="340"/>
      <c r="AF16" s="340"/>
      <c r="AG16" s="340"/>
      <c r="AH16" s="340"/>
      <c r="AI16" s="340"/>
      <c r="AJ16" s="340"/>
    </row>
    <row r="17" spans="1:36" s="345" customFormat="1" ht="13.8" customHeight="1" thickBot="1" x14ac:dyDescent="0.3">
      <c r="A17" s="651">
        <v>14</v>
      </c>
      <c r="B17" s="663" t="s">
        <v>218</v>
      </c>
      <c r="C17" s="768" t="s">
        <v>205</v>
      </c>
      <c r="D17" s="756">
        <v>164975.04000000001</v>
      </c>
      <c r="E17" s="666">
        <v>1</v>
      </c>
      <c r="F17" s="674">
        <v>98455.63</v>
      </c>
      <c r="G17" s="660" t="s">
        <v>255</v>
      </c>
      <c r="H17" s="661">
        <v>1</v>
      </c>
      <c r="I17" s="660">
        <f t="shared" si="1"/>
        <v>98455.63</v>
      </c>
      <c r="J17" s="660">
        <f t="shared" si="2"/>
        <v>29328.718000000008</v>
      </c>
      <c r="K17" s="660">
        <v>69126.911999999997</v>
      </c>
      <c r="L17" s="760"/>
      <c r="M17" s="340" t="s">
        <v>262</v>
      </c>
      <c r="N17" s="340"/>
      <c r="O17" s="340"/>
      <c r="P17" s="340"/>
      <c r="Q17" s="340"/>
      <c r="R17" s="340"/>
      <c r="S17" s="340"/>
      <c r="T17" s="340"/>
      <c r="U17" s="340"/>
      <c r="V17" s="340"/>
      <c r="W17" s="340"/>
      <c r="X17" s="340"/>
      <c r="Y17" s="340"/>
      <c r="Z17" s="340"/>
      <c r="AA17" s="340"/>
      <c r="AB17" s="340"/>
      <c r="AC17" s="340"/>
      <c r="AD17" s="340"/>
      <c r="AE17" s="340"/>
      <c r="AF17" s="340"/>
      <c r="AG17" s="340"/>
      <c r="AH17" s="340"/>
      <c r="AI17" s="340"/>
      <c r="AJ17" s="340"/>
    </row>
    <row r="18" spans="1:36" s="346" customFormat="1" ht="17.399999999999999" customHeight="1" thickBot="1" x14ac:dyDescent="0.3">
      <c r="A18" s="763"/>
      <c r="B18" s="540" t="s">
        <v>47</v>
      </c>
      <c r="C18" s="764"/>
      <c r="D18" s="765">
        <f>SUM(D8:D17)</f>
        <v>178528959.47999999</v>
      </c>
      <c r="E18" s="766"/>
      <c r="F18" s="766">
        <f>SUM(F7:F17)</f>
        <v>11342277.020000001</v>
      </c>
      <c r="G18" s="766"/>
      <c r="H18" s="766"/>
      <c r="I18" s="766">
        <f>SUM(I7:I17)</f>
        <v>11342277.020000001</v>
      </c>
      <c r="J18" s="766">
        <f t="shared" ref="J18:K18" si="3">SUM(J7:J17)</f>
        <v>5978513.3339999998</v>
      </c>
      <c r="K18" s="766">
        <f t="shared" si="3"/>
        <v>5363763.6859999998</v>
      </c>
      <c r="L18" s="606"/>
    </row>
    <row r="19" spans="1:36" s="346" customFormat="1" ht="22.2" customHeight="1" x14ac:dyDescent="0.25">
      <c r="A19" s="614"/>
      <c r="B19" s="614"/>
      <c r="C19" s="615"/>
      <c r="D19" s="616"/>
      <c r="E19" s="617"/>
      <c r="F19" s="617"/>
      <c r="G19" s="617"/>
      <c r="H19" s="379"/>
      <c r="I19" s="681"/>
      <c r="J19" s="379"/>
      <c r="K19" s="379"/>
    </row>
    <row r="20" spans="1:36" x14ac:dyDescent="0.25">
      <c r="A20" s="618"/>
      <c r="B20" s="618"/>
      <c r="D20" s="619"/>
      <c r="H20" s="356"/>
    </row>
    <row r="21" spans="1:36" x14ac:dyDescent="0.25">
      <c r="A21" s="618"/>
      <c r="B21" s="618"/>
      <c r="D21" s="619"/>
      <c r="H21" s="356"/>
    </row>
    <row r="22" spans="1:36" x14ac:dyDescent="0.25">
      <c r="A22" s="618"/>
      <c r="B22" s="618"/>
      <c r="D22" s="619"/>
      <c r="F22" s="365" t="e">
        <f>#REF!+#REF!+#REF!+#REF!+#REF!+#REF!+#REF!+#REF!</f>
        <v>#REF!</v>
      </c>
      <c r="H22" s="356"/>
    </row>
    <row r="23" spans="1:36" x14ac:dyDescent="0.25">
      <c r="A23" s="618"/>
      <c r="B23" s="618"/>
      <c r="D23" s="619"/>
      <c r="H23" s="356"/>
    </row>
    <row r="24" spans="1:36" x14ac:dyDescent="0.25">
      <c r="A24" s="618"/>
      <c r="B24" s="618"/>
      <c r="D24" s="619"/>
      <c r="H24" s="356"/>
    </row>
    <row r="25" spans="1:36" x14ac:dyDescent="0.25">
      <c r="A25" s="618"/>
      <c r="B25" s="618"/>
      <c r="D25" s="619"/>
      <c r="H25" s="356"/>
      <c r="I25" s="576"/>
      <c r="J25" s="571"/>
    </row>
    <row r="26" spans="1:36" x14ac:dyDescent="0.25">
      <c r="A26" s="618"/>
      <c r="B26" s="618"/>
      <c r="H26" s="356"/>
    </row>
    <row r="27" spans="1:36" x14ac:dyDescent="0.25">
      <c r="A27" s="618"/>
      <c r="B27" s="618"/>
      <c r="H27" s="356"/>
    </row>
    <row r="28" spans="1:36" x14ac:dyDescent="0.25">
      <c r="A28" s="618"/>
      <c r="B28" s="618"/>
      <c r="H28" s="356"/>
    </row>
    <row r="29" spans="1:36" x14ac:dyDescent="0.25">
      <c r="A29" s="618"/>
      <c r="B29" s="618"/>
      <c r="H29" s="356"/>
    </row>
    <row r="30" spans="1:36" x14ac:dyDescent="0.25">
      <c r="A30" s="618"/>
      <c r="B30" s="618"/>
      <c r="H30" s="356"/>
    </row>
    <row r="31" spans="1:36" x14ac:dyDescent="0.25">
      <c r="A31" s="618"/>
      <c r="B31" s="618"/>
      <c r="H31" s="356"/>
    </row>
    <row r="32" spans="1:36" x14ac:dyDescent="0.25">
      <c r="C32" s="360"/>
      <c r="D32" s="361"/>
      <c r="E32" s="356"/>
      <c r="F32" s="356"/>
      <c r="G32" s="356"/>
      <c r="H32" s="356"/>
    </row>
    <row r="33" spans="3:8" x14ac:dyDescent="0.25">
      <c r="C33" s="360"/>
      <c r="D33" s="361"/>
      <c r="E33" s="356"/>
      <c r="F33" s="356"/>
      <c r="G33" s="356"/>
      <c r="H33" s="356"/>
    </row>
    <row r="34" spans="3:8" x14ac:dyDescent="0.25">
      <c r="C34" s="360"/>
      <c r="D34" s="361"/>
      <c r="E34" s="356"/>
      <c r="F34" s="356"/>
      <c r="G34" s="356"/>
      <c r="H34" s="356"/>
    </row>
  </sheetData>
  <mergeCells count="8">
    <mergeCell ref="L4:L6"/>
    <mergeCell ref="E5:G5"/>
    <mergeCell ref="A2:G2"/>
    <mergeCell ref="A4:A6"/>
    <mergeCell ref="B4:B6"/>
    <mergeCell ref="C4:D5"/>
    <mergeCell ref="E4:G4"/>
    <mergeCell ref="H4:K5"/>
  </mergeCells>
  <pageMargins left="0.25" right="0.25" top="0.75" bottom="0.75" header="0.3" footer="0.3"/>
  <pageSetup paperSize="9" scale="51" fitToWidth="0" orientation="landscape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30" customWidth="1"/>
    <col min="2" max="2" width="35.6640625" style="330" customWidth="1"/>
    <col min="3" max="3" width="6.44140625" style="363" customWidth="1" outlineLevel="1"/>
    <col min="4" max="4" width="17.44140625" style="364" customWidth="1" outlineLevel="1"/>
    <col min="5" max="5" width="25.77734375" style="333" hidden="1" customWidth="1"/>
    <col min="6" max="6" width="5.6640625" style="365" customWidth="1" outlineLevel="1"/>
    <col min="7" max="7" width="16.77734375" style="365" customWidth="1" outlineLevel="1"/>
    <col min="8" max="8" width="5.44140625" style="365" customWidth="1" outlineLevel="1"/>
    <col min="9" max="9" width="16.6640625" style="365" customWidth="1" outlineLevel="1"/>
    <col min="10" max="10" width="6.44140625" style="365" customWidth="1" outlineLevel="1"/>
    <col min="11" max="11" width="14.5546875" style="365" customWidth="1" outlineLevel="1"/>
    <col min="12" max="12" width="5.6640625" style="365" customWidth="1" outlineLevel="1"/>
    <col min="13" max="13" width="14" style="365" customWidth="1" outlineLevel="1"/>
    <col min="14" max="14" width="7.109375" style="365" customWidth="1" outlineLevel="1"/>
    <col min="15" max="15" width="13.88671875" style="365" customWidth="1" outlineLevel="1"/>
    <col min="16" max="16" width="6.21875" style="365" customWidth="1" outlineLevel="1"/>
    <col min="17" max="17" width="14.109375" style="365" customWidth="1" outlineLevel="1"/>
    <col min="18" max="18" width="5.6640625" style="365" customWidth="1" outlineLevel="1"/>
    <col min="19" max="19" width="12.33203125" style="365" customWidth="1" outlineLevel="1"/>
    <col min="20" max="20" width="5.33203125" style="365" customWidth="1" outlineLevel="1"/>
    <col min="21" max="21" width="11.44140625" style="365" customWidth="1" outlineLevel="1"/>
    <col min="22" max="22" width="13.33203125" style="365" customWidth="1" outlineLevel="1"/>
    <col min="23" max="24" width="11.21875" style="365" customWidth="1" outlineLevel="1"/>
    <col min="25" max="25" width="7.21875" style="329" customWidth="1"/>
    <col min="26" max="26" width="13.33203125" style="329" customWidth="1"/>
    <col min="27" max="27" width="16.44140625" style="329" customWidth="1"/>
    <col min="28" max="28" width="13.33203125" style="330" customWidth="1"/>
    <col min="29" max="29" width="13.5546875" style="330" customWidth="1"/>
    <col min="30" max="30" width="13.33203125" style="330" customWidth="1"/>
    <col min="31" max="31" width="9.109375" style="330"/>
    <col min="32" max="32" width="13.33203125" style="330" bestFit="1" customWidth="1"/>
    <col min="33" max="16384" width="9.109375" style="330"/>
  </cols>
  <sheetData>
    <row r="2" spans="1:30" ht="15" customHeight="1" x14ac:dyDescent="0.25">
      <c r="A2" s="864" t="s">
        <v>152</v>
      </c>
      <c r="B2" s="864"/>
      <c r="C2" s="864"/>
      <c r="D2" s="864"/>
      <c r="E2" s="864"/>
      <c r="F2" s="864"/>
      <c r="G2" s="864"/>
      <c r="H2" s="864"/>
      <c r="I2" s="864"/>
      <c r="J2" s="864"/>
      <c r="K2" s="864"/>
      <c r="L2" s="864"/>
      <c r="M2" s="864"/>
      <c r="N2" s="864"/>
      <c r="O2" s="864"/>
      <c r="P2" s="864"/>
      <c r="Q2" s="864"/>
      <c r="R2" s="864"/>
      <c r="S2" s="864"/>
      <c r="T2" s="864"/>
      <c r="U2" s="864"/>
      <c r="V2" s="864"/>
      <c r="W2" s="864"/>
      <c r="X2" s="864"/>
      <c r="Y2" s="864"/>
      <c r="Z2" s="331"/>
      <c r="AA2" s="331"/>
    </row>
    <row r="3" spans="1:30" ht="15" customHeight="1" x14ac:dyDescent="0.25">
      <c r="A3" s="331"/>
      <c r="B3" s="331"/>
      <c r="C3" s="331"/>
      <c r="D3" s="332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5"/>
      <c r="Z3" s="335"/>
      <c r="AA3" s="335"/>
    </row>
    <row r="4" spans="1:30" ht="39.6" customHeight="1" x14ac:dyDescent="0.25">
      <c r="A4" s="874" t="s">
        <v>121</v>
      </c>
      <c r="B4" s="870" t="s">
        <v>2</v>
      </c>
      <c r="C4" s="878" t="s">
        <v>122</v>
      </c>
      <c r="D4" s="879"/>
      <c r="E4" s="881" t="s">
        <v>123</v>
      </c>
      <c r="F4" s="884" t="s">
        <v>124</v>
      </c>
      <c r="G4" s="885"/>
      <c r="H4" s="885"/>
      <c r="I4" s="885"/>
      <c r="J4" s="885"/>
      <c r="K4" s="885"/>
      <c r="L4" s="885"/>
      <c r="M4" s="885"/>
      <c r="N4" s="885"/>
      <c r="O4" s="885"/>
      <c r="P4" s="885"/>
      <c r="Q4" s="885"/>
      <c r="R4" s="885"/>
      <c r="S4" s="885"/>
      <c r="T4" s="885"/>
      <c r="U4" s="885"/>
      <c r="V4" s="885"/>
      <c r="W4" s="886"/>
      <c r="X4" s="534"/>
      <c r="Y4" s="878" t="s">
        <v>125</v>
      </c>
      <c r="Z4" s="887"/>
      <c r="AA4" s="879"/>
      <c r="AB4" s="888" t="s">
        <v>126</v>
      </c>
      <c r="AC4" s="889"/>
      <c r="AD4" s="890"/>
    </row>
    <row r="5" spans="1:30" ht="15.45" customHeight="1" x14ac:dyDescent="0.25">
      <c r="A5" s="875"/>
      <c r="B5" s="877"/>
      <c r="C5" s="842"/>
      <c r="D5" s="880"/>
      <c r="E5" s="882"/>
      <c r="F5" s="884" t="s">
        <v>146</v>
      </c>
      <c r="G5" s="886"/>
      <c r="H5" s="884" t="s">
        <v>147</v>
      </c>
      <c r="I5" s="886"/>
      <c r="J5" s="884" t="s">
        <v>148</v>
      </c>
      <c r="K5" s="886"/>
      <c r="L5" s="884" t="s">
        <v>159</v>
      </c>
      <c r="M5" s="886"/>
      <c r="N5" s="884" t="s">
        <v>158</v>
      </c>
      <c r="O5" s="886"/>
      <c r="P5" s="884" t="s">
        <v>162</v>
      </c>
      <c r="Q5" s="886"/>
      <c r="R5" s="884" t="s">
        <v>169</v>
      </c>
      <c r="S5" s="886"/>
      <c r="T5" s="884"/>
      <c r="U5" s="886"/>
      <c r="V5" s="884"/>
      <c r="W5" s="886"/>
      <c r="X5" s="535"/>
      <c r="Y5" s="842"/>
      <c r="Z5" s="843"/>
      <c r="AA5" s="880"/>
      <c r="AB5" s="891"/>
      <c r="AC5" s="892"/>
      <c r="AD5" s="893"/>
    </row>
    <row r="6" spans="1:30" ht="27.75" customHeight="1" x14ac:dyDescent="0.25">
      <c r="A6" s="876"/>
      <c r="B6" s="868"/>
      <c r="C6" s="336" t="s">
        <v>127</v>
      </c>
      <c r="D6" s="337" t="s">
        <v>128</v>
      </c>
      <c r="E6" s="883"/>
      <c r="F6" s="336" t="s">
        <v>129</v>
      </c>
      <c r="G6" s="336" t="s">
        <v>130</v>
      </c>
      <c r="H6" s="336" t="s">
        <v>129</v>
      </c>
      <c r="I6" s="336" t="s">
        <v>130</v>
      </c>
      <c r="J6" s="336" t="s">
        <v>129</v>
      </c>
      <c r="K6" s="336" t="s">
        <v>130</v>
      </c>
      <c r="L6" s="336" t="s">
        <v>129</v>
      </c>
      <c r="M6" s="336" t="s">
        <v>130</v>
      </c>
      <c r="N6" s="336" t="s">
        <v>129</v>
      </c>
      <c r="O6" s="336" t="s">
        <v>130</v>
      </c>
      <c r="P6" s="336" t="s">
        <v>129</v>
      </c>
      <c r="Q6" s="336" t="s">
        <v>130</v>
      </c>
      <c r="R6" s="336" t="s">
        <v>129</v>
      </c>
      <c r="S6" s="336" t="s">
        <v>130</v>
      </c>
      <c r="T6" s="336" t="s">
        <v>129</v>
      </c>
      <c r="U6" s="336" t="s">
        <v>130</v>
      </c>
      <c r="V6" s="336" t="s">
        <v>129</v>
      </c>
      <c r="W6" s="336" t="s">
        <v>130</v>
      </c>
      <c r="X6" s="336"/>
      <c r="Y6" s="336" t="s">
        <v>131</v>
      </c>
      <c r="Z6" s="336" t="s">
        <v>130</v>
      </c>
      <c r="AA6" s="336" t="s">
        <v>132</v>
      </c>
      <c r="AB6" s="338" t="s">
        <v>16</v>
      </c>
      <c r="AC6" s="339" t="s">
        <v>25</v>
      </c>
      <c r="AD6" s="339" t="s">
        <v>15</v>
      </c>
    </row>
    <row r="7" spans="1:30" s="340" customFormat="1" ht="12.6" thickBot="1" x14ac:dyDescent="0.3">
      <c r="A7" s="481">
        <v>1</v>
      </c>
      <c r="B7" s="482">
        <v>2</v>
      </c>
      <c r="C7" s="483">
        <v>3</v>
      </c>
      <c r="D7" s="484">
        <v>4</v>
      </c>
      <c r="E7" s="483">
        <v>5</v>
      </c>
      <c r="F7" s="484">
        <v>8</v>
      </c>
      <c r="G7" s="484">
        <v>9</v>
      </c>
      <c r="H7" s="484"/>
      <c r="I7" s="484"/>
      <c r="J7" s="484"/>
      <c r="K7" s="484"/>
      <c r="L7" s="484"/>
      <c r="M7" s="484"/>
      <c r="N7" s="484"/>
      <c r="O7" s="484"/>
      <c r="P7" s="484"/>
      <c r="Q7" s="484"/>
      <c r="R7" s="484"/>
      <c r="S7" s="484"/>
      <c r="T7" s="484"/>
      <c r="U7" s="484"/>
      <c r="V7" s="484"/>
      <c r="W7" s="484"/>
      <c r="X7" s="484"/>
      <c r="Y7" s="485">
        <v>10</v>
      </c>
      <c r="Z7" s="485">
        <v>11</v>
      </c>
      <c r="AA7" s="483">
        <v>12</v>
      </c>
      <c r="AB7" s="483">
        <v>19</v>
      </c>
      <c r="AC7" s="483">
        <v>20</v>
      </c>
      <c r="AD7" s="483">
        <v>21</v>
      </c>
    </row>
    <row r="8" spans="1:30" s="345" customFormat="1" ht="12" customHeight="1" x14ac:dyDescent="0.25">
      <c r="A8" s="904">
        <v>1</v>
      </c>
      <c r="B8" s="920" t="s">
        <v>95</v>
      </c>
      <c r="C8" s="894" t="s">
        <v>53</v>
      </c>
      <c r="D8" s="898">
        <v>9670800</v>
      </c>
      <c r="E8" s="413" t="s">
        <v>133</v>
      </c>
      <c r="F8" s="414" t="s">
        <v>53</v>
      </c>
      <c r="G8" s="486">
        <f>288379.22</f>
        <v>288379.21999999997</v>
      </c>
      <c r="H8" s="414"/>
      <c r="I8" s="414"/>
      <c r="J8" s="414"/>
      <c r="K8" s="414"/>
      <c r="L8" s="414"/>
      <c r="M8" s="414"/>
      <c r="N8" s="414"/>
      <c r="O8" s="414"/>
      <c r="P8" s="414"/>
      <c r="Q8" s="414"/>
      <c r="R8" s="414"/>
      <c r="S8" s="414"/>
      <c r="T8" s="414"/>
      <c r="U8" s="414"/>
      <c r="V8" s="414"/>
      <c r="W8" s="414"/>
      <c r="X8" s="414"/>
      <c r="Y8" s="487">
        <v>1</v>
      </c>
      <c r="Z8" s="488">
        <v>288379.21999999997</v>
      </c>
      <c r="AA8" s="901">
        <f>SUM(AB8:AB22)</f>
        <v>8579031.879999999</v>
      </c>
      <c r="AB8" s="489">
        <v>288379.21999999997</v>
      </c>
      <c r="AC8" s="490">
        <v>279386.06</v>
      </c>
      <c r="AD8" s="417">
        <v>8993.16</v>
      </c>
    </row>
    <row r="9" spans="1:30" s="345" customFormat="1" ht="13.8" x14ac:dyDescent="0.25">
      <c r="A9" s="918"/>
      <c r="B9" s="921"/>
      <c r="C9" s="895"/>
      <c r="D9" s="899"/>
      <c r="E9" s="341" t="s">
        <v>134</v>
      </c>
      <c r="F9" s="342" t="s">
        <v>69</v>
      </c>
      <c r="G9" s="366">
        <v>193609.49</v>
      </c>
      <c r="H9" s="342"/>
      <c r="I9" s="342"/>
      <c r="J9" s="342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342"/>
      <c r="V9" s="342"/>
      <c r="W9" s="342"/>
      <c r="X9" s="342"/>
      <c r="Y9" s="433">
        <v>2</v>
      </c>
      <c r="Z9" s="395">
        <v>193609.49</v>
      </c>
      <c r="AA9" s="902"/>
      <c r="AB9" s="434">
        <v>193609.49</v>
      </c>
      <c r="AC9" s="344">
        <v>193609.49</v>
      </c>
      <c r="AD9" s="491">
        <v>0</v>
      </c>
    </row>
    <row r="10" spans="1:30" s="345" customFormat="1" ht="13.8" x14ac:dyDescent="0.25">
      <c r="A10" s="918"/>
      <c r="B10" s="921"/>
      <c r="C10" s="895"/>
      <c r="D10" s="899"/>
      <c r="E10" s="341" t="s">
        <v>135</v>
      </c>
      <c r="F10" s="342"/>
      <c r="G10" s="342"/>
      <c r="H10" s="342" t="s">
        <v>70</v>
      </c>
      <c r="I10" s="366">
        <v>266283.61</v>
      </c>
      <c r="J10" s="342"/>
      <c r="K10" s="342"/>
      <c r="L10" s="342"/>
      <c r="M10" s="342"/>
      <c r="N10" s="342"/>
      <c r="O10" s="342"/>
      <c r="P10" s="342"/>
      <c r="Q10" s="342"/>
      <c r="R10" s="342"/>
      <c r="S10" s="342"/>
      <c r="T10" s="342"/>
      <c r="U10" s="342"/>
      <c r="V10" s="342"/>
      <c r="W10" s="342"/>
      <c r="X10" s="342"/>
      <c r="Y10" s="433">
        <v>3</v>
      </c>
      <c r="Z10" s="395">
        <v>266283.61</v>
      </c>
      <c r="AA10" s="902"/>
      <c r="AB10" s="434">
        <v>266283.61</v>
      </c>
      <c r="AC10" s="344">
        <v>256961.43399999998</v>
      </c>
      <c r="AD10" s="491">
        <v>9322.1759999999995</v>
      </c>
    </row>
    <row r="11" spans="1:30" s="345" customFormat="1" ht="13.8" x14ac:dyDescent="0.25">
      <c r="A11" s="918"/>
      <c r="B11" s="921"/>
      <c r="C11" s="895"/>
      <c r="D11" s="899"/>
      <c r="E11" s="341" t="s">
        <v>136</v>
      </c>
      <c r="F11" s="342"/>
      <c r="G11" s="342"/>
      <c r="H11" s="342" t="s">
        <v>71</v>
      </c>
      <c r="I11" s="366">
        <v>1054954.1000000001</v>
      </c>
      <c r="J11" s="342"/>
      <c r="K11" s="342"/>
      <c r="L11" s="342"/>
      <c r="M11" s="342"/>
      <c r="N11" s="342"/>
      <c r="O11" s="342"/>
      <c r="P11" s="342"/>
      <c r="Q11" s="342"/>
      <c r="R11" s="342"/>
      <c r="S11" s="342"/>
      <c r="T11" s="342"/>
      <c r="U11" s="342"/>
      <c r="V11" s="342"/>
      <c r="W11" s="342"/>
      <c r="X11" s="342"/>
      <c r="Y11" s="433">
        <v>4</v>
      </c>
      <c r="Z11" s="395">
        <v>1054954.1000000001</v>
      </c>
      <c r="AA11" s="902"/>
      <c r="AB11" s="434">
        <f>Z11</f>
        <v>1054954.1000000001</v>
      </c>
      <c r="AC11" s="344">
        <v>1043855.2300000001</v>
      </c>
      <c r="AD11" s="491">
        <v>11098.87</v>
      </c>
    </row>
    <row r="12" spans="1:30" s="345" customFormat="1" ht="13.8" x14ac:dyDescent="0.25">
      <c r="A12" s="918"/>
      <c r="B12" s="921"/>
      <c r="C12" s="895"/>
      <c r="D12" s="899"/>
      <c r="E12" s="341" t="s">
        <v>137</v>
      </c>
      <c r="F12" s="342"/>
      <c r="G12" s="344"/>
      <c r="I12" s="367"/>
      <c r="J12" s="367" t="s">
        <v>72</v>
      </c>
      <c r="K12" s="366">
        <v>70786.210000000006</v>
      </c>
      <c r="L12" s="342"/>
      <c r="M12" s="342"/>
      <c r="N12" s="342"/>
      <c r="O12" s="342"/>
      <c r="P12" s="342"/>
      <c r="Q12" s="342"/>
      <c r="R12" s="342"/>
      <c r="S12" s="342"/>
      <c r="T12" s="342"/>
      <c r="U12" s="342"/>
      <c r="V12" s="342"/>
      <c r="W12" s="342"/>
      <c r="X12" s="342"/>
      <c r="Y12" s="433">
        <v>5</v>
      </c>
      <c r="Z12" s="395">
        <v>70786.210000000006</v>
      </c>
      <c r="AA12" s="902"/>
      <c r="AB12" s="434">
        <v>70786.210000000006</v>
      </c>
      <c r="AC12" s="368">
        <v>68044.39</v>
      </c>
      <c r="AD12" s="491">
        <v>2741.8199999999997</v>
      </c>
    </row>
    <row r="13" spans="1:30" s="345" customFormat="1" x14ac:dyDescent="0.25">
      <c r="A13" s="918"/>
      <c r="B13" s="921"/>
      <c r="C13" s="895"/>
      <c r="D13" s="899"/>
      <c r="E13" s="341"/>
      <c r="F13" s="342"/>
      <c r="G13" s="344"/>
      <c r="H13" s="367"/>
      <c r="I13" s="367"/>
      <c r="J13" s="342" t="s">
        <v>73</v>
      </c>
      <c r="K13" s="342">
        <v>862817.57</v>
      </c>
      <c r="L13" s="342"/>
      <c r="M13" s="342"/>
      <c r="N13" s="342"/>
      <c r="O13" s="342"/>
      <c r="P13" s="342"/>
      <c r="Q13" s="342"/>
      <c r="R13" s="342"/>
      <c r="S13" s="342"/>
      <c r="T13" s="342"/>
      <c r="U13" s="342"/>
      <c r="V13" s="342"/>
      <c r="W13" s="342"/>
      <c r="X13" s="342"/>
      <c r="Y13" s="394">
        <v>6</v>
      </c>
      <c r="Z13" s="395">
        <v>862817.57</v>
      </c>
      <c r="AA13" s="902"/>
      <c r="AB13" s="435">
        <v>862817.57</v>
      </c>
      <c r="AC13" s="344">
        <v>805192.25</v>
      </c>
      <c r="AD13" s="491">
        <v>57625.32</v>
      </c>
    </row>
    <row r="14" spans="1:30" s="345" customFormat="1" x14ac:dyDescent="0.25">
      <c r="A14" s="918"/>
      <c r="B14" s="921"/>
      <c r="C14" s="895"/>
      <c r="D14" s="899"/>
      <c r="E14" s="341"/>
      <c r="F14" s="342"/>
      <c r="G14" s="344"/>
      <c r="H14" s="367"/>
      <c r="I14" s="367"/>
      <c r="J14" s="342" t="s">
        <v>74</v>
      </c>
      <c r="K14" s="342">
        <v>291462.71000000002</v>
      </c>
      <c r="L14" s="342"/>
      <c r="M14" s="342"/>
      <c r="N14" s="342"/>
      <c r="O14" s="342"/>
      <c r="P14" s="342"/>
      <c r="Q14" s="342"/>
      <c r="R14" s="342"/>
      <c r="S14" s="342"/>
      <c r="T14" s="342"/>
      <c r="U14" s="342"/>
      <c r="V14" s="342"/>
      <c r="W14" s="342"/>
      <c r="X14" s="342"/>
      <c r="Y14" s="394">
        <v>7</v>
      </c>
      <c r="Z14" s="395">
        <v>291462.71000000002</v>
      </c>
      <c r="AA14" s="902"/>
      <c r="AB14" s="435">
        <v>291462.71000000002</v>
      </c>
      <c r="AC14" s="344">
        <v>280166.43</v>
      </c>
      <c r="AD14" s="491">
        <v>11296.28</v>
      </c>
    </row>
    <row r="15" spans="1:30" s="345" customFormat="1" x14ac:dyDescent="0.25">
      <c r="A15" s="918"/>
      <c r="B15" s="921"/>
      <c r="C15" s="895"/>
      <c r="D15" s="899"/>
      <c r="E15" s="341"/>
      <c r="F15" s="342"/>
      <c r="G15" s="344"/>
      <c r="H15" s="367"/>
      <c r="I15" s="367"/>
      <c r="J15" s="342" t="s">
        <v>77</v>
      </c>
      <c r="K15" s="342">
        <v>449187.01</v>
      </c>
      <c r="L15" s="342"/>
      <c r="M15" s="342"/>
      <c r="N15" s="342"/>
      <c r="O15" s="342"/>
      <c r="P15" s="342"/>
      <c r="Q15" s="342"/>
      <c r="R15" s="342"/>
      <c r="S15" s="342"/>
      <c r="T15" s="342"/>
      <c r="U15" s="342"/>
      <c r="V15" s="342"/>
      <c r="W15" s="342"/>
      <c r="X15" s="342"/>
      <c r="Y15" s="394">
        <v>8</v>
      </c>
      <c r="Z15" s="395">
        <f>K15</f>
        <v>449187.01</v>
      </c>
      <c r="AA15" s="902"/>
      <c r="AB15" s="435">
        <f>Z15</f>
        <v>449187.01</v>
      </c>
      <c r="AC15" s="344">
        <v>439722.83</v>
      </c>
      <c r="AD15" s="491">
        <v>9464.18</v>
      </c>
    </row>
    <row r="16" spans="1:30" s="345" customFormat="1" x14ac:dyDescent="0.25">
      <c r="A16" s="918"/>
      <c r="B16" s="921"/>
      <c r="C16" s="895"/>
      <c r="D16" s="899"/>
      <c r="E16" s="341"/>
      <c r="F16" s="342"/>
      <c r="G16" s="344"/>
      <c r="H16" s="367"/>
      <c r="I16" s="367"/>
      <c r="J16" s="342" t="s">
        <v>78</v>
      </c>
      <c r="K16" s="343">
        <v>603287.62</v>
      </c>
      <c r="L16" s="342"/>
      <c r="M16" s="342"/>
      <c r="N16" s="342"/>
      <c r="O16" s="342"/>
      <c r="P16" s="342"/>
      <c r="Q16" s="342"/>
      <c r="R16" s="342"/>
      <c r="S16" s="342"/>
      <c r="T16" s="342"/>
      <c r="U16" s="342"/>
      <c r="V16" s="342"/>
      <c r="W16" s="342"/>
      <c r="X16" s="342"/>
      <c r="Y16" s="394">
        <v>9</v>
      </c>
      <c r="Z16" s="395">
        <v>603287.62</v>
      </c>
      <c r="AA16" s="902"/>
      <c r="AB16" s="395">
        <v>603287.62</v>
      </c>
      <c r="AC16" s="344">
        <v>595984.13</v>
      </c>
      <c r="AD16" s="491">
        <v>7303.49</v>
      </c>
    </row>
    <row r="17" spans="1:30" s="345" customFormat="1" x14ac:dyDescent="0.25">
      <c r="A17" s="918"/>
      <c r="B17" s="921"/>
      <c r="C17" s="895"/>
      <c r="D17" s="899"/>
      <c r="E17" s="341" t="s">
        <v>138</v>
      </c>
      <c r="F17" s="367"/>
      <c r="G17" s="367"/>
      <c r="H17" s="367"/>
      <c r="I17" s="367"/>
      <c r="L17" s="342" t="s">
        <v>76</v>
      </c>
      <c r="M17" s="342">
        <v>941673.71</v>
      </c>
      <c r="N17" s="367"/>
      <c r="P17" s="342"/>
      <c r="Q17" s="342"/>
      <c r="R17" s="342"/>
      <c r="S17" s="342"/>
      <c r="T17" s="342"/>
      <c r="U17" s="342"/>
      <c r="V17" s="342"/>
      <c r="W17" s="342"/>
      <c r="X17" s="342"/>
      <c r="Y17" s="394">
        <v>10</v>
      </c>
      <c r="Z17" s="395">
        <f>M17</f>
        <v>941673.71</v>
      </c>
      <c r="AA17" s="902"/>
      <c r="AB17" s="435">
        <f>Z17</f>
        <v>941673.71</v>
      </c>
      <c r="AC17" s="344">
        <f>AB17-AD17</f>
        <v>921997.46600000001</v>
      </c>
      <c r="AD17" s="491">
        <v>19676.243999999999</v>
      </c>
    </row>
    <row r="18" spans="1:30" s="345" customFormat="1" x14ac:dyDescent="0.25">
      <c r="A18" s="918"/>
      <c r="B18" s="921"/>
      <c r="C18" s="895"/>
      <c r="D18" s="899"/>
      <c r="E18" s="341" t="s">
        <v>139</v>
      </c>
      <c r="G18" s="367"/>
      <c r="H18" s="367"/>
      <c r="I18" s="367"/>
      <c r="J18" s="342"/>
      <c r="K18" s="342"/>
      <c r="L18" s="342" t="s">
        <v>79</v>
      </c>
      <c r="M18" s="342">
        <f>Z18</f>
        <v>293363.46999999997</v>
      </c>
      <c r="N18" s="342"/>
      <c r="O18" s="342"/>
      <c r="P18" s="342"/>
      <c r="Q18" s="342"/>
      <c r="R18" s="342"/>
      <c r="S18" s="342"/>
      <c r="T18" s="342"/>
      <c r="U18" s="342"/>
      <c r="V18" s="342"/>
      <c r="W18" s="342"/>
      <c r="X18" s="342"/>
      <c r="Y18" s="394">
        <v>11</v>
      </c>
      <c r="Z18" s="395">
        <v>293363.46999999997</v>
      </c>
      <c r="AA18" s="902"/>
      <c r="AB18" s="435">
        <f>Z18</f>
        <v>293363.46999999997</v>
      </c>
      <c r="AC18" s="344">
        <v>290271.42</v>
      </c>
      <c r="AD18" s="491">
        <v>3092.05</v>
      </c>
    </row>
    <row r="19" spans="1:30" s="345" customFormat="1" x14ac:dyDescent="0.25">
      <c r="A19" s="918"/>
      <c r="B19" s="921"/>
      <c r="C19" s="895"/>
      <c r="D19" s="899"/>
      <c r="E19" s="341" t="s">
        <v>140</v>
      </c>
      <c r="F19" s="367"/>
      <c r="G19" s="367"/>
      <c r="H19" s="367"/>
      <c r="I19" s="367"/>
      <c r="J19" s="342"/>
      <c r="K19" s="342"/>
      <c r="L19" s="393" t="s">
        <v>75</v>
      </c>
      <c r="M19" s="393">
        <v>372983.72</v>
      </c>
      <c r="N19" s="342"/>
      <c r="O19" s="342"/>
      <c r="P19" s="342"/>
      <c r="Q19" s="342"/>
      <c r="R19" s="342"/>
      <c r="S19" s="342"/>
      <c r="T19" s="342"/>
      <c r="U19" s="342"/>
      <c r="V19" s="342"/>
      <c r="W19" s="342"/>
      <c r="X19" s="342"/>
      <c r="Y19" s="394">
        <v>12</v>
      </c>
      <c r="Z19" s="395">
        <f>M19</f>
        <v>372983.72</v>
      </c>
      <c r="AA19" s="902"/>
      <c r="AB19" s="435">
        <f>Z19</f>
        <v>372983.72</v>
      </c>
      <c r="AC19" s="344">
        <v>368468.62</v>
      </c>
      <c r="AD19" s="491">
        <v>4515.1000000000004</v>
      </c>
    </row>
    <row r="20" spans="1:30" s="345" customFormat="1" x14ac:dyDescent="0.25">
      <c r="A20" s="918"/>
      <c r="B20" s="921"/>
      <c r="C20" s="895"/>
      <c r="D20" s="899"/>
      <c r="E20" s="341" t="s">
        <v>141</v>
      </c>
      <c r="F20" s="367"/>
      <c r="G20" s="442"/>
      <c r="H20" s="367"/>
      <c r="I20" s="367"/>
      <c r="J20" s="342"/>
      <c r="K20" s="342"/>
      <c r="L20" s="342"/>
      <c r="M20" s="342"/>
      <c r="N20" s="393" t="s">
        <v>80</v>
      </c>
      <c r="O20" s="393">
        <v>354144.6</v>
      </c>
      <c r="P20" s="342"/>
      <c r="Q20" s="342"/>
      <c r="R20" s="342"/>
      <c r="S20" s="342"/>
      <c r="T20" s="342"/>
      <c r="U20" s="342"/>
      <c r="V20" s="342"/>
      <c r="W20" s="342"/>
      <c r="X20" s="342"/>
      <c r="Y20" s="393" t="s">
        <v>80</v>
      </c>
      <c r="Z20" s="393">
        <v>354144.6</v>
      </c>
      <c r="AA20" s="902"/>
      <c r="AB20" s="435">
        <v>354144.6</v>
      </c>
      <c r="AC20" s="344">
        <f>Z20-AD20</f>
        <v>349857.55</v>
      </c>
      <c r="AD20" s="491">
        <v>4287.05</v>
      </c>
    </row>
    <row r="21" spans="1:30" s="345" customFormat="1" x14ac:dyDescent="0.25">
      <c r="A21" s="918"/>
      <c r="B21" s="921"/>
      <c r="C21" s="896"/>
      <c r="D21" s="899"/>
      <c r="E21" s="341" t="s">
        <v>142</v>
      </c>
      <c r="F21" s="367"/>
      <c r="G21" s="367"/>
      <c r="H21" s="367"/>
      <c r="I21" s="367"/>
      <c r="J21" s="342"/>
      <c r="K21" s="342"/>
      <c r="L21" s="342"/>
      <c r="M21" s="342"/>
      <c r="N21" s="393" t="s">
        <v>81</v>
      </c>
      <c r="O21" s="393">
        <v>177987.94</v>
      </c>
      <c r="P21" s="367"/>
      <c r="Q21" s="367"/>
      <c r="R21" s="342"/>
      <c r="S21" s="342"/>
      <c r="T21" s="342"/>
      <c r="U21" s="342"/>
      <c r="V21" s="342"/>
      <c r="W21" s="342"/>
      <c r="X21" s="342"/>
      <c r="Y21" s="393" t="s">
        <v>81</v>
      </c>
      <c r="Z21" s="395">
        <f>O21</f>
        <v>177987.94</v>
      </c>
      <c r="AA21" s="902"/>
      <c r="AB21" s="395">
        <v>177987.94</v>
      </c>
      <c r="AC21" s="344">
        <f>AB21-AD21</f>
        <v>160077.57</v>
      </c>
      <c r="AD21" s="491">
        <v>17910.37</v>
      </c>
    </row>
    <row r="22" spans="1:30" s="345" customFormat="1" ht="12.6" thickBot="1" x14ac:dyDescent="0.3">
      <c r="A22" s="919"/>
      <c r="B22" s="922"/>
      <c r="C22" s="897"/>
      <c r="D22" s="900"/>
      <c r="E22" s="420" t="s">
        <v>143</v>
      </c>
      <c r="F22" s="421"/>
      <c r="G22" s="421"/>
      <c r="H22" s="421"/>
      <c r="I22" s="421"/>
      <c r="J22" s="421"/>
      <c r="K22" s="421"/>
      <c r="L22" s="421"/>
      <c r="M22" s="421"/>
      <c r="N22" s="492"/>
      <c r="O22" s="492"/>
      <c r="P22" s="493" t="s">
        <v>161</v>
      </c>
      <c r="Q22" s="421">
        <v>2358110.9</v>
      </c>
      <c r="R22" s="421"/>
      <c r="S22" s="421"/>
      <c r="T22" s="421"/>
      <c r="U22" s="421"/>
      <c r="V22" s="421"/>
      <c r="W22" s="421"/>
      <c r="X22" s="421"/>
      <c r="Y22" s="493" t="s">
        <v>161</v>
      </c>
      <c r="Z22" s="494">
        <f>Q22</f>
        <v>2358110.9</v>
      </c>
      <c r="AA22" s="903"/>
      <c r="AB22" s="495">
        <f>Z22</f>
        <v>2358110.9</v>
      </c>
      <c r="AC22" s="496">
        <v>1910403.5699999998</v>
      </c>
      <c r="AD22" s="424">
        <v>447707.33</v>
      </c>
    </row>
    <row r="23" spans="1:30" s="345" customFormat="1" ht="12.6" customHeight="1" x14ac:dyDescent="0.25">
      <c r="A23" s="506"/>
      <c r="B23" s="444"/>
      <c r="C23" s="507"/>
      <c r="D23" s="508"/>
      <c r="E23" s="509"/>
      <c r="F23" s="407"/>
      <c r="G23" s="408"/>
      <c r="H23" s="408"/>
      <c r="I23" s="408"/>
      <c r="J23" s="408"/>
      <c r="K23" s="408"/>
      <c r="L23" s="408"/>
      <c r="M23" s="408"/>
      <c r="N23" s="408"/>
      <c r="O23" s="408"/>
      <c r="P23" s="408"/>
      <c r="Q23" s="408"/>
      <c r="R23" s="408"/>
      <c r="S23" s="408"/>
      <c r="T23" s="408"/>
      <c r="U23" s="408"/>
      <c r="V23" s="408"/>
      <c r="W23" s="408"/>
      <c r="X23" s="408"/>
      <c r="Y23" s="409" t="s">
        <v>151</v>
      </c>
      <c r="Z23" s="410">
        <f>SUM(Z8:Z22)</f>
        <v>8579031.879999999</v>
      </c>
      <c r="AA23" s="411"/>
      <c r="AB23" s="408">
        <f>SUM(AB8:AB22)</f>
        <v>8579031.879999999</v>
      </c>
      <c r="AC23" s="408">
        <f>SUM(AC8:AC22)</f>
        <v>7963998.4400000013</v>
      </c>
      <c r="AD23" s="412">
        <f>SUM(AD8:AD22)</f>
        <v>615033.43999999994</v>
      </c>
    </row>
    <row r="24" spans="1:30" s="345" customFormat="1" ht="12.6" thickBot="1" x14ac:dyDescent="0.3">
      <c r="A24" s="510"/>
      <c r="B24" s="511"/>
      <c r="C24" s="512"/>
      <c r="D24" s="513"/>
      <c r="E24" s="514"/>
      <c r="F24" s="515"/>
      <c r="G24" s="515"/>
      <c r="H24" s="515"/>
      <c r="I24" s="515"/>
      <c r="J24" s="515"/>
      <c r="K24" s="515"/>
      <c r="L24" s="515"/>
      <c r="M24" s="515"/>
      <c r="N24" s="515"/>
      <c r="O24" s="515"/>
      <c r="P24" s="515"/>
      <c r="Q24" s="515"/>
      <c r="R24" s="515"/>
      <c r="S24" s="515"/>
      <c r="T24" s="515"/>
      <c r="U24" s="515"/>
      <c r="V24" s="515"/>
      <c r="W24" s="515"/>
      <c r="X24" s="515"/>
      <c r="Y24" s="516"/>
      <c r="Z24" s="517"/>
      <c r="AA24" s="518"/>
      <c r="AB24" s="515"/>
      <c r="AC24" s="515"/>
      <c r="AD24" s="519"/>
    </row>
    <row r="25" spans="1:30" s="345" customFormat="1" ht="16.8" customHeight="1" x14ac:dyDescent="0.25">
      <c r="A25" s="913">
        <v>2</v>
      </c>
      <c r="B25" s="914" t="s">
        <v>160</v>
      </c>
      <c r="C25" s="877" t="s">
        <v>153</v>
      </c>
      <c r="D25" s="497">
        <v>281803.98</v>
      </c>
      <c r="E25" s="498"/>
      <c r="F25" s="499"/>
      <c r="G25" s="499"/>
      <c r="H25" s="499"/>
      <c r="I25" s="499"/>
      <c r="J25" s="499"/>
      <c r="K25" s="499"/>
      <c r="L25" s="500"/>
      <c r="M25" s="499"/>
      <c r="N25" s="500"/>
      <c r="O25" s="500"/>
      <c r="P25" s="501" t="s">
        <v>53</v>
      </c>
      <c r="Q25" s="502">
        <v>281803.98</v>
      </c>
      <c r="R25" s="499"/>
      <c r="S25" s="499"/>
      <c r="T25" s="499"/>
      <c r="U25" s="499"/>
      <c r="V25" s="499"/>
      <c r="W25" s="499"/>
      <c r="X25" s="499"/>
      <c r="Y25" s="501" t="s">
        <v>53</v>
      </c>
      <c r="Z25" s="503">
        <v>281803.98</v>
      </c>
      <c r="AA25" s="916">
        <f>SUM(AB25:AB26)</f>
        <v>281803.98</v>
      </c>
      <c r="AB25" s="504">
        <f>AC25+AD25</f>
        <v>281803.98</v>
      </c>
      <c r="AC25" s="504">
        <f>Z25-AD25</f>
        <v>251804.02999999997</v>
      </c>
      <c r="AD25" s="505">
        <v>29999.95</v>
      </c>
    </row>
    <row r="26" spans="1:30" s="345" customFormat="1" ht="15.6" customHeight="1" thickBot="1" x14ac:dyDescent="0.3">
      <c r="A26" s="906"/>
      <c r="B26" s="915"/>
      <c r="C26" s="897"/>
      <c r="D26" s="428"/>
      <c r="E26" s="429"/>
      <c r="F26" s="430"/>
      <c r="G26" s="430"/>
      <c r="H26" s="430"/>
      <c r="I26" s="430"/>
      <c r="J26" s="430"/>
      <c r="K26" s="430"/>
      <c r="L26" s="430"/>
      <c r="M26" s="430"/>
      <c r="N26" s="430"/>
      <c r="O26" s="430"/>
      <c r="P26" s="430"/>
      <c r="Q26" s="430"/>
      <c r="R26" s="430"/>
      <c r="S26" s="430"/>
      <c r="T26" s="430"/>
      <c r="U26" s="430"/>
      <c r="V26" s="430"/>
      <c r="W26" s="430"/>
      <c r="X26" s="430"/>
      <c r="Y26" s="431"/>
      <c r="Z26" s="439"/>
      <c r="AA26" s="917"/>
      <c r="AB26" s="440"/>
      <c r="AC26" s="440"/>
      <c r="AD26" s="441"/>
    </row>
    <row r="27" spans="1:30" s="345" customFormat="1" ht="12" customHeight="1" x14ac:dyDescent="0.25">
      <c r="A27" s="904">
        <v>3</v>
      </c>
      <c r="B27" s="907" t="s">
        <v>98</v>
      </c>
      <c r="C27" s="532"/>
      <c r="D27" s="910">
        <v>131336.26</v>
      </c>
      <c r="E27" s="413"/>
      <c r="F27" s="414"/>
      <c r="G27" s="414"/>
      <c r="H27" s="414" t="s">
        <v>53</v>
      </c>
      <c r="I27" s="414">
        <v>110363.99</v>
      </c>
      <c r="J27" s="414"/>
      <c r="K27" s="414"/>
      <c r="L27" s="414"/>
      <c r="M27" s="414"/>
      <c r="N27" s="414"/>
      <c r="O27" s="414"/>
      <c r="P27" s="414"/>
      <c r="Q27" s="414"/>
      <c r="R27" s="414"/>
      <c r="S27" s="414"/>
      <c r="T27" s="414"/>
      <c r="U27" s="414"/>
      <c r="V27" s="414"/>
      <c r="W27" s="414"/>
      <c r="X27" s="414"/>
      <c r="Y27" s="415">
        <v>1</v>
      </c>
      <c r="Z27" s="416">
        <f>I27</f>
        <v>110363.99</v>
      </c>
      <c r="AA27" s="443">
        <f>AB27</f>
        <v>110363.99</v>
      </c>
      <c r="AB27" s="414">
        <f>I27</f>
        <v>110363.99</v>
      </c>
      <c r="AC27" s="414">
        <f>AB27-AD27</f>
        <v>85118.37000000001</v>
      </c>
      <c r="AD27" s="417">
        <v>25245.62</v>
      </c>
    </row>
    <row r="28" spans="1:30" s="345" customFormat="1" ht="12" customHeight="1" x14ac:dyDescent="0.25">
      <c r="A28" s="905"/>
      <c r="B28" s="908"/>
      <c r="C28" s="533"/>
      <c r="D28" s="911"/>
      <c r="E28" s="341"/>
      <c r="F28" s="342"/>
      <c r="G28" s="342"/>
      <c r="H28" s="342"/>
      <c r="I28" s="342"/>
      <c r="AD28" s="418"/>
    </row>
    <row r="29" spans="1:30" s="345" customFormat="1" ht="12.6" thickBot="1" x14ac:dyDescent="0.3">
      <c r="A29" s="906"/>
      <c r="B29" s="909"/>
      <c r="C29" s="419"/>
      <c r="D29" s="912"/>
      <c r="E29" s="420"/>
      <c r="F29" s="421"/>
      <c r="G29" s="421"/>
      <c r="H29" s="421"/>
      <c r="I29" s="421"/>
      <c r="J29" s="421"/>
      <c r="K29" s="421"/>
      <c r="L29" s="421"/>
      <c r="M29" s="421"/>
      <c r="N29" s="421"/>
      <c r="O29" s="421"/>
      <c r="P29" s="421"/>
      <c r="Q29" s="421"/>
      <c r="R29" s="421"/>
      <c r="S29" s="421"/>
      <c r="T29" s="421"/>
      <c r="U29" s="421"/>
      <c r="V29" s="421"/>
      <c r="W29" s="421"/>
      <c r="X29" s="421"/>
      <c r="Y29" s="422"/>
      <c r="Z29" s="423"/>
      <c r="AA29" s="523"/>
      <c r="AB29" s="421"/>
      <c r="AC29" s="421"/>
      <c r="AD29" s="424"/>
    </row>
    <row r="30" spans="1:30" s="345" customFormat="1" ht="16.2" customHeight="1" x14ac:dyDescent="0.25">
      <c r="A30" s="923">
        <f>A8+1</f>
        <v>2</v>
      </c>
      <c r="B30" s="924" t="s">
        <v>155</v>
      </c>
      <c r="C30" s="927" t="str">
        <f>'[1]ДЦ Замовник'!E17</f>
        <v>№2</v>
      </c>
      <c r="D30" s="928" t="e">
        <f>'ДЦ Замовник'!#REF!</f>
        <v>#REF!</v>
      </c>
      <c r="E30" s="450" t="s">
        <v>144</v>
      </c>
      <c r="F30" s="432"/>
      <c r="G30" s="432"/>
      <c r="H30" s="432" t="s">
        <v>53</v>
      </c>
      <c r="I30" s="432">
        <v>111154.22</v>
      </c>
      <c r="J30" s="432"/>
      <c r="K30" s="432"/>
      <c r="L30" s="432"/>
      <c r="M30" s="432"/>
      <c r="N30" s="432"/>
      <c r="O30" s="432"/>
      <c r="P30" s="432"/>
      <c r="Q30" s="432"/>
      <c r="R30" s="432"/>
      <c r="S30" s="432"/>
      <c r="T30" s="432"/>
      <c r="U30" s="432"/>
      <c r="V30" s="432"/>
      <c r="W30" s="432"/>
      <c r="X30" s="432"/>
      <c r="Y30" s="432" t="s">
        <v>53</v>
      </c>
      <c r="Z30" s="432">
        <v>111154.22</v>
      </c>
      <c r="AA30" s="931">
        <f>SUM(AB30:AB44)</f>
        <v>2293462.2600000002</v>
      </c>
      <c r="AB30" s="432">
        <v>111154.22</v>
      </c>
      <c r="AC30" s="432">
        <f>AB30-AD30</f>
        <v>44105.48000000001</v>
      </c>
      <c r="AD30" s="451">
        <f>55873.95*1.2</f>
        <v>67048.739999999991</v>
      </c>
    </row>
    <row r="31" spans="1:30" s="345" customFormat="1" ht="12" customHeight="1" x14ac:dyDescent="0.25">
      <c r="A31" s="932"/>
      <c r="B31" s="934"/>
      <c r="C31" s="936"/>
      <c r="D31" s="938"/>
      <c r="E31" s="369" t="s">
        <v>145</v>
      </c>
      <c r="F31" s="370"/>
      <c r="G31" s="370"/>
      <c r="H31" s="370"/>
      <c r="I31" s="370"/>
      <c r="J31" s="370" t="s">
        <v>69</v>
      </c>
      <c r="K31" s="370">
        <v>99020.51</v>
      </c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3" t="s">
        <v>69</v>
      </c>
      <c r="Z31" s="374">
        <f>K31</f>
        <v>99020.51</v>
      </c>
      <c r="AA31" s="896"/>
      <c r="AB31" s="370">
        <f>K31</f>
        <v>99020.51</v>
      </c>
      <c r="AC31" s="370">
        <v>53748.149999999994</v>
      </c>
      <c r="AD31" s="452">
        <v>45272.36</v>
      </c>
    </row>
    <row r="32" spans="1:30" s="345" customFormat="1" ht="12" customHeight="1" x14ac:dyDescent="0.25">
      <c r="A32" s="932"/>
      <c r="B32" s="934"/>
      <c r="C32" s="896"/>
      <c r="D32" s="938"/>
      <c r="E32" s="369"/>
      <c r="F32" s="370"/>
      <c r="G32" s="370"/>
      <c r="H32" s="370"/>
      <c r="I32" s="370"/>
      <c r="J32" s="370" t="s">
        <v>70</v>
      </c>
      <c r="K32" s="372">
        <v>345752.57</v>
      </c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 t="s">
        <v>70</v>
      </c>
      <c r="Z32" s="372">
        <v>345752.57</v>
      </c>
      <c r="AA32" s="896"/>
      <c r="AB32" s="372">
        <v>345752.57</v>
      </c>
      <c r="AC32" s="372">
        <v>231533.51</v>
      </c>
      <c r="AD32" s="452">
        <v>114219.06</v>
      </c>
    </row>
    <row r="33" spans="1:30" s="345" customFormat="1" ht="12" customHeight="1" x14ac:dyDescent="0.25">
      <c r="A33" s="932"/>
      <c r="B33" s="934"/>
      <c r="C33" s="896"/>
      <c r="D33" s="938"/>
      <c r="E33" s="369"/>
      <c r="F33" s="370"/>
      <c r="G33" s="370"/>
      <c r="H33" s="370"/>
      <c r="I33" s="370"/>
      <c r="J33" s="370" t="s">
        <v>71</v>
      </c>
      <c r="K33" s="371">
        <v>103230.59</v>
      </c>
      <c r="L33" s="370"/>
      <c r="M33" s="370"/>
      <c r="N33" s="370"/>
      <c r="O33" s="370"/>
      <c r="P33" s="370"/>
      <c r="Q33" s="370"/>
      <c r="R33" s="370"/>
      <c r="S33" s="370"/>
      <c r="T33" s="370"/>
      <c r="U33" s="370"/>
      <c r="V33" s="370" t="e">
        <f>D30-Z45</f>
        <v>#REF!</v>
      </c>
      <c r="W33" s="370"/>
      <c r="X33" s="370"/>
      <c r="Y33" s="370" t="s">
        <v>71</v>
      </c>
      <c r="Z33" s="371">
        <v>103230.59</v>
      </c>
      <c r="AA33" s="896"/>
      <c r="AB33" s="371">
        <v>103230.59</v>
      </c>
      <c r="AC33" s="372">
        <v>30347.26999999999</v>
      </c>
      <c r="AD33" s="452">
        <v>72883.320000000007</v>
      </c>
    </row>
    <row r="34" spans="1:30" s="345" customFormat="1" ht="12" customHeight="1" x14ac:dyDescent="0.25">
      <c r="A34" s="932"/>
      <c r="B34" s="934"/>
      <c r="C34" s="896"/>
      <c r="D34" s="938"/>
      <c r="E34" s="369"/>
      <c r="F34" s="370"/>
      <c r="G34" s="370"/>
      <c r="H34" s="370"/>
      <c r="I34" s="370"/>
      <c r="J34" s="370" t="s">
        <v>72</v>
      </c>
      <c r="K34" s="371">
        <v>58541.36</v>
      </c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 t="s">
        <v>72</v>
      </c>
      <c r="Z34" s="371">
        <v>58541.36</v>
      </c>
      <c r="AA34" s="896"/>
      <c r="AB34" s="371">
        <v>58541.36</v>
      </c>
      <c r="AC34" s="372">
        <v>33049.979999999996</v>
      </c>
      <c r="AD34" s="452">
        <v>25491.38</v>
      </c>
    </row>
    <row r="35" spans="1:30" s="345" customFormat="1" ht="12" customHeight="1" x14ac:dyDescent="0.25">
      <c r="A35" s="932"/>
      <c r="B35" s="934"/>
      <c r="C35" s="896"/>
      <c r="D35" s="938"/>
      <c r="E35" s="369"/>
      <c r="F35" s="370"/>
      <c r="G35" s="370"/>
      <c r="H35" s="370"/>
      <c r="I35" s="370"/>
      <c r="J35" s="370"/>
      <c r="K35" s="370"/>
      <c r="L35" s="370" t="s">
        <v>73</v>
      </c>
      <c r="M35" s="371">
        <v>20510.87</v>
      </c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 t="s">
        <v>73</v>
      </c>
      <c r="Z35" s="371">
        <v>20510.87</v>
      </c>
      <c r="AA35" s="896"/>
      <c r="AB35" s="371">
        <v>20510.87</v>
      </c>
      <c r="AC35" s="372">
        <f>Z35-AD35</f>
        <v>19006.322</v>
      </c>
      <c r="AD35" s="452">
        <v>1504.548</v>
      </c>
    </row>
    <row r="36" spans="1:30" s="345" customFormat="1" ht="12" customHeight="1" x14ac:dyDescent="0.25">
      <c r="A36" s="932"/>
      <c r="B36" s="934"/>
      <c r="C36" s="896"/>
      <c r="D36" s="938"/>
      <c r="E36" s="369"/>
      <c r="F36" s="370"/>
      <c r="G36" s="370"/>
      <c r="H36" s="370"/>
      <c r="I36" s="370"/>
      <c r="J36" s="370"/>
      <c r="K36" s="370"/>
      <c r="L36" s="370" t="s">
        <v>74</v>
      </c>
      <c r="M36" s="370">
        <f>Z36</f>
        <v>112396.12</v>
      </c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 t="s">
        <v>74</v>
      </c>
      <c r="Z36" s="371">
        <v>112396.12</v>
      </c>
      <c r="AA36" s="896"/>
      <c r="AB36" s="372">
        <f t="shared" ref="AB36:AB38" si="0">Z36</f>
        <v>112396.12</v>
      </c>
      <c r="AC36" s="372">
        <v>57471.423999999999</v>
      </c>
      <c r="AD36" s="452">
        <v>54924.696000000004</v>
      </c>
    </row>
    <row r="37" spans="1:30" s="345" customFormat="1" ht="12" customHeight="1" x14ac:dyDescent="0.25">
      <c r="A37" s="932"/>
      <c r="B37" s="934"/>
      <c r="C37" s="896"/>
      <c r="D37" s="938"/>
      <c r="E37" s="369"/>
      <c r="F37" s="370"/>
      <c r="G37" s="370"/>
      <c r="H37" s="370"/>
      <c r="I37" s="370"/>
      <c r="J37" s="370"/>
      <c r="K37" s="370"/>
      <c r="L37" s="370" t="s">
        <v>77</v>
      </c>
      <c r="M37" s="370">
        <v>36533.03</v>
      </c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 t="s">
        <v>77</v>
      </c>
      <c r="Z37" s="371">
        <f>M37</f>
        <v>36533.03</v>
      </c>
      <c r="AA37" s="896"/>
      <c r="AB37" s="372">
        <f t="shared" si="0"/>
        <v>36533.03</v>
      </c>
      <c r="AC37" s="372">
        <v>32587.68</v>
      </c>
      <c r="AD37" s="452">
        <v>3945.35</v>
      </c>
    </row>
    <row r="38" spans="1:30" s="345" customFormat="1" ht="12" customHeight="1" x14ac:dyDescent="0.25">
      <c r="A38" s="932"/>
      <c r="B38" s="934"/>
      <c r="C38" s="896"/>
      <c r="D38" s="938"/>
      <c r="E38" s="369"/>
      <c r="F38" s="370"/>
      <c r="G38" s="370"/>
      <c r="H38" s="370"/>
      <c r="I38" s="370"/>
      <c r="J38" s="370"/>
      <c r="K38" s="370"/>
      <c r="L38" s="370" t="s">
        <v>78</v>
      </c>
      <c r="M38" s="370">
        <v>282807.74</v>
      </c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 t="s">
        <v>78</v>
      </c>
      <c r="Z38" s="371">
        <f>M38</f>
        <v>282807.74</v>
      </c>
      <c r="AA38" s="896"/>
      <c r="AB38" s="372">
        <f t="shared" si="0"/>
        <v>282807.74</v>
      </c>
      <c r="AC38" s="372">
        <f t="shared" ref="AC38:AC44" si="1">AB38-AD38</f>
        <v>157013.31</v>
      </c>
      <c r="AD38" s="452">
        <v>125794.43</v>
      </c>
    </row>
    <row r="39" spans="1:30" s="345" customFormat="1" ht="12" customHeight="1" x14ac:dyDescent="0.25">
      <c r="A39" s="932"/>
      <c r="B39" s="934"/>
      <c r="C39" s="896"/>
      <c r="D39" s="938"/>
      <c r="E39" s="375"/>
      <c r="F39" s="372"/>
      <c r="G39" s="372"/>
      <c r="H39" s="372"/>
      <c r="I39" s="372"/>
      <c r="J39" s="372"/>
      <c r="K39" s="372"/>
      <c r="L39" s="372"/>
      <c r="M39" s="372"/>
      <c r="N39" s="520"/>
      <c r="O39" s="525"/>
      <c r="P39" s="520"/>
      <c r="Q39" s="520"/>
      <c r="R39" s="370" t="s">
        <v>76</v>
      </c>
      <c r="S39" s="524">
        <v>236670.38</v>
      </c>
      <c r="T39" s="372"/>
      <c r="U39" s="372"/>
      <c r="V39" s="372"/>
      <c r="W39" s="372" t="s">
        <v>163</v>
      </c>
      <c r="X39" s="370">
        <f>Z39+Z43+Z44</f>
        <v>596567.15</v>
      </c>
      <c r="Y39" s="528" t="s">
        <v>76</v>
      </c>
      <c r="Z39" s="524">
        <v>236670.38</v>
      </c>
      <c r="AA39" s="896"/>
      <c r="AB39" s="524">
        <v>236670.38</v>
      </c>
      <c r="AC39" s="526">
        <f t="shared" si="1"/>
        <v>135826.63</v>
      </c>
      <c r="AD39" s="527">
        <v>100843.75</v>
      </c>
    </row>
    <row r="40" spans="1:30" s="345" customFormat="1" ht="12" customHeight="1" x14ac:dyDescent="0.25">
      <c r="A40" s="932"/>
      <c r="B40" s="934"/>
      <c r="C40" s="896"/>
      <c r="D40" s="938"/>
      <c r="E40" s="375"/>
      <c r="F40" s="372"/>
      <c r="G40" s="372"/>
      <c r="H40" s="372"/>
      <c r="I40" s="372"/>
      <c r="J40" s="372"/>
      <c r="K40" s="372"/>
      <c r="L40" s="372"/>
      <c r="M40" s="372"/>
      <c r="N40" s="520"/>
      <c r="O40" s="525"/>
      <c r="P40" s="520"/>
      <c r="Q40" s="520"/>
      <c r="R40" s="370" t="s">
        <v>79</v>
      </c>
      <c r="S40" s="524">
        <v>78675.94</v>
      </c>
      <c r="T40" s="372"/>
      <c r="U40" s="372"/>
      <c r="V40" s="372"/>
      <c r="W40" s="372" t="s">
        <v>164</v>
      </c>
      <c r="X40" s="370" t="e">
        <f>X39+'Реєстр АВР '!#REF!+'Реєстр АВР '!#REF!+'Реєстр АВР '!#REF!+'Реєстр АВР '!#REF!</f>
        <v>#REF!</v>
      </c>
      <c r="Y40" s="528" t="s">
        <v>79</v>
      </c>
      <c r="Z40" s="536">
        <v>78675.94</v>
      </c>
      <c r="AA40" s="896"/>
      <c r="AB40" s="524">
        <v>78675.94</v>
      </c>
      <c r="AC40" s="526">
        <f t="shared" si="1"/>
        <v>32607.32</v>
      </c>
      <c r="AD40" s="527">
        <v>46068.62</v>
      </c>
    </row>
    <row r="41" spans="1:30" s="345" customFormat="1" ht="12" customHeight="1" x14ac:dyDescent="0.25">
      <c r="A41" s="932"/>
      <c r="B41" s="934"/>
      <c r="C41" s="896"/>
      <c r="D41" s="938"/>
      <c r="E41" s="521"/>
      <c r="F41" s="396"/>
      <c r="G41" s="397"/>
      <c r="H41" s="397"/>
      <c r="I41" s="397"/>
      <c r="J41" s="397"/>
      <c r="K41" s="397"/>
      <c r="L41" s="397"/>
      <c r="M41" s="397"/>
      <c r="N41" s="522"/>
      <c r="O41" s="522"/>
      <c r="P41" s="520"/>
      <c r="Q41" s="520"/>
      <c r="R41" s="370" t="s">
        <v>75</v>
      </c>
      <c r="S41" s="524">
        <v>83218.66</v>
      </c>
      <c r="T41" s="372"/>
      <c r="U41" s="372"/>
      <c r="V41" s="372"/>
      <c r="W41" s="372" t="s">
        <v>165</v>
      </c>
      <c r="X41" s="370"/>
      <c r="Y41" s="528" t="s">
        <v>75</v>
      </c>
      <c r="Z41" s="536">
        <v>75489.289999999994</v>
      </c>
      <c r="AA41" s="896"/>
      <c r="AB41" s="524">
        <f>Z41</f>
        <v>75489.289999999994</v>
      </c>
      <c r="AC41" s="526">
        <f t="shared" si="1"/>
        <v>31514.699999999997</v>
      </c>
      <c r="AD41" s="526">
        <v>43974.59</v>
      </c>
    </row>
    <row r="42" spans="1:30" s="345" customFormat="1" ht="12" customHeight="1" x14ac:dyDescent="0.25">
      <c r="A42" s="932"/>
      <c r="B42" s="934"/>
      <c r="C42" s="896"/>
      <c r="D42" s="938"/>
      <c r="E42" s="521"/>
      <c r="F42" s="396"/>
      <c r="G42" s="397"/>
      <c r="H42" s="397"/>
      <c r="I42" s="397"/>
      <c r="J42" s="397"/>
      <c r="K42" s="397"/>
      <c r="L42" s="397"/>
      <c r="M42" s="397"/>
      <c r="N42" s="522"/>
      <c r="O42" s="522"/>
      <c r="P42" s="520"/>
      <c r="Q42" s="520"/>
      <c r="R42" s="370" t="s">
        <v>80</v>
      </c>
      <c r="S42" s="524">
        <f>Z42</f>
        <v>372782.87</v>
      </c>
      <c r="T42" s="372"/>
      <c r="U42" s="372"/>
      <c r="V42" s="372"/>
      <c r="W42" s="372" t="s">
        <v>166</v>
      </c>
      <c r="X42" s="370"/>
      <c r="Y42" s="528" t="s">
        <v>80</v>
      </c>
      <c r="Z42" s="537">
        <v>372782.87</v>
      </c>
      <c r="AA42" s="896"/>
      <c r="AB42" s="524">
        <f>Z42</f>
        <v>372782.87</v>
      </c>
      <c r="AC42" s="526">
        <f t="shared" si="1"/>
        <v>152785.19</v>
      </c>
      <c r="AD42" s="526">
        <v>219997.68</v>
      </c>
    </row>
    <row r="43" spans="1:30" s="345" customFormat="1" ht="12" customHeight="1" x14ac:dyDescent="0.25">
      <c r="A43" s="932"/>
      <c r="B43" s="934"/>
      <c r="C43" s="896"/>
      <c r="D43" s="938"/>
      <c r="E43" s="521"/>
      <c r="F43" s="396"/>
      <c r="G43" s="397"/>
      <c r="H43" s="397"/>
      <c r="I43" s="397"/>
      <c r="J43" s="397"/>
      <c r="K43" s="397"/>
      <c r="L43" s="397"/>
      <c r="M43" s="397"/>
      <c r="N43" s="522"/>
      <c r="O43" s="522"/>
      <c r="P43" s="520"/>
      <c r="Q43" s="520"/>
      <c r="R43" s="370" t="s">
        <v>81</v>
      </c>
      <c r="S43" s="524">
        <v>328788.28999999998</v>
      </c>
      <c r="T43" s="372"/>
      <c r="U43" s="372"/>
      <c r="V43" s="372"/>
      <c r="W43" s="372" t="s">
        <v>167</v>
      </c>
      <c r="X43" s="370"/>
      <c r="Y43" s="528" t="s">
        <v>81</v>
      </c>
      <c r="Z43" s="524">
        <v>356228.86</v>
      </c>
      <c r="AA43" s="896"/>
      <c r="AB43" s="524">
        <f>Z43</f>
        <v>356228.86</v>
      </c>
      <c r="AC43" s="526">
        <f t="shared" si="1"/>
        <v>201417.03999999998</v>
      </c>
      <c r="AD43" s="526">
        <v>154811.82</v>
      </c>
    </row>
    <row r="44" spans="1:30" s="345" customFormat="1" ht="12" customHeight="1" x14ac:dyDescent="0.25">
      <c r="A44" s="932"/>
      <c r="B44" s="934"/>
      <c r="C44" s="896"/>
      <c r="D44" s="938"/>
      <c r="E44" s="521"/>
      <c r="F44" s="396"/>
      <c r="G44" s="397"/>
      <c r="H44" s="397"/>
      <c r="I44" s="397"/>
      <c r="J44" s="397"/>
      <c r="K44" s="397"/>
      <c r="L44" s="397"/>
      <c r="M44" s="397"/>
      <c r="N44" s="522"/>
      <c r="O44" s="522"/>
      <c r="P44" s="520"/>
      <c r="Q44" s="520"/>
      <c r="R44" s="370" t="s">
        <v>161</v>
      </c>
      <c r="S44" s="524">
        <v>12657.74</v>
      </c>
      <c r="T44" s="372"/>
      <c r="U44" s="372"/>
      <c r="V44" s="372"/>
      <c r="W44" s="372" t="s">
        <v>168</v>
      </c>
      <c r="X44" s="370"/>
      <c r="Y44" s="528" t="s">
        <v>161</v>
      </c>
      <c r="Z44" s="524">
        <v>3667.91</v>
      </c>
      <c r="AA44" s="896"/>
      <c r="AB44" s="524">
        <f>Z44</f>
        <v>3667.91</v>
      </c>
      <c r="AC44" s="526">
        <f t="shared" si="1"/>
        <v>2114.5099999999998</v>
      </c>
      <c r="AD44" s="526">
        <v>1553.4</v>
      </c>
    </row>
    <row r="45" spans="1:30" s="345" customFormat="1" ht="12" customHeight="1" thickBot="1" x14ac:dyDescent="0.3">
      <c r="A45" s="933"/>
      <c r="B45" s="935"/>
      <c r="C45" s="897"/>
      <c r="D45" s="939"/>
      <c r="E45" s="453"/>
      <c r="F45" s="445"/>
      <c r="G45" s="446"/>
      <c r="H45" s="446"/>
      <c r="I45" s="446"/>
      <c r="J45" s="446"/>
      <c r="K45" s="446"/>
      <c r="L45" s="446"/>
      <c r="M45" s="446"/>
      <c r="N45" s="446"/>
      <c r="O45" s="446"/>
      <c r="P45" s="520"/>
      <c r="Q45" s="520"/>
      <c r="R45" s="520"/>
      <c r="S45" s="520"/>
      <c r="T45" s="372"/>
      <c r="U45" s="372"/>
      <c r="V45" s="372"/>
      <c r="W45" s="446"/>
      <c r="X45" s="446"/>
      <c r="Y45" s="431" t="s">
        <v>151</v>
      </c>
      <c r="Z45" s="430">
        <f>SUM(Z30:Z44)</f>
        <v>2293462.2600000002</v>
      </c>
      <c r="AA45" s="479"/>
      <c r="AB45" s="430">
        <f>SUM(AB30:AB44)</f>
        <v>2293462.2600000002</v>
      </c>
      <c r="AC45" s="430">
        <f>SUM(AC30:AC40)</f>
        <v>827297.07599999988</v>
      </c>
      <c r="AD45" s="480">
        <f>AB45-AC45</f>
        <v>1466165.1840000004</v>
      </c>
    </row>
    <row r="46" spans="1:30" s="345" customFormat="1" ht="12" customHeight="1" thickBot="1" x14ac:dyDescent="0.3">
      <c r="A46" s="454"/>
      <c r="B46" s="455"/>
      <c r="C46" s="456"/>
      <c r="D46" s="457"/>
      <c r="E46" s="458"/>
      <c r="F46" s="459"/>
      <c r="G46" s="459"/>
      <c r="H46" s="459"/>
      <c r="I46" s="459"/>
      <c r="J46" s="459"/>
      <c r="K46" s="459"/>
      <c r="L46" s="459"/>
      <c r="M46" s="459"/>
      <c r="N46" s="459"/>
      <c r="O46" s="459"/>
      <c r="P46" s="459"/>
      <c r="Q46" s="459"/>
      <c r="R46" s="459"/>
      <c r="S46" s="459"/>
      <c r="T46" s="459"/>
      <c r="U46" s="459"/>
      <c r="V46" s="459"/>
      <c r="W46" s="459"/>
      <c r="X46" s="459"/>
      <c r="Y46" s="426"/>
      <c r="Z46" s="425"/>
      <c r="AA46" s="427"/>
      <c r="AB46" s="425"/>
      <c r="AC46" s="425"/>
      <c r="AD46" s="425"/>
    </row>
    <row r="47" spans="1:30" s="345" customFormat="1" ht="12" customHeight="1" x14ac:dyDescent="0.25">
      <c r="A47" s="923">
        <v>3</v>
      </c>
      <c r="B47" s="924" t="s">
        <v>149</v>
      </c>
      <c r="C47" s="927" t="s">
        <v>70</v>
      </c>
      <c r="D47" s="928">
        <v>1540968</v>
      </c>
      <c r="E47" s="460"/>
      <c r="F47" s="432"/>
      <c r="G47" s="432"/>
      <c r="H47" s="432"/>
      <c r="I47" s="432"/>
      <c r="J47" s="432"/>
      <c r="K47" s="432"/>
      <c r="L47" s="461"/>
      <c r="M47" s="461"/>
      <c r="N47" s="462" t="s">
        <v>53</v>
      </c>
      <c r="O47" s="462">
        <v>248026.63</v>
      </c>
      <c r="P47" s="462"/>
      <c r="Q47" s="462"/>
      <c r="R47" s="462"/>
      <c r="S47" s="462"/>
      <c r="T47" s="462"/>
      <c r="U47" s="462"/>
      <c r="V47" s="462"/>
      <c r="W47" s="462"/>
      <c r="X47" s="529"/>
      <c r="Y47" s="530" t="s">
        <v>53</v>
      </c>
      <c r="Z47" s="462">
        <v>248026.63</v>
      </c>
      <c r="AA47" s="940">
        <f>SUM(AB47:AB51)</f>
        <v>672881.95</v>
      </c>
      <c r="AB47" s="462">
        <v>248026.63</v>
      </c>
      <c r="AC47" s="463">
        <f>Z47-AD47</f>
        <v>242763.11000000002</v>
      </c>
      <c r="AD47" s="464">
        <v>5263.52</v>
      </c>
    </row>
    <row r="48" spans="1:30" s="345" customFormat="1" ht="12" customHeight="1" x14ac:dyDescent="0.25">
      <c r="A48" s="932"/>
      <c r="B48" s="934"/>
      <c r="C48" s="936"/>
      <c r="D48" s="938"/>
      <c r="E48" s="375"/>
      <c r="F48" s="370"/>
      <c r="G48" s="370"/>
      <c r="H48" s="370"/>
      <c r="I48" s="370"/>
      <c r="J48" s="370"/>
      <c r="K48" s="370"/>
      <c r="L48" s="370"/>
      <c r="M48" s="370"/>
      <c r="N48" s="391" t="s">
        <v>69</v>
      </c>
      <c r="O48" s="391">
        <v>227228.23</v>
      </c>
      <c r="P48" s="391"/>
      <c r="Q48" s="391"/>
      <c r="R48" s="391"/>
      <c r="S48" s="391"/>
      <c r="T48" s="391"/>
      <c r="U48" s="391"/>
      <c r="V48" s="391"/>
      <c r="W48" s="391"/>
      <c r="X48" s="529"/>
      <c r="Y48" s="529" t="s">
        <v>69</v>
      </c>
      <c r="Z48" s="391">
        <f>O48</f>
        <v>227228.23</v>
      </c>
      <c r="AA48" s="941"/>
      <c r="AB48" s="391">
        <f>Z48</f>
        <v>227228.23</v>
      </c>
      <c r="AC48" s="391">
        <f>AB48-AD48</f>
        <v>222406.2</v>
      </c>
      <c r="AD48" s="467">
        <v>4822.03</v>
      </c>
    </row>
    <row r="49" spans="1:30" s="345" customFormat="1" ht="12" customHeight="1" x14ac:dyDescent="0.25">
      <c r="A49" s="932"/>
      <c r="B49" s="934"/>
      <c r="C49" s="936"/>
      <c r="D49" s="938"/>
      <c r="E49" s="375"/>
      <c r="F49" s="370"/>
      <c r="G49" s="370"/>
      <c r="H49" s="370"/>
      <c r="I49" s="370"/>
      <c r="J49" s="370"/>
      <c r="K49" s="370"/>
      <c r="L49" s="370"/>
      <c r="M49" s="370"/>
      <c r="N49" s="391"/>
      <c r="O49" s="391"/>
      <c r="P49" s="391"/>
      <c r="Q49" s="391"/>
      <c r="R49" s="391"/>
      <c r="S49" s="391"/>
      <c r="T49" s="391"/>
      <c r="U49" s="391"/>
      <c r="V49" s="391"/>
      <c r="W49" s="391"/>
      <c r="X49" s="529"/>
      <c r="Y49" s="529" t="s">
        <v>70</v>
      </c>
      <c r="Z49" s="437">
        <v>197627.09</v>
      </c>
      <c r="AA49" s="941"/>
      <c r="AB49" s="437">
        <f>Z49</f>
        <v>197627.09</v>
      </c>
      <c r="AC49" s="437"/>
      <c r="AD49" s="465"/>
    </row>
    <row r="50" spans="1:30" s="345" customFormat="1" ht="12" customHeight="1" x14ac:dyDescent="0.25">
      <c r="A50" s="932"/>
      <c r="B50" s="934"/>
      <c r="C50" s="936"/>
      <c r="D50" s="938"/>
      <c r="E50" s="375"/>
      <c r="F50" s="370"/>
      <c r="G50" s="370"/>
      <c r="H50" s="370"/>
      <c r="I50" s="370"/>
      <c r="J50" s="370"/>
      <c r="K50" s="370"/>
      <c r="L50" s="370"/>
      <c r="M50" s="370"/>
      <c r="N50" s="391"/>
      <c r="O50" s="391"/>
      <c r="P50" s="391"/>
      <c r="Q50" s="391"/>
      <c r="R50" s="391"/>
      <c r="S50" s="391"/>
      <c r="T50" s="391"/>
      <c r="U50" s="391"/>
      <c r="V50" s="391"/>
      <c r="W50" s="391"/>
      <c r="X50" s="391"/>
      <c r="Y50" s="436"/>
      <c r="Z50" s="437"/>
      <c r="AA50" s="941"/>
      <c r="AB50" s="437"/>
      <c r="AC50" s="437"/>
      <c r="AD50" s="465"/>
    </row>
    <row r="51" spans="1:30" s="345" customFormat="1" ht="12" customHeight="1" thickBot="1" x14ac:dyDescent="0.3">
      <c r="A51" s="932"/>
      <c r="B51" s="934"/>
      <c r="C51" s="936"/>
      <c r="D51" s="938"/>
      <c r="E51" s="375"/>
      <c r="F51" s="382"/>
      <c r="G51" s="382"/>
      <c r="H51" s="382"/>
      <c r="I51" s="382"/>
      <c r="J51" s="382"/>
      <c r="K51" s="382"/>
      <c r="L51" s="382"/>
      <c r="M51" s="382"/>
      <c r="N51" s="392"/>
      <c r="O51" s="392"/>
      <c r="P51" s="392"/>
      <c r="Q51" s="392"/>
      <c r="R51" s="392"/>
      <c r="S51" s="392"/>
      <c r="T51" s="392"/>
      <c r="U51" s="392"/>
      <c r="V51" s="392"/>
      <c r="W51" s="392"/>
      <c r="X51" s="392"/>
      <c r="Y51" s="438"/>
      <c r="Z51" s="437"/>
      <c r="AA51" s="942"/>
      <c r="AB51" s="437"/>
      <c r="AC51" s="437"/>
      <c r="AD51" s="466"/>
    </row>
    <row r="52" spans="1:30" s="345" customFormat="1" ht="12.6" customHeight="1" thickBot="1" x14ac:dyDescent="0.3">
      <c r="A52" s="933"/>
      <c r="B52" s="935"/>
      <c r="C52" s="937"/>
      <c r="D52" s="939"/>
      <c r="E52" s="453"/>
      <c r="F52" s="383"/>
      <c r="G52" s="384"/>
      <c r="H52" s="384"/>
      <c r="I52" s="384"/>
      <c r="J52" s="384"/>
      <c r="K52" s="384"/>
      <c r="L52" s="384"/>
      <c r="M52" s="384"/>
      <c r="N52" s="384"/>
      <c r="O52" s="384"/>
      <c r="P52" s="384"/>
      <c r="Q52" s="384"/>
      <c r="R52" s="384"/>
      <c r="S52" s="384"/>
      <c r="T52" s="384"/>
      <c r="U52" s="384"/>
      <c r="V52" s="384"/>
      <c r="W52" s="384"/>
      <c r="X52" s="384"/>
      <c r="Y52" s="385" t="s">
        <v>151</v>
      </c>
      <c r="Z52" s="389">
        <f>SUM(Z47:Z51)</f>
        <v>672881.95</v>
      </c>
      <c r="AA52" s="390"/>
      <c r="AB52" s="389">
        <f>SUM(AB47:AB51)</f>
        <v>672881.95</v>
      </c>
      <c r="AC52" s="389">
        <f>SUM(AC47:AC51)</f>
        <v>465169.31000000006</v>
      </c>
      <c r="AD52" s="388">
        <f>SUM(AD47:AD51)</f>
        <v>10085.549999999999</v>
      </c>
    </row>
    <row r="53" spans="1:30" s="345" customFormat="1" ht="12" customHeight="1" x14ac:dyDescent="0.25">
      <c r="A53" s="923">
        <v>4</v>
      </c>
      <c r="B53" s="924" t="s">
        <v>154</v>
      </c>
      <c r="C53" s="927" t="s">
        <v>71</v>
      </c>
      <c r="D53" s="928">
        <v>414039.73</v>
      </c>
      <c r="E53" s="460"/>
      <c r="F53" s="432"/>
      <c r="G53" s="432"/>
      <c r="H53" s="432"/>
      <c r="I53" s="432"/>
      <c r="J53" s="432"/>
      <c r="K53" s="432"/>
      <c r="L53" s="462" t="s">
        <v>53</v>
      </c>
      <c r="M53" s="462">
        <v>87813.66</v>
      </c>
      <c r="N53" s="432"/>
      <c r="O53" s="432"/>
      <c r="P53" s="432"/>
      <c r="Q53" s="432"/>
      <c r="R53" s="432"/>
      <c r="S53" s="432"/>
      <c r="T53" s="432"/>
      <c r="U53" s="432"/>
      <c r="V53" s="432"/>
      <c r="W53" s="432"/>
      <c r="X53" s="432"/>
      <c r="Y53" s="432" t="s">
        <v>53</v>
      </c>
      <c r="Z53" s="462">
        <v>87813.66</v>
      </c>
      <c r="AA53" s="929">
        <f>SUM(AB53:AB57)</f>
        <v>376145.98000000004</v>
      </c>
      <c r="AB53" s="462">
        <f>Z53</f>
        <v>87813.66</v>
      </c>
      <c r="AC53" s="462">
        <v>42008.340000000004</v>
      </c>
      <c r="AD53" s="464">
        <v>45805.32</v>
      </c>
    </row>
    <row r="54" spans="1:30" s="345" customFormat="1" ht="12" customHeight="1" x14ac:dyDescent="0.25">
      <c r="A54" s="905"/>
      <c r="B54" s="925"/>
      <c r="C54" s="896"/>
      <c r="D54" s="896"/>
      <c r="E54" s="375"/>
      <c r="F54" s="370"/>
      <c r="G54" s="370"/>
      <c r="H54" s="370"/>
      <c r="I54" s="370"/>
      <c r="J54" s="370"/>
      <c r="K54" s="370"/>
      <c r="L54" s="391" t="s">
        <v>69</v>
      </c>
      <c r="M54" s="391">
        <f>Z54</f>
        <v>43236.49</v>
      </c>
      <c r="N54" s="370"/>
      <c r="O54" s="370"/>
      <c r="P54" s="370"/>
      <c r="Q54" s="370"/>
      <c r="R54" s="370"/>
      <c r="S54" s="370"/>
      <c r="T54" s="370"/>
      <c r="U54" s="370"/>
      <c r="V54" s="370"/>
      <c r="W54" s="370"/>
      <c r="X54" s="370"/>
      <c r="Y54" s="373" t="s">
        <v>69</v>
      </c>
      <c r="Z54" s="391">
        <v>43236.49</v>
      </c>
      <c r="AA54" s="930"/>
      <c r="AB54" s="391">
        <f>Z54</f>
        <v>43236.49</v>
      </c>
      <c r="AC54" s="391">
        <v>20794.07</v>
      </c>
      <c r="AD54" s="467">
        <v>22442.42</v>
      </c>
    </row>
    <row r="55" spans="1:30" s="345" customFormat="1" ht="12" customHeight="1" x14ac:dyDescent="0.25">
      <c r="A55" s="905"/>
      <c r="B55" s="925"/>
      <c r="C55" s="896"/>
      <c r="D55" s="896"/>
      <c r="E55" s="342"/>
      <c r="F55" s="370"/>
      <c r="G55" s="370"/>
      <c r="H55" s="370"/>
      <c r="I55" s="370"/>
      <c r="J55" s="370"/>
      <c r="K55" s="370"/>
      <c r="L55" s="391" t="s">
        <v>70</v>
      </c>
      <c r="M55" s="391">
        <f>Z55</f>
        <v>199976.26</v>
      </c>
      <c r="N55" s="370"/>
      <c r="O55" s="370"/>
      <c r="P55" s="370"/>
      <c r="Q55" s="370"/>
      <c r="R55" s="370"/>
      <c r="S55" s="370"/>
      <c r="T55" s="370"/>
      <c r="U55" s="370"/>
      <c r="V55" s="370"/>
      <c r="W55" s="370"/>
      <c r="X55" s="370"/>
      <c r="Y55" s="370" t="s">
        <v>70</v>
      </c>
      <c r="Z55" s="391">
        <v>199976.26</v>
      </c>
      <c r="AA55" s="930"/>
      <c r="AB55" s="391">
        <f t="shared" ref="AB55:AB56" si="2">Z55</f>
        <v>199976.26</v>
      </c>
      <c r="AC55" s="391">
        <v>190762.90000000002</v>
      </c>
      <c r="AD55" s="467">
        <v>9213.36</v>
      </c>
    </row>
    <row r="56" spans="1:30" s="345" customFormat="1" ht="12" customHeight="1" x14ac:dyDescent="0.25">
      <c r="A56" s="905"/>
      <c r="B56" s="925"/>
      <c r="C56" s="896"/>
      <c r="D56" s="896"/>
      <c r="E56" s="342"/>
      <c r="F56" s="370"/>
      <c r="G56" s="370"/>
      <c r="H56" s="370"/>
      <c r="I56" s="370"/>
      <c r="J56" s="370"/>
      <c r="K56" s="370"/>
      <c r="L56" s="391" t="s">
        <v>71</v>
      </c>
      <c r="M56" s="391">
        <f>Z56</f>
        <v>45119.57</v>
      </c>
      <c r="N56" s="370"/>
      <c r="O56" s="370"/>
      <c r="P56" s="370"/>
      <c r="Q56" s="370"/>
      <c r="R56" s="370"/>
      <c r="S56" s="370"/>
      <c r="T56" s="370"/>
      <c r="U56" s="370"/>
      <c r="V56" s="370"/>
      <c r="W56" s="370"/>
      <c r="X56" s="370"/>
      <c r="Y56" s="370" t="s">
        <v>71</v>
      </c>
      <c r="Z56" s="391">
        <v>45119.57</v>
      </c>
      <c r="AA56" s="930"/>
      <c r="AB56" s="391">
        <f t="shared" si="2"/>
        <v>45119.57</v>
      </c>
      <c r="AC56" s="391">
        <f>AB56</f>
        <v>45119.57</v>
      </c>
      <c r="AD56" s="467" t="s">
        <v>156</v>
      </c>
    </row>
    <row r="57" spans="1:30" s="345" customFormat="1" ht="12" customHeight="1" thickBot="1" x14ac:dyDescent="0.3">
      <c r="A57" s="905"/>
      <c r="B57" s="925"/>
      <c r="C57" s="896"/>
      <c r="D57" s="896"/>
      <c r="E57" s="342"/>
      <c r="F57" s="382"/>
      <c r="G57" s="382"/>
      <c r="H57" s="382"/>
      <c r="I57" s="382"/>
      <c r="J57" s="382"/>
      <c r="K57" s="382"/>
      <c r="L57" s="382"/>
      <c r="M57" s="382"/>
      <c r="N57" s="382"/>
      <c r="O57" s="382"/>
      <c r="P57" s="382"/>
      <c r="Q57" s="382"/>
      <c r="R57" s="382"/>
      <c r="S57" s="382"/>
      <c r="T57" s="382"/>
      <c r="U57" s="382"/>
      <c r="V57" s="382"/>
      <c r="W57" s="382"/>
      <c r="X57" s="382"/>
      <c r="Y57" s="382"/>
      <c r="Z57" s="392"/>
      <c r="AA57" s="930"/>
      <c r="AB57" s="392"/>
      <c r="AC57" s="392"/>
      <c r="AD57" s="468"/>
    </row>
    <row r="58" spans="1:30" s="345" customFormat="1" ht="13.2" customHeight="1" thickBot="1" x14ac:dyDescent="0.3">
      <c r="A58" s="906"/>
      <c r="B58" s="926"/>
      <c r="C58" s="897"/>
      <c r="D58" s="897"/>
      <c r="E58" s="469"/>
      <c r="F58" s="383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84"/>
      <c r="R58" s="384"/>
      <c r="S58" s="384"/>
      <c r="T58" s="384"/>
      <c r="U58" s="384"/>
      <c r="V58" s="384"/>
      <c r="W58" s="384"/>
      <c r="X58" s="384"/>
      <c r="Y58" s="385" t="s">
        <v>151</v>
      </c>
      <c r="Z58" s="386">
        <f>SUM(Z53:Z57)</f>
        <v>376145.98000000004</v>
      </c>
      <c r="AA58" s="387"/>
      <c r="AB58" s="386">
        <f>SUM(AB53:AB57)</f>
        <v>376145.98000000004</v>
      </c>
      <c r="AC58" s="386">
        <f>SUM(AC53:AC57)</f>
        <v>298684.88</v>
      </c>
      <c r="AD58" s="388">
        <f>SUM(AD53:AD57)</f>
        <v>77461.099999999991</v>
      </c>
    </row>
    <row r="59" spans="1:30" s="345" customFormat="1" ht="13.2" customHeight="1" x14ac:dyDescent="0.25">
      <c r="A59" s="923">
        <v>5</v>
      </c>
      <c r="B59" s="924" t="s">
        <v>157</v>
      </c>
      <c r="C59" s="927" t="s">
        <v>72</v>
      </c>
      <c r="D59" s="928">
        <v>234737.15</v>
      </c>
      <c r="E59" s="470"/>
      <c r="F59" s="471"/>
      <c r="G59" s="472"/>
      <c r="H59" s="472"/>
      <c r="I59" s="472"/>
      <c r="J59" s="472"/>
      <c r="K59" s="472"/>
      <c r="L59" s="472"/>
      <c r="M59" s="472"/>
      <c r="N59" s="472"/>
      <c r="O59" s="472"/>
      <c r="P59" s="472"/>
      <c r="Q59" s="472"/>
      <c r="R59" s="472"/>
      <c r="S59" s="472"/>
      <c r="T59" s="472"/>
      <c r="U59" s="472"/>
      <c r="V59" s="472"/>
      <c r="W59" s="472"/>
      <c r="X59" s="472"/>
      <c r="Y59" s="473"/>
      <c r="Z59" s="474"/>
      <c r="AA59" s="475"/>
      <c r="AB59" s="474"/>
      <c r="AC59" s="474"/>
      <c r="AD59" s="476"/>
    </row>
    <row r="60" spans="1:30" s="345" customFormat="1" ht="13.2" customHeight="1" x14ac:dyDescent="0.25">
      <c r="A60" s="905"/>
      <c r="B60" s="925"/>
      <c r="C60" s="896"/>
      <c r="D60" s="896"/>
      <c r="E60" s="381"/>
      <c r="F60" s="396"/>
      <c r="G60" s="397"/>
      <c r="H60" s="397"/>
      <c r="I60" s="397"/>
      <c r="J60" s="397"/>
      <c r="K60" s="397"/>
      <c r="L60" s="397"/>
      <c r="M60" s="397"/>
      <c r="N60" s="397"/>
      <c r="O60" s="397"/>
      <c r="P60" s="397"/>
      <c r="Q60" s="397"/>
      <c r="R60" s="397"/>
      <c r="S60" s="397"/>
      <c r="T60" s="397"/>
      <c r="U60" s="397"/>
      <c r="V60" s="397"/>
      <c r="W60" s="397"/>
      <c r="X60" s="397"/>
      <c r="Y60" s="398"/>
      <c r="Z60" s="399"/>
      <c r="AA60" s="400"/>
      <c r="AB60" s="399"/>
      <c r="AC60" s="399"/>
      <c r="AD60" s="477"/>
    </row>
    <row r="61" spans="1:30" s="345" customFormat="1" ht="13.2" customHeight="1" x14ac:dyDescent="0.25">
      <c r="A61" s="905"/>
      <c r="B61" s="925"/>
      <c r="C61" s="896"/>
      <c r="D61" s="896"/>
      <c r="E61" s="381"/>
      <c r="F61" s="396"/>
      <c r="G61" s="397"/>
      <c r="H61" s="397"/>
      <c r="I61" s="397"/>
      <c r="J61" s="397"/>
      <c r="K61" s="397"/>
      <c r="L61" s="397"/>
      <c r="M61" s="397"/>
      <c r="N61" s="397"/>
      <c r="O61" s="397"/>
      <c r="P61" s="397"/>
      <c r="Q61" s="397"/>
      <c r="R61" s="397"/>
      <c r="S61" s="397"/>
      <c r="T61" s="397"/>
      <c r="U61" s="397"/>
      <c r="V61" s="397"/>
      <c r="W61" s="397"/>
      <c r="X61" s="397"/>
      <c r="Y61" s="398"/>
      <c r="Z61" s="399"/>
      <c r="AA61" s="400"/>
      <c r="AB61" s="399"/>
      <c r="AC61" s="399"/>
      <c r="AD61" s="477"/>
    </row>
    <row r="62" spans="1:30" s="345" customFormat="1" ht="13.2" customHeight="1" x14ac:dyDescent="0.25">
      <c r="A62" s="905"/>
      <c r="B62" s="925"/>
      <c r="C62" s="896"/>
      <c r="D62" s="896"/>
      <c r="E62" s="381"/>
      <c r="F62" s="396"/>
      <c r="G62" s="397"/>
      <c r="H62" s="397"/>
      <c r="I62" s="397"/>
      <c r="J62" s="397"/>
      <c r="K62" s="397"/>
      <c r="L62" s="397"/>
      <c r="M62" s="397"/>
      <c r="N62" s="397"/>
      <c r="O62" s="397"/>
      <c r="P62" s="397"/>
      <c r="Q62" s="397"/>
      <c r="R62" s="397"/>
      <c r="S62" s="397"/>
      <c r="T62" s="397"/>
      <c r="U62" s="397"/>
      <c r="V62" s="397"/>
      <c r="W62" s="397"/>
      <c r="X62" s="397"/>
      <c r="Y62" s="398"/>
      <c r="Z62" s="399"/>
      <c r="AA62" s="400"/>
      <c r="AB62" s="399"/>
      <c r="AC62" s="399"/>
      <c r="AD62" s="477"/>
    </row>
    <row r="63" spans="1:30" s="345" customFormat="1" ht="13.2" customHeight="1" x14ac:dyDescent="0.25">
      <c r="A63" s="905"/>
      <c r="B63" s="925"/>
      <c r="C63" s="896"/>
      <c r="D63" s="896"/>
      <c r="E63" s="381"/>
      <c r="F63" s="396"/>
      <c r="G63" s="397"/>
      <c r="H63" s="397"/>
      <c r="I63" s="397"/>
      <c r="J63" s="397"/>
      <c r="K63" s="397"/>
      <c r="L63" s="397"/>
      <c r="M63" s="397"/>
      <c r="N63" s="397"/>
      <c r="O63" s="397"/>
      <c r="P63" s="397"/>
      <c r="Q63" s="397"/>
      <c r="R63" s="397"/>
      <c r="S63" s="397"/>
      <c r="T63" s="397"/>
      <c r="U63" s="397"/>
      <c r="V63" s="397"/>
      <c r="W63" s="397"/>
      <c r="X63" s="397"/>
      <c r="Y63" s="398"/>
      <c r="Z63" s="399"/>
      <c r="AA63" s="400"/>
      <c r="AB63" s="399"/>
      <c r="AC63" s="399"/>
      <c r="AD63" s="477"/>
    </row>
    <row r="64" spans="1:30" s="345" customFormat="1" ht="13.2" customHeight="1" thickBot="1" x14ac:dyDescent="0.3">
      <c r="A64" s="906"/>
      <c r="B64" s="926"/>
      <c r="C64" s="897"/>
      <c r="D64" s="897"/>
      <c r="E64" s="469"/>
      <c r="F64" s="478"/>
      <c r="G64" s="446"/>
      <c r="H64" s="446"/>
      <c r="I64" s="446"/>
      <c r="J64" s="446"/>
      <c r="K64" s="446"/>
      <c r="L64" s="446"/>
      <c r="M64" s="446"/>
      <c r="N64" s="446"/>
      <c r="O64" s="446"/>
      <c r="P64" s="446"/>
      <c r="Q64" s="446"/>
      <c r="R64" s="446"/>
      <c r="S64" s="446"/>
      <c r="T64" s="446"/>
      <c r="U64" s="446"/>
      <c r="V64" s="446"/>
      <c r="W64" s="446"/>
      <c r="X64" s="446"/>
      <c r="Y64" s="431"/>
      <c r="Z64" s="428"/>
      <c r="AA64" s="479"/>
      <c r="AB64" s="428"/>
      <c r="AC64" s="428"/>
      <c r="AD64" s="480"/>
    </row>
    <row r="65" spans="1:32" s="346" customFormat="1" ht="17.399999999999999" customHeight="1" thickBot="1" x14ac:dyDescent="0.3">
      <c r="A65" s="401"/>
      <c r="B65" s="402" t="s">
        <v>47</v>
      </c>
      <c r="C65" s="403"/>
      <c r="D65" s="404" t="e">
        <f>SUM(D8:D64)</f>
        <v>#REF!</v>
      </c>
      <c r="E65" s="405"/>
      <c r="F65" s="406"/>
      <c r="G65" s="406">
        <f>SUM(G8:G64)</f>
        <v>481988.70999999996</v>
      </c>
      <c r="H65" s="406"/>
      <c r="I65" s="406">
        <f>SUM(I8:I64)</f>
        <v>1542755.92</v>
      </c>
      <c r="J65" s="406"/>
      <c r="K65" s="406">
        <f>SUM(K8:K64)</f>
        <v>2884086.1499999994</v>
      </c>
      <c r="L65" s="406"/>
      <c r="M65" s="406">
        <f>SUM(M8:M64)</f>
        <v>2436414.64</v>
      </c>
      <c r="N65" s="406"/>
      <c r="O65" s="406">
        <f>SUM(O8:O64)</f>
        <v>1007387.4</v>
      </c>
      <c r="P65" s="406"/>
      <c r="Q65" s="406">
        <f>SUM(Q8:Q64)</f>
        <v>2639914.88</v>
      </c>
      <c r="R65" s="406"/>
      <c r="S65" s="406">
        <f>SUM(S8:S64)</f>
        <v>1112793.8799999999</v>
      </c>
      <c r="T65" s="406"/>
      <c r="U65" s="406">
        <f>SUM(U8:U64)</f>
        <v>0</v>
      </c>
      <c r="V65" s="406"/>
      <c r="W65" s="406">
        <f t="shared" ref="W65" si="3">SUM(W8:W64)</f>
        <v>0</v>
      </c>
      <c r="X65" s="406"/>
      <c r="Y65" s="406"/>
      <c r="Z65" s="406">
        <f>Z23+Z27+Z45+Z52+Z58+Z25</f>
        <v>12313690.039999999</v>
      </c>
      <c r="AA65" s="447">
        <f>SUM(AA8:AA58)</f>
        <v>12313690.039999999</v>
      </c>
      <c r="AB65" s="448">
        <f>AB23+AB27+AB45+AB52+AB58+AB25</f>
        <v>12313690.039999999</v>
      </c>
      <c r="AC65" s="448">
        <f>AC23+AC27+AC45+AC52+AC58+AC25</f>
        <v>9892072.1060000025</v>
      </c>
      <c r="AD65" s="449">
        <f>AD23+AD27+AD45+AD52+AD58+AD25</f>
        <v>2223990.8440000005</v>
      </c>
    </row>
    <row r="66" spans="1:32" s="346" customFormat="1" ht="22.2" customHeight="1" x14ac:dyDescent="0.25">
      <c r="C66" s="376"/>
      <c r="D66" s="377"/>
      <c r="E66" s="378"/>
      <c r="F66" s="379"/>
      <c r="G66" s="379"/>
      <c r="H66" s="379"/>
      <c r="I66" s="379"/>
      <c r="J66" s="379"/>
      <c r="K66" s="379"/>
      <c r="L66" s="379"/>
      <c r="M66" s="379"/>
      <c r="N66" s="379"/>
      <c r="O66" s="379"/>
      <c r="P66" s="379"/>
      <c r="Q66" s="379"/>
      <c r="R66" s="379"/>
      <c r="S66" s="379"/>
      <c r="T66" s="379"/>
      <c r="U66" s="379"/>
      <c r="V66" s="379"/>
      <c r="W66" s="379"/>
      <c r="X66" s="379"/>
      <c r="Y66" s="380"/>
      <c r="Z66" s="379"/>
      <c r="AA66" s="380"/>
      <c r="AB66" s="379"/>
      <c r="AC66" s="379"/>
      <c r="AD66" s="379"/>
      <c r="AF66" s="531" t="e">
        <f>D30-AA30</f>
        <v>#REF!</v>
      </c>
    </row>
    <row r="67" spans="1:32" s="346" customFormat="1" ht="21.75" customHeight="1" x14ac:dyDescent="0.2">
      <c r="A67" s="331"/>
      <c r="B67" s="347"/>
      <c r="C67" s="348"/>
      <c r="D67" s="349"/>
      <c r="E67" s="347"/>
      <c r="F67" s="350"/>
      <c r="G67" s="350"/>
      <c r="H67" s="350"/>
      <c r="I67" s="350"/>
      <c r="J67" s="350"/>
      <c r="K67" s="350"/>
      <c r="L67" s="350"/>
      <c r="M67" s="350"/>
      <c r="N67" s="350"/>
      <c r="O67" s="350"/>
      <c r="P67" s="350"/>
      <c r="Q67" s="350"/>
      <c r="R67" s="350"/>
      <c r="S67" s="350"/>
      <c r="T67" s="350"/>
      <c r="U67" s="350"/>
      <c r="V67" s="350"/>
      <c r="W67" s="350"/>
      <c r="X67" s="350"/>
      <c r="Y67" s="348"/>
      <c r="Z67" s="348"/>
      <c r="AA67" s="348"/>
    </row>
    <row r="68" spans="1:32" s="346" customFormat="1" ht="17.25" customHeight="1" x14ac:dyDescent="0.2">
      <c r="A68" s="331"/>
      <c r="B68" s="351" t="s">
        <v>150</v>
      </c>
      <c r="C68" s="348"/>
      <c r="D68" s="349"/>
      <c r="E68" s="347"/>
      <c r="F68" s="350"/>
      <c r="G68" s="350"/>
      <c r="H68" s="350"/>
      <c r="I68" s="350"/>
      <c r="J68" s="350"/>
      <c r="K68" s="350"/>
      <c r="L68" s="350"/>
      <c r="M68" s="350"/>
      <c r="N68" s="350"/>
      <c r="O68" s="350"/>
      <c r="P68" s="350"/>
      <c r="Q68" s="350"/>
      <c r="R68" s="350"/>
      <c r="S68" s="350"/>
      <c r="T68" s="350"/>
      <c r="U68" s="350"/>
      <c r="V68" s="350"/>
      <c r="W68" s="350"/>
      <c r="X68" s="350"/>
      <c r="Y68" s="348"/>
      <c r="Z68" s="348"/>
      <c r="AB68" s="352"/>
    </row>
    <row r="69" spans="1:32" s="353" customFormat="1" x14ac:dyDescent="0.25">
      <c r="C69" s="354"/>
      <c r="D69" s="355"/>
      <c r="E69" s="333"/>
      <c r="F69" s="356"/>
      <c r="G69" s="356"/>
      <c r="H69" s="356"/>
      <c r="I69" s="356"/>
      <c r="J69" s="356"/>
      <c r="K69" s="356"/>
      <c r="L69" s="356"/>
      <c r="M69" s="356"/>
      <c r="N69" s="356"/>
      <c r="O69" s="356"/>
      <c r="P69" s="356"/>
      <c r="Q69" s="356"/>
      <c r="R69" s="356"/>
      <c r="S69" s="356"/>
      <c r="T69" s="356"/>
      <c r="U69" s="356"/>
      <c r="V69" s="356"/>
      <c r="W69" s="356"/>
      <c r="X69" s="356"/>
      <c r="Y69" s="357"/>
      <c r="Z69" s="357"/>
      <c r="AA69" s="358"/>
    </row>
    <row r="70" spans="1:32" s="353" customFormat="1" x14ac:dyDescent="0.25">
      <c r="C70" s="354"/>
      <c r="D70" s="355"/>
      <c r="E70" s="333"/>
      <c r="F70" s="356"/>
      <c r="G70" s="356"/>
      <c r="H70" s="356"/>
      <c r="I70" s="356"/>
      <c r="J70" s="356"/>
      <c r="K70" s="356"/>
      <c r="L70" s="356"/>
      <c r="M70" s="356"/>
      <c r="N70" s="356"/>
      <c r="O70" s="356"/>
      <c r="P70" s="356"/>
      <c r="Q70" s="356"/>
      <c r="R70" s="356"/>
      <c r="S70" s="356"/>
      <c r="T70" s="356"/>
      <c r="U70" s="356"/>
      <c r="V70" s="356"/>
      <c r="W70" s="356"/>
      <c r="X70" s="356"/>
      <c r="Y70" s="357"/>
      <c r="Z70" s="357"/>
      <c r="AA70" s="357"/>
      <c r="AB70" s="359"/>
    </row>
    <row r="71" spans="1:32" x14ac:dyDescent="0.25">
      <c r="C71" s="360"/>
      <c r="D71" s="361"/>
      <c r="F71" s="356"/>
      <c r="G71" s="356"/>
      <c r="H71" s="356"/>
      <c r="I71" s="356"/>
      <c r="J71" s="356"/>
      <c r="K71" s="356"/>
      <c r="L71" s="356"/>
      <c r="M71" s="356"/>
      <c r="N71" s="356"/>
      <c r="O71" s="356"/>
      <c r="P71" s="356"/>
      <c r="Q71" s="356"/>
      <c r="R71" s="356"/>
      <c r="S71" s="356"/>
      <c r="T71" s="356"/>
      <c r="U71" s="356"/>
      <c r="V71" s="356"/>
      <c r="W71" s="356"/>
      <c r="X71" s="356"/>
      <c r="Y71" s="362"/>
      <c r="Z71" s="362"/>
      <c r="AA71" s="362"/>
    </row>
    <row r="72" spans="1:32" x14ac:dyDescent="0.25">
      <c r="B72" s="330" t="s">
        <v>7</v>
      </c>
      <c r="C72" s="360"/>
      <c r="D72" s="361"/>
      <c r="F72" s="356"/>
      <c r="G72" s="356"/>
      <c r="H72" s="356"/>
      <c r="I72" s="356"/>
      <c r="J72" s="356"/>
      <c r="K72" s="356"/>
      <c r="L72" s="356"/>
      <c r="M72" s="356"/>
      <c r="N72" s="356"/>
      <c r="O72" s="356"/>
      <c r="P72" s="356"/>
      <c r="Q72" s="356"/>
      <c r="R72" s="356"/>
      <c r="S72" s="356"/>
      <c r="T72" s="356"/>
      <c r="U72" s="356"/>
      <c r="V72" s="356"/>
      <c r="W72" s="356"/>
      <c r="X72" s="356"/>
      <c r="Y72" s="357"/>
      <c r="Z72" s="357"/>
      <c r="AA72" s="357"/>
    </row>
    <row r="73" spans="1:32" x14ac:dyDescent="0.25">
      <c r="C73" s="360"/>
      <c r="D73" s="361"/>
      <c r="F73" s="356"/>
      <c r="G73" s="356"/>
      <c r="H73" s="356"/>
      <c r="I73" s="356"/>
      <c r="J73" s="356"/>
      <c r="K73" s="356"/>
      <c r="L73" s="356"/>
      <c r="M73" s="356"/>
      <c r="N73" s="356"/>
      <c r="O73" s="356"/>
      <c r="P73" s="356"/>
      <c r="Q73" s="356"/>
      <c r="R73" s="356"/>
      <c r="S73" s="356"/>
      <c r="T73" s="356"/>
      <c r="U73" s="356"/>
      <c r="V73" s="356"/>
      <c r="W73" s="356"/>
      <c r="X73" s="356"/>
      <c r="Y73" s="362"/>
      <c r="Z73" s="362"/>
      <c r="AA73" s="362"/>
    </row>
    <row r="74" spans="1:32" x14ac:dyDescent="0.25">
      <c r="C74" s="360"/>
      <c r="D74" s="361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6"/>
      <c r="Q74" s="356"/>
      <c r="R74" s="356"/>
      <c r="S74" s="356"/>
      <c r="T74" s="356"/>
      <c r="U74" s="356"/>
      <c r="V74" s="356"/>
      <c r="W74" s="356"/>
      <c r="X74" s="356"/>
      <c r="Y74" s="340"/>
      <c r="Z74" s="340"/>
      <c r="AA74" s="340"/>
    </row>
    <row r="75" spans="1:32" x14ac:dyDescent="0.25">
      <c r="C75" s="360"/>
      <c r="D75" s="361"/>
      <c r="F75" s="356"/>
      <c r="G75" s="356"/>
      <c r="H75" s="356"/>
      <c r="I75" s="356"/>
      <c r="J75" s="356"/>
      <c r="K75" s="356"/>
      <c r="L75" s="356"/>
      <c r="M75" s="356"/>
      <c r="N75" s="356"/>
      <c r="O75" s="356"/>
      <c r="P75" s="356"/>
      <c r="Q75" s="356"/>
      <c r="R75" s="356"/>
      <c r="S75" s="356"/>
      <c r="T75" s="356"/>
      <c r="U75" s="356"/>
      <c r="V75" s="356"/>
      <c r="W75" s="356"/>
      <c r="X75" s="356"/>
      <c r="Y75" s="340"/>
      <c r="Z75" s="340"/>
      <c r="AA75" s="340"/>
    </row>
    <row r="76" spans="1:32" x14ac:dyDescent="0.25">
      <c r="C76" s="360"/>
      <c r="D76" s="361"/>
      <c r="F76" s="356"/>
      <c r="G76" s="356"/>
      <c r="H76" s="356"/>
      <c r="I76" s="356"/>
      <c r="J76" s="356"/>
      <c r="K76" s="356"/>
      <c r="L76" s="356"/>
      <c r="M76" s="356"/>
      <c r="N76" s="356"/>
      <c r="O76" s="356"/>
      <c r="P76" s="356"/>
      <c r="Q76" s="356"/>
      <c r="R76" s="356"/>
      <c r="S76" s="356"/>
      <c r="T76" s="356"/>
      <c r="U76" s="356"/>
      <c r="V76" s="356"/>
      <c r="W76" s="356"/>
      <c r="X76" s="356"/>
      <c r="Y76" s="340"/>
      <c r="Z76" s="340"/>
      <c r="AA76" s="340"/>
    </row>
    <row r="77" spans="1:32" x14ac:dyDescent="0.25">
      <c r="C77" s="360"/>
      <c r="D77" s="361"/>
      <c r="F77" s="356"/>
      <c r="G77" s="356"/>
      <c r="H77" s="356"/>
      <c r="I77" s="356"/>
      <c r="J77" s="356"/>
      <c r="K77" s="356"/>
      <c r="L77" s="356"/>
      <c r="M77" s="356"/>
      <c r="N77" s="356"/>
      <c r="O77" s="356"/>
      <c r="P77" s="356"/>
      <c r="Q77" s="356"/>
      <c r="R77" s="356"/>
      <c r="S77" s="356"/>
      <c r="T77" s="356"/>
      <c r="U77" s="356"/>
      <c r="V77" s="356"/>
      <c r="W77" s="356"/>
      <c r="X77" s="356"/>
      <c r="Y77" s="340"/>
      <c r="Z77" s="340"/>
      <c r="AA77" s="340"/>
    </row>
    <row r="78" spans="1:32" x14ac:dyDescent="0.25">
      <c r="C78" s="360"/>
      <c r="D78" s="361"/>
      <c r="F78" s="356"/>
      <c r="G78" s="356"/>
      <c r="H78" s="356"/>
      <c r="I78" s="356"/>
      <c r="J78" s="356"/>
      <c r="K78" s="356"/>
      <c r="L78" s="356"/>
      <c r="M78" s="356"/>
      <c r="N78" s="356"/>
      <c r="O78" s="356"/>
      <c r="P78" s="356"/>
      <c r="Q78" s="356"/>
      <c r="R78" s="356"/>
      <c r="S78" s="356"/>
      <c r="T78" s="356"/>
      <c r="U78" s="356"/>
      <c r="V78" s="356"/>
      <c r="W78" s="356"/>
      <c r="X78" s="356"/>
      <c r="Y78" s="340"/>
      <c r="Z78" s="340"/>
      <c r="AA78" s="340"/>
    </row>
    <row r="79" spans="1:32" x14ac:dyDescent="0.25">
      <c r="C79" s="360"/>
      <c r="D79" s="361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6"/>
      <c r="Q79" s="356"/>
      <c r="R79" s="356"/>
      <c r="S79" s="356"/>
      <c r="T79" s="356"/>
      <c r="U79" s="356"/>
      <c r="V79" s="356"/>
      <c r="W79" s="356"/>
      <c r="X79" s="356"/>
      <c r="Y79" s="340"/>
      <c r="Z79" s="340"/>
      <c r="AA79" s="340"/>
    </row>
    <row r="80" spans="1:32" x14ac:dyDescent="0.25">
      <c r="C80" s="360"/>
      <c r="D80" s="361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6"/>
      <c r="Q80" s="356"/>
      <c r="R80" s="356"/>
      <c r="S80" s="356"/>
      <c r="T80" s="356"/>
      <c r="U80" s="356"/>
      <c r="V80" s="356"/>
      <c r="W80" s="356"/>
      <c r="X80" s="356"/>
      <c r="Y80" s="340"/>
      <c r="Z80" s="340"/>
      <c r="AA80" s="340"/>
    </row>
    <row r="81" spans="3:27" x14ac:dyDescent="0.25">
      <c r="C81" s="360"/>
      <c r="D81" s="361"/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6"/>
      <c r="Q81" s="356"/>
      <c r="R81" s="356"/>
      <c r="S81" s="356"/>
      <c r="T81" s="356"/>
      <c r="U81" s="356"/>
      <c r="V81" s="356"/>
      <c r="W81" s="356"/>
      <c r="X81" s="356"/>
      <c r="Y81" s="340"/>
      <c r="Z81" s="340"/>
      <c r="AA81" s="340"/>
    </row>
    <row r="82" spans="3:27" x14ac:dyDescent="0.25">
      <c r="C82" s="360"/>
      <c r="D82" s="361"/>
      <c r="F82" s="356"/>
      <c r="G82" s="356"/>
      <c r="H82" s="356"/>
      <c r="I82" s="356"/>
      <c r="J82" s="356"/>
      <c r="K82" s="356"/>
      <c r="L82" s="356"/>
      <c r="M82" s="356"/>
      <c r="N82" s="356"/>
      <c r="O82" s="356"/>
      <c r="P82" s="356"/>
      <c r="Q82" s="356"/>
      <c r="R82" s="356"/>
      <c r="S82" s="356"/>
      <c r="T82" s="356"/>
      <c r="U82" s="356"/>
      <c r="V82" s="356"/>
      <c r="W82" s="356"/>
      <c r="X82" s="356"/>
      <c r="Y82" s="340"/>
      <c r="Z82" s="340"/>
      <c r="AA82" s="340"/>
    </row>
    <row r="83" spans="3:27" x14ac:dyDescent="0.25">
      <c r="C83" s="360"/>
      <c r="D83" s="361"/>
      <c r="F83" s="356"/>
      <c r="G83" s="356"/>
      <c r="H83" s="356"/>
      <c r="I83" s="356"/>
      <c r="J83" s="356"/>
      <c r="K83" s="356"/>
      <c r="L83" s="356"/>
      <c r="M83" s="356"/>
      <c r="N83" s="356"/>
      <c r="O83" s="356"/>
      <c r="P83" s="356"/>
      <c r="Q83" s="356"/>
      <c r="R83" s="356"/>
      <c r="S83" s="356"/>
      <c r="T83" s="356"/>
      <c r="U83" s="356"/>
      <c r="V83" s="356"/>
      <c r="W83" s="356"/>
      <c r="X83" s="356"/>
      <c r="Y83" s="340"/>
      <c r="Z83" s="340"/>
      <c r="AA83" s="340"/>
    </row>
    <row r="84" spans="3:27" x14ac:dyDescent="0.25">
      <c r="C84" s="360"/>
      <c r="D84" s="361"/>
      <c r="F84" s="356"/>
      <c r="G84" s="356"/>
      <c r="H84" s="356"/>
      <c r="I84" s="356"/>
      <c r="J84" s="356"/>
      <c r="K84" s="356"/>
      <c r="L84" s="356"/>
      <c r="M84" s="356"/>
      <c r="N84" s="356"/>
      <c r="O84" s="356"/>
      <c r="P84" s="356"/>
      <c r="Q84" s="356"/>
      <c r="R84" s="356"/>
      <c r="S84" s="356"/>
      <c r="T84" s="356"/>
      <c r="U84" s="356"/>
      <c r="V84" s="356"/>
      <c r="W84" s="356"/>
      <c r="X84" s="356"/>
      <c r="Y84" s="340"/>
      <c r="Z84" s="340"/>
      <c r="AA84" s="340"/>
    </row>
    <row r="85" spans="3:27" x14ac:dyDescent="0.25">
      <c r="C85" s="360"/>
      <c r="D85" s="361"/>
      <c r="F85" s="356"/>
      <c r="G85" s="356"/>
      <c r="H85" s="356"/>
      <c r="I85" s="356"/>
      <c r="J85" s="356"/>
      <c r="K85" s="356"/>
      <c r="L85" s="356"/>
      <c r="M85" s="356"/>
      <c r="N85" s="356"/>
      <c r="O85" s="356"/>
      <c r="P85" s="356"/>
      <c r="Q85" s="356"/>
      <c r="R85" s="356"/>
      <c r="S85" s="356"/>
      <c r="T85" s="356"/>
      <c r="U85" s="356"/>
      <c r="V85" s="356"/>
      <c r="W85" s="356"/>
      <c r="X85" s="356"/>
      <c r="Y85" s="340"/>
      <c r="Z85" s="340"/>
      <c r="AA85" s="340"/>
    </row>
    <row r="86" spans="3:27" x14ac:dyDescent="0.25">
      <c r="C86" s="360"/>
      <c r="D86" s="361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6"/>
      <c r="Q86" s="356"/>
      <c r="R86" s="356"/>
      <c r="S86" s="356"/>
      <c r="T86" s="356"/>
      <c r="U86" s="356"/>
      <c r="V86" s="356"/>
      <c r="W86" s="356"/>
      <c r="X86" s="356"/>
      <c r="Y86" s="340"/>
      <c r="Z86" s="340"/>
      <c r="AA86" s="340"/>
    </row>
    <row r="87" spans="3:27" x14ac:dyDescent="0.25">
      <c r="C87" s="360"/>
      <c r="D87" s="361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6"/>
      <c r="Q87" s="356"/>
      <c r="R87" s="356"/>
      <c r="S87" s="356"/>
      <c r="T87" s="356"/>
      <c r="U87" s="356"/>
      <c r="V87" s="356"/>
      <c r="W87" s="356"/>
      <c r="X87" s="356"/>
      <c r="Y87" s="340"/>
      <c r="Z87" s="340"/>
      <c r="AA87" s="340"/>
    </row>
    <row r="88" spans="3:27" x14ac:dyDescent="0.25">
      <c r="C88" s="360"/>
      <c r="D88" s="361"/>
      <c r="F88" s="356"/>
      <c r="G88" s="356"/>
      <c r="H88" s="356"/>
      <c r="I88" s="356"/>
      <c r="J88" s="356"/>
      <c r="K88" s="356"/>
      <c r="L88" s="356"/>
      <c r="M88" s="356"/>
      <c r="N88" s="356"/>
      <c r="O88" s="356"/>
      <c r="P88" s="356"/>
      <c r="Q88" s="356"/>
      <c r="R88" s="356"/>
      <c r="S88" s="356"/>
      <c r="T88" s="356"/>
      <c r="U88" s="356"/>
      <c r="V88" s="356"/>
      <c r="W88" s="356"/>
      <c r="X88" s="356"/>
      <c r="Y88" s="340"/>
      <c r="Z88" s="340"/>
      <c r="AA88" s="340"/>
    </row>
    <row r="89" spans="3:27" x14ac:dyDescent="0.25">
      <c r="C89" s="360"/>
      <c r="D89" s="361"/>
      <c r="F89" s="356"/>
      <c r="G89" s="356"/>
      <c r="H89" s="356"/>
      <c r="I89" s="356"/>
      <c r="J89" s="356"/>
      <c r="K89" s="356"/>
      <c r="L89" s="356"/>
      <c r="M89" s="356"/>
      <c r="N89" s="356"/>
      <c r="O89" s="356"/>
      <c r="P89" s="356"/>
      <c r="Q89" s="356"/>
      <c r="R89" s="356"/>
      <c r="S89" s="356"/>
      <c r="T89" s="356"/>
      <c r="U89" s="356"/>
      <c r="V89" s="356"/>
      <c r="W89" s="356"/>
      <c r="X89" s="356"/>
      <c r="Y89" s="340"/>
      <c r="Z89" s="340"/>
      <c r="AA89" s="340"/>
    </row>
    <row r="90" spans="3:27" x14ac:dyDescent="0.25">
      <c r="C90" s="360"/>
      <c r="D90" s="361"/>
      <c r="F90" s="356"/>
      <c r="G90" s="356"/>
      <c r="H90" s="356"/>
      <c r="I90" s="356"/>
      <c r="J90" s="356"/>
      <c r="K90" s="356"/>
      <c r="L90" s="356"/>
      <c r="M90" s="356"/>
      <c r="N90" s="356"/>
      <c r="O90" s="356"/>
      <c r="P90" s="356"/>
      <c r="Q90" s="356"/>
      <c r="R90" s="356"/>
      <c r="S90" s="356"/>
      <c r="T90" s="356"/>
      <c r="U90" s="356"/>
      <c r="V90" s="356"/>
      <c r="W90" s="356"/>
      <c r="X90" s="356"/>
      <c r="Y90" s="340"/>
      <c r="Z90" s="340"/>
      <c r="AA90" s="340"/>
    </row>
    <row r="91" spans="3:27" x14ac:dyDescent="0.25">
      <c r="C91" s="360"/>
      <c r="D91" s="361"/>
      <c r="F91" s="356"/>
      <c r="G91" s="356"/>
      <c r="H91" s="356"/>
      <c r="I91" s="356"/>
      <c r="J91" s="356"/>
      <c r="K91" s="356"/>
      <c r="L91" s="356"/>
      <c r="M91" s="356"/>
      <c r="N91" s="356"/>
      <c r="O91" s="356"/>
      <c r="P91" s="356"/>
      <c r="Q91" s="356"/>
      <c r="R91" s="356"/>
      <c r="S91" s="356"/>
      <c r="T91" s="356"/>
      <c r="U91" s="356"/>
      <c r="V91" s="356"/>
      <c r="W91" s="356"/>
      <c r="X91" s="356"/>
      <c r="Y91" s="340"/>
      <c r="Z91" s="340"/>
      <c r="AA91" s="340"/>
    </row>
    <row r="92" spans="3:27" x14ac:dyDescent="0.25">
      <c r="C92" s="360"/>
      <c r="D92" s="361"/>
      <c r="F92" s="356"/>
      <c r="G92" s="356"/>
      <c r="H92" s="356"/>
      <c r="I92" s="356"/>
      <c r="J92" s="356"/>
      <c r="K92" s="356"/>
      <c r="L92" s="356"/>
      <c r="M92" s="356"/>
      <c r="N92" s="356"/>
      <c r="O92" s="356"/>
      <c r="P92" s="356"/>
      <c r="Q92" s="356"/>
      <c r="R92" s="356"/>
      <c r="S92" s="356"/>
      <c r="T92" s="356"/>
      <c r="U92" s="356"/>
      <c r="V92" s="356"/>
      <c r="W92" s="356"/>
      <c r="X92" s="356"/>
      <c r="Y92" s="340"/>
      <c r="Z92" s="340"/>
      <c r="AA92" s="340"/>
    </row>
    <row r="93" spans="3:27" x14ac:dyDescent="0.25">
      <c r="C93" s="360"/>
      <c r="D93" s="361"/>
      <c r="F93" s="356"/>
      <c r="G93" s="356"/>
      <c r="H93" s="356"/>
      <c r="I93" s="356"/>
      <c r="J93" s="356"/>
      <c r="K93" s="356"/>
      <c r="L93" s="356"/>
      <c r="M93" s="356"/>
      <c r="N93" s="356"/>
      <c r="O93" s="356"/>
      <c r="P93" s="356"/>
      <c r="Q93" s="356"/>
      <c r="R93" s="356"/>
      <c r="S93" s="356"/>
      <c r="T93" s="356"/>
      <c r="U93" s="356"/>
      <c r="V93" s="356"/>
      <c r="W93" s="356"/>
      <c r="X93" s="356"/>
      <c r="Y93" s="340"/>
      <c r="Z93" s="340"/>
      <c r="AA93" s="340"/>
    </row>
    <row r="94" spans="3:27" x14ac:dyDescent="0.25">
      <c r="C94" s="360"/>
      <c r="D94" s="361"/>
      <c r="F94" s="356"/>
      <c r="G94" s="356"/>
      <c r="H94" s="356"/>
      <c r="I94" s="356"/>
      <c r="J94" s="356"/>
      <c r="K94" s="356"/>
      <c r="L94" s="356"/>
      <c r="M94" s="356"/>
      <c r="N94" s="356"/>
      <c r="O94" s="356"/>
      <c r="P94" s="356"/>
      <c r="Q94" s="356"/>
      <c r="R94" s="356"/>
      <c r="S94" s="356"/>
      <c r="T94" s="356"/>
      <c r="U94" s="356"/>
      <c r="V94" s="356"/>
      <c r="W94" s="356"/>
      <c r="X94" s="356"/>
      <c r="Y94" s="340"/>
      <c r="Z94" s="340"/>
      <c r="AA94" s="340"/>
    </row>
    <row r="95" spans="3:27" x14ac:dyDescent="0.25">
      <c r="C95" s="360"/>
      <c r="D95" s="361"/>
      <c r="F95" s="356"/>
      <c r="G95" s="356"/>
      <c r="H95" s="356"/>
      <c r="I95" s="356"/>
      <c r="J95" s="356"/>
      <c r="K95" s="356"/>
      <c r="L95" s="356"/>
      <c r="M95" s="356"/>
      <c r="N95" s="356"/>
      <c r="O95" s="356"/>
      <c r="P95" s="356"/>
      <c r="Q95" s="356"/>
      <c r="R95" s="356"/>
      <c r="S95" s="356"/>
      <c r="T95" s="356"/>
      <c r="U95" s="356"/>
      <c r="V95" s="356"/>
      <c r="W95" s="356"/>
      <c r="X95" s="356"/>
      <c r="Y95" s="340"/>
      <c r="Z95" s="340"/>
      <c r="AA95" s="340"/>
    </row>
    <row r="96" spans="3:27" x14ac:dyDescent="0.25">
      <c r="C96" s="360"/>
      <c r="D96" s="361"/>
      <c r="F96" s="356"/>
      <c r="G96" s="356"/>
      <c r="H96" s="356"/>
      <c r="I96" s="356"/>
      <c r="J96" s="356"/>
      <c r="K96" s="356"/>
      <c r="L96" s="356"/>
      <c r="M96" s="356"/>
      <c r="N96" s="356"/>
      <c r="O96" s="356"/>
      <c r="P96" s="356"/>
      <c r="Q96" s="356"/>
      <c r="R96" s="356"/>
      <c r="S96" s="356"/>
      <c r="T96" s="356"/>
      <c r="U96" s="356"/>
      <c r="V96" s="356"/>
      <c r="W96" s="356"/>
      <c r="X96" s="356"/>
      <c r="Y96" s="340"/>
      <c r="Z96" s="340"/>
      <c r="AA96" s="340"/>
    </row>
    <row r="97" spans="3:27" x14ac:dyDescent="0.25">
      <c r="C97" s="360"/>
      <c r="D97" s="361"/>
      <c r="F97" s="356"/>
      <c r="G97" s="356"/>
      <c r="H97" s="356"/>
      <c r="I97" s="356"/>
      <c r="J97" s="356"/>
      <c r="K97" s="356"/>
      <c r="L97" s="356"/>
      <c r="M97" s="356"/>
      <c r="N97" s="356"/>
      <c r="O97" s="356"/>
      <c r="P97" s="356"/>
      <c r="Q97" s="356"/>
      <c r="R97" s="356"/>
      <c r="S97" s="356"/>
      <c r="T97" s="356"/>
      <c r="U97" s="356"/>
      <c r="V97" s="356"/>
      <c r="W97" s="356"/>
      <c r="X97" s="356"/>
      <c r="Y97" s="340"/>
      <c r="Z97" s="340"/>
      <c r="AA97" s="340"/>
    </row>
  </sheetData>
  <mergeCells count="48"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  <mergeCell ref="A59:A64"/>
    <mergeCell ref="B59:B64"/>
    <mergeCell ref="C59:C64"/>
    <mergeCell ref="D59:D64"/>
    <mergeCell ref="A53:A58"/>
    <mergeCell ref="B53:B58"/>
    <mergeCell ref="C53:C58"/>
    <mergeCell ref="D53:D58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A2:Y2"/>
    <mergeCell ref="A4:A6"/>
    <mergeCell ref="B4:B6"/>
    <mergeCell ref="C4:D5"/>
    <mergeCell ref="E4:E6"/>
    <mergeCell ref="F4:W4"/>
    <mergeCell ref="Y4:AA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30" customWidth="1"/>
    <col min="2" max="2" width="35.6640625" style="330" customWidth="1"/>
    <col min="3" max="3" width="5.6640625" style="329" customWidth="1"/>
    <col min="4" max="4" width="10.44140625" style="329" customWidth="1"/>
    <col min="5" max="5" width="13.5546875" style="329" customWidth="1"/>
    <col min="6" max="6" width="9.109375" style="330"/>
    <col min="7" max="7" width="13.33203125" style="330" bestFit="1" customWidth="1"/>
    <col min="8" max="16384" width="9.109375" style="330"/>
  </cols>
  <sheetData>
    <row r="1" spans="1:5" ht="16.8" customHeight="1" x14ac:dyDescent="0.25">
      <c r="C1" s="331"/>
      <c r="D1" s="330"/>
      <c r="E1" s="330"/>
    </row>
    <row r="2" spans="1:5" ht="15" customHeight="1" x14ac:dyDescent="0.25">
      <c r="A2" s="943" t="s">
        <v>184</v>
      </c>
      <c r="B2" s="943"/>
      <c r="C2" s="943"/>
      <c r="D2" s="944"/>
      <c r="E2" s="944"/>
    </row>
    <row r="3" spans="1:5" ht="15" customHeight="1" x14ac:dyDescent="0.25">
      <c r="A3" s="331"/>
      <c r="B3" s="331"/>
      <c r="C3" s="331"/>
      <c r="D3" s="892" t="s">
        <v>185</v>
      </c>
      <c r="E3" s="892"/>
    </row>
    <row r="4" spans="1:5" ht="27.75" customHeight="1" x14ac:dyDescent="0.25">
      <c r="A4" s="543" t="s">
        <v>182</v>
      </c>
      <c r="B4" s="544" t="s">
        <v>183</v>
      </c>
      <c r="C4" s="336" t="s">
        <v>131</v>
      </c>
      <c r="D4" s="545" t="s">
        <v>186</v>
      </c>
      <c r="E4" s="542" t="s">
        <v>187</v>
      </c>
    </row>
    <row r="5" spans="1:5" s="345" customFormat="1" ht="12" customHeight="1" x14ac:dyDescent="0.25">
      <c r="A5" s="918">
        <v>1</v>
      </c>
      <c r="B5" s="921" t="s">
        <v>176</v>
      </c>
      <c r="C5" s="344" t="s">
        <v>53</v>
      </c>
      <c r="D5" s="344">
        <v>7494.3</v>
      </c>
      <c r="E5" s="344">
        <f>D5*1.2</f>
        <v>8993.16</v>
      </c>
    </row>
    <row r="6" spans="1:5" s="345" customFormat="1" ht="12" customHeight="1" x14ac:dyDescent="0.25">
      <c r="A6" s="918"/>
      <c r="B6" s="921"/>
      <c r="C6" s="344" t="s">
        <v>69</v>
      </c>
      <c r="D6" s="344">
        <v>23.05</v>
      </c>
      <c r="E6" s="344">
        <f t="shared" ref="E6:E19" si="0">D6*1.2</f>
        <v>27.66</v>
      </c>
    </row>
    <row r="7" spans="1:5" s="345" customFormat="1" ht="12" customHeight="1" x14ac:dyDescent="0.25">
      <c r="A7" s="918"/>
      <c r="B7" s="921"/>
      <c r="C7" s="344" t="s">
        <v>70</v>
      </c>
      <c r="D7" s="344">
        <v>7768.48</v>
      </c>
      <c r="E7" s="344">
        <f t="shared" si="0"/>
        <v>9322.1759999999995</v>
      </c>
    </row>
    <row r="8" spans="1:5" s="345" customFormat="1" ht="12" customHeight="1" x14ac:dyDescent="0.25">
      <c r="A8" s="918"/>
      <c r="B8" s="921"/>
      <c r="C8" s="344" t="s">
        <v>71</v>
      </c>
      <c r="D8" s="344">
        <v>9249.06</v>
      </c>
      <c r="E8" s="344">
        <f t="shared" si="0"/>
        <v>11098.871999999999</v>
      </c>
    </row>
    <row r="9" spans="1:5" s="345" customFormat="1" ht="12" customHeight="1" x14ac:dyDescent="0.25">
      <c r="A9" s="918"/>
      <c r="B9" s="921"/>
      <c r="C9" s="344" t="s">
        <v>72</v>
      </c>
      <c r="D9" s="344">
        <v>2284.84</v>
      </c>
      <c r="E9" s="344">
        <f t="shared" si="0"/>
        <v>2741.808</v>
      </c>
    </row>
    <row r="10" spans="1:5" s="345" customFormat="1" ht="12" customHeight="1" x14ac:dyDescent="0.25">
      <c r="A10" s="918"/>
      <c r="B10" s="921"/>
      <c r="C10" s="344" t="s">
        <v>73</v>
      </c>
      <c r="D10" s="344">
        <v>48021.11</v>
      </c>
      <c r="E10" s="344">
        <f t="shared" si="0"/>
        <v>57625.332000000002</v>
      </c>
    </row>
    <row r="11" spans="1:5" s="345" customFormat="1" ht="12" customHeight="1" x14ac:dyDescent="0.25">
      <c r="A11" s="918"/>
      <c r="B11" s="921"/>
      <c r="C11" s="344" t="s">
        <v>74</v>
      </c>
      <c r="D11" s="344">
        <v>9413.57</v>
      </c>
      <c r="E11" s="344">
        <f t="shared" si="0"/>
        <v>11296.284</v>
      </c>
    </row>
    <row r="12" spans="1:5" s="345" customFormat="1" ht="12" customHeight="1" x14ac:dyDescent="0.25">
      <c r="A12" s="918"/>
      <c r="B12" s="921"/>
      <c r="C12" s="344" t="s">
        <v>77</v>
      </c>
      <c r="D12" s="344">
        <v>7886.82</v>
      </c>
      <c r="E12" s="344">
        <f t="shared" si="0"/>
        <v>9464.1839999999993</v>
      </c>
    </row>
    <row r="13" spans="1:5" s="345" customFormat="1" ht="12" customHeight="1" x14ac:dyDescent="0.25">
      <c r="A13" s="918"/>
      <c r="B13" s="921"/>
      <c r="C13" s="344" t="s">
        <v>78</v>
      </c>
      <c r="D13" s="344">
        <v>6086.26</v>
      </c>
      <c r="E13" s="344">
        <f t="shared" si="0"/>
        <v>7303.5119999999997</v>
      </c>
    </row>
    <row r="14" spans="1:5" s="345" customFormat="1" ht="12" customHeight="1" x14ac:dyDescent="0.25">
      <c r="A14" s="918"/>
      <c r="B14" s="921"/>
      <c r="C14" s="344" t="s">
        <v>76</v>
      </c>
      <c r="D14" s="344">
        <v>16396.86</v>
      </c>
      <c r="E14" s="344">
        <f t="shared" si="0"/>
        <v>19676.232</v>
      </c>
    </row>
    <row r="15" spans="1:5" s="345" customFormat="1" ht="12" customHeight="1" x14ac:dyDescent="0.25">
      <c r="A15" s="918"/>
      <c r="B15" s="921"/>
      <c r="C15" s="344" t="s">
        <v>79</v>
      </c>
      <c r="D15" s="344">
        <v>2576.71</v>
      </c>
      <c r="E15" s="344">
        <f t="shared" si="0"/>
        <v>3092.0520000000001</v>
      </c>
    </row>
    <row r="16" spans="1:5" s="345" customFormat="1" ht="12" customHeight="1" x14ac:dyDescent="0.25">
      <c r="A16" s="918"/>
      <c r="B16" s="921"/>
      <c r="C16" s="344" t="s">
        <v>75</v>
      </c>
      <c r="D16" s="344">
        <v>3762.57</v>
      </c>
      <c r="E16" s="344">
        <f t="shared" si="0"/>
        <v>4515.0839999999998</v>
      </c>
    </row>
    <row r="17" spans="1:5" s="345" customFormat="1" ht="12" customHeight="1" x14ac:dyDescent="0.25">
      <c r="A17" s="918"/>
      <c r="B17" s="921"/>
      <c r="C17" s="344" t="s">
        <v>80</v>
      </c>
      <c r="D17" s="344">
        <v>3572.55</v>
      </c>
      <c r="E17" s="344">
        <f t="shared" si="0"/>
        <v>4287.0600000000004</v>
      </c>
    </row>
    <row r="18" spans="1:5" s="345" customFormat="1" ht="12" customHeight="1" x14ac:dyDescent="0.25">
      <c r="A18" s="918"/>
      <c r="B18" s="921"/>
      <c r="C18" s="344" t="s">
        <v>81</v>
      </c>
      <c r="D18" s="344">
        <v>14925.31</v>
      </c>
      <c r="E18" s="344">
        <f t="shared" si="0"/>
        <v>17910.371999999999</v>
      </c>
    </row>
    <row r="19" spans="1:5" s="345" customFormat="1" ht="12" customHeight="1" thickBot="1" x14ac:dyDescent="0.3">
      <c r="A19" s="918"/>
      <c r="B19" s="921"/>
      <c r="C19" s="538" t="s">
        <v>161</v>
      </c>
      <c r="D19" s="538">
        <v>373089.66</v>
      </c>
      <c r="E19" s="538">
        <f t="shared" si="0"/>
        <v>447707.59199999995</v>
      </c>
    </row>
    <row r="20" spans="1:5" s="345" customFormat="1" ht="12" customHeight="1" thickBot="1" x14ac:dyDescent="0.3">
      <c r="A20" s="552"/>
      <c r="B20" s="547"/>
      <c r="C20" s="553" t="s">
        <v>151</v>
      </c>
      <c r="D20" s="553"/>
      <c r="E20" s="554">
        <f>SUM(E5:E19)</f>
        <v>615061.37999999989</v>
      </c>
    </row>
    <row r="21" spans="1:5" s="345" customFormat="1" ht="36" customHeight="1" thickBot="1" x14ac:dyDescent="0.3">
      <c r="A21" s="549">
        <v>2</v>
      </c>
      <c r="B21" s="550" t="s">
        <v>177</v>
      </c>
      <c r="C21" s="384" t="s">
        <v>53</v>
      </c>
      <c r="D21" s="539">
        <v>24999.960000000003</v>
      </c>
      <c r="E21" s="539">
        <f>D21*1.2</f>
        <v>29999.952000000001</v>
      </c>
    </row>
    <row r="22" spans="1:5" s="345" customFormat="1" ht="40.200000000000003" customHeight="1" thickBot="1" x14ac:dyDescent="0.3">
      <c r="A22" s="546">
        <v>3</v>
      </c>
      <c r="B22" s="547" t="s">
        <v>178</v>
      </c>
      <c r="C22" s="548" t="s">
        <v>53</v>
      </c>
      <c r="D22" s="548">
        <v>21038.02</v>
      </c>
      <c r="E22" s="548">
        <f>D22*1.2</f>
        <v>25245.624</v>
      </c>
    </row>
    <row r="23" spans="1:5" s="345" customFormat="1" ht="16.2" customHeight="1" x14ac:dyDescent="0.25">
      <c r="A23" s="932">
        <f>A5+1</f>
        <v>2</v>
      </c>
      <c r="B23" s="934" t="s">
        <v>180</v>
      </c>
      <c r="C23" s="501" t="s">
        <v>53</v>
      </c>
      <c r="D23" s="539">
        <v>55874.91</v>
      </c>
      <c r="E23" s="539">
        <f t="shared" ref="E23:E50" si="1">D23*1.2</f>
        <v>67049.892000000007</v>
      </c>
    </row>
    <row r="24" spans="1:5" s="345" customFormat="1" ht="12" customHeight="1" x14ac:dyDescent="0.25">
      <c r="A24" s="932"/>
      <c r="B24" s="934"/>
      <c r="C24" s="373" t="s">
        <v>69</v>
      </c>
      <c r="D24" s="539">
        <v>37726.97</v>
      </c>
      <c r="E24" s="372">
        <f t="shared" si="1"/>
        <v>45272.364000000001</v>
      </c>
    </row>
    <row r="25" spans="1:5" s="345" customFormat="1" ht="16.2" customHeight="1" x14ac:dyDescent="0.25">
      <c r="A25" s="932"/>
      <c r="B25" s="934"/>
      <c r="C25" s="370" t="s">
        <v>70</v>
      </c>
      <c r="D25" s="539">
        <v>95182.55</v>
      </c>
      <c r="E25" s="372">
        <f t="shared" si="1"/>
        <v>114219.06</v>
      </c>
    </row>
    <row r="26" spans="1:5" s="345" customFormat="1" ht="13.8" customHeight="1" x14ac:dyDescent="0.25">
      <c r="A26" s="932"/>
      <c r="B26" s="934"/>
      <c r="C26" s="370" t="s">
        <v>71</v>
      </c>
      <c r="D26" s="539">
        <v>60736.1</v>
      </c>
      <c r="E26" s="372">
        <f t="shared" si="1"/>
        <v>72883.319999999992</v>
      </c>
    </row>
    <row r="27" spans="1:5" s="345" customFormat="1" ht="16.8" customHeight="1" x14ac:dyDescent="0.25">
      <c r="A27" s="932"/>
      <c r="B27" s="934"/>
      <c r="C27" s="370" t="s">
        <v>72</v>
      </c>
      <c r="D27" s="539">
        <v>21242.81</v>
      </c>
      <c r="E27" s="372">
        <f t="shared" si="1"/>
        <v>25491.371999999999</v>
      </c>
    </row>
    <row r="28" spans="1:5" s="345" customFormat="1" ht="12" customHeight="1" x14ac:dyDescent="0.25">
      <c r="A28" s="932"/>
      <c r="B28" s="934"/>
      <c r="C28" s="370" t="s">
        <v>73</v>
      </c>
      <c r="D28" s="539">
        <v>1253.78</v>
      </c>
      <c r="E28" s="372">
        <f t="shared" si="1"/>
        <v>1504.5359999999998</v>
      </c>
    </row>
    <row r="29" spans="1:5" s="345" customFormat="1" ht="12" customHeight="1" x14ac:dyDescent="0.25">
      <c r="A29" s="932"/>
      <c r="B29" s="934"/>
      <c r="C29" s="370" t="s">
        <v>74</v>
      </c>
      <c r="D29" s="539">
        <v>45770.58</v>
      </c>
      <c r="E29" s="372">
        <f t="shared" si="1"/>
        <v>54924.696000000004</v>
      </c>
    </row>
    <row r="30" spans="1:5" s="345" customFormat="1" ht="12" customHeight="1" x14ac:dyDescent="0.25">
      <c r="A30" s="932"/>
      <c r="B30" s="934"/>
      <c r="C30" s="370" t="s">
        <v>77</v>
      </c>
      <c r="D30" s="539">
        <v>3287.79</v>
      </c>
      <c r="E30" s="372">
        <f t="shared" si="1"/>
        <v>3945.348</v>
      </c>
    </row>
    <row r="31" spans="1:5" s="345" customFormat="1" ht="12" customHeight="1" x14ac:dyDescent="0.25">
      <c r="A31" s="932"/>
      <c r="B31" s="934"/>
      <c r="C31" s="370" t="s">
        <v>78</v>
      </c>
      <c r="D31" s="539">
        <v>104828.68</v>
      </c>
      <c r="E31" s="372">
        <f t="shared" si="1"/>
        <v>125794.41599999998</v>
      </c>
    </row>
    <row r="32" spans="1:5" s="345" customFormat="1" ht="12" customHeight="1" x14ac:dyDescent="0.25">
      <c r="A32" s="932"/>
      <c r="B32" s="934"/>
      <c r="C32" s="391" t="s">
        <v>76</v>
      </c>
      <c r="D32" s="539">
        <v>38390.54</v>
      </c>
      <c r="E32" s="372">
        <f t="shared" si="1"/>
        <v>46068.648000000001</v>
      </c>
    </row>
    <row r="33" spans="1:5" s="345" customFormat="1" ht="12" customHeight="1" x14ac:dyDescent="0.25">
      <c r="A33" s="932"/>
      <c r="B33" s="934"/>
      <c r="C33" s="391" t="s">
        <v>79</v>
      </c>
      <c r="D33" s="539">
        <v>33164.519999999997</v>
      </c>
      <c r="E33" s="372">
        <f t="shared" si="1"/>
        <v>39797.423999999992</v>
      </c>
    </row>
    <row r="34" spans="1:5" s="345" customFormat="1" ht="12" customHeight="1" x14ac:dyDescent="0.25">
      <c r="A34" s="932"/>
      <c r="B34" s="934"/>
      <c r="C34" s="392" t="s">
        <v>75</v>
      </c>
      <c r="D34" s="539">
        <v>171056.73</v>
      </c>
      <c r="E34" s="372">
        <f t="shared" si="1"/>
        <v>205268.076</v>
      </c>
    </row>
    <row r="35" spans="1:5" s="345" customFormat="1" ht="12" customHeight="1" x14ac:dyDescent="0.25">
      <c r="A35" s="932"/>
      <c r="B35" s="934"/>
      <c r="C35" s="530" t="s">
        <v>80</v>
      </c>
      <c r="D35" s="539">
        <v>59510.96</v>
      </c>
      <c r="E35" s="372">
        <f t="shared" si="1"/>
        <v>71413.152000000002</v>
      </c>
    </row>
    <row r="36" spans="1:5" s="345" customFormat="1" ht="12" customHeight="1" x14ac:dyDescent="0.25">
      <c r="A36" s="932"/>
      <c r="B36" s="934"/>
      <c r="C36" s="392" t="s">
        <v>170</v>
      </c>
      <c r="D36" s="539">
        <v>5935.61</v>
      </c>
      <c r="E36" s="372">
        <f t="shared" si="1"/>
        <v>7122.7319999999991</v>
      </c>
    </row>
    <row r="37" spans="1:5" s="345" customFormat="1" ht="12" customHeight="1" x14ac:dyDescent="0.25">
      <c r="A37" s="932"/>
      <c r="B37" s="934"/>
      <c r="C37" s="530" t="s">
        <v>171</v>
      </c>
      <c r="D37" s="539">
        <v>17328.79</v>
      </c>
      <c r="E37" s="372">
        <f t="shared" si="1"/>
        <v>20794.547999999999</v>
      </c>
    </row>
    <row r="38" spans="1:5" s="345" customFormat="1" ht="12" customHeight="1" x14ac:dyDescent="0.25">
      <c r="A38" s="932"/>
      <c r="B38" s="934"/>
      <c r="C38" s="530" t="s">
        <v>172</v>
      </c>
      <c r="D38" s="539">
        <v>29440.14</v>
      </c>
      <c r="E38" s="372">
        <f t="shared" si="1"/>
        <v>35328.167999999998</v>
      </c>
    </row>
    <row r="39" spans="1:5" s="345" customFormat="1" ht="12" customHeight="1" x14ac:dyDescent="0.25">
      <c r="A39" s="932"/>
      <c r="B39" s="934"/>
      <c r="C39" s="530" t="s">
        <v>173</v>
      </c>
      <c r="D39" s="539">
        <v>84036.47</v>
      </c>
      <c r="E39" s="372">
        <f t="shared" si="1"/>
        <v>100843.764</v>
      </c>
    </row>
    <row r="40" spans="1:5" s="345" customFormat="1" ht="12" customHeight="1" x14ac:dyDescent="0.25">
      <c r="A40" s="932"/>
      <c r="B40" s="934"/>
      <c r="C40" s="530" t="s">
        <v>174</v>
      </c>
      <c r="D40" s="539">
        <v>129009.85</v>
      </c>
      <c r="E40" s="372">
        <f t="shared" si="1"/>
        <v>154811.82</v>
      </c>
    </row>
    <row r="41" spans="1:5" s="345" customFormat="1" ht="12" customHeight="1" thickBot="1" x14ac:dyDescent="0.3">
      <c r="A41" s="932"/>
      <c r="B41" s="934"/>
      <c r="C41" s="530" t="s">
        <v>175</v>
      </c>
      <c r="D41" s="530">
        <v>766.9</v>
      </c>
      <c r="E41" s="372">
        <f t="shared" si="1"/>
        <v>920.28</v>
      </c>
    </row>
    <row r="42" spans="1:5" s="345" customFormat="1" ht="12" customHeight="1" thickBot="1" x14ac:dyDescent="0.3">
      <c r="A42" s="932"/>
      <c r="B42" s="934"/>
      <c r="C42" s="553" t="s">
        <v>151</v>
      </c>
      <c r="D42" s="553"/>
      <c r="E42" s="554">
        <f>SUM(E23:E41)</f>
        <v>1193453.6159999999</v>
      </c>
    </row>
    <row r="43" spans="1:5" s="345" customFormat="1" ht="12" customHeight="1" x14ac:dyDescent="0.25">
      <c r="A43" s="923">
        <v>3</v>
      </c>
      <c r="B43" s="924" t="s">
        <v>179</v>
      </c>
      <c r="C43" s="463" t="s">
        <v>53</v>
      </c>
      <c r="D43" s="462">
        <v>4386.25</v>
      </c>
      <c r="E43" s="372">
        <f t="shared" si="1"/>
        <v>5263.5</v>
      </c>
    </row>
    <row r="44" spans="1:5" s="345" customFormat="1" ht="12" customHeight="1" x14ac:dyDescent="0.25">
      <c r="A44" s="932"/>
      <c r="B44" s="934"/>
      <c r="C44" s="529" t="s">
        <v>69</v>
      </c>
      <c r="D44" s="529">
        <v>4018.36</v>
      </c>
      <c r="E44" s="372">
        <f t="shared" si="1"/>
        <v>4822.0320000000002</v>
      </c>
    </row>
    <row r="45" spans="1:5" s="345" customFormat="1" ht="12" customHeight="1" x14ac:dyDescent="0.25">
      <c r="A45" s="932"/>
      <c r="B45" s="934"/>
      <c r="C45" s="529" t="s">
        <v>70</v>
      </c>
      <c r="D45" s="529">
        <v>3494.95</v>
      </c>
      <c r="E45" s="372">
        <f t="shared" si="1"/>
        <v>4193.9399999999996</v>
      </c>
    </row>
    <row r="46" spans="1:5" s="345" customFormat="1" ht="12" customHeight="1" thickBot="1" x14ac:dyDescent="0.3">
      <c r="A46" s="932"/>
      <c r="B46" s="934"/>
      <c r="C46" s="529" t="s">
        <v>71</v>
      </c>
      <c r="D46" s="529">
        <v>3400.86</v>
      </c>
      <c r="E46" s="372">
        <f t="shared" si="1"/>
        <v>4081.0320000000002</v>
      </c>
    </row>
    <row r="47" spans="1:5" s="345" customFormat="1" ht="12.6" customHeight="1" thickBot="1" x14ac:dyDescent="0.3">
      <c r="A47" s="933"/>
      <c r="B47" s="935"/>
      <c r="C47" s="553" t="s">
        <v>151</v>
      </c>
      <c r="D47" s="553"/>
      <c r="E47" s="554">
        <f>SUM(E43:E46)</f>
        <v>18360.503999999997</v>
      </c>
    </row>
    <row r="48" spans="1:5" s="345" customFormat="1" ht="12" customHeight="1" x14ac:dyDescent="0.25">
      <c r="A48" s="923">
        <v>4</v>
      </c>
      <c r="B48" s="924" t="s">
        <v>181</v>
      </c>
      <c r="C48" s="432" t="s">
        <v>53</v>
      </c>
      <c r="D48" s="432">
        <v>38171.620000000003</v>
      </c>
      <c r="E48" s="372">
        <f t="shared" si="1"/>
        <v>45805.944000000003</v>
      </c>
    </row>
    <row r="49" spans="1:7" s="345" customFormat="1" ht="12" customHeight="1" x14ac:dyDescent="0.25">
      <c r="A49" s="905"/>
      <c r="B49" s="925"/>
      <c r="C49" s="373" t="s">
        <v>69</v>
      </c>
      <c r="D49" s="372">
        <v>18702.27</v>
      </c>
      <c r="E49" s="372">
        <f t="shared" si="1"/>
        <v>22442.723999999998</v>
      </c>
    </row>
    <row r="50" spans="1:7" s="345" customFormat="1" ht="12" customHeight="1" thickBot="1" x14ac:dyDescent="0.3">
      <c r="A50" s="905"/>
      <c r="B50" s="925"/>
      <c r="C50" s="370" t="s">
        <v>70</v>
      </c>
      <c r="D50" s="370">
        <v>7677.79</v>
      </c>
      <c r="E50" s="372">
        <f t="shared" si="1"/>
        <v>9213.348</v>
      </c>
    </row>
    <row r="51" spans="1:7" s="345" customFormat="1" ht="12" customHeight="1" thickBot="1" x14ac:dyDescent="0.3">
      <c r="A51" s="905"/>
      <c r="B51" s="925"/>
      <c r="C51" s="553" t="s">
        <v>151</v>
      </c>
      <c r="D51" s="553"/>
      <c r="E51" s="554">
        <f>SUM(E48:E50)</f>
        <v>77462.016000000003</v>
      </c>
    </row>
    <row r="52" spans="1:7" s="346" customFormat="1" ht="17.399999999999999" customHeight="1" thickBot="1" x14ac:dyDescent="0.3">
      <c r="A52" s="540"/>
      <c r="B52" s="541" t="s">
        <v>47</v>
      </c>
      <c r="C52" s="406"/>
      <c r="D52" s="406"/>
      <c r="E52" s="551">
        <f>E51+E47+E42+E22+E21+E20</f>
        <v>1959583.0919999999</v>
      </c>
    </row>
    <row r="53" spans="1:7" s="346" customFormat="1" ht="22.2" customHeight="1" x14ac:dyDescent="0.25">
      <c r="C53" s="380"/>
      <c r="D53" s="380"/>
      <c r="E53" s="380"/>
      <c r="G53" s="531"/>
    </row>
    <row r="54" spans="1:7" s="346" customFormat="1" ht="21.75" customHeight="1" x14ac:dyDescent="0.25">
      <c r="A54" s="331"/>
      <c r="B54" s="347"/>
      <c r="C54" s="348"/>
      <c r="D54" s="348"/>
      <c r="E54" s="348"/>
    </row>
    <row r="55" spans="1:7" s="346" customFormat="1" ht="17.25" customHeight="1" x14ac:dyDescent="0.25">
      <c r="A55" s="331"/>
      <c r="B55" s="351" t="s">
        <v>150</v>
      </c>
      <c r="C55" s="348"/>
      <c r="D55" s="348"/>
      <c r="E55" s="348"/>
    </row>
    <row r="56" spans="1:7" s="353" customFormat="1" x14ac:dyDescent="0.25">
      <c r="C56" s="357"/>
      <c r="D56" s="357"/>
      <c r="E56" s="357"/>
    </row>
    <row r="57" spans="1:7" s="353" customFormat="1" x14ac:dyDescent="0.25">
      <c r="C57" s="357"/>
      <c r="D57" s="357"/>
      <c r="E57" s="357"/>
    </row>
    <row r="58" spans="1:7" x14ac:dyDescent="0.25">
      <c r="C58" s="362"/>
      <c r="D58" s="362"/>
      <c r="E58" s="362"/>
    </row>
    <row r="59" spans="1:7" x14ac:dyDescent="0.25">
      <c r="B59" s="330" t="s">
        <v>7</v>
      </c>
      <c r="C59" s="357"/>
      <c r="D59" s="357"/>
      <c r="E59" s="357"/>
    </row>
    <row r="60" spans="1:7" x14ac:dyDescent="0.25">
      <c r="C60" s="362"/>
      <c r="D60" s="362"/>
      <c r="E60" s="362"/>
    </row>
    <row r="61" spans="1:7" x14ac:dyDescent="0.25">
      <c r="C61" s="340"/>
      <c r="D61" s="340"/>
      <c r="E61" s="340"/>
    </row>
    <row r="62" spans="1:7" x14ac:dyDescent="0.25">
      <c r="C62" s="340"/>
      <c r="D62" s="340"/>
      <c r="E62" s="340"/>
    </row>
    <row r="63" spans="1:7" x14ac:dyDescent="0.25">
      <c r="C63" s="340"/>
      <c r="D63" s="340"/>
      <c r="E63" s="340"/>
    </row>
    <row r="64" spans="1:7" x14ac:dyDescent="0.25">
      <c r="C64" s="340"/>
      <c r="D64" s="340"/>
      <c r="E64" s="340"/>
    </row>
    <row r="65" spans="3:5" x14ac:dyDescent="0.25">
      <c r="C65" s="340"/>
      <c r="D65" s="340"/>
      <c r="E65" s="340"/>
    </row>
    <row r="66" spans="3:5" x14ac:dyDescent="0.25">
      <c r="C66" s="340"/>
      <c r="D66" s="340"/>
      <c r="E66" s="340"/>
    </row>
    <row r="67" spans="3:5" x14ac:dyDescent="0.25">
      <c r="C67" s="340"/>
      <c r="D67" s="340"/>
      <c r="E67" s="340"/>
    </row>
    <row r="68" spans="3:5" x14ac:dyDescent="0.25">
      <c r="C68" s="340"/>
      <c r="D68" s="340"/>
      <c r="E68" s="340"/>
    </row>
    <row r="69" spans="3:5" x14ac:dyDescent="0.25">
      <c r="C69" s="340"/>
      <c r="D69" s="340"/>
      <c r="E69" s="340"/>
    </row>
    <row r="70" spans="3:5" x14ac:dyDescent="0.25">
      <c r="C70" s="340"/>
      <c r="D70" s="340"/>
      <c r="E70" s="340"/>
    </row>
    <row r="71" spans="3:5" x14ac:dyDescent="0.25">
      <c r="C71" s="340"/>
      <c r="D71" s="340"/>
      <c r="E71" s="340"/>
    </row>
    <row r="72" spans="3:5" x14ac:dyDescent="0.25">
      <c r="C72" s="340"/>
      <c r="D72" s="340"/>
      <c r="E72" s="340"/>
    </row>
    <row r="73" spans="3:5" x14ac:dyDescent="0.25">
      <c r="C73" s="340"/>
      <c r="D73" s="340"/>
      <c r="E73" s="340"/>
    </row>
    <row r="74" spans="3:5" x14ac:dyDescent="0.25">
      <c r="C74" s="340"/>
      <c r="D74" s="340"/>
      <c r="E74" s="340"/>
    </row>
    <row r="75" spans="3:5" x14ac:dyDescent="0.25">
      <c r="C75" s="340"/>
      <c r="D75" s="340"/>
      <c r="E75" s="340"/>
    </row>
    <row r="76" spans="3:5" x14ac:dyDescent="0.25">
      <c r="C76" s="340"/>
      <c r="D76" s="340"/>
      <c r="E76" s="340"/>
    </row>
    <row r="77" spans="3:5" x14ac:dyDescent="0.25">
      <c r="C77" s="340"/>
      <c r="D77" s="340"/>
      <c r="E77" s="340"/>
    </row>
    <row r="78" spans="3:5" x14ac:dyDescent="0.25">
      <c r="C78" s="340"/>
      <c r="D78" s="340"/>
      <c r="E78" s="340"/>
    </row>
    <row r="79" spans="3:5" x14ac:dyDescent="0.25">
      <c r="C79" s="340"/>
      <c r="D79" s="340"/>
      <c r="E79" s="340"/>
    </row>
    <row r="80" spans="3:5" x14ac:dyDescent="0.25">
      <c r="C80" s="340"/>
      <c r="D80" s="340"/>
      <c r="E80" s="340"/>
    </row>
    <row r="81" spans="3:5" x14ac:dyDescent="0.25">
      <c r="C81" s="340"/>
      <c r="D81" s="340"/>
      <c r="E81" s="340"/>
    </row>
    <row r="82" spans="3:5" x14ac:dyDescent="0.25">
      <c r="C82" s="340"/>
      <c r="D82" s="340"/>
      <c r="E82" s="340"/>
    </row>
    <row r="83" spans="3:5" x14ac:dyDescent="0.25">
      <c r="C83" s="340"/>
      <c r="D83" s="340"/>
      <c r="E83" s="340"/>
    </row>
    <row r="84" spans="3:5" x14ac:dyDescent="0.25">
      <c r="C84" s="340"/>
      <c r="D84" s="340"/>
      <c r="E84" s="340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945" t="s">
        <v>6</v>
      </c>
      <c r="B1" s="945"/>
      <c r="C1" s="945"/>
      <c r="D1" s="945"/>
      <c r="E1" s="945"/>
      <c r="F1" s="945"/>
    </row>
    <row r="2" spans="1:8" s="91" customFormat="1" ht="12.75" customHeight="1" x14ac:dyDescent="0.25">
      <c r="A2" s="946"/>
      <c r="B2" s="946"/>
      <c r="C2" s="946"/>
      <c r="D2" s="946"/>
      <c r="E2" s="946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8</vt:i4>
      </vt:variant>
    </vt:vector>
  </HeadingPairs>
  <TitlesOfParts>
    <vt:vector size="18" baseType="lpstr">
      <vt:lpstr>ноябрь</vt:lpstr>
      <vt:lpstr>Реєстр ДЦ</vt:lpstr>
      <vt:lpstr>Реєстр АВР</vt:lpstr>
      <vt:lpstr>ДЦ Замовник</vt:lpstr>
      <vt:lpstr>Реєстр АВР </vt:lpstr>
      <vt:lpstr>АВР травень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'АВР травень'!Область_печати</vt:lpstr>
      <vt:lpstr>'ДЦ Замовник'!Область_печати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АВР '!Область_печати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User</cp:lastModifiedBy>
  <cp:lastPrinted>2024-05-20T10:42:58Z</cp:lastPrinted>
  <dcterms:created xsi:type="dcterms:W3CDTF">2016-07-15T13:11:41Z</dcterms:created>
  <dcterms:modified xsi:type="dcterms:W3CDTF">2024-05-21T11:24:32Z</dcterms:modified>
</cp:coreProperties>
</file>
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activeTab="3"/>
  </bookViews>
  <sheets>
    <sheet name="Акты заказчика" sheetId="1" r:id="rId1"/>
    <sheet name="Списание стройматериалов" sheetId="2" r:id="rId2"/>
    <sheet name="ВаловаяПрибыль" sheetId="3" r:id="rId3"/>
    <sheet name="Услуги_сторонних" sheetId="4" r:id="rId4"/>
  </sheets>
  <definedNames>
    <definedName name="_xlnm._FilterDatabase" localSheetId="0" hidden="1">'Акты заказчика'!$A$1:$I$28</definedName>
    <definedName name="_xlnm._FilterDatabase" localSheetId="1" hidden="1">'Списание стройматериалов'!$A$6:$H$28</definedName>
  </definedNames>
  <calcPr calcId="145621"/>
</workbook>
</file>

<file path=xl/calcChain.xml><?xml version="1.0" encoding="utf-8"?>
<calcChain xmlns="http://schemas.openxmlformats.org/spreadsheetml/2006/main">
  <c r="D23" i="4" l="1"/>
  <c r="D19" i="4"/>
  <c r="D15" i="4"/>
  <c r="F30" i="3"/>
  <c r="F29" i="3"/>
  <c r="F28" i="3"/>
  <c r="G28" i="3" s="1"/>
  <c r="F31" i="3"/>
  <c r="F27" i="3"/>
  <c r="G27" i="3" s="1"/>
  <c r="F24" i="3"/>
  <c r="G24" i="3" s="1"/>
  <c r="F21" i="3"/>
  <c r="F23" i="3"/>
  <c r="G23" i="3" s="1"/>
  <c r="F22" i="3"/>
  <c r="G22" i="3" s="1"/>
  <c r="G31" i="3"/>
  <c r="G30" i="3"/>
  <c r="G29" i="3"/>
  <c r="G21" i="3"/>
  <c r="F25" i="3"/>
  <c r="G25" i="3" s="1"/>
  <c r="F15" i="3"/>
  <c r="G15" i="3" s="1"/>
  <c r="F14" i="3"/>
  <c r="G14" i="3" s="1"/>
  <c r="F13" i="3"/>
  <c r="G13" i="3" s="1"/>
  <c r="F11" i="3"/>
  <c r="G11" i="3" s="1"/>
  <c r="D8" i="4"/>
  <c r="F18" i="3"/>
  <c r="G18" i="3" s="1"/>
  <c r="F8" i="3"/>
  <c r="G8" i="3" s="1"/>
  <c r="F7" i="3"/>
  <c r="G7" i="3" s="1"/>
  <c r="D27" i="2"/>
  <c r="D35" i="2"/>
  <c r="D34" i="2"/>
  <c r="D33" i="2"/>
  <c r="D32" i="2"/>
  <c r="F34" i="3" s="1"/>
  <c r="G34" i="3" s="1"/>
  <c r="D31" i="2"/>
  <c r="D30" i="2"/>
  <c r="D58" i="1"/>
  <c r="D36" i="2" l="1"/>
  <c r="D28" i="2"/>
  <c r="E26" i="2" l="1"/>
  <c r="E25" i="2"/>
  <c r="E23" i="2"/>
  <c r="E22" i="2"/>
  <c r="E34" i="2" s="1"/>
  <c r="E21" i="2"/>
  <c r="F31" i="2" s="1"/>
  <c r="E19" i="2"/>
  <c r="E18" i="2"/>
  <c r="E14" i="2"/>
  <c r="E13" i="2"/>
  <c r="E12" i="2"/>
  <c r="E33" i="2" s="1"/>
  <c r="E11" i="2"/>
  <c r="E32" i="2" s="1"/>
  <c r="E2" i="2"/>
  <c r="E24" i="2"/>
  <c r="E20" i="2"/>
  <c r="E17" i="2"/>
  <c r="E16" i="2"/>
  <c r="E15" i="2"/>
  <c r="E10" i="2"/>
  <c r="E31" i="2" s="1"/>
  <c r="E9" i="2"/>
  <c r="E8" i="2"/>
  <c r="E7" i="2"/>
  <c r="E3" i="2"/>
  <c r="E35" i="2" l="1"/>
  <c r="E30" i="2"/>
  <c r="E36" i="2" s="1"/>
  <c r="E27" i="2"/>
  <c r="E4" i="2"/>
  <c r="D22" i="1"/>
  <c r="E28" i="2" l="1"/>
  <c r="D28" i="1"/>
  <c r="D27" i="1"/>
  <c r="F27" i="1" s="1"/>
  <c r="D26" i="1"/>
  <c r="D25" i="1"/>
  <c r="D24" i="1"/>
  <c r="D29" i="1" s="1"/>
  <c r="D23" i="1" s="1"/>
  <c r="D53" i="1"/>
</calcChain>
</file>

<file path=xl/sharedStrings.xml><?xml version="1.0" encoding="utf-8"?>
<sst xmlns="http://schemas.openxmlformats.org/spreadsheetml/2006/main" count="737" uniqueCount="300">
  <si>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</si>
  <si>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</si>
  <si>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</si>
  <si>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</si>
  <si>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</si>
  <si>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</si>
  <si>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</si>
  <si>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</si>
  <si>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</si>
  <si>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01.04.2024 15:17:04</t>
  </si>
  <si>
    <t>ІБ00-000086</t>
  </si>
  <si>
    <t>Вінницька птахофабрика ВКВК філія ТОВ</t>
  </si>
  <si>
    <t>грн</t>
  </si>
  <si>
    <t>Виробничий (Ладижин)</t>
  </si>
  <si>
    <t>ТОВ "ІНДАСТРІАЛБУД"</t>
  </si>
  <si>
    <t>Хлань Елена</t>
  </si>
  <si>
    <t>Акт №35</t>
  </si>
  <si>
    <t>09.04.2024 17:42:57</t>
  </si>
  <si>
    <t>ІБ00-000103</t>
  </si>
  <si>
    <t>Акт №36</t>
  </si>
  <si>
    <t>09.04.2024 17:42:58</t>
  </si>
  <si>
    <t>ІБ00-000104</t>
  </si>
  <si>
    <t>Акт №1</t>
  </si>
  <si>
    <t>10.04.2024 16:27:53</t>
  </si>
  <si>
    <t>ІБ00-000087</t>
  </si>
  <si>
    <t>ЗАПОРІЗЬКИЙ ОЛІЙНОЕКСТРАКЦІЙНИЙ ЗАВОД  ПРАТ</t>
  </si>
  <si>
    <t>Виробничий (Запоріж_Турбіна2)</t>
  </si>
  <si>
    <t>По рахунку (не підписаний)</t>
  </si>
  <si>
    <t>11.04.2024 08:18:33</t>
  </si>
  <si>
    <t>ІБ00-000085</t>
  </si>
  <si>
    <t xml:space="preserve">Старокостянтинівський олійноекстраційний завод ТОВ </t>
  </si>
  <si>
    <t>Виробничий (Старокостянтинів</t>
  </si>
  <si>
    <t>Акт № 1ДОГОВІР ПІДРЯДУ № 22/01/2024 -КМ -СтОЕ від 22.01.2024</t>
  </si>
  <si>
    <t>15.04.2024 12:00:00</t>
  </si>
  <si>
    <t>ІБ00-000088</t>
  </si>
  <si>
    <t>АВІА ВЕНЧУРС ТОВ</t>
  </si>
  <si>
    <t>Виробничий (Крушинка)</t>
  </si>
  <si>
    <t xml:space="preserve">акт №25 за квітень 2024 </t>
  </si>
  <si>
    <t>15.04.2024 12:00:01</t>
  </si>
  <si>
    <t>ІБ00-000089</t>
  </si>
  <si>
    <t xml:space="preserve">акт №23 за квітень 2024 </t>
  </si>
  <si>
    <t>15.04.2024 17:43:17</t>
  </si>
  <si>
    <t>ІБ00-000110</t>
  </si>
  <si>
    <t xml:space="preserve">акт №24 за квітень 2024 </t>
  </si>
  <si>
    <t>18.04.2024 15:14:16</t>
  </si>
  <si>
    <t>ІБ00-000100</t>
  </si>
  <si>
    <t>ЗАПОРІЗЬКИЙ ОЛІЯЖИРКОМБІНАТ ПРАТ</t>
  </si>
  <si>
    <t>Виробничий Щедро_Флексітанки</t>
  </si>
  <si>
    <t>акт № 2 ТК</t>
  </si>
  <si>
    <t>18.04.2024 15:14:59</t>
  </si>
  <si>
    <t>ІБ00-000101</t>
  </si>
  <si>
    <t>Без списання акт № 2 архітектурні рішення</t>
  </si>
  <si>
    <t>18.04.2024 15:16:20</t>
  </si>
  <si>
    <t>ІБ00-000102</t>
  </si>
  <si>
    <t>акт №3 влаштування дорожних плит</t>
  </si>
  <si>
    <t>18.04.2024 17:41:21</t>
  </si>
  <si>
    <t>ІБ00-000106</t>
  </si>
  <si>
    <t xml:space="preserve">акт №2 </t>
  </si>
  <si>
    <t>18.04.2024 17:42:22</t>
  </si>
  <si>
    <t>ІБ00-000107</t>
  </si>
  <si>
    <t>акт №3</t>
  </si>
  <si>
    <t>18.04.2024 17:43:09</t>
  </si>
  <si>
    <t>ІБ00-000108</t>
  </si>
  <si>
    <t>акт №2</t>
  </si>
  <si>
    <t>22.04.2024 16:54:19</t>
  </si>
  <si>
    <t>ІБ00-000109</t>
  </si>
  <si>
    <t>23.04.2024 18:04:26</t>
  </si>
  <si>
    <t>ІБ00-000112</t>
  </si>
  <si>
    <t>Акт №37</t>
  </si>
  <si>
    <t>30.04.2024 08:53:35</t>
  </si>
  <si>
    <t>ІБ00-000114</t>
  </si>
  <si>
    <t>30.04.2024 13:04:12</t>
  </si>
  <si>
    <t>ІБ00-000122</t>
  </si>
  <si>
    <t>акт №1 вентиляція</t>
  </si>
  <si>
    <t>30.04.2024 15:51:54</t>
  </si>
  <si>
    <t>ІБ00-000123</t>
  </si>
  <si>
    <t>акт №4</t>
  </si>
  <si>
    <t>30.04.2024 15:58:01</t>
  </si>
  <si>
    <t>ІБ00-000124</t>
  </si>
  <si>
    <t>акт №1 розробка грунту</t>
  </si>
  <si>
    <t>01.05.2024 12:00:00</t>
  </si>
  <si>
    <t>ІБ00-000090</t>
  </si>
  <si>
    <t>НІЖИНСЬКИЙ ЖИРКОМБІНАТ ПрАТ</t>
  </si>
  <si>
    <t>Виробничий (Ніжин-3)</t>
  </si>
  <si>
    <t>Акт № 1 без дати проведення</t>
  </si>
  <si>
    <t>01.05.2024 12:00:01</t>
  </si>
  <si>
    <t>ІБ00-000091</t>
  </si>
  <si>
    <t>Акт № 2 без дати проведення</t>
  </si>
  <si>
    <t>01.05.2024 12:00:02</t>
  </si>
  <si>
    <t>ІБ00-000092</t>
  </si>
  <si>
    <t>Акт № 3 без дати проведення</t>
  </si>
  <si>
    <t>01.05.2024 12:00:03</t>
  </si>
  <si>
    <t>ІБ00-000093</t>
  </si>
  <si>
    <t>Акт № 4 без дати проведення</t>
  </si>
  <si>
    <t>01.05.2024 12:00:04</t>
  </si>
  <si>
    <t>ІБ00-000095</t>
  </si>
  <si>
    <t>Акт № 5 без дати проведення</t>
  </si>
  <si>
    <t>01.05.2024 12:00:05</t>
  </si>
  <si>
    <t>ІБ00-000096</t>
  </si>
  <si>
    <t>Акт № 6 без дати проведення</t>
  </si>
  <si>
    <t>01.05.2024 12:00:06</t>
  </si>
  <si>
    <t>ІБ00-000097</t>
  </si>
  <si>
    <t>Акт № 7 без дати проведення</t>
  </si>
  <si>
    <t>01.05.2024 12:00:07</t>
  </si>
  <si>
    <t>ІБ00-000098</t>
  </si>
  <si>
    <t>Акт № 8 без дати проведення</t>
  </si>
  <si>
    <t>01.05.2024 12:00:08</t>
  </si>
  <si>
    <t>ІБ00-000099</t>
  </si>
  <si>
    <t>Акт № 9 без дати проведення</t>
  </si>
  <si>
    <t>01.05.2024 12:00:14</t>
  </si>
  <si>
    <t>ІБ00-000115</t>
  </si>
  <si>
    <t>Акт № 10 без дати проведення</t>
  </si>
  <si>
    <t>01.05.2024 12:00:15</t>
  </si>
  <si>
    <t>ІБ00-000116</t>
  </si>
  <si>
    <t>Акт № 11 без дати проведення</t>
  </si>
  <si>
    <t>01.05.2024 12:00:16</t>
  </si>
  <si>
    <t>ІБ00-000117</t>
  </si>
  <si>
    <t>Акт № 14 без дати проведення</t>
  </si>
  <si>
    <t>01.05.2024 12:00:17</t>
  </si>
  <si>
    <t>ІБ00-000118</t>
  </si>
  <si>
    <t>Акт № 15 без дати проведення</t>
  </si>
  <si>
    <t>01.05.2024 12:00:18</t>
  </si>
  <si>
    <t>ІБ00-000119</t>
  </si>
  <si>
    <t>Акт № 16 без дати проведення</t>
  </si>
  <si>
    <t>01.05.2024 12:00:19</t>
  </si>
  <si>
    <t>ІБ00-000120</t>
  </si>
  <si>
    <t>Акт № 17 без дати проведення</t>
  </si>
  <si>
    <t>01.05.2024 12:00:20</t>
  </si>
  <si>
    <t>ІБ00-000121</t>
  </si>
  <si>
    <t>Акт № 18 без дати проведення</t>
  </si>
  <si>
    <t>10.05.2024 11:49:48</t>
  </si>
  <si>
    <t>ІБ00-000129</t>
  </si>
  <si>
    <t>Акт № 12 без дати проведення</t>
  </si>
  <si>
    <t>10.05.2024 11:51:14</t>
  </si>
  <si>
    <t>ІБ00-000130</t>
  </si>
  <si>
    <t>Акт № 13 без дати проведення</t>
  </si>
  <si>
    <t>10.05.2024 11:51:48</t>
  </si>
  <si>
    <t>ІБ00-000131</t>
  </si>
  <si>
    <t>Акт № 19 без дати проведення</t>
  </si>
  <si>
    <t>10.05.2024 11:52:19</t>
  </si>
  <si>
    <t>ІБ00-000132</t>
  </si>
  <si>
    <t>Акт № 27 без дати проведення</t>
  </si>
  <si>
    <t>10.05.2024 11:53:24</t>
  </si>
  <si>
    <t>ІБ00-000133</t>
  </si>
  <si>
    <t>ЦД 31 Акт №  без дати проведення</t>
  </si>
  <si>
    <t>* в Марте 24</t>
  </si>
  <si>
    <t>Крушинка</t>
  </si>
  <si>
    <t>Ладыжин-3</t>
  </si>
  <si>
    <t>Турбина-2</t>
  </si>
  <si>
    <t>Щедро.Флекситанки</t>
  </si>
  <si>
    <t>Староконстантинов</t>
  </si>
  <si>
    <t>ИТОГО</t>
  </si>
  <si>
    <t>Склад</t>
  </si>
  <si>
    <t>01.04.2024 16:00:04</t>
  </si>
  <si>
    <t>Ладижин-3</t>
  </si>
  <si>
    <t>09.04.2024 17:43:06</t>
  </si>
  <si>
    <t>09.04.2024 17:43:10</t>
  </si>
  <si>
    <t>ІБ00-000134</t>
  </si>
  <si>
    <t>10.04.2024 09:26:17</t>
  </si>
  <si>
    <t>ІБ00-000179</t>
  </si>
  <si>
    <t>Запоріжжя_Турбіна 2</t>
  </si>
  <si>
    <t>11.04.2024 18:00:01</t>
  </si>
  <si>
    <t>ІБ00-000194</t>
  </si>
  <si>
    <t>Старокостянтинів</t>
  </si>
  <si>
    <t>15.04.2024 00:00:00</t>
  </si>
  <si>
    <t>ІБ00-000199</t>
  </si>
  <si>
    <t>15.04.2024 18:32:08</t>
  </si>
  <si>
    <t>ІБ00-000200</t>
  </si>
  <si>
    <t>18.04.2024 11:13:24</t>
  </si>
  <si>
    <t>ІБ00-000183</t>
  </si>
  <si>
    <t>Щедро_Флекситанки</t>
  </si>
  <si>
    <t>18.04.2024 11:18:54</t>
  </si>
  <si>
    <t>ІБ00-000186</t>
  </si>
  <si>
    <t>18.04.2024 12:52:12</t>
  </si>
  <si>
    <t>ІБ00-000187</t>
  </si>
  <si>
    <t>18.04.2024 14:55:36</t>
  </si>
  <si>
    <t>ІБ00-000188</t>
  </si>
  <si>
    <t>18.04.2024 18:21:56</t>
  </si>
  <si>
    <t>ІБ00-000182</t>
  </si>
  <si>
    <t>22.04.2024 16:54:26</t>
  </si>
  <si>
    <t>ІБ00-000184</t>
  </si>
  <si>
    <t>23.04.2024 18:04:37</t>
  </si>
  <si>
    <t>ІБ00-000195</t>
  </si>
  <si>
    <t>24.04.2024 00:00:00</t>
  </si>
  <si>
    <t>Досписання згідно листа</t>
  </si>
  <si>
    <t>24.04.2024 13:17:07</t>
  </si>
  <si>
    <t>ІБ00-000185</t>
  </si>
  <si>
    <t>ООН Київ</t>
  </si>
  <si>
    <t>Виробничий (ООН Київ)</t>
  </si>
  <si>
    <t xml:space="preserve">Досписання </t>
  </si>
  <si>
    <t>30.04.2024 00:00:00</t>
  </si>
  <si>
    <t>ІБ00-000201</t>
  </si>
  <si>
    <t>30.04.2024 20:00:00</t>
  </si>
  <si>
    <t>ІБ00-000203</t>
  </si>
  <si>
    <t>30.04.2024 21:49:03</t>
  </si>
  <si>
    <t>ІБ00-000202</t>
  </si>
  <si>
    <t>30.04.2024 21:49:14</t>
  </si>
  <si>
    <t>ІБ00-000204</t>
  </si>
  <si>
    <t>Вид операції</t>
  </si>
  <si>
    <t>Склад відправник</t>
  </si>
  <si>
    <t>Склад одержувач</t>
  </si>
  <si>
    <t>ІБ00-000020</t>
  </si>
  <si>
    <t>Ніжин-3</t>
  </si>
  <si>
    <t>Склад списання Ніжин-3</t>
  </si>
  <si>
    <t>Переміщення до акту № 10 (ІБ00-000115 в 1С)</t>
  </si>
  <si>
    <t>30.04.2024 18:47:46</t>
  </si>
  <si>
    <t>ІБ00-000021</t>
  </si>
  <si>
    <t>Переміщення до акту № 16 (ІБ00-000119 в 1С)</t>
  </si>
  <si>
    <t>Сумма без НДС</t>
  </si>
  <si>
    <t>Сумма С НДС</t>
  </si>
  <si>
    <t>Продаж, комісія</t>
  </si>
  <si>
    <t>30.04.2024 08:54:29</t>
  </si>
  <si>
    <t>ІБ00-000013</t>
  </si>
  <si>
    <t>30.04.2024 08:55:18</t>
  </si>
  <si>
    <t>ІБ00-000014</t>
  </si>
  <si>
    <t>* всего с продажей</t>
  </si>
  <si>
    <t>* досписание</t>
  </si>
  <si>
    <t>*досписание</t>
  </si>
  <si>
    <t>Итого</t>
  </si>
  <si>
    <t>Дохід</t>
  </si>
  <si>
    <t>ПДВ</t>
  </si>
  <si>
    <t>Собівартість</t>
  </si>
  <si>
    <t>Інші витрати (Послуги транспортні, проектні та інші)</t>
  </si>
  <si>
    <t>Договір</t>
  </si>
  <si>
    <t>Акт</t>
  </si>
  <si>
    <t>ДОГОВІР ПІДРЯДУ № 20230815-3 від 15.08.2023</t>
  </si>
  <si>
    <t>Надання виробничих послуг ІБ00-000088 от 15.04.2024 12:00:00</t>
  </si>
  <si>
    <t>Надання виробничих послуг ІБ00-000089 от 15.04.2024 12:00:01</t>
  </si>
  <si>
    <t>Надання виробничих послуг ІБ00-000110 от 15.04.2024 17:43:17</t>
  </si>
  <si>
    <t>Договір №0502/24/Л/1 від 05.02.2024 року</t>
  </si>
  <si>
    <t>Надання виробничих послуг ІБ00-000104 от 09.04.2024 17:42:58</t>
  </si>
  <si>
    <t>Договір №2909/2023/ЛА від 29.09.2023 року</t>
  </si>
  <si>
    <t>Надання виробничих послуг ІБ00-000086 от 01.04.2024 15:17:04</t>
  </si>
  <si>
    <t>Надання виробничих послуг ІБ00-000103 от 09.04.2024 17:42:57</t>
  </si>
  <si>
    <t>Надання виробничих послуг ІБ00-000112 от 23.04.2024 18:04:26</t>
  </si>
  <si>
    <t>рахунок 58</t>
  </si>
  <si>
    <t>Надання виробничих послуг ІБ00-000087 от 10.04.2024 16:27:53</t>
  </si>
  <si>
    <t>Договір підряду №26</t>
  </si>
  <si>
    <t>Надання виробничих послуг ІБ00-000100 от 18.04.2024 15:14:16</t>
  </si>
  <si>
    <t>Надання виробничих послуг ІБ00-000101 от 18.04.2024 15:14:59</t>
  </si>
  <si>
    <t>Надання виробничих послуг ІБ00-000102 от 18.04.2024 15:16:20</t>
  </si>
  <si>
    <t>Надання виробничих послуг ІБ00-000106 от 18.04.2024 17:41:21</t>
  </si>
  <si>
    <t>Надання виробничих послуг ІБ00-000107 от 18.04.2024 17:42:22</t>
  </si>
  <si>
    <t>Надання виробничих послуг ІБ00-000108 от 18.04.2024 17:43:09</t>
  </si>
  <si>
    <t>Надання виробничих послуг ІБ00-000109 от 22.04.2024 16:54:19</t>
  </si>
  <si>
    <t>Надання виробничих послуг ІБ00-000114 от 30.04.2024 08:53:35</t>
  </si>
  <si>
    <t>Надання виробничих послуг ІБ00-000122 от 30.04.2024 13:04:12</t>
  </si>
  <si>
    <t>Надання виробничих послуг ІБ00-000123 от 30.04.2024 15:51:54</t>
  </si>
  <si>
    <t>Надання виробничих послуг ІБ00-000124 от 30.04.2024 15:58:01</t>
  </si>
  <si>
    <t>ДОГОВІР ПІДРЯДУ № 22/01/2024 -КМ -СтОЕ від 22.01.2</t>
  </si>
  <si>
    <t>Надання виробничих послуг ІБ00-000085 от 11.04.2024 08:18:33</t>
  </si>
  <si>
    <t>Дата вх.</t>
  </si>
  <si>
    <t>ІНДЕПТ СТІЛ ТОВ</t>
  </si>
  <si>
    <t>Покупка, комісія</t>
  </si>
  <si>
    <t>15.05.2024 11:13:56</t>
  </si>
  <si>
    <t>ІБ00-001707</t>
  </si>
  <si>
    <t>15.05.2024 11:14:32</t>
  </si>
  <si>
    <t>ІБ00-001708</t>
  </si>
  <si>
    <t>15.05.2024 11:17:09</t>
  </si>
  <si>
    <t>ІБ00-001709</t>
  </si>
  <si>
    <t>15.05.2024 15:00:00</t>
  </si>
  <si>
    <t>ІБ00-001486</t>
  </si>
  <si>
    <t>ІБ00-001487</t>
  </si>
  <si>
    <t>ІБ00-001488</t>
  </si>
  <si>
    <t>* в Апреле 24</t>
  </si>
  <si>
    <t>* в Мае 24</t>
  </si>
  <si>
    <t>* списание по 209 сч</t>
  </si>
  <si>
    <t>МІКС-ІНВЕСТ ТОВ</t>
  </si>
  <si>
    <t>СПЕЦТЕХІНВЕСТ БТО ТОВ</t>
  </si>
  <si>
    <t>СКОЧ ПЛЮС ТОВ</t>
  </si>
  <si>
    <t>Номер вх.</t>
  </si>
  <si>
    <t>Документ розрахунків</t>
  </si>
  <si>
    <t>Договір 07-02/2024 від 07.02.2024_Щедро.Флексі</t>
  </si>
  <si>
    <t>Рахунок на оплату постачальника ІБ00-000315 от 08.02.2024 17:53:06</t>
  </si>
  <si>
    <t>18.04.2024 18:22:00</t>
  </si>
  <si>
    <t>ІБ00-001485</t>
  </si>
  <si>
    <t>18.04.2024</t>
  </si>
  <si>
    <t>АКТ 2/ТК/2</t>
  </si>
  <si>
    <t>22.04.2024 16:54:28</t>
  </si>
  <si>
    <t>ІБ00-001496</t>
  </si>
  <si>
    <t>22.04.2024</t>
  </si>
  <si>
    <t>АКТ 3/ТХ/2</t>
  </si>
  <si>
    <t>30.04.2024 18:47:56</t>
  </si>
  <si>
    <t>ІБ00-001609</t>
  </si>
  <si>
    <t>30.04.2024</t>
  </si>
  <si>
    <t>АКТ 3/ТХ/3</t>
  </si>
  <si>
    <t>30.04.2024 18:47:57</t>
  </si>
  <si>
    <t>ІБ00-001610</t>
  </si>
  <si>
    <t>АКТ 2/ТК/3</t>
  </si>
  <si>
    <t>30.04.2024 18:47:58</t>
  </si>
  <si>
    <t>ІБ00-001611</t>
  </si>
  <si>
    <t>Акт 1</t>
  </si>
  <si>
    <t>Договір 26/03/2024 від 26.03.2024_Щедро.Флексі</t>
  </si>
  <si>
    <t>Рахунок на оплату постачальника ІБ00-000835 от 26.03.2024 17:57:27</t>
  </si>
  <si>
    <t>Вентиляція</t>
  </si>
  <si>
    <t>30.04.2024 23:00:00</t>
  </si>
  <si>
    <t>ІБ00-001679</t>
  </si>
  <si>
    <t>Договір № 14032024 від 14.03.2024_Щедро.Флексі</t>
  </si>
  <si>
    <t>Рахунок на оплату постачальника ІБ00-000786 от 18.03.2024 16:35:56</t>
  </si>
  <si>
    <t>Скан електрика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</si>
</sst>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color indexed="63"/>
      <name val="Arial"/>
    </font>
    <font>
      <sz val="8"/>
      <color indexed="63"/>
      <name val="Arial"/>
      <family val="2"/>
    </font>
    <font>
      <sz val="11"/>
      <color rgb="FF7030A0"/>
      <name val="Calibri"/>
      <family val="2"/>
      <scheme val="minor"/>
    </font>
    <font>
      <sz val="10"/>
      <color indexed="63"/>
      <name val="Arial"/>
      <family val="2"/>
      <charset val="204"/>
    </font>
    <font>
      <b/>
      <sz val="10"/>
      <color indexed="9"/>
      <name val="Arial"/>
      <family val="2"/>
      <charset val="204"/>
    </font>
    <font>
      <b/>
      <sz val="8"/>
      <color indexed="56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</fills>
  <borders count="16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/>
      <diagonal/>
    </border>
    <border>
      <left style="thin">
        <color indexed="31"/>
      </left>
      <right style="thin">
        <color indexed="31"/>
      </right>
      <top/>
      <bottom/>
      <diagonal/>
    </border>
    <border>
      <left style="thin">
        <color indexed="31"/>
      </left>
      <right style="thin">
        <color indexed="31"/>
      </right>
      <top/>
      <bottom style="thin">
        <color indexed="31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medium">
        <color indexed="64"/>
      </left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thin">
        <color indexed="55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64">
    <xf numFmtId="0" fontId="0" fillId="0" borderId="0" xfId="0"/>
    <xf numFmtId="0" fontId="3" fillId="2" borderId="1" xfId="1" applyNumberFormat="1" applyFont="1" applyFill="1" applyBorder="1" applyAlignment="1">
      <alignment horizontal="left" vertical="top"/>
    </xf>
    <xf numFmtId="0" fontId="4" fillId="2" borderId="1" xfId="1" applyNumberFormat="1" applyFont="1" applyFill="1" applyBorder="1" applyAlignment="1">
      <alignment horizontal="left" vertical="top"/>
    </xf>
    <xf numFmtId="4" fontId="4" fillId="2" borderId="1" xfId="1" applyNumberFormat="1" applyFont="1" applyFill="1" applyBorder="1" applyAlignment="1">
      <alignment horizontal="right" vertical="top"/>
    </xf>
    <xf numFmtId="4" fontId="4" fillId="3" borderId="1" xfId="1" applyNumberFormat="1" applyFont="1" applyFill="1" applyBorder="1" applyAlignment="1">
      <alignment horizontal="right" vertical="top"/>
    </xf>
    <xf numFmtId="0" fontId="4" fillId="3" borderId="1" xfId="1" applyNumberFormat="1" applyFont="1" applyFill="1" applyBorder="1" applyAlignment="1">
      <alignment horizontal="left" vertical="top"/>
    </xf>
    <xf numFmtId="0" fontId="0" fillId="0" borderId="0" xfId="0" applyFill="1" applyBorder="1"/>
    <xf numFmtId="0" fontId="0" fillId="0" borderId="0" xfId="0"/>
    <xf numFmtId="4" fontId="1" fillId="4" borderId="0" xfId="0" applyNumberFormat="1" applyFont="1" applyFill="1"/>
    <xf numFmtId="4" fontId="0" fillId="0" borderId="0" xfId="0" applyNumberFormat="1"/>
    <xf numFmtId="0" fontId="1" fillId="0" borderId="0" xfId="0" applyFont="1"/>
    <xf numFmtId="4" fontId="1" fillId="0" borderId="0" xfId="0" applyNumberFormat="1" applyFont="1"/>
    <xf numFmtId="4" fontId="5" fillId="0" borderId="0" xfId="0" applyNumberFormat="1" applyFont="1"/>
    <xf numFmtId="0" fontId="3" fillId="2" borderId="1" xfId="2" applyNumberFormat="1" applyFont="1" applyFill="1" applyBorder="1" applyAlignment="1">
      <alignment horizontal="left" vertical="top"/>
    </xf>
    <xf numFmtId="0" fontId="4" fillId="2" borderId="1" xfId="2" applyNumberFormat="1" applyFont="1" applyFill="1" applyBorder="1" applyAlignment="1">
      <alignment horizontal="left" vertical="top"/>
    </xf>
    <xf numFmtId="4" fontId="6" fillId="2" borderId="1" xfId="2" applyNumberFormat="1" applyFont="1" applyFill="1" applyBorder="1" applyAlignment="1">
      <alignment horizontal="center" vertical="center"/>
    </xf>
    <xf numFmtId="4" fontId="4" fillId="2" borderId="1" xfId="2" applyNumberFormat="1" applyFont="1" applyFill="1" applyBorder="1" applyAlignment="1">
      <alignment horizontal="center" vertical="top"/>
    </xf>
    <xf numFmtId="4" fontId="0" fillId="0" borderId="0" xfId="0" applyNumberForma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7" fillId="5" borderId="2" xfId="3" applyNumberFormat="1" applyFont="1" applyFill="1" applyBorder="1" applyAlignment="1">
      <alignment vertical="top" wrapText="1"/>
    </xf>
    <xf numFmtId="0" fontId="8" fillId="6" borderId="6" xfId="3" applyNumberFormat="1" applyFont="1" applyFill="1" applyBorder="1" applyAlignment="1">
      <alignment vertical="top" wrapText="1"/>
    </xf>
    <xf numFmtId="4" fontId="8" fillId="6" borderId="6" xfId="3" applyNumberFormat="1" applyFont="1" applyFill="1" applyBorder="1" applyAlignment="1">
      <alignment horizontal="right" vertical="top"/>
    </xf>
    <xf numFmtId="0" fontId="8" fillId="7" borderId="6" xfId="3" applyNumberFormat="1" applyFont="1" applyFill="1" applyBorder="1" applyAlignment="1">
      <alignment vertical="top" wrapText="1" indent="2"/>
    </xf>
    <xf numFmtId="0" fontId="2" fillId="0" borderId="6" xfId="3" applyNumberFormat="1" applyFont="1" applyBorder="1" applyAlignment="1">
      <alignment vertical="top" wrapText="1" indent="4"/>
    </xf>
    <xf numFmtId="0" fontId="2" fillId="0" borderId="6" xfId="3" applyNumberFormat="1" applyFont="1" applyBorder="1" applyAlignment="1">
      <alignment horizontal="right" vertical="top"/>
    </xf>
    <xf numFmtId="4" fontId="8" fillId="7" borderId="6" xfId="3" applyNumberFormat="1" applyFont="1" applyFill="1" applyBorder="1" applyAlignment="1">
      <alignment horizontal="right" vertical="top"/>
    </xf>
    <xf numFmtId="4" fontId="2" fillId="0" borderId="6" xfId="3" applyNumberFormat="1" applyFont="1" applyBorder="1" applyAlignment="1">
      <alignment horizontal="right" vertical="top"/>
    </xf>
    <xf numFmtId="164" fontId="2" fillId="0" borderId="6" xfId="3" applyNumberFormat="1" applyFont="1" applyBorder="1" applyAlignment="1">
      <alignment horizontal="right" vertical="top"/>
    </xf>
    <xf numFmtId="164" fontId="8" fillId="6" borderId="6" xfId="3" applyNumberFormat="1" applyFont="1" applyFill="1" applyBorder="1" applyAlignment="1">
      <alignment horizontal="right" vertical="top"/>
    </xf>
    <xf numFmtId="164" fontId="8" fillId="7" borderId="6" xfId="3" applyNumberFormat="1" applyFont="1" applyFill="1" applyBorder="1" applyAlignment="1">
      <alignment horizontal="right" vertical="top"/>
    </xf>
    <xf numFmtId="0" fontId="7" fillId="8" borderId="2" xfId="3" applyNumberFormat="1" applyFont="1" applyFill="1" applyBorder="1" applyAlignment="1">
      <alignment vertical="top"/>
    </xf>
    <xf numFmtId="4" fontId="7" fillId="8" borderId="2" xfId="3" applyNumberFormat="1" applyFont="1" applyFill="1" applyBorder="1" applyAlignment="1">
      <alignment horizontal="right" vertical="top"/>
    </xf>
    <xf numFmtId="4" fontId="5" fillId="0" borderId="0" xfId="0" applyNumberFormat="1" applyFont="1" applyAlignment="1">
      <alignment horizontal="center" vertical="center"/>
    </xf>
    <xf numFmtId="4" fontId="0" fillId="4" borderId="0" xfId="0" applyNumberFormat="1" applyFill="1" applyAlignment="1">
      <alignment horizontal="center" vertical="center"/>
    </xf>
    <xf numFmtId="4" fontId="4" fillId="4" borderId="1" xfId="2" applyNumberFormat="1" applyFont="1" applyFill="1" applyBorder="1" applyAlignment="1">
      <alignment horizontal="center" vertical="top"/>
    </xf>
    <xf numFmtId="4" fontId="2" fillId="4" borderId="6" xfId="3" applyNumberFormat="1" applyFont="1" applyFill="1" applyBorder="1" applyAlignment="1">
      <alignment horizontal="right" vertical="top"/>
    </xf>
    <xf numFmtId="4" fontId="0" fillId="4" borderId="0" xfId="0" applyNumberFormat="1" applyFill="1"/>
    <xf numFmtId="0" fontId="2" fillId="4" borderId="6" xfId="3" applyNumberFormat="1" applyFont="1" applyFill="1" applyBorder="1" applyAlignment="1">
      <alignment horizontal="right" vertical="top"/>
    </xf>
    <xf numFmtId="164" fontId="2" fillId="4" borderId="6" xfId="3" applyNumberFormat="1" applyFont="1" applyFill="1" applyBorder="1" applyAlignment="1">
      <alignment horizontal="right" vertical="top"/>
    </xf>
    <xf numFmtId="4" fontId="8" fillId="4" borderId="6" xfId="3" applyNumberFormat="1" applyFont="1" applyFill="1" applyBorder="1" applyAlignment="1">
      <alignment horizontal="right" vertical="top"/>
    </xf>
    <xf numFmtId="0" fontId="8" fillId="4" borderId="6" xfId="3" applyNumberFormat="1" applyFont="1" applyFill="1" applyBorder="1" applyAlignment="1">
      <alignment horizontal="right" vertical="top"/>
    </xf>
    <xf numFmtId="0" fontId="0" fillId="4" borderId="0" xfId="0" applyFill="1"/>
    <xf numFmtId="0" fontId="6" fillId="2" borderId="1" xfId="4" applyNumberFormat="1" applyFont="1" applyFill="1" applyBorder="1" applyAlignment="1">
      <alignment horizontal="left" vertical="top"/>
    </xf>
    <xf numFmtId="0" fontId="4" fillId="2" borderId="1" xfId="4" applyNumberFormat="1" applyFont="1" applyFill="1" applyBorder="1" applyAlignment="1">
      <alignment horizontal="left" vertical="top"/>
    </xf>
    <xf numFmtId="4" fontId="4" fillId="2" borderId="1" xfId="4" applyNumberFormat="1" applyFont="1" applyFill="1" applyBorder="1" applyAlignment="1">
      <alignment horizontal="right" vertical="top"/>
    </xf>
    <xf numFmtId="0" fontId="4" fillId="2" borderId="7" xfId="4" applyNumberFormat="1" applyFont="1" applyFill="1" applyBorder="1" applyAlignment="1">
      <alignment horizontal="left" vertical="top"/>
    </xf>
    <xf numFmtId="4" fontId="4" fillId="2" borderId="7" xfId="4" applyNumberFormat="1" applyFont="1" applyFill="1" applyBorder="1" applyAlignment="1">
      <alignment horizontal="right" vertical="top"/>
    </xf>
    <xf numFmtId="0" fontId="4" fillId="2" borderId="8" xfId="4" applyNumberFormat="1" applyFont="1" applyFill="1" applyBorder="1" applyAlignment="1">
      <alignment horizontal="left" vertical="top"/>
    </xf>
    <xf numFmtId="0" fontId="4" fillId="2" borderId="9" xfId="4" applyNumberFormat="1" applyFont="1" applyFill="1" applyBorder="1" applyAlignment="1">
      <alignment horizontal="left" vertical="top"/>
    </xf>
    <xf numFmtId="4" fontId="4" fillId="2" borderId="9" xfId="4" applyNumberFormat="1" applyFont="1" applyFill="1" applyBorder="1" applyAlignment="1">
      <alignment horizontal="right" vertical="top"/>
    </xf>
    <xf numFmtId="0" fontId="4" fillId="2" borderId="10" xfId="4" applyNumberFormat="1" applyFont="1" applyFill="1" applyBorder="1" applyAlignment="1">
      <alignment horizontal="left" vertical="top"/>
    </xf>
    <xf numFmtId="0" fontId="4" fillId="2" borderId="11" xfId="4" applyNumberFormat="1" applyFont="1" applyFill="1" applyBorder="1" applyAlignment="1">
      <alignment horizontal="left" vertical="top"/>
    </xf>
    <xf numFmtId="0" fontId="4" fillId="2" borderId="12" xfId="4" applyNumberFormat="1" applyFont="1" applyFill="1" applyBorder="1" applyAlignment="1">
      <alignment horizontal="left" vertical="top"/>
    </xf>
    <xf numFmtId="0" fontId="4" fillId="2" borderId="13" xfId="4" applyNumberFormat="1" applyFont="1" applyFill="1" applyBorder="1" applyAlignment="1">
      <alignment horizontal="left" vertical="top"/>
    </xf>
    <xf numFmtId="0" fontId="4" fillId="2" borderId="14" xfId="4" applyNumberFormat="1" applyFont="1" applyFill="1" applyBorder="1" applyAlignment="1">
      <alignment horizontal="left" vertical="top"/>
    </xf>
    <xf numFmtId="4" fontId="4" fillId="2" borderId="14" xfId="4" applyNumberFormat="1" applyFont="1" applyFill="1" applyBorder="1" applyAlignment="1">
      <alignment horizontal="right" vertical="top"/>
    </xf>
    <xf numFmtId="0" fontId="4" fillId="2" borderId="15" xfId="4" applyNumberFormat="1" applyFont="1" applyFill="1" applyBorder="1" applyAlignment="1">
      <alignment horizontal="left" vertical="top"/>
    </xf>
    <xf numFmtId="4" fontId="4" fillId="3" borderId="1" xfId="2" applyNumberFormat="1" applyFont="1" applyFill="1" applyBorder="1" applyAlignment="1">
      <alignment horizontal="center" vertical="top"/>
    </xf>
    <xf numFmtId="4" fontId="0" fillId="3" borderId="0" xfId="0" applyNumberFormat="1" applyFill="1"/>
    <xf numFmtId="4" fontId="0" fillId="3" borderId="0" xfId="0" applyNumberFormat="1" applyFill="1" applyAlignment="1">
      <alignment horizontal="center" vertical="center"/>
    </xf>
    <xf numFmtId="4" fontId="4" fillId="0" borderId="1" xfId="1" applyNumberFormat="1" applyFont="1" applyFill="1" applyBorder="1" applyAlignment="1">
      <alignment horizontal="right" vertical="top"/>
    </xf>
    <xf numFmtId="0" fontId="7" fillId="5" borderId="3" xfId="3" applyNumberFormat="1" applyFont="1" applyFill="1" applyBorder="1" applyAlignment="1">
      <alignment vertical="top" wrapText="1"/>
    </xf>
    <xf numFmtId="0" fontId="7" fillId="5" borderId="4" xfId="3" applyNumberFormat="1" applyFont="1" applyFill="1" applyBorder="1" applyAlignment="1">
      <alignment vertical="top" wrapText="1"/>
    </xf>
    <xf numFmtId="0" fontId="7" fillId="5" borderId="5" xfId="3" applyNumberFormat="1" applyFont="1" applyFill="1" applyBorder="1" applyAlignment="1">
      <alignment vertical="top" wrapText="1"/>
    </xf>
  </cellXfs>
  <cellStyles count="5">
    <cellStyle name="Обычный" xfId="0" builtinId="0"/>
    <cellStyle name="Обычный_Акты заказчика" xfId="1"/>
    <cellStyle name="Обычный_ВаловаяПрибыль" xfId="3"/>
    <cellStyle name="Обычный_Списание стройматериалов" xfId="2"/>
    <cellStyle name="Обычный_Услуги_сторонних" xf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topLeftCell="A31" zoomScaleNormal="100" workbookViewId="0">
      <selection activeCell="C61" sqref="C61"/>
    </sheetView>
  </sheetViews>
  <sheetFormatPr defaultRowHeight="14.4" outlineLevelRow="1" x14ac:dyDescent="0.3"/>
  <cols>
    <col min="1" max="1" width="14" bestFit="1" customWidth="1"/>
    <col min="2" max="2" width="8.77734375" bestFit="1" customWidth="1"/>
    <col min="3" max="3" width="39.6640625" bestFit="1" customWidth="1"/>
    <col min="4" max="4" width="12.33203125" bestFit="1" customWidth="1"/>
    <col min="5" max="5" width="7.6640625" bestFit="1" customWidth="1"/>
    <col min="6" max="6" width="22.88671875" bestFit="1" customWidth="1"/>
    <col min="7" max="7" width="16.6640625" bestFit="1" customWidth="1"/>
    <col min="8" max="8" width="14.5546875" bestFit="1" customWidth="1"/>
    <col min="9" max="9" width="47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3">
        <v>1197761.3500000001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3">
      <c r="A3" s="2" t="s">
        <v>17</v>
      </c>
      <c r="B3" s="2" t="s">
        <v>18</v>
      </c>
      <c r="C3" s="2" t="s">
        <v>11</v>
      </c>
      <c r="D3" s="3">
        <v>1007909.46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19</v>
      </c>
    </row>
    <row r="4" spans="1:9" x14ac:dyDescent="0.3">
      <c r="A4" s="2" t="s">
        <v>20</v>
      </c>
      <c r="B4" s="2" t="s">
        <v>21</v>
      </c>
      <c r="C4" s="2" t="s">
        <v>11</v>
      </c>
      <c r="D4" s="3">
        <v>141577.06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22</v>
      </c>
    </row>
    <row r="5" spans="1:9" x14ac:dyDescent="0.3">
      <c r="A5" s="2" t="s">
        <v>23</v>
      </c>
      <c r="B5" s="2" t="s">
        <v>24</v>
      </c>
      <c r="C5" s="2" t="s">
        <v>25</v>
      </c>
      <c r="D5" s="3">
        <v>19998.64</v>
      </c>
      <c r="E5" s="2" t="s">
        <v>12</v>
      </c>
      <c r="F5" s="2" t="s">
        <v>26</v>
      </c>
      <c r="G5" s="2" t="s">
        <v>14</v>
      </c>
      <c r="H5" s="2" t="s">
        <v>15</v>
      </c>
      <c r="I5" s="2" t="s">
        <v>27</v>
      </c>
    </row>
    <row r="6" spans="1:9" x14ac:dyDescent="0.3">
      <c r="A6" s="2" t="s">
        <v>28</v>
      </c>
      <c r="B6" s="2" t="s">
        <v>29</v>
      </c>
      <c r="C6" s="2" t="s">
        <v>30</v>
      </c>
      <c r="D6" s="3">
        <v>316521.03000000003</v>
      </c>
      <c r="E6" s="2" t="s">
        <v>12</v>
      </c>
      <c r="F6" s="2" t="s">
        <v>31</v>
      </c>
      <c r="G6" s="2" t="s">
        <v>14</v>
      </c>
      <c r="H6" s="2" t="s">
        <v>15</v>
      </c>
      <c r="I6" s="2" t="s">
        <v>32</v>
      </c>
    </row>
    <row r="7" spans="1:9" x14ac:dyDescent="0.3">
      <c r="A7" s="2" t="s">
        <v>33</v>
      </c>
      <c r="B7" s="2" t="s">
        <v>34</v>
      </c>
      <c r="C7" s="2" t="s">
        <v>35</v>
      </c>
      <c r="D7" s="3">
        <v>813895.61</v>
      </c>
      <c r="E7" s="2" t="s">
        <v>12</v>
      </c>
      <c r="F7" s="2" t="s">
        <v>36</v>
      </c>
      <c r="G7" s="2" t="s">
        <v>14</v>
      </c>
      <c r="H7" s="2" t="s">
        <v>15</v>
      </c>
      <c r="I7" s="2" t="s">
        <v>37</v>
      </c>
    </row>
    <row r="8" spans="1:9" x14ac:dyDescent="0.3">
      <c r="A8" s="2" t="s">
        <v>38</v>
      </c>
      <c r="B8" s="2" t="s">
        <v>39</v>
      </c>
      <c r="C8" s="2" t="s">
        <v>35</v>
      </c>
      <c r="D8" s="3">
        <v>161785.29999999999</v>
      </c>
      <c r="E8" s="2" t="s">
        <v>12</v>
      </c>
      <c r="F8" s="2" t="s">
        <v>36</v>
      </c>
      <c r="G8" s="2" t="s">
        <v>14</v>
      </c>
      <c r="H8" s="2" t="s">
        <v>15</v>
      </c>
      <c r="I8" s="2" t="s">
        <v>40</v>
      </c>
    </row>
    <row r="9" spans="1:9" x14ac:dyDescent="0.3">
      <c r="A9" s="2" t="s">
        <v>41</v>
      </c>
      <c r="B9" s="2" t="s">
        <v>42</v>
      </c>
      <c r="C9" s="2" t="s">
        <v>35</v>
      </c>
      <c r="D9" s="3">
        <v>934814.87</v>
      </c>
      <c r="E9" s="2" t="s">
        <v>12</v>
      </c>
      <c r="F9" s="2" t="s">
        <v>36</v>
      </c>
      <c r="G9" s="2" t="s">
        <v>14</v>
      </c>
      <c r="H9" s="2" t="s">
        <v>15</v>
      </c>
      <c r="I9" s="2" t="s">
        <v>43</v>
      </c>
    </row>
    <row r="10" spans="1:9" x14ac:dyDescent="0.3">
      <c r="A10" s="2" t="s">
        <v>44</v>
      </c>
      <c r="B10" s="2" t="s">
        <v>45</v>
      </c>
      <c r="C10" s="2" t="s">
        <v>46</v>
      </c>
      <c r="D10" s="60">
        <v>251957.66</v>
      </c>
      <c r="E10" s="2" t="s">
        <v>12</v>
      </c>
      <c r="F10" s="2" t="s">
        <v>47</v>
      </c>
      <c r="G10" s="2" t="s">
        <v>14</v>
      </c>
      <c r="H10" s="2" t="s">
        <v>15</v>
      </c>
      <c r="I10" s="2" t="s">
        <v>48</v>
      </c>
    </row>
    <row r="11" spans="1:9" x14ac:dyDescent="0.3">
      <c r="A11" s="2" t="s">
        <v>49</v>
      </c>
      <c r="B11" s="2" t="s">
        <v>50</v>
      </c>
      <c r="C11" s="2" t="s">
        <v>46</v>
      </c>
      <c r="D11" s="60">
        <v>445544.56</v>
      </c>
      <c r="E11" s="2" t="s">
        <v>12</v>
      </c>
      <c r="F11" s="2" t="s">
        <v>47</v>
      </c>
      <c r="G11" s="2" t="s">
        <v>14</v>
      </c>
      <c r="H11" s="2" t="s">
        <v>15</v>
      </c>
      <c r="I11" s="2" t="s">
        <v>51</v>
      </c>
    </row>
    <row r="12" spans="1:9" x14ac:dyDescent="0.3">
      <c r="A12" s="2" t="s">
        <v>52</v>
      </c>
      <c r="B12" s="2" t="s">
        <v>53</v>
      </c>
      <c r="C12" s="2" t="s">
        <v>46</v>
      </c>
      <c r="D12" s="60">
        <v>14156.68</v>
      </c>
      <c r="E12" s="2" t="s">
        <v>12</v>
      </c>
      <c r="F12" s="2" t="s">
        <v>47</v>
      </c>
      <c r="G12" s="2" t="s">
        <v>14</v>
      </c>
      <c r="H12" s="2" t="s">
        <v>15</v>
      </c>
      <c r="I12" s="2" t="s">
        <v>54</v>
      </c>
    </row>
    <row r="13" spans="1:9" x14ac:dyDescent="0.3">
      <c r="A13" s="2" t="s">
        <v>55</v>
      </c>
      <c r="B13" s="2" t="s">
        <v>56</v>
      </c>
      <c r="C13" s="2" t="s">
        <v>46</v>
      </c>
      <c r="D13" s="60">
        <v>4912771.2699999996</v>
      </c>
      <c r="E13" s="2" t="s">
        <v>12</v>
      </c>
      <c r="F13" s="2" t="s">
        <v>47</v>
      </c>
      <c r="G13" s="2" t="s">
        <v>14</v>
      </c>
      <c r="H13" s="2" t="s">
        <v>15</v>
      </c>
      <c r="I13" s="2" t="s">
        <v>57</v>
      </c>
    </row>
    <row r="14" spans="1:9" x14ac:dyDescent="0.3">
      <c r="A14" s="2" t="s">
        <v>58</v>
      </c>
      <c r="B14" s="2" t="s">
        <v>59</v>
      </c>
      <c r="C14" s="2" t="s">
        <v>46</v>
      </c>
      <c r="D14" s="60">
        <v>407309.86</v>
      </c>
      <c r="E14" s="2" t="s">
        <v>12</v>
      </c>
      <c r="F14" s="2" t="s">
        <v>47</v>
      </c>
      <c r="G14" s="2" t="s">
        <v>14</v>
      </c>
      <c r="H14" s="2" t="s">
        <v>15</v>
      </c>
      <c r="I14" s="2" t="s">
        <v>60</v>
      </c>
    </row>
    <row r="15" spans="1:9" x14ac:dyDescent="0.3">
      <c r="A15" s="2" t="s">
        <v>61</v>
      </c>
      <c r="B15" s="2" t="s">
        <v>62</v>
      </c>
      <c r="C15" s="2" t="s">
        <v>46</v>
      </c>
      <c r="D15" s="60">
        <v>154324.64000000001</v>
      </c>
      <c r="E15" s="2" t="s">
        <v>12</v>
      </c>
      <c r="F15" s="2" t="s">
        <v>47</v>
      </c>
      <c r="G15" s="2" t="s">
        <v>14</v>
      </c>
      <c r="H15" s="2" t="s">
        <v>15</v>
      </c>
      <c r="I15" s="2" t="s">
        <v>63</v>
      </c>
    </row>
    <row r="16" spans="1:9" x14ac:dyDescent="0.3">
      <c r="A16" s="2" t="s">
        <v>64</v>
      </c>
      <c r="B16" s="2" t="s">
        <v>65</v>
      </c>
      <c r="C16" s="2" t="s">
        <v>46</v>
      </c>
      <c r="D16" s="60">
        <v>949942.85</v>
      </c>
      <c r="E16" s="2" t="s">
        <v>12</v>
      </c>
      <c r="F16" s="2" t="s">
        <v>47</v>
      </c>
      <c r="G16" s="2" t="s">
        <v>14</v>
      </c>
      <c r="H16" s="2" t="s">
        <v>15</v>
      </c>
      <c r="I16" s="2" t="s">
        <v>60</v>
      </c>
    </row>
    <row r="17" spans="1:10" x14ac:dyDescent="0.3">
      <c r="A17" s="2" t="s">
        <v>66</v>
      </c>
      <c r="B17" s="2" t="s">
        <v>67</v>
      </c>
      <c r="C17" s="2" t="s">
        <v>11</v>
      </c>
      <c r="D17" s="60">
        <v>227453.08</v>
      </c>
      <c r="E17" s="2" t="s">
        <v>12</v>
      </c>
      <c r="F17" s="2" t="s">
        <v>13</v>
      </c>
      <c r="G17" s="2" t="s">
        <v>14</v>
      </c>
      <c r="H17" s="2" t="s">
        <v>15</v>
      </c>
      <c r="I17" s="2" t="s">
        <v>68</v>
      </c>
    </row>
    <row r="18" spans="1:10" x14ac:dyDescent="0.3">
      <c r="A18" s="2" t="s">
        <v>69</v>
      </c>
      <c r="B18" s="2" t="s">
        <v>70</v>
      </c>
      <c r="C18" s="2" t="s">
        <v>46</v>
      </c>
      <c r="D18" s="60">
        <v>410142.29</v>
      </c>
      <c r="E18" s="2" t="s">
        <v>12</v>
      </c>
      <c r="F18" s="2" t="s">
        <v>47</v>
      </c>
      <c r="G18" s="2" t="s">
        <v>14</v>
      </c>
      <c r="H18" s="2" t="s">
        <v>15</v>
      </c>
      <c r="I18" s="2" t="s">
        <v>60</v>
      </c>
    </row>
    <row r="19" spans="1:10" x14ac:dyDescent="0.3">
      <c r="A19" s="2" t="s">
        <v>71</v>
      </c>
      <c r="B19" s="2" t="s">
        <v>72</v>
      </c>
      <c r="C19" s="2" t="s">
        <v>46</v>
      </c>
      <c r="D19" s="60">
        <v>586626.11</v>
      </c>
      <c r="E19" s="2" t="s">
        <v>12</v>
      </c>
      <c r="F19" s="2" t="s">
        <v>47</v>
      </c>
      <c r="G19" s="2" t="s">
        <v>14</v>
      </c>
      <c r="H19" s="2" t="s">
        <v>15</v>
      </c>
      <c r="I19" s="2" t="s">
        <v>73</v>
      </c>
    </row>
    <row r="20" spans="1:10" x14ac:dyDescent="0.3">
      <c r="A20" s="2" t="s">
        <v>74</v>
      </c>
      <c r="B20" s="2" t="s">
        <v>75</v>
      </c>
      <c r="C20" s="2" t="s">
        <v>46</v>
      </c>
      <c r="D20" s="60">
        <v>1000712.66</v>
      </c>
      <c r="E20" s="2" t="s">
        <v>12</v>
      </c>
      <c r="F20" s="2" t="s">
        <v>47</v>
      </c>
      <c r="G20" s="2" t="s">
        <v>14</v>
      </c>
      <c r="H20" s="2" t="s">
        <v>15</v>
      </c>
      <c r="I20" s="2" t="s">
        <v>76</v>
      </c>
    </row>
    <row r="21" spans="1:10" x14ac:dyDescent="0.3">
      <c r="A21" s="2" t="s">
        <v>77</v>
      </c>
      <c r="B21" s="2" t="s">
        <v>78</v>
      </c>
      <c r="C21" s="2" t="s">
        <v>46</v>
      </c>
      <c r="D21" s="60">
        <v>526875.01</v>
      </c>
      <c r="E21" s="2" t="s">
        <v>12</v>
      </c>
      <c r="F21" s="2" t="s">
        <v>47</v>
      </c>
      <c r="G21" s="2" t="s">
        <v>14</v>
      </c>
      <c r="H21" s="2" t="s">
        <v>15</v>
      </c>
      <c r="I21" s="2" t="s">
        <v>79</v>
      </c>
    </row>
    <row r="22" spans="1:10" x14ac:dyDescent="0.3">
      <c r="D22" s="11">
        <f>SUM(D1:D21)</f>
        <v>14482079.989999996</v>
      </c>
    </row>
    <row r="23" spans="1:10" x14ac:dyDescent="0.3">
      <c r="D23" s="12">
        <f>D22-D29</f>
        <v>0</v>
      </c>
    </row>
    <row r="24" spans="1:10" x14ac:dyDescent="0.3">
      <c r="C24" s="7" t="s">
        <v>146</v>
      </c>
      <c r="D24" s="9">
        <f>D7+D8+D9</f>
        <v>1910495.7799999998</v>
      </c>
    </row>
    <row r="25" spans="1:10" x14ac:dyDescent="0.3">
      <c r="C25" s="6" t="s">
        <v>147</v>
      </c>
      <c r="D25" s="9">
        <f>D2+D3+D4+D17</f>
        <v>2574700.9500000002</v>
      </c>
    </row>
    <row r="26" spans="1:10" x14ac:dyDescent="0.3">
      <c r="C26" s="6" t="s">
        <v>148</v>
      </c>
      <c r="D26" s="9">
        <f>D5</f>
        <v>19998.64</v>
      </c>
    </row>
    <row r="27" spans="1:10" x14ac:dyDescent="0.3">
      <c r="C27" s="6" t="s">
        <v>149</v>
      </c>
      <c r="D27" s="9">
        <f>D10+D11+D12+D13+D14+D15+D16+D18+D19+D20+D21</f>
        <v>9660363.5899999999</v>
      </c>
      <c r="F27" s="9">
        <f>D27+D58</f>
        <v>10298772.67</v>
      </c>
      <c r="G27" s="7" t="s">
        <v>215</v>
      </c>
    </row>
    <row r="28" spans="1:10" x14ac:dyDescent="0.3">
      <c r="C28" s="6" t="s">
        <v>150</v>
      </c>
      <c r="D28" s="9">
        <f>D6</f>
        <v>316521.03000000003</v>
      </c>
      <c r="F28" s="7"/>
      <c r="G28" s="7"/>
    </row>
    <row r="29" spans="1:10" x14ac:dyDescent="0.3">
      <c r="C29" s="10" t="s">
        <v>151</v>
      </c>
      <c r="D29" s="11">
        <f>SUBTOTAL(9,D24:D28)</f>
        <v>14482079.99</v>
      </c>
      <c r="F29" s="9"/>
      <c r="G29" s="9"/>
    </row>
    <row r="31" spans="1:10" x14ac:dyDescent="0.3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</row>
    <row r="32" spans="1:10" outlineLevel="1" x14ac:dyDescent="0.3">
      <c r="A32" s="5" t="s">
        <v>80</v>
      </c>
      <c r="B32" s="5" t="s">
        <v>81</v>
      </c>
      <c r="C32" s="5" t="s">
        <v>82</v>
      </c>
      <c r="D32" s="4">
        <v>74844.2</v>
      </c>
      <c r="E32" s="5" t="s">
        <v>12</v>
      </c>
      <c r="F32" s="5" t="s">
        <v>83</v>
      </c>
      <c r="G32" s="5" t="s">
        <v>14</v>
      </c>
      <c r="H32" s="5" t="s">
        <v>15</v>
      </c>
      <c r="I32" s="5" t="s">
        <v>84</v>
      </c>
      <c r="J32" t="s">
        <v>145</v>
      </c>
    </row>
    <row r="33" spans="1:10" outlineLevel="1" x14ac:dyDescent="0.3">
      <c r="A33" s="5" t="s">
        <v>85</v>
      </c>
      <c r="B33" s="5" t="s">
        <v>86</v>
      </c>
      <c r="C33" s="5" t="s">
        <v>82</v>
      </c>
      <c r="D33" s="4">
        <v>585276.81999999995</v>
      </c>
      <c r="E33" s="5" t="s">
        <v>12</v>
      </c>
      <c r="F33" s="5" t="s">
        <v>83</v>
      </c>
      <c r="G33" s="5" t="s">
        <v>14</v>
      </c>
      <c r="H33" s="5" t="s">
        <v>15</v>
      </c>
      <c r="I33" s="5" t="s">
        <v>87</v>
      </c>
      <c r="J33" t="s">
        <v>145</v>
      </c>
    </row>
    <row r="34" spans="1:10" outlineLevel="1" x14ac:dyDescent="0.3">
      <c r="A34" s="5" t="s">
        <v>88</v>
      </c>
      <c r="B34" s="5" t="s">
        <v>89</v>
      </c>
      <c r="C34" s="5" t="s">
        <v>82</v>
      </c>
      <c r="D34" s="4">
        <v>585218.81999999995</v>
      </c>
      <c r="E34" s="5" t="s">
        <v>12</v>
      </c>
      <c r="F34" s="5" t="s">
        <v>83</v>
      </c>
      <c r="G34" s="5" t="s">
        <v>14</v>
      </c>
      <c r="H34" s="5" t="s">
        <v>15</v>
      </c>
      <c r="I34" s="5" t="s">
        <v>90</v>
      </c>
      <c r="J34" t="s">
        <v>145</v>
      </c>
    </row>
    <row r="35" spans="1:10" outlineLevel="1" x14ac:dyDescent="0.3">
      <c r="A35" s="5" t="s">
        <v>91</v>
      </c>
      <c r="B35" s="5" t="s">
        <v>92</v>
      </c>
      <c r="C35" s="5" t="s">
        <v>82</v>
      </c>
      <c r="D35" s="4">
        <v>70000</v>
      </c>
      <c r="E35" s="5" t="s">
        <v>12</v>
      </c>
      <c r="F35" s="5" t="s">
        <v>83</v>
      </c>
      <c r="G35" s="5" t="s">
        <v>14</v>
      </c>
      <c r="H35" s="5" t="s">
        <v>15</v>
      </c>
      <c r="I35" s="5" t="s">
        <v>93</v>
      </c>
      <c r="J35" t="s">
        <v>145</v>
      </c>
    </row>
    <row r="36" spans="1:10" outlineLevel="1" x14ac:dyDescent="0.3">
      <c r="A36" s="5" t="s">
        <v>94</v>
      </c>
      <c r="B36" s="5" t="s">
        <v>95</v>
      </c>
      <c r="C36" s="5" t="s">
        <v>82</v>
      </c>
      <c r="D36" s="4">
        <v>92115.83</v>
      </c>
      <c r="E36" s="5" t="s">
        <v>12</v>
      </c>
      <c r="F36" s="5" t="s">
        <v>83</v>
      </c>
      <c r="G36" s="5" t="s">
        <v>14</v>
      </c>
      <c r="H36" s="5" t="s">
        <v>15</v>
      </c>
      <c r="I36" s="5" t="s">
        <v>96</v>
      </c>
      <c r="J36" t="s">
        <v>145</v>
      </c>
    </row>
    <row r="37" spans="1:10" outlineLevel="1" x14ac:dyDescent="0.3">
      <c r="A37" s="5" t="s">
        <v>97</v>
      </c>
      <c r="B37" s="5" t="s">
        <v>98</v>
      </c>
      <c r="C37" s="5" t="s">
        <v>82</v>
      </c>
      <c r="D37" s="4">
        <v>69692.789999999994</v>
      </c>
      <c r="E37" s="5" t="s">
        <v>12</v>
      </c>
      <c r="F37" s="5" t="s">
        <v>83</v>
      </c>
      <c r="G37" s="5" t="s">
        <v>14</v>
      </c>
      <c r="H37" s="5" t="s">
        <v>15</v>
      </c>
      <c r="I37" s="5" t="s">
        <v>99</v>
      </c>
      <c r="J37" t="s">
        <v>145</v>
      </c>
    </row>
    <row r="38" spans="1:10" outlineLevel="1" x14ac:dyDescent="0.3">
      <c r="A38" s="5" t="s">
        <v>100</v>
      </c>
      <c r="B38" s="5" t="s">
        <v>101</v>
      </c>
      <c r="C38" s="5" t="s">
        <v>82</v>
      </c>
      <c r="D38" s="4">
        <v>220420.19</v>
      </c>
      <c r="E38" s="5" t="s">
        <v>12</v>
      </c>
      <c r="F38" s="5" t="s">
        <v>83</v>
      </c>
      <c r="G38" s="5" t="s">
        <v>14</v>
      </c>
      <c r="H38" s="5" t="s">
        <v>15</v>
      </c>
      <c r="I38" s="5" t="s">
        <v>102</v>
      </c>
      <c r="J38" t="s">
        <v>145</v>
      </c>
    </row>
    <row r="39" spans="1:10" outlineLevel="1" x14ac:dyDescent="0.3">
      <c r="A39" s="5" t="s">
        <v>103</v>
      </c>
      <c r="B39" s="5" t="s">
        <v>104</v>
      </c>
      <c r="C39" s="5" t="s">
        <v>82</v>
      </c>
      <c r="D39" s="4">
        <v>19075.72</v>
      </c>
      <c r="E39" s="5" t="s">
        <v>12</v>
      </c>
      <c r="F39" s="5" t="s">
        <v>83</v>
      </c>
      <c r="G39" s="5" t="s">
        <v>14</v>
      </c>
      <c r="H39" s="5" t="s">
        <v>15</v>
      </c>
      <c r="I39" s="5" t="s">
        <v>105</v>
      </c>
      <c r="J39" t="s">
        <v>145</v>
      </c>
    </row>
    <row r="40" spans="1:10" outlineLevel="1" x14ac:dyDescent="0.3">
      <c r="A40" s="5" t="s">
        <v>106</v>
      </c>
      <c r="B40" s="5" t="s">
        <v>107</v>
      </c>
      <c r="C40" s="5" t="s">
        <v>82</v>
      </c>
      <c r="D40" s="4">
        <v>8730</v>
      </c>
      <c r="E40" s="5" t="s">
        <v>12</v>
      </c>
      <c r="F40" s="5" t="s">
        <v>83</v>
      </c>
      <c r="G40" s="5" t="s">
        <v>14</v>
      </c>
      <c r="H40" s="5" t="s">
        <v>15</v>
      </c>
      <c r="I40" s="5" t="s">
        <v>108</v>
      </c>
      <c r="J40" t="s">
        <v>145</v>
      </c>
    </row>
    <row r="41" spans="1:10" x14ac:dyDescent="0.3">
      <c r="A41" s="2" t="s">
        <v>109</v>
      </c>
      <c r="B41" s="2" t="s">
        <v>110</v>
      </c>
      <c r="C41" s="2" t="s">
        <v>82</v>
      </c>
      <c r="D41" s="3">
        <v>1609186.51</v>
      </c>
      <c r="E41" s="2" t="s">
        <v>12</v>
      </c>
      <c r="F41" s="2" t="s">
        <v>83</v>
      </c>
      <c r="G41" s="2" t="s">
        <v>14</v>
      </c>
      <c r="H41" s="2" t="s">
        <v>15</v>
      </c>
      <c r="I41" s="2" t="s">
        <v>111</v>
      </c>
    </row>
    <row r="42" spans="1:10" x14ac:dyDescent="0.3">
      <c r="A42" s="2" t="s">
        <v>112</v>
      </c>
      <c r="B42" s="2" t="s">
        <v>113</v>
      </c>
      <c r="C42" s="2" t="s">
        <v>82</v>
      </c>
      <c r="D42" s="3">
        <v>231000</v>
      </c>
      <c r="E42" s="2" t="s">
        <v>12</v>
      </c>
      <c r="F42" s="2" t="s">
        <v>83</v>
      </c>
      <c r="G42" s="2" t="s">
        <v>14</v>
      </c>
      <c r="H42" s="2" t="s">
        <v>15</v>
      </c>
      <c r="I42" s="2" t="s">
        <v>114</v>
      </c>
    </row>
    <row r="43" spans="1:10" x14ac:dyDescent="0.3">
      <c r="A43" s="2" t="s">
        <v>115</v>
      </c>
      <c r="B43" s="2" t="s">
        <v>116</v>
      </c>
      <c r="C43" s="2" t="s">
        <v>82</v>
      </c>
      <c r="D43" s="3">
        <v>27868</v>
      </c>
      <c r="E43" s="2" t="s">
        <v>12</v>
      </c>
      <c r="F43" s="2" t="s">
        <v>83</v>
      </c>
      <c r="G43" s="2" t="s">
        <v>14</v>
      </c>
      <c r="H43" s="2" t="s">
        <v>15</v>
      </c>
      <c r="I43" s="2" t="s">
        <v>117</v>
      </c>
    </row>
    <row r="44" spans="1:10" x14ac:dyDescent="0.3">
      <c r="A44" s="2" t="s">
        <v>118</v>
      </c>
      <c r="B44" s="2" t="s">
        <v>119</v>
      </c>
      <c r="C44" s="2" t="s">
        <v>82</v>
      </c>
      <c r="D44" s="3">
        <v>554353</v>
      </c>
      <c r="E44" s="2" t="s">
        <v>12</v>
      </c>
      <c r="F44" s="2" t="s">
        <v>83</v>
      </c>
      <c r="G44" s="2" t="s">
        <v>14</v>
      </c>
      <c r="H44" s="2" t="s">
        <v>15</v>
      </c>
      <c r="I44" s="2" t="s">
        <v>120</v>
      </c>
    </row>
    <row r="45" spans="1:10" x14ac:dyDescent="0.3">
      <c r="A45" s="2" t="s">
        <v>121</v>
      </c>
      <c r="B45" s="2" t="s">
        <v>122</v>
      </c>
      <c r="C45" s="2" t="s">
        <v>82</v>
      </c>
      <c r="D45" s="3">
        <v>446461.48</v>
      </c>
      <c r="E45" s="2" t="s">
        <v>12</v>
      </c>
      <c r="F45" s="2" t="s">
        <v>83</v>
      </c>
      <c r="G45" s="2" t="s">
        <v>14</v>
      </c>
      <c r="H45" s="2" t="s">
        <v>15</v>
      </c>
      <c r="I45" s="2" t="s">
        <v>123</v>
      </c>
    </row>
    <row r="46" spans="1:10" x14ac:dyDescent="0.3">
      <c r="A46" s="2" t="s">
        <v>124</v>
      </c>
      <c r="B46" s="2" t="s">
        <v>125</v>
      </c>
      <c r="C46" s="2" t="s">
        <v>82</v>
      </c>
      <c r="D46" s="3">
        <v>47254.52</v>
      </c>
      <c r="E46" s="2" t="s">
        <v>12</v>
      </c>
      <c r="F46" s="2" t="s">
        <v>83</v>
      </c>
      <c r="G46" s="2" t="s">
        <v>14</v>
      </c>
      <c r="H46" s="2" t="s">
        <v>15</v>
      </c>
      <c r="I46" s="2" t="s">
        <v>126</v>
      </c>
    </row>
    <row r="47" spans="1:10" x14ac:dyDescent="0.3">
      <c r="A47" s="2" t="s">
        <v>127</v>
      </c>
      <c r="B47" s="2" t="s">
        <v>128</v>
      </c>
      <c r="C47" s="2" t="s">
        <v>82</v>
      </c>
      <c r="D47" s="3">
        <v>2044</v>
      </c>
      <c r="E47" s="2" t="s">
        <v>12</v>
      </c>
      <c r="F47" s="2" t="s">
        <v>83</v>
      </c>
      <c r="G47" s="2" t="s">
        <v>14</v>
      </c>
      <c r="H47" s="2" t="s">
        <v>15</v>
      </c>
      <c r="I47" s="2" t="s">
        <v>129</v>
      </c>
    </row>
    <row r="48" spans="1:10" x14ac:dyDescent="0.3">
      <c r="A48" s="2" t="s">
        <v>130</v>
      </c>
      <c r="B48" s="2" t="s">
        <v>131</v>
      </c>
      <c r="C48" s="2" t="s">
        <v>82</v>
      </c>
      <c r="D48" s="3">
        <v>1027136</v>
      </c>
      <c r="E48" s="2" t="s">
        <v>12</v>
      </c>
      <c r="F48" s="2" t="s">
        <v>83</v>
      </c>
      <c r="G48" s="2" t="s">
        <v>14</v>
      </c>
      <c r="H48" s="2" t="s">
        <v>15</v>
      </c>
      <c r="I48" s="2" t="s">
        <v>132</v>
      </c>
    </row>
    <row r="49" spans="1:9" x14ac:dyDescent="0.3">
      <c r="A49" s="2" t="s">
        <v>133</v>
      </c>
      <c r="B49" s="2" t="s">
        <v>134</v>
      </c>
      <c r="C49" s="2" t="s">
        <v>82</v>
      </c>
      <c r="D49" s="3">
        <v>309258.40000000002</v>
      </c>
      <c r="E49" s="2" t="s">
        <v>12</v>
      </c>
      <c r="F49" s="2" t="s">
        <v>83</v>
      </c>
      <c r="G49" s="2" t="s">
        <v>14</v>
      </c>
      <c r="H49" s="2" t="s">
        <v>15</v>
      </c>
      <c r="I49" s="2" t="s">
        <v>135</v>
      </c>
    </row>
    <row r="50" spans="1:9" x14ac:dyDescent="0.3">
      <c r="A50" s="2" t="s">
        <v>136</v>
      </c>
      <c r="B50" s="2" t="s">
        <v>137</v>
      </c>
      <c r="C50" s="2" t="s">
        <v>82</v>
      </c>
      <c r="D50" s="3">
        <v>151220.25</v>
      </c>
      <c r="E50" s="2" t="s">
        <v>12</v>
      </c>
      <c r="F50" s="2" t="s">
        <v>83</v>
      </c>
      <c r="G50" s="2" t="s">
        <v>14</v>
      </c>
      <c r="H50" s="2" t="s">
        <v>15</v>
      </c>
      <c r="I50" s="2" t="s">
        <v>138</v>
      </c>
    </row>
    <row r="51" spans="1:9" x14ac:dyDescent="0.3">
      <c r="A51" s="2" t="s">
        <v>139</v>
      </c>
      <c r="B51" s="2" t="s">
        <v>140</v>
      </c>
      <c r="C51" s="2" t="s">
        <v>82</v>
      </c>
      <c r="D51" s="3">
        <v>48963.26</v>
      </c>
      <c r="E51" s="2" t="s">
        <v>12</v>
      </c>
      <c r="F51" s="2" t="s">
        <v>83</v>
      </c>
      <c r="G51" s="2" t="s">
        <v>14</v>
      </c>
      <c r="H51" s="2" t="s">
        <v>15</v>
      </c>
      <c r="I51" s="2" t="s">
        <v>141</v>
      </c>
    </row>
    <row r="52" spans="1:9" x14ac:dyDescent="0.3">
      <c r="A52" s="2" t="s">
        <v>142</v>
      </c>
      <c r="B52" s="2" t="s">
        <v>143</v>
      </c>
      <c r="C52" s="2" t="s">
        <v>82</v>
      </c>
      <c r="D52" s="3">
        <v>25935.46</v>
      </c>
      <c r="E52" s="2" t="s">
        <v>12</v>
      </c>
      <c r="F52" s="2" t="s">
        <v>83</v>
      </c>
      <c r="G52" s="2" t="s">
        <v>14</v>
      </c>
      <c r="H52" s="2" t="s">
        <v>15</v>
      </c>
      <c r="I52" s="2" t="s">
        <v>144</v>
      </c>
    </row>
    <row r="53" spans="1:9" x14ac:dyDescent="0.3">
      <c r="D53" s="8">
        <f>SUM(D41:D52)</f>
        <v>4480680.88</v>
      </c>
    </row>
    <row r="55" spans="1:9" x14ac:dyDescent="0.3">
      <c r="A55" s="1" t="s">
        <v>0</v>
      </c>
      <c r="B55" s="1" t="s">
        <v>1</v>
      </c>
      <c r="C55" s="1" t="s">
        <v>198</v>
      </c>
      <c r="D55" s="1" t="s">
        <v>3</v>
      </c>
      <c r="E55" s="1" t="s">
        <v>4</v>
      </c>
      <c r="F55" s="1" t="s">
        <v>2</v>
      </c>
      <c r="G55" s="1" t="s">
        <v>152</v>
      </c>
      <c r="H55" s="1" t="s">
        <v>6</v>
      </c>
      <c r="I55" s="1" t="s">
        <v>7</v>
      </c>
    </row>
    <row r="56" spans="1:9" x14ac:dyDescent="0.3">
      <c r="A56" s="2" t="s">
        <v>211</v>
      </c>
      <c r="B56" s="2" t="s">
        <v>212</v>
      </c>
      <c r="C56" s="2" t="s">
        <v>210</v>
      </c>
      <c r="D56" s="3">
        <v>89232</v>
      </c>
      <c r="E56" s="2" t="s">
        <v>12</v>
      </c>
      <c r="F56" s="2" t="s">
        <v>46</v>
      </c>
      <c r="G56" s="2" t="s">
        <v>170</v>
      </c>
      <c r="H56" s="2" t="s">
        <v>14</v>
      </c>
      <c r="I56" s="2" t="s">
        <v>15</v>
      </c>
    </row>
    <row r="57" spans="1:9" x14ac:dyDescent="0.3">
      <c r="A57" s="2" t="s">
        <v>213</v>
      </c>
      <c r="B57" s="2" t="s">
        <v>214</v>
      </c>
      <c r="C57" s="2" t="s">
        <v>210</v>
      </c>
      <c r="D57" s="3">
        <v>549177.07999999996</v>
      </c>
      <c r="E57" s="2" t="s">
        <v>12</v>
      </c>
      <c r="F57" s="2" t="s">
        <v>46</v>
      </c>
      <c r="G57" s="2" t="s">
        <v>170</v>
      </c>
      <c r="H57" s="2" t="s">
        <v>14</v>
      </c>
      <c r="I57" s="2" t="s">
        <v>15</v>
      </c>
    </row>
    <row r="58" spans="1:9" x14ac:dyDescent="0.3">
      <c r="D58" s="8">
        <f>SUBTOTAL(9,D56:D57)</f>
        <v>638409.07999999996</v>
      </c>
    </row>
  </sheetData>
  <autoFilter ref="A1:I28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4"/>
  <sheetViews>
    <sheetView workbookViewId="0">
      <selection activeCell="D34" sqref="D34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21.6640625" bestFit="1" customWidth="1"/>
    <col min="4" max="4" width="21.6640625" style="7" customWidth="1"/>
    <col min="5" max="5" width="16.6640625" bestFit="1" customWidth="1"/>
    <col min="6" max="6" width="22.88671875" bestFit="1" customWidth="1"/>
    <col min="7" max="7" width="14.5546875" bestFit="1" customWidth="1"/>
    <col min="8" max="8" width="32.5546875" bestFit="1" customWidth="1"/>
  </cols>
  <sheetData>
    <row r="1" spans="1:15" s="7" customFormat="1" x14ac:dyDescent="0.3">
      <c r="A1" s="13" t="s">
        <v>0</v>
      </c>
      <c r="B1" s="13" t="s">
        <v>1</v>
      </c>
      <c r="C1" s="13" t="s">
        <v>199</v>
      </c>
      <c r="D1" s="15" t="s">
        <v>208</v>
      </c>
      <c r="E1" s="15" t="s">
        <v>209</v>
      </c>
      <c r="F1" s="13" t="s">
        <v>200</v>
      </c>
      <c r="G1" s="13" t="s">
        <v>7</v>
      </c>
      <c r="H1" s="13" t="s">
        <v>8</v>
      </c>
    </row>
    <row r="2" spans="1:15" s="7" customFormat="1" x14ac:dyDescent="0.3">
      <c r="A2" s="14" t="s">
        <v>190</v>
      </c>
      <c r="B2" s="14" t="s">
        <v>201</v>
      </c>
      <c r="C2" s="14" t="s">
        <v>202</v>
      </c>
      <c r="D2" s="16">
        <v>509666.2</v>
      </c>
      <c r="E2" s="16">
        <f>D2*1.2</f>
        <v>611599.43999999994</v>
      </c>
      <c r="F2" s="14" t="s">
        <v>203</v>
      </c>
      <c r="G2" s="14" t="s">
        <v>15</v>
      </c>
      <c r="H2" s="14" t="s">
        <v>204</v>
      </c>
    </row>
    <row r="3" spans="1:15" s="7" customFormat="1" x14ac:dyDescent="0.3">
      <c r="A3" s="14" t="s">
        <v>205</v>
      </c>
      <c r="B3" s="14" t="s">
        <v>206</v>
      </c>
      <c r="C3" s="14" t="s">
        <v>202</v>
      </c>
      <c r="D3" s="16">
        <v>58885.82</v>
      </c>
      <c r="E3" s="16">
        <f>D3*1.2</f>
        <v>70662.983999999997</v>
      </c>
      <c r="F3" s="14" t="s">
        <v>203</v>
      </c>
      <c r="G3" s="14" t="s">
        <v>15</v>
      </c>
      <c r="H3" s="14" t="s">
        <v>207</v>
      </c>
    </row>
    <row r="4" spans="1:15" s="7" customFormat="1" x14ac:dyDescent="0.3">
      <c r="E4" s="17">
        <f>SUM(E2:E3)</f>
        <v>682262.42399999988</v>
      </c>
    </row>
    <row r="5" spans="1:15" s="7" customFormat="1" x14ac:dyDescent="0.3"/>
    <row r="6" spans="1:15" x14ac:dyDescent="0.3">
      <c r="A6" s="13" t="s">
        <v>0</v>
      </c>
      <c r="B6" s="13" t="s">
        <v>1</v>
      </c>
      <c r="C6" s="13" t="s">
        <v>152</v>
      </c>
      <c r="D6" s="15" t="s">
        <v>208</v>
      </c>
      <c r="E6" s="15" t="s">
        <v>209</v>
      </c>
      <c r="F6" s="13" t="s">
        <v>5</v>
      </c>
      <c r="G6" s="13" t="s">
        <v>7</v>
      </c>
      <c r="H6" s="13" t="s">
        <v>8</v>
      </c>
      <c r="J6" s="7"/>
      <c r="K6" s="7"/>
      <c r="L6" s="7"/>
    </row>
    <row r="7" spans="1:15" x14ac:dyDescent="0.3">
      <c r="A7" s="14" t="s">
        <v>153</v>
      </c>
      <c r="B7" s="14" t="s">
        <v>140</v>
      </c>
      <c r="C7" s="14" t="s">
        <v>154</v>
      </c>
      <c r="D7" s="34">
        <v>540044.05000000005</v>
      </c>
      <c r="E7" s="34">
        <f>D7*1.2</f>
        <v>648052.86</v>
      </c>
      <c r="F7" s="14" t="s">
        <v>13</v>
      </c>
      <c r="G7" s="14" t="s">
        <v>15</v>
      </c>
      <c r="H7" s="14"/>
      <c r="J7" s="7"/>
      <c r="K7" s="7"/>
      <c r="L7" s="7"/>
    </row>
    <row r="8" spans="1:15" x14ac:dyDescent="0.3">
      <c r="A8" s="14" t="s">
        <v>155</v>
      </c>
      <c r="B8" s="14" t="s">
        <v>143</v>
      </c>
      <c r="C8" s="14" t="s">
        <v>154</v>
      </c>
      <c r="D8" s="34">
        <v>450953.98</v>
      </c>
      <c r="E8" s="34">
        <f t="shared" ref="E8:E26" si="0">D8*1.2</f>
        <v>541144.77599999995</v>
      </c>
      <c r="F8" s="14" t="s">
        <v>13</v>
      </c>
      <c r="G8" s="14" t="s">
        <v>15</v>
      </c>
      <c r="H8" s="14"/>
      <c r="J8" s="7"/>
      <c r="K8" s="7"/>
      <c r="L8" s="7"/>
    </row>
    <row r="9" spans="1:15" x14ac:dyDescent="0.3">
      <c r="A9" s="14" t="s">
        <v>156</v>
      </c>
      <c r="B9" s="14" t="s">
        <v>157</v>
      </c>
      <c r="C9" s="14" t="s">
        <v>154</v>
      </c>
      <c r="D9" s="34">
        <v>29397.85</v>
      </c>
      <c r="E9" s="34">
        <f t="shared" si="0"/>
        <v>35277.42</v>
      </c>
      <c r="F9" s="14" t="s">
        <v>13</v>
      </c>
      <c r="G9" s="14" t="s">
        <v>15</v>
      </c>
      <c r="H9" s="14"/>
      <c r="J9" s="7"/>
      <c r="K9" s="7"/>
      <c r="L9" s="7"/>
    </row>
    <row r="10" spans="1:15" x14ac:dyDescent="0.3">
      <c r="A10" s="14" t="s">
        <v>158</v>
      </c>
      <c r="B10" s="14" t="s">
        <v>159</v>
      </c>
      <c r="C10" s="14" t="s">
        <v>160</v>
      </c>
      <c r="D10" s="34">
        <v>13333.34</v>
      </c>
      <c r="E10" s="34">
        <f t="shared" si="0"/>
        <v>16000.008</v>
      </c>
      <c r="F10" s="14" t="s">
        <v>26</v>
      </c>
      <c r="G10" s="14" t="s">
        <v>15</v>
      </c>
      <c r="H10" s="14"/>
      <c r="I10" s="7"/>
      <c r="J10" s="7"/>
      <c r="K10" s="7"/>
      <c r="L10" s="7"/>
    </row>
    <row r="11" spans="1:15" x14ac:dyDescent="0.3">
      <c r="A11" s="14" t="s">
        <v>161</v>
      </c>
      <c r="B11" s="14" t="s">
        <v>162</v>
      </c>
      <c r="C11" s="14" t="s">
        <v>163</v>
      </c>
      <c r="D11" s="34">
        <v>1963.05</v>
      </c>
      <c r="E11" s="34">
        <f t="shared" si="0"/>
        <v>2355.66</v>
      </c>
      <c r="F11" s="14" t="s">
        <v>31</v>
      </c>
      <c r="G11" s="14" t="s">
        <v>15</v>
      </c>
      <c r="H11" s="14"/>
      <c r="I11" s="7"/>
      <c r="J11" s="7"/>
      <c r="K11" s="7"/>
      <c r="L11" s="7"/>
    </row>
    <row r="12" spans="1:15" x14ac:dyDescent="0.3">
      <c r="A12" s="14" t="s">
        <v>164</v>
      </c>
      <c r="B12" s="14" t="s">
        <v>165</v>
      </c>
      <c r="C12" s="14" t="s">
        <v>146</v>
      </c>
      <c r="D12" s="34">
        <v>78762.61</v>
      </c>
      <c r="E12" s="34">
        <f t="shared" si="0"/>
        <v>94515.131999999998</v>
      </c>
      <c r="F12" s="14" t="s">
        <v>36</v>
      </c>
      <c r="G12" s="14" t="s">
        <v>15</v>
      </c>
      <c r="H12" s="14"/>
      <c r="I12" s="7"/>
      <c r="J12" s="7"/>
      <c r="K12" s="7"/>
      <c r="L12" s="7"/>
    </row>
    <row r="13" spans="1:15" x14ac:dyDescent="0.3">
      <c r="A13" s="14" t="s">
        <v>166</v>
      </c>
      <c r="B13" s="14" t="s">
        <v>167</v>
      </c>
      <c r="C13" s="14" t="s">
        <v>146</v>
      </c>
      <c r="D13" s="34">
        <v>390783.10000000003</v>
      </c>
      <c r="E13" s="34">
        <f t="shared" si="0"/>
        <v>468939.72000000003</v>
      </c>
      <c r="F13" s="14" t="s">
        <v>36</v>
      </c>
      <c r="G13" s="14" t="s">
        <v>15</v>
      </c>
      <c r="H13" s="14"/>
      <c r="J13" s="7"/>
      <c r="K13" s="7"/>
      <c r="L13" s="7"/>
    </row>
    <row r="14" spans="1:15" x14ac:dyDescent="0.3">
      <c r="A14" s="14" t="s">
        <v>168</v>
      </c>
      <c r="B14" s="14" t="s">
        <v>169</v>
      </c>
      <c r="C14" s="14" t="s">
        <v>170</v>
      </c>
      <c r="D14" s="34">
        <v>152523.88</v>
      </c>
      <c r="E14" s="34">
        <f t="shared" si="0"/>
        <v>183028.65599999999</v>
      </c>
      <c r="F14" s="14" t="s">
        <v>47</v>
      </c>
      <c r="G14" s="14" t="s">
        <v>15</v>
      </c>
      <c r="H14" s="14"/>
      <c r="J14" s="7"/>
      <c r="K14" s="7"/>
      <c r="L14" s="7"/>
      <c r="M14" s="7"/>
      <c r="N14" s="7"/>
      <c r="O14" s="7"/>
    </row>
    <row r="15" spans="1:15" x14ac:dyDescent="0.3">
      <c r="A15" s="14" t="s">
        <v>171</v>
      </c>
      <c r="B15" s="14" t="s">
        <v>172</v>
      </c>
      <c r="C15" s="14" t="s">
        <v>170</v>
      </c>
      <c r="D15" s="34">
        <v>284508.77999999991</v>
      </c>
      <c r="E15" s="34">
        <f t="shared" si="0"/>
        <v>341410.53599999991</v>
      </c>
      <c r="F15" s="14" t="s">
        <v>47</v>
      </c>
      <c r="G15" s="14" t="s">
        <v>15</v>
      </c>
      <c r="H15" s="14"/>
      <c r="J15" s="7"/>
      <c r="K15" s="7"/>
      <c r="L15" s="7"/>
      <c r="M15" s="7"/>
      <c r="N15" s="7"/>
      <c r="O15" s="7"/>
    </row>
    <row r="16" spans="1:15" x14ac:dyDescent="0.3">
      <c r="A16" s="14" t="s">
        <v>173</v>
      </c>
      <c r="B16" s="14" t="s">
        <v>174</v>
      </c>
      <c r="C16" s="14" t="s">
        <v>170</v>
      </c>
      <c r="D16" s="34">
        <v>3749.4700000000003</v>
      </c>
      <c r="E16" s="34">
        <f t="shared" si="0"/>
        <v>4499.3640000000005</v>
      </c>
      <c r="F16" s="14" t="s">
        <v>47</v>
      </c>
      <c r="G16" s="14" t="s">
        <v>15</v>
      </c>
      <c r="H16" s="14"/>
      <c r="J16" s="7"/>
      <c r="K16" s="7"/>
      <c r="L16" s="7"/>
      <c r="M16" s="7"/>
      <c r="N16" s="7"/>
      <c r="O16" s="7"/>
    </row>
    <row r="17" spans="1:15" x14ac:dyDescent="0.3">
      <c r="A17" s="14" t="s">
        <v>175</v>
      </c>
      <c r="B17" s="14" t="s">
        <v>176</v>
      </c>
      <c r="C17" s="14" t="s">
        <v>170</v>
      </c>
      <c r="D17" s="34">
        <v>58378.47</v>
      </c>
      <c r="E17" s="34">
        <f t="shared" si="0"/>
        <v>70054.164000000004</v>
      </c>
      <c r="F17" s="14" t="s">
        <v>47</v>
      </c>
      <c r="G17" s="14" t="s">
        <v>15</v>
      </c>
      <c r="H17" s="14"/>
      <c r="J17" s="7"/>
      <c r="K17" s="7"/>
      <c r="L17" s="7"/>
      <c r="M17" s="7"/>
      <c r="N17" s="7"/>
      <c r="O17" s="7"/>
    </row>
    <row r="18" spans="1:15" x14ac:dyDescent="0.3">
      <c r="A18" s="14" t="s">
        <v>177</v>
      </c>
      <c r="B18" s="14" t="s">
        <v>178</v>
      </c>
      <c r="C18" s="14" t="s">
        <v>170</v>
      </c>
      <c r="D18" s="34">
        <v>3519759.15</v>
      </c>
      <c r="E18" s="34">
        <f t="shared" si="0"/>
        <v>4223710.9799999995</v>
      </c>
      <c r="F18" s="14" t="s">
        <v>47</v>
      </c>
      <c r="G18" s="14" t="s">
        <v>15</v>
      </c>
      <c r="H18" s="14"/>
      <c r="J18" s="7"/>
      <c r="K18" s="7"/>
      <c r="L18" s="7"/>
      <c r="M18" s="7"/>
      <c r="N18" s="7"/>
      <c r="O18" s="7"/>
    </row>
    <row r="19" spans="1:15" x14ac:dyDescent="0.3">
      <c r="A19" s="14" t="s">
        <v>179</v>
      </c>
      <c r="B19" s="14" t="s">
        <v>180</v>
      </c>
      <c r="C19" s="14" t="s">
        <v>170</v>
      </c>
      <c r="D19" s="34">
        <v>603203.7699999999</v>
      </c>
      <c r="E19" s="34">
        <f t="shared" si="0"/>
        <v>723844.52399999986</v>
      </c>
      <c r="F19" s="14" t="s">
        <v>47</v>
      </c>
      <c r="G19" s="14" t="s">
        <v>15</v>
      </c>
      <c r="H19" s="14"/>
      <c r="J19" s="7"/>
      <c r="K19" s="7"/>
      <c r="L19" s="7"/>
      <c r="M19" s="7"/>
      <c r="N19" s="7"/>
      <c r="O19" s="7"/>
    </row>
    <row r="20" spans="1:15" x14ac:dyDescent="0.3">
      <c r="A20" s="14" t="s">
        <v>181</v>
      </c>
      <c r="B20" s="14" t="s">
        <v>182</v>
      </c>
      <c r="C20" s="14" t="s">
        <v>154</v>
      </c>
      <c r="D20" s="34">
        <v>41821.54</v>
      </c>
      <c r="E20" s="34">
        <f t="shared" si="0"/>
        <v>50185.847999999998</v>
      </c>
      <c r="F20" s="14" t="s">
        <v>13</v>
      </c>
      <c r="G20" s="14" t="s">
        <v>15</v>
      </c>
      <c r="H20" s="14"/>
      <c r="J20" s="7"/>
      <c r="K20" s="7"/>
      <c r="L20" s="7"/>
      <c r="M20" s="7"/>
      <c r="N20" s="7"/>
      <c r="O20" s="7"/>
    </row>
    <row r="21" spans="1:15" x14ac:dyDescent="0.3">
      <c r="A21" s="14" t="s">
        <v>183</v>
      </c>
      <c r="B21" s="14" t="s">
        <v>42</v>
      </c>
      <c r="C21" s="14" t="s">
        <v>160</v>
      </c>
      <c r="D21" s="57">
        <v>14442.23</v>
      </c>
      <c r="E21" s="57">
        <f t="shared" si="0"/>
        <v>17330.675999999999</v>
      </c>
      <c r="F21" s="14" t="s">
        <v>26</v>
      </c>
      <c r="G21" s="14" t="s">
        <v>15</v>
      </c>
      <c r="H21" s="14" t="s">
        <v>184</v>
      </c>
      <c r="J21" s="7"/>
      <c r="K21" s="7"/>
      <c r="L21" s="7"/>
      <c r="M21" s="7"/>
      <c r="N21" s="7"/>
      <c r="O21" s="7"/>
    </row>
    <row r="22" spans="1:15" x14ac:dyDescent="0.3">
      <c r="A22" s="14" t="s">
        <v>185</v>
      </c>
      <c r="B22" s="14" t="s">
        <v>186</v>
      </c>
      <c r="C22" s="14" t="s">
        <v>187</v>
      </c>
      <c r="D22" s="57">
        <v>15511.61</v>
      </c>
      <c r="E22" s="57">
        <f t="shared" si="0"/>
        <v>18613.932000000001</v>
      </c>
      <c r="F22" s="14" t="s">
        <v>188</v>
      </c>
      <c r="G22" s="14" t="s">
        <v>15</v>
      </c>
      <c r="H22" s="14" t="s">
        <v>189</v>
      </c>
      <c r="I22" s="7"/>
      <c r="J22" s="7"/>
      <c r="K22" s="7"/>
      <c r="L22" s="7"/>
      <c r="M22" s="7"/>
      <c r="N22" s="7"/>
      <c r="O22" s="7"/>
    </row>
    <row r="23" spans="1:15" x14ac:dyDescent="0.3">
      <c r="A23" s="14" t="s">
        <v>190</v>
      </c>
      <c r="B23" s="14" t="s">
        <v>191</v>
      </c>
      <c r="C23" s="14" t="s">
        <v>170</v>
      </c>
      <c r="D23" s="34">
        <v>129647.84000000001</v>
      </c>
      <c r="E23" s="34">
        <f t="shared" si="0"/>
        <v>155577.408</v>
      </c>
      <c r="F23" s="14" t="s">
        <v>47</v>
      </c>
      <c r="G23" s="14" t="s">
        <v>15</v>
      </c>
      <c r="H23" s="14"/>
      <c r="I23" s="7"/>
      <c r="J23" s="7"/>
      <c r="K23" s="7"/>
      <c r="L23" s="7"/>
      <c r="M23" s="7"/>
      <c r="N23" s="7"/>
      <c r="O23" s="7"/>
    </row>
    <row r="24" spans="1:15" x14ac:dyDescent="0.3">
      <c r="A24" s="14" t="s">
        <v>192</v>
      </c>
      <c r="B24" s="14" t="s">
        <v>193</v>
      </c>
      <c r="C24" s="14" t="s">
        <v>170</v>
      </c>
      <c r="D24" s="34">
        <v>97877.599999999991</v>
      </c>
      <c r="E24" s="34">
        <f t="shared" si="0"/>
        <v>117453.11999999998</v>
      </c>
      <c r="F24" s="14" t="s">
        <v>47</v>
      </c>
      <c r="G24" s="14" t="s">
        <v>15</v>
      </c>
      <c r="H24" s="14"/>
      <c r="I24" s="7"/>
      <c r="J24" s="7"/>
      <c r="K24" s="7"/>
      <c r="L24" s="7"/>
      <c r="M24" s="7"/>
      <c r="N24" s="7"/>
      <c r="O24" s="7"/>
    </row>
    <row r="25" spans="1:15" x14ac:dyDescent="0.3">
      <c r="A25" s="14" t="s">
        <v>194</v>
      </c>
      <c r="B25" s="14" t="s">
        <v>195</v>
      </c>
      <c r="C25" s="14" t="s">
        <v>170</v>
      </c>
      <c r="D25" s="34">
        <v>306596.67999999993</v>
      </c>
      <c r="E25" s="34">
        <f t="shared" si="0"/>
        <v>367916.01599999989</v>
      </c>
      <c r="F25" s="14" t="s">
        <v>47</v>
      </c>
      <c r="G25" s="14" t="s">
        <v>15</v>
      </c>
      <c r="H25" s="14"/>
      <c r="I25" s="7"/>
      <c r="J25" s="7"/>
      <c r="K25" s="7"/>
      <c r="L25" s="7"/>
      <c r="M25" s="7"/>
      <c r="N25" s="7"/>
      <c r="O25" s="7"/>
    </row>
    <row r="26" spans="1:15" x14ac:dyDescent="0.3">
      <c r="A26" s="14" t="s">
        <v>196</v>
      </c>
      <c r="B26" s="14" t="s">
        <v>197</v>
      </c>
      <c r="C26" s="14" t="s">
        <v>170</v>
      </c>
      <c r="D26" s="34">
        <v>385806.97</v>
      </c>
      <c r="E26" s="34">
        <f t="shared" si="0"/>
        <v>462968.36399999994</v>
      </c>
      <c r="F26" s="14" t="s">
        <v>47</v>
      </c>
      <c r="G26" s="14" t="s">
        <v>15</v>
      </c>
      <c r="H26" s="14"/>
      <c r="I26" s="7"/>
      <c r="J26" s="7"/>
      <c r="K26" s="7"/>
      <c r="L26" s="7"/>
      <c r="M26" s="7"/>
      <c r="N26" s="7"/>
      <c r="O26" s="7"/>
    </row>
    <row r="27" spans="1:15" x14ac:dyDescent="0.3">
      <c r="D27" s="17">
        <f>SUM(D7:D26)</f>
        <v>7119065.9699999997</v>
      </c>
      <c r="E27" s="17">
        <f>SUM(E7:E26)</f>
        <v>8542879.1639999989</v>
      </c>
      <c r="I27" s="7"/>
      <c r="J27" s="7"/>
      <c r="K27" s="7"/>
      <c r="L27" s="7"/>
      <c r="M27" s="7"/>
      <c r="N27" s="7"/>
      <c r="O27" s="7"/>
    </row>
    <row r="28" spans="1:15" x14ac:dyDescent="0.3">
      <c r="D28" s="32">
        <f>D27-D36</f>
        <v>0</v>
      </c>
      <c r="E28" s="32">
        <f>E27-E36</f>
        <v>0</v>
      </c>
      <c r="I28" s="7"/>
      <c r="J28" s="7"/>
      <c r="K28" s="7"/>
      <c r="L28" s="7"/>
      <c r="M28" s="7"/>
      <c r="N28" s="7"/>
      <c r="O28" s="7"/>
    </row>
    <row r="29" spans="1:15" x14ac:dyDescent="0.3">
      <c r="E29" s="7"/>
      <c r="I29" s="7"/>
      <c r="J29" s="7"/>
      <c r="K29" s="7"/>
      <c r="L29" s="7"/>
      <c r="M29" s="7"/>
      <c r="N29" s="7"/>
      <c r="O29" s="7"/>
    </row>
    <row r="30" spans="1:15" x14ac:dyDescent="0.3">
      <c r="C30" t="s">
        <v>154</v>
      </c>
      <c r="D30" s="33">
        <f>SUMIF($C$7:$C$26,C30,$D$7:$D$26)</f>
        <v>1062217.42</v>
      </c>
      <c r="E30" s="33">
        <f t="shared" ref="E30:E35" si="1">SUMIF($C$7:$C$26,C30,$E$7:$E$26)</f>
        <v>1274660.9039999999</v>
      </c>
      <c r="F30" s="7"/>
      <c r="I30" s="7"/>
      <c r="J30" s="7"/>
      <c r="K30" s="7"/>
      <c r="L30" s="7"/>
      <c r="M30" s="7"/>
      <c r="N30" s="7"/>
      <c r="O30" s="7"/>
    </row>
    <row r="31" spans="1:15" x14ac:dyDescent="0.3">
      <c r="C31" t="s">
        <v>160</v>
      </c>
      <c r="D31" s="33">
        <f t="shared" ref="D31:D35" si="2">SUMIF($C$7:$C$26,C31,$D$7:$D$26)</f>
        <v>27775.57</v>
      </c>
      <c r="E31" s="33">
        <f t="shared" si="1"/>
        <v>33330.684000000001</v>
      </c>
      <c r="F31" s="58">
        <f>E21</f>
        <v>17330.675999999999</v>
      </c>
      <c r="G31" t="s">
        <v>216</v>
      </c>
      <c r="I31" s="7"/>
      <c r="J31" s="7"/>
      <c r="K31" s="7"/>
      <c r="L31" s="7"/>
      <c r="M31" s="7"/>
      <c r="N31" s="7"/>
      <c r="O31" s="7"/>
    </row>
    <row r="32" spans="1:15" x14ac:dyDescent="0.3">
      <c r="C32" t="s">
        <v>163</v>
      </c>
      <c r="D32" s="33">
        <f t="shared" si="2"/>
        <v>1963.05</v>
      </c>
      <c r="E32" s="33">
        <f t="shared" si="1"/>
        <v>2355.66</v>
      </c>
      <c r="F32" s="7"/>
      <c r="I32" s="7"/>
      <c r="J32" s="7"/>
      <c r="K32" s="7"/>
      <c r="L32" s="7"/>
      <c r="M32" s="7"/>
      <c r="N32" s="7"/>
      <c r="O32" s="7"/>
    </row>
    <row r="33" spans="3:15" x14ac:dyDescent="0.3">
      <c r="C33" t="s">
        <v>146</v>
      </c>
      <c r="D33" s="33">
        <f t="shared" si="2"/>
        <v>469545.71</v>
      </c>
      <c r="E33" s="33">
        <f t="shared" si="1"/>
        <v>563454.85200000007</v>
      </c>
      <c r="F33" s="7"/>
      <c r="I33" s="7"/>
      <c r="J33" s="7"/>
      <c r="K33" s="7"/>
      <c r="L33" s="7"/>
      <c r="M33" s="7"/>
      <c r="N33" s="7"/>
      <c r="O33" s="7"/>
    </row>
    <row r="34" spans="3:15" x14ac:dyDescent="0.3">
      <c r="C34" t="s">
        <v>187</v>
      </c>
      <c r="D34" s="59">
        <f t="shared" si="2"/>
        <v>15511.61</v>
      </c>
      <c r="E34" s="59">
        <f t="shared" si="1"/>
        <v>18613.932000000001</v>
      </c>
      <c r="F34" s="7" t="s">
        <v>217</v>
      </c>
      <c r="I34" s="7"/>
      <c r="J34" s="7"/>
      <c r="K34" s="7"/>
      <c r="L34" s="7"/>
      <c r="M34" s="7"/>
      <c r="N34" s="7"/>
      <c r="O34" s="7"/>
    </row>
    <row r="35" spans="3:15" x14ac:dyDescent="0.3">
      <c r="C35" t="s">
        <v>170</v>
      </c>
      <c r="D35" s="33">
        <f t="shared" si="2"/>
        <v>5542052.6099999985</v>
      </c>
      <c r="E35" s="33">
        <f t="shared" si="1"/>
        <v>6650463.1319999993</v>
      </c>
      <c r="F35" s="7"/>
      <c r="I35" s="7"/>
      <c r="J35" s="7"/>
      <c r="K35" s="7"/>
      <c r="L35" s="7"/>
      <c r="M35" s="7"/>
      <c r="N35" s="7"/>
      <c r="O35" s="7"/>
    </row>
    <row r="36" spans="3:15" x14ac:dyDescent="0.3">
      <c r="C36" s="10" t="s">
        <v>151</v>
      </c>
      <c r="D36" s="18">
        <f>SUM(D30:D35)</f>
        <v>7119065.9699999988</v>
      </c>
      <c r="E36" s="18">
        <f>SUM(E30:E35)</f>
        <v>8542879.1639999989</v>
      </c>
      <c r="F36" s="7"/>
      <c r="I36" s="7"/>
      <c r="J36" s="7"/>
      <c r="K36" s="7"/>
      <c r="L36" s="7"/>
      <c r="M36" s="7"/>
      <c r="N36" s="7"/>
      <c r="O36" s="7"/>
    </row>
    <row r="37" spans="3:15" x14ac:dyDescent="0.3">
      <c r="I37" s="7"/>
      <c r="J37" s="7"/>
      <c r="K37" s="7"/>
      <c r="L37" s="7"/>
      <c r="M37" s="7"/>
      <c r="N37" s="7"/>
      <c r="O37" s="7"/>
    </row>
    <row r="38" spans="3:15" x14ac:dyDescent="0.3">
      <c r="I38" s="7"/>
      <c r="J38" s="7"/>
      <c r="K38" s="7"/>
      <c r="L38" s="7"/>
      <c r="M38" s="7"/>
      <c r="N38" s="7"/>
      <c r="O38" s="7"/>
    </row>
    <row r="39" spans="3:15" x14ac:dyDescent="0.3">
      <c r="I39" s="7"/>
      <c r="J39" s="7"/>
      <c r="K39" s="7"/>
      <c r="L39" s="7"/>
      <c r="M39" s="7"/>
      <c r="N39" s="7"/>
      <c r="O39" s="7"/>
    </row>
    <row r="40" spans="3:15" x14ac:dyDescent="0.3">
      <c r="I40" s="7"/>
      <c r="J40" s="7"/>
      <c r="K40" s="7"/>
      <c r="L40" s="7"/>
      <c r="M40" s="7"/>
      <c r="N40" s="7"/>
      <c r="O40" s="7"/>
    </row>
    <row r="41" spans="3:15" x14ac:dyDescent="0.3">
      <c r="I41" s="7"/>
      <c r="J41" s="7"/>
      <c r="K41" s="7"/>
      <c r="L41" s="7"/>
      <c r="M41" s="7"/>
      <c r="N41" s="7"/>
      <c r="O41" s="7"/>
    </row>
    <row r="42" spans="3:15" x14ac:dyDescent="0.3">
      <c r="I42" s="7"/>
      <c r="J42" s="7"/>
      <c r="K42" s="7"/>
      <c r="L42" s="7"/>
      <c r="M42" s="7"/>
      <c r="N42" s="7"/>
      <c r="O42" s="7"/>
    </row>
    <row r="43" spans="3:15" x14ac:dyDescent="0.3">
      <c r="I43" s="7"/>
      <c r="J43" s="7"/>
      <c r="K43" s="7"/>
      <c r="L43" s="7"/>
      <c r="M43" s="7"/>
      <c r="N43" s="7"/>
      <c r="O43" s="7"/>
    </row>
    <row r="44" spans="3:15" x14ac:dyDescent="0.3">
      <c r="I44" s="7"/>
      <c r="J44" s="7"/>
      <c r="K44" s="7"/>
      <c r="L44" s="7"/>
      <c r="M44" s="7"/>
      <c r="N44" s="7"/>
      <c r="O44" s="7"/>
    </row>
    <row r="45" spans="3:15" x14ac:dyDescent="0.3">
      <c r="I45" s="7"/>
      <c r="J45" s="7"/>
      <c r="K45" s="7"/>
      <c r="L45" s="7"/>
      <c r="M45" s="7"/>
      <c r="N45" s="7"/>
      <c r="O45" s="7"/>
    </row>
    <row r="46" spans="3:15" x14ac:dyDescent="0.3">
      <c r="I46" s="7"/>
      <c r="J46" s="7"/>
      <c r="K46" s="7"/>
      <c r="L46" s="7"/>
      <c r="M46" s="7"/>
      <c r="N46" s="7"/>
      <c r="O46" s="7"/>
    </row>
    <row r="47" spans="3:15" x14ac:dyDescent="0.3">
      <c r="I47" s="7"/>
      <c r="J47" s="7"/>
      <c r="K47" s="7"/>
      <c r="L47" s="7"/>
      <c r="M47" s="7"/>
      <c r="N47" s="7"/>
      <c r="O47" s="7"/>
    </row>
    <row r="48" spans="3:15" x14ac:dyDescent="0.3">
      <c r="I48" s="7"/>
      <c r="J48" s="7"/>
      <c r="K48" s="7"/>
      <c r="L48" s="7"/>
      <c r="M48" s="7"/>
      <c r="N48" s="7"/>
      <c r="O48" s="7"/>
    </row>
    <row r="49" spans="9:15" x14ac:dyDescent="0.3">
      <c r="I49" s="7"/>
      <c r="J49" s="7"/>
      <c r="K49" s="7"/>
      <c r="L49" s="7"/>
      <c r="M49" s="7"/>
      <c r="N49" s="7"/>
      <c r="O49" s="7"/>
    </row>
    <row r="50" spans="9:15" x14ac:dyDescent="0.3">
      <c r="I50" s="7"/>
      <c r="J50" s="7"/>
      <c r="K50" s="7"/>
      <c r="L50" s="7"/>
      <c r="M50" s="7"/>
      <c r="N50" s="7"/>
      <c r="O50" s="7"/>
    </row>
    <row r="51" spans="9:15" x14ac:dyDescent="0.3">
      <c r="I51" s="7"/>
      <c r="J51" s="7"/>
      <c r="K51" s="7"/>
      <c r="L51" s="7"/>
      <c r="M51" s="7"/>
      <c r="N51" s="7"/>
      <c r="O51" s="7"/>
    </row>
    <row r="52" spans="9:15" x14ac:dyDescent="0.3">
      <c r="I52" s="7"/>
      <c r="J52" s="7"/>
      <c r="K52" s="7"/>
      <c r="L52" s="7"/>
      <c r="M52" s="7"/>
      <c r="N52" s="7"/>
      <c r="O52" s="7"/>
    </row>
    <row r="53" spans="9:15" x14ac:dyDescent="0.3">
      <c r="I53" s="7"/>
      <c r="J53" s="7"/>
      <c r="K53" s="7"/>
      <c r="L53" s="7"/>
      <c r="M53" s="7"/>
      <c r="N53" s="7"/>
      <c r="O53" s="7"/>
    </row>
    <row r="54" spans="9:15" x14ac:dyDescent="0.3">
      <c r="I54" s="7"/>
      <c r="J54" s="7"/>
      <c r="K54" s="7"/>
      <c r="L54" s="7"/>
      <c r="M54" s="7"/>
      <c r="N54" s="7"/>
      <c r="O54" s="7"/>
    </row>
    <row r="55" spans="9:15" x14ac:dyDescent="0.3">
      <c r="I55" s="7"/>
      <c r="J55" s="7"/>
      <c r="K55" s="7"/>
      <c r="L55" s="7"/>
      <c r="M55" s="7"/>
      <c r="N55" s="7"/>
      <c r="O55" s="7"/>
    </row>
    <row r="56" spans="9:15" x14ac:dyDescent="0.3">
      <c r="I56" s="7"/>
      <c r="J56" s="7"/>
      <c r="K56" s="7"/>
      <c r="L56" s="7"/>
      <c r="M56" s="7"/>
      <c r="N56" s="7"/>
      <c r="O56" s="7"/>
    </row>
    <row r="57" spans="9:15" x14ac:dyDescent="0.3">
      <c r="I57" s="7"/>
      <c r="J57" s="7"/>
      <c r="K57" s="7"/>
      <c r="L57" s="7"/>
      <c r="M57" s="7"/>
      <c r="N57" s="7"/>
      <c r="O57" s="7"/>
    </row>
    <row r="58" spans="9:15" x14ac:dyDescent="0.3">
      <c r="I58" s="7"/>
      <c r="J58" s="7"/>
      <c r="K58" s="7"/>
      <c r="L58" s="7"/>
      <c r="M58" s="7"/>
      <c r="N58" s="7"/>
      <c r="O58" s="7"/>
    </row>
    <row r="59" spans="9:15" x14ac:dyDescent="0.3">
      <c r="I59" s="7"/>
      <c r="J59" s="7"/>
      <c r="K59" s="7"/>
      <c r="L59" s="7"/>
      <c r="M59" s="7"/>
      <c r="N59" s="7"/>
      <c r="O59" s="7"/>
    </row>
    <row r="60" spans="9:15" x14ac:dyDescent="0.3">
      <c r="I60" s="7"/>
      <c r="J60" s="7"/>
      <c r="K60" s="7"/>
      <c r="L60" s="7"/>
      <c r="M60" s="7"/>
      <c r="N60" s="7"/>
      <c r="O60" s="7"/>
    </row>
    <row r="61" spans="9:15" x14ac:dyDescent="0.3">
      <c r="I61" s="7"/>
      <c r="J61" s="7"/>
      <c r="K61" s="7"/>
      <c r="L61" s="7"/>
      <c r="M61" s="7"/>
      <c r="N61" s="7"/>
      <c r="O61" s="7"/>
    </row>
    <row r="62" spans="9:15" x14ac:dyDescent="0.3">
      <c r="I62" s="7"/>
      <c r="J62" s="7"/>
      <c r="K62" s="7"/>
      <c r="L62" s="7"/>
      <c r="M62" s="7"/>
      <c r="N62" s="7"/>
      <c r="O62" s="7"/>
    </row>
    <row r="63" spans="9:15" x14ac:dyDescent="0.3">
      <c r="I63" s="7"/>
      <c r="J63" s="7"/>
      <c r="K63" s="7"/>
      <c r="L63" s="7"/>
      <c r="M63" s="7"/>
      <c r="N63" s="7"/>
      <c r="O63" s="7"/>
    </row>
    <row r="64" spans="9:15" x14ac:dyDescent="0.3">
      <c r="I64" s="7"/>
      <c r="J64" s="7"/>
      <c r="K64" s="7"/>
      <c r="L64" s="7"/>
      <c r="M64" s="7"/>
      <c r="N64" s="7"/>
      <c r="O64" s="7"/>
    </row>
    <row r="65" spans="9:15" x14ac:dyDescent="0.3">
      <c r="I65" s="7"/>
      <c r="J65" s="7"/>
      <c r="K65" s="7"/>
      <c r="L65" s="7"/>
      <c r="M65" s="7"/>
      <c r="N65" s="7"/>
      <c r="O65" s="7"/>
    </row>
    <row r="66" spans="9:15" x14ac:dyDescent="0.3">
      <c r="I66" s="7"/>
      <c r="J66" s="7"/>
      <c r="K66" s="7"/>
      <c r="L66" s="7"/>
      <c r="M66" s="7"/>
      <c r="N66" s="7"/>
      <c r="O66" s="7"/>
    </row>
    <row r="67" spans="9:15" x14ac:dyDescent="0.3">
      <c r="I67" s="7"/>
      <c r="J67" s="7"/>
      <c r="K67" s="7"/>
      <c r="L67" s="7"/>
      <c r="M67" s="7"/>
      <c r="N67" s="7"/>
      <c r="O67" s="7"/>
    </row>
    <row r="68" spans="9:15" x14ac:dyDescent="0.3">
      <c r="I68" s="7"/>
      <c r="J68" s="7"/>
      <c r="K68" s="7"/>
      <c r="L68" s="7"/>
      <c r="M68" s="7"/>
      <c r="N68" s="7"/>
      <c r="O68" s="7"/>
    </row>
    <row r="69" spans="9:15" x14ac:dyDescent="0.3">
      <c r="I69" s="7"/>
      <c r="J69" s="7"/>
      <c r="K69" s="7"/>
      <c r="L69" s="7"/>
      <c r="M69" s="7"/>
      <c r="N69" s="7"/>
      <c r="O69" s="7"/>
    </row>
    <row r="70" spans="9:15" x14ac:dyDescent="0.3">
      <c r="I70" s="7"/>
      <c r="J70" s="7"/>
      <c r="K70" s="7"/>
      <c r="L70" s="7"/>
      <c r="M70" s="7"/>
      <c r="N70" s="7"/>
      <c r="O70" s="7"/>
    </row>
    <row r="71" spans="9:15" x14ac:dyDescent="0.3">
      <c r="I71" s="7"/>
      <c r="J71" s="7"/>
      <c r="K71" s="7"/>
      <c r="L71" s="7"/>
      <c r="M71" s="7"/>
      <c r="N71" s="7"/>
      <c r="O71" s="7"/>
    </row>
    <row r="72" spans="9:15" x14ac:dyDescent="0.3">
      <c r="I72" s="7"/>
      <c r="J72" s="7"/>
      <c r="K72" s="7"/>
      <c r="L72" s="7"/>
      <c r="M72" s="7"/>
      <c r="N72" s="7"/>
      <c r="O72" s="7"/>
    </row>
    <row r="73" spans="9:15" x14ac:dyDescent="0.3">
      <c r="I73" s="7"/>
      <c r="J73" s="7"/>
      <c r="K73" s="7"/>
      <c r="L73" s="7"/>
      <c r="M73" s="7"/>
      <c r="N73" s="7"/>
      <c r="O73" s="7"/>
    </row>
    <row r="74" spans="9:15" x14ac:dyDescent="0.3">
      <c r="I74" s="7"/>
      <c r="J74" s="7"/>
      <c r="K74" s="7"/>
      <c r="L74" s="7"/>
      <c r="M74" s="7"/>
      <c r="N74" s="7"/>
      <c r="O74" s="7"/>
    </row>
    <row r="75" spans="9:15" x14ac:dyDescent="0.3">
      <c r="I75" s="7"/>
      <c r="J75" s="7"/>
      <c r="K75" s="7"/>
      <c r="L75" s="7"/>
      <c r="M75" s="7"/>
      <c r="N75" s="7"/>
      <c r="O75" s="7"/>
    </row>
    <row r="76" spans="9:15" x14ac:dyDescent="0.3">
      <c r="J76" s="7"/>
      <c r="K76" s="7"/>
      <c r="L76" s="7"/>
      <c r="M76" s="7"/>
      <c r="N76" s="7"/>
      <c r="O76" s="7"/>
    </row>
    <row r="77" spans="9:15" x14ac:dyDescent="0.3">
      <c r="J77" s="7"/>
      <c r="K77" s="7"/>
      <c r="L77" s="7"/>
      <c r="M77" s="7"/>
      <c r="N77" s="7"/>
      <c r="O77" s="7"/>
    </row>
    <row r="78" spans="9:15" x14ac:dyDescent="0.3">
      <c r="J78" s="7"/>
      <c r="K78" s="7"/>
      <c r="L78" s="7"/>
      <c r="M78" s="7"/>
      <c r="N78" s="7"/>
      <c r="O78" s="7"/>
    </row>
    <row r="79" spans="9:15" x14ac:dyDescent="0.3">
      <c r="J79" s="7"/>
      <c r="K79" s="7"/>
      <c r="L79" s="7"/>
      <c r="M79" s="7"/>
      <c r="N79" s="7"/>
      <c r="O79" s="7"/>
    </row>
    <row r="80" spans="9:15" x14ac:dyDescent="0.3">
      <c r="J80" s="7"/>
      <c r="K80" s="7"/>
      <c r="L80" s="7"/>
      <c r="M80" s="7"/>
      <c r="N80" s="7"/>
      <c r="O80" s="7"/>
    </row>
    <row r="81" spans="10:15" x14ac:dyDescent="0.3">
      <c r="J81" s="7"/>
      <c r="K81" s="7"/>
      <c r="L81" s="7"/>
      <c r="M81" s="7"/>
      <c r="N81" s="7"/>
      <c r="O81" s="7"/>
    </row>
    <row r="82" spans="10:15" x14ac:dyDescent="0.3">
      <c r="J82" s="7"/>
      <c r="K82" s="7"/>
      <c r="L82" s="7"/>
      <c r="M82" s="7"/>
      <c r="N82" s="7"/>
      <c r="O82" s="7"/>
    </row>
    <row r="83" spans="10:15" x14ac:dyDescent="0.3">
      <c r="J83" s="7"/>
      <c r="K83" s="7"/>
      <c r="L83" s="7"/>
      <c r="M83" s="7"/>
      <c r="N83" s="7"/>
      <c r="O83" s="7"/>
    </row>
    <row r="84" spans="10:15" x14ac:dyDescent="0.3">
      <c r="J84" s="7"/>
      <c r="K84" s="7"/>
      <c r="L84" s="7"/>
      <c r="M84" s="7"/>
      <c r="N84" s="7"/>
      <c r="O84" s="7"/>
    </row>
  </sheetData>
  <autoFilter ref="A6:H28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opLeftCell="A13" workbookViewId="0">
      <selection activeCell="H31" sqref="H31"/>
    </sheetView>
  </sheetViews>
  <sheetFormatPr defaultRowHeight="14.4" x14ac:dyDescent="0.3"/>
  <cols>
    <col min="1" max="1" width="50.33203125" bestFit="1" customWidth="1"/>
    <col min="2" max="2" width="12.6640625" bestFit="1" customWidth="1"/>
    <col min="3" max="3" width="11.6640625" bestFit="1" customWidth="1"/>
    <col min="4" max="4" width="12.6640625" bestFit="1" customWidth="1"/>
    <col min="5" max="5" width="28.44140625" bestFit="1" customWidth="1"/>
    <col min="6" max="7" width="11.33203125" bestFit="1" customWidth="1"/>
  </cols>
  <sheetData>
    <row r="1" spans="1:7" ht="14.4" customHeight="1" x14ac:dyDescent="0.3">
      <c r="A1" s="19" t="s">
        <v>2</v>
      </c>
      <c r="B1" s="61" t="s">
        <v>219</v>
      </c>
      <c r="C1" s="61" t="s">
        <v>220</v>
      </c>
      <c r="D1" s="61" t="s">
        <v>221</v>
      </c>
      <c r="E1" s="61" t="s">
        <v>222</v>
      </c>
    </row>
    <row r="2" spans="1:7" x14ac:dyDescent="0.3">
      <c r="A2" s="19" t="s">
        <v>223</v>
      </c>
      <c r="B2" s="62"/>
      <c r="C2" s="62"/>
      <c r="D2" s="62"/>
      <c r="E2" s="62"/>
    </row>
    <row r="3" spans="1:7" x14ac:dyDescent="0.3">
      <c r="A3" s="19" t="s">
        <v>224</v>
      </c>
      <c r="B3" s="63"/>
      <c r="C3" s="63"/>
      <c r="D3" s="63"/>
      <c r="E3" s="63"/>
    </row>
    <row r="4" spans="1:7" x14ac:dyDescent="0.3">
      <c r="A4" s="20" t="s">
        <v>35</v>
      </c>
      <c r="B4" s="21">
        <v>1910495.78</v>
      </c>
      <c r="C4" s="21">
        <v>318415.96999999997</v>
      </c>
      <c r="D4" s="39">
        <v>469545.71</v>
      </c>
      <c r="E4" s="40"/>
      <c r="F4" s="41"/>
      <c r="G4" s="41"/>
    </row>
    <row r="5" spans="1:7" x14ac:dyDescent="0.3">
      <c r="A5" s="22" t="s">
        <v>225</v>
      </c>
      <c r="B5" s="25">
        <v>1910495.78</v>
      </c>
      <c r="C5" s="25">
        <v>318415.96999999997</v>
      </c>
      <c r="D5" s="39">
        <v>469545.71</v>
      </c>
      <c r="E5" s="40"/>
      <c r="F5" s="41"/>
      <c r="G5" s="41"/>
    </row>
    <row r="6" spans="1:7" x14ac:dyDescent="0.3">
      <c r="A6" s="23" t="s">
        <v>226</v>
      </c>
      <c r="B6" s="26">
        <v>813895.61</v>
      </c>
      <c r="C6" s="26">
        <v>135649.26999999999</v>
      </c>
      <c r="D6" s="37"/>
      <c r="E6" s="37"/>
      <c r="F6" s="41"/>
      <c r="G6" s="41"/>
    </row>
    <row r="7" spans="1:7" x14ac:dyDescent="0.3">
      <c r="A7" s="23" t="s">
        <v>227</v>
      </c>
      <c r="B7" s="27">
        <v>161785.29999999999</v>
      </c>
      <c r="C7" s="26">
        <v>26964.22</v>
      </c>
      <c r="D7" s="35">
        <v>78762.61</v>
      </c>
      <c r="E7" s="37"/>
      <c r="F7" s="36">
        <f>'Списание стройматериалов'!D12</f>
        <v>78762.61</v>
      </c>
      <c r="G7" s="36">
        <f t="shared" ref="G7:G8" si="0">D7-F7</f>
        <v>0</v>
      </c>
    </row>
    <row r="8" spans="1:7" x14ac:dyDescent="0.3">
      <c r="A8" s="23" t="s">
        <v>228</v>
      </c>
      <c r="B8" s="26">
        <v>934814.87</v>
      </c>
      <c r="C8" s="26">
        <v>155802.48000000001</v>
      </c>
      <c r="D8" s="38">
        <v>390783.1</v>
      </c>
      <c r="E8" s="37"/>
      <c r="F8" s="36">
        <f>'Списание стройматериалов'!D13</f>
        <v>390783.10000000003</v>
      </c>
      <c r="G8" s="36">
        <f t="shared" si="0"/>
        <v>0</v>
      </c>
    </row>
    <row r="9" spans="1:7" x14ac:dyDescent="0.3">
      <c r="A9" s="20" t="s">
        <v>11</v>
      </c>
      <c r="B9" s="21">
        <v>2574700.9500000002</v>
      </c>
      <c r="C9" s="21">
        <v>429116.83</v>
      </c>
      <c r="D9" s="39">
        <v>1062217.42</v>
      </c>
      <c r="E9" s="40"/>
      <c r="F9" s="41"/>
      <c r="G9" s="41"/>
    </row>
    <row r="10" spans="1:7" x14ac:dyDescent="0.3">
      <c r="A10" s="22" t="s">
        <v>229</v>
      </c>
      <c r="B10" s="25">
        <v>141577.06</v>
      </c>
      <c r="C10" s="25">
        <v>23596.18</v>
      </c>
      <c r="D10" s="39">
        <v>29397.85</v>
      </c>
      <c r="E10" s="40"/>
      <c r="F10" s="41"/>
      <c r="G10" s="41"/>
    </row>
    <row r="11" spans="1:7" x14ac:dyDescent="0.3">
      <c r="A11" s="23" t="s">
        <v>230</v>
      </c>
      <c r="B11" s="26">
        <v>141577.06</v>
      </c>
      <c r="C11" s="26">
        <v>23596.18</v>
      </c>
      <c r="D11" s="35">
        <v>29397.85</v>
      </c>
      <c r="E11" s="37"/>
      <c r="F11" s="36">
        <f>'Списание стройматериалов'!D9</f>
        <v>29397.85</v>
      </c>
      <c r="G11" s="36">
        <f t="shared" ref="G11:G15" si="1">D11-F11</f>
        <v>0</v>
      </c>
    </row>
    <row r="12" spans="1:7" x14ac:dyDescent="0.3">
      <c r="A12" s="22" t="s">
        <v>231</v>
      </c>
      <c r="B12" s="25">
        <v>2433123.89</v>
      </c>
      <c r="C12" s="25">
        <v>405520.65</v>
      </c>
      <c r="D12" s="39">
        <v>1032819.57</v>
      </c>
      <c r="E12" s="40"/>
      <c r="F12" s="41"/>
      <c r="G12" s="41"/>
    </row>
    <row r="13" spans="1:7" x14ac:dyDescent="0.3">
      <c r="A13" s="23" t="s">
        <v>232</v>
      </c>
      <c r="B13" s="26">
        <v>1197761.3500000001</v>
      </c>
      <c r="C13" s="26">
        <v>199626.89</v>
      </c>
      <c r="D13" s="35">
        <v>540044.05000000005</v>
      </c>
      <c r="E13" s="37"/>
      <c r="F13" s="36">
        <f>'Списание стройматериалов'!D7</f>
        <v>540044.05000000005</v>
      </c>
      <c r="G13" s="36">
        <f t="shared" si="1"/>
        <v>0</v>
      </c>
    </row>
    <row r="14" spans="1:7" x14ac:dyDescent="0.3">
      <c r="A14" s="23" t="s">
        <v>233</v>
      </c>
      <c r="B14" s="26">
        <v>1007909.46</v>
      </c>
      <c r="C14" s="26">
        <v>167984.91</v>
      </c>
      <c r="D14" s="35">
        <v>450953.98</v>
      </c>
      <c r="E14" s="37"/>
      <c r="F14" s="36">
        <f>'Списание стройматериалов'!D8</f>
        <v>450953.98</v>
      </c>
      <c r="G14" s="36">
        <f t="shared" si="1"/>
        <v>0</v>
      </c>
    </row>
    <row r="15" spans="1:7" x14ac:dyDescent="0.3">
      <c r="A15" s="23" t="s">
        <v>234</v>
      </c>
      <c r="B15" s="26">
        <v>227453.08</v>
      </c>
      <c r="C15" s="26">
        <v>37908.85</v>
      </c>
      <c r="D15" s="35">
        <v>41821.54</v>
      </c>
      <c r="E15" s="37"/>
      <c r="F15" s="36">
        <f>'Списание стройматериалов'!D20</f>
        <v>41821.54</v>
      </c>
      <c r="G15" s="36">
        <f t="shared" si="1"/>
        <v>0</v>
      </c>
    </row>
    <row r="16" spans="1:7" x14ac:dyDescent="0.3">
      <c r="A16" s="20" t="s">
        <v>25</v>
      </c>
      <c r="B16" s="21">
        <v>19998.64</v>
      </c>
      <c r="C16" s="21">
        <v>3333.11</v>
      </c>
      <c r="D16" s="39">
        <v>13333.34</v>
      </c>
      <c r="E16" s="40"/>
      <c r="F16" s="41"/>
      <c r="G16" s="41"/>
    </row>
    <row r="17" spans="1:8" x14ac:dyDescent="0.3">
      <c r="A17" s="22" t="s">
        <v>235</v>
      </c>
      <c r="B17" s="25">
        <v>19998.64</v>
      </c>
      <c r="C17" s="25">
        <v>3333.11</v>
      </c>
      <c r="D17" s="39">
        <v>13333.34</v>
      </c>
      <c r="E17" s="40"/>
      <c r="F17" s="41"/>
      <c r="G17" s="41"/>
    </row>
    <row r="18" spans="1:8" x14ac:dyDescent="0.3">
      <c r="A18" s="23" t="s">
        <v>236</v>
      </c>
      <c r="B18" s="26">
        <v>19998.64</v>
      </c>
      <c r="C18" s="26">
        <v>3333.11</v>
      </c>
      <c r="D18" s="35">
        <v>13333.34</v>
      </c>
      <c r="E18" s="37"/>
      <c r="F18" s="36">
        <f>'Списание стройматериалов'!D10</f>
        <v>13333.34</v>
      </c>
      <c r="G18" s="36">
        <f t="shared" ref="G18" si="2">D18-F18</f>
        <v>0</v>
      </c>
    </row>
    <row r="19" spans="1:8" x14ac:dyDescent="0.3">
      <c r="A19" s="20" t="s">
        <v>46</v>
      </c>
      <c r="B19" s="21">
        <v>9660363.5899999999</v>
      </c>
      <c r="C19" s="28">
        <v>1610060.6</v>
      </c>
      <c r="D19" s="21">
        <v>5542052.6100000003</v>
      </c>
      <c r="E19" s="21">
        <v>436834.69</v>
      </c>
    </row>
    <row r="20" spans="1:8" x14ac:dyDescent="0.3">
      <c r="A20" s="22" t="s">
        <v>237</v>
      </c>
      <c r="B20" s="25">
        <v>9660363.5899999999</v>
      </c>
      <c r="C20" s="29">
        <v>1610060.6</v>
      </c>
      <c r="D20" s="25">
        <v>5542052.6100000003</v>
      </c>
      <c r="E20" s="25">
        <v>436834.69</v>
      </c>
    </row>
    <row r="21" spans="1:8" x14ac:dyDescent="0.3">
      <c r="A21" s="23" t="s">
        <v>238</v>
      </c>
      <c r="B21" s="26">
        <v>251957.66</v>
      </c>
      <c r="C21" s="26">
        <v>41992.94</v>
      </c>
      <c r="D21" s="35">
        <v>58378.47</v>
      </c>
      <c r="E21" s="35">
        <v>42866.35</v>
      </c>
      <c r="F21" s="36">
        <f>'Списание стройматериалов'!D17</f>
        <v>58378.47</v>
      </c>
      <c r="G21" s="36">
        <f t="shared" ref="G21:G24" si="3">D21-F21</f>
        <v>0</v>
      </c>
      <c r="H21" s="7" t="s">
        <v>267</v>
      </c>
    </row>
    <row r="22" spans="1:8" x14ac:dyDescent="0.3">
      <c r="A22" s="23" t="s">
        <v>239</v>
      </c>
      <c r="B22" s="26">
        <v>445544.56</v>
      </c>
      <c r="C22" s="26">
        <v>74257.429999999993</v>
      </c>
      <c r="D22" s="35">
        <v>284508.78000000003</v>
      </c>
      <c r="E22" s="37"/>
      <c r="F22" s="36">
        <f>'Списание стройматериалов'!D15</f>
        <v>284508.77999999991</v>
      </c>
      <c r="G22" s="36">
        <f t="shared" si="3"/>
        <v>0</v>
      </c>
    </row>
    <row r="23" spans="1:8" x14ac:dyDescent="0.3">
      <c r="A23" s="23" t="s">
        <v>240</v>
      </c>
      <c r="B23" s="26">
        <v>14156.68</v>
      </c>
      <c r="C23" s="26">
        <v>2359.4499999999998</v>
      </c>
      <c r="D23" s="35">
        <v>3749.47</v>
      </c>
      <c r="E23" s="37"/>
      <c r="F23" s="36">
        <f>'Списание стройматериалов'!D16</f>
        <v>3749.4700000000003</v>
      </c>
      <c r="G23" s="36">
        <f t="shared" si="3"/>
        <v>0</v>
      </c>
    </row>
    <row r="24" spans="1:8" x14ac:dyDescent="0.3">
      <c r="A24" s="23" t="s">
        <v>241</v>
      </c>
      <c r="B24" s="26">
        <v>4912771.2699999996</v>
      </c>
      <c r="C24" s="26">
        <v>818795.21</v>
      </c>
      <c r="D24" s="35">
        <v>3519759.15</v>
      </c>
      <c r="E24" s="37"/>
      <c r="F24" s="36">
        <f>'Списание стройматериалов'!D18</f>
        <v>3519759.15</v>
      </c>
      <c r="G24" s="36">
        <f t="shared" si="3"/>
        <v>0</v>
      </c>
    </row>
    <row r="25" spans="1:8" x14ac:dyDescent="0.3">
      <c r="A25" s="23" t="s">
        <v>242</v>
      </c>
      <c r="B25" s="26">
        <v>407309.86</v>
      </c>
      <c r="C25" s="26">
        <v>67884.98</v>
      </c>
      <c r="D25" s="35">
        <v>152523.88</v>
      </c>
      <c r="E25" s="37"/>
      <c r="F25" s="36">
        <f>'Списание стройматериалов'!D14</f>
        <v>152523.88</v>
      </c>
      <c r="G25" s="36">
        <f t="shared" ref="G25" si="4">D25-F25</f>
        <v>0</v>
      </c>
    </row>
    <row r="26" spans="1:8" x14ac:dyDescent="0.3">
      <c r="A26" s="23" t="s">
        <v>243</v>
      </c>
      <c r="B26" s="26">
        <v>154324.64000000001</v>
      </c>
      <c r="C26" s="26">
        <v>25720.77</v>
      </c>
      <c r="D26" s="24"/>
      <c r="E26" s="24"/>
      <c r="F26" t="s">
        <v>266</v>
      </c>
      <c r="G26" s="9"/>
    </row>
    <row r="27" spans="1:8" x14ac:dyDescent="0.3">
      <c r="A27" s="23" t="s">
        <v>244</v>
      </c>
      <c r="B27" s="26">
        <v>949942.85</v>
      </c>
      <c r="C27" s="26">
        <v>158323.81</v>
      </c>
      <c r="D27" s="35">
        <v>603203.77</v>
      </c>
      <c r="E27" s="35">
        <v>48256.07</v>
      </c>
      <c r="F27" s="36">
        <f>'Списание стройматериалов'!D19</f>
        <v>603203.7699999999</v>
      </c>
      <c r="G27" s="36">
        <f t="shared" ref="G27:G31" si="5">D27-F27</f>
        <v>0</v>
      </c>
      <c r="H27" s="7" t="s">
        <v>267</v>
      </c>
    </row>
    <row r="28" spans="1:8" x14ac:dyDescent="0.3">
      <c r="A28" s="23" t="s">
        <v>245</v>
      </c>
      <c r="B28" s="26">
        <v>410142.29</v>
      </c>
      <c r="C28" s="26">
        <v>68357.05</v>
      </c>
      <c r="D28" s="38">
        <v>97877.6</v>
      </c>
      <c r="E28" s="35">
        <v>70186.78</v>
      </c>
      <c r="F28" s="36">
        <f>'Списание стройматериалов'!D24</f>
        <v>97877.599999999991</v>
      </c>
      <c r="G28" s="36">
        <f t="shared" si="5"/>
        <v>0</v>
      </c>
      <c r="H28" s="7" t="s">
        <v>267</v>
      </c>
    </row>
    <row r="29" spans="1:8" x14ac:dyDescent="0.3">
      <c r="A29" s="23" t="s">
        <v>246</v>
      </c>
      <c r="B29" s="26">
        <v>586626.11</v>
      </c>
      <c r="C29" s="26">
        <v>97771.02</v>
      </c>
      <c r="D29" s="35">
        <v>306596.68</v>
      </c>
      <c r="E29" s="35">
        <v>81666.67</v>
      </c>
      <c r="F29" s="36">
        <f>'Списание стройматериалов'!D25</f>
        <v>306596.67999999993</v>
      </c>
      <c r="G29" s="36">
        <f t="shared" si="5"/>
        <v>0</v>
      </c>
      <c r="H29" s="7" t="s">
        <v>268</v>
      </c>
    </row>
    <row r="30" spans="1:8" x14ac:dyDescent="0.3">
      <c r="A30" s="23" t="s">
        <v>247</v>
      </c>
      <c r="B30" s="26">
        <v>1000712.66</v>
      </c>
      <c r="C30" s="26">
        <v>166785.44</v>
      </c>
      <c r="D30" s="35">
        <v>385806.97</v>
      </c>
      <c r="E30" s="35">
        <v>120125.49</v>
      </c>
      <c r="F30" s="36">
        <f>'Списание стройматериалов'!D26</f>
        <v>385806.97</v>
      </c>
      <c r="G30" s="36">
        <f t="shared" si="5"/>
        <v>0</v>
      </c>
      <c r="H30" s="7" t="s">
        <v>267</v>
      </c>
    </row>
    <row r="31" spans="1:8" x14ac:dyDescent="0.3">
      <c r="A31" s="23" t="s">
        <v>248</v>
      </c>
      <c r="B31" s="26">
        <v>526875.01</v>
      </c>
      <c r="C31" s="27">
        <v>87812.5</v>
      </c>
      <c r="D31" s="35">
        <v>129647.84</v>
      </c>
      <c r="E31" s="35">
        <v>73733.33</v>
      </c>
      <c r="F31" s="36">
        <f>'Списание стройматериалов'!D23</f>
        <v>129647.84000000001</v>
      </c>
      <c r="G31" s="36">
        <f t="shared" si="5"/>
        <v>0</v>
      </c>
      <c r="H31" s="7" t="s">
        <v>269</v>
      </c>
    </row>
    <row r="32" spans="1:8" x14ac:dyDescent="0.3">
      <c r="A32" s="20" t="s">
        <v>30</v>
      </c>
      <c r="B32" s="21">
        <v>316521.03000000003</v>
      </c>
      <c r="C32" s="28">
        <v>52753.5</v>
      </c>
      <c r="D32" s="39">
        <v>1963.05</v>
      </c>
      <c r="E32" s="39">
        <v>78083.05</v>
      </c>
      <c r="F32" s="41"/>
      <c r="G32" s="36"/>
    </row>
    <row r="33" spans="1:7" x14ac:dyDescent="0.3">
      <c r="A33" s="22" t="s">
        <v>249</v>
      </c>
      <c r="B33" s="25">
        <v>316521.03000000003</v>
      </c>
      <c r="C33" s="29">
        <v>52753.5</v>
      </c>
      <c r="D33" s="39">
        <v>1963.05</v>
      </c>
      <c r="E33" s="39">
        <v>78083.05</v>
      </c>
      <c r="F33" s="41"/>
      <c r="G33" s="41"/>
    </row>
    <row r="34" spans="1:7" x14ac:dyDescent="0.3">
      <c r="A34" s="23" t="s">
        <v>250</v>
      </c>
      <c r="B34" s="26">
        <v>316521.03000000003</v>
      </c>
      <c r="C34" s="27">
        <v>52753.5</v>
      </c>
      <c r="D34" s="35">
        <v>1963.05</v>
      </c>
      <c r="E34" s="35">
        <v>78083.05</v>
      </c>
      <c r="F34" s="36">
        <f>'Списание стройматериалов'!D32</f>
        <v>1963.05</v>
      </c>
      <c r="G34" s="36">
        <f>D34-F34</f>
        <v>0</v>
      </c>
    </row>
    <row r="35" spans="1:7" x14ac:dyDescent="0.3">
      <c r="A35" s="30" t="s">
        <v>218</v>
      </c>
      <c r="B35" s="31">
        <v>15404579.99</v>
      </c>
      <c r="C35" s="31">
        <v>2567430.0099999998</v>
      </c>
      <c r="D35" s="31">
        <v>7089112.1299999999</v>
      </c>
      <c r="E35" s="31">
        <v>514917.74</v>
      </c>
    </row>
  </sheetData>
  <mergeCells count="4">
    <mergeCell ref="D1:D3"/>
    <mergeCell ref="B1:B3"/>
    <mergeCell ref="C1:C3"/>
    <mergeCell ref="E1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selection activeCell="F26" sqref="F26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12" bestFit="1" customWidth="1"/>
    <col min="4" max="4" width="9.88671875" bestFit="1" customWidth="1"/>
    <col min="5" max="5" width="7.6640625" bestFit="1" customWidth="1"/>
    <col min="6" max="6" width="15" bestFit="1" customWidth="1"/>
    <col min="7" max="7" width="12.88671875" bestFit="1" customWidth="1"/>
    <col min="8" max="8" width="8.109375" bestFit="1" customWidth="1"/>
    <col min="9" max="9" width="9.88671875" bestFit="1" customWidth="1"/>
  </cols>
  <sheetData>
    <row r="1" spans="1:13" x14ac:dyDescent="0.3">
      <c r="A1" s="42" t="s">
        <v>0</v>
      </c>
      <c r="B1" s="42" t="s">
        <v>1</v>
      </c>
      <c r="C1" s="42" t="s">
        <v>198</v>
      </c>
      <c r="D1" s="42" t="s">
        <v>3</v>
      </c>
      <c r="E1" s="42" t="s">
        <v>4</v>
      </c>
      <c r="F1" s="42" t="s">
        <v>152</v>
      </c>
      <c r="G1" s="42" t="s">
        <v>2</v>
      </c>
      <c r="H1" s="42" t="s">
        <v>251</v>
      </c>
    </row>
    <row r="2" spans="1:13" x14ac:dyDescent="0.3">
      <c r="A2" s="43" t="s">
        <v>254</v>
      </c>
      <c r="B2" s="43" t="s">
        <v>255</v>
      </c>
      <c r="C2" s="43" t="s">
        <v>253</v>
      </c>
      <c r="D2" s="44">
        <v>418537.66</v>
      </c>
      <c r="E2" s="43" t="s">
        <v>12</v>
      </c>
      <c r="F2" s="43" t="s">
        <v>202</v>
      </c>
      <c r="G2" s="43" t="s">
        <v>252</v>
      </c>
      <c r="H2" s="43"/>
      <c r="I2" s="7" t="s">
        <v>265</v>
      </c>
    </row>
    <row r="3" spans="1:13" x14ac:dyDescent="0.3">
      <c r="A3" s="43" t="s">
        <v>256</v>
      </c>
      <c r="B3" s="43" t="s">
        <v>257</v>
      </c>
      <c r="C3" s="43" t="s">
        <v>253</v>
      </c>
      <c r="D3" s="44">
        <v>122216.93</v>
      </c>
      <c r="E3" s="43" t="s">
        <v>12</v>
      </c>
      <c r="F3" s="43" t="s">
        <v>202</v>
      </c>
      <c r="G3" s="43" t="s">
        <v>252</v>
      </c>
      <c r="H3" s="43"/>
      <c r="I3" s="7" t="s">
        <v>265</v>
      </c>
    </row>
    <row r="4" spans="1:13" ht="15" thickBot="1" x14ac:dyDescent="0.35">
      <c r="A4" s="45" t="s">
        <v>258</v>
      </c>
      <c r="B4" s="45" t="s">
        <v>259</v>
      </c>
      <c r="C4" s="45" t="s">
        <v>253</v>
      </c>
      <c r="D4" s="46">
        <v>459424.54</v>
      </c>
      <c r="E4" s="45" t="s">
        <v>12</v>
      </c>
      <c r="F4" s="45" t="s">
        <v>202</v>
      </c>
      <c r="G4" s="45" t="s">
        <v>252</v>
      </c>
      <c r="H4" s="45"/>
      <c r="I4" s="7" t="s">
        <v>265</v>
      </c>
    </row>
    <row r="5" spans="1:13" x14ac:dyDescent="0.3">
      <c r="A5" s="47" t="s">
        <v>260</v>
      </c>
      <c r="B5" s="48" t="s">
        <v>261</v>
      </c>
      <c r="C5" s="48" t="s">
        <v>253</v>
      </c>
      <c r="D5" s="49">
        <v>3307.28</v>
      </c>
      <c r="E5" s="48" t="s">
        <v>12</v>
      </c>
      <c r="F5" s="48" t="s">
        <v>202</v>
      </c>
      <c r="G5" s="48" t="s">
        <v>252</v>
      </c>
      <c r="H5" s="50"/>
      <c r="I5" s="7" t="s">
        <v>264</v>
      </c>
    </row>
    <row r="6" spans="1:13" x14ac:dyDescent="0.3">
      <c r="A6" s="51" t="s">
        <v>260</v>
      </c>
      <c r="B6" s="43" t="s">
        <v>262</v>
      </c>
      <c r="C6" s="43" t="s">
        <v>253</v>
      </c>
      <c r="D6" s="44">
        <v>327145.93</v>
      </c>
      <c r="E6" s="43" t="s">
        <v>12</v>
      </c>
      <c r="F6" s="43" t="s">
        <v>202</v>
      </c>
      <c r="G6" s="43" t="s">
        <v>252</v>
      </c>
      <c r="H6" s="52"/>
      <c r="I6" s="7" t="s">
        <v>264</v>
      </c>
    </row>
    <row r="7" spans="1:13" ht="15" thickBot="1" x14ac:dyDescent="0.35">
      <c r="A7" s="53" t="s">
        <v>260</v>
      </c>
      <c r="B7" s="54" t="s">
        <v>263</v>
      </c>
      <c r="C7" s="54" t="s">
        <v>253</v>
      </c>
      <c r="D7" s="55">
        <v>67466.33</v>
      </c>
      <c r="E7" s="54" t="s">
        <v>12</v>
      </c>
      <c r="F7" s="54" t="s">
        <v>202</v>
      </c>
      <c r="G7" s="54" t="s">
        <v>252</v>
      </c>
      <c r="H7" s="56"/>
      <c r="I7" s="7" t="s">
        <v>264</v>
      </c>
    </row>
    <row r="8" spans="1:13" x14ac:dyDescent="0.3">
      <c r="D8" s="9">
        <f>SUM(D5:D7)</f>
        <v>397919.54000000004</v>
      </c>
    </row>
    <row r="10" spans="1:13" x14ac:dyDescent="0.3">
      <c r="A10" s="42" t="s">
        <v>0</v>
      </c>
      <c r="B10" s="42" t="s">
        <v>1</v>
      </c>
      <c r="C10" s="42" t="s">
        <v>198</v>
      </c>
      <c r="D10" s="42" t="s">
        <v>3</v>
      </c>
      <c r="E10" s="42" t="s">
        <v>4</v>
      </c>
      <c r="F10" s="42" t="s">
        <v>152</v>
      </c>
      <c r="G10" s="42" t="s">
        <v>2</v>
      </c>
      <c r="H10" s="42" t="s">
        <v>251</v>
      </c>
      <c r="I10" s="42" t="s">
        <v>270</v>
      </c>
      <c r="J10" s="42" t="s">
        <v>223</v>
      </c>
      <c r="K10" s="42" t="s">
        <v>271</v>
      </c>
      <c r="L10" s="42" t="s">
        <v>6</v>
      </c>
      <c r="M10" s="42" t="s">
        <v>7</v>
      </c>
    </row>
    <row r="11" spans="1:13" x14ac:dyDescent="0.3">
      <c r="A11" s="43" t="s">
        <v>274</v>
      </c>
      <c r="B11" s="43" t="s">
        <v>275</v>
      </c>
      <c r="C11" s="43" t="s">
        <v>253</v>
      </c>
      <c r="D11" s="44">
        <v>51439.62</v>
      </c>
      <c r="E11" s="43" t="s">
        <v>12</v>
      </c>
      <c r="F11" s="43" t="s">
        <v>170</v>
      </c>
      <c r="G11" s="43" t="s">
        <v>267</v>
      </c>
      <c r="H11" s="43" t="s">
        <v>276</v>
      </c>
      <c r="I11" s="43" t="s">
        <v>277</v>
      </c>
      <c r="J11" s="43" t="s">
        <v>272</v>
      </c>
      <c r="K11" s="43" t="s">
        <v>273</v>
      </c>
      <c r="L11" s="43" t="s">
        <v>14</v>
      </c>
      <c r="M11" s="43" t="s">
        <v>15</v>
      </c>
    </row>
    <row r="12" spans="1:13" x14ac:dyDescent="0.3">
      <c r="A12" s="43" t="s">
        <v>278</v>
      </c>
      <c r="B12" s="43" t="s">
        <v>279</v>
      </c>
      <c r="C12" s="43" t="s">
        <v>253</v>
      </c>
      <c r="D12" s="44">
        <v>57907.28</v>
      </c>
      <c r="E12" s="43" t="s">
        <v>12</v>
      </c>
      <c r="F12" s="43" t="s">
        <v>170</v>
      </c>
      <c r="G12" s="43" t="s">
        <v>267</v>
      </c>
      <c r="H12" s="43" t="s">
        <v>280</v>
      </c>
      <c r="I12" s="43" t="s">
        <v>281</v>
      </c>
      <c r="J12" s="43" t="s">
        <v>272</v>
      </c>
      <c r="K12" s="43" t="s">
        <v>273</v>
      </c>
      <c r="L12" s="43" t="s">
        <v>14</v>
      </c>
      <c r="M12" s="43" t="s">
        <v>15</v>
      </c>
    </row>
    <row r="13" spans="1:13" x14ac:dyDescent="0.3">
      <c r="A13" s="43" t="s">
        <v>282</v>
      </c>
      <c r="B13" s="43" t="s">
        <v>283</v>
      </c>
      <c r="C13" s="43" t="s">
        <v>253</v>
      </c>
      <c r="D13" s="44">
        <v>144150.59</v>
      </c>
      <c r="E13" s="43" t="s">
        <v>12</v>
      </c>
      <c r="F13" s="43" t="s">
        <v>170</v>
      </c>
      <c r="G13" s="43" t="s">
        <v>267</v>
      </c>
      <c r="H13" s="43" t="s">
        <v>284</v>
      </c>
      <c r="I13" s="43" t="s">
        <v>285</v>
      </c>
      <c r="J13" s="43" t="s">
        <v>272</v>
      </c>
      <c r="K13" s="43" t="s">
        <v>273</v>
      </c>
      <c r="L13" s="43" t="s">
        <v>14</v>
      </c>
      <c r="M13" s="43" t="s">
        <v>15</v>
      </c>
    </row>
    <row r="14" spans="1:13" x14ac:dyDescent="0.3">
      <c r="A14" s="43" t="s">
        <v>286</v>
      </c>
      <c r="B14" s="43" t="s">
        <v>287</v>
      </c>
      <c r="C14" s="43" t="s">
        <v>253</v>
      </c>
      <c r="D14" s="44">
        <v>84224.14</v>
      </c>
      <c r="E14" s="43" t="s">
        <v>12</v>
      </c>
      <c r="F14" s="43" t="s">
        <v>170</v>
      </c>
      <c r="G14" s="43" t="s">
        <v>267</v>
      </c>
      <c r="H14" s="43" t="s">
        <v>284</v>
      </c>
      <c r="I14" s="43" t="s">
        <v>288</v>
      </c>
      <c r="J14" s="43" t="s">
        <v>272</v>
      </c>
      <c r="K14" s="43" t="s">
        <v>273</v>
      </c>
      <c r="L14" s="43" t="s">
        <v>14</v>
      </c>
      <c r="M14" s="43" t="s">
        <v>15</v>
      </c>
    </row>
    <row r="15" spans="1:13" x14ac:dyDescent="0.3">
      <c r="D15" s="9">
        <f>SUM(D11:D14)</f>
        <v>337721.63</v>
      </c>
    </row>
    <row r="16" spans="1:13" s="7" customFormat="1" x14ac:dyDescent="0.3"/>
    <row r="17" spans="1:14" x14ac:dyDescent="0.3">
      <c r="A17" s="42" t="s">
        <v>0</v>
      </c>
      <c r="B17" s="42" t="s">
        <v>1</v>
      </c>
      <c r="C17" s="42" t="s">
        <v>198</v>
      </c>
      <c r="D17" s="42" t="s">
        <v>3</v>
      </c>
      <c r="E17" s="42" t="s">
        <v>4</v>
      </c>
      <c r="F17" s="42" t="s">
        <v>152</v>
      </c>
      <c r="G17" s="42" t="s">
        <v>2</v>
      </c>
      <c r="H17" s="42" t="s">
        <v>251</v>
      </c>
      <c r="I17" s="42" t="s">
        <v>270</v>
      </c>
      <c r="J17" s="42" t="s">
        <v>223</v>
      </c>
      <c r="K17" s="42" t="s">
        <v>271</v>
      </c>
      <c r="L17" s="42" t="s">
        <v>6</v>
      </c>
      <c r="M17" s="42" t="s">
        <v>7</v>
      </c>
      <c r="N17" s="42" t="s">
        <v>8</v>
      </c>
    </row>
    <row r="18" spans="1:14" x14ac:dyDescent="0.3">
      <c r="A18" s="43" t="s">
        <v>289</v>
      </c>
      <c r="B18" s="43" t="s">
        <v>290</v>
      </c>
      <c r="C18" s="43" t="s">
        <v>253</v>
      </c>
      <c r="D18" s="44">
        <v>98000</v>
      </c>
      <c r="E18" s="43" t="s">
        <v>12</v>
      </c>
      <c r="F18" s="43" t="s">
        <v>170</v>
      </c>
      <c r="G18" s="43" t="s">
        <v>268</v>
      </c>
      <c r="H18" s="43" t="s">
        <v>284</v>
      </c>
      <c r="I18" s="43" t="s">
        <v>291</v>
      </c>
      <c r="J18" s="43" t="s">
        <v>292</v>
      </c>
      <c r="K18" s="43" t="s">
        <v>293</v>
      </c>
      <c r="L18" s="43" t="s">
        <v>14</v>
      </c>
      <c r="M18" s="43" t="s">
        <v>15</v>
      </c>
      <c r="N18" s="43" t="s">
        <v>294</v>
      </c>
    </row>
    <row r="19" spans="1:14" x14ac:dyDescent="0.3">
      <c r="D19" s="9">
        <f>SUM(D18)</f>
        <v>98000</v>
      </c>
    </row>
    <row r="20" spans="1:14" s="7" customFormat="1" x14ac:dyDescent="0.3"/>
    <row r="21" spans="1:14" x14ac:dyDescent="0.3">
      <c r="A21" s="42" t="s">
        <v>0</v>
      </c>
      <c r="B21" s="42" t="s">
        <v>1</v>
      </c>
      <c r="C21" s="42" t="s">
        <v>198</v>
      </c>
      <c r="D21" s="42" t="s">
        <v>3</v>
      </c>
      <c r="E21" s="42" t="s">
        <v>4</v>
      </c>
      <c r="F21" s="42" t="s">
        <v>152</v>
      </c>
      <c r="G21" s="42" t="s">
        <v>2</v>
      </c>
      <c r="H21" s="42" t="s">
        <v>251</v>
      </c>
      <c r="I21" s="42" t="s">
        <v>270</v>
      </c>
      <c r="J21" s="42" t="s">
        <v>223</v>
      </c>
      <c r="K21" s="42" t="s">
        <v>271</v>
      </c>
      <c r="L21" s="42" t="s">
        <v>6</v>
      </c>
      <c r="M21" s="42" t="s">
        <v>7</v>
      </c>
      <c r="N21" s="42" t="s">
        <v>8</v>
      </c>
    </row>
    <row r="22" spans="1:14" x14ac:dyDescent="0.3">
      <c r="A22" s="43" t="s">
        <v>295</v>
      </c>
      <c r="B22" s="43" t="s">
        <v>296</v>
      </c>
      <c r="C22" s="43" t="s">
        <v>253</v>
      </c>
      <c r="D22" s="44">
        <v>88480</v>
      </c>
      <c r="E22" s="43" t="s">
        <v>12</v>
      </c>
      <c r="F22" s="43" t="s">
        <v>170</v>
      </c>
      <c r="G22" s="43" t="s">
        <v>269</v>
      </c>
      <c r="H22" s="43" t="s">
        <v>284</v>
      </c>
      <c r="I22" s="43" t="s">
        <v>291</v>
      </c>
      <c r="J22" s="43" t="s">
        <v>297</v>
      </c>
      <c r="K22" s="43" t="s">
        <v>298</v>
      </c>
      <c r="L22" s="43" t="s">
        <v>14</v>
      </c>
      <c r="M22" s="43" t="s">
        <v>15</v>
      </c>
      <c r="N22" s="43" t="s">
        <v>299</v>
      </c>
    </row>
    <row r="23" spans="1:14" x14ac:dyDescent="0.3">
      <c r="D23" s="9">
        <f>SUM(D22)</f>
        <v>88480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Акты заказчика</vt:lpstr>
      <vt:lpstr>Списание стройматериалов</vt:lpstr>
      <vt:lpstr>ВаловаяПрибыль</vt:lpstr>
      <vt:lpstr>Услуги_сторонних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2024-06-12T13:56:50Z</dcterms:modified>
</cp:coreProperties>
</file>
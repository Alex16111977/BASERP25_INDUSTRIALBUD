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Лист1!$A$1:$I$57</definedName>
  </definedNames>
  <calcPr calcId="145621"/>
</workbook>
</file>

<file path=xl/calcChain.xml><?xml version="1.0" encoding="utf-8"?>
<calcChain xmlns="http://schemas.openxmlformats.org/spreadsheetml/2006/main">
  <c r="D98" i="1" l="1"/>
  <c r="D86" i="1"/>
  <c r="C73" i="1"/>
  <c r="C80" i="1"/>
  <c r="D58" i="1"/>
  <c r="D63" i="1"/>
  <c r="D62" i="1"/>
  <c r="D64" i="1" s="1"/>
  <c r="D61" i="1"/>
  <c r="D60" i="1"/>
  <c r="D59" i="1" l="1"/>
</calcChain>
</file>

<file path=xl/sharedStrings.xml><?xml version="1.0" encoding="utf-8"?>
<sst xmlns="http://schemas.openxmlformats.org/spreadsheetml/2006/main" count="646" uniqueCount="218">
  <si>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</si>
  <si>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</si>
  <si>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</si>
  <si>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</si>
  <si>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</si>
  <si>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</si>
  <si>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</si>
  <si>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</si>
  <si>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</si>
  <si>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02.09.2024 00:00:00</t>
  </si>
  <si>
    <t>ІБ00-000312</t>
  </si>
  <si>
    <t>НІЖИНСЬКИЙ ЖИРКОМБІНАТ ПрАТ</t>
  </si>
  <si>
    <t>грн</t>
  </si>
  <si>
    <t>Виробничий (Ніжин-3)</t>
  </si>
  <si>
    <t>ТОВ "ІНДАСТРІАЛБУД"</t>
  </si>
  <si>
    <t>Хлань Елена</t>
  </si>
  <si>
    <t>Акт № 66 (робота спецтехніки)</t>
  </si>
  <si>
    <t>ІБ00-000313</t>
  </si>
  <si>
    <t xml:space="preserve">Акт № 59 </t>
  </si>
  <si>
    <t>ІБ00-000321</t>
  </si>
  <si>
    <t xml:space="preserve">Акт № 67 </t>
  </si>
  <si>
    <t>ІБ00-000322</t>
  </si>
  <si>
    <t xml:space="preserve">Акт № 72 </t>
  </si>
  <si>
    <t>ІБ00-000323</t>
  </si>
  <si>
    <t xml:space="preserve">Акт № 65 </t>
  </si>
  <si>
    <t>ІБ00-000324</t>
  </si>
  <si>
    <t xml:space="preserve">Акт № 68 </t>
  </si>
  <si>
    <t>ІБ00-000327</t>
  </si>
  <si>
    <t xml:space="preserve">Акт № 73 </t>
  </si>
  <si>
    <t>ІБ00-000328</t>
  </si>
  <si>
    <t xml:space="preserve">Акт № 64 </t>
  </si>
  <si>
    <t>ІБ00-000329</t>
  </si>
  <si>
    <t xml:space="preserve">Акт № 69 </t>
  </si>
  <si>
    <t>02.09.2024 13:29:39</t>
  </si>
  <si>
    <t>ІБ00-000340</t>
  </si>
  <si>
    <t>АСТАРТА АГРО ПРОТЕЇН ТОВ</t>
  </si>
  <si>
    <t>Виробничий (Глобино)</t>
  </si>
  <si>
    <t>Акт 7 ду2</t>
  </si>
  <si>
    <t>АВІА ВЕНЧУРС ТОВ</t>
  </si>
  <si>
    <t>Виробничий (Крушинка)</t>
  </si>
  <si>
    <t>03.09.2024 12:41:20</t>
  </si>
  <si>
    <t>ІБ00-000346</t>
  </si>
  <si>
    <t xml:space="preserve">Акт № 70 </t>
  </si>
  <si>
    <t>09.09.2024 14:52:43</t>
  </si>
  <si>
    <t>ІБ00-000349</t>
  </si>
  <si>
    <t>Акт 8 ду2</t>
  </si>
  <si>
    <t>09.09.2024 17:27:27</t>
  </si>
  <si>
    <t>ІБ00-000357</t>
  </si>
  <si>
    <t xml:space="preserve">Старокостянтинівський олійноекстраційний завод ТОВ </t>
  </si>
  <si>
    <t>Виробничий (Старокостянтинів)</t>
  </si>
  <si>
    <t>Аулова Маргарита</t>
  </si>
  <si>
    <t>Акт № 10 ДОГОВІР ПІДРЯДУ № 18/12/23-3.3.3-АР-СтОЕЗ від 18.1</t>
  </si>
  <si>
    <t>13.09.2024 11:44:53</t>
  </si>
  <si>
    <t>ІБ00-000350</t>
  </si>
  <si>
    <t>Акт № 82</t>
  </si>
  <si>
    <t>13.09.2024 11:45:12</t>
  </si>
  <si>
    <t>ІБ00-000351</t>
  </si>
  <si>
    <t>Акт № 80</t>
  </si>
  <si>
    <t>13.09.2024 11:45:36</t>
  </si>
  <si>
    <t>ІБ00-000352</t>
  </si>
  <si>
    <t>Акт № 79</t>
  </si>
  <si>
    <t>13.09.2024 11:45:56</t>
  </si>
  <si>
    <t>ІБ00-000353</t>
  </si>
  <si>
    <t>Акт № 78</t>
  </si>
  <si>
    <t>13.09.2024 11:46:44</t>
  </si>
  <si>
    <t>ІБ00-000354</t>
  </si>
  <si>
    <t>Акт № 76 (робота спецтехніки)</t>
  </si>
  <si>
    <t>13.09.2024 11:47:03</t>
  </si>
  <si>
    <t>ІБ00-000355</t>
  </si>
  <si>
    <t>Акт № 74</t>
  </si>
  <si>
    <t>13.09.2024 11:47:27</t>
  </si>
  <si>
    <t>ІБ00-000356</t>
  </si>
  <si>
    <t>Акт № 71</t>
  </si>
  <si>
    <t>16.09.2024 00:00:00</t>
  </si>
  <si>
    <t>ІБ00-000231</t>
  </si>
  <si>
    <t>Акт № 7 ДУ № 13 від 20.09.2023, року ДОГОВІР 20230815-3 від 15.08.2023</t>
  </si>
  <si>
    <t>ІБ00-000240</t>
  </si>
  <si>
    <t>акт №2 ДУ № 7 ДОГОВІР ПІДРЯДУ № 20230815-3 від 15.08.2023</t>
  </si>
  <si>
    <t>ІБ00-000244</t>
  </si>
  <si>
    <t>акт №9  ДУ № 14 ДОГОВІР ПІДРЯДУ № 20230815-3 від 15.08.2023</t>
  </si>
  <si>
    <t>ІБ00-000245</t>
  </si>
  <si>
    <t>акт №3 за липень 2024 ДУ № 8 ДОГОВІР ПІДРЯДУ № 20230815-3 від 07.03.2024</t>
  </si>
  <si>
    <t>ІБ00-000250</t>
  </si>
  <si>
    <t>Акт № 11 ДУ № 13 від 20.09.2023, року ДОГОВІР 20230815-3 від 15.08.2023</t>
  </si>
  <si>
    <t>ІБ00-000251</t>
  </si>
  <si>
    <t>Акт № 12 ДУ № 13 від 20.09.2023, року ДОГОВІР 20230815-3 від 15.08.2023</t>
  </si>
  <si>
    <t>ІБ00-000267</t>
  </si>
  <si>
    <t>акт №3 ДУ № 7 ДОГОВІР ПІДРЯДУ № 20230815-3 від 15.08.2023</t>
  </si>
  <si>
    <t>ІБ00-000268</t>
  </si>
  <si>
    <t>акт №2(гідроізоляція ДУ2) за червень 2024 ДУ № 3 ДОГОВІР ПІДРЯДУ № 20230815-3 від 15.08.2023</t>
  </si>
  <si>
    <t>ІБ00-000269</t>
  </si>
  <si>
    <t>Акт № 13 ДУ № 13 від 20.09.2023, року ДОГОВІР 20230815-3 від 15.08.2023</t>
  </si>
  <si>
    <t>ІБ00-000270</t>
  </si>
  <si>
    <t>Акт № 18 ДУ № 13 від 20.09.2023, року ДОГОВІР 20230815-3 від 15.08.2023</t>
  </si>
  <si>
    <t>16.09.2024 13:51:08</t>
  </si>
  <si>
    <t>ІБ00-000359</t>
  </si>
  <si>
    <t>Акт 9 ду2</t>
  </si>
  <si>
    <t>16.09.2024 22:21:03</t>
  </si>
  <si>
    <t>ІБ00-000379</t>
  </si>
  <si>
    <t>Акт № 15 ДУ № 13 від 20.09.2023, року ДОГОВІР 20230815-3 від 15.08.2023</t>
  </si>
  <si>
    <t>16.09.2024 22:21:04</t>
  </si>
  <si>
    <t>ІБ00-000380</t>
  </si>
  <si>
    <t>Акт № 17 ДУ № 13 від 20.09.2023, року ДОГОВІР 20230815-3 від 15.08.2023</t>
  </si>
  <si>
    <t>16.09.2024 22:21:05</t>
  </si>
  <si>
    <t>ІБ00-000381</t>
  </si>
  <si>
    <t>Акт № 16 ДУ № 13 від 20.09.2023, року ДОГОВІР 20230815-3 від 15.08.2023</t>
  </si>
  <si>
    <t>17.09.2024 09:45:07</t>
  </si>
  <si>
    <t>ІБ00-000360</t>
  </si>
  <si>
    <t xml:space="preserve"> Акт 13 ДОГОВІР ПІДРЯДУ № 13/12/2023-3.4.5-АР-СтОЕЗ від 13</t>
  </si>
  <si>
    <t>20.09.2024 09:56:34</t>
  </si>
  <si>
    <t>ІБ00-000362</t>
  </si>
  <si>
    <t>Акт № 83</t>
  </si>
  <si>
    <t>20.09.2024 09:57:15</t>
  </si>
  <si>
    <t>ІБ00-000363</t>
  </si>
  <si>
    <t>Акт № 84</t>
  </si>
  <si>
    <t>20.09.2024 09:57:40</t>
  </si>
  <si>
    <t>ІБ00-000364</t>
  </si>
  <si>
    <t>Акт № 88</t>
  </si>
  <si>
    <t>20.09.2024 11:51:52</t>
  </si>
  <si>
    <t>ІБ00-000365</t>
  </si>
  <si>
    <t>Акт 1 (ДУ 1 сума 2 897 859,22 без ПДВ)</t>
  </si>
  <si>
    <t>23.09.2024 00:00:00</t>
  </si>
  <si>
    <t>ІБ00-000358</t>
  </si>
  <si>
    <t>Акт 3</t>
  </si>
  <si>
    <t>26.09.2024 00:00:00</t>
  </si>
  <si>
    <t>ІБ00-000367</t>
  </si>
  <si>
    <t>Акт № 77</t>
  </si>
  <si>
    <t>26.09.2024 18:43:52</t>
  </si>
  <si>
    <t>ІБ00-000366</t>
  </si>
  <si>
    <t>Акт № 75</t>
  </si>
  <si>
    <t>26.09.2024 18:43:53</t>
  </si>
  <si>
    <t>ІБ00-000368</t>
  </si>
  <si>
    <t>Акт № 81</t>
  </si>
  <si>
    <t>26.09.2024 18:43:54</t>
  </si>
  <si>
    <t>ІБ00-000369</t>
  </si>
  <si>
    <t>Акт № 86</t>
  </si>
  <si>
    <t>26.09.2024 18:43:55</t>
  </si>
  <si>
    <t>ІБ00-000370</t>
  </si>
  <si>
    <t>Акт № 89</t>
  </si>
  <si>
    <t>26.09.2024 18:43:56</t>
  </si>
  <si>
    <t>ІБ00-000371</t>
  </si>
  <si>
    <t>Акт № 90</t>
  </si>
  <si>
    <t>26.09.2024 18:43:57</t>
  </si>
  <si>
    <t>ІБ00-000372</t>
  </si>
  <si>
    <t>Акт № 91</t>
  </si>
  <si>
    <t>30.09.2024 00:00:00</t>
  </si>
  <si>
    <t>ІБ00-000214</t>
  </si>
  <si>
    <t>Акт № 4 ДУ № 13 від 20.09.2023, року ДОГОВІР 20230815-3 від 15.08.2023</t>
  </si>
  <si>
    <t>ІБ00-000248</t>
  </si>
  <si>
    <t>Акт № 9 ДУ № 13 від 20.09.2023, року ДОГОВІР 20230815-3 від 15.08.2023</t>
  </si>
  <si>
    <t>ІБ00-000249</t>
  </si>
  <si>
    <t>Акт № 10 ДУ № 13 від 20.09.2023, року ДОГОВІР 20230815-3 від 15.08.2023</t>
  </si>
  <si>
    <t>30.09.2024 10:58:40</t>
  </si>
  <si>
    <t>ІБ00-000373</t>
  </si>
  <si>
    <t>Акт № 87</t>
  </si>
  <si>
    <t>30.09.2024 10:59:35</t>
  </si>
  <si>
    <t>ІБ00-000374</t>
  </si>
  <si>
    <t>Акт № 92</t>
  </si>
  <si>
    <t>30.09.2024 11:00:41</t>
  </si>
  <si>
    <t>ІБ00-000375</t>
  </si>
  <si>
    <t>Акт № 93</t>
  </si>
  <si>
    <t>30.09.2024 11:01:52</t>
  </si>
  <si>
    <t>ІБ00-000376</t>
  </si>
  <si>
    <t>Акт № 94</t>
  </si>
  <si>
    <t>30.09.2024 11:02:22</t>
  </si>
  <si>
    <t>ІБ00-000377</t>
  </si>
  <si>
    <t>Акт № 95</t>
  </si>
  <si>
    <t>30.09.2024 11:04:44</t>
  </si>
  <si>
    <t>ІБ00-000378</t>
  </si>
  <si>
    <t>Акт № 85</t>
  </si>
  <si>
    <t>Крушинка</t>
  </si>
  <si>
    <t>Глобино</t>
  </si>
  <si>
    <t>Нежин-3</t>
  </si>
  <si>
    <t>Староконстантинов</t>
  </si>
  <si>
    <t>ВСЕГО</t>
  </si>
  <si>
    <t>Списаны ТМЦ</t>
  </si>
  <si>
    <t>Реализация товаров</t>
  </si>
  <si>
    <t>НДС: налоговые обязательства: отгрузка, первое событие</t>
  </si>
  <si>
    <t>09.07.2024 11:16:44</t>
  </si>
  <si>
    <t>ІБ00-000230</t>
  </si>
  <si>
    <t>Акт 1</t>
  </si>
  <si>
    <t>15.07.2024 00:00:00</t>
  </si>
  <si>
    <t>ІБ00-000237</t>
  </si>
  <si>
    <t>Акт 2</t>
  </si>
  <si>
    <t>26.07.2024 14:02:09</t>
  </si>
  <si>
    <t>ІБ00-000252</t>
  </si>
  <si>
    <t>05.08.2024 09:48:28</t>
  </si>
  <si>
    <t>ІБ00-000264</t>
  </si>
  <si>
    <t>06.08.2024 13:27:43</t>
  </si>
  <si>
    <t>ІБ00-000271</t>
  </si>
  <si>
    <t>Акт 4</t>
  </si>
  <si>
    <t>15.08.2024 16:50:04</t>
  </si>
  <si>
    <t>ІБ00-000310</t>
  </si>
  <si>
    <t>16.08.2024 08:52:38</t>
  </si>
  <si>
    <t>ІБ00-000311</t>
  </si>
  <si>
    <t>Акт 5</t>
  </si>
  <si>
    <t>21.08.2024 15:06:05</t>
  </si>
  <si>
    <t>ІБ00-000314</t>
  </si>
  <si>
    <t>Акт 6</t>
  </si>
  <si>
    <t>26.08.2024 00:00:00</t>
  </si>
  <si>
    <t>ІБ00-000315</t>
  </si>
  <si>
    <t>07.10.2024 12:00:00</t>
  </si>
  <si>
    <t>ІБ00-000382</t>
  </si>
  <si>
    <t>Акт 3 (об'єднали акти 3-9)</t>
  </si>
  <si>
    <t>08.10.2024 13:19:00</t>
  </si>
  <si>
    <t>ІБ00-000420</t>
  </si>
  <si>
    <t>Акт 1/1.3-КБ Цех екстракції</t>
  </si>
  <si>
    <t>08.10.2024 13:20:28</t>
  </si>
  <si>
    <t>ІБ00-000421</t>
  </si>
  <si>
    <t>08.10.2024 13:23:05</t>
  </si>
  <si>
    <t>ІБ00-000422</t>
  </si>
  <si>
    <t>Акт 1/1.14-КБ Котельня</t>
  </si>
  <si>
    <t>08.10.2024 15:14:21</t>
  </si>
  <si>
    <t>ІБ00-000423</t>
  </si>
  <si>
    <t>Акт 1/1.5-КБ (насосна,градирня)</t>
  </si>
  <si>
    <t>08.10.2024 15:29:38</t>
  </si>
  <si>
    <t>ІБ00-000424</t>
  </si>
  <si>
    <t>Акт 1/1.4-КБ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</si>
</sst>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  <font>
      <sz val="14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0"/>
      <color indexed="63"/>
      <name val="Arial"/>
      <family val="2"/>
      <charset val="204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/>
      <top/>
      <bottom/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/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0" fontId="4" fillId="0" borderId="0" xfId="0" applyFont="1"/>
    <xf numFmtId="4" fontId="0" fillId="0" borderId="0" xfId="0" applyNumberFormat="1"/>
    <xf numFmtId="4" fontId="5" fillId="0" borderId="0" xfId="0" applyNumberFormat="1" applyFont="1"/>
    <xf numFmtId="0" fontId="6" fillId="0" borderId="0" xfId="0" applyFont="1"/>
    <xf numFmtId="4" fontId="6" fillId="0" borderId="0" xfId="0" applyNumberFormat="1" applyFont="1"/>
    <xf numFmtId="4" fontId="4" fillId="3" borderId="0" xfId="0" applyNumberFormat="1" applyFont="1" applyFill="1"/>
    <xf numFmtId="0" fontId="7" fillId="2" borderId="1" xfId="1" applyNumberFormat="1" applyFont="1" applyFill="1" applyBorder="1" applyAlignment="1">
      <alignment horizontal="left" vertical="top"/>
    </xf>
    <xf numFmtId="0" fontId="1" fillId="4" borderId="1" xfId="1" applyNumberFormat="1" applyFont="1" applyFill="1" applyBorder="1" applyAlignment="1">
      <alignment horizontal="left" vertical="top"/>
    </xf>
    <xf numFmtId="0" fontId="8" fillId="4" borderId="0" xfId="0" applyFont="1" applyFill="1"/>
    <xf numFmtId="4" fontId="3" fillId="5" borderId="1" xfId="1" applyNumberFormat="1" applyFont="1" applyFill="1" applyBorder="1" applyAlignment="1">
      <alignment horizontal="right" vertical="top"/>
    </xf>
    <xf numFmtId="0" fontId="3" fillId="6" borderId="1" xfId="1" applyNumberFormat="1" applyFont="1" applyFill="1" applyBorder="1" applyAlignment="1">
      <alignment horizontal="left" vertical="top"/>
    </xf>
    <xf numFmtId="4" fontId="3" fillId="6" borderId="1" xfId="1" applyNumberFormat="1" applyFont="1" applyFill="1" applyBorder="1" applyAlignment="1">
      <alignment horizontal="right" vertical="top"/>
    </xf>
    <xf numFmtId="0" fontId="0" fillId="6" borderId="0" xfId="0" applyFill="1"/>
    <xf numFmtId="0" fontId="3" fillId="4" borderId="1" xfId="1" applyNumberFormat="1" applyFont="1" applyFill="1" applyBorder="1" applyAlignment="1">
      <alignment horizontal="left" vertical="top"/>
    </xf>
    <xf numFmtId="0" fontId="0" fillId="4" borderId="0" xfId="0" applyFill="1"/>
    <xf numFmtId="4" fontId="1" fillId="5" borderId="1" xfId="1" applyNumberFormat="1" applyFont="1" applyFill="1" applyBorder="1" applyAlignment="1">
      <alignment horizontal="right" vertical="top"/>
    </xf>
    <xf numFmtId="0" fontId="3" fillId="2" borderId="3" xfId="1" applyNumberFormat="1" applyFont="1" applyFill="1" applyBorder="1" applyAlignment="1">
      <alignment horizontal="left" vertical="top"/>
    </xf>
    <xf numFmtId="0" fontId="0" fillId="0" borderId="4" xfId="0" applyBorder="1"/>
    <xf numFmtId="0" fontId="0" fillId="0" borderId="6" xfId="0" applyBorder="1"/>
    <xf numFmtId="4" fontId="3" fillId="3" borderId="7" xfId="1" applyNumberFormat="1" applyFont="1" applyFill="1" applyBorder="1" applyAlignment="1">
      <alignment horizontal="right" vertical="top"/>
    </xf>
    <xf numFmtId="4" fontId="3" fillId="3" borderId="9" xfId="1" applyNumberFormat="1" applyFont="1" applyFill="1" applyBorder="1" applyAlignment="1">
      <alignment horizontal="right" vertical="top"/>
    </xf>
    <xf numFmtId="4" fontId="3" fillId="4" borderId="5" xfId="1" applyNumberFormat="1" applyFont="1" applyFill="1" applyBorder="1" applyAlignment="1">
      <alignment horizontal="right" vertical="top"/>
    </xf>
    <xf numFmtId="4" fontId="3" fillId="4" borderId="7" xfId="1" applyNumberFormat="1" applyFont="1" applyFill="1" applyBorder="1" applyAlignment="1">
      <alignment horizontal="right" vertical="top"/>
    </xf>
    <xf numFmtId="4" fontId="3" fillId="4" borderId="9" xfId="1" applyNumberFormat="1" applyFont="1" applyFill="1" applyBorder="1" applyAlignment="1">
      <alignment horizontal="right" vertical="top"/>
    </xf>
    <xf numFmtId="4" fontId="3" fillId="4" borderId="2" xfId="1" applyNumberFormat="1" applyFont="1" applyFill="1" applyBorder="1" applyAlignment="1">
      <alignment horizontal="right" vertical="top"/>
    </xf>
    <xf numFmtId="4" fontId="0" fillId="4" borderId="8" xfId="0" applyNumberFormat="1" applyFill="1" applyBorder="1"/>
    <xf numFmtId="4" fontId="3" fillId="3" borderId="10" xfId="1" applyNumberFormat="1" applyFont="1" applyFill="1" applyBorder="1" applyAlignment="1">
      <alignment horizontal="right" vertical="top"/>
    </xf>
    <xf numFmtId="4" fontId="0" fillId="3" borderId="8" xfId="0" applyNumberFormat="1" applyFill="1" applyBorder="1"/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topLeftCell="A61" workbookViewId="0">
      <selection activeCell="G72" sqref="G72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50.5546875" bestFit="1" customWidth="1"/>
    <col min="4" max="4" width="16.21875" bestFit="1" customWidth="1"/>
    <col min="5" max="5" width="7.6640625" bestFit="1" customWidth="1"/>
    <col min="6" max="6" width="22.77734375" bestFit="1" customWidth="1"/>
    <col min="7" max="7" width="16.6640625" bestFit="1" customWidth="1"/>
    <col min="8" max="8" width="14.5546875" bestFit="1" customWidth="1"/>
    <col min="9" max="9" width="6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646774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9</v>
      </c>
      <c r="B3" s="2" t="s">
        <v>17</v>
      </c>
      <c r="C3" s="2" t="s">
        <v>11</v>
      </c>
      <c r="D3" s="3">
        <v>8258.1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18</v>
      </c>
    </row>
    <row r="4" spans="1:9" x14ac:dyDescent="0.3">
      <c r="A4" s="2" t="s">
        <v>9</v>
      </c>
      <c r="B4" s="2" t="s">
        <v>19</v>
      </c>
      <c r="C4" s="2" t="s">
        <v>11</v>
      </c>
      <c r="D4" s="3">
        <v>83715.759999999995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20</v>
      </c>
    </row>
    <row r="5" spans="1:9" x14ac:dyDescent="0.3">
      <c r="A5" s="2" t="s">
        <v>9</v>
      </c>
      <c r="B5" s="2" t="s">
        <v>21</v>
      </c>
      <c r="C5" s="2" t="s">
        <v>11</v>
      </c>
      <c r="D5" s="3">
        <v>254850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22</v>
      </c>
    </row>
    <row r="6" spans="1:9" x14ac:dyDescent="0.3">
      <c r="A6" s="2" t="s">
        <v>9</v>
      </c>
      <c r="B6" s="2" t="s">
        <v>23</v>
      </c>
      <c r="C6" s="2" t="s">
        <v>11</v>
      </c>
      <c r="D6" s="3">
        <v>356841.48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24</v>
      </c>
    </row>
    <row r="7" spans="1:9" x14ac:dyDescent="0.3">
      <c r="A7" s="2" t="s">
        <v>9</v>
      </c>
      <c r="B7" s="2" t="s">
        <v>25</v>
      </c>
      <c r="C7" s="2" t="s">
        <v>11</v>
      </c>
      <c r="D7" s="3">
        <v>118268.03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26</v>
      </c>
    </row>
    <row r="8" spans="1:9" x14ac:dyDescent="0.3">
      <c r="A8" s="2" t="s">
        <v>9</v>
      </c>
      <c r="B8" s="2" t="s">
        <v>27</v>
      </c>
      <c r="C8" s="2" t="s">
        <v>11</v>
      </c>
      <c r="D8" s="3">
        <v>221742.84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28</v>
      </c>
    </row>
    <row r="9" spans="1:9" x14ac:dyDescent="0.3">
      <c r="A9" s="2" t="s">
        <v>9</v>
      </c>
      <c r="B9" s="2" t="s">
        <v>29</v>
      </c>
      <c r="C9" s="2" t="s">
        <v>11</v>
      </c>
      <c r="D9" s="3">
        <v>397492.84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30</v>
      </c>
    </row>
    <row r="10" spans="1:9" x14ac:dyDescent="0.3">
      <c r="A10" s="2" t="s">
        <v>9</v>
      </c>
      <c r="B10" s="2" t="s">
        <v>31</v>
      </c>
      <c r="C10" s="2" t="s">
        <v>11</v>
      </c>
      <c r="D10" s="3">
        <v>117879.35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32</v>
      </c>
    </row>
    <row r="11" spans="1:9" x14ac:dyDescent="0.3">
      <c r="A11" s="2" t="s">
        <v>33</v>
      </c>
      <c r="B11" s="2" t="s">
        <v>34</v>
      </c>
      <c r="C11" s="2" t="s">
        <v>35</v>
      </c>
      <c r="D11" s="3">
        <v>2571099.5499999998</v>
      </c>
      <c r="E11" s="2" t="s">
        <v>12</v>
      </c>
      <c r="F11" s="2" t="s">
        <v>36</v>
      </c>
      <c r="G11" s="2" t="s">
        <v>14</v>
      </c>
      <c r="H11" s="2" t="s">
        <v>15</v>
      </c>
      <c r="I11" s="2" t="s">
        <v>37</v>
      </c>
    </row>
    <row r="12" spans="1:9" x14ac:dyDescent="0.3">
      <c r="A12" s="2" t="s">
        <v>40</v>
      </c>
      <c r="B12" s="2" t="s">
        <v>41</v>
      </c>
      <c r="C12" s="2" t="s">
        <v>11</v>
      </c>
      <c r="D12" s="3">
        <v>203939.56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42</v>
      </c>
    </row>
    <row r="13" spans="1:9" x14ac:dyDescent="0.3">
      <c r="A13" s="2" t="s">
        <v>43</v>
      </c>
      <c r="B13" s="2" t="s">
        <v>44</v>
      </c>
      <c r="C13" s="2" t="s">
        <v>35</v>
      </c>
      <c r="D13" s="3">
        <v>3356872.52</v>
      </c>
      <c r="E13" s="2" t="s">
        <v>12</v>
      </c>
      <c r="F13" s="2" t="s">
        <v>36</v>
      </c>
      <c r="G13" s="2" t="s">
        <v>14</v>
      </c>
      <c r="H13" s="2" t="s">
        <v>15</v>
      </c>
      <c r="I13" s="2" t="s">
        <v>45</v>
      </c>
    </row>
    <row r="14" spans="1:9" x14ac:dyDescent="0.3">
      <c r="A14" s="2" t="s">
        <v>46</v>
      </c>
      <c r="B14" s="2" t="s">
        <v>47</v>
      </c>
      <c r="C14" s="2" t="s">
        <v>48</v>
      </c>
      <c r="D14" s="3">
        <v>120290.46</v>
      </c>
      <c r="E14" s="2" t="s">
        <v>12</v>
      </c>
      <c r="F14" s="2" t="s">
        <v>49</v>
      </c>
      <c r="G14" s="2" t="s">
        <v>14</v>
      </c>
      <c r="H14" s="2" t="s">
        <v>50</v>
      </c>
      <c r="I14" s="2" t="s">
        <v>51</v>
      </c>
    </row>
    <row r="15" spans="1:9" x14ac:dyDescent="0.3">
      <c r="A15" s="2" t="s">
        <v>52</v>
      </c>
      <c r="B15" s="2" t="s">
        <v>53</v>
      </c>
      <c r="C15" s="2" t="s">
        <v>11</v>
      </c>
      <c r="D15" s="3">
        <v>24192.53</v>
      </c>
      <c r="E15" s="2" t="s">
        <v>12</v>
      </c>
      <c r="F15" s="2" t="s">
        <v>13</v>
      </c>
      <c r="G15" s="2" t="s">
        <v>14</v>
      </c>
      <c r="H15" s="2" t="s">
        <v>15</v>
      </c>
      <c r="I15" s="2" t="s">
        <v>54</v>
      </c>
    </row>
    <row r="16" spans="1:9" x14ac:dyDescent="0.3">
      <c r="A16" s="2" t="s">
        <v>55</v>
      </c>
      <c r="B16" s="2" t="s">
        <v>56</v>
      </c>
      <c r="C16" s="2" t="s">
        <v>11</v>
      </c>
      <c r="D16" s="3">
        <v>98295.33</v>
      </c>
      <c r="E16" s="2" t="s">
        <v>12</v>
      </c>
      <c r="F16" s="2" t="s">
        <v>13</v>
      </c>
      <c r="G16" s="2" t="s">
        <v>14</v>
      </c>
      <c r="H16" s="2" t="s">
        <v>15</v>
      </c>
      <c r="I16" s="2" t="s">
        <v>57</v>
      </c>
    </row>
    <row r="17" spans="1:9" x14ac:dyDescent="0.3">
      <c r="A17" s="2" t="s">
        <v>58</v>
      </c>
      <c r="B17" s="2" t="s">
        <v>59</v>
      </c>
      <c r="C17" s="2" t="s">
        <v>11</v>
      </c>
      <c r="D17" s="3">
        <v>1819844.1</v>
      </c>
      <c r="E17" s="2" t="s">
        <v>12</v>
      </c>
      <c r="F17" s="2" t="s">
        <v>13</v>
      </c>
      <c r="G17" s="2" t="s">
        <v>14</v>
      </c>
      <c r="H17" s="2" t="s">
        <v>15</v>
      </c>
      <c r="I17" s="2" t="s">
        <v>60</v>
      </c>
    </row>
    <row r="18" spans="1:9" x14ac:dyDescent="0.3">
      <c r="A18" s="2" t="s">
        <v>61</v>
      </c>
      <c r="B18" s="2" t="s">
        <v>62</v>
      </c>
      <c r="C18" s="2" t="s">
        <v>11</v>
      </c>
      <c r="D18" s="3">
        <v>29576.12</v>
      </c>
      <c r="E18" s="2" t="s">
        <v>12</v>
      </c>
      <c r="F18" s="2" t="s">
        <v>13</v>
      </c>
      <c r="G18" s="2" t="s">
        <v>14</v>
      </c>
      <c r="H18" s="2" t="s">
        <v>15</v>
      </c>
      <c r="I18" s="2" t="s">
        <v>63</v>
      </c>
    </row>
    <row r="19" spans="1:9" x14ac:dyDescent="0.3">
      <c r="A19" s="2" t="s">
        <v>64</v>
      </c>
      <c r="B19" s="2" t="s">
        <v>65</v>
      </c>
      <c r="C19" s="2" t="s">
        <v>11</v>
      </c>
      <c r="D19" s="3">
        <v>15700</v>
      </c>
      <c r="E19" s="2" t="s">
        <v>12</v>
      </c>
      <c r="F19" s="2" t="s">
        <v>13</v>
      </c>
      <c r="G19" s="2" t="s">
        <v>14</v>
      </c>
      <c r="H19" s="2" t="s">
        <v>15</v>
      </c>
      <c r="I19" s="2" t="s">
        <v>66</v>
      </c>
    </row>
    <row r="20" spans="1:9" x14ac:dyDescent="0.3">
      <c r="A20" s="2" t="s">
        <v>67</v>
      </c>
      <c r="B20" s="2" t="s">
        <v>68</v>
      </c>
      <c r="C20" s="2" t="s">
        <v>11</v>
      </c>
      <c r="D20" s="3">
        <v>2250</v>
      </c>
      <c r="E20" s="2" t="s">
        <v>12</v>
      </c>
      <c r="F20" s="2" t="s">
        <v>13</v>
      </c>
      <c r="G20" s="2" t="s">
        <v>14</v>
      </c>
      <c r="H20" s="2" t="s">
        <v>15</v>
      </c>
      <c r="I20" s="2" t="s">
        <v>69</v>
      </c>
    </row>
    <row r="21" spans="1:9" x14ac:dyDescent="0.3">
      <c r="A21" s="2" t="s">
        <v>70</v>
      </c>
      <c r="B21" s="2" t="s">
        <v>71</v>
      </c>
      <c r="C21" s="2" t="s">
        <v>11</v>
      </c>
      <c r="D21" s="3">
        <v>3843652.43</v>
      </c>
      <c r="E21" s="2" t="s">
        <v>12</v>
      </c>
      <c r="F21" s="2" t="s">
        <v>13</v>
      </c>
      <c r="G21" s="2" t="s">
        <v>14</v>
      </c>
      <c r="H21" s="2" t="s">
        <v>15</v>
      </c>
      <c r="I21" s="2" t="s">
        <v>72</v>
      </c>
    </row>
    <row r="22" spans="1:9" x14ac:dyDescent="0.3">
      <c r="A22" s="2" t="s">
        <v>73</v>
      </c>
      <c r="B22" s="2" t="s">
        <v>74</v>
      </c>
      <c r="C22" s="2" t="s">
        <v>38</v>
      </c>
      <c r="D22" s="3">
        <v>120551.08</v>
      </c>
      <c r="E22" s="2" t="s">
        <v>12</v>
      </c>
      <c r="F22" s="2" t="s">
        <v>39</v>
      </c>
      <c r="G22" s="2" t="s">
        <v>14</v>
      </c>
      <c r="H22" s="2" t="s">
        <v>15</v>
      </c>
      <c r="I22" s="2" t="s">
        <v>75</v>
      </c>
    </row>
    <row r="23" spans="1:9" x14ac:dyDescent="0.3">
      <c r="A23" s="2" t="s">
        <v>73</v>
      </c>
      <c r="B23" s="2" t="s">
        <v>76</v>
      </c>
      <c r="C23" s="2" t="s">
        <v>38</v>
      </c>
      <c r="D23" s="3">
        <v>224442.72</v>
      </c>
      <c r="E23" s="2" t="s">
        <v>12</v>
      </c>
      <c r="F23" s="2" t="s">
        <v>39</v>
      </c>
      <c r="G23" s="2" t="s">
        <v>14</v>
      </c>
      <c r="H23" s="2" t="s">
        <v>15</v>
      </c>
      <c r="I23" s="2" t="s">
        <v>77</v>
      </c>
    </row>
    <row r="24" spans="1:9" x14ac:dyDescent="0.3">
      <c r="A24" s="2" t="s">
        <v>73</v>
      </c>
      <c r="B24" s="2" t="s">
        <v>78</v>
      </c>
      <c r="C24" s="2" t="s">
        <v>38</v>
      </c>
      <c r="D24" s="3">
        <v>144257.29</v>
      </c>
      <c r="E24" s="2" t="s">
        <v>12</v>
      </c>
      <c r="F24" s="2" t="s">
        <v>39</v>
      </c>
      <c r="G24" s="2" t="s">
        <v>14</v>
      </c>
      <c r="H24" s="2" t="s">
        <v>15</v>
      </c>
      <c r="I24" s="2" t="s">
        <v>79</v>
      </c>
    </row>
    <row r="25" spans="1:9" x14ac:dyDescent="0.3">
      <c r="A25" s="2" t="s">
        <v>73</v>
      </c>
      <c r="B25" s="2" t="s">
        <v>80</v>
      </c>
      <c r="C25" s="2" t="s">
        <v>38</v>
      </c>
      <c r="D25" s="3">
        <v>112681.46</v>
      </c>
      <c r="E25" s="2" t="s">
        <v>12</v>
      </c>
      <c r="F25" s="2" t="s">
        <v>39</v>
      </c>
      <c r="G25" s="2" t="s">
        <v>14</v>
      </c>
      <c r="H25" s="2" t="s">
        <v>15</v>
      </c>
      <c r="I25" s="2" t="s">
        <v>81</v>
      </c>
    </row>
    <row r="26" spans="1:9" x14ac:dyDescent="0.3">
      <c r="A26" s="2" t="s">
        <v>73</v>
      </c>
      <c r="B26" s="2" t="s">
        <v>82</v>
      </c>
      <c r="C26" s="2" t="s">
        <v>38</v>
      </c>
      <c r="D26" s="3">
        <v>822049.38</v>
      </c>
      <c r="E26" s="2" t="s">
        <v>12</v>
      </c>
      <c r="F26" s="2" t="s">
        <v>39</v>
      </c>
      <c r="G26" s="2" t="s">
        <v>14</v>
      </c>
      <c r="H26" s="2" t="s">
        <v>15</v>
      </c>
      <c r="I26" s="2" t="s">
        <v>83</v>
      </c>
    </row>
    <row r="27" spans="1:9" x14ac:dyDescent="0.3">
      <c r="A27" s="2" t="s">
        <v>73</v>
      </c>
      <c r="B27" s="2" t="s">
        <v>84</v>
      </c>
      <c r="C27" s="2" t="s">
        <v>38</v>
      </c>
      <c r="D27" s="3">
        <v>684914.94</v>
      </c>
      <c r="E27" s="2" t="s">
        <v>12</v>
      </c>
      <c r="F27" s="2" t="s">
        <v>39</v>
      </c>
      <c r="G27" s="2" t="s">
        <v>14</v>
      </c>
      <c r="H27" s="2" t="s">
        <v>15</v>
      </c>
      <c r="I27" s="2" t="s">
        <v>85</v>
      </c>
    </row>
    <row r="28" spans="1:9" x14ac:dyDescent="0.3">
      <c r="A28" s="2" t="s">
        <v>73</v>
      </c>
      <c r="B28" s="2" t="s">
        <v>86</v>
      </c>
      <c r="C28" s="2" t="s">
        <v>38</v>
      </c>
      <c r="D28" s="3">
        <v>303821.78000000003</v>
      </c>
      <c r="E28" s="2" t="s">
        <v>12</v>
      </c>
      <c r="F28" s="2" t="s">
        <v>39</v>
      </c>
      <c r="G28" s="2" t="s">
        <v>14</v>
      </c>
      <c r="H28" s="2" t="s">
        <v>15</v>
      </c>
      <c r="I28" s="2" t="s">
        <v>87</v>
      </c>
    </row>
    <row r="29" spans="1:9" x14ac:dyDescent="0.3">
      <c r="A29" s="2" t="s">
        <v>73</v>
      </c>
      <c r="B29" s="2" t="s">
        <v>88</v>
      </c>
      <c r="C29" s="2" t="s">
        <v>38</v>
      </c>
      <c r="D29" s="3">
        <v>17098.009999999998</v>
      </c>
      <c r="E29" s="2" t="s">
        <v>12</v>
      </c>
      <c r="F29" s="2" t="s">
        <v>39</v>
      </c>
      <c r="G29" s="2" t="s">
        <v>14</v>
      </c>
      <c r="H29" s="2" t="s">
        <v>15</v>
      </c>
      <c r="I29" s="2" t="s">
        <v>89</v>
      </c>
    </row>
    <row r="30" spans="1:9" x14ac:dyDescent="0.3">
      <c r="A30" s="2" t="s">
        <v>73</v>
      </c>
      <c r="B30" s="2" t="s">
        <v>90</v>
      </c>
      <c r="C30" s="2" t="s">
        <v>38</v>
      </c>
      <c r="D30" s="3">
        <v>41463.550000000003</v>
      </c>
      <c r="E30" s="2" t="s">
        <v>12</v>
      </c>
      <c r="F30" s="2" t="s">
        <v>39</v>
      </c>
      <c r="G30" s="2" t="s">
        <v>14</v>
      </c>
      <c r="H30" s="2" t="s">
        <v>15</v>
      </c>
      <c r="I30" s="2" t="s">
        <v>91</v>
      </c>
    </row>
    <row r="31" spans="1:9" x14ac:dyDescent="0.3">
      <c r="A31" s="2" t="s">
        <v>73</v>
      </c>
      <c r="B31" s="2" t="s">
        <v>92</v>
      </c>
      <c r="C31" s="2" t="s">
        <v>38</v>
      </c>
      <c r="D31" s="3">
        <v>62344.46</v>
      </c>
      <c r="E31" s="2" t="s">
        <v>12</v>
      </c>
      <c r="F31" s="2" t="s">
        <v>39</v>
      </c>
      <c r="G31" s="2" t="s">
        <v>14</v>
      </c>
      <c r="H31" s="2" t="s">
        <v>15</v>
      </c>
      <c r="I31" s="2" t="s">
        <v>93</v>
      </c>
    </row>
    <row r="32" spans="1:9" x14ac:dyDescent="0.3">
      <c r="A32" s="2" t="s">
        <v>94</v>
      </c>
      <c r="B32" s="2" t="s">
        <v>95</v>
      </c>
      <c r="C32" s="2" t="s">
        <v>35</v>
      </c>
      <c r="D32" s="3">
        <v>291840</v>
      </c>
      <c r="E32" s="2" t="s">
        <v>12</v>
      </c>
      <c r="F32" s="2" t="s">
        <v>36</v>
      </c>
      <c r="G32" s="2" t="s">
        <v>14</v>
      </c>
      <c r="H32" s="2" t="s">
        <v>50</v>
      </c>
      <c r="I32" s="2" t="s">
        <v>96</v>
      </c>
    </row>
    <row r="33" spans="1:9" x14ac:dyDescent="0.3">
      <c r="A33" s="2" t="s">
        <v>97</v>
      </c>
      <c r="B33" s="2" t="s">
        <v>98</v>
      </c>
      <c r="C33" s="2" t="s">
        <v>38</v>
      </c>
      <c r="D33" s="3">
        <v>101715.43</v>
      </c>
      <c r="E33" s="2" t="s">
        <v>12</v>
      </c>
      <c r="F33" s="2" t="s">
        <v>39</v>
      </c>
      <c r="G33" s="2" t="s">
        <v>14</v>
      </c>
      <c r="H33" s="2" t="s">
        <v>50</v>
      </c>
      <c r="I33" s="2" t="s">
        <v>99</v>
      </c>
    </row>
    <row r="34" spans="1:9" x14ac:dyDescent="0.3">
      <c r="A34" s="2" t="s">
        <v>100</v>
      </c>
      <c r="B34" s="2" t="s">
        <v>101</v>
      </c>
      <c r="C34" s="2" t="s">
        <v>38</v>
      </c>
      <c r="D34" s="3">
        <v>77659.3</v>
      </c>
      <c r="E34" s="2" t="s">
        <v>12</v>
      </c>
      <c r="F34" s="2" t="s">
        <v>39</v>
      </c>
      <c r="G34" s="2" t="s">
        <v>14</v>
      </c>
      <c r="H34" s="2" t="s">
        <v>50</v>
      </c>
      <c r="I34" s="2" t="s">
        <v>102</v>
      </c>
    </row>
    <row r="35" spans="1:9" x14ac:dyDescent="0.3">
      <c r="A35" s="2" t="s">
        <v>103</v>
      </c>
      <c r="B35" s="2" t="s">
        <v>104</v>
      </c>
      <c r="C35" s="2" t="s">
        <v>38</v>
      </c>
      <c r="D35" s="3">
        <v>218313.38</v>
      </c>
      <c r="E35" s="2" t="s">
        <v>12</v>
      </c>
      <c r="F35" s="2" t="s">
        <v>39</v>
      </c>
      <c r="G35" s="2" t="s">
        <v>14</v>
      </c>
      <c r="H35" s="2" t="s">
        <v>50</v>
      </c>
      <c r="I35" s="2" t="s">
        <v>105</v>
      </c>
    </row>
    <row r="36" spans="1:9" x14ac:dyDescent="0.3">
      <c r="A36" s="2" t="s">
        <v>106</v>
      </c>
      <c r="B36" s="2" t="s">
        <v>107</v>
      </c>
      <c r="C36" s="2" t="s">
        <v>48</v>
      </c>
      <c r="D36" s="3">
        <v>785891.78</v>
      </c>
      <c r="E36" s="2" t="s">
        <v>12</v>
      </c>
      <c r="F36" s="2" t="s">
        <v>49</v>
      </c>
      <c r="G36" s="2" t="s">
        <v>14</v>
      </c>
      <c r="H36" s="2" t="s">
        <v>15</v>
      </c>
      <c r="I36" s="2" t="s">
        <v>108</v>
      </c>
    </row>
    <row r="37" spans="1:9" x14ac:dyDescent="0.3">
      <c r="A37" s="2" t="s">
        <v>109</v>
      </c>
      <c r="B37" s="2" t="s">
        <v>110</v>
      </c>
      <c r="C37" s="2" t="s">
        <v>11</v>
      </c>
      <c r="D37" s="3">
        <v>111272.5</v>
      </c>
      <c r="E37" s="2" t="s">
        <v>12</v>
      </c>
      <c r="F37" s="2" t="s">
        <v>13</v>
      </c>
      <c r="G37" s="2" t="s">
        <v>14</v>
      </c>
      <c r="H37" s="2" t="s">
        <v>15</v>
      </c>
      <c r="I37" s="2" t="s">
        <v>111</v>
      </c>
    </row>
    <row r="38" spans="1:9" x14ac:dyDescent="0.3">
      <c r="A38" s="2" t="s">
        <v>112</v>
      </c>
      <c r="B38" s="2" t="s">
        <v>113</v>
      </c>
      <c r="C38" s="2" t="s">
        <v>11</v>
      </c>
      <c r="D38" s="3">
        <v>185810.15</v>
      </c>
      <c r="E38" s="2" t="s">
        <v>12</v>
      </c>
      <c r="F38" s="2" t="s">
        <v>13</v>
      </c>
      <c r="G38" s="2" t="s">
        <v>14</v>
      </c>
      <c r="H38" s="2" t="s">
        <v>15</v>
      </c>
      <c r="I38" s="2" t="s">
        <v>114</v>
      </c>
    </row>
    <row r="39" spans="1:9" x14ac:dyDescent="0.3">
      <c r="A39" s="2" t="s">
        <v>115</v>
      </c>
      <c r="B39" s="2" t="s">
        <v>116</v>
      </c>
      <c r="C39" s="2" t="s">
        <v>11</v>
      </c>
      <c r="D39" s="3">
        <v>264860</v>
      </c>
      <c r="E39" s="2" t="s">
        <v>12</v>
      </c>
      <c r="F39" s="2" t="s">
        <v>13</v>
      </c>
      <c r="G39" s="2" t="s">
        <v>14</v>
      </c>
      <c r="H39" s="2" t="s">
        <v>15</v>
      </c>
      <c r="I39" s="2" t="s">
        <v>117</v>
      </c>
    </row>
    <row r="40" spans="1:9" x14ac:dyDescent="0.3">
      <c r="A40" s="2" t="s">
        <v>118</v>
      </c>
      <c r="B40" s="2" t="s">
        <v>119</v>
      </c>
      <c r="C40" s="2" t="s">
        <v>35</v>
      </c>
      <c r="D40" s="3">
        <v>1266401.57</v>
      </c>
      <c r="E40" s="2" t="s">
        <v>12</v>
      </c>
      <c r="F40" s="2" t="s">
        <v>36</v>
      </c>
      <c r="G40" s="2" t="s">
        <v>14</v>
      </c>
      <c r="H40" s="2" t="s">
        <v>15</v>
      </c>
      <c r="I40" s="2" t="s">
        <v>120</v>
      </c>
    </row>
    <row r="41" spans="1:9" x14ac:dyDescent="0.3">
      <c r="A41" s="2" t="s">
        <v>121</v>
      </c>
      <c r="B41" s="2" t="s">
        <v>122</v>
      </c>
      <c r="C41" s="2" t="s">
        <v>35</v>
      </c>
      <c r="D41" s="3">
        <v>34908.25</v>
      </c>
      <c r="E41" s="2" t="s">
        <v>12</v>
      </c>
      <c r="F41" s="2" t="s">
        <v>36</v>
      </c>
      <c r="G41" s="2" t="s">
        <v>14</v>
      </c>
      <c r="H41" s="2" t="s">
        <v>50</v>
      </c>
      <c r="I41" s="2" t="s">
        <v>123</v>
      </c>
    </row>
    <row r="42" spans="1:9" x14ac:dyDescent="0.3">
      <c r="A42" s="2" t="s">
        <v>124</v>
      </c>
      <c r="B42" s="2" t="s">
        <v>125</v>
      </c>
      <c r="C42" s="2" t="s">
        <v>11</v>
      </c>
      <c r="D42" s="3">
        <v>71715.899999999994</v>
      </c>
      <c r="E42" s="2" t="s">
        <v>12</v>
      </c>
      <c r="F42" s="2" t="s">
        <v>13</v>
      </c>
      <c r="G42" s="2" t="s">
        <v>14</v>
      </c>
      <c r="H42" s="2" t="s">
        <v>50</v>
      </c>
      <c r="I42" s="2" t="s">
        <v>126</v>
      </c>
    </row>
    <row r="43" spans="1:9" x14ac:dyDescent="0.3">
      <c r="A43" s="2" t="s">
        <v>127</v>
      </c>
      <c r="B43" s="2" t="s">
        <v>128</v>
      </c>
      <c r="C43" s="2" t="s">
        <v>11</v>
      </c>
      <c r="D43" s="3">
        <v>77459.5</v>
      </c>
      <c r="E43" s="2" t="s">
        <v>12</v>
      </c>
      <c r="F43" s="2" t="s">
        <v>13</v>
      </c>
      <c r="G43" s="2" t="s">
        <v>14</v>
      </c>
      <c r="H43" s="2" t="s">
        <v>50</v>
      </c>
      <c r="I43" s="2" t="s">
        <v>129</v>
      </c>
    </row>
    <row r="44" spans="1:9" x14ac:dyDescent="0.3">
      <c r="A44" s="2" t="s">
        <v>130</v>
      </c>
      <c r="B44" s="2" t="s">
        <v>131</v>
      </c>
      <c r="C44" s="2" t="s">
        <v>11</v>
      </c>
      <c r="D44" s="3">
        <v>283975</v>
      </c>
      <c r="E44" s="2" t="s">
        <v>12</v>
      </c>
      <c r="F44" s="2" t="s">
        <v>13</v>
      </c>
      <c r="G44" s="2" t="s">
        <v>14</v>
      </c>
      <c r="H44" s="2" t="s">
        <v>50</v>
      </c>
      <c r="I44" s="2" t="s">
        <v>132</v>
      </c>
    </row>
    <row r="45" spans="1:9" x14ac:dyDescent="0.3">
      <c r="A45" s="2" t="s">
        <v>133</v>
      </c>
      <c r="B45" s="2" t="s">
        <v>134</v>
      </c>
      <c r="C45" s="2" t="s">
        <v>11</v>
      </c>
      <c r="D45" s="3">
        <v>51720</v>
      </c>
      <c r="E45" s="2" t="s">
        <v>12</v>
      </c>
      <c r="F45" s="2" t="s">
        <v>13</v>
      </c>
      <c r="G45" s="2" t="s">
        <v>14</v>
      </c>
      <c r="H45" s="2" t="s">
        <v>50</v>
      </c>
      <c r="I45" s="2" t="s">
        <v>135</v>
      </c>
    </row>
    <row r="46" spans="1:9" x14ac:dyDescent="0.3">
      <c r="A46" s="2" t="s">
        <v>136</v>
      </c>
      <c r="B46" s="2" t="s">
        <v>137</v>
      </c>
      <c r="C46" s="2" t="s">
        <v>11</v>
      </c>
      <c r="D46" s="3">
        <v>63217.29</v>
      </c>
      <c r="E46" s="2" t="s">
        <v>12</v>
      </c>
      <c r="F46" s="2" t="s">
        <v>13</v>
      </c>
      <c r="G46" s="2" t="s">
        <v>14</v>
      </c>
      <c r="H46" s="2" t="s">
        <v>50</v>
      </c>
      <c r="I46" s="2" t="s">
        <v>138</v>
      </c>
    </row>
    <row r="47" spans="1:9" x14ac:dyDescent="0.3">
      <c r="A47" s="2" t="s">
        <v>139</v>
      </c>
      <c r="B47" s="2" t="s">
        <v>140</v>
      </c>
      <c r="C47" s="2" t="s">
        <v>11</v>
      </c>
      <c r="D47" s="3">
        <v>72225.63</v>
      </c>
      <c r="E47" s="2" t="s">
        <v>12</v>
      </c>
      <c r="F47" s="2" t="s">
        <v>13</v>
      </c>
      <c r="G47" s="2" t="s">
        <v>14</v>
      </c>
      <c r="H47" s="2" t="s">
        <v>50</v>
      </c>
      <c r="I47" s="2" t="s">
        <v>141</v>
      </c>
    </row>
    <row r="48" spans="1:9" x14ac:dyDescent="0.3">
      <c r="A48" s="2" t="s">
        <v>142</v>
      </c>
      <c r="B48" s="2" t="s">
        <v>143</v>
      </c>
      <c r="C48" s="2" t="s">
        <v>11</v>
      </c>
      <c r="D48" s="3">
        <v>5670</v>
      </c>
      <c r="E48" s="2" t="s">
        <v>12</v>
      </c>
      <c r="F48" s="2" t="s">
        <v>13</v>
      </c>
      <c r="G48" s="2" t="s">
        <v>14</v>
      </c>
      <c r="H48" s="2" t="s">
        <v>50</v>
      </c>
      <c r="I48" s="2" t="s">
        <v>144</v>
      </c>
    </row>
    <row r="49" spans="1:9" x14ac:dyDescent="0.3">
      <c r="A49" s="2" t="s">
        <v>145</v>
      </c>
      <c r="B49" s="2" t="s">
        <v>146</v>
      </c>
      <c r="C49" s="2" t="s">
        <v>38</v>
      </c>
      <c r="D49" s="3">
        <v>5519057.6900000004</v>
      </c>
      <c r="E49" s="2" t="s">
        <v>12</v>
      </c>
      <c r="F49" s="2" t="s">
        <v>39</v>
      </c>
      <c r="G49" s="2" t="s">
        <v>14</v>
      </c>
      <c r="H49" s="2" t="s">
        <v>15</v>
      </c>
      <c r="I49" s="2" t="s">
        <v>147</v>
      </c>
    </row>
    <row r="50" spans="1:9" x14ac:dyDescent="0.3">
      <c r="A50" s="2" t="s">
        <v>145</v>
      </c>
      <c r="B50" s="2" t="s">
        <v>148</v>
      </c>
      <c r="C50" s="2" t="s">
        <v>38</v>
      </c>
      <c r="D50" s="3">
        <v>1837963.4</v>
      </c>
      <c r="E50" s="2" t="s">
        <v>12</v>
      </c>
      <c r="F50" s="2" t="s">
        <v>39</v>
      </c>
      <c r="G50" s="2" t="s">
        <v>14</v>
      </c>
      <c r="H50" s="2" t="s">
        <v>15</v>
      </c>
      <c r="I50" s="2" t="s">
        <v>149</v>
      </c>
    </row>
    <row r="51" spans="1:9" x14ac:dyDescent="0.3">
      <c r="A51" s="2" t="s">
        <v>145</v>
      </c>
      <c r="B51" s="2" t="s">
        <v>150</v>
      </c>
      <c r="C51" s="2" t="s">
        <v>38</v>
      </c>
      <c r="D51" s="3">
        <v>922398.04</v>
      </c>
      <c r="E51" s="2" t="s">
        <v>12</v>
      </c>
      <c r="F51" s="2" t="s">
        <v>39</v>
      </c>
      <c r="G51" s="2" t="s">
        <v>14</v>
      </c>
      <c r="H51" s="2" t="s">
        <v>15</v>
      </c>
      <c r="I51" s="2" t="s">
        <v>151</v>
      </c>
    </row>
    <row r="52" spans="1:9" x14ac:dyDescent="0.3">
      <c r="A52" s="2" t="s">
        <v>152</v>
      </c>
      <c r="B52" s="2" t="s">
        <v>153</v>
      </c>
      <c r="C52" s="2" t="s">
        <v>11</v>
      </c>
      <c r="D52" s="3">
        <v>19339.95</v>
      </c>
      <c r="E52" s="2" t="s">
        <v>12</v>
      </c>
      <c r="F52" s="2" t="s">
        <v>13</v>
      </c>
      <c r="G52" s="2" t="s">
        <v>14</v>
      </c>
      <c r="H52" s="2" t="s">
        <v>50</v>
      </c>
      <c r="I52" s="2" t="s">
        <v>154</v>
      </c>
    </row>
    <row r="53" spans="1:9" x14ac:dyDescent="0.3">
      <c r="A53" s="2" t="s">
        <v>155</v>
      </c>
      <c r="B53" s="2" t="s">
        <v>156</v>
      </c>
      <c r="C53" s="2" t="s">
        <v>11</v>
      </c>
      <c r="D53" s="3">
        <v>229503.26</v>
      </c>
      <c r="E53" s="2" t="s">
        <v>12</v>
      </c>
      <c r="F53" s="2" t="s">
        <v>13</v>
      </c>
      <c r="G53" s="2" t="s">
        <v>14</v>
      </c>
      <c r="H53" s="2" t="s">
        <v>50</v>
      </c>
      <c r="I53" s="2" t="s">
        <v>157</v>
      </c>
    </row>
    <row r="54" spans="1:9" x14ac:dyDescent="0.3">
      <c r="A54" s="2" t="s">
        <v>158</v>
      </c>
      <c r="B54" s="2" t="s">
        <v>159</v>
      </c>
      <c r="C54" s="2" t="s">
        <v>11</v>
      </c>
      <c r="D54" s="3">
        <v>27150</v>
      </c>
      <c r="E54" s="2" t="s">
        <v>12</v>
      </c>
      <c r="F54" s="2" t="s">
        <v>13</v>
      </c>
      <c r="G54" s="2" t="s">
        <v>14</v>
      </c>
      <c r="H54" s="2" t="s">
        <v>50</v>
      </c>
      <c r="I54" s="2" t="s">
        <v>160</v>
      </c>
    </row>
    <row r="55" spans="1:9" x14ac:dyDescent="0.3">
      <c r="A55" s="2" t="s">
        <v>161</v>
      </c>
      <c r="B55" s="2" t="s">
        <v>162</v>
      </c>
      <c r="C55" s="2" t="s">
        <v>11</v>
      </c>
      <c r="D55" s="3">
        <v>134843.24</v>
      </c>
      <c r="E55" s="2" t="s">
        <v>12</v>
      </c>
      <c r="F55" s="2" t="s">
        <v>13</v>
      </c>
      <c r="G55" s="2" t="s">
        <v>14</v>
      </c>
      <c r="H55" s="2" t="s">
        <v>50</v>
      </c>
      <c r="I55" s="2" t="s">
        <v>163</v>
      </c>
    </row>
    <row r="56" spans="1:9" x14ac:dyDescent="0.3">
      <c r="A56" s="2" t="s">
        <v>164</v>
      </c>
      <c r="B56" s="2" t="s">
        <v>165</v>
      </c>
      <c r="C56" s="2" t="s">
        <v>11</v>
      </c>
      <c r="D56" s="3">
        <v>198330</v>
      </c>
      <c r="E56" s="2" t="s">
        <v>12</v>
      </c>
      <c r="F56" s="2" t="s">
        <v>13</v>
      </c>
      <c r="G56" s="2" t="s">
        <v>14</v>
      </c>
      <c r="H56" s="2" t="s">
        <v>50</v>
      </c>
      <c r="I56" s="2" t="s">
        <v>166</v>
      </c>
    </row>
    <row r="57" spans="1:9" x14ac:dyDescent="0.3">
      <c r="A57" s="2" t="s">
        <v>167</v>
      </c>
      <c r="B57" s="2" t="s">
        <v>168</v>
      </c>
      <c r="C57" s="2" t="s">
        <v>11</v>
      </c>
      <c r="D57" s="3">
        <v>337941.17</v>
      </c>
      <c r="E57" s="2" t="s">
        <v>12</v>
      </c>
      <c r="F57" s="2" t="s">
        <v>13</v>
      </c>
      <c r="G57" s="2" t="s">
        <v>14</v>
      </c>
      <c r="H57" s="2" t="s">
        <v>50</v>
      </c>
      <c r="I57" s="2" t="s">
        <v>169</v>
      </c>
    </row>
    <row r="58" spans="1:9" x14ac:dyDescent="0.3">
      <c r="D58" s="5">
        <f>SUM(D2:D57)</f>
        <v>30016342.099999994</v>
      </c>
    </row>
    <row r="59" spans="1:9" x14ac:dyDescent="0.3">
      <c r="D59" s="6">
        <f>D58-D64</f>
        <v>0</v>
      </c>
    </row>
    <row r="60" spans="1:9" ht="18" x14ac:dyDescent="0.35">
      <c r="C60" s="4" t="s">
        <v>170</v>
      </c>
      <c r="D60" s="9">
        <f>D22+D23+D24+D25+D26+D27+D28+D29+D31+D30+D33+D34+D35+D49+D50+D51</f>
        <v>11210731.91</v>
      </c>
    </row>
    <row r="61" spans="1:9" ht="18" x14ac:dyDescent="0.35">
      <c r="C61" s="4" t="s">
        <v>171</v>
      </c>
      <c r="D61" s="9">
        <f>D11+D13+D32+D40+D41</f>
        <v>7521121.8900000006</v>
      </c>
    </row>
    <row r="62" spans="1:9" ht="18" x14ac:dyDescent="0.35">
      <c r="C62" s="4" t="s">
        <v>172</v>
      </c>
      <c r="D62" s="9">
        <f>D2+D3+D4+D5+D6+D7+D8+D9+D10+D12+D15+D16+D17+D18+D19+D20+D21+D37+D38+D39+D42+D43+D45+D44+D46+D47+D52+D48+D53+D55+D54+D56+D57</f>
        <v>10378306.060000001</v>
      </c>
    </row>
    <row r="63" spans="1:9" ht="18" x14ac:dyDescent="0.35">
      <c r="C63" s="4" t="s">
        <v>173</v>
      </c>
      <c r="D63" s="9">
        <f>D14+D36</f>
        <v>906182.24</v>
      </c>
    </row>
    <row r="64" spans="1:9" ht="18" x14ac:dyDescent="0.35">
      <c r="C64" s="7" t="s">
        <v>174</v>
      </c>
      <c r="D64" s="8">
        <f>SUM(D60:D63)</f>
        <v>30016342.099999998</v>
      </c>
    </row>
    <row r="66" spans="3:5" ht="15" thickBot="1" x14ac:dyDescent="0.35"/>
    <row r="67" spans="3:5" x14ac:dyDescent="0.3">
      <c r="C67" s="21"/>
      <c r="D67" s="25">
        <v>26070</v>
      </c>
      <c r="E67" s="20" t="s">
        <v>175</v>
      </c>
    </row>
    <row r="68" spans="3:5" x14ac:dyDescent="0.3">
      <c r="C68" s="22"/>
      <c r="D68" s="26">
        <v>1255000</v>
      </c>
      <c r="E68" s="20" t="s">
        <v>175</v>
      </c>
    </row>
    <row r="69" spans="3:5" x14ac:dyDescent="0.3">
      <c r="C69" s="22"/>
      <c r="D69" s="26">
        <v>39693.75</v>
      </c>
      <c r="E69" s="20" t="s">
        <v>175</v>
      </c>
    </row>
    <row r="70" spans="3:5" x14ac:dyDescent="0.3">
      <c r="C70" s="22"/>
      <c r="D70" s="26">
        <v>1358.03</v>
      </c>
      <c r="E70" s="20" t="s">
        <v>175</v>
      </c>
    </row>
    <row r="71" spans="3:5" x14ac:dyDescent="0.3">
      <c r="C71" s="22"/>
      <c r="D71" s="26">
        <v>20916.099999999999</v>
      </c>
      <c r="E71" s="20" t="s">
        <v>175</v>
      </c>
    </row>
    <row r="72" spans="3:5" x14ac:dyDescent="0.3">
      <c r="C72" s="22"/>
      <c r="D72" s="26">
        <v>2720</v>
      </c>
      <c r="E72" s="20" t="s">
        <v>175</v>
      </c>
    </row>
    <row r="73" spans="3:5" ht="15" thickBot="1" x14ac:dyDescent="0.35">
      <c r="C73" s="29">
        <f>SUM(D67:D73)+D81</f>
        <v>1638952.59</v>
      </c>
      <c r="D73" s="27">
        <v>4902</v>
      </c>
      <c r="E73" s="20" t="s">
        <v>175</v>
      </c>
    </row>
    <row r="74" spans="3:5" x14ac:dyDescent="0.3">
      <c r="C74" s="22"/>
      <c r="D74" s="30">
        <v>33739.199999999997</v>
      </c>
      <c r="E74" s="20" t="s">
        <v>176</v>
      </c>
    </row>
    <row r="75" spans="3:5" x14ac:dyDescent="0.3">
      <c r="C75" s="22"/>
      <c r="D75" s="23">
        <v>1589130</v>
      </c>
      <c r="E75" s="20" t="s">
        <v>176</v>
      </c>
    </row>
    <row r="76" spans="3:5" x14ac:dyDescent="0.3">
      <c r="C76" s="22"/>
      <c r="D76" s="23">
        <v>52575.77</v>
      </c>
      <c r="E76" s="20" t="s">
        <v>176</v>
      </c>
    </row>
    <row r="77" spans="3:5" x14ac:dyDescent="0.3">
      <c r="C77" s="22"/>
      <c r="D77" s="23">
        <v>2666.46</v>
      </c>
      <c r="E77" s="20" t="s">
        <v>176</v>
      </c>
    </row>
    <row r="78" spans="3:5" x14ac:dyDescent="0.3">
      <c r="C78" s="22"/>
      <c r="D78" s="23">
        <v>28179.89</v>
      </c>
      <c r="E78" s="20" t="s">
        <v>176</v>
      </c>
    </row>
    <row r="79" spans="3:5" x14ac:dyDescent="0.3">
      <c r="C79" s="22"/>
      <c r="D79" s="23">
        <v>16718.21</v>
      </c>
      <c r="E79" s="20" t="s">
        <v>176</v>
      </c>
    </row>
    <row r="80" spans="3:5" ht="15" thickBot="1" x14ac:dyDescent="0.35">
      <c r="C80" s="31">
        <f>SUM(D74:D80)</f>
        <v>1729756.2299999997</v>
      </c>
      <c r="D80" s="24">
        <v>6746.7</v>
      </c>
      <c r="E80" s="20" t="s">
        <v>176</v>
      </c>
    </row>
    <row r="81" spans="1:9" ht="15" thickBot="1" x14ac:dyDescent="0.35">
      <c r="D81" s="28">
        <v>288292.71000000002</v>
      </c>
      <c r="E81" s="20" t="s">
        <v>177</v>
      </c>
    </row>
    <row r="83" spans="1:9" x14ac:dyDescent="0.3">
      <c r="A83" s="10" t="s">
        <v>0</v>
      </c>
      <c r="B83" s="10" t="s">
        <v>1</v>
      </c>
      <c r="C83" s="10" t="s">
        <v>2</v>
      </c>
      <c r="D83" s="10" t="s">
        <v>3</v>
      </c>
      <c r="E83" s="10" t="s">
        <v>4</v>
      </c>
      <c r="F83" s="10" t="s">
        <v>5</v>
      </c>
      <c r="G83" s="10" t="s">
        <v>6</v>
      </c>
      <c r="H83" s="10" t="s">
        <v>7</v>
      </c>
      <c r="I83" s="10" t="s">
        <v>8</v>
      </c>
    </row>
    <row r="84" spans="1:9" x14ac:dyDescent="0.3">
      <c r="A84" s="2" t="s">
        <v>178</v>
      </c>
      <c r="B84" s="2" t="s">
        <v>179</v>
      </c>
      <c r="C84" s="2" t="s">
        <v>35</v>
      </c>
      <c r="D84" s="3">
        <v>728783.74</v>
      </c>
      <c r="E84" s="2" t="s">
        <v>12</v>
      </c>
      <c r="F84" s="2" t="s">
        <v>36</v>
      </c>
      <c r="G84" s="2" t="s">
        <v>14</v>
      </c>
      <c r="H84" s="2" t="s">
        <v>50</v>
      </c>
      <c r="I84" s="2" t="s">
        <v>180</v>
      </c>
    </row>
    <row r="85" spans="1:9" x14ac:dyDescent="0.3">
      <c r="A85" s="2" t="s">
        <v>181</v>
      </c>
      <c r="B85" s="2" t="s">
        <v>182</v>
      </c>
      <c r="C85" s="2" t="s">
        <v>35</v>
      </c>
      <c r="D85" s="3">
        <v>1941984</v>
      </c>
      <c r="E85" s="2" t="s">
        <v>12</v>
      </c>
      <c r="F85" s="2" t="s">
        <v>36</v>
      </c>
      <c r="G85" s="2" t="s">
        <v>14</v>
      </c>
      <c r="H85" s="2" t="s">
        <v>15</v>
      </c>
      <c r="I85" s="2" t="s">
        <v>183</v>
      </c>
    </row>
    <row r="86" spans="1:9" s="16" customFormat="1" x14ac:dyDescent="0.3">
      <c r="A86" s="14" t="s">
        <v>184</v>
      </c>
      <c r="B86" s="14" t="s">
        <v>185</v>
      </c>
      <c r="C86" s="14" t="s">
        <v>35</v>
      </c>
      <c r="D86" s="15">
        <f>500621.1*0</f>
        <v>0</v>
      </c>
      <c r="E86" s="14" t="s">
        <v>12</v>
      </c>
      <c r="F86" s="14" t="s">
        <v>36</v>
      </c>
      <c r="G86" s="14" t="s">
        <v>14</v>
      </c>
      <c r="H86" s="14" t="s">
        <v>15</v>
      </c>
      <c r="I86" s="14" t="s">
        <v>180</v>
      </c>
    </row>
    <row r="87" spans="1:9" s="18" customFormat="1" x14ac:dyDescent="0.3">
      <c r="A87" s="17" t="s">
        <v>186</v>
      </c>
      <c r="B87" s="17" t="s">
        <v>187</v>
      </c>
      <c r="C87" s="17" t="s">
        <v>35</v>
      </c>
      <c r="D87" s="13">
        <v>1131739.1200000001</v>
      </c>
      <c r="E87" s="17" t="s">
        <v>12</v>
      </c>
      <c r="F87" s="17" t="s">
        <v>36</v>
      </c>
      <c r="G87" s="17" t="s">
        <v>14</v>
      </c>
      <c r="H87" s="17" t="s">
        <v>15</v>
      </c>
      <c r="I87" s="17" t="s">
        <v>123</v>
      </c>
    </row>
    <row r="88" spans="1:9" s="18" customFormat="1" x14ac:dyDescent="0.3">
      <c r="A88" s="17" t="s">
        <v>188</v>
      </c>
      <c r="B88" s="17" t="s">
        <v>189</v>
      </c>
      <c r="C88" s="17" t="s">
        <v>35</v>
      </c>
      <c r="D88" s="13">
        <v>2437104.3199999998</v>
      </c>
      <c r="E88" s="17" t="s">
        <v>12</v>
      </c>
      <c r="F88" s="17" t="s">
        <v>36</v>
      </c>
      <c r="G88" s="17" t="s">
        <v>14</v>
      </c>
      <c r="H88" s="17" t="s">
        <v>15</v>
      </c>
      <c r="I88" s="17" t="s">
        <v>190</v>
      </c>
    </row>
    <row r="89" spans="1:9" x14ac:dyDescent="0.3">
      <c r="A89" s="2" t="s">
        <v>191</v>
      </c>
      <c r="B89" s="2" t="s">
        <v>192</v>
      </c>
      <c r="C89" s="2" t="s">
        <v>35</v>
      </c>
      <c r="D89" s="3">
        <v>500621.1</v>
      </c>
      <c r="E89" s="2" t="s">
        <v>12</v>
      </c>
      <c r="F89" s="2" t="s">
        <v>36</v>
      </c>
      <c r="G89" s="2" t="s">
        <v>14</v>
      </c>
      <c r="H89" s="2" t="s">
        <v>15</v>
      </c>
      <c r="I89" s="2" t="s">
        <v>180</v>
      </c>
    </row>
    <row r="90" spans="1:9" s="18" customFormat="1" x14ac:dyDescent="0.3">
      <c r="A90" s="17" t="s">
        <v>193</v>
      </c>
      <c r="B90" s="17" t="s">
        <v>194</v>
      </c>
      <c r="C90" s="17" t="s">
        <v>35</v>
      </c>
      <c r="D90" s="13">
        <v>2917816.85</v>
      </c>
      <c r="E90" s="17" t="s">
        <v>12</v>
      </c>
      <c r="F90" s="17" t="s">
        <v>36</v>
      </c>
      <c r="G90" s="17" t="s">
        <v>14</v>
      </c>
      <c r="H90" s="17" t="s">
        <v>15</v>
      </c>
      <c r="I90" s="17" t="s">
        <v>195</v>
      </c>
    </row>
    <row r="91" spans="1:9" s="18" customFormat="1" x14ac:dyDescent="0.3">
      <c r="A91" s="17" t="s">
        <v>196</v>
      </c>
      <c r="B91" s="17" t="s">
        <v>197</v>
      </c>
      <c r="C91" s="17" t="s">
        <v>35</v>
      </c>
      <c r="D91" s="13">
        <v>2603926.91</v>
      </c>
      <c r="E91" s="17" t="s">
        <v>12</v>
      </c>
      <c r="F91" s="17" t="s">
        <v>36</v>
      </c>
      <c r="G91" s="17" t="s">
        <v>14</v>
      </c>
      <c r="H91" s="17" t="s">
        <v>15</v>
      </c>
      <c r="I91" s="17" t="s">
        <v>198</v>
      </c>
    </row>
    <row r="92" spans="1:9" x14ac:dyDescent="0.3">
      <c r="A92" s="2" t="s">
        <v>199</v>
      </c>
      <c r="B92" s="2" t="s">
        <v>200</v>
      </c>
      <c r="C92" s="2" t="s">
        <v>35</v>
      </c>
      <c r="D92" s="3">
        <v>166743.25</v>
      </c>
      <c r="E92" s="2" t="s">
        <v>12</v>
      </c>
      <c r="F92" s="2" t="s">
        <v>36</v>
      </c>
      <c r="G92" s="2" t="s">
        <v>14</v>
      </c>
      <c r="H92" s="2" t="s">
        <v>15</v>
      </c>
      <c r="I92" s="2" t="s">
        <v>183</v>
      </c>
    </row>
    <row r="93" spans="1:9" s="18" customFormat="1" x14ac:dyDescent="0.3">
      <c r="A93" s="17" t="s">
        <v>33</v>
      </c>
      <c r="B93" s="17" t="s">
        <v>34</v>
      </c>
      <c r="C93" s="17" t="s">
        <v>35</v>
      </c>
      <c r="D93" s="13">
        <v>2571099.5499999998</v>
      </c>
      <c r="E93" s="17" t="s">
        <v>12</v>
      </c>
      <c r="F93" s="17" t="s">
        <v>36</v>
      </c>
      <c r="G93" s="17" t="s">
        <v>14</v>
      </c>
      <c r="H93" s="17" t="s">
        <v>15</v>
      </c>
      <c r="I93" s="17" t="s">
        <v>37</v>
      </c>
    </row>
    <row r="94" spans="1:9" s="18" customFormat="1" x14ac:dyDescent="0.3">
      <c r="A94" s="17" t="s">
        <v>43</v>
      </c>
      <c r="B94" s="17" t="s">
        <v>44</v>
      </c>
      <c r="C94" s="17" t="s">
        <v>35</v>
      </c>
      <c r="D94" s="13">
        <v>3356872.52</v>
      </c>
      <c r="E94" s="17" t="s">
        <v>12</v>
      </c>
      <c r="F94" s="17" t="s">
        <v>36</v>
      </c>
      <c r="G94" s="17" t="s">
        <v>14</v>
      </c>
      <c r="H94" s="17" t="s">
        <v>15</v>
      </c>
      <c r="I94" s="17" t="s">
        <v>45</v>
      </c>
    </row>
    <row r="95" spans="1:9" s="18" customFormat="1" x14ac:dyDescent="0.3">
      <c r="A95" s="17" t="s">
        <v>94</v>
      </c>
      <c r="B95" s="17" t="s">
        <v>95</v>
      </c>
      <c r="C95" s="17" t="s">
        <v>35</v>
      </c>
      <c r="D95" s="13">
        <v>291840</v>
      </c>
      <c r="E95" s="17" t="s">
        <v>12</v>
      </c>
      <c r="F95" s="17" t="s">
        <v>36</v>
      </c>
      <c r="G95" s="17" t="s">
        <v>14</v>
      </c>
      <c r="H95" s="17" t="s">
        <v>50</v>
      </c>
      <c r="I95" s="17" t="s">
        <v>96</v>
      </c>
    </row>
    <row r="96" spans="1:9" x14ac:dyDescent="0.3">
      <c r="A96" s="2" t="s">
        <v>118</v>
      </c>
      <c r="B96" s="2" t="s">
        <v>119</v>
      </c>
      <c r="C96" s="2" t="s">
        <v>35</v>
      </c>
      <c r="D96" s="3">
        <v>1266401.57</v>
      </c>
      <c r="E96" s="2" t="s">
        <v>12</v>
      </c>
      <c r="F96" s="2" t="s">
        <v>36</v>
      </c>
      <c r="G96" s="2" t="s">
        <v>14</v>
      </c>
      <c r="H96" s="2" t="s">
        <v>15</v>
      </c>
      <c r="I96" s="2" t="s">
        <v>120</v>
      </c>
    </row>
    <row r="97" spans="1:9" x14ac:dyDescent="0.3">
      <c r="A97" s="2" t="s">
        <v>121</v>
      </c>
      <c r="B97" s="2" t="s">
        <v>122</v>
      </c>
      <c r="C97" s="2" t="s">
        <v>35</v>
      </c>
      <c r="D97" s="3">
        <v>34908.25</v>
      </c>
      <c r="E97" s="2" t="s">
        <v>12</v>
      </c>
      <c r="F97" s="2" t="s">
        <v>36</v>
      </c>
      <c r="G97" s="2" t="s">
        <v>14</v>
      </c>
      <c r="H97" s="2" t="s">
        <v>50</v>
      </c>
      <c r="I97" s="2" t="s">
        <v>123</v>
      </c>
    </row>
    <row r="98" spans="1:9" s="12" customFormat="1" x14ac:dyDescent="0.3">
      <c r="A98" s="11" t="s">
        <v>201</v>
      </c>
      <c r="B98" s="11" t="s">
        <v>202</v>
      </c>
      <c r="C98" s="11" t="s">
        <v>35</v>
      </c>
      <c r="D98" s="19">
        <f>15320431.27-D95-D94-D93-D91-D90-D88-D87</f>
        <v>10031.999999999069</v>
      </c>
      <c r="E98" s="11" t="s">
        <v>12</v>
      </c>
      <c r="F98" s="11" t="s">
        <v>36</v>
      </c>
      <c r="G98" s="11" t="s">
        <v>14</v>
      </c>
      <c r="H98" s="11" t="s">
        <v>50</v>
      </c>
      <c r="I98" s="11" t="s">
        <v>203</v>
      </c>
    </row>
    <row r="99" spans="1:9" x14ac:dyDescent="0.3">
      <c r="A99" s="2" t="s">
        <v>204</v>
      </c>
      <c r="B99" s="2" t="s">
        <v>205</v>
      </c>
      <c r="C99" s="2" t="s">
        <v>35</v>
      </c>
      <c r="D99" s="3">
        <v>2150496</v>
      </c>
      <c r="E99" s="2" t="s">
        <v>12</v>
      </c>
      <c r="F99" s="2" t="s">
        <v>36</v>
      </c>
      <c r="G99" s="2" t="s">
        <v>14</v>
      </c>
      <c r="H99" s="2" t="s">
        <v>15</v>
      </c>
      <c r="I99" s="2" t="s">
        <v>206</v>
      </c>
    </row>
    <row r="100" spans="1:9" x14ac:dyDescent="0.3">
      <c r="A100" s="2" t="s">
        <v>207</v>
      </c>
      <c r="B100" s="2" t="s">
        <v>208</v>
      </c>
      <c r="C100" s="2" t="s">
        <v>35</v>
      </c>
      <c r="D100" s="3">
        <v>244076.33</v>
      </c>
      <c r="E100" s="2" t="s">
        <v>12</v>
      </c>
      <c r="F100" s="2" t="s">
        <v>36</v>
      </c>
      <c r="G100" s="2" t="s">
        <v>14</v>
      </c>
      <c r="H100" s="2" t="s">
        <v>15</v>
      </c>
      <c r="I100" s="2" t="s">
        <v>195</v>
      </c>
    </row>
    <row r="101" spans="1:9" x14ac:dyDescent="0.3">
      <c r="A101" s="2" t="s">
        <v>209</v>
      </c>
      <c r="B101" s="2" t="s">
        <v>210</v>
      </c>
      <c r="C101" s="2" t="s">
        <v>35</v>
      </c>
      <c r="D101" s="3">
        <v>690300.6</v>
      </c>
      <c r="E101" s="2" t="s">
        <v>12</v>
      </c>
      <c r="F101" s="2" t="s">
        <v>36</v>
      </c>
      <c r="G101" s="2" t="s">
        <v>14</v>
      </c>
      <c r="H101" s="2" t="s">
        <v>15</v>
      </c>
      <c r="I101" s="2" t="s">
        <v>211</v>
      </c>
    </row>
    <row r="102" spans="1:9" x14ac:dyDescent="0.3">
      <c r="A102" s="2" t="s">
        <v>212</v>
      </c>
      <c r="B102" s="2" t="s">
        <v>213</v>
      </c>
      <c r="C102" s="2" t="s">
        <v>35</v>
      </c>
      <c r="D102" s="3">
        <v>293650.2</v>
      </c>
      <c r="E102" s="2" t="s">
        <v>12</v>
      </c>
      <c r="F102" s="2" t="s">
        <v>36</v>
      </c>
      <c r="G102" s="2" t="s">
        <v>14</v>
      </c>
      <c r="H102" s="2" t="s">
        <v>15</v>
      </c>
      <c r="I102" s="2" t="s">
        <v>214</v>
      </c>
    </row>
    <row r="103" spans="1:9" x14ac:dyDescent="0.3">
      <c r="A103" s="2" t="s">
        <v>215</v>
      </c>
      <c r="B103" s="2" t="s">
        <v>216</v>
      </c>
      <c r="C103" s="2" t="s">
        <v>35</v>
      </c>
      <c r="D103" s="3">
        <v>879777.9</v>
      </c>
      <c r="E103" s="2" t="s">
        <v>12</v>
      </c>
      <c r="F103" s="2" t="s">
        <v>36</v>
      </c>
      <c r="G103" s="2" t="s">
        <v>14</v>
      </c>
      <c r="H103" s="2" t="s">
        <v>15</v>
      </c>
      <c r="I103" s="2" t="s">
        <v>217</v>
      </c>
    </row>
  </sheetData>
  <autoFilter ref="A1:I57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2024-10-20T17:09:54Z</dcterms:modified>
</cp:coreProperties>
</file>
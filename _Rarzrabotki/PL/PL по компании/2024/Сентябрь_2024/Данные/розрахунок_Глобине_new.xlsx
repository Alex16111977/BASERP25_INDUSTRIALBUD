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АСТАРТА\ПОДРЯД ДАВ\"/>
    </mc:Choice>
  </mc:AlternateContent>
  <xr:revisionPtr revIDLastSave="0" documentId="13_ncr:1_{3E029638-E327-4FC1-96C1-95A87CFB0408}" xr6:coauthVersionLast="45" xr6:coauthVersionMax="47" xr10:uidLastSave="{00000000-0000-0000-0000-000000000000}"/>
  <bookViews>
    <workbookView xWindow="-108" yWindow="-108" windowWidth="23256" windowHeight="12576" activeTab="1" xr2:uid="{0A86C4FA-94DB-4DF5-9D5E-D09372C0E67A}"/>
  </bookViews>
  <sheets>
    <sheet name="Лист1" sheetId="1" r:id="rId1"/>
    <sheet name="Мой расчет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48" i="2" l="1"/>
  <c r="C50" i="2"/>
  <c r="N50" i="2"/>
  <c r="B50" i="2"/>
  <c r="J48" i="2"/>
  <c r="B48" i="2"/>
  <c r="A48" i="2"/>
  <c r="A50" i="2" s="1"/>
  <c r="J46" i="2"/>
  <c r="K29" i="2"/>
  <c r="J29" i="2"/>
  <c r="J28" i="2"/>
  <c r="C24" i="2"/>
  <c r="B24" i="2"/>
  <c r="A24" i="2"/>
  <c r="E24" i="2" s="1"/>
  <c r="J22" i="2"/>
  <c r="J24" i="2" s="1"/>
  <c r="C11" i="2"/>
  <c r="B11" i="2"/>
  <c r="E11" i="2" s="1"/>
  <c r="J9" i="2"/>
  <c r="E9" i="2"/>
  <c r="J7" i="2"/>
  <c r="E50" i="2" l="1"/>
  <c r="B56" i="2" s="1"/>
  <c r="B57" i="2" s="1"/>
  <c r="E14" i="2"/>
  <c r="J11" i="2"/>
  <c r="J13" i="2" s="1"/>
  <c r="J25" i="2"/>
  <c r="J26" i="2" s="1"/>
  <c r="E48" i="2"/>
  <c r="J77" i="1"/>
  <c r="J61" i="1"/>
  <c r="J63" i="1" s="1"/>
  <c r="J57" i="1"/>
  <c r="E50" i="1"/>
  <c r="C50" i="1"/>
  <c r="B50" i="1"/>
  <c r="A50" i="1"/>
  <c r="E48" i="1"/>
  <c r="C48" i="1"/>
  <c r="B48" i="1"/>
  <c r="A48" i="1"/>
  <c r="J48" i="1"/>
  <c r="J46" i="1"/>
  <c r="A24" i="1"/>
  <c r="C24" i="1"/>
  <c r="B24" i="1"/>
  <c r="K29" i="1"/>
  <c r="J29" i="1"/>
  <c r="J28" i="1"/>
  <c r="J22" i="1"/>
  <c r="J24" i="1" s="1"/>
  <c r="J50" i="2" l="1"/>
  <c r="E53" i="2"/>
  <c r="J64" i="1"/>
  <c r="J65" i="1" s="1"/>
  <c r="J68" i="1" s="1"/>
  <c r="J25" i="1"/>
  <c r="J26" i="1" s="1"/>
  <c r="J50" i="1"/>
  <c r="J52" i="1" s="1"/>
  <c r="E24" i="1"/>
  <c r="J7" i="1"/>
  <c r="J9" i="1"/>
  <c r="C11" i="1"/>
  <c r="B11" i="1"/>
  <c r="E9" i="1"/>
  <c r="J52" i="2" l="1"/>
  <c r="J56" i="2"/>
  <c r="R50" i="2"/>
  <c r="R54" i="2" s="1"/>
  <c r="E11" i="1"/>
  <c r="E53" i="1"/>
  <c r="J57" i="2" l="1"/>
  <c r="J61" i="2" s="1"/>
  <c r="J63" i="2" s="1"/>
  <c r="J64" i="2" s="1"/>
  <c r="J65" i="2" s="1"/>
  <c r="J68" i="2" s="1"/>
  <c r="J77" i="2"/>
  <c r="J11" i="1"/>
  <c r="J13" i="1" s="1"/>
  <c r="B56" i="1"/>
  <c r="B57" i="1" s="1"/>
  <c r="E14" i="1"/>
</calcChain>
</file>

<file path=xl/sharedStrings.xml><?xml version="1.0" encoding="utf-8"?>
<sst xmlns="http://schemas.openxmlformats.org/spreadsheetml/2006/main" count="80" uniqueCount="27">
  <si>
    <t>Нове будівництво заводу з переробки соєвого шроту продуктивністю 500т/добу за адресою:вул.Володимирівська,65-Д,м.Глобине, Кременчуцький район, Полтавська область.</t>
  </si>
  <si>
    <t>С100.35</t>
  </si>
  <si>
    <t>АВК перебазування грн. з ПДВ</t>
  </si>
  <si>
    <t>АВК заглиблення грн. з ПДВ</t>
  </si>
  <si>
    <t>всього АВК грн. з ПДВ</t>
  </si>
  <si>
    <t>ПВР випробування грн. з ПДВ</t>
  </si>
  <si>
    <t>перебазування грн. з ПДВ</t>
  </si>
  <si>
    <t>випробування грн. з ПДВ</t>
  </si>
  <si>
    <t>заглиблення грн. з ПДВ</t>
  </si>
  <si>
    <t>ВСЬОГО грн. з ПДВ АВК+ПВР</t>
  </si>
  <si>
    <t>без ПДВ</t>
  </si>
  <si>
    <t>ПДВ</t>
  </si>
  <si>
    <t>з ПДВ</t>
  </si>
  <si>
    <t>6.1.1</t>
  </si>
  <si>
    <t>6.2</t>
  </si>
  <si>
    <t>6.3</t>
  </si>
  <si>
    <t>6.4</t>
  </si>
  <si>
    <t>С90.35</t>
  </si>
  <si>
    <r>
      <t xml:space="preserve">С90.35 - 286 шт. х 9,0 м/п = 2574,0 м/п; С100.35 - 645 шт. х 10,0 м/п = 6450,0 м/п; С110.35 - 141 шт. х 11,0 м/п = 1551,0 м/п </t>
    </r>
    <r>
      <rPr>
        <sz val="11"/>
        <color theme="1"/>
        <rFont val="Calibri"/>
        <family val="2"/>
        <charset val="204"/>
      </rPr>
      <t>∑</t>
    </r>
    <r>
      <rPr>
        <sz val="11"/>
        <color theme="1"/>
        <rFont val="Calibri"/>
        <family val="2"/>
        <charset val="204"/>
        <scheme val="minor"/>
      </rPr>
      <t xml:space="preserve"> = 10575,0 м/п</t>
    </r>
  </si>
  <si>
    <t>шт.</t>
  </si>
  <si>
    <t>м/п</t>
  </si>
  <si>
    <t>м3</t>
  </si>
  <si>
    <t xml:space="preserve">п.3.4.3. </t>
  </si>
  <si>
    <t>котельная авр1</t>
  </si>
  <si>
    <t>аванс на вдавл 10%</t>
  </si>
  <si>
    <t>остаток без10%</t>
  </si>
  <si>
    <t>аванс 20% от остака работ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</si>
</sst>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222222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222222"/>
      <name val="Arial"/>
      <family val="2"/>
      <charset val="204"/>
    </font>
    <font>
      <sz val="11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/>
    <xf numFmtId="2" fontId="0" fillId="0" borderId="0" xfId="0" applyNumberFormat="1"/>
    <xf numFmtId="2" fontId="1" fillId="2" borderId="0" xfId="0" applyNumberFormat="1" applyFont="1" applyFill="1"/>
    <xf numFmtId="2" fontId="1" fillId="2" borderId="1" xfId="0" applyNumberFormat="1" applyFont="1" applyFill="1" applyBorder="1"/>
    <xf numFmtId="49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1" fillId="2" borderId="1" xfId="0" applyFont="1" applyFill="1" applyBorder="1"/>
    <xf numFmtId="0" fontId="6" fillId="0" borderId="0" xfId="0" applyFont="1" applyAlignment="1">
      <alignment horizontal="right"/>
    </xf>
    <xf numFmtId="0" fontId="0" fillId="3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2" fontId="0" fillId="5" borderId="0" xfId="0" applyNumberFormat="1" applyFill="1"/>
    <xf numFmtId="0" fontId="0" fillId="0" borderId="9" xfId="0" applyBorder="1"/>
    <xf numFmtId="0" fontId="0" fillId="0" borderId="10" xfId="0" applyBorder="1"/>
    <xf numFmtId="0" fontId="0" fillId="0" borderId="11" xfId="0" applyBorder="1"/>
    <xf numFmtId="2" fontId="0" fillId="0" borderId="9" xfId="0" applyNumberFormat="1" applyBorder="1"/>
    <xf numFmtId="0" fontId="0" fillId="0" borderId="0" xfId="0" applyBorder="1"/>
    <xf numFmtId="0" fontId="0" fillId="6" borderId="9" xfId="0" applyFill="1" applyBorder="1"/>
    <xf numFmtId="0" fontId="0" fillId="6" borderId="10" xfId="0" applyFill="1" applyBorder="1"/>
    <xf numFmtId="0" fontId="0" fillId="6" borderId="11" xfId="0" applyFill="1" applyBorder="1"/>
    <xf numFmtId="2" fontId="0" fillId="6" borderId="9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CB2AB-99F4-4527-BDD1-B1F7B4C07F02}">
  <dimension ref="A1:M77"/>
  <sheetViews>
    <sheetView topLeftCell="A45" workbookViewId="0">
      <selection activeCell="J61" sqref="J61"/>
    </sheetView>
  </sheetViews>
  <sheetFormatPr defaultRowHeight="14.4" x14ac:dyDescent="0.3"/>
  <cols>
    <col min="1" max="3" width="9.109375" style="1"/>
    <col min="8" max="8" width="11.88671875" style="4" customWidth="1"/>
    <col min="9" max="9" width="9.109375" style="4"/>
    <col min="10" max="10" width="16.88671875" style="4" customWidth="1"/>
    <col min="11" max="11" width="9.5546875" bestFit="1" customWidth="1"/>
    <col min="13" max="13" width="10.5546875" bestFit="1" customWidth="1"/>
  </cols>
  <sheetData>
    <row r="1" spans="1:13" x14ac:dyDescent="0.3">
      <c r="A1" s="1" t="s">
        <v>0</v>
      </c>
    </row>
    <row r="2" spans="1:13" hidden="1" x14ac:dyDescent="0.3"/>
    <row r="3" spans="1:13" hidden="1" x14ac:dyDescent="0.3"/>
    <row r="4" spans="1:13" hidden="1" x14ac:dyDescent="0.3"/>
    <row r="5" spans="1:13" hidden="1" x14ac:dyDescent="0.3">
      <c r="A5" s="2" t="s">
        <v>17</v>
      </c>
      <c r="B5" s="2" t="s">
        <v>1</v>
      </c>
      <c r="C5" s="2" t="s">
        <v>1</v>
      </c>
    </row>
    <row r="6" spans="1:13" hidden="1" x14ac:dyDescent="0.3"/>
    <row r="7" spans="1:13" hidden="1" x14ac:dyDescent="0.3">
      <c r="A7" s="1">
        <v>9</v>
      </c>
      <c r="B7" s="1">
        <v>10</v>
      </c>
      <c r="C7" s="1">
        <v>11</v>
      </c>
      <c r="G7">
        <v>1</v>
      </c>
      <c r="H7" s="4">
        <v>450000</v>
      </c>
      <c r="J7" s="4">
        <f>SUM(G7*H7)</f>
        <v>450000</v>
      </c>
      <c r="K7" t="s">
        <v>6</v>
      </c>
    </row>
    <row r="8" spans="1:13" hidden="1" x14ac:dyDescent="0.3"/>
    <row r="9" spans="1:13" hidden="1" x14ac:dyDescent="0.3">
      <c r="B9" s="1">
        <v>741</v>
      </c>
      <c r="C9" s="1">
        <v>399</v>
      </c>
      <c r="E9">
        <f>SUM(B9:D9)</f>
        <v>1140</v>
      </c>
      <c r="G9">
        <v>20</v>
      </c>
      <c r="H9" s="4">
        <v>25000</v>
      </c>
      <c r="J9" s="4">
        <f>SUM(G9*H9)</f>
        <v>500000</v>
      </c>
      <c r="K9" t="s">
        <v>7</v>
      </c>
    </row>
    <row r="10" spans="1:13" hidden="1" x14ac:dyDescent="0.3"/>
    <row r="11" spans="1:13" hidden="1" x14ac:dyDescent="0.3">
      <c r="B11" s="1">
        <f>SUM(B7*B9)</f>
        <v>7410</v>
      </c>
      <c r="C11" s="1">
        <f>SUM(C7*C9)</f>
        <v>4389</v>
      </c>
      <c r="E11" s="3">
        <f>SUM(B11:D11)</f>
        <v>11799</v>
      </c>
      <c r="H11" s="4">
        <v>180</v>
      </c>
      <c r="J11" s="4">
        <f>SUM(E11*H11)</f>
        <v>2123820</v>
      </c>
      <c r="K11" t="s">
        <v>8</v>
      </c>
    </row>
    <row r="12" spans="1:13" hidden="1" x14ac:dyDescent="0.3">
      <c r="M12" s="4"/>
    </row>
    <row r="13" spans="1:13" hidden="1" x14ac:dyDescent="0.3">
      <c r="J13" s="5">
        <f>SUM(J7:J12)</f>
        <v>3073820</v>
      </c>
    </row>
    <row r="14" spans="1:13" hidden="1" x14ac:dyDescent="0.3">
      <c r="E14">
        <f>SUM(E11*0.35*0.35)</f>
        <v>1445.3774999999998</v>
      </c>
    </row>
    <row r="15" spans="1:13" hidden="1" x14ac:dyDescent="0.3">
      <c r="B15" s="1">
        <v>250</v>
      </c>
      <c r="C15" s="1">
        <v>107</v>
      </c>
    </row>
    <row r="16" spans="1:13" hidden="1" x14ac:dyDescent="0.3">
      <c r="C16" s="1">
        <v>34</v>
      </c>
      <c r="J16" s="4">
        <v>449999.96</v>
      </c>
      <c r="K16" t="s">
        <v>2</v>
      </c>
    </row>
    <row r="17" spans="1:13" hidden="1" x14ac:dyDescent="0.3">
      <c r="A17" s="1">
        <v>191</v>
      </c>
      <c r="J17" s="4">
        <v>2123817.2000000002</v>
      </c>
      <c r="K17" t="s">
        <v>3</v>
      </c>
    </row>
    <row r="18" spans="1:13" hidden="1" x14ac:dyDescent="0.3">
      <c r="B18" s="1">
        <v>64</v>
      </c>
      <c r="J18" s="4">
        <v>2573817.17</v>
      </c>
      <c r="K18" t="s">
        <v>4</v>
      </c>
    </row>
    <row r="19" spans="1:13" hidden="1" x14ac:dyDescent="0.3">
      <c r="B19" s="1">
        <v>172</v>
      </c>
    </row>
    <row r="20" spans="1:13" hidden="1" x14ac:dyDescent="0.3">
      <c r="B20" s="1">
        <v>12</v>
      </c>
      <c r="J20" s="4">
        <v>499998.55</v>
      </c>
      <c r="K20" t="s">
        <v>5</v>
      </c>
    </row>
    <row r="21" spans="1:13" ht="15" hidden="1" thickBot="1" x14ac:dyDescent="0.35">
      <c r="A21" s="1">
        <v>95</v>
      </c>
      <c r="M21" s="4"/>
    </row>
    <row r="22" spans="1:13" ht="15" hidden="1" thickBot="1" x14ac:dyDescent="0.35">
      <c r="B22" s="1">
        <v>147</v>
      </c>
      <c r="J22" s="6">
        <f>SUM(J18+J20)</f>
        <v>3073815.7199999997</v>
      </c>
      <c r="K22" t="s">
        <v>9</v>
      </c>
    </row>
    <row r="23" spans="1:13" hidden="1" x14ac:dyDescent="0.3"/>
    <row r="24" spans="1:13" hidden="1" x14ac:dyDescent="0.3">
      <c r="A24" s="1">
        <f>SUM(A17:A23)</f>
        <v>286</v>
      </c>
      <c r="B24" s="1">
        <f>SUM(B15:B23)</f>
        <v>645</v>
      </c>
      <c r="C24" s="1">
        <f>SUM(C15:C23)</f>
        <v>141</v>
      </c>
      <c r="E24">
        <f>SUM(A24:D24)</f>
        <v>1072</v>
      </c>
      <c r="J24" s="4">
        <f>SUM(J22/1.2)</f>
        <v>2561513.1</v>
      </c>
      <c r="K24" t="s">
        <v>10</v>
      </c>
    </row>
    <row r="25" spans="1:13" hidden="1" x14ac:dyDescent="0.3">
      <c r="J25" s="4">
        <f>SUM(J24*0.2)</f>
        <v>512302.62000000005</v>
      </c>
      <c r="K25" t="s">
        <v>11</v>
      </c>
    </row>
    <row r="26" spans="1:13" hidden="1" x14ac:dyDescent="0.3">
      <c r="J26" s="4">
        <f>SUM(J24:J25)</f>
        <v>3073815.72</v>
      </c>
      <c r="K26" t="s">
        <v>12</v>
      </c>
    </row>
    <row r="27" spans="1:13" hidden="1" x14ac:dyDescent="0.3"/>
    <row r="28" spans="1:13" hidden="1" x14ac:dyDescent="0.3">
      <c r="I28" s="7" t="s">
        <v>13</v>
      </c>
      <c r="J28" s="4">
        <f>SUM(J16/2)</f>
        <v>224999.98</v>
      </c>
      <c r="K28" s="4"/>
    </row>
    <row r="29" spans="1:13" hidden="1" x14ac:dyDescent="0.3">
      <c r="I29" s="7" t="s">
        <v>14</v>
      </c>
      <c r="J29" s="4">
        <f>SUM(J20/2)</f>
        <v>249999.27499999999</v>
      </c>
      <c r="K29" s="4">
        <f>SUM(J17/10)</f>
        <v>212381.72000000003</v>
      </c>
    </row>
    <row r="30" spans="1:13" hidden="1" x14ac:dyDescent="0.3">
      <c r="I30" s="7" t="s">
        <v>15</v>
      </c>
      <c r="K30" s="4"/>
    </row>
    <row r="31" spans="1:13" hidden="1" x14ac:dyDescent="0.3">
      <c r="I31" s="7" t="s">
        <v>16</v>
      </c>
      <c r="K31" s="4"/>
    </row>
    <row r="32" spans="1:13" hidden="1" x14ac:dyDescent="0.3">
      <c r="I32" s="7"/>
    </row>
    <row r="33" spans="1:11" x14ac:dyDescent="0.3">
      <c r="I33" s="7"/>
    </row>
    <row r="34" spans="1:11" x14ac:dyDescent="0.3">
      <c r="I34" s="7"/>
    </row>
    <row r="35" spans="1:11" x14ac:dyDescent="0.3">
      <c r="A35" s="10" t="s">
        <v>17</v>
      </c>
      <c r="B35" s="11" t="s">
        <v>1</v>
      </c>
      <c r="C35" s="12" t="s">
        <v>1</v>
      </c>
    </row>
    <row r="36" spans="1:11" x14ac:dyDescent="0.3">
      <c r="A36" s="13"/>
      <c r="C36" s="14"/>
    </row>
    <row r="37" spans="1:11" x14ac:dyDescent="0.3">
      <c r="A37" s="13">
        <v>9</v>
      </c>
      <c r="B37" s="1">
        <v>10</v>
      </c>
      <c r="C37" s="14">
        <v>11</v>
      </c>
    </row>
    <row r="38" spans="1:11" x14ac:dyDescent="0.3">
      <c r="A38" s="17"/>
      <c r="B38" s="18"/>
      <c r="C38" s="18"/>
      <c r="D38" s="19"/>
      <c r="E38" s="20"/>
    </row>
    <row r="39" spans="1:11" x14ac:dyDescent="0.3">
      <c r="A39" s="13"/>
      <c r="B39" s="1">
        <v>250</v>
      </c>
      <c r="C39" s="1">
        <v>107</v>
      </c>
      <c r="E39" s="21"/>
    </row>
    <row r="40" spans="1:11" x14ac:dyDescent="0.3">
      <c r="A40" s="13"/>
      <c r="C40" s="1">
        <v>34</v>
      </c>
      <c r="E40" s="21"/>
    </row>
    <row r="41" spans="1:11" x14ac:dyDescent="0.3">
      <c r="A41" s="13">
        <v>191</v>
      </c>
      <c r="E41" s="21"/>
    </row>
    <row r="42" spans="1:11" x14ac:dyDescent="0.3">
      <c r="A42" s="13"/>
      <c r="B42" s="1">
        <v>64</v>
      </c>
      <c r="E42" s="21"/>
    </row>
    <row r="43" spans="1:11" x14ac:dyDescent="0.3">
      <c r="A43" s="13"/>
      <c r="B43" s="1">
        <v>172</v>
      </c>
      <c r="E43" s="21"/>
    </row>
    <row r="44" spans="1:11" x14ac:dyDescent="0.3">
      <c r="A44" s="13"/>
      <c r="B44" s="1">
        <v>12</v>
      </c>
      <c r="E44" s="21"/>
    </row>
    <row r="45" spans="1:11" x14ac:dyDescent="0.3">
      <c r="A45" s="13">
        <v>95</v>
      </c>
      <c r="E45" s="21"/>
    </row>
    <row r="46" spans="1:11" x14ac:dyDescent="0.3">
      <c r="A46" s="13"/>
      <c r="B46" s="1">
        <v>147</v>
      </c>
      <c r="E46" s="21"/>
      <c r="G46">
        <v>1</v>
      </c>
      <c r="H46" s="4">
        <v>450000</v>
      </c>
      <c r="J46" s="4">
        <f>SUM(G46*H46)</f>
        <v>450000</v>
      </c>
      <c r="K46" t="s">
        <v>6</v>
      </c>
    </row>
    <row r="47" spans="1:11" x14ac:dyDescent="0.3">
      <c r="A47" s="13"/>
      <c r="E47" s="21"/>
    </row>
    <row r="48" spans="1:11" x14ac:dyDescent="0.3">
      <c r="A48" s="13">
        <f>SUM(A41:A47)</f>
        <v>286</v>
      </c>
      <c r="B48" s="1">
        <f>SUM(B39:B47)</f>
        <v>645</v>
      </c>
      <c r="C48" s="1">
        <f>SUM(C39:C47)</f>
        <v>141</v>
      </c>
      <c r="E48" s="21">
        <f>SUM(A48:D48)</f>
        <v>1072</v>
      </c>
      <c r="F48" t="s">
        <v>19</v>
      </c>
      <c r="G48">
        <v>7</v>
      </c>
      <c r="H48" s="4">
        <v>25000</v>
      </c>
      <c r="J48" s="4">
        <f>SUM(G48*H48)</f>
        <v>175000</v>
      </c>
      <c r="K48" t="s">
        <v>7</v>
      </c>
    </row>
    <row r="49" spans="1:13" ht="15" thickBot="1" x14ac:dyDescent="0.35">
      <c r="A49" s="13"/>
      <c r="E49" s="21"/>
    </row>
    <row r="50" spans="1:13" ht="15" thickBot="1" x14ac:dyDescent="0.35">
      <c r="A50" s="15">
        <f>SUM(A37*A48)</f>
        <v>2574</v>
      </c>
      <c r="B50" s="16">
        <f>SUM(B37*B48)</f>
        <v>6450</v>
      </c>
      <c r="C50" s="16">
        <f>SUM(C37*C48)</f>
        <v>1551</v>
      </c>
      <c r="D50" s="22"/>
      <c r="E50" s="23">
        <f>SUM(A50:D50)</f>
        <v>10575</v>
      </c>
      <c r="F50" t="s">
        <v>20</v>
      </c>
      <c r="H50" s="4">
        <v>180</v>
      </c>
      <c r="J50" s="4">
        <f>SUM(E50*H50)</f>
        <v>1903500</v>
      </c>
      <c r="K50" t="s">
        <v>8</v>
      </c>
    </row>
    <row r="51" spans="1:13" x14ac:dyDescent="0.3">
      <c r="M51" s="4"/>
    </row>
    <row r="52" spans="1:13" x14ac:dyDescent="0.3">
      <c r="J52" s="5">
        <f>SUM(J46:J51)</f>
        <v>2528500</v>
      </c>
    </row>
    <row r="53" spans="1:13" x14ac:dyDescent="0.3">
      <c r="E53">
        <f>SUM(E50*0.35*0.35)</f>
        <v>1295.4374999999998</v>
      </c>
      <c r="F53" t="s">
        <v>21</v>
      </c>
    </row>
    <row r="55" spans="1:13" x14ac:dyDescent="0.3">
      <c r="J55" s="4">
        <v>449999.96</v>
      </c>
      <c r="K55" t="s">
        <v>2</v>
      </c>
    </row>
    <row r="56" spans="1:13" x14ac:dyDescent="0.3">
      <c r="B56" s="8">
        <f>SUM(E11-E50)</f>
        <v>1224</v>
      </c>
      <c r="J56" s="4">
        <v>1903497.5049999999</v>
      </c>
      <c r="K56" t="s">
        <v>3</v>
      </c>
    </row>
    <row r="57" spans="1:13" x14ac:dyDescent="0.3">
      <c r="B57" s="8">
        <f>SUM(B56*H50)</f>
        <v>220320</v>
      </c>
      <c r="J57" s="4">
        <f>SUM(J55:J56)</f>
        <v>2353497.4649999999</v>
      </c>
      <c r="K57" t="s">
        <v>4</v>
      </c>
    </row>
    <row r="59" spans="1:13" x14ac:dyDescent="0.3">
      <c r="J59" s="4">
        <v>174999.49</v>
      </c>
      <c r="K59" t="s">
        <v>5</v>
      </c>
    </row>
    <row r="60" spans="1:13" ht="15" thickBot="1" x14ac:dyDescent="0.35">
      <c r="M60" s="4"/>
    </row>
    <row r="61" spans="1:13" ht="15" thickBot="1" x14ac:dyDescent="0.35">
      <c r="J61" s="6">
        <f>SUM(J57+J59)</f>
        <v>2528496.9550000001</v>
      </c>
      <c r="K61" t="s">
        <v>9</v>
      </c>
    </row>
    <row r="63" spans="1:13" x14ac:dyDescent="0.3">
      <c r="J63" s="4">
        <f>SUM(J61/1.2)</f>
        <v>2107080.7958333334</v>
      </c>
      <c r="K63" t="s">
        <v>10</v>
      </c>
    </row>
    <row r="64" spans="1:13" x14ac:dyDescent="0.3">
      <c r="J64" s="4">
        <f>SUM(J63*0.2)</f>
        <v>421416.15916666668</v>
      </c>
      <c r="K64" t="s">
        <v>11</v>
      </c>
    </row>
    <row r="65" spans="1:11" x14ac:dyDescent="0.3">
      <c r="J65" s="4">
        <f>SUM(J63:J64)</f>
        <v>2528496.9550000001</v>
      </c>
      <c r="K65" t="s">
        <v>12</v>
      </c>
    </row>
    <row r="67" spans="1:11" x14ac:dyDescent="0.3">
      <c r="I67" s="7"/>
      <c r="J67" s="4">
        <v>2748816.66</v>
      </c>
      <c r="K67" s="4"/>
    </row>
    <row r="68" spans="1:11" x14ac:dyDescent="0.3">
      <c r="I68" s="7"/>
      <c r="J68" s="4">
        <f>SUM(J67-J65)</f>
        <v>220319.70500000007</v>
      </c>
      <c r="K68" s="4"/>
    </row>
    <row r="69" spans="1:11" x14ac:dyDescent="0.3">
      <c r="I69" s="7"/>
      <c r="K69" s="4"/>
    </row>
    <row r="74" spans="1:11" x14ac:dyDescent="0.3">
      <c r="A74" s="9" t="s">
        <v>18</v>
      </c>
    </row>
    <row r="77" spans="1:11" x14ac:dyDescent="0.3">
      <c r="I77" s="24" t="s">
        <v>22</v>
      </c>
      <c r="J77" s="4">
        <f>SUM(J56/100*10)</f>
        <v>190349.75049999997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58AB-5691-4E00-A5D0-90DDE57EF60F}">
  <dimension ref="A1:U77"/>
  <sheetViews>
    <sheetView tabSelected="1" topLeftCell="C1" workbookViewId="0">
      <selection activeCell="R55" sqref="R55"/>
    </sheetView>
  </sheetViews>
  <sheetFormatPr defaultRowHeight="14.4" x14ac:dyDescent="0.3"/>
  <cols>
    <col min="1" max="3" width="8.88671875" style="1"/>
    <col min="8" max="8" width="11.88671875" style="4" customWidth="1"/>
    <col min="9" max="9" width="8.88671875" style="4"/>
    <col min="10" max="10" width="16.88671875" style="4" customWidth="1"/>
    <col min="11" max="11" width="9.5546875" bestFit="1" customWidth="1"/>
    <col min="13" max="13" width="10.5546875" bestFit="1" customWidth="1"/>
    <col min="14" max="14" width="19.88671875" customWidth="1"/>
    <col min="17" max="17" width="5.109375" customWidth="1"/>
    <col min="18" max="18" width="17.77734375" customWidth="1"/>
  </cols>
  <sheetData>
    <row r="1" spans="1:13" x14ac:dyDescent="0.3">
      <c r="A1" s="1" t="s">
        <v>0</v>
      </c>
    </row>
    <row r="2" spans="1:13" hidden="1" x14ac:dyDescent="0.3"/>
    <row r="3" spans="1:13" hidden="1" x14ac:dyDescent="0.3"/>
    <row r="4" spans="1:13" hidden="1" x14ac:dyDescent="0.3"/>
    <row r="5" spans="1:13" hidden="1" x14ac:dyDescent="0.3">
      <c r="A5" s="2" t="s">
        <v>17</v>
      </c>
      <c r="B5" s="2" t="s">
        <v>1</v>
      </c>
      <c r="C5" s="2" t="s">
        <v>1</v>
      </c>
    </row>
    <row r="6" spans="1:13" hidden="1" x14ac:dyDescent="0.3"/>
    <row r="7" spans="1:13" hidden="1" x14ac:dyDescent="0.3">
      <c r="A7" s="1">
        <v>9</v>
      </c>
      <c r="B7" s="1">
        <v>10</v>
      </c>
      <c r="C7" s="1">
        <v>11</v>
      </c>
      <c r="G7">
        <v>1</v>
      </c>
      <c r="H7" s="4">
        <v>450000</v>
      </c>
      <c r="J7" s="4">
        <f>SUM(G7*H7)</f>
        <v>450000</v>
      </c>
      <c r="K7" t="s">
        <v>6</v>
      </c>
    </row>
    <row r="8" spans="1:13" hidden="1" x14ac:dyDescent="0.3"/>
    <row r="9" spans="1:13" hidden="1" x14ac:dyDescent="0.3">
      <c r="B9" s="1">
        <v>741</v>
      </c>
      <c r="C9" s="1">
        <v>399</v>
      </c>
      <c r="E9">
        <f>SUM(B9:D9)</f>
        <v>1140</v>
      </c>
      <c r="G9">
        <v>20</v>
      </c>
      <c r="H9" s="4">
        <v>25000</v>
      </c>
      <c r="J9" s="4">
        <f>SUM(G9*H9)</f>
        <v>500000</v>
      </c>
      <c r="K9" t="s">
        <v>7</v>
      </c>
    </row>
    <row r="10" spans="1:13" hidden="1" x14ac:dyDescent="0.3"/>
    <row r="11" spans="1:13" hidden="1" x14ac:dyDescent="0.3">
      <c r="B11" s="1">
        <f>SUM(B7*B9)</f>
        <v>7410</v>
      </c>
      <c r="C11" s="1">
        <f>SUM(C7*C9)</f>
        <v>4389</v>
      </c>
      <c r="E11" s="3">
        <f>SUM(B11:D11)</f>
        <v>11799</v>
      </c>
      <c r="H11" s="4">
        <v>180</v>
      </c>
      <c r="J11" s="4">
        <f>SUM(E11*H11)</f>
        <v>2123820</v>
      </c>
      <c r="K11" t="s">
        <v>8</v>
      </c>
    </row>
    <row r="12" spans="1:13" hidden="1" x14ac:dyDescent="0.3">
      <c r="M12" s="4"/>
    </row>
    <row r="13" spans="1:13" hidden="1" x14ac:dyDescent="0.3">
      <c r="J13" s="5">
        <f>SUM(J7:J12)</f>
        <v>3073820</v>
      </c>
    </row>
    <row r="14" spans="1:13" hidden="1" x14ac:dyDescent="0.3">
      <c r="E14">
        <f>SUM(E11*0.35*0.35)</f>
        <v>1445.3774999999998</v>
      </c>
    </row>
    <row r="15" spans="1:13" hidden="1" x14ac:dyDescent="0.3">
      <c r="B15" s="1">
        <v>250</v>
      </c>
      <c r="C15" s="1">
        <v>107</v>
      </c>
    </row>
    <row r="16" spans="1:13" hidden="1" x14ac:dyDescent="0.3">
      <c r="C16" s="1">
        <v>34</v>
      </c>
      <c r="J16" s="4">
        <v>449999.96</v>
      </c>
      <c r="K16" t="s">
        <v>2</v>
      </c>
    </row>
    <row r="17" spans="1:13" hidden="1" x14ac:dyDescent="0.3">
      <c r="A17" s="1">
        <v>191</v>
      </c>
      <c r="J17" s="4">
        <v>2123817.2000000002</v>
      </c>
      <c r="K17" t="s">
        <v>3</v>
      </c>
    </row>
    <row r="18" spans="1:13" hidden="1" x14ac:dyDescent="0.3">
      <c r="B18" s="1">
        <v>64</v>
      </c>
      <c r="J18" s="4">
        <v>2573817.17</v>
      </c>
      <c r="K18" t="s">
        <v>4</v>
      </c>
    </row>
    <row r="19" spans="1:13" hidden="1" x14ac:dyDescent="0.3">
      <c r="B19" s="1">
        <v>172</v>
      </c>
    </row>
    <row r="20" spans="1:13" hidden="1" x14ac:dyDescent="0.3">
      <c r="B20" s="1">
        <v>12</v>
      </c>
      <c r="J20" s="4">
        <v>499998.55</v>
      </c>
      <c r="K20" t="s">
        <v>5</v>
      </c>
    </row>
    <row r="21" spans="1:13" hidden="1" x14ac:dyDescent="0.3">
      <c r="A21" s="1">
        <v>95</v>
      </c>
      <c r="M21" s="4"/>
    </row>
    <row r="22" spans="1:13" ht="15" hidden="1" thickBot="1" x14ac:dyDescent="0.35">
      <c r="B22" s="1">
        <v>147</v>
      </c>
      <c r="J22" s="6">
        <f>SUM(J18+J20)</f>
        <v>3073815.7199999997</v>
      </c>
      <c r="K22" t="s">
        <v>9</v>
      </c>
    </row>
    <row r="23" spans="1:13" hidden="1" x14ac:dyDescent="0.3"/>
    <row r="24" spans="1:13" hidden="1" x14ac:dyDescent="0.3">
      <c r="A24" s="1">
        <f>SUM(A17:A23)</f>
        <v>286</v>
      </c>
      <c r="B24" s="1">
        <f>SUM(B15:B23)</f>
        <v>645</v>
      </c>
      <c r="C24" s="1">
        <f>SUM(C15:C23)</f>
        <v>141</v>
      </c>
      <c r="E24">
        <f>SUM(A24:D24)</f>
        <v>1072</v>
      </c>
      <c r="J24" s="4">
        <f>SUM(J22/1.2)</f>
        <v>2561513.1</v>
      </c>
      <c r="K24" t="s">
        <v>10</v>
      </c>
    </row>
    <row r="25" spans="1:13" hidden="1" x14ac:dyDescent="0.3">
      <c r="J25" s="4">
        <f>SUM(J24*0.2)</f>
        <v>512302.62000000005</v>
      </c>
      <c r="K25" t="s">
        <v>11</v>
      </c>
    </row>
    <row r="26" spans="1:13" hidden="1" x14ac:dyDescent="0.3">
      <c r="J26" s="4">
        <f>SUM(J24:J25)</f>
        <v>3073815.72</v>
      </c>
      <c r="K26" t="s">
        <v>12</v>
      </c>
    </row>
    <row r="27" spans="1:13" hidden="1" x14ac:dyDescent="0.3"/>
    <row r="28" spans="1:13" hidden="1" x14ac:dyDescent="0.3">
      <c r="I28" s="7" t="s">
        <v>13</v>
      </c>
      <c r="J28" s="4">
        <f>SUM(J16/2)</f>
        <v>224999.98</v>
      </c>
      <c r="K28" s="4"/>
    </row>
    <row r="29" spans="1:13" hidden="1" x14ac:dyDescent="0.3">
      <c r="I29" s="7" t="s">
        <v>14</v>
      </c>
      <c r="J29" s="4">
        <f>SUM(J20/2)</f>
        <v>249999.27499999999</v>
      </c>
      <c r="K29" s="4">
        <f>SUM(J17/10)</f>
        <v>212381.72000000003</v>
      </c>
    </row>
    <row r="30" spans="1:13" hidden="1" x14ac:dyDescent="0.3">
      <c r="I30" s="7" t="s">
        <v>15</v>
      </c>
      <c r="K30" s="4"/>
    </row>
    <row r="31" spans="1:13" hidden="1" x14ac:dyDescent="0.3">
      <c r="I31" s="7" t="s">
        <v>16</v>
      </c>
      <c r="K31" s="4"/>
    </row>
    <row r="32" spans="1:13" hidden="1" x14ac:dyDescent="0.3">
      <c r="I32" s="7"/>
    </row>
    <row r="33" spans="1:11" x14ac:dyDescent="0.3">
      <c r="I33" s="7"/>
    </row>
    <row r="34" spans="1:11" x14ac:dyDescent="0.3">
      <c r="I34" s="7"/>
    </row>
    <row r="35" spans="1:11" x14ac:dyDescent="0.3">
      <c r="A35" s="10" t="s">
        <v>17</v>
      </c>
      <c r="B35" s="11" t="s">
        <v>1</v>
      </c>
      <c r="C35" s="12" t="s">
        <v>1</v>
      </c>
    </row>
    <row r="36" spans="1:11" x14ac:dyDescent="0.3">
      <c r="A36" s="13"/>
      <c r="C36" s="14"/>
    </row>
    <row r="37" spans="1:11" x14ac:dyDescent="0.3">
      <c r="A37" s="13">
        <v>9</v>
      </c>
      <c r="B37" s="1">
        <v>10</v>
      </c>
      <c r="C37" s="14">
        <v>11</v>
      </c>
    </row>
    <row r="38" spans="1:11" x14ac:dyDescent="0.3">
      <c r="A38" s="17"/>
      <c r="B38" s="18"/>
      <c r="C38" s="18"/>
      <c r="D38" s="19"/>
      <c r="E38" s="20"/>
    </row>
    <row r="39" spans="1:11" x14ac:dyDescent="0.3">
      <c r="A39" s="13"/>
      <c r="B39" s="27">
        <v>250</v>
      </c>
      <c r="C39" s="27">
        <v>107</v>
      </c>
      <c r="E39" s="21"/>
    </row>
    <row r="40" spans="1:11" x14ac:dyDescent="0.3">
      <c r="A40" s="13"/>
      <c r="C40" s="27">
        <v>34</v>
      </c>
      <c r="E40" s="21"/>
    </row>
    <row r="41" spans="1:11" x14ac:dyDescent="0.3">
      <c r="A41" s="25">
        <v>191</v>
      </c>
      <c r="C41" s="28">
        <v>16</v>
      </c>
      <c r="E41" s="21"/>
    </row>
    <row r="42" spans="1:11" x14ac:dyDescent="0.3">
      <c r="A42" s="13"/>
      <c r="B42" s="27">
        <v>64</v>
      </c>
      <c r="E42" s="21"/>
    </row>
    <row r="43" spans="1:11" x14ac:dyDescent="0.3">
      <c r="A43" s="13"/>
      <c r="B43" s="27">
        <v>172</v>
      </c>
      <c r="E43" s="21"/>
    </row>
    <row r="44" spans="1:11" x14ac:dyDescent="0.3">
      <c r="A44" s="13"/>
      <c r="B44" s="27">
        <v>12</v>
      </c>
      <c r="E44" s="21"/>
    </row>
    <row r="45" spans="1:11" x14ac:dyDescent="0.3">
      <c r="A45" s="25">
        <v>95</v>
      </c>
      <c r="E45" s="21"/>
    </row>
    <row r="46" spans="1:11" x14ac:dyDescent="0.3">
      <c r="A46" s="13"/>
      <c r="B46" s="28">
        <v>114</v>
      </c>
      <c r="E46" s="21"/>
      <c r="G46">
        <v>1</v>
      </c>
      <c r="H46" s="4">
        <v>450000</v>
      </c>
      <c r="J46" s="4">
        <f>SUM(G46*H46)</f>
        <v>450000</v>
      </c>
      <c r="K46" t="s">
        <v>6</v>
      </c>
    </row>
    <row r="47" spans="1:11" x14ac:dyDescent="0.3">
      <c r="A47" s="13"/>
      <c r="E47" s="21"/>
    </row>
    <row r="48" spans="1:11" x14ac:dyDescent="0.3">
      <c r="A48" s="26">
        <f>SUM(A41:A47)</f>
        <v>286</v>
      </c>
      <c r="B48" s="1">
        <f>SUM(B39:B47)</f>
        <v>612</v>
      </c>
      <c r="C48" s="1">
        <f>SUM(C39:C47)+7</f>
        <v>164</v>
      </c>
      <c r="E48" s="21">
        <f>SUM(A48:D48)</f>
        <v>1062</v>
      </c>
      <c r="F48" t="s">
        <v>19</v>
      </c>
      <c r="G48">
        <v>7</v>
      </c>
      <c r="H48" s="4">
        <v>25000</v>
      </c>
      <c r="J48" s="4">
        <f>SUM(G48*H48)</f>
        <v>175000</v>
      </c>
      <c r="K48" t="s">
        <v>7</v>
      </c>
    </row>
    <row r="49" spans="1:21" ht="15" thickBot="1" x14ac:dyDescent="0.35">
      <c r="A49" s="13"/>
      <c r="E49" s="21"/>
    </row>
    <row r="50" spans="1:21" ht="15" thickBot="1" x14ac:dyDescent="0.35">
      <c r="A50" s="15">
        <f>SUM(A37*A48)</f>
        <v>2574</v>
      </c>
      <c r="B50" s="16">
        <f>SUM(B37*B48)</f>
        <v>6120</v>
      </c>
      <c r="C50" s="16">
        <f>SUM(C37*C48)</f>
        <v>1804</v>
      </c>
      <c r="D50" s="22"/>
      <c r="E50" s="23">
        <f>SUM(A50:D50)</f>
        <v>10498</v>
      </c>
      <c r="F50" t="s">
        <v>20</v>
      </c>
      <c r="H50" s="4">
        <v>180</v>
      </c>
      <c r="J50" s="29">
        <f>SUM(E50*H50)</f>
        <v>1889640</v>
      </c>
      <c r="K50" t="s">
        <v>8</v>
      </c>
      <c r="N50" s="30">
        <f>975*H50</f>
        <v>175500</v>
      </c>
      <c r="O50" s="31" t="s">
        <v>23</v>
      </c>
      <c r="P50" s="32"/>
      <c r="Q50" s="34"/>
      <c r="R50" s="38">
        <f>J50-J54</f>
        <v>1677258.28</v>
      </c>
      <c r="S50" s="36" t="s">
        <v>25</v>
      </c>
      <c r="T50" s="37"/>
    </row>
    <row r="51" spans="1:21" x14ac:dyDescent="0.3">
      <c r="M51" s="4"/>
    </row>
    <row r="52" spans="1:21" x14ac:dyDescent="0.3">
      <c r="J52" s="5">
        <f>SUM(J46:J51)</f>
        <v>2514640</v>
      </c>
    </row>
    <row r="53" spans="1:21" x14ac:dyDescent="0.3">
      <c r="E53">
        <f>SUM(E50*0.35*0.35)</f>
        <v>1286.0049999999999</v>
      </c>
      <c r="F53" t="s">
        <v>21</v>
      </c>
    </row>
    <row r="54" spans="1:21" x14ac:dyDescent="0.3">
      <c r="J54" s="33">
        <v>212381.72</v>
      </c>
      <c r="K54" s="31" t="s">
        <v>24</v>
      </c>
      <c r="L54" s="32"/>
      <c r="R54" s="35">
        <f>R50/5</f>
        <v>335451.65600000002</v>
      </c>
      <c r="S54" s="36" t="s">
        <v>26</v>
      </c>
      <c r="T54" s="36"/>
      <c r="U54" s="37"/>
    </row>
    <row r="55" spans="1:21" x14ac:dyDescent="0.3">
      <c r="J55" s="4">
        <v>449999.96</v>
      </c>
      <c r="K55" t="s">
        <v>2</v>
      </c>
    </row>
    <row r="56" spans="1:21" x14ac:dyDescent="0.3">
      <c r="B56" s="8">
        <f>SUM(E11-E50)</f>
        <v>1301</v>
      </c>
      <c r="J56" s="4">
        <f>J50</f>
        <v>1889640</v>
      </c>
      <c r="K56" t="s">
        <v>3</v>
      </c>
    </row>
    <row r="57" spans="1:21" x14ac:dyDescent="0.3">
      <c r="B57" s="8">
        <f>SUM(B56*H50)</f>
        <v>234180</v>
      </c>
      <c r="J57" s="4">
        <f>SUM(J55:J56)</f>
        <v>2339639.96</v>
      </c>
      <c r="K57" t="s">
        <v>4</v>
      </c>
    </row>
    <row r="59" spans="1:21" x14ac:dyDescent="0.3">
      <c r="J59" s="4">
        <v>174999.49</v>
      </c>
      <c r="K59" t="s">
        <v>5</v>
      </c>
    </row>
    <row r="60" spans="1:21" ht="15" thickBot="1" x14ac:dyDescent="0.35">
      <c r="M60" s="4"/>
    </row>
    <row r="61" spans="1:21" ht="15" thickBot="1" x14ac:dyDescent="0.35">
      <c r="J61" s="6">
        <f>SUM(J57+J59)</f>
        <v>2514639.4500000002</v>
      </c>
      <c r="K61" t="s">
        <v>9</v>
      </c>
    </row>
    <row r="63" spans="1:21" x14ac:dyDescent="0.3">
      <c r="J63" s="4">
        <f>SUM(J61/1.2)</f>
        <v>2095532.8750000002</v>
      </c>
      <c r="K63" t="s">
        <v>10</v>
      </c>
    </row>
    <row r="64" spans="1:21" x14ac:dyDescent="0.3">
      <c r="J64" s="4">
        <f>SUM(J63*0.2)</f>
        <v>419106.57500000007</v>
      </c>
      <c r="K64" t="s">
        <v>11</v>
      </c>
    </row>
    <row r="65" spans="1:11" x14ac:dyDescent="0.3">
      <c r="J65" s="4">
        <f>SUM(J63:J64)</f>
        <v>2514639.4500000002</v>
      </c>
      <c r="K65" t="s">
        <v>12</v>
      </c>
    </row>
    <row r="67" spans="1:11" x14ac:dyDescent="0.3">
      <c r="I67" s="7"/>
      <c r="J67" s="4">
        <v>2748816.66</v>
      </c>
      <c r="K67" s="4"/>
    </row>
    <row r="68" spans="1:11" x14ac:dyDescent="0.3">
      <c r="I68" s="7"/>
      <c r="J68" s="4">
        <f>SUM(J67-J65)</f>
        <v>234177.20999999996</v>
      </c>
      <c r="K68" s="4"/>
    </row>
    <row r="69" spans="1:11" x14ac:dyDescent="0.3">
      <c r="I69" s="7"/>
      <c r="K69" s="4"/>
    </row>
    <row r="74" spans="1:11" x14ac:dyDescent="0.3">
      <c r="A74" s="9" t="s">
        <v>18</v>
      </c>
    </row>
    <row r="77" spans="1:11" x14ac:dyDescent="0.3">
      <c r="I77" s="24" t="s">
        <v>22</v>
      </c>
      <c r="J77" s="4">
        <f>SUM(J56/100*10)</f>
        <v>188964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Мой расчет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Сивоконь</dc:creator>
  <cp:lastModifiedBy>user</cp:lastModifiedBy>
  <dcterms:created xsi:type="dcterms:W3CDTF">2024-05-14T09:52:38Z</dcterms:created>
  <dcterms:modified xsi:type="dcterms:W3CDTF">2024-08-15T12:57:25Z</dcterms:modified>
</cp:coreProperties>
</file>
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АСТАРТА ГЕНПОДРЯД\"/>
    </mc:Choice>
  </mc:AlternateContent>
  <bookViews>
    <workbookView xWindow="-108" yWindow="-108" windowWidth="23256" windowHeight="1245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АВР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'!$A$16:$H$16</definedName>
    <definedName name="_xlnm._FilterDatabase" localSheetId="4" hidden="1">РеєстрАВР!$A$4:$AO$16</definedName>
    <definedName name="_xlnm._FilterDatabase" localSheetId="5" hidden="1">'РеєстрАВР (2)'!$A$4:$AP$19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'!$A$4:$H$19</definedName>
    <definedName name="_xlnm.Print_Area" localSheetId="4">РеєстрАВР!$A$1:$S$23</definedName>
    <definedName name="_xlnm.Print_Area" localSheetId="5">'РеєстрАВР (2)'!$A$1:$J$20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6" i="27" l="1"/>
  <c r="F16" i="27"/>
  <c r="E16" i="27"/>
  <c r="G14" i="27"/>
  <c r="T8" i="27" l="1"/>
  <c r="G7" i="27" l="1"/>
  <c r="C10" i="27" l="1"/>
  <c r="C14" i="22"/>
  <c r="C12" i="22" l="1"/>
  <c r="C10" i="22" l="1"/>
  <c r="F5" i="27" l="1"/>
  <c r="G5" i="27" s="1"/>
  <c r="G10" i="27" l="1"/>
  <c r="F10" i="27"/>
  <c r="G13" i="27" l="1"/>
  <c r="F17" i="27" l="1"/>
  <c r="G6" i="27" l="1"/>
  <c r="G12" i="27"/>
  <c r="C12" i="27" l="1"/>
  <c r="G8" i="27" l="1"/>
  <c r="C8" i="27" l="1"/>
  <c r="C5" i="27" l="1"/>
  <c r="E19" i="22" l="1"/>
  <c r="D19" i="22"/>
  <c r="C7" i="22" l="1"/>
  <c r="C20" i="28" l="1"/>
  <c r="F19" i="28"/>
  <c r="F20" i="28" s="1"/>
  <c r="C19" i="28"/>
  <c r="G18" i="28"/>
  <c r="G17" i="28"/>
  <c r="G16" i="28"/>
  <c r="F15" i="28"/>
  <c r="G15" i="28" s="1"/>
  <c r="S14" i="28"/>
  <c r="G14" i="28"/>
  <c r="G13" i="28"/>
  <c r="G12" i="28"/>
  <c r="F11" i="28"/>
  <c r="G11" i="28" s="1"/>
  <c r="G19" i="28" s="1"/>
  <c r="G20" i="28" s="1"/>
  <c r="G10" i="28"/>
  <c r="F10" i="28"/>
  <c r="E9" i="28"/>
  <c r="E19" i="28" s="1"/>
  <c r="E20" i="28" s="1"/>
  <c r="G8" i="28"/>
  <c r="G7" i="28"/>
  <c r="S6" i="28"/>
  <c r="G6" i="28"/>
  <c r="G5" i="28"/>
  <c r="F5" i="28"/>
  <c r="E17" i="27" l="1"/>
  <c r="C16" i="27"/>
  <c r="C17" i="27" s="1"/>
  <c r="S8" i="27" l="1"/>
  <c r="C19" i="22" l="1"/>
  <c r="S6" i="27" l="1"/>
  <c r="G17" i="27" l="1"/>
  <c r="E48" i="26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<sst xmlns="http://schemas.openxmlformats.org/spreadsheetml/2006/main" count="645" uniqueCount="246">
  <si>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</si>
  <si>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</si>
  <si>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</si>
  <si>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</si>
  <si>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</si>
  <si>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</si>
  <si>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</si>
  <si>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</si>
  <si>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</si>
  <si>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</si>
  <si>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</si>
  <si>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</si>
  <si>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</si>
  <si>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</si>
  <si>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</si>
  <si>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</si>
  <si>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</si>
  <si>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</si>
  <si>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</si>
  <si>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</si>
  <si>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</si>
  <si>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</si>
  <si>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</si>
  <si>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</si>
  <si>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</si>
  <si>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</si>
  <si>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</si>
  <si>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</si>
  <si>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</si>
  <si>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</si>
  <si>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</si>
  <si>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</si>
  <si>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</si>
  <si>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</si>
  <si>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</si>
  <si>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</si>
  <si>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</si>
  <si>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</si>
  <si>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</si>
  <si>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</si>
  <si>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</si>
  <si>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</si>
  <si>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</si>
  <si>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</si>
  <si>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</si>
  <si>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</si>
  <si>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</si>
  <si>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</si>
  <si>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</si>
  <si>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</si>
  <si>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</si>
  <si>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</si>
  <si>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</si>
  <si>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</si>
  <si>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</si>
  <si>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</si>
  <si>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</si>
  <si>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</si>
  <si>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</si>
  <si>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</si>
  <si>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</si>
  <si>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</si>
  <si>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</si>
  <si>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</si>
  <si>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</si>
  <si>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</si>
  <si>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</si>
  <si>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</si>
  <si>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</si>
  <si>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</si>
  <si>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</si>
  <si>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</si>
  <si>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</si>
  <si>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</si>
  <si>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</si>
  <si>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</si>
  <si>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</si>
  <si>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</si>
  <si>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</si>
  <si>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</si>
  <si>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</si>
  <si>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</si>
  <si>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</si>
  <si>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</si>
  <si>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</si>
  <si>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</si>
  <si>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</si>
  <si>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</si>
  <si>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</si>
  <si>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</si>
  <si>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</si>
  <si>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</si>
  <si>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</si>
  <si>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</si>
  <si>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</si>
  <si>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</si>
  <si>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</si>
  <si>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</si>
  <si>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</si>
  <si>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</si>
  <si>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</si>
  <si>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</si>
  <si>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</si>
  <si>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</si>
  <si>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</si>
  <si>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</si>
  <si>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</si>
  <si>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</si>
  <si>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</si>
  <si>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</si>
  <si>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</si>
  <si>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</si>
  <si>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</si>
  <si>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</si>
  <si>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</si>
  <si>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</si>
  <si>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</si>
  <si>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</si>
  <si>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</si>
  <si>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</si>
  <si>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</si>
  <si>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</si>
  <si>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</si>
  <si>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</si>
  <si>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</si>
  <si>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</si>
  <si>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</si>
  <si>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</si>
  <si>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</si>
  <si>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</si>
  <si>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</si>
  <si>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</si>
  <si>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</si>
  <si>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</si>
  <si>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</si>
  <si>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</si>
  <si>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</si>
  <si>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</si>
  <si>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</si>
  <si>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</si>
  <si>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</si>
  <si>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</si>
  <si>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</si>
  <si>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</si>
  <si>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</si>
  <si>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</si>
  <si>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</si>
  <si>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</si>
  <si>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</si>
  <si>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</si>
  <si>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</si>
  <si>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</si>
  <si>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</si>
  <si>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</si>
  <si>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</si>
  <si>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</si>
  <si>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</si>
  <si>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</si>
  <si>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</si>
  <si>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</si>
  <si>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</si>
  <si>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</si>
  <si>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</si>
  <si>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</si>
  <si>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</si>
  <si>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</si>
  <si>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</si>
  <si>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</si>
  <si>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</si>
  <si>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</si>
  <si>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</si>
  <si>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</si>
  <si>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</si>
  <si>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</si>
  <si>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</si>
  <si>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</si>
  <si>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</si>
  <si>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</si>
  <si>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</si>
  <si>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</si>
  <si>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</si>
  <si>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</si>
  <si>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</si>
  <si>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</si>
  <si>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</si>
  <si>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</si>
  <si>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</si>
  <si>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</si>
  <si>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</si>
  <si>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</si>
  <si>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</si>
  <si>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</si>
  <si>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</si>
  <si>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</si>
  <si>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</si>
  <si>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</si>
  <si>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</si>
  <si>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</si>
  <si>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</si>
  <si>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</si>
  <si>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</si>
  <si>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</si>
  <si>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</si>
  <si>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</si>
  <si>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</si>
  <si>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</si>
  <si>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</si>
  <si>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</si>
  <si>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оплачено</t>
  </si>
  <si>
    <t>Підготовчі роботи та монтаж пальового поля (Договір № 19/07/2024)</t>
  </si>
  <si>
    <t>Підготовчі роботи та монтаж пальового поля (Договір №14/06/2024)</t>
  </si>
  <si>
    <t>Оригинал в офисе (подписан без даты)</t>
  </si>
  <si>
    <t>+</t>
  </si>
  <si>
    <t>оплата</t>
  </si>
  <si>
    <t>АВР підписаний діректором Індастріалбуд</t>
  </si>
  <si>
    <t>АВР та рахунок відправлений на підпис Астарта</t>
  </si>
  <si>
    <t>Після подачи рахунку до п'ятниці,планується оплата на наступному тижні вівторок,четвер</t>
  </si>
  <si>
    <t>Об'єми подані в ВТВ для КБ6</t>
  </si>
  <si>
    <t>Погодження КБ6 технаглядом</t>
  </si>
  <si>
    <t>АВР підписаний технаглядом</t>
  </si>
  <si>
    <t>АВР  підписаний директором замовника</t>
  </si>
  <si>
    <t>Орігінал АВР в офісі</t>
  </si>
  <si>
    <t>Оплата по АВР</t>
  </si>
  <si>
    <t xml:space="preserve"> Списання М29</t>
  </si>
  <si>
    <t>влаштування тимчасових доріг (ДУ №1 до договору 19.07.2024)</t>
  </si>
  <si>
    <t>Влаштування паркану (ДУ №2 до договору №19.07.2024)</t>
  </si>
  <si>
    <t>Оригинал на подписи у директора.</t>
  </si>
  <si>
    <t>ДОГОВІР ГЕНЕРАЛЬНОГО ПІДРЯДУ №  12/09/2024-ГП</t>
  </si>
  <si>
    <t xml:space="preserve"> Реєстр ДЦ  з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</t>
  </si>
  <si>
    <t>Локальний кошторис 1.3 "Цех екстракції поз. 3 по ГП</t>
  </si>
  <si>
    <t>Розділ КБ</t>
  </si>
  <si>
    <t>Локальний кошторис 1.5 "Насосна оборотного водопостачання поз. 3.2 по ГП та градирня поз. 3.3 по ГП</t>
  </si>
  <si>
    <t>Локальний кошторис 1.14. Котельня. Побутовому корпусу. ТП 10/0,4кВ. Електрощитових поз.6 по ГП та димовій трубі поз. 6.1 по ГП</t>
  </si>
  <si>
    <t>Локальний кошторис 1.4 Резервуари для зберігання розчинника місткістю 600 м3 (2 шт.) поз. 3.1.1-3.1.2 по ГП та Резервуарам для зберігання розчинника місткістю 150 м3 (2 шт.) поз. 3.1.3-3.1.4 по ГП</t>
  </si>
  <si>
    <t xml:space="preserve"> Реєстр актів виконаних робіт з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</t>
  </si>
  <si>
    <t>№1/1.3-КБ</t>
  </si>
  <si>
    <t>№1/1.4-КБ</t>
  </si>
  <si>
    <t>№1/1.5-КБ</t>
  </si>
  <si>
    <t>№1/1.14-КБ</t>
  </si>
  <si>
    <t>№2/1.3-КБ</t>
  </si>
  <si>
    <t>№2/1.14-КБ</t>
  </si>
  <si>
    <t>подписано. Оригинал в офиче</t>
  </si>
  <si>
    <t>№3/1.3-КБ</t>
  </si>
  <si>
    <t>после подписания оригинал будет отправлен</t>
  </si>
  <si>
    <t>№3/1.14-КБ</t>
  </si>
  <si>
    <t>корректировка замечаний Заказчика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</si>
</sst>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5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789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46" fillId="5" borderId="2" xfId="20" applyFont="1" applyFill="1" applyBorder="1" applyAlignment="1">
      <alignment horizontal="center" vertical="center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49" fillId="0" borderId="19" xfId="20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75" fontId="49" fillId="0" borderId="2" xfId="20" applyNumberFormat="1" applyFont="1" applyFill="1" applyBorder="1" applyAlignment="1">
      <alignment horizontal="center" vertical="center"/>
    </xf>
    <xf numFmtId="0" fontId="49" fillId="0" borderId="6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center"/>
    </xf>
    <xf numFmtId="0" fontId="38" fillId="0" borderId="2" xfId="20" applyFont="1" applyBorder="1" applyAlignment="1">
      <alignment vertical="center"/>
    </xf>
    <xf numFmtId="0" fontId="42" fillId="0" borderId="0" xfId="20" applyFont="1" applyAlignment="1">
      <alignment vertical="center"/>
    </xf>
    <xf numFmtId="0" fontId="51" fillId="0" borderId="2" xfId="20" applyFont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9" fillId="0" borderId="6" xfId="20" applyNumberFormat="1" applyFont="1" applyFill="1" applyBorder="1" applyAlignment="1">
      <alignment horizontal="center" vertical="center" wrapText="1"/>
    </xf>
    <xf numFmtId="0" fontId="51" fillId="0" borderId="1" xfId="20" applyFont="1" applyBorder="1" applyAlignment="1">
      <alignment horizontal="center" vertical="center"/>
    </xf>
    <xf numFmtId="0" fontId="37" fillId="0" borderId="2" xfId="20" applyFont="1" applyBorder="1"/>
    <xf numFmtId="14" fontId="49" fillId="0" borderId="2" xfId="20" applyNumberFormat="1" applyFont="1" applyFill="1" applyBorder="1" applyAlignment="1">
      <alignment horizontal="center" vertical="center"/>
    </xf>
    <xf numFmtId="0" fontId="53" fillId="0" borderId="19" xfId="20" applyFont="1" applyFill="1" applyBorder="1" applyAlignment="1">
      <alignment horizontal="left" vertical="center" wrapText="1"/>
    </xf>
    <xf numFmtId="164" fontId="53" fillId="0" borderId="19" xfId="20" applyNumberFormat="1" applyFont="1" applyFill="1" applyBorder="1" applyAlignment="1">
      <alignment horizontal="center" vertical="center"/>
    </xf>
    <xf numFmtId="175" fontId="53" fillId="0" borderId="19" xfId="20" applyNumberFormat="1" applyFont="1" applyFill="1" applyBorder="1" applyAlignment="1">
      <alignment horizontal="center" vertical="center"/>
    </xf>
    <xf numFmtId="164" fontId="54" fillId="0" borderId="19" xfId="20" applyNumberFormat="1" applyFont="1" applyFill="1" applyBorder="1" applyAlignment="1">
      <alignment horizontal="center" vertical="center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46" fillId="5" borderId="1" xfId="20" applyFont="1" applyFill="1" applyBorder="1" applyAlignment="1">
      <alignment horizontal="center" vertical="center"/>
    </xf>
    <xf numFmtId="0" fontId="40" fillId="9" borderId="1" xfId="20" applyFont="1" applyFill="1" applyBorder="1" applyAlignment="1">
      <alignment horizontal="center" vertical="center" wrapText="1"/>
    </xf>
    <xf numFmtId="0" fontId="40" fillId="0" borderId="0" xfId="2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39" fillId="9" borderId="2" xfId="20" applyFont="1" applyFill="1" applyBorder="1" applyAlignment="1">
      <alignment horizontal="center" vertical="center" wrapText="1"/>
    </xf>
    <xf numFmtId="0" fontId="44" fillId="0" borderId="2" xfId="20" applyFont="1" applyFill="1" applyBorder="1" applyAlignment="1">
      <alignment vertical="center"/>
    </xf>
    <xf numFmtId="43" fontId="37" fillId="0" borderId="2" xfId="20" applyNumberFormat="1" applyFont="1" applyBorder="1" applyAlignment="1">
      <alignment horizontal="center" vertical="center"/>
    </xf>
    <xf numFmtId="0" fontId="48" fillId="9" borderId="2" xfId="20" applyFont="1" applyFill="1" applyBorder="1" applyAlignment="1">
      <alignment horizontal="center" vertical="center"/>
    </xf>
    <xf numFmtId="0" fontId="55" fillId="5" borderId="1" xfId="20" applyFont="1" applyFill="1" applyBorder="1" applyAlignment="1">
      <alignment horizontal="center" vertical="center"/>
    </xf>
    <xf numFmtId="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/>
    </xf>
    <xf numFmtId="16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horizontal="center" vertical="center" wrapText="1"/>
    </xf>
    <xf numFmtId="164" fontId="56" fillId="0" borderId="2" xfId="20" applyNumberFormat="1" applyFont="1" applyFill="1" applyBorder="1" applyAlignment="1">
      <alignment horizontal="center" vertical="center" wrapText="1"/>
    </xf>
    <xf numFmtId="0" fontId="57" fillId="0" borderId="2" xfId="20" applyNumberFormat="1" applyFont="1" applyFill="1" applyBorder="1" applyAlignment="1">
      <alignment horizontal="center" vertical="center" wrapText="1"/>
    </xf>
    <xf numFmtId="0" fontId="48" fillId="0" borderId="2" xfId="20" applyFont="1" applyFill="1" applyBorder="1" applyAlignment="1">
      <alignment vertical="center" wrapText="1"/>
    </xf>
    <xf numFmtId="14" fontId="49" fillId="2" borderId="2" xfId="20" applyNumberFormat="1" applyFont="1" applyFill="1" applyBorder="1" applyAlignment="1">
      <alignment horizontal="center" vertical="center"/>
    </xf>
    <xf numFmtId="14" fontId="53" fillId="2" borderId="2" xfId="20" applyNumberFormat="1" applyFont="1" applyFill="1" applyBorder="1" applyAlignment="1">
      <alignment horizontal="center" vertical="center" wrapText="1"/>
    </xf>
    <xf numFmtId="164" fontId="57" fillId="2" borderId="2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vertical="top" wrapText="1"/>
    </xf>
    <xf numFmtId="43" fontId="49" fillId="0" borderId="2" xfId="20" applyNumberFormat="1" applyFont="1" applyFill="1" applyBorder="1" applyAlignment="1">
      <alignment vertical="top" wrapText="1"/>
    </xf>
    <xf numFmtId="165" fontId="48" fillId="4" borderId="6" xfId="21" applyFont="1" applyFill="1" applyBorder="1" applyAlignment="1">
      <alignment horizontal="center" vertical="center" wrapText="1"/>
    </xf>
    <xf numFmtId="164" fontId="53" fillId="2" borderId="2" xfId="20" applyNumberFormat="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horizontal="center" vertical="center" wrapText="1"/>
    </xf>
    <xf numFmtId="43" fontId="53" fillId="2" borderId="2" xfId="25" applyFont="1" applyFill="1" applyBorder="1" applyAlignment="1">
      <alignment horizontal="center" vertical="center"/>
    </xf>
    <xf numFmtId="0" fontId="49" fillId="2" borderId="2" xfId="20" applyNumberFormat="1" applyFont="1" applyFill="1" applyBorder="1" applyAlignment="1">
      <alignment horizontal="center" vertical="center" wrapText="1"/>
    </xf>
    <xf numFmtId="0" fontId="53" fillId="2" borderId="2" xfId="20" applyNumberFormat="1" applyFont="1" applyFill="1" applyBorder="1" applyAlignment="1">
      <alignment horizontal="center" vertical="center"/>
    </xf>
    <xf numFmtId="164" fontId="53" fillId="0" borderId="14" xfId="20" applyNumberFormat="1" applyFont="1" applyFill="1" applyBorder="1" applyAlignment="1">
      <alignment horizontal="center" vertical="center" wrapText="1"/>
    </xf>
    <xf numFmtId="0" fontId="43" fillId="0" borderId="2" xfId="20" applyFont="1" applyBorder="1" applyAlignment="1">
      <alignment horizontal="center" vertical="center"/>
    </xf>
    <xf numFmtId="14" fontId="53" fillId="2" borderId="2" xfId="20" applyNumberFormat="1" applyFont="1" applyFill="1" applyBorder="1" applyAlignment="1">
      <alignment horizontal="center" vertical="center"/>
    </xf>
    <xf numFmtId="164" fontId="53" fillId="0" borderId="2" xfId="20" applyNumberFormat="1" applyFont="1" applyFill="1" applyBorder="1" applyAlignment="1">
      <alignment horizontal="center" vertical="center" wrapText="1"/>
    </xf>
    <xf numFmtId="164" fontId="53" fillId="0" borderId="6" xfId="20" applyNumberFormat="1" applyFont="1" applyFill="1" applyBorder="1" applyAlignment="1">
      <alignment horizontal="center" vertical="center" wrapText="1"/>
    </xf>
    <xf numFmtId="164" fontId="54" fillId="0" borderId="6" xfId="20" applyNumberFormat="1" applyFont="1" applyFill="1" applyBorder="1" applyAlignment="1">
      <alignment horizontal="center" vertical="center"/>
    </xf>
    <xf numFmtId="164" fontId="53" fillId="0" borderId="2" xfId="20" applyNumberFormat="1" applyFont="1" applyFill="1" applyBorder="1" applyAlignment="1">
      <alignment horizontal="center" vertical="center"/>
    </xf>
    <xf numFmtId="164" fontId="53" fillId="0" borderId="6" xfId="20" applyNumberFormat="1" applyFont="1" applyFill="1" applyBorder="1" applyAlignment="1">
      <alignment horizontal="center" vertical="center"/>
    </xf>
    <xf numFmtId="164" fontId="54" fillId="0" borderId="2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49" fillId="0" borderId="2" xfId="20" applyFont="1" applyBorder="1" applyAlignment="1">
      <alignment horizontal="center" vertical="center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5" fillId="0" borderId="0" xfId="20" applyFont="1" applyAlignment="1">
      <alignment horizontal="left" vertical="center"/>
    </xf>
    <xf numFmtId="0" fontId="54" fillId="0" borderId="20" xfId="20" applyFont="1" applyFill="1" applyBorder="1" applyAlignment="1">
      <alignment horizontal="left" vertical="center" wrapText="1"/>
    </xf>
    <xf numFmtId="0" fontId="54" fillId="0" borderId="19" xfId="20" applyFont="1" applyFill="1" applyBorder="1" applyAlignment="1">
      <alignment horizontal="left" vertical="center" wrapText="1"/>
    </xf>
    <xf numFmtId="0" fontId="54" fillId="0" borderId="6" xfId="20" applyFont="1" applyFill="1" applyBorder="1" applyAlignment="1">
      <alignment horizontal="left" vertical="center" wrapText="1"/>
    </xf>
    <xf numFmtId="0" fontId="48" fillId="9" borderId="6" xfId="20" applyFont="1" applyFill="1" applyBorder="1" applyAlignment="1">
      <alignment horizontal="center" vertical="center"/>
    </xf>
    <xf numFmtId="0" fontId="48" fillId="9" borderId="19" xfId="20" applyFont="1" applyFill="1" applyBorder="1" applyAlignment="1">
      <alignment horizontal="center" vertical="center"/>
    </xf>
    <xf numFmtId="0" fontId="37" fillId="0" borderId="6" xfId="20" applyFont="1" applyBorder="1" applyAlignment="1">
      <alignment horizontal="center"/>
    </xf>
    <xf numFmtId="0" fontId="37" fillId="0" borderId="19" xfId="20" applyFont="1" applyBorder="1" applyAlignment="1">
      <alignment horizontal="center"/>
    </xf>
    <xf numFmtId="0" fontId="48" fillId="0" borderId="6" xfId="20" applyFont="1" applyFill="1" applyBorder="1" applyAlignment="1">
      <alignment horizontal="left" vertical="center" wrapText="1"/>
    </xf>
    <xf numFmtId="0" fontId="48" fillId="0" borderId="19" xfId="20" applyFont="1" applyFill="1" applyBorder="1" applyAlignment="1">
      <alignment horizontal="left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0" fontId="50" fillId="0" borderId="16" xfId="20" applyFont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165" fontId="48" fillId="4" borderId="12" xfId="21" applyFont="1" applyFill="1" applyBorder="1" applyAlignment="1">
      <alignment horizontal="center" vertical="center" wrapText="1"/>
    </xf>
    <xf numFmtId="165" fontId="48" fillId="4" borderId="17" xfId="21" applyFont="1" applyFill="1" applyBorder="1" applyAlignment="1">
      <alignment horizontal="center" vertical="center" wrapText="1"/>
    </xf>
    <xf numFmtId="165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24" xfId="20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5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8" fillId="0" borderId="20" xfId="20" applyFont="1" applyBorder="1" applyAlignment="1">
      <alignment horizontal="center" vertical="center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  <xf numFmtId="0" fontId="48" fillId="0" borderId="20" xfId="20" applyFont="1" applyFill="1" applyBorder="1" applyAlignment="1">
      <alignment horizontal="left" vertical="center" wrapText="1"/>
    </xf>
    <xf numFmtId="43" fontId="49" fillId="5" borderId="2" xfId="20" applyNumberFormat="1" applyFont="1" applyFill="1" applyBorder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29" t="s">
        <v>37</v>
      </c>
      <c r="B5" s="629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29" t="s">
        <v>24</v>
      </c>
      <c r="B6" s="629"/>
      <c r="C6" s="82"/>
      <c r="D6" s="630"/>
      <c r="E6" s="630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29" t="s">
        <v>38</v>
      </c>
      <c r="B7" s="629"/>
      <c r="C7" s="629"/>
      <c r="D7" s="629"/>
      <c r="E7" s="629"/>
      <c r="F7" s="629"/>
      <c r="G7" s="629"/>
      <c r="H7" s="629"/>
      <c r="I7" s="629"/>
      <c r="J7" s="82"/>
      <c r="L7" s="61"/>
      <c r="V7" s="62"/>
      <c r="W7" s="63"/>
    </row>
    <row r="8" spans="1:23" s="60" customFormat="1" ht="12.75" customHeight="1" x14ac:dyDescent="0.25">
      <c r="A8" s="629" t="s">
        <v>39</v>
      </c>
      <c r="B8" s="629"/>
      <c r="C8" s="629"/>
      <c r="D8" s="629"/>
      <c r="E8" s="629"/>
      <c r="F8" s="629"/>
      <c r="G8" s="629"/>
      <c r="H8" s="629"/>
      <c r="I8" s="629"/>
      <c r="J8" s="82"/>
      <c r="L8" s="61"/>
      <c r="V8" s="62"/>
      <c r="W8" s="63"/>
    </row>
    <row r="9" spans="1:23" s="60" customFormat="1" ht="12.75" customHeight="1" x14ac:dyDescent="0.25">
      <c r="A9" s="628" t="s">
        <v>40</v>
      </c>
      <c r="B9" s="628"/>
      <c r="C9" s="628"/>
      <c r="D9" s="628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31" t="s">
        <v>0</v>
      </c>
      <c r="B11" s="631"/>
      <c r="C11" s="631"/>
      <c r="D11" s="631"/>
      <c r="E11" s="631"/>
      <c r="F11" s="631"/>
      <c r="G11" s="631"/>
      <c r="H11" s="631"/>
      <c r="I11" s="631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32" t="s">
        <v>1</v>
      </c>
      <c r="B13" s="615" t="s">
        <v>2</v>
      </c>
      <c r="C13" s="632" t="s">
        <v>13</v>
      </c>
      <c r="D13" s="633" t="s">
        <v>3</v>
      </c>
      <c r="E13" s="634" t="s">
        <v>14</v>
      </c>
      <c r="F13" s="635" t="s">
        <v>27</v>
      </c>
      <c r="G13" s="635"/>
      <c r="H13" s="633" t="s">
        <v>17</v>
      </c>
      <c r="I13" s="633"/>
      <c r="J13" s="616" t="s">
        <v>30</v>
      </c>
      <c r="K13" s="617"/>
      <c r="L13" s="618"/>
      <c r="M13" s="615" t="s">
        <v>26</v>
      </c>
      <c r="N13" s="615"/>
      <c r="O13" s="615"/>
      <c r="P13" s="615"/>
      <c r="Q13" s="615" t="s">
        <v>29</v>
      </c>
      <c r="R13" s="615"/>
      <c r="S13" s="615"/>
      <c r="T13" s="615"/>
      <c r="U13" s="615"/>
      <c r="V13" s="622" t="s">
        <v>34</v>
      </c>
      <c r="W13" s="623"/>
    </row>
    <row r="14" spans="1:23" s="3" customFormat="1" ht="20.25" customHeight="1" x14ac:dyDescent="0.25">
      <c r="A14" s="632"/>
      <c r="B14" s="615"/>
      <c r="C14" s="632"/>
      <c r="D14" s="633"/>
      <c r="E14" s="634"/>
      <c r="F14" s="633" t="s">
        <v>41</v>
      </c>
      <c r="G14" s="633"/>
      <c r="H14" s="633"/>
      <c r="I14" s="633"/>
      <c r="J14" s="619"/>
      <c r="K14" s="620"/>
      <c r="L14" s="621"/>
      <c r="M14" s="615"/>
      <c r="N14" s="615"/>
      <c r="O14" s="615"/>
      <c r="P14" s="615"/>
      <c r="Q14" s="615"/>
      <c r="R14" s="615"/>
      <c r="S14" s="615"/>
      <c r="T14" s="615"/>
      <c r="U14" s="615"/>
      <c r="V14" s="624"/>
      <c r="W14" s="62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24"/>
      <c r="W15" s="62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14" t="s">
        <v>32</v>
      </c>
      <c r="U16" s="614"/>
      <c r="V16" s="626"/>
      <c r="W16" s="62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  <mergeCell ref="A9:D9"/>
    <mergeCell ref="A5:B5"/>
    <mergeCell ref="A6:B6"/>
    <mergeCell ref="D6:E6"/>
    <mergeCell ref="A7:I7"/>
    <mergeCell ref="A8:I8"/>
    <mergeCell ref="T16:U16"/>
    <mergeCell ref="Q13:U14"/>
    <mergeCell ref="J13:L14"/>
    <mergeCell ref="V13:W16"/>
    <mergeCell ref="M13:P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45" t="s">
        <v>93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</row>
    <row r="2" spans="1:13" ht="16.2" thickBot="1" x14ac:dyDescent="0.3">
      <c r="M2" s="216"/>
    </row>
    <row r="3" spans="1:13" ht="31.5" customHeight="1" x14ac:dyDescent="0.25">
      <c r="A3" s="655" t="s">
        <v>84</v>
      </c>
      <c r="B3" s="657" t="s">
        <v>82</v>
      </c>
      <c r="C3" s="657" t="s">
        <v>86</v>
      </c>
      <c r="D3" s="657" t="s">
        <v>85</v>
      </c>
      <c r="E3" s="646" t="s">
        <v>83</v>
      </c>
      <c r="F3" s="650" t="s">
        <v>90</v>
      </c>
      <c r="G3" s="651"/>
      <c r="H3" s="652"/>
      <c r="I3" s="648" t="s">
        <v>9</v>
      </c>
      <c r="J3" s="653" t="s">
        <v>91</v>
      </c>
      <c r="K3" s="653"/>
      <c r="L3" s="654"/>
      <c r="M3" s="648" t="s">
        <v>50</v>
      </c>
    </row>
    <row r="4" spans="1:13" x14ac:dyDescent="0.25">
      <c r="A4" s="656"/>
      <c r="B4" s="658"/>
      <c r="C4" s="658"/>
      <c r="D4" s="658"/>
      <c r="E4" s="647"/>
      <c r="F4" s="145" t="s">
        <v>87</v>
      </c>
      <c r="G4" s="135" t="s">
        <v>88</v>
      </c>
      <c r="H4" s="135" t="s">
        <v>89</v>
      </c>
      <c r="I4" s="649"/>
      <c r="J4" s="143" t="s">
        <v>87</v>
      </c>
      <c r="K4" s="135" t="s">
        <v>88</v>
      </c>
      <c r="L4" s="135" t="s">
        <v>89</v>
      </c>
      <c r="M4" s="649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39">
        <v>4</v>
      </c>
      <c r="B6" s="636" t="s">
        <v>97</v>
      </c>
      <c r="C6" s="642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40"/>
      <c r="B7" s="637"/>
      <c r="C7" s="643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40"/>
      <c r="B8" s="637"/>
      <c r="C8" s="643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41"/>
      <c r="B9" s="638"/>
      <c r="C9" s="644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80" zoomScaleNormal="80" zoomScaleSheetLayoutView="100" workbookViewId="0">
      <selection activeCell="D15" sqref="D15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65" t="s">
        <v>84</v>
      </c>
      <c r="B2" s="665" t="s">
        <v>99</v>
      </c>
      <c r="C2" s="665" t="s">
        <v>86</v>
      </c>
      <c r="D2" s="665" t="s">
        <v>51</v>
      </c>
      <c r="E2" s="659" t="s">
        <v>100</v>
      </c>
      <c r="F2" s="660"/>
      <c r="G2" s="661"/>
      <c r="H2" s="662" t="s">
        <v>101</v>
      </c>
      <c r="I2" s="663"/>
      <c r="J2" s="663"/>
      <c r="K2" s="663"/>
      <c r="L2" s="663"/>
      <c r="M2" s="664"/>
      <c r="N2" s="659" t="s">
        <v>102</v>
      </c>
      <c r="O2" s="660"/>
      <c r="P2" s="661"/>
    </row>
    <row r="3" spans="1:16" ht="16.2" thickBot="1" x14ac:dyDescent="0.3">
      <c r="A3" s="666"/>
      <c r="B3" s="666"/>
      <c r="C3" s="666"/>
      <c r="D3" s="66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67">
        <v>4</v>
      </c>
      <c r="B4" s="670" t="s">
        <v>109</v>
      </c>
      <c r="C4" s="670" t="s">
        <v>94</v>
      </c>
      <c r="D4" s="670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68"/>
      <c r="B5" s="671"/>
      <c r="C5" s="671"/>
      <c r="D5" s="671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68"/>
      <c r="B6" s="671"/>
      <c r="C6" s="671"/>
      <c r="D6" s="671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68"/>
      <c r="B7" s="671"/>
      <c r="C7" s="671"/>
      <c r="D7" s="671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68"/>
      <c r="B8" s="671"/>
      <c r="C8" s="671"/>
      <c r="D8" s="672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68"/>
      <c r="B9" s="671"/>
      <c r="C9" s="671"/>
      <c r="D9" s="673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68"/>
      <c r="B10" s="671"/>
      <c r="C10" s="671"/>
      <c r="D10" s="674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68"/>
      <c r="B11" s="671"/>
      <c r="C11" s="671"/>
      <c r="D11" s="675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68"/>
      <c r="B12" s="671"/>
      <c r="C12" s="671"/>
      <c r="D12" s="670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68"/>
      <c r="B13" s="671"/>
      <c r="C13" s="671"/>
      <c r="D13" s="671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68"/>
      <c r="B14" s="671"/>
      <c r="C14" s="671"/>
      <c r="D14" s="672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68"/>
      <c r="B15" s="671"/>
      <c r="C15" s="671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69"/>
      <c r="B16" s="672"/>
      <c r="C16" s="672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A4:A16"/>
    <mergeCell ref="B4:B16"/>
    <mergeCell ref="C4:C16"/>
    <mergeCell ref="D9:D11"/>
    <mergeCell ref="D4:D8"/>
    <mergeCell ref="D12:D14"/>
    <mergeCell ref="E2:G2"/>
    <mergeCell ref="H2:M2"/>
    <mergeCell ref="N2:P2"/>
    <mergeCell ref="A2:A3"/>
    <mergeCell ref="B2:B3"/>
    <mergeCell ref="C2:C3"/>
    <mergeCell ref="D2:D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2:AG23"/>
  <sheetViews>
    <sheetView showWhiteSpace="0" zoomScale="50" zoomScaleNormal="50" zoomScaleSheetLayoutView="76" workbookViewId="0">
      <pane ySplit="6" topLeftCell="A7" activePane="bottomLeft" state="frozen"/>
      <selection pane="bottomLeft" activeCell="H11" sqref="H11"/>
    </sheetView>
  </sheetViews>
  <sheetFormatPr defaultColWidth="9.109375" defaultRowHeight="12" x14ac:dyDescent="0.25"/>
  <cols>
    <col min="1" max="1" width="56.5546875" style="308" customWidth="1"/>
    <col min="2" max="2" width="67.88671875" style="308" customWidth="1"/>
    <col min="3" max="3" width="29" style="342" customWidth="1"/>
    <col min="4" max="4" width="28.5546875" style="342" customWidth="1"/>
    <col min="5" max="5" width="30.5546875" style="342" customWidth="1"/>
    <col min="6" max="6" width="49.6640625" style="342" customWidth="1"/>
    <col min="7" max="7" width="32.21875" style="342" customWidth="1"/>
    <col min="8" max="8" width="46.21875" style="342" customWidth="1"/>
    <col min="9" max="9" width="25.5546875" style="308" customWidth="1"/>
    <col min="10" max="16384" width="9.109375" style="308"/>
  </cols>
  <sheetData>
    <row r="2" spans="1:33" ht="30" customHeight="1" x14ac:dyDescent="0.25">
      <c r="A2" s="688" t="s">
        <v>227</v>
      </c>
      <c r="B2" s="688"/>
    </row>
    <row r="3" spans="1:33" ht="16.95" customHeight="1" x14ac:dyDescent="0.25">
      <c r="A3" s="677" t="s">
        <v>228</v>
      </c>
      <c r="B3" s="677"/>
      <c r="C3" s="677"/>
      <c r="D3" s="677"/>
      <c r="E3" s="677"/>
      <c r="F3" s="677"/>
      <c r="G3" s="677"/>
      <c r="H3" s="677"/>
    </row>
    <row r="4" spans="1:33" ht="59.4" customHeight="1" thickBot="1" x14ac:dyDescent="0.3">
      <c r="A4" s="677"/>
      <c r="B4" s="677"/>
      <c r="C4" s="677"/>
      <c r="D4" s="677"/>
      <c r="E4" s="677"/>
      <c r="F4" s="677"/>
      <c r="G4" s="677"/>
      <c r="H4" s="677"/>
    </row>
    <row r="5" spans="1:33" ht="31.8" customHeight="1" x14ac:dyDescent="0.25">
      <c r="A5" s="678" t="s">
        <v>124</v>
      </c>
      <c r="B5" s="684" t="s">
        <v>185</v>
      </c>
      <c r="C5" s="680" t="s">
        <v>189</v>
      </c>
      <c r="D5" s="680" t="s">
        <v>190</v>
      </c>
      <c r="E5" s="680" t="s">
        <v>192</v>
      </c>
      <c r="F5" s="686" t="s">
        <v>9</v>
      </c>
      <c r="G5" s="686" t="s">
        <v>187</v>
      </c>
      <c r="H5" s="682" t="s">
        <v>188</v>
      </c>
      <c r="I5" s="676" t="s">
        <v>213</v>
      </c>
    </row>
    <row r="6" spans="1:33" ht="30.6" customHeight="1" x14ac:dyDescent="0.25">
      <c r="A6" s="679"/>
      <c r="B6" s="685"/>
      <c r="C6" s="681"/>
      <c r="D6" s="681"/>
      <c r="E6" s="681"/>
      <c r="F6" s="687"/>
      <c r="G6" s="687"/>
      <c r="H6" s="683"/>
      <c r="I6" s="676"/>
    </row>
    <row r="7" spans="1:33" s="575" customFormat="1" ht="53.4" customHeight="1" x14ac:dyDescent="0.25">
      <c r="A7" s="689" t="s">
        <v>229</v>
      </c>
      <c r="B7" s="570" t="s">
        <v>230</v>
      </c>
      <c r="C7" s="571">
        <f>E7-D7</f>
        <v>11166260.217</v>
      </c>
      <c r="D7" s="572">
        <v>9453817.6229999997</v>
      </c>
      <c r="E7" s="573">
        <v>20620077.84</v>
      </c>
      <c r="F7" s="599" t="s">
        <v>245</v>
      </c>
      <c r="G7" s="606">
        <v>45583</v>
      </c>
      <c r="H7" s="604"/>
      <c r="I7" s="605"/>
      <c r="J7" s="574"/>
      <c r="K7" s="574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574"/>
      <c r="Y7" s="574"/>
      <c r="Z7" s="574"/>
      <c r="AA7" s="574"/>
      <c r="AB7" s="574"/>
      <c r="AC7" s="574"/>
      <c r="AD7" s="574"/>
      <c r="AE7" s="574"/>
      <c r="AF7" s="574"/>
      <c r="AG7" s="574"/>
    </row>
    <row r="8" spans="1:33" s="575" customFormat="1" ht="64.8" customHeight="1" x14ac:dyDescent="0.25">
      <c r="A8" s="689"/>
      <c r="B8" s="570"/>
      <c r="C8" s="571"/>
      <c r="D8" s="572"/>
      <c r="E8" s="573"/>
      <c r="F8" s="599"/>
      <c r="G8" s="603"/>
      <c r="H8" s="607"/>
      <c r="I8" s="605"/>
      <c r="J8" s="574"/>
      <c r="K8" s="574"/>
      <c r="L8" s="574"/>
      <c r="M8" s="574"/>
      <c r="N8" s="574"/>
      <c r="O8" s="574"/>
      <c r="P8" s="574"/>
      <c r="Q8" s="574"/>
      <c r="R8" s="574"/>
      <c r="S8" s="574"/>
      <c r="T8" s="574"/>
      <c r="U8" s="574"/>
      <c r="V8" s="574"/>
      <c r="W8" s="574"/>
      <c r="X8" s="574"/>
      <c r="Y8" s="574"/>
      <c r="Z8" s="574"/>
      <c r="AA8" s="574"/>
      <c r="AB8" s="574"/>
      <c r="AC8" s="574"/>
      <c r="AD8" s="574"/>
      <c r="AE8" s="574"/>
      <c r="AF8" s="574"/>
      <c r="AG8" s="574"/>
    </row>
    <row r="9" spans="1:33" s="575" customFormat="1" ht="64.8" customHeight="1" x14ac:dyDescent="0.25">
      <c r="A9" s="690"/>
      <c r="B9" s="570"/>
      <c r="C9" s="571"/>
      <c r="D9" s="572"/>
      <c r="E9" s="573"/>
      <c r="F9" s="599"/>
      <c r="G9" s="603"/>
      <c r="H9" s="607"/>
      <c r="I9" s="605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</row>
    <row r="10" spans="1:33" s="575" customFormat="1" ht="36" customHeight="1" x14ac:dyDescent="0.25">
      <c r="A10" s="691" t="s">
        <v>233</v>
      </c>
      <c r="B10" s="570" t="s">
        <v>230</v>
      </c>
      <c r="C10" s="571">
        <f>E10-D10</f>
        <v>4934766.4092204813</v>
      </c>
      <c r="D10" s="572">
        <v>3282725.8863851991</v>
      </c>
      <c r="E10" s="573">
        <v>8217492.29560568</v>
      </c>
      <c r="F10" s="599" t="s">
        <v>245</v>
      </c>
      <c r="G10" s="606">
        <v>45583</v>
      </c>
      <c r="H10" s="607"/>
      <c r="I10" s="605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4"/>
      <c r="W10" s="574"/>
      <c r="X10" s="574"/>
      <c r="Y10" s="574"/>
      <c r="Z10" s="574"/>
      <c r="AA10" s="574"/>
      <c r="AB10" s="574"/>
      <c r="AC10" s="574"/>
      <c r="AD10" s="574"/>
      <c r="AE10" s="574"/>
      <c r="AF10" s="574"/>
      <c r="AG10" s="574"/>
    </row>
    <row r="11" spans="1:33" s="575" customFormat="1" ht="64.8" customHeight="1" x14ac:dyDescent="0.25">
      <c r="A11" s="690"/>
      <c r="B11" s="570"/>
      <c r="C11" s="571"/>
      <c r="D11" s="572"/>
      <c r="E11" s="573"/>
      <c r="F11" s="599"/>
      <c r="G11" s="603"/>
      <c r="H11" s="607"/>
      <c r="I11" s="605"/>
      <c r="J11" s="574"/>
      <c r="K11" s="574"/>
      <c r="L11" s="574"/>
      <c r="M11" s="574"/>
      <c r="N11" s="574"/>
      <c r="O11" s="574"/>
      <c r="P11" s="574"/>
      <c r="Q11" s="574"/>
      <c r="R11" s="574"/>
      <c r="S11" s="574"/>
      <c r="T11" s="574"/>
      <c r="U11" s="574"/>
      <c r="V11" s="574"/>
      <c r="W11" s="574"/>
      <c r="X11" s="574"/>
      <c r="Y11" s="574"/>
      <c r="Z11" s="574"/>
      <c r="AA11" s="574"/>
      <c r="AB11" s="574"/>
      <c r="AC11" s="574"/>
      <c r="AD11" s="574"/>
      <c r="AE11" s="574"/>
      <c r="AF11" s="574"/>
      <c r="AG11" s="574"/>
    </row>
    <row r="12" spans="1:33" s="575" customFormat="1" ht="44.4" customHeight="1" x14ac:dyDescent="0.25">
      <c r="A12" s="691" t="s">
        <v>231</v>
      </c>
      <c r="B12" s="570" t="s">
        <v>230</v>
      </c>
      <c r="C12" s="571">
        <f>E12-D12</f>
        <v>2026252.3154399998</v>
      </c>
      <c r="D12" s="572">
        <v>1631113.8006800001</v>
      </c>
      <c r="E12" s="573">
        <v>3657366.1161199999</v>
      </c>
      <c r="F12" s="599" t="s">
        <v>245</v>
      </c>
      <c r="G12" s="594">
        <v>45583</v>
      </c>
      <c r="H12" s="607"/>
      <c r="I12" s="601"/>
      <c r="J12" s="574"/>
      <c r="K12" s="574"/>
      <c r="L12" s="574"/>
      <c r="M12" s="574"/>
      <c r="N12" s="574"/>
      <c r="O12" s="574"/>
      <c r="P12" s="574"/>
      <c r="Q12" s="574"/>
      <c r="R12" s="574"/>
      <c r="S12" s="574"/>
      <c r="T12" s="574"/>
      <c r="U12" s="574"/>
      <c r="V12" s="574"/>
      <c r="W12" s="574"/>
      <c r="X12" s="574"/>
      <c r="Y12" s="574"/>
      <c r="Z12" s="574"/>
      <c r="AA12" s="574"/>
      <c r="AB12" s="574"/>
      <c r="AC12" s="574"/>
      <c r="AD12" s="574"/>
      <c r="AE12" s="574"/>
      <c r="AF12" s="574"/>
      <c r="AG12" s="574"/>
    </row>
    <row r="13" spans="1:33" s="575" customFormat="1" ht="63.6" customHeight="1" x14ac:dyDescent="0.25">
      <c r="A13" s="690"/>
      <c r="B13" s="570"/>
      <c r="C13" s="571"/>
      <c r="D13" s="572"/>
      <c r="E13" s="573"/>
      <c r="F13" s="595"/>
      <c r="G13" s="594"/>
      <c r="H13" s="607"/>
      <c r="I13" s="601"/>
      <c r="J13" s="574"/>
      <c r="K13" s="574"/>
      <c r="L13" s="574"/>
      <c r="M13" s="574"/>
      <c r="N13" s="574"/>
      <c r="O13" s="574"/>
      <c r="P13" s="574"/>
      <c r="Q13" s="574"/>
      <c r="R13" s="574"/>
      <c r="S13" s="574"/>
      <c r="T13" s="574"/>
      <c r="U13" s="574"/>
      <c r="V13" s="574"/>
      <c r="W13" s="574"/>
      <c r="X13" s="574"/>
      <c r="Y13" s="574"/>
      <c r="Z13" s="574"/>
      <c r="AA13" s="574"/>
      <c r="AB13" s="574"/>
      <c r="AC13" s="574"/>
      <c r="AD13" s="574"/>
      <c r="AE13" s="574"/>
      <c r="AF13" s="574"/>
      <c r="AG13" s="574"/>
    </row>
    <row r="14" spans="1:33" s="575" customFormat="1" ht="41.4" customHeight="1" x14ac:dyDescent="0.25">
      <c r="A14" s="691" t="s">
        <v>232</v>
      </c>
      <c r="B14" s="570" t="s">
        <v>230</v>
      </c>
      <c r="C14" s="571">
        <f>E14-D14</f>
        <v>4418086.5417842818</v>
      </c>
      <c r="D14" s="572">
        <v>3026866.1798240002</v>
      </c>
      <c r="E14" s="573">
        <v>7444952.7216082821</v>
      </c>
      <c r="F14" s="599" t="s">
        <v>245</v>
      </c>
      <c r="G14" s="594">
        <v>45583</v>
      </c>
      <c r="H14" s="607"/>
      <c r="I14" s="601"/>
      <c r="J14" s="574"/>
      <c r="K14" s="574"/>
      <c r="L14" s="574"/>
      <c r="M14" s="574"/>
      <c r="N14" s="574"/>
      <c r="O14" s="574"/>
      <c r="P14" s="574"/>
      <c r="Q14" s="574"/>
      <c r="R14" s="574"/>
      <c r="S14" s="574"/>
      <c r="T14" s="574"/>
      <c r="U14" s="574"/>
      <c r="V14" s="574"/>
      <c r="W14" s="574"/>
      <c r="X14" s="574"/>
      <c r="Y14" s="574"/>
      <c r="Z14" s="574"/>
      <c r="AA14" s="574"/>
      <c r="AB14" s="574"/>
      <c r="AC14" s="574"/>
      <c r="AD14" s="574"/>
      <c r="AE14" s="574"/>
      <c r="AF14" s="574"/>
      <c r="AG14" s="574"/>
    </row>
    <row r="15" spans="1:33" s="575" customFormat="1" ht="46.2" customHeight="1" x14ac:dyDescent="0.25">
      <c r="A15" s="690"/>
      <c r="B15" s="570"/>
      <c r="C15" s="571"/>
      <c r="D15" s="572"/>
      <c r="E15" s="573"/>
      <c r="F15" s="599"/>
      <c r="G15" s="594"/>
      <c r="H15" s="608"/>
      <c r="I15" s="601"/>
      <c r="J15" s="574"/>
      <c r="K15" s="574"/>
      <c r="L15" s="574"/>
      <c r="M15" s="574"/>
      <c r="N15" s="574"/>
      <c r="O15" s="574"/>
      <c r="P15" s="574"/>
      <c r="Q15" s="574"/>
      <c r="R15" s="574"/>
      <c r="S15" s="574"/>
      <c r="T15" s="574"/>
      <c r="U15" s="574"/>
      <c r="V15" s="574"/>
      <c r="W15" s="574"/>
      <c r="X15" s="574"/>
      <c r="Y15" s="574"/>
      <c r="Z15" s="574"/>
      <c r="AA15" s="574"/>
      <c r="AB15" s="574"/>
      <c r="AC15" s="574"/>
      <c r="AD15" s="574"/>
      <c r="AE15" s="574"/>
      <c r="AF15" s="574"/>
      <c r="AG15" s="574"/>
    </row>
    <row r="16" spans="1:33" s="323" customFormat="1" ht="47.4" customHeight="1" x14ac:dyDescent="0.25">
      <c r="A16" s="555"/>
      <c r="B16" s="543"/>
      <c r="C16" s="544"/>
      <c r="D16" s="557"/>
      <c r="E16" s="556"/>
      <c r="F16" s="595"/>
      <c r="G16" s="594"/>
      <c r="H16" s="558"/>
      <c r="I16" s="49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</row>
    <row r="17" spans="1:33" s="323" customFormat="1" ht="50.4" customHeight="1" x14ac:dyDescent="0.25">
      <c r="A17" s="555"/>
      <c r="B17" s="543"/>
      <c r="C17" s="559"/>
      <c r="D17" s="544"/>
      <c r="E17" s="556"/>
      <c r="F17" s="595"/>
      <c r="G17" s="593"/>
      <c r="H17" s="558"/>
      <c r="I17" s="49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</row>
    <row r="18" spans="1:33" s="323" customFormat="1" ht="66.599999999999994" customHeight="1" x14ac:dyDescent="0.25">
      <c r="A18" s="555"/>
      <c r="B18" s="550"/>
      <c r="C18" s="559"/>
      <c r="D18" s="544"/>
      <c r="E18" s="556"/>
      <c r="F18" s="595"/>
      <c r="G18" s="593"/>
      <c r="H18" s="602"/>
      <c r="I18" s="49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</row>
    <row r="19" spans="1:33" s="324" customFormat="1" ht="22.8" customHeight="1" x14ac:dyDescent="0.25">
      <c r="A19" s="533"/>
      <c r="B19" s="533" t="s">
        <v>47</v>
      </c>
      <c r="C19" s="534">
        <f>SUM(C7:C18)</f>
        <v>22545365.483444765</v>
      </c>
      <c r="D19" s="534">
        <f>SUM(D7:D18)</f>
        <v>17394523.489889197</v>
      </c>
      <c r="E19" s="534">
        <f>SUM(E7:E18)</f>
        <v>39939888.973333962</v>
      </c>
      <c r="F19" s="534"/>
      <c r="G19" s="534"/>
      <c r="H19" s="534"/>
      <c r="I19" s="560"/>
    </row>
    <row r="20" spans="1:33" ht="19.8" customHeight="1" x14ac:dyDescent="0.25">
      <c r="C20" s="339"/>
      <c r="D20" s="339"/>
      <c r="E20" s="339"/>
      <c r="F20" s="339"/>
      <c r="G20" s="339"/>
      <c r="H20" s="339"/>
    </row>
    <row r="21" spans="1:33" x14ac:dyDescent="0.25">
      <c r="C21" s="339"/>
      <c r="D21" s="339"/>
      <c r="E21" s="339"/>
      <c r="F21" s="339"/>
      <c r="G21" s="339"/>
      <c r="H21" s="339"/>
    </row>
    <row r="22" spans="1:33" x14ac:dyDescent="0.25">
      <c r="C22" s="339"/>
      <c r="D22" s="339"/>
      <c r="E22" s="339"/>
      <c r="F22" s="339"/>
      <c r="G22" s="339"/>
      <c r="H22" s="339"/>
    </row>
    <row r="23" spans="1:33" x14ac:dyDescent="0.25">
      <c r="C23" s="339"/>
      <c r="D23" s="339"/>
      <c r="E23" s="339"/>
      <c r="F23" s="339"/>
      <c r="G23" s="339"/>
      <c r="H23" s="339"/>
    </row>
  </sheetData>
  <mergeCells count="15">
    <mergeCell ref="A2:B2"/>
    <mergeCell ref="A7:A9"/>
    <mergeCell ref="A12:A13"/>
    <mergeCell ref="A14:A15"/>
    <mergeCell ref="A10:A11"/>
    <mergeCell ref="I5:I6"/>
    <mergeCell ref="A3:H4"/>
    <mergeCell ref="A5:A6"/>
    <mergeCell ref="C5:C6"/>
    <mergeCell ref="H5:H6"/>
    <mergeCell ref="B5:B6"/>
    <mergeCell ref="E5:E6"/>
    <mergeCell ref="D5:D6"/>
    <mergeCell ref="F5:F6"/>
    <mergeCell ref="G5:G6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9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O40"/>
  <sheetViews>
    <sheetView tabSelected="1" showWhiteSpace="0" view="pageBreakPreview" zoomScale="40" zoomScaleNormal="50" zoomScaleSheetLayoutView="4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U10" sqref="U10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7.6640625" style="342" customWidth="1"/>
    <col min="4" max="4" width="24" style="342" customWidth="1"/>
    <col min="5" max="5" width="27.5546875" style="342" customWidth="1"/>
    <col min="6" max="6" width="27.77734375" style="342" customWidth="1"/>
    <col min="7" max="7" width="30.88671875" style="342" customWidth="1"/>
    <col min="8" max="8" width="40" style="342" customWidth="1"/>
    <col min="9" max="9" width="26.88671875" style="342" customWidth="1"/>
    <col min="10" max="10" width="30.664062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24.44140625" style="308" hidden="1" customWidth="1"/>
    <col min="20" max="20" width="21.33203125" style="308" customWidth="1"/>
    <col min="21" max="21" width="24.88671875" style="308" customWidth="1"/>
    <col min="22" max="22" width="26.21875" style="308" customWidth="1"/>
    <col min="23" max="16384" width="9.109375" style="308"/>
  </cols>
  <sheetData>
    <row r="1" spans="1:41" ht="16.95" customHeight="1" x14ac:dyDescent="0.25">
      <c r="A1" s="677" t="s">
        <v>234</v>
      </c>
      <c r="B1" s="677"/>
      <c r="C1" s="677"/>
      <c r="D1" s="677"/>
      <c r="E1" s="677"/>
      <c r="F1" s="677"/>
      <c r="G1" s="677"/>
      <c r="H1" s="677"/>
      <c r="I1" s="677"/>
      <c r="J1" s="677"/>
    </row>
    <row r="2" spans="1:41" ht="59.4" customHeight="1" x14ac:dyDescent="0.25">
      <c r="A2" s="700"/>
      <c r="B2" s="700"/>
      <c r="C2" s="700"/>
      <c r="D2" s="700"/>
      <c r="E2" s="700"/>
      <c r="F2" s="700"/>
      <c r="G2" s="700"/>
      <c r="H2" s="700"/>
      <c r="I2" s="700"/>
      <c r="J2" s="700"/>
      <c r="K2" s="578" t="s">
        <v>201</v>
      </c>
      <c r="L2" s="578"/>
      <c r="M2" s="578"/>
      <c r="N2" s="578"/>
      <c r="O2" s="578"/>
      <c r="P2" s="578"/>
      <c r="Q2" s="578"/>
      <c r="R2" s="578"/>
    </row>
    <row r="3" spans="1:41" ht="24" customHeight="1" x14ac:dyDescent="0.25">
      <c r="A3" s="701" t="s">
        <v>124</v>
      </c>
      <c r="B3" s="706" t="s">
        <v>185</v>
      </c>
      <c r="C3" s="707" t="s">
        <v>192</v>
      </c>
      <c r="D3" s="703" t="s">
        <v>193</v>
      </c>
      <c r="E3" s="704"/>
      <c r="F3" s="704"/>
      <c r="G3" s="704"/>
      <c r="H3" s="704"/>
      <c r="I3" s="705"/>
      <c r="J3" s="701" t="s">
        <v>188</v>
      </c>
      <c r="K3" s="562" t="s">
        <v>199</v>
      </c>
      <c r="L3" s="567"/>
      <c r="M3" s="567"/>
      <c r="N3" s="567"/>
      <c r="O3" s="567"/>
      <c r="P3" s="567"/>
      <c r="Q3" s="567"/>
      <c r="R3" s="567"/>
      <c r="S3" s="568"/>
      <c r="T3" s="568"/>
      <c r="U3" s="568"/>
      <c r="V3" s="568"/>
    </row>
    <row r="4" spans="1:41" ht="40.799999999999997" customHeight="1" x14ac:dyDescent="0.25">
      <c r="A4" s="702"/>
      <c r="B4" s="706"/>
      <c r="C4" s="708"/>
      <c r="D4" s="535" t="s">
        <v>126</v>
      </c>
      <c r="E4" s="535" t="s">
        <v>194</v>
      </c>
      <c r="F4" s="536" t="s">
        <v>190</v>
      </c>
      <c r="G4" s="536" t="s">
        <v>189</v>
      </c>
      <c r="H4" s="535" t="s">
        <v>9</v>
      </c>
      <c r="I4" s="535" t="s">
        <v>187</v>
      </c>
      <c r="J4" s="702"/>
      <c r="K4" s="554" t="s">
        <v>196</v>
      </c>
      <c r="L4" s="577" t="s">
        <v>217</v>
      </c>
      <c r="M4" s="577" t="s">
        <v>218</v>
      </c>
      <c r="N4" s="577" t="s">
        <v>214</v>
      </c>
      <c r="O4" s="577" t="s">
        <v>215</v>
      </c>
      <c r="P4" s="577" t="s">
        <v>219</v>
      </c>
      <c r="Q4" s="577" t="s">
        <v>220</v>
      </c>
      <c r="R4" s="577" t="s">
        <v>221</v>
      </c>
      <c r="S4" s="583" t="s">
        <v>222</v>
      </c>
      <c r="T4" s="692" t="s">
        <v>223</v>
      </c>
      <c r="U4" s="694"/>
      <c r="V4" s="694"/>
    </row>
    <row r="5" spans="1:41" s="323" customFormat="1" ht="39.6" customHeight="1" x14ac:dyDescent="0.25">
      <c r="A5" s="564"/>
      <c r="B5" s="696" t="s">
        <v>229</v>
      </c>
      <c r="C5" s="698">
        <f>'Реєстр ДЦ '!E7+'Реєстр ДЦ '!E8+'Реєстр ДЦ '!E9</f>
        <v>20620077.84</v>
      </c>
      <c r="D5" s="545" t="s">
        <v>235</v>
      </c>
      <c r="E5" s="546">
        <v>2150496</v>
      </c>
      <c r="F5" s="544">
        <f>1785500*1.2</f>
        <v>2142600</v>
      </c>
      <c r="G5" s="544">
        <f>E5-F5</f>
        <v>7896</v>
      </c>
      <c r="H5" s="590" t="s">
        <v>241</v>
      </c>
      <c r="I5" s="563"/>
      <c r="J5" s="566" t="s">
        <v>208</v>
      </c>
      <c r="K5" s="552" t="s">
        <v>202</v>
      </c>
      <c r="L5" s="576" t="s">
        <v>212</v>
      </c>
      <c r="M5" s="576" t="s">
        <v>212</v>
      </c>
      <c r="N5" s="576" t="s">
        <v>212</v>
      </c>
      <c r="O5" s="576" t="s">
        <v>212</v>
      </c>
      <c r="P5" s="576" t="s">
        <v>212</v>
      </c>
      <c r="Q5" s="576" t="s">
        <v>212</v>
      </c>
      <c r="R5" s="576" t="s">
        <v>212</v>
      </c>
      <c r="S5" s="585">
        <v>727783.74</v>
      </c>
      <c r="T5" s="693"/>
      <c r="U5" s="695"/>
      <c r="V5" s="695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</row>
    <row r="6" spans="1:41" s="323" customFormat="1" ht="38.4" customHeight="1" x14ac:dyDescent="0.25">
      <c r="A6" s="542"/>
      <c r="B6" s="787"/>
      <c r="C6" s="699"/>
      <c r="D6" s="548" t="s">
        <v>239</v>
      </c>
      <c r="E6" s="609">
        <v>1208467.1599999999</v>
      </c>
      <c r="F6" s="610">
        <v>325550.36</v>
      </c>
      <c r="G6" s="611">
        <f>E6-F6</f>
        <v>882916.79999999993</v>
      </c>
      <c r="H6" s="600" t="s">
        <v>243</v>
      </c>
      <c r="I6" s="563"/>
      <c r="J6" s="566"/>
      <c r="K6" s="552" t="s">
        <v>191</v>
      </c>
      <c r="L6" s="576" t="s">
        <v>212</v>
      </c>
      <c r="M6" s="576" t="s">
        <v>212</v>
      </c>
      <c r="N6" s="576" t="s">
        <v>212</v>
      </c>
      <c r="O6" s="576" t="s">
        <v>212</v>
      </c>
      <c r="P6" s="576" t="s">
        <v>212</v>
      </c>
      <c r="Q6" s="576" t="s">
        <v>212</v>
      </c>
      <c r="R6" s="576" t="s">
        <v>212</v>
      </c>
      <c r="S6" s="587">
        <f>E6</f>
        <v>1208467.1599999999</v>
      </c>
      <c r="T6" s="586"/>
      <c r="U6" s="498"/>
      <c r="V6" s="49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</row>
    <row r="7" spans="1:41" s="323" customFormat="1" ht="38.4" customHeight="1" x14ac:dyDescent="0.25">
      <c r="A7" s="542"/>
      <c r="B7" s="697"/>
      <c r="C7" s="613"/>
      <c r="D7" s="548" t="s">
        <v>242</v>
      </c>
      <c r="E7" s="609">
        <v>1553017.6036</v>
      </c>
      <c r="F7" s="610">
        <v>562317.06719999993</v>
      </c>
      <c r="G7" s="611">
        <f>E7-F7</f>
        <v>990700.5364000001</v>
      </c>
      <c r="H7" s="600" t="s">
        <v>243</v>
      </c>
      <c r="I7" s="563"/>
      <c r="J7" s="566"/>
      <c r="K7" s="552"/>
      <c r="L7" s="576"/>
      <c r="M7" s="576"/>
      <c r="N7" s="576"/>
      <c r="O7" s="576"/>
      <c r="P7" s="576"/>
      <c r="Q7" s="576"/>
      <c r="R7" s="576"/>
      <c r="S7" s="587"/>
      <c r="T7" s="788"/>
      <c r="U7" s="498"/>
      <c r="V7" s="49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</row>
    <row r="8" spans="1:41" s="323" customFormat="1" ht="102.6" customHeight="1" x14ac:dyDescent="0.25">
      <c r="A8" s="564"/>
      <c r="B8" s="592" t="s">
        <v>233</v>
      </c>
      <c r="C8" s="546">
        <f>'Реєстр ДЦ '!E10+'Реєстр ДЦ '!E11</f>
        <v>8217492.29560568</v>
      </c>
      <c r="D8" s="545" t="s">
        <v>236</v>
      </c>
      <c r="E8" s="612">
        <v>879777.9</v>
      </c>
      <c r="F8" s="610">
        <v>878727.9</v>
      </c>
      <c r="G8" s="610">
        <f>E8-F8</f>
        <v>1050</v>
      </c>
      <c r="H8" s="590" t="s">
        <v>241</v>
      </c>
      <c r="I8" s="569"/>
      <c r="J8" s="589" t="s">
        <v>208</v>
      </c>
      <c r="K8" s="552" t="s">
        <v>195</v>
      </c>
      <c r="L8" s="576" t="s">
        <v>212</v>
      </c>
      <c r="M8" s="576" t="s">
        <v>212</v>
      </c>
      <c r="N8" s="576" t="s">
        <v>212</v>
      </c>
      <c r="O8" s="576" t="s">
        <v>212</v>
      </c>
      <c r="P8" s="576" t="s">
        <v>212</v>
      </c>
      <c r="Q8" s="576" t="s">
        <v>212</v>
      </c>
      <c r="R8" s="576" t="s">
        <v>212</v>
      </c>
      <c r="S8" s="587">
        <f>E8</f>
        <v>879777.9</v>
      </c>
      <c r="T8" s="788">
        <f>T7/1.2</f>
        <v>0</v>
      </c>
      <c r="U8" s="498"/>
      <c r="V8" s="49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</row>
    <row r="9" spans="1:41" s="323" customFormat="1" ht="61.8" customHeight="1" x14ac:dyDescent="0.25">
      <c r="A9" s="542"/>
      <c r="B9" s="550"/>
      <c r="C9" s="544"/>
      <c r="D9" s="545"/>
      <c r="E9" s="612"/>
      <c r="F9" s="610"/>
      <c r="G9" s="610"/>
      <c r="H9" s="590"/>
      <c r="I9" s="544"/>
      <c r="J9" s="589"/>
      <c r="K9" s="552"/>
      <c r="L9" s="576" t="s">
        <v>212</v>
      </c>
      <c r="M9" s="576" t="s">
        <v>212</v>
      </c>
      <c r="N9" s="576" t="s">
        <v>212</v>
      </c>
      <c r="O9" s="576" t="s">
        <v>212</v>
      </c>
      <c r="P9" s="576" t="s">
        <v>212</v>
      </c>
      <c r="Q9" s="576" t="s">
        <v>212</v>
      </c>
      <c r="R9" s="576" t="s">
        <v>212</v>
      </c>
      <c r="S9" s="586"/>
      <c r="T9" s="586"/>
      <c r="U9" s="498"/>
      <c r="V9" s="49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</row>
    <row r="10" spans="1:41" s="323" customFormat="1" ht="71.400000000000006" customHeight="1" x14ac:dyDescent="0.25">
      <c r="A10" s="542"/>
      <c r="B10" s="592" t="s">
        <v>231</v>
      </c>
      <c r="C10" s="546">
        <f>'Реєстр ДЦ '!E12</f>
        <v>3657366.1161199999</v>
      </c>
      <c r="D10" s="545" t="s">
        <v>237</v>
      </c>
      <c r="E10" s="612">
        <v>293650.2</v>
      </c>
      <c r="F10" s="610">
        <f>244008.5*1.2</f>
        <v>292810.2</v>
      </c>
      <c r="G10" s="610">
        <f>E10-F10</f>
        <v>840</v>
      </c>
      <c r="H10" s="590" t="s">
        <v>241</v>
      </c>
      <c r="I10" s="569"/>
      <c r="J10" s="589" t="s">
        <v>208</v>
      </c>
      <c r="K10" s="552"/>
      <c r="L10" s="576"/>
      <c r="M10" s="576"/>
      <c r="N10" s="576"/>
      <c r="O10" s="576"/>
      <c r="P10" s="576"/>
      <c r="Q10" s="576"/>
      <c r="R10" s="576"/>
      <c r="S10" s="586"/>
      <c r="T10" s="586"/>
      <c r="U10" s="498"/>
      <c r="V10" s="49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</row>
    <row r="11" spans="1:41" s="323" customFormat="1" ht="61.8" customHeight="1" x14ac:dyDescent="0.25">
      <c r="A11" s="542"/>
      <c r="B11" s="592"/>
      <c r="C11" s="546"/>
      <c r="D11" s="545"/>
      <c r="E11" s="612"/>
      <c r="F11" s="610"/>
      <c r="G11" s="610"/>
      <c r="H11" s="590"/>
      <c r="I11" s="544"/>
      <c r="J11" s="589"/>
      <c r="K11" s="552"/>
      <c r="L11" s="576"/>
      <c r="M11" s="576"/>
      <c r="N11" s="576"/>
      <c r="O11" s="576"/>
      <c r="P11" s="576"/>
      <c r="Q11" s="576"/>
      <c r="R11" s="576"/>
      <c r="S11" s="586"/>
      <c r="T11" s="586"/>
      <c r="U11" s="498"/>
      <c r="V11" s="49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</row>
    <row r="12" spans="1:41" s="323" customFormat="1" ht="47.4" customHeight="1" x14ac:dyDescent="0.25">
      <c r="A12" s="542"/>
      <c r="B12" s="696" t="s">
        <v>232</v>
      </c>
      <c r="C12" s="698">
        <f>'Реєстр ДЦ '!E14</f>
        <v>7444952.7216082821</v>
      </c>
      <c r="D12" s="545" t="s">
        <v>238</v>
      </c>
      <c r="E12" s="612">
        <v>690300.6</v>
      </c>
      <c r="F12" s="610">
        <v>686067</v>
      </c>
      <c r="G12" s="610">
        <f>E12-F12</f>
        <v>4233.5999999999767</v>
      </c>
      <c r="H12" s="590" t="s">
        <v>241</v>
      </c>
      <c r="I12" s="569"/>
      <c r="J12" s="589" t="s">
        <v>208</v>
      </c>
      <c r="K12" s="552"/>
      <c r="L12" s="576"/>
      <c r="M12" s="576"/>
      <c r="N12" s="576"/>
      <c r="O12" s="576"/>
      <c r="P12" s="576"/>
      <c r="Q12" s="576"/>
      <c r="R12" s="576"/>
      <c r="S12" s="586"/>
      <c r="T12" s="586"/>
      <c r="U12" s="498"/>
      <c r="V12" s="49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</row>
    <row r="13" spans="1:41" s="323" customFormat="1" ht="39" customHeight="1" x14ac:dyDescent="0.25">
      <c r="A13" s="542"/>
      <c r="B13" s="787"/>
      <c r="C13" s="699"/>
      <c r="D13" s="545" t="s">
        <v>240</v>
      </c>
      <c r="E13" s="612">
        <v>676459.4412</v>
      </c>
      <c r="F13" s="610">
        <v>132977.54999999999</v>
      </c>
      <c r="G13" s="610">
        <f>E13-F13</f>
        <v>543481.89119999995</v>
      </c>
      <c r="H13" s="600" t="s">
        <v>243</v>
      </c>
      <c r="I13" s="569"/>
      <c r="J13" s="589"/>
      <c r="K13" s="552"/>
      <c r="L13" s="576"/>
      <c r="M13" s="576"/>
      <c r="N13" s="576"/>
      <c r="O13" s="576"/>
      <c r="P13" s="576"/>
      <c r="Q13" s="576"/>
      <c r="R13" s="576"/>
      <c r="S13" s="586"/>
      <c r="T13" s="586"/>
      <c r="U13" s="498"/>
      <c r="V13" s="49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</row>
    <row r="14" spans="1:41" s="323" customFormat="1" ht="39" customHeight="1" x14ac:dyDescent="0.25">
      <c r="A14" s="542"/>
      <c r="B14" s="697"/>
      <c r="C14" s="613"/>
      <c r="D14" s="545" t="s">
        <v>244</v>
      </c>
      <c r="E14" s="612">
        <v>404246.28960000002</v>
      </c>
      <c r="F14" s="610">
        <v>327537.48959999997</v>
      </c>
      <c r="G14" s="610">
        <f>E14-F14</f>
        <v>76708.800000000047</v>
      </c>
      <c r="H14" s="600" t="s">
        <v>243</v>
      </c>
      <c r="I14" s="569"/>
      <c r="J14" s="589"/>
      <c r="K14" s="552"/>
      <c r="L14" s="576"/>
      <c r="M14" s="576"/>
      <c r="N14" s="576"/>
      <c r="O14" s="576"/>
      <c r="P14" s="576"/>
      <c r="Q14" s="576"/>
      <c r="R14" s="576"/>
      <c r="S14" s="586"/>
      <c r="T14" s="586"/>
      <c r="U14" s="498"/>
      <c r="V14" s="49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</row>
    <row r="15" spans="1:41" s="323" customFormat="1" ht="61.8" customHeight="1" x14ac:dyDescent="0.25">
      <c r="A15" s="542"/>
      <c r="B15" s="592"/>
      <c r="C15" s="546"/>
      <c r="D15" s="545"/>
      <c r="E15" s="546"/>
      <c r="F15" s="544"/>
      <c r="G15" s="544"/>
      <c r="H15" s="600"/>
      <c r="I15" s="544"/>
      <c r="J15" s="589"/>
      <c r="K15" s="552"/>
      <c r="L15" s="576"/>
      <c r="M15" s="576"/>
      <c r="N15" s="576"/>
      <c r="O15" s="576"/>
      <c r="P15" s="576"/>
      <c r="Q15" s="576"/>
      <c r="R15" s="576"/>
      <c r="S15" s="586"/>
      <c r="T15" s="586"/>
      <c r="U15" s="498"/>
      <c r="V15" s="49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</row>
    <row r="16" spans="1:41" s="324" customFormat="1" ht="32.4" customHeight="1" x14ac:dyDescent="0.25">
      <c r="A16" s="533"/>
      <c r="B16" s="533" t="s">
        <v>47</v>
      </c>
      <c r="C16" s="534">
        <f>SUM(C5:C12)</f>
        <v>39939888.973333962</v>
      </c>
      <c r="D16" s="534"/>
      <c r="E16" s="534">
        <f>SUM(E5:E15)</f>
        <v>7856415.1944000004</v>
      </c>
      <c r="F16" s="534">
        <f>SUM(F5:F15)</f>
        <v>5348587.5667999992</v>
      </c>
      <c r="G16" s="534">
        <f>SUM(G5:G15)</f>
        <v>2507827.6276000002</v>
      </c>
      <c r="H16" s="534"/>
      <c r="I16" s="534"/>
      <c r="J16" s="534"/>
      <c r="K16" s="581"/>
      <c r="L16" s="581"/>
      <c r="M16" s="581"/>
      <c r="N16" s="581"/>
      <c r="O16" s="581"/>
      <c r="P16" s="581"/>
      <c r="Q16" s="581"/>
      <c r="R16" s="581"/>
      <c r="S16" s="560"/>
      <c r="T16" s="560"/>
      <c r="U16" s="560"/>
      <c r="V16" s="560"/>
    </row>
    <row r="17" spans="1:41" s="323" customFormat="1" ht="25.8" customHeight="1" x14ac:dyDescent="0.25">
      <c r="A17" s="537"/>
      <c r="B17" s="538"/>
      <c r="C17" s="541">
        <f>C16</f>
        <v>39939888.973333962</v>
      </c>
      <c r="D17" s="540"/>
      <c r="E17" s="541">
        <f>E16</f>
        <v>7856415.1944000004</v>
      </c>
      <c r="F17" s="541">
        <f>F16</f>
        <v>5348587.5667999992</v>
      </c>
      <c r="G17" s="541">
        <f>G16</f>
        <v>2507827.6276000002</v>
      </c>
      <c r="H17" s="539"/>
      <c r="I17" s="539"/>
      <c r="J17" s="539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498"/>
      <c r="V17" s="49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</row>
    <row r="18" spans="1:41" x14ac:dyDescent="0.25">
      <c r="C18" s="339"/>
      <c r="D18" s="339"/>
      <c r="E18" s="339"/>
      <c r="F18" s="339"/>
      <c r="G18" s="339"/>
      <c r="H18" s="339"/>
      <c r="I18" s="339"/>
      <c r="J18" s="339"/>
    </row>
    <row r="19" spans="1:41" x14ac:dyDescent="0.25">
      <c r="C19" s="339"/>
      <c r="D19" s="339"/>
      <c r="E19" s="339"/>
      <c r="F19" s="339"/>
      <c r="G19" s="339"/>
      <c r="H19" s="339"/>
      <c r="I19" s="339"/>
      <c r="J19" s="339"/>
    </row>
    <row r="20" spans="1:41" ht="19.2" customHeight="1" x14ac:dyDescent="0.25">
      <c r="B20" s="561"/>
      <c r="C20" s="339"/>
      <c r="D20" s="339"/>
      <c r="E20" s="339"/>
      <c r="F20" s="339"/>
      <c r="G20" s="339"/>
      <c r="H20" s="339"/>
      <c r="I20" s="339"/>
      <c r="J20" s="339"/>
    </row>
    <row r="21" spans="1:41" x14ac:dyDescent="0.25">
      <c r="C21" s="339"/>
      <c r="D21" s="339"/>
      <c r="E21" s="339"/>
      <c r="F21" s="339"/>
      <c r="G21" s="339"/>
      <c r="H21" s="339"/>
      <c r="I21" s="339"/>
      <c r="J21" s="339"/>
    </row>
    <row r="22" spans="1:41" x14ac:dyDescent="0.25">
      <c r="C22" s="339"/>
      <c r="D22" s="339"/>
      <c r="E22" s="339"/>
      <c r="F22" s="339"/>
      <c r="G22" s="339"/>
      <c r="H22" s="339"/>
      <c r="I22" s="339"/>
      <c r="J22" s="339"/>
    </row>
    <row r="23" spans="1:41" x14ac:dyDescent="0.25">
      <c r="C23" s="339"/>
      <c r="D23" s="339"/>
      <c r="E23" s="339"/>
      <c r="F23" s="339"/>
      <c r="G23" s="339"/>
      <c r="H23" s="339"/>
      <c r="I23" s="339"/>
      <c r="J23" s="339"/>
    </row>
    <row r="24" spans="1:41" x14ac:dyDescent="0.25">
      <c r="C24" s="339"/>
      <c r="D24" s="339"/>
      <c r="E24" s="339"/>
      <c r="F24" s="339"/>
      <c r="G24" s="339"/>
      <c r="H24" s="339"/>
      <c r="I24" s="339"/>
      <c r="J24" s="339"/>
    </row>
    <row r="25" spans="1:41" x14ac:dyDescent="0.25">
      <c r="C25" s="339"/>
      <c r="D25" s="339"/>
      <c r="E25" s="339"/>
      <c r="F25" s="339"/>
      <c r="G25" s="339"/>
      <c r="H25" s="339"/>
      <c r="I25" s="339"/>
      <c r="J25" s="339"/>
    </row>
    <row r="26" spans="1:41" ht="30" customHeight="1" x14ac:dyDescent="0.25">
      <c r="C26" s="339"/>
      <c r="D26" s="339"/>
      <c r="E26" s="339"/>
      <c r="F26" s="339"/>
      <c r="G26" s="339"/>
      <c r="H26" s="339"/>
      <c r="I26" s="339"/>
      <c r="J26" s="339"/>
    </row>
    <row r="27" spans="1:41" x14ac:dyDescent="0.25">
      <c r="C27" s="339"/>
      <c r="D27" s="339"/>
      <c r="E27" s="339"/>
      <c r="F27" s="339"/>
      <c r="G27" s="339"/>
      <c r="H27" s="339"/>
      <c r="I27" s="339"/>
      <c r="J27" s="339"/>
    </row>
    <row r="28" spans="1:41" x14ac:dyDescent="0.25">
      <c r="C28" s="339"/>
      <c r="D28" s="339"/>
      <c r="E28" s="339"/>
      <c r="F28" s="339"/>
      <c r="G28" s="339"/>
      <c r="H28" s="339"/>
      <c r="I28" s="339"/>
      <c r="J28" s="339"/>
    </row>
    <row r="29" spans="1:41" x14ac:dyDescent="0.25">
      <c r="C29" s="339"/>
      <c r="D29" s="339"/>
      <c r="E29" s="339"/>
      <c r="F29" s="339"/>
      <c r="G29" s="339"/>
      <c r="H29" s="339"/>
      <c r="I29" s="339"/>
      <c r="J29" s="339"/>
    </row>
    <row r="30" spans="1:41" x14ac:dyDescent="0.25">
      <c r="C30" s="339"/>
      <c r="D30" s="339"/>
      <c r="E30" s="339"/>
      <c r="F30" s="339"/>
      <c r="G30" s="339"/>
      <c r="H30" s="339"/>
      <c r="I30" s="339"/>
      <c r="J30" s="339"/>
    </row>
    <row r="31" spans="1:41" x14ac:dyDescent="0.25">
      <c r="C31" s="339"/>
      <c r="D31" s="339"/>
      <c r="E31" s="339"/>
      <c r="F31" s="339"/>
      <c r="G31" s="339"/>
      <c r="H31" s="339"/>
      <c r="I31" s="339"/>
      <c r="J31" s="339"/>
    </row>
    <row r="32" spans="1:41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</sheetData>
  <mergeCells count="13">
    <mergeCell ref="A1:J2"/>
    <mergeCell ref="J3:J4"/>
    <mergeCell ref="D3:I3"/>
    <mergeCell ref="A3:A4"/>
    <mergeCell ref="B3:B4"/>
    <mergeCell ref="C3:C4"/>
    <mergeCell ref="T4:T5"/>
    <mergeCell ref="U4:U5"/>
    <mergeCell ref="V4:V5"/>
    <mergeCell ref="C12:C13"/>
    <mergeCell ref="C5:C6"/>
    <mergeCell ref="B5:B7"/>
    <mergeCell ref="B12:B1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8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3"/>
  <sheetViews>
    <sheetView showWhiteSpace="0" view="pageBreakPreview" zoomScale="50" zoomScaleNormal="50" zoomScaleSheetLayoutView="50"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24.44140625" style="308" hidden="1" customWidth="1"/>
    <col min="20" max="20" width="21.33203125" style="308" customWidth="1"/>
    <col min="21" max="21" width="51.88671875" style="308" hidden="1" customWidth="1"/>
    <col min="22" max="16384" width="9.109375" style="308"/>
  </cols>
  <sheetData>
    <row r="1" spans="1:42" ht="16.95" customHeight="1" x14ac:dyDescent="0.25">
      <c r="A1" s="677" t="s">
        <v>206</v>
      </c>
      <c r="B1" s="677"/>
      <c r="C1" s="677"/>
      <c r="D1" s="677"/>
      <c r="E1" s="677"/>
      <c r="F1" s="677"/>
      <c r="G1" s="677"/>
      <c r="H1" s="677"/>
      <c r="I1" s="677"/>
      <c r="J1" s="677"/>
    </row>
    <row r="2" spans="1:42" ht="59.4" customHeight="1" x14ac:dyDescent="0.25">
      <c r="A2" s="700"/>
      <c r="B2" s="700"/>
      <c r="C2" s="700"/>
      <c r="D2" s="700"/>
      <c r="E2" s="700"/>
      <c r="F2" s="700"/>
      <c r="G2" s="700"/>
      <c r="H2" s="700"/>
      <c r="I2" s="700"/>
      <c r="J2" s="700"/>
      <c r="K2" s="578" t="s">
        <v>201</v>
      </c>
      <c r="L2" s="578"/>
      <c r="M2" s="578"/>
      <c r="N2" s="578"/>
      <c r="O2" s="578"/>
      <c r="P2" s="578"/>
      <c r="Q2" s="578"/>
      <c r="R2" s="578"/>
      <c r="U2" s="579"/>
    </row>
    <row r="3" spans="1:42" ht="24" customHeight="1" x14ac:dyDescent="0.25">
      <c r="A3" s="701" t="s">
        <v>124</v>
      </c>
      <c r="B3" s="706" t="s">
        <v>185</v>
      </c>
      <c r="C3" s="707" t="s">
        <v>192</v>
      </c>
      <c r="D3" s="703" t="s">
        <v>193</v>
      </c>
      <c r="E3" s="704"/>
      <c r="F3" s="704"/>
      <c r="G3" s="704"/>
      <c r="H3" s="704"/>
      <c r="I3" s="705"/>
      <c r="J3" s="701" t="s">
        <v>188</v>
      </c>
      <c r="K3" s="562" t="s">
        <v>199</v>
      </c>
      <c r="L3" s="567"/>
      <c r="M3" s="567"/>
      <c r="N3" s="567"/>
      <c r="O3" s="567"/>
      <c r="P3" s="567"/>
      <c r="Q3" s="567"/>
      <c r="R3" s="567"/>
      <c r="S3" s="568"/>
      <c r="T3" s="568"/>
      <c r="U3" s="562" t="s">
        <v>200</v>
      </c>
    </row>
    <row r="4" spans="1:42" ht="40.799999999999997" customHeight="1" x14ac:dyDescent="0.25">
      <c r="A4" s="702"/>
      <c r="B4" s="706"/>
      <c r="C4" s="708"/>
      <c r="D4" s="598" t="s">
        <v>126</v>
      </c>
      <c r="E4" s="598" t="s">
        <v>194</v>
      </c>
      <c r="F4" s="598" t="s">
        <v>190</v>
      </c>
      <c r="G4" s="598" t="s">
        <v>189</v>
      </c>
      <c r="H4" s="598" t="s">
        <v>9</v>
      </c>
      <c r="I4" s="598" t="s">
        <v>187</v>
      </c>
      <c r="J4" s="702"/>
      <c r="K4" s="554" t="s">
        <v>196</v>
      </c>
      <c r="L4" s="577" t="s">
        <v>217</v>
      </c>
      <c r="M4" s="577" t="s">
        <v>218</v>
      </c>
      <c r="N4" s="577" t="s">
        <v>214</v>
      </c>
      <c r="O4" s="577" t="s">
        <v>215</v>
      </c>
      <c r="P4" s="577" t="s">
        <v>219</v>
      </c>
      <c r="Q4" s="577" t="s">
        <v>220</v>
      </c>
      <c r="R4" s="577" t="s">
        <v>221</v>
      </c>
      <c r="S4" s="583" t="s">
        <v>222</v>
      </c>
      <c r="T4" s="583" t="s">
        <v>223</v>
      </c>
      <c r="U4" s="554" t="s">
        <v>198</v>
      </c>
    </row>
    <row r="5" spans="1:42" s="323" customFormat="1" ht="57.6" customHeight="1" x14ac:dyDescent="0.25">
      <c r="A5" s="564" t="s">
        <v>53</v>
      </c>
      <c r="B5" s="565" t="s">
        <v>210</v>
      </c>
      <c r="C5" s="546">
        <v>18590623.260000002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590" t="s">
        <v>207</v>
      </c>
      <c r="I5" s="563"/>
      <c r="J5" s="566" t="s">
        <v>208</v>
      </c>
      <c r="K5" s="552" t="s">
        <v>202</v>
      </c>
      <c r="L5" s="576" t="s">
        <v>212</v>
      </c>
      <c r="M5" s="576" t="s">
        <v>212</v>
      </c>
      <c r="N5" s="576" t="s">
        <v>212</v>
      </c>
      <c r="O5" s="576" t="s">
        <v>212</v>
      </c>
      <c r="P5" s="576" t="s">
        <v>212</v>
      </c>
      <c r="Q5" s="576" t="s">
        <v>212</v>
      </c>
      <c r="R5" s="576" t="s">
        <v>212</v>
      </c>
      <c r="S5" s="585">
        <v>727783.74</v>
      </c>
      <c r="T5" s="586" t="s">
        <v>212</v>
      </c>
      <c r="U5" s="553" t="s">
        <v>203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543"/>
      <c r="C6" s="547"/>
      <c r="D6" s="548" t="s">
        <v>69</v>
      </c>
      <c r="E6" s="549">
        <v>1941984</v>
      </c>
      <c r="F6" s="544">
        <v>0</v>
      </c>
      <c r="G6" s="547">
        <f>E6</f>
        <v>1941984</v>
      </c>
      <c r="H6" s="590" t="s">
        <v>207</v>
      </c>
      <c r="I6" s="563"/>
      <c r="J6" s="566" t="s">
        <v>208</v>
      </c>
      <c r="K6" s="552" t="s">
        <v>191</v>
      </c>
      <c r="L6" s="576" t="s">
        <v>212</v>
      </c>
      <c r="M6" s="576" t="s">
        <v>212</v>
      </c>
      <c r="N6" s="576" t="s">
        <v>212</v>
      </c>
      <c r="O6" s="576" t="s">
        <v>212</v>
      </c>
      <c r="P6" s="576" t="s">
        <v>212</v>
      </c>
      <c r="Q6" s="576" t="s">
        <v>212</v>
      </c>
      <c r="R6" s="576" t="s">
        <v>212</v>
      </c>
      <c r="S6" s="587">
        <f>E6</f>
        <v>1941984</v>
      </c>
      <c r="T6" s="586" t="s">
        <v>212</v>
      </c>
      <c r="U6" s="553" t="s">
        <v>205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550"/>
      <c r="C7" s="544"/>
      <c r="D7" s="545" t="s">
        <v>70</v>
      </c>
      <c r="E7" s="546">
        <v>1131739.1200000001</v>
      </c>
      <c r="F7" s="544">
        <v>997219.1</v>
      </c>
      <c r="G7" s="544">
        <f>E7-F7</f>
        <v>134520.02000000014</v>
      </c>
      <c r="H7" s="591" t="s">
        <v>211</v>
      </c>
      <c r="I7" s="569"/>
      <c r="J7" s="551"/>
      <c r="K7" s="552" t="s">
        <v>186</v>
      </c>
      <c r="L7" s="576" t="s">
        <v>212</v>
      </c>
      <c r="M7" s="576" t="s">
        <v>212</v>
      </c>
      <c r="N7" s="576" t="s">
        <v>212</v>
      </c>
      <c r="O7" s="576" t="s">
        <v>212</v>
      </c>
      <c r="P7" s="576" t="s">
        <v>212</v>
      </c>
      <c r="Q7" s="576" t="s">
        <v>212</v>
      </c>
      <c r="R7" s="576" t="s">
        <v>212</v>
      </c>
      <c r="S7" s="586"/>
      <c r="T7" s="588" t="s">
        <v>212</v>
      </c>
      <c r="U7" s="553" t="s">
        <v>197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550"/>
      <c r="C8" s="544"/>
      <c r="D8" s="545" t="s">
        <v>71</v>
      </c>
      <c r="E8" s="546">
        <v>2437104.3199999998</v>
      </c>
      <c r="F8" s="544">
        <v>1992504.3240000003</v>
      </c>
      <c r="G8" s="544">
        <f>E8-F8</f>
        <v>444599.99599999958</v>
      </c>
      <c r="H8" s="591" t="s">
        <v>211</v>
      </c>
      <c r="I8" s="569"/>
      <c r="J8" s="596"/>
      <c r="K8" s="552"/>
      <c r="L8" s="576" t="s">
        <v>212</v>
      </c>
      <c r="M8" s="576" t="s">
        <v>212</v>
      </c>
      <c r="N8" s="576" t="s">
        <v>212</v>
      </c>
      <c r="O8" s="576" t="s">
        <v>212</v>
      </c>
      <c r="P8" s="576" t="s">
        <v>212</v>
      </c>
      <c r="Q8" s="576" t="s">
        <v>212</v>
      </c>
      <c r="R8" s="584" t="s">
        <v>212</v>
      </c>
      <c r="S8" s="586"/>
      <c r="T8" s="586" t="s">
        <v>212</v>
      </c>
      <c r="U8" s="580" t="s">
        <v>216</v>
      </c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71.400000000000006" customHeight="1" x14ac:dyDescent="0.25">
      <c r="A9" s="542"/>
      <c r="B9" s="550"/>
      <c r="C9" s="544"/>
      <c r="D9" s="545" t="s">
        <v>72</v>
      </c>
      <c r="E9" s="546">
        <f>F9+G9</f>
        <v>2917817</v>
      </c>
      <c r="F9" s="544">
        <v>2747273</v>
      </c>
      <c r="G9" s="544">
        <v>170544</v>
      </c>
      <c r="H9" s="591" t="s">
        <v>211</v>
      </c>
      <c r="I9" s="569"/>
      <c r="J9" s="597"/>
      <c r="K9" s="552"/>
      <c r="L9" s="576" t="s">
        <v>212</v>
      </c>
      <c r="M9" s="576" t="s">
        <v>212</v>
      </c>
      <c r="N9" s="576" t="s">
        <v>212</v>
      </c>
      <c r="O9" s="576" t="s">
        <v>212</v>
      </c>
      <c r="P9" s="576" t="s">
        <v>212</v>
      </c>
      <c r="Q9" s="576" t="s">
        <v>212</v>
      </c>
      <c r="R9" s="576" t="s">
        <v>212</v>
      </c>
      <c r="S9" s="586"/>
      <c r="T9" s="586" t="s">
        <v>212</v>
      </c>
      <c r="U9" s="553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71.400000000000006" customHeight="1" x14ac:dyDescent="0.25">
      <c r="A10" s="542"/>
      <c r="B10" s="550"/>
      <c r="C10" s="544"/>
      <c r="D10" s="545" t="s">
        <v>73</v>
      </c>
      <c r="E10" s="546">
        <v>2603926.91</v>
      </c>
      <c r="F10" s="544">
        <f>943299.09*1.2</f>
        <v>1131958.9079999998</v>
      </c>
      <c r="G10" s="544">
        <f>1226640*1.2</f>
        <v>1471968</v>
      </c>
      <c r="H10" s="591" t="s">
        <v>211</v>
      </c>
      <c r="I10" s="569"/>
      <c r="J10" s="551"/>
      <c r="K10" s="552"/>
      <c r="L10" s="576" t="s">
        <v>212</v>
      </c>
      <c r="M10" s="576" t="s">
        <v>212</v>
      </c>
      <c r="N10" s="576" t="s">
        <v>212</v>
      </c>
      <c r="O10" s="576" t="s">
        <v>212</v>
      </c>
      <c r="P10" s="576" t="s">
        <v>212</v>
      </c>
      <c r="Q10" s="576" t="s">
        <v>212</v>
      </c>
      <c r="R10" s="576" t="s">
        <v>212</v>
      </c>
      <c r="S10" s="586"/>
      <c r="T10" s="586" t="s">
        <v>212</v>
      </c>
      <c r="U10" s="553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71.400000000000006" customHeight="1" x14ac:dyDescent="0.25">
      <c r="A11" s="542"/>
      <c r="B11" s="550"/>
      <c r="C11" s="544"/>
      <c r="D11" s="545" t="s">
        <v>74</v>
      </c>
      <c r="E11" s="546">
        <v>2571099.5499999998</v>
      </c>
      <c r="F11" s="544">
        <f>1733322.96*1.2</f>
        <v>2079987.5519999999</v>
      </c>
      <c r="G11" s="544">
        <f>E11-F11</f>
        <v>491111.99799999991</v>
      </c>
      <c r="H11" s="591" t="s">
        <v>211</v>
      </c>
      <c r="I11" s="569"/>
      <c r="J11" s="551"/>
      <c r="K11" s="552"/>
      <c r="L11" s="576" t="s">
        <v>212</v>
      </c>
      <c r="M11" s="576" t="s">
        <v>212</v>
      </c>
      <c r="N11" s="576" t="s">
        <v>212</v>
      </c>
      <c r="O11" s="576" t="s">
        <v>212</v>
      </c>
      <c r="P11" s="576" t="s">
        <v>212</v>
      </c>
      <c r="Q11" s="576" t="s">
        <v>212</v>
      </c>
      <c r="R11" s="576" t="s">
        <v>212</v>
      </c>
      <c r="S11" s="586"/>
      <c r="T11" s="586" t="s">
        <v>212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71.400000000000006" customHeight="1" x14ac:dyDescent="0.25">
      <c r="A12" s="542"/>
      <c r="B12" s="550"/>
      <c r="C12" s="544"/>
      <c r="D12" s="545" t="s">
        <v>77</v>
      </c>
      <c r="E12" s="546">
        <v>3356872.5240000002</v>
      </c>
      <c r="F12" s="544">
        <v>2199544.5239999997</v>
      </c>
      <c r="G12" s="544">
        <f>E12-F12</f>
        <v>1157328.0000000005</v>
      </c>
      <c r="H12" s="591" t="s">
        <v>211</v>
      </c>
      <c r="I12" s="569"/>
      <c r="J12" s="551"/>
      <c r="K12" s="552"/>
      <c r="L12" s="576" t="s">
        <v>212</v>
      </c>
      <c r="M12" s="576" t="s">
        <v>212</v>
      </c>
      <c r="N12" s="576" t="s">
        <v>212</v>
      </c>
      <c r="O12" s="576" t="s">
        <v>212</v>
      </c>
      <c r="P12" s="576" t="s">
        <v>212</v>
      </c>
      <c r="Q12" s="576" t="s">
        <v>212</v>
      </c>
      <c r="R12" s="576" t="s">
        <v>212</v>
      </c>
      <c r="S12" s="586"/>
      <c r="T12" s="586" t="s">
        <v>212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71.400000000000006" customHeight="1" x14ac:dyDescent="0.25">
      <c r="A13" s="542"/>
      <c r="B13" s="550"/>
      <c r="C13" s="544"/>
      <c r="D13" s="545" t="s">
        <v>78</v>
      </c>
      <c r="E13" s="546">
        <v>291840</v>
      </c>
      <c r="F13" s="544"/>
      <c r="G13" s="544">
        <f>E13</f>
        <v>291840</v>
      </c>
      <c r="H13" s="591" t="s">
        <v>207</v>
      </c>
      <c r="I13" s="569"/>
      <c r="J13" s="551"/>
      <c r="K13" s="552"/>
      <c r="L13" s="576"/>
      <c r="M13" s="576"/>
      <c r="N13" s="576"/>
      <c r="O13" s="576"/>
      <c r="P13" s="576"/>
      <c r="Q13" s="576"/>
      <c r="R13" s="576"/>
      <c r="S13" s="586"/>
      <c r="T13" s="586" t="s">
        <v>212</v>
      </c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64"/>
      <c r="B14" s="592" t="s">
        <v>209</v>
      </c>
      <c r="C14" s="546">
        <v>705278.46</v>
      </c>
      <c r="D14" s="545" t="s">
        <v>53</v>
      </c>
      <c r="E14" s="546">
        <v>500621.1</v>
      </c>
      <c r="F14" s="544">
        <v>0</v>
      </c>
      <c r="G14" s="544">
        <f>E14</f>
        <v>500621.1</v>
      </c>
      <c r="H14" s="590" t="s">
        <v>207</v>
      </c>
      <c r="I14" s="544"/>
      <c r="J14" s="589" t="s">
        <v>208</v>
      </c>
      <c r="K14" s="552" t="s">
        <v>195</v>
      </c>
      <c r="L14" s="576" t="s">
        <v>212</v>
      </c>
      <c r="M14" s="576" t="s">
        <v>212</v>
      </c>
      <c r="N14" s="576" t="s">
        <v>212</v>
      </c>
      <c r="O14" s="576" t="s">
        <v>212</v>
      </c>
      <c r="P14" s="576" t="s">
        <v>212</v>
      </c>
      <c r="Q14" s="576" t="s">
        <v>212</v>
      </c>
      <c r="R14" s="576" t="s">
        <v>212</v>
      </c>
      <c r="S14" s="587">
        <f>E14</f>
        <v>500621.1</v>
      </c>
      <c r="T14" s="586" t="s">
        <v>212</v>
      </c>
      <c r="U14" s="553" t="s">
        <v>204</v>
      </c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3" customFormat="1" ht="61.8" customHeight="1" x14ac:dyDescent="0.25">
      <c r="A15" s="542"/>
      <c r="B15" s="550"/>
      <c r="C15" s="544"/>
      <c r="D15" s="545" t="s">
        <v>69</v>
      </c>
      <c r="E15" s="546">
        <v>166743.25</v>
      </c>
      <c r="F15" s="544">
        <f>4712.4*1.2</f>
        <v>5654.8799999999992</v>
      </c>
      <c r="G15" s="544">
        <f>E15-F15</f>
        <v>161088.37</v>
      </c>
      <c r="H15" s="590" t="s">
        <v>207</v>
      </c>
      <c r="I15" s="544"/>
      <c r="J15" s="589" t="s">
        <v>208</v>
      </c>
      <c r="K15" s="552"/>
      <c r="L15" s="576" t="s">
        <v>212</v>
      </c>
      <c r="M15" s="576" t="s">
        <v>212</v>
      </c>
      <c r="N15" s="576" t="s">
        <v>212</v>
      </c>
      <c r="O15" s="576" t="s">
        <v>212</v>
      </c>
      <c r="P15" s="576" t="s">
        <v>212</v>
      </c>
      <c r="Q15" s="576" t="s">
        <v>212</v>
      </c>
      <c r="R15" s="576" t="s">
        <v>212</v>
      </c>
      <c r="S15" s="586"/>
      <c r="T15" s="586" t="s">
        <v>212</v>
      </c>
      <c r="U15" s="553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s="323" customFormat="1" ht="61.8" customHeight="1" x14ac:dyDescent="0.25">
      <c r="A16" s="542"/>
      <c r="B16" s="550"/>
      <c r="C16" s="544"/>
      <c r="D16" s="545" t="s">
        <v>70</v>
      </c>
      <c r="E16" s="546">
        <v>34908.25</v>
      </c>
      <c r="F16" s="544"/>
      <c r="G16" s="544">
        <f>E16</f>
        <v>34908.25</v>
      </c>
      <c r="H16" s="590" t="s">
        <v>207</v>
      </c>
      <c r="I16" s="544"/>
      <c r="J16" s="589" t="s">
        <v>208</v>
      </c>
      <c r="K16" s="552"/>
      <c r="L16" s="576"/>
      <c r="M16" s="576"/>
      <c r="N16" s="576"/>
      <c r="O16" s="576"/>
      <c r="P16" s="576"/>
      <c r="Q16" s="576"/>
      <c r="R16" s="576"/>
      <c r="S16" s="586"/>
      <c r="T16" s="586" t="s">
        <v>212</v>
      </c>
      <c r="U16" s="553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</row>
    <row r="17" spans="1:42" s="323" customFormat="1" ht="61.8" customHeight="1" x14ac:dyDescent="0.25">
      <c r="A17" s="542"/>
      <c r="B17" s="592" t="s">
        <v>224</v>
      </c>
      <c r="C17" s="546">
        <v>2772152.37</v>
      </c>
      <c r="D17" s="545" t="s">
        <v>53</v>
      </c>
      <c r="E17" s="546">
        <v>1266401.57</v>
      </c>
      <c r="F17" s="544">
        <v>639618.87600000005</v>
      </c>
      <c r="G17" s="544">
        <f>E17-F17</f>
        <v>626782.69400000002</v>
      </c>
      <c r="H17" s="590" t="s">
        <v>207</v>
      </c>
      <c r="I17" s="544"/>
      <c r="J17" s="589" t="s">
        <v>208</v>
      </c>
      <c r="K17" s="552"/>
      <c r="L17" s="576"/>
      <c r="M17" s="576"/>
      <c r="N17" s="576"/>
      <c r="O17" s="576"/>
      <c r="P17" s="576"/>
      <c r="Q17" s="576"/>
      <c r="R17" s="576"/>
      <c r="S17" s="586"/>
      <c r="T17" s="586"/>
      <c r="U17" s="553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</row>
    <row r="18" spans="1:42" s="323" customFormat="1" ht="61.8" customHeight="1" x14ac:dyDescent="0.25">
      <c r="A18" s="542"/>
      <c r="B18" s="592" t="s">
        <v>225</v>
      </c>
      <c r="C18" s="546">
        <v>276736.40999999997</v>
      </c>
      <c r="D18" s="545" t="s">
        <v>53</v>
      </c>
      <c r="E18" s="546">
        <v>244076.33</v>
      </c>
      <c r="F18" s="544">
        <v>110176.06</v>
      </c>
      <c r="G18" s="544">
        <f>E18-F18</f>
        <v>133900.26999999999</v>
      </c>
      <c r="H18" s="600" t="s">
        <v>226</v>
      </c>
      <c r="I18" s="544"/>
      <c r="J18" s="589"/>
      <c r="K18" s="552"/>
      <c r="L18" s="576"/>
      <c r="M18" s="576"/>
      <c r="N18" s="576"/>
      <c r="O18" s="576"/>
      <c r="P18" s="576"/>
      <c r="Q18" s="576"/>
      <c r="R18" s="576"/>
      <c r="S18" s="586"/>
      <c r="T18" s="586"/>
      <c r="U18" s="553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</row>
    <row r="19" spans="1:42" s="324" customFormat="1" ht="22.95" customHeight="1" x14ac:dyDescent="0.25">
      <c r="A19" s="533"/>
      <c r="B19" s="533" t="s">
        <v>47</v>
      </c>
      <c r="C19" s="534">
        <f>SUM(C5:C18)</f>
        <v>22344790.500000004</v>
      </c>
      <c r="D19" s="534"/>
      <c r="E19" s="534">
        <f>SUM(E5:E18)</f>
        <v>20193917.664000001</v>
      </c>
      <c r="F19" s="534">
        <f>SUM(F5:F18)</f>
        <v>12127820.960000001</v>
      </c>
      <c r="G19" s="534">
        <f>SUM(G5:G18)</f>
        <v>8066096.6979999999</v>
      </c>
      <c r="H19" s="534"/>
      <c r="I19" s="534"/>
      <c r="J19" s="534"/>
      <c r="K19" s="581"/>
      <c r="L19" s="581"/>
      <c r="M19" s="581"/>
      <c r="N19" s="581"/>
      <c r="O19" s="581"/>
      <c r="P19" s="581"/>
      <c r="Q19" s="581"/>
      <c r="R19" s="581"/>
      <c r="S19" s="560"/>
      <c r="T19" s="560"/>
      <c r="U19" s="560"/>
    </row>
    <row r="20" spans="1:42" s="323" customFormat="1" ht="25.8" customHeight="1" x14ac:dyDescent="0.25">
      <c r="A20" s="537"/>
      <c r="B20" s="538"/>
      <c r="C20" s="541">
        <f>C19</f>
        <v>22344790.500000004</v>
      </c>
      <c r="D20" s="540"/>
      <c r="E20" s="541">
        <f>E19</f>
        <v>20193917.664000001</v>
      </c>
      <c r="F20" s="541">
        <f>F19</f>
        <v>12127820.960000001</v>
      </c>
      <c r="G20" s="541">
        <f>G19</f>
        <v>8066096.6979999999</v>
      </c>
      <c r="H20" s="539"/>
      <c r="I20" s="539"/>
      <c r="J20" s="539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582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</row>
    <row r="21" spans="1:42" x14ac:dyDescent="0.25">
      <c r="C21" s="339"/>
      <c r="D21" s="339"/>
      <c r="E21" s="339"/>
      <c r="F21" s="339"/>
      <c r="G21" s="339"/>
      <c r="H21" s="339"/>
      <c r="I21" s="339"/>
      <c r="J21" s="339"/>
    </row>
    <row r="22" spans="1:42" x14ac:dyDescent="0.25">
      <c r="C22" s="339"/>
      <c r="D22" s="339"/>
      <c r="E22" s="339"/>
      <c r="F22" s="339"/>
      <c r="G22" s="339"/>
      <c r="H22" s="339"/>
      <c r="I22" s="339"/>
      <c r="J22" s="339"/>
    </row>
    <row r="23" spans="1:42" ht="19.2" customHeight="1" x14ac:dyDescent="0.25">
      <c r="B23" s="561"/>
      <c r="C23" s="339"/>
      <c r="D23" s="339"/>
      <c r="E23" s="339"/>
      <c r="F23" s="339"/>
      <c r="G23" s="339"/>
      <c r="H23" s="339"/>
      <c r="I23" s="339"/>
      <c r="J23" s="339"/>
    </row>
    <row r="24" spans="1:42" x14ac:dyDescent="0.25">
      <c r="C24" s="339"/>
      <c r="D24" s="339"/>
      <c r="E24" s="339"/>
      <c r="F24" s="339"/>
      <c r="G24" s="339"/>
      <c r="H24" s="339"/>
      <c r="I24" s="339"/>
      <c r="J24" s="339"/>
    </row>
    <row r="25" spans="1:42" x14ac:dyDescent="0.25">
      <c r="C25" s="339"/>
      <c r="D25" s="339"/>
      <c r="E25" s="339"/>
      <c r="F25" s="339"/>
      <c r="G25" s="339"/>
      <c r="H25" s="339"/>
      <c r="I25" s="339"/>
      <c r="J25" s="339"/>
    </row>
    <row r="26" spans="1:42" x14ac:dyDescent="0.25">
      <c r="C26" s="339"/>
      <c r="D26" s="339"/>
      <c r="E26" s="339"/>
      <c r="F26" s="339"/>
      <c r="G26" s="339"/>
      <c r="H26" s="339"/>
      <c r="I26" s="339"/>
      <c r="J26" s="339"/>
    </row>
    <row r="27" spans="1:42" x14ac:dyDescent="0.25">
      <c r="C27" s="339"/>
      <c r="D27" s="339"/>
      <c r="E27" s="339"/>
      <c r="F27" s="339"/>
      <c r="G27" s="339"/>
      <c r="H27" s="339"/>
      <c r="I27" s="339"/>
      <c r="J27" s="339"/>
    </row>
    <row r="28" spans="1:42" x14ac:dyDescent="0.25">
      <c r="C28" s="339"/>
      <c r="D28" s="339"/>
      <c r="E28" s="339"/>
      <c r="F28" s="339"/>
      <c r="G28" s="339"/>
      <c r="H28" s="339"/>
      <c r="I28" s="339"/>
      <c r="J28" s="339"/>
    </row>
    <row r="29" spans="1:42" x14ac:dyDescent="0.25">
      <c r="C29" s="339"/>
      <c r="D29" s="339"/>
      <c r="E29" s="339"/>
      <c r="F29" s="339"/>
      <c r="G29" s="339"/>
      <c r="H29" s="339"/>
      <c r="I29" s="339"/>
      <c r="J29" s="339"/>
    </row>
    <row r="30" spans="1:42" x14ac:dyDescent="0.25">
      <c r="C30" s="339"/>
      <c r="D30" s="339"/>
      <c r="E30" s="339"/>
      <c r="F30" s="339"/>
      <c r="G30" s="339"/>
      <c r="H30" s="339"/>
      <c r="I30" s="339"/>
      <c r="J30" s="339"/>
    </row>
    <row r="31" spans="1:42" x14ac:dyDescent="0.25">
      <c r="C31" s="339"/>
      <c r="D31" s="339"/>
      <c r="E31" s="339"/>
      <c r="F31" s="339"/>
      <c r="G31" s="339"/>
      <c r="H31" s="339"/>
      <c r="I31" s="339"/>
      <c r="J31" s="339"/>
    </row>
    <row r="32" spans="1:42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  <row r="41" spans="3:10" x14ac:dyDescent="0.25">
      <c r="C41" s="339"/>
      <c r="D41" s="339"/>
      <c r="E41" s="339"/>
      <c r="F41" s="339"/>
      <c r="G41" s="339"/>
      <c r="H41" s="339"/>
      <c r="I41" s="339"/>
      <c r="J41" s="339"/>
    </row>
    <row r="42" spans="3:10" x14ac:dyDescent="0.25">
      <c r="C42" s="339"/>
      <c r="D42" s="339"/>
      <c r="E42" s="339"/>
      <c r="F42" s="339"/>
      <c r="G42" s="339"/>
      <c r="H42" s="339"/>
      <c r="I42" s="339"/>
      <c r="J42" s="339"/>
    </row>
    <row r="43" spans="3:10" x14ac:dyDescent="0.25">
      <c r="C43" s="339"/>
      <c r="D43" s="339"/>
      <c r="E43" s="339"/>
      <c r="F43" s="339"/>
      <c r="G43" s="339"/>
      <c r="H43" s="339"/>
      <c r="I43" s="339"/>
      <c r="J43" s="339"/>
    </row>
  </sheetData>
  <autoFilter ref="A4:AP19"/>
  <mergeCells count="6">
    <mergeCell ref="A1:J2"/>
    <mergeCell ref="A3:A4"/>
    <mergeCell ref="B3:B4"/>
    <mergeCell ref="C3:C4"/>
    <mergeCell ref="D3:I3"/>
    <mergeCell ref="J3:J4"/>
  </mergeCells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67" t="s">
        <v>149</v>
      </c>
      <c r="B2" s="767"/>
      <c r="C2" s="767"/>
      <c r="D2" s="767"/>
      <c r="E2" s="767"/>
      <c r="F2" s="767"/>
      <c r="G2" s="767"/>
      <c r="H2" s="767"/>
      <c r="I2" s="767"/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68" t="s">
        <v>118</v>
      </c>
      <c r="B4" s="771" t="s">
        <v>2</v>
      </c>
      <c r="C4" s="773" t="s">
        <v>119</v>
      </c>
      <c r="D4" s="774"/>
      <c r="E4" s="777" t="s">
        <v>120</v>
      </c>
      <c r="F4" s="765" t="s">
        <v>121</v>
      </c>
      <c r="G4" s="780"/>
      <c r="H4" s="780"/>
      <c r="I4" s="780"/>
      <c r="J4" s="780"/>
      <c r="K4" s="780"/>
      <c r="L4" s="780"/>
      <c r="M4" s="780"/>
      <c r="N4" s="780"/>
      <c r="O4" s="780"/>
      <c r="P4" s="780"/>
      <c r="Q4" s="780"/>
      <c r="R4" s="780"/>
      <c r="S4" s="780"/>
      <c r="T4" s="780"/>
      <c r="U4" s="780"/>
      <c r="V4" s="780"/>
      <c r="W4" s="766"/>
      <c r="X4" s="512"/>
      <c r="Y4" s="773" t="s">
        <v>122</v>
      </c>
      <c r="Z4" s="781"/>
      <c r="AA4" s="774"/>
      <c r="AB4" s="759" t="s">
        <v>123</v>
      </c>
      <c r="AC4" s="760"/>
      <c r="AD4" s="761"/>
    </row>
    <row r="5" spans="1:30" ht="15.45" customHeight="1" x14ac:dyDescent="0.25">
      <c r="A5" s="769"/>
      <c r="B5" s="751"/>
      <c r="C5" s="775"/>
      <c r="D5" s="776"/>
      <c r="E5" s="778"/>
      <c r="F5" s="765" t="s">
        <v>143</v>
      </c>
      <c r="G5" s="766"/>
      <c r="H5" s="765" t="s">
        <v>144</v>
      </c>
      <c r="I5" s="766"/>
      <c r="J5" s="765" t="s">
        <v>145</v>
      </c>
      <c r="K5" s="766"/>
      <c r="L5" s="765" t="s">
        <v>156</v>
      </c>
      <c r="M5" s="766"/>
      <c r="N5" s="765" t="s">
        <v>155</v>
      </c>
      <c r="O5" s="766"/>
      <c r="P5" s="765" t="s">
        <v>159</v>
      </c>
      <c r="Q5" s="766"/>
      <c r="R5" s="765" t="s">
        <v>166</v>
      </c>
      <c r="S5" s="766"/>
      <c r="T5" s="765"/>
      <c r="U5" s="766"/>
      <c r="V5" s="765"/>
      <c r="W5" s="766"/>
      <c r="X5" s="513"/>
      <c r="Y5" s="775"/>
      <c r="Z5" s="782"/>
      <c r="AA5" s="776"/>
      <c r="AB5" s="762"/>
      <c r="AC5" s="763"/>
      <c r="AD5" s="764"/>
    </row>
    <row r="6" spans="1:30" ht="27.75" customHeight="1" x14ac:dyDescent="0.25">
      <c r="A6" s="770"/>
      <c r="B6" s="772"/>
      <c r="C6" s="314" t="s">
        <v>124</v>
      </c>
      <c r="D6" s="315" t="s">
        <v>125</v>
      </c>
      <c r="E6" s="779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41">
        <v>1</v>
      </c>
      <c r="B8" s="756" t="s">
        <v>95</v>
      </c>
      <c r="C8" s="733" t="s">
        <v>53</v>
      </c>
      <c r="D8" s="735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38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54"/>
      <c r="B9" s="757"/>
      <c r="C9" s="734"/>
      <c r="D9" s="736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39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54"/>
      <c r="B10" s="757"/>
      <c r="C10" s="734"/>
      <c r="D10" s="736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39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54"/>
      <c r="B11" s="757"/>
      <c r="C11" s="734"/>
      <c r="D11" s="736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39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54"/>
      <c r="B12" s="757"/>
      <c r="C12" s="734"/>
      <c r="D12" s="736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39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54"/>
      <c r="B13" s="757"/>
      <c r="C13" s="734"/>
      <c r="D13" s="736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39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54"/>
      <c r="B14" s="757"/>
      <c r="C14" s="734"/>
      <c r="D14" s="736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39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54"/>
      <c r="B15" s="757"/>
      <c r="C15" s="734"/>
      <c r="D15" s="736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39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54"/>
      <c r="B16" s="757"/>
      <c r="C16" s="734"/>
      <c r="D16" s="736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39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54"/>
      <c r="B17" s="757"/>
      <c r="C17" s="734"/>
      <c r="D17" s="736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39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54"/>
      <c r="B18" s="757"/>
      <c r="C18" s="734"/>
      <c r="D18" s="736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39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54"/>
      <c r="B19" s="757"/>
      <c r="C19" s="734"/>
      <c r="D19" s="736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39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54"/>
      <c r="B20" s="757"/>
      <c r="C20" s="734"/>
      <c r="D20" s="736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39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54"/>
      <c r="B21" s="757"/>
      <c r="C21" s="712"/>
      <c r="D21" s="736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39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55"/>
      <c r="B22" s="758"/>
      <c r="C22" s="728"/>
      <c r="D22" s="737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40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48">
        <v>2</v>
      </c>
      <c r="B25" s="749" t="s">
        <v>157</v>
      </c>
      <c r="C25" s="751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52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30"/>
      <c r="B26" s="750"/>
      <c r="C26" s="728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53"/>
      <c r="AB26" s="418"/>
      <c r="AC26" s="418"/>
      <c r="AD26" s="419"/>
    </row>
    <row r="27" spans="1:30" s="323" customFormat="1" ht="12" customHeight="1" x14ac:dyDescent="0.25">
      <c r="A27" s="741">
        <v>3</v>
      </c>
      <c r="B27" s="742" t="s">
        <v>98</v>
      </c>
      <c r="C27" s="510"/>
      <c r="D27" s="745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29"/>
      <c r="B28" s="743"/>
      <c r="C28" s="511"/>
      <c r="D28" s="746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30"/>
      <c r="B29" s="744"/>
      <c r="C29" s="397"/>
      <c r="D29" s="747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13">
        <f>A8+1</f>
        <v>2</v>
      </c>
      <c r="B30" s="716" t="s">
        <v>152</v>
      </c>
      <c r="C30" s="719" t="s">
        <v>69</v>
      </c>
      <c r="D30" s="722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11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14"/>
      <c r="B31" s="717"/>
      <c r="C31" s="720"/>
      <c r="D31" s="723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12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14"/>
      <c r="B32" s="717"/>
      <c r="C32" s="712"/>
      <c r="D32" s="723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12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14"/>
      <c r="B33" s="717"/>
      <c r="C33" s="712"/>
      <c r="D33" s="723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12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14"/>
      <c r="B34" s="717"/>
      <c r="C34" s="712"/>
      <c r="D34" s="723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12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14"/>
      <c r="B35" s="717"/>
      <c r="C35" s="712"/>
      <c r="D35" s="723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12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14"/>
      <c r="B36" s="717"/>
      <c r="C36" s="712"/>
      <c r="D36" s="723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12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14"/>
      <c r="B37" s="717"/>
      <c r="C37" s="712"/>
      <c r="D37" s="723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12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14"/>
      <c r="B38" s="717"/>
      <c r="C38" s="712"/>
      <c r="D38" s="723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12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14"/>
      <c r="B39" s="717"/>
      <c r="C39" s="712"/>
      <c r="D39" s="723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12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14"/>
      <c r="B40" s="717"/>
      <c r="C40" s="712"/>
      <c r="D40" s="723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12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14"/>
      <c r="B41" s="717"/>
      <c r="C41" s="712"/>
      <c r="D41" s="723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12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14"/>
      <c r="B42" s="717"/>
      <c r="C42" s="712"/>
      <c r="D42" s="723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12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14"/>
      <c r="B43" s="717"/>
      <c r="C43" s="712"/>
      <c r="D43" s="723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12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14"/>
      <c r="B44" s="717"/>
      <c r="C44" s="712"/>
      <c r="D44" s="723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12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15"/>
      <c r="B45" s="718"/>
      <c r="C45" s="728"/>
      <c r="D45" s="724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13">
        <v>3</v>
      </c>
      <c r="B47" s="716" t="s">
        <v>146</v>
      </c>
      <c r="C47" s="719" t="s">
        <v>70</v>
      </c>
      <c r="D47" s="722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25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14"/>
      <c r="B48" s="717"/>
      <c r="C48" s="720"/>
      <c r="D48" s="723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26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14"/>
      <c r="B49" s="717"/>
      <c r="C49" s="720"/>
      <c r="D49" s="723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26"/>
      <c r="AB49" s="415">
        <f>Z49</f>
        <v>197627.09</v>
      </c>
      <c r="AC49" s="415"/>
      <c r="AD49" s="443"/>
    </row>
    <row r="50" spans="1:30" s="323" customFormat="1" ht="12" customHeight="1" x14ac:dyDescent="0.25">
      <c r="A50" s="714"/>
      <c r="B50" s="717"/>
      <c r="C50" s="720"/>
      <c r="D50" s="723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26"/>
      <c r="AB50" s="415"/>
      <c r="AC50" s="415"/>
      <c r="AD50" s="443"/>
    </row>
    <row r="51" spans="1:30" s="323" customFormat="1" ht="12" customHeight="1" thickBot="1" x14ac:dyDescent="0.3">
      <c r="A51" s="714"/>
      <c r="B51" s="717"/>
      <c r="C51" s="720"/>
      <c r="D51" s="723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27"/>
      <c r="AB51" s="415"/>
      <c r="AC51" s="415"/>
      <c r="AD51" s="444"/>
    </row>
    <row r="52" spans="1:30" s="323" customFormat="1" ht="12.6" customHeight="1" thickBot="1" x14ac:dyDescent="0.3">
      <c r="A52" s="715"/>
      <c r="B52" s="718"/>
      <c r="C52" s="721"/>
      <c r="D52" s="724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13">
        <v>4</v>
      </c>
      <c r="B53" s="716" t="s">
        <v>151</v>
      </c>
      <c r="C53" s="719" t="s">
        <v>71</v>
      </c>
      <c r="D53" s="722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09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29"/>
      <c r="B54" s="731"/>
      <c r="C54" s="712"/>
      <c r="D54" s="712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10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29"/>
      <c r="B55" s="731"/>
      <c r="C55" s="712"/>
      <c r="D55" s="712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10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29"/>
      <c r="B56" s="731"/>
      <c r="C56" s="712"/>
      <c r="D56" s="712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10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29"/>
      <c r="B57" s="731"/>
      <c r="C57" s="712"/>
      <c r="D57" s="712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10"/>
      <c r="AB57" s="370"/>
      <c r="AC57" s="370"/>
      <c r="AD57" s="446"/>
    </row>
    <row r="58" spans="1:30" s="323" customFormat="1" ht="13.2" customHeight="1" thickBot="1" x14ac:dyDescent="0.3">
      <c r="A58" s="730"/>
      <c r="B58" s="732"/>
      <c r="C58" s="728"/>
      <c r="D58" s="728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13">
        <v>5</v>
      </c>
      <c r="B59" s="716" t="s">
        <v>154</v>
      </c>
      <c r="C59" s="719" t="s">
        <v>72</v>
      </c>
      <c r="D59" s="722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29"/>
      <c r="B60" s="731"/>
      <c r="C60" s="712"/>
      <c r="D60" s="712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29"/>
      <c r="B61" s="731"/>
      <c r="C61" s="712"/>
      <c r="D61" s="712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29"/>
      <c r="B62" s="731"/>
      <c r="C62" s="712"/>
      <c r="D62" s="712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29"/>
      <c r="B63" s="731"/>
      <c r="C63" s="712"/>
      <c r="D63" s="712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30"/>
      <c r="B64" s="732"/>
      <c r="C64" s="728"/>
      <c r="D64" s="728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2:Y2"/>
    <mergeCell ref="A4:A6"/>
    <mergeCell ref="B4:B6"/>
    <mergeCell ref="C4:D5"/>
    <mergeCell ref="E4:E6"/>
    <mergeCell ref="F4:W4"/>
    <mergeCell ref="Y4:AA5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59:A64"/>
    <mergeCell ref="B59:B64"/>
    <mergeCell ref="C59:C64"/>
    <mergeCell ref="D59:D64"/>
    <mergeCell ref="A53:A58"/>
    <mergeCell ref="B53:B58"/>
    <mergeCell ref="C53:C58"/>
    <mergeCell ref="D53:D58"/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83" t="s">
        <v>181</v>
      </c>
      <c r="B2" s="783"/>
      <c r="C2" s="783"/>
      <c r="D2" s="784"/>
      <c r="E2" s="784"/>
    </row>
    <row r="3" spans="1:5" ht="15" customHeight="1" x14ac:dyDescent="0.25">
      <c r="A3" s="309"/>
      <c r="B3" s="309"/>
      <c r="C3" s="309"/>
      <c r="D3" s="763" t="s">
        <v>182</v>
      </c>
      <c r="E3" s="763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54">
        <v>1</v>
      </c>
      <c r="B5" s="757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54"/>
      <c r="B6" s="757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54"/>
      <c r="B7" s="757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54"/>
      <c r="B8" s="757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54"/>
      <c r="B9" s="757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54"/>
      <c r="B10" s="757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54"/>
      <c r="B11" s="757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54"/>
      <c r="B12" s="757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54"/>
      <c r="B13" s="757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54"/>
      <c r="B14" s="757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54"/>
      <c r="B15" s="757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54"/>
      <c r="B16" s="757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54"/>
      <c r="B17" s="757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54"/>
      <c r="B18" s="757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54"/>
      <c r="B19" s="757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14">
        <f>A5+1</f>
        <v>2</v>
      </c>
      <c r="B23" s="717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14"/>
      <c r="B24" s="717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14"/>
      <c r="B25" s="717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14"/>
      <c r="B26" s="717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14"/>
      <c r="B27" s="717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14"/>
      <c r="B28" s="717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14"/>
      <c r="B29" s="717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14"/>
      <c r="B30" s="717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14"/>
      <c r="B31" s="717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14"/>
      <c r="B32" s="717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14"/>
      <c r="B33" s="717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14"/>
      <c r="B34" s="717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14"/>
      <c r="B35" s="717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14"/>
      <c r="B36" s="717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14"/>
      <c r="B37" s="717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14"/>
      <c r="B38" s="717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14"/>
      <c r="B39" s="717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14"/>
      <c r="B40" s="717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14"/>
      <c r="B41" s="717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14"/>
      <c r="B42" s="717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13">
        <v>3</v>
      </c>
      <c r="B43" s="716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14"/>
      <c r="B44" s="717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14"/>
      <c r="B45" s="717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14"/>
      <c r="B46" s="717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15"/>
      <c r="B47" s="718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13">
        <v>4</v>
      </c>
      <c r="B48" s="716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29"/>
      <c r="B49" s="731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29"/>
      <c r="B50" s="731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29"/>
      <c r="B51" s="731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85" t="s">
        <v>6</v>
      </c>
      <c r="B1" s="785"/>
      <c r="C1" s="785"/>
      <c r="D1" s="785"/>
      <c r="E1" s="785"/>
      <c r="F1" s="785"/>
    </row>
    <row r="2" spans="1:8" s="91" customFormat="1" ht="12.75" customHeight="1" x14ac:dyDescent="0.25">
      <c r="A2" s="786"/>
      <c r="B2" s="786"/>
      <c r="C2" s="786"/>
      <c r="D2" s="786"/>
      <c r="E2" s="786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2024-08-05T07:07:57Z</cp:lastPrinted>
  <dcterms:created xsi:type="dcterms:W3CDTF">2016-07-15T13:11:41Z</dcterms:created>
  <dcterms:modified xsi:type="dcterms:W3CDTF">2024-10-18T11:34:13Z</dcterms:modified>
</cp:coreProperties>
</file>
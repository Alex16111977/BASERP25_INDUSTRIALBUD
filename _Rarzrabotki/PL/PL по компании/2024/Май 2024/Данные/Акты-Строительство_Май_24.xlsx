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1"/>
  </bookViews>
  <sheets>
    <sheet name="Акты заказчика" sheetId="1" r:id="rId1"/>
    <sheet name="Списание стройматериалов" sheetId="2" r:id="rId2"/>
    <sheet name="ВаловаяПрибыль" sheetId="3" r:id="rId3"/>
    <sheet name="Услуги_сторонних" sheetId="4" r:id="rId4"/>
  </sheets>
  <definedNames>
    <definedName name="_xlnm._FilterDatabase" localSheetId="0" hidden="1">'Акты заказчика'!$A$1:$I$37</definedName>
    <definedName name="_xlnm._FilterDatabase" localSheetId="1" hidden="1">'Списание стройматериалов'!$A$7:$H$47</definedName>
  </definedNames>
  <calcPr calcId="145621"/>
</workbook>
</file>

<file path=xl/calcChain.xml><?xml version="1.0" encoding="utf-8"?>
<calcChain xmlns="http://schemas.openxmlformats.org/spreadsheetml/2006/main">
  <c r="E45" i="2" l="1"/>
  <c r="D86" i="1" l="1"/>
  <c r="D81" i="1"/>
  <c r="D80" i="1" l="1"/>
  <c r="D79" i="1"/>
  <c r="D78" i="1"/>
  <c r="D77" i="1"/>
  <c r="D76" i="1"/>
  <c r="D69" i="1"/>
  <c r="D89" i="1" l="1"/>
  <c r="D17" i="4" l="1"/>
  <c r="D36" i="4" l="1"/>
  <c r="D31" i="4"/>
  <c r="D26" i="4"/>
  <c r="D22" i="4"/>
  <c r="D14" i="4" l="1"/>
  <c r="N13" i="4" l="1"/>
  <c r="N4" i="4"/>
  <c r="J14" i="4"/>
  <c r="E54" i="2"/>
  <c r="D54" i="2"/>
  <c r="E53" i="2"/>
  <c r="D53" i="2"/>
  <c r="E52" i="2"/>
  <c r="D52" i="2"/>
  <c r="E51" i="2"/>
  <c r="D51" i="2"/>
  <c r="E48" i="2"/>
  <c r="D48" i="2"/>
  <c r="E24" i="2"/>
  <c r="E47" i="2"/>
  <c r="E46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4" i="2"/>
  <c r="E3" i="2"/>
  <c r="E2" i="2"/>
  <c r="D31" i="1"/>
  <c r="D35" i="1"/>
  <c r="F35" i="1" s="1"/>
  <c r="D36" i="1"/>
  <c r="D34" i="1"/>
  <c r="D33" i="1"/>
  <c r="F33" i="1" s="1"/>
  <c r="D55" i="2" l="1"/>
  <c r="D49" i="2" s="1"/>
  <c r="E55" i="2"/>
  <c r="E49" i="2" s="1"/>
  <c r="E5" i="2"/>
  <c r="D37" i="1"/>
  <c r="D32" i="1" s="1"/>
</calcChain>
</file>

<file path=xl/sharedStrings.xml><?xml version="1.0" encoding="utf-8"?>
<sst xmlns="http://schemas.openxmlformats.org/spreadsheetml/2006/main" count="1166" uniqueCount="413">
  <si>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</si>
  <si>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</si>
  <si>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</si>
  <si>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</si>
  <si>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</si>
  <si>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</si>
  <si>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</si>
  <si>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</si>
  <si>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</si>
  <si>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01.05.2024 00:00:00</t>
  </si>
  <si>
    <t>ІБ00-000127</t>
  </si>
  <si>
    <t>АВІА ВЕНЧУРС ТОВ</t>
  </si>
  <si>
    <t>грн</t>
  </si>
  <si>
    <t>Виробничий (Крушинка)</t>
  </si>
  <si>
    <t>ТОВ "ІНДАСТРІАЛБУД"</t>
  </si>
  <si>
    <t>Хлань Елена</t>
  </si>
  <si>
    <t>(без матеріалів)акт №1 за травень 2024 ДУ № 8 ДОГОВІР ПІДРЯДУ № 20230815-3 від 07.03.2024</t>
  </si>
  <si>
    <t>06.05.2024 12:00:12</t>
  </si>
  <si>
    <t>ІБ00-000135</t>
  </si>
  <si>
    <t>Вінницька птахофабрика ВКВК філія ТОВ</t>
  </si>
  <si>
    <t>Виробничий (Ладижин)</t>
  </si>
  <si>
    <t>Акт №2</t>
  </si>
  <si>
    <t>07.05.2024 00:00:00</t>
  </si>
  <si>
    <t>ІБ00-000094</t>
  </si>
  <si>
    <t xml:space="preserve">Старокостянтинівський олійноекстраційний завод ТОВ </t>
  </si>
  <si>
    <t>Виробничий (Старокостянтинів)</t>
  </si>
  <si>
    <t>Акт 3 ДОГОВІР ПІДРЯДУ № 07/11/2023 -КМ5 -СтОЕЗ</t>
  </si>
  <si>
    <t>ІБ00-000111</t>
  </si>
  <si>
    <t xml:space="preserve"> Акт 6 ДОГОВІР ПІДРЯДУ № 13/12/2023-3.4.5-АР-СтОЕЗ від 13</t>
  </si>
  <si>
    <t>07.05.2024 17:15:24</t>
  </si>
  <si>
    <t>ІБ00-000134</t>
  </si>
  <si>
    <t>Акт №38</t>
  </si>
  <si>
    <t>07.05.2024 17:15:25</t>
  </si>
  <si>
    <t>ІБ00-000136</t>
  </si>
  <si>
    <t>Акт №3</t>
  </si>
  <si>
    <t>08.05.2024 00:00:00</t>
  </si>
  <si>
    <t>ІБ00-000105</t>
  </si>
  <si>
    <t>Акт 1 Договір Підряду №02/02/22-СтОЕЗ від 02.02.2024</t>
  </si>
  <si>
    <t>13.05.2024 11:22:11</t>
  </si>
  <si>
    <t>ІБ00-000138</t>
  </si>
  <si>
    <t>ЗАПОРІЗЬКИЙ ОЛІЯЖИРКОМБІНАТ ПРАТ</t>
  </si>
  <si>
    <t>Виробничий Щедро_Флексітанки</t>
  </si>
  <si>
    <t>акт №1 розробка грунту</t>
  </si>
  <si>
    <t>13.05.2024 11:24:39</t>
  </si>
  <si>
    <t>ІБ00-000143</t>
  </si>
  <si>
    <t>22.05.2024 00:00:00</t>
  </si>
  <si>
    <t>ІБ00-000113</t>
  </si>
  <si>
    <t>Акт № 5 ДОГОВІР ПІДРЯДУ № 18/12/23-3.3.3-АР-СтОЕЗ від 18.1</t>
  </si>
  <si>
    <t>ІБ00-000125</t>
  </si>
  <si>
    <t>Акт 1 ДОГОВІР ПІДРЯДУ 28/02/2024-3.5.1-3.5.3– СтОЕЗ – КМ</t>
  </si>
  <si>
    <t>23.05.2024 11:20:22</t>
  </si>
  <si>
    <t>ІБ00-000137</t>
  </si>
  <si>
    <t>23.05.2024 11:22:38</t>
  </si>
  <si>
    <t>ІБ00-000139</t>
  </si>
  <si>
    <t>23.05.2024 11:23:13</t>
  </si>
  <si>
    <t>ІБ00-000140</t>
  </si>
  <si>
    <t>23.05.2024 11:23:41</t>
  </si>
  <si>
    <t>ІБ00-000141</t>
  </si>
  <si>
    <t>23.05.2024 11:24:08</t>
  </si>
  <si>
    <t>ІБ00-000142</t>
  </si>
  <si>
    <t>23.05.2024 11:25:14</t>
  </si>
  <si>
    <t>ІБ00-000144</t>
  </si>
  <si>
    <t>23.05.2024 15:50:16</t>
  </si>
  <si>
    <t>ІБ00-000150</t>
  </si>
  <si>
    <t>24.05.2024 09:38:29</t>
  </si>
  <si>
    <t>ІБ00-000151</t>
  </si>
  <si>
    <t>НІЖИНСЬКИЙ ЖИРКОМБІНАТ ПрАТ</t>
  </si>
  <si>
    <t>Виробничий (Ніжин-3)</t>
  </si>
  <si>
    <t xml:space="preserve"> Акт № 25 без дати проведення</t>
  </si>
  <si>
    <t>24.05.2024 09:39:29</t>
  </si>
  <si>
    <t>ІБ00-000152</t>
  </si>
  <si>
    <t xml:space="preserve"> Акт № 26 без дати проведення</t>
  </si>
  <si>
    <t>24.05.2024 09:40:24</t>
  </si>
  <si>
    <t>ІБ00-000153</t>
  </si>
  <si>
    <t>Акт № 12.1 без дати проведення</t>
  </si>
  <si>
    <t>24.05.2024 09:41:45</t>
  </si>
  <si>
    <t>ІБ00-000154</t>
  </si>
  <si>
    <t>ДЦ № 34 без дати проведення</t>
  </si>
  <si>
    <t>24.05.2024 09:41:46</t>
  </si>
  <si>
    <t>ІБ00-000157</t>
  </si>
  <si>
    <t>ДЦ № 27 без дати проведення</t>
  </si>
  <si>
    <t>24.05.2024 09:42:29</t>
  </si>
  <si>
    <t>ІБ00-000155</t>
  </si>
  <si>
    <t>ДЦ № 32 без дати проведення</t>
  </si>
  <si>
    <t>24.05.2024 09:45:33</t>
  </si>
  <si>
    <t>ІБ00-000156</t>
  </si>
  <si>
    <t>ДЦ № 28 без дати проведення</t>
  </si>
  <si>
    <t>24.05.2024 11:31:14</t>
  </si>
  <si>
    <t>ІБ00-000145</t>
  </si>
  <si>
    <t xml:space="preserve"> Акт № 20 без дати проведення</t>
  </si>
  <si>
    <t>24.05.2024 11:32:07</t>
  </si>
  <si>
    <t>ІБ00-000146</t>
  </si>
  <si>
    <t xml:space="preserve"> Акт № 21 без дати проведення</t>
  </si>
  <si>
    <t>24.05.2024 11:32:39</t>
  </si>
  <si>
    <t>ІБ00-000147</t>
  </si>
  <si>
    <t xml:space="preserve"> Акт № 22 без дати проведення</t>
  </si>
  <si>
    <t>24.05.2024 11:33:34</t>
  </si>
  <si>
    <t>ІБ00-000148</t>
  </si>
  <si>
    <t xml:space="preserve"> Акт № 23 без дати проведення</t>
  </si>
  <si>
    <t>24.05.2024 11:34:02</t>
  </si>
  <si>
    <t>ІБ00-000149</t>
  </si>
  <si>
    <t xml:space="preserve"> Акт № 24 без дати проведення</t>
  </si>
  <si>
    <t>24.05.2024 11:49:48</t>
  </si>
  <si>
    <t>ІБ00-000129</t>
  </si>
  <si>
    <t>Акт № 12 без дати проведення</t>
  </si>
  <si>
    <t>24.05.2024 11:51:14</t>
  </si>
  <si>
    <t>ІБ00-000130</t>
  </si>
  <si>
    <t>Акт № 13 без дати проведення</t>
  </si>
  <si>
    <t>24.05.2024 11:51:48</t>
  </si>
  <si>
    <t>ІБ00-000131</t>
  </si>
  <si>
    <t>Акт № 19 без дати проведення</t>
  </si>
  <si>
    <t>24.05.2024 11:52:19</t>
  </si>
  <si>
    <t>ІБ00-000132</t>
  </si>
  <si>
    <t>Акт № 27 без дати проведення</t>
  </si>
  <si>
    <t>24.05.2024 11:53:24</t>
  </si>
  <si>
    <t>ІБ00-000133</t>
  </si>
  <si>
    <t>ЦД 31 Акт №  без дати проведення</t>
  </si>
  <si>
    <t>24.05.2024 12:00:00</t>
  </si>
  <si>
    <t>ІБ00-000090</t>
  </si>
  <si>
    <t>Акт № 1 без дати проведення</t>
  </si>
  <si>
    <t>24.05.2024 12:00:01</t>
  </si>
  <si>
    <t>ІБ00-000091</t>
  </si>
  <si>
    <t>Акт № 2 без дати проведення</t>
  </si>
  <si>
    <t>24.05.2024 12:00:02</t>
  </si>
  <si>
    <t>ІБ00-000092</t>
  </si>
  <si>
    <t>Акт № 3 без дати проведення</t>
  </si>
  <si>
    <t>24.05.2024 12:00:03</t>
  </si>
  <si>
    <t>ІБ00-000093</t>
  </si>
  <si>
    <t>Акт № 4 без дати проведення</t>
  </si>
  <si>
    <t>24.05.2024 12:00:04</t>
  </si>
  <si>
    <t>ІБ00-000095</t>
  </si>
  <si>
    <t>Акт № 5 без дати проведення</t>
  </si>
  <si>
    <t>24.05.2024 12:00:05</t>
  </si>
  <si>
    <t>ІБ00-000096</t>
  </si>
  <si>
    <t>Акт № 6 без дати проведення</t>
  </si>
  <si>
    <t>24.05.2024 12:00:06</t>
  </si>
  <si>
    <t>ІБ00-000097</t>
  </si>
  <si>
    <t>Акт № 7 без дати проведення</t>
  </si>
  <si>
    <t>24.05.2024 12:00:07</t>
  </si>
  <si>
    <t>ІБ00-000098</t>
  </si>
  <si>
    <t>Акт № 8 без дати проведення</t>
  </si>
  <si>
    <t>24.05.2024 12:00:08</t>
  </si>
  <si>
    <t>ІБ00-000099</t>
  </si>
  <si>
    <t>Акт № 9 без дати проведення</t>
  </si>
  <si>
    <t>24.05.2024 12:00:14</t>
  </si>
  <si>
    <t>ІБ00-000115</t>
  </si>
  <si>
    <t>Акт № 10 без дати проведення</t>
  </si>
  <si>
    <t>24.05.2024 12:00:15</t>
  </si>
  <si>
    <t>ІБ00-000116</t>
  </si>
  <si>
    <t>Акт № 11 без дати проведення</t>
  </si>
  <si>
    <t>24.05.2024 12:00:16</t>
  </si>
  <si>
    <t>ІБ00-000117</t>
  </si>
  <si>
    <t>Акт № 14 без дати проведення</t>
  </si>
  <si>
    <t>24.05.2024 12:00:17</t>
  </si>
  <si>
    <t>ІБ00-000118</t>
  </si>
  <si>
    <t>Акт № 15 без дати проведення</t>
  </si>
  <si>
    <t>24.05.2024 12:00:18</t>
  </si>
  <si>
    <t>ІБ00-000119</t>
  </si>
  <si>
    <t>Акт № 16 без дати проведення</t>
  </si>
  <si>
    <t>24.05.2024 12:00:19</t>
  </si>
  <si>
    <t>ІБ00-000120</t>
  </si>
  <si>
    <t>Акт № 17 без дати проведення</t>
  </si>
  <si>
    <t>24.05.2024 12:00:20</t>
  </si>
  <si>
    <t>ІБ00-000121</t>
  </si>
  <si>
    <t>Акт № 18 без дати проведення</t>
  </si>
  <si>
    <t>24.05.2024 17:48:35</t>
  </si>
  <si>
    <t>ІБ00-000170</t>
  </si>
  <si>
    <t>Аулова Маргарита</t>
  </si>
  <si>
    <t>Акт №39</t>
  </si>
  <si>
    <t>24.05.2024 17:48:45</t>
  </si>
  <si>
    <t>ІБ00-000175</t>
  </si>
  <si>
    <t>Акт №4</t>
  </si>
  <si>
    <t>28.05.2024 10:02:30</t>
  </si>
  <si>
    <t>ІБ00-000163</t>
  </si>
  <si>
    <t>Акт № 30 без дати проведення</t>
  </si>
  <si>
    <t>28.05.2024 10:03:24</t>
  </si>
  <si>
    <t>ІБ00-000164</t>
  </si>
  <si>
    <t>Акт № 28 без дати проведення</t>
  </si>
  <si>
    <t>28.05.2024 10:04:11</t>
  </si>
  <si>
    <t>ІБ00-000165</t>
  </si>
  <si>
    <t>28.05.2024 11:45:21</t>
  </si>
  <si>
    <t>ІБ00-000166</t>
  </si>
  <si>
    <t>акт №4</t>
  </si>
  <si>
    <t>31.05.2024 00:00:00</t>
  </si>
  <si>
    <t>ІБ00-000172</t>
  </si>
  <si>
    <t>Акт № 2 ДУ № 9 від 27.11.2023 року ДОГОВІР F-20231127-1</t>
  </si>
  <si>
    <t>ІБ00-000181</t>
  </si>
  <si>
    <t>Акт № 31 без дати проведення</t>
  </si>
  <si>
    <t>31.05.2024 08:02:01</t>
  </si>
  <si>
    <t>ІБ00-000128</t>
  </si>
  <si>
    <t xml:space="preserve">акт №26 за ТРАВЕНЬ 2024 </t>
  </si>
  <si>
    <t>31.05.2024 12:00:02</t>
  </si>
  <si>
    <t>ІБ00-000160</t>
  </si>
  <si>
    <t>Акт № 1 ДУ № 2 від 17.01.2024 року ДОГОВІР F-20231127-1</t>
  </si>
  <si>
    <t>31.05.2024 12:00:03</t>
  </si>
  <si>
    <t>ІБ00-000161</t>
  </si>
  <si>
    <t>Акт № 1 ДУ № 9 від 27.11.2023 року ДОГОВІР F-20231127-1</t>
  </si>
  <si>
    <t>31.05.2024 12:00:04</t>
  </si>
  <si>
    <t>ІБ00-000162</t>
  </si>
  <si>
    <t>акт №7 за травень 2024 ДУ № 2 ДОГОВІР ПІДРЯДУ № 20230815-3 від 07.03.2024</t>
  </si>
  <si>
    <t>31.05.2024 23:59:01</t>
  </si>
  <si>
    <t>ІБ00-000168</t>
  </si>
  <si>
    <t>Акт № 27 ДУ № 1 від 20.09.2023, року ДОГОВІР 20230815-3 від 15.08.2023</t>
  </si>
  <si>
    <t>31.05.2024 23:59:02</t>
  </si>
  <si>
    <t>ІБ00-000169</t>
  </si>
  <si>
    <t>Акт № 1 ДУ № 12 від 08.04.2024, року ДОГОВІР 20230815-3 від 15.08.2023</t>
  </si>
  <si>
    <t>10.06.2024 15:18:57</t>
  </si>
  <si>
    <t>ІБ00-000182</t>
  </si>
  <si>
    <t>Акт № 32 без дати проведення</t>
  </si>
  <si>
    <t>10.06.2024 15:25:13</t>
  </si>
  <si>
    <t>ІБ00-000183</t>
  </si>
  <si>
    <t>Акт № 33 без дати проведення</t>
  </si>
  <si>
    <t>10.06.2024 15:25:57</t>
  </si>
  <si>
    <t>ІБ00-000184</t>
  </si>
  <si>
    <t>Акт № 34 без дати проведення</t>
  </si>
  <si>
    <t>10.06.2024 15:26:28</t>
  </si>
  <si>
    <t>ІБ00-000185</t>
  </si>
  <si>
    <t>Акт № 36 без дати проведення</t>
  </si>
  <si>
    <t>* в Марте 24</t>
  </si>
  <si>
    <t>* в Апреле 24</t>
  </si>
  <si>
    <t>04.06.2024 10:28:58</t>
  </si>
  <si>
    <t>ІБ00-000177</t>
  </si>
  <si>
    <t>Акт № 28 ДУ № 1 від 20.09.2023, року ДОГОВІР 20230815-3 від 15.08.2023</t>
  </si>
  <si>
    <t>Крушинка</t>
  </si>
  <si>
    <t>Ладыжин-3</t>
  </si>
  <si>
    <t>Щедро.Флекситанки</t>
  </si>
  <si>
    <t>Староконстантинов</t>
  </si>
  <si>
    <t>ИТОГО</t>
  </si>
  <si>
    <t>* всего с продажей</t>
  </si>
  <si>
    <t>Вид операції</t>
  </si>
  <si>
    <t>Склад</t>
  </si>
  <si>
    <t>Продаж, комісія</t>
  </si>
  <si>
    <t>Щедро_Флекситанки</t>
  </si>
  <si>
    <t>23.05.2024 11:29:05</t>
  </si>
  <si>
    <t>ІБ00-000019</t>
  </si>
  <si>
    <t>23.05.2024 11:30:01</t>
  </si>
  <si>
    <t>ІБ00-000020</t>
  </si>
  <si>
    <t>Склад відправник</t>
  </si>
  <si>
    <t>Склад одержувач</t>
  </si>
  <si>
    <t>21.05.2024 08:28:41</t>
  </si>
  <si>
    <t>ІБ00-000024</t>
  </si>
  <si>
    <t>Ніжин-3</t>
  </si>
  <si>
    <t>Склад списання Ніжин-3</t>
  </si>
  <si>
    <t>Переміщення до акту № 20 (ІБ00-000145 в 1С)</t>
  </si>
  <si>
    <t>21.05.2024 08:38:42</t>
  </si>
  <si>
    <t>ІБ00-000025</t>
  </si>
  <si>
    <t>Переміщення до акту № 21 (ІБ00-000146 в 1С)</t>
  </si>
  <si>
    <t>21.05.2024 08:53:28</t>
  </si>
  <si>
    <t>ІБ00-000026</t>
  </si>
  <si>
    <t>Переміщення до акту № 23 (ІБ00-000148 в 1С)</t>
  </si>
  <si>
    <t>Сумма без НДС</t>
  </si>
  <si>
    <t>Сумма С НДС</t>
  </si>
  <si>
    <t>10</t>
  </si>
  <si>
    <t>ІБ00-000214</t>
  </si>
  <si>
    <t>Ладижин-3</t>
  </si>
  <si>
    <t>ІБ00-000227</t>
  </si>
  <si>
    <t>Старокостянтинів</t>
  </si>
  <si>
    <t>07.05.2024 11:21:53</t>
  </si>
  <si>
    <t>ІБ00-000230</t>
  </si>
  <si>
    <t>07.05.2024 18:00:00</t>
  </si>
  <si>
    <t>ІБ00-000215</t>
  </si>
  <si>
    <t>08.05.2024 09:40:09</t>
  </si>
  <si>
    <t>ІБ00-000226</t>
  </si>
  <si>
    <t>14.05.2024 11:50:01</t>
  </si>
  <si>
    <t>ІБ00-000206</t>
  </si>
  <si>
    <t>14.05.2024 11:53:54</t>
  </si>
  <si>
    <t>ІБ00-000207</t>
  </si>
  <si>
    <t>14.05.2024 11:55:14</t>
  </si>
  <si>
    <t>ІБ00-000208</t>
  </si>
  <si>
    <t>14.05.2024 11:56:18</t>
  </si>
  <si>
    <t>ІБ00-000209</t>
  </si>
  <si>
    <t>14.05.2024 11:59:28</t>
  </si>
  <si>
    <t>ІБ00-000210</t>
  </si>
  <si>
    <t>14.05.2024 12:03:10</t>
  </si>
  <si>
    <t>ІБ00-000211</t>
  </si>
  <si>
    <t>14.05.2024 12:05:41</t>
  </si>
  <si>
    <t>ІБ00-000212</t>
  </si>
  <si>
    <t>17.05.2024 09:24:20</t>
  </si>
  <si>
    <t>ІБ00-000216</t>
  </si>
  <si>
    <t>21.05.2024 14:10:34</t>
  </si>
  <si>
    <t>ІБ00-000220</t>
  </si>
  <si>
    <t>21.05.2024 14:26:25</t>
  </si>
  <si>
    <t>ІБ00-000221</t>
  </si>
  <si>
    <t>21.05.2024 15:05:37</t>
  </si>
  <si>
    <t>ІБ00-000222</t>
  </si>
  <si>
    <t>21.05.2024 15:15:17</t>
  </si>
  <si>
    <t>ІБ00-000223</t>
  </si>
  <si>
    <t>21.05.2024 15:37:08</t>
  </si>
  <si>
    <t>ІБ00-000224</t>
  </si>
  <si>
    <t>21.05.2024 15:53:12</t>
  </si>
  <si>
    <t>ІБ00-000225</t>
  </si>
  <si>
    <t>ІБ00-000245</t>
  </si>
  <si>
    <t>22.05.2024 17:02:27</t>
  </si>
  <si>
    <t>ІБ00-000244</t>
  </si>
  <si>
    <t>24.05.2024 17:48:41</t>
  </si>
  <si>
    <t>ІБ00-000241</t>
  </si>
  <si>
    <t>24.05.2024 17:48:51</t>
  </si>
  <si>
    <t>ІБ00-000253</t>
  </si>
  <si>
    <t>29.05.2024 15:05:49</t>
  </si>
  <si>
    <t>ІБ00-000231</t>
  </si>
  <si>
    <t>До акту №2 Опалення 263765,51грн</t>
  </si>
  <si>
    <t>29.05.2024 16:18:51</t>
  </si>
  <si>
    <t>ІБ00-000232</t>
  </si>
  <si>
    <t>До Акту № 4 ТК 48 463,22 грн</t>
  </si>
  <si>
    <t>29.05.2024 16:24:42</t>
  </si>
  <si>
    <t>ІБ00-000233</t>
  </si>
  <si>
    <t>До Акту № 1 ЕМ 1 132 692,95 грн</t>
  </si>
  <si>
    <t>29.05.2024 16:28:57</t>
  </si>
  <si>
    <t>ІБ00-000234</t>
  </si>
  <si>
    <t>До Акту № 2 АР    445 544,56 грн</t>
  </si>
  <si>
    <t>29.05.2024 16:33:57</t>
  </si>
  <si>
    <t>ІБ00-000235</t>
  </si>
  <si>
    <t>До Акту № 4 ТХ   1 000 712,66 грн</t>
  </si>
  <si>
    <t>29.05.2024 16:42:09</t>
  </si>
  <si>
    <t>ІБ00-000236</t>
  </si>
  <si>
    <t xml:space="preserve">До Акту № 1 ЗЗ,ВП,ЕО    526 875,01 грн </t>
  </si>
  <si>
    <t>29.05.2024 16:48:31</t>
  </si>
  <si>
    <t>ІБ00-000237</t>
  </si>
  <si>
    <t>Акт №1 на 2 674 262,72</t>
  </si>
  <si>
    <t>29.05.2024 16:51:49</t>
  </si>
  <si>
    <t>ІБ00-000238</t>
  </si>
  <si>
    <t>до акт №1 на 2 012 978,39</t>
  </si>
  <si>
    <t>30.05.2024 13:52:05</t>
  </si>
  <si>
    <t>ІБ00-000239</t>
  </si>
  <si>
    <t>До Акту № 2 АР  55 136,76</t>
  </si>
  <si>
    <t>30.05.2024 18:22:36</t>
  </si>
  <si>
    <t>ІБ00-000240</t>
  </si>
  <si>
    <t>ІБ00-000249</t>
  </si>
  <si>
    <t>ІБ00-000250</t>
  </si>
  <si>
    <t>31.05.2024 20:00:00</t>
  </si>
  <si>
    <t>ІБ00-000247</t>
  </si>
  <si>
    <t>ІБ00-000248</t>
  </si>
  <si>
    <t>31.05.2024 23:59:17</t>
  </si>
  <si>
    <t>ІБ00-000242</t>
  </si>
  <si>
    <t>Досписання</t>
  </si>
  <si>
    <t>31.05.2024 23:59:21</t>
  </si>
  <si>
    <t>ІБ00-000243</t>
  </si>
  <si>
    <t>Дата вх.</t>
  </si>
  <si>
    <t>Номер вх.</t>
  </si>
  <si>
    <t>Договір</t>
  </si>
  <si>
    <t>Документ розрахунків</t>
  </si>
  <si>
    <t>ІНДЕПТ СТІЛ ТОВ</t>
  </si>
  <si>
    <t>Покупка, комісія</t>
  </si>
  <si>
    <t>14</t>
  </si>
  <si>
    <t>Шостак Жанета</t>
  </si>
  <si>
    <t>03.06.2024 00:00:00</t>
  </si>
  <si>
    <t>ІБ00-001486</t>
  </si>
  <si>
    <t>ІБ00-001487</t>
  </si>
  <si>
    <t>8</t>
  </si>
  <si>
    <t>ІБ00-001488</t>
  </si>
  <si>
    <t>9</t>
  </si>
  <si>
    <t>ІБ00-001707</t>
  </si>
  <si>
    <t>11</t>
  </si>
  <si>
    <t>ІБ00-001708</t>
  </si>
  <si>
    <t>12</t>
  </si>
  <si>
    <t>ІБ00-001709</t>
  </si>
  <si>
    <t>13</t>
  </si>
  <si>
    <t>ІБ00-001880</t>
  </si>
  <si>
    <t>15</t>
  </si>
  <si>
    <t>ІБ00-001881</t>
  </si>
  <si>
    <t>ІБ00-001882</t>
  </si>
  <si>
    <t>16</t>
  </si>
  <si>
    <t>ІБ00-001883</t>
  </si>
  <si>
    <t>19</t>
  </si>
  <si>
    <t>ІБ00-001884</t>
  </si>
  <si>
    <t>20</t>
  </si>
  <si>
    <t>ІБ00-001885</t>
  </si>
  <si>
    <t>17</t>
  </si>
  <si>
    <t>* в Мае 24</t>
  </si>
  <si>
    <t>Кол-во</t>
  </si>
  <si>
    <t>28 шт</t>
  </si>
  <si>
    <t>01.05.2024 23:59:44</t>
  </si>
  <si>
    <t>ІБ00-001842</t>
  </si>
  <si>
    <t>ДНІПРО АКВАБУД ІНВЕСТ</t>
  </si>
  <si>
    <t>01.05.2024</t>
  </si>
  <si>
    <t>Акт 8</t>
  </si>
  <si>
    <t>Дог№12/09 від 12.09.23 ДУ4_Крушинка</t>
  </si>
  <si>
    <t>Рахунок на оплату постачальника ІБ00-001330 от 09.05.2024 18:09:36</t>
  </si>
  <si>
    <t>31.05.2024 23:59:59</t>
  </si>
  <si>
    <t>ІБ00-001978</t>
  </si>
  <si>
    <t>31.05.2024</t>
  </si>
  <si>
    <t>Акт 9</t>
  </si>
  <si>
    <t>01.05.2024 23:59:59</t>
  </si>
  <si>
    <t>ІБ00-001899</t>
  </si>
  <si>
    <t>ПРОЕКТНИЙ ІНСТИТУТ "АКТИВПРОЕКТ" ТОВ</t>
  </si>
  <si>
    <t>25.12.2023</t>
  </si>
  <si>
    <t>2301-С</t>
  </si>
  <si>
    <t>ПРОЕКТ.2301-С від 24.01.2023_РАХУНКИ</t>
  </si>
  <si>
    <t>Рахунок на оплату постачальника ІБ00-000530 от 25.09.2023 18:41:31</t>
  </si>
  <si>
    <t>Солома Елеватор субподряд</t>
  </si>
  <si>
    <t>03.05.2024 17:50:10</t>
  </si>
  <si>
    <t>ІБ00-001845</t>
  </si>
  <si>
    <t>Біогаз</t>
  </si>
  <si>
    <t>СК"ДП БУД" ТОВ</t>
  </si>
  <si>
    <t>03.05.2024</t>
  </si>
  <si>
    <t>акт 1</t>
  </si>
  <si>
    <t xml:space="preserve">Дог №01-12/2022 від 01.12.2022 </t>
  </si>
  <si>
    <t>03.05.2024 20:00:37</t>
  </si>
  <si>
    <t>ІБ00-001846</t>
  </si>
  <si>
    <t>13.05.2024 17:08:50</t>
  </si>
  <si>
    <t>ІБ00-001861</t>
  </si>
  <si>
    <t>СКОЧ ПЛЮС ТОВ</t>
  </si>
  <si>
    <t>13.05.2024</t>
  </si>
  <si>
    <t>Акт 1</t>
  </si>
  <si>
    <t>Договір № 14032024 від 14.03.2024_Щедро.Флексі</t>
  </si>
  <si>
    <t>Рахунок на оплату постачальника ІБ00-000786 от 18.03.2024 16:35:56</t>
  </si>
  <si>
    <t>13.05.2024 17:08:51</t>
  </si>
  <si>
    <t>ІБ00-001862</t>
  </si>
  <si>
    <t>28.05.2024 00:00:00</t>
  </si>
  <si>
    <t>ІБ00-000018</t>
  </si>
  <si>
    <t>* без последнего акта</t>
  </si>
  <si>
    <t>* в ИЮНЬ 24</t>
  </si>
  <si>
    <t>ІБ00-000265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</si>
</sst>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rgb="FF7030A0"/>
      <name val="Calibri"/>
      <family val="2"/>
      <scheme val="minor"/>
    </font>
    <font>
      <sz val="10"/>
      <color indexed="63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55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0" fontId="4" fillId="3" borderId="1" xfId="1" applyNumberFormat="1" applyFont="1" applyFill="1" applyBorder="1" applyAlignment="1">
      <alignment horizontal="left" vertical="top"/>
    </xf>
    <xf numFmtId="4" fontId="4" fillId="3" borderId="1" xfId="1" applyNumberFormat="1" applyFont="1" applyFill="1" applyBorder="1" applyAlignment="1">
      <alignment horizontal="right" vertical="top"/>
    </xf>
    <xf numFmtId="0" fontId="4" fillId="4" borderId="1" xfId="1" applyNumberFormat="1" applyFont="1" applyFill="1" applyBorder="1" applyAlignment="1">
      <alignment horizontal="left" vertical="top"/>
    </xf>
    <xf numFmtId="4" fontId="4" fillId="4" borderId="1" xfId="1" applyNumberFormat="1" applyFont="1" applyFill="1" applyBorder="1" applyAlignment="1">
      <alignment horizontal="right" vertical="top"/>
    </xf>
    <xf numFmtId="0" fontId="0" fillId="0" borderId="0" xfId="0" applyFill="1"/>
    <xf numFmtId="0" fontId="0" fillId="0" borderId="0" xfId="0" applyFill="1" applyBorder="1"/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4" fontId="5" fillId="0" borderId="0" xfId="0" applyNumberFormat="1" applyFont="1"/>
    <xf numFmtId="0" fontId="6" fillId="2" borderId="1" xfId="1" applyNumberFormat="1" applyFont="1" applyFill="1" applyBorder="1" applyAlignment="1">
      <alignment horizontal="left" vertical="top"/>
    </xf>
    <xf numFmtId="4" fontId="1" fillId="4" borderId="0" xfId="0" applyNumberFormat="1" applyFont="1" applyFill="1"/>
    <xf numFmtId="0" fontId="3" fillId="2" borderId="1" xfId="2" applyNumberFormat="1" applyFont="1" applyFill="1" applyBorder="1" applyAlignment="1">
      <alignment horizontal="left" vertical="top"/>
    </xf>
    <xf numFmtId="0" fontId="4" fillId="2" borderId="1" xfId="2" applyNumberFormat="1" applyFont="1" applyFill="1" applyBorder="1" applyAlignment="1">
      <alignment horizontal="left" vertical="top"/>
    </xf>
    <xf numFmtId="4" fontId="6" fillId="2" borderId="1" xfId="2" applyNumberFormat="1" applyFont="1" applyFill="1" applyBorder="1" applyAlignment="1">
      <alignment horizontal="center" vertical="center"/>
    </xf>
    <xf numFmtId="4" fontId="4" fillId="2" borderId="1" xfId="2" applyNumberFormat="1" applyFont="1" applyFill="1" applyBorder="1" applyAlignment="1">
      <alignment horizontal="center" vertical="top"/>
    </xf>
    <xf numFmtId="4" fontId="0" fillId="0" borderId="0" xfId="0" applyNumberForma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0" fillId="0" borderId="0" xfId="0" applyNumberFormat="1" applyFill="1" applyAlignment="1">
      <alignment horizontal="center" vertical="center"/>
    </xf>
    <xf numFmtId="0" fontId="6" fillId="2" borderId="1" xfId="3" applyNumberFormat="1" applyFont="1" applyFill="1" applyBorder="1" applyAlignment="1">
      <alignment horizontal="left" vertical="top"/>
    </xf>
    <xf numFmtId="0" fontId="4" fillId="2" borderId="1" xfId="3" applyNumberFormat="1" applyFont="1" applyFill="1" applyBorder="1" applyAlignment="1">
      <alignment horizontal="left" vertical="top"/>
    </xf>
    <xf numFmtId="4" fontId="4" fillId="2" borderId="1" xfId="3" applyNumberFormat="1" applyFont="1" applyFill="1" applyBorder="1" applyAlignment="1">
      <alignment horizontal="right" vertical="top"/>
    </xf>
    <xf numFmtId="0" fontId="4" fillId="4" borderId="1" xfId="3" applyNumberFormat="1" applyFont="1" applyFill="1" applyBorder="1" applyAlignment="1">
      <alignment horizontal="left" vertical="top"/>
    </xf>
    <xf numFmtId="4" fontId="4" fillId="4" borderId="1" xfId="3" applyNumberFormat="1" applyFont="1" applyFill="1" applyBorder="1" applyAlignment="1">
      <alignment horizontal="right" vertical="top"/>
    </xf>
    <xf numFmtId="164" fontId="4" fillId="4" borderId="1" xfId="3" applyNumberFormat="1" applyFont="1" applyFill="1" applyBorder="1" applyAlignment="1">
      <alignment horizontal="center" vertical="center"/>
    </xf>
    <xf numFmtId="164" fontId="4" fillId="2" borderId="1" xfId="3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4" fillId="2" borderId="1" xfId="3" applyNumberFormat="1" applyFont="1" applyFill="1" applyBorder="1" applyAlignment="1">
      <alignment horizontal="left" vertical="top"/>
    </xf>
    <xf numFmtId="0" fontId="4" fillId="4" borderId="2" xfId="3" applyNumberFormat="1" applyFont="1" applyFill="1" applyBorder="1" applyAlignment="1">
      <alignment horizontal="left" vertical="top"/>
    </xf>
    <xf numFmtId="4" fontId="4" fillId="4" borderId="2" xfId="3" applyNumberFormat="1" applyFont="1" applyFill="1" applyBorder="1" applyAlignment="1">
      <alignment horizontal="right" vertical="top"/>
    </xf>
    <xf numFmtId="164" fontId="4" fillId="4" borderId="2" xfId="3" applyNumberFormat="1" applyFont="1" applyFill="1" applyBorder="1" applyAlignment="1">
      <alignment horizontal="center" vertical="center"/>
    </xf>
    <xf numFmtId="0" fontId="4" fillId="2" borderId="3" xfId="3" applyNumberFormat="1" applyFont="1" applyFill="1" applyBorder="1" applyAlignment="1">
      <alignment horizontal="left" vertical="top"/>
    </xf>
    <xf numFmtId="0" fontId="4" fillId="2" borderId="4" xfId="3" applyNumberFormat="1" applyFont="1" applyFill="1" applyBorder="1" applyAlignment="1">
      <alignment horizontal="left" vertical="top"/>
    </xf>
    <xf numFmtId="4" fontId="4" fillId="2" borderId="4" xfId="3" applyNumberFormat="1" applyFont="1" applyFill="1" applyBorder="1" applyAlignment="1">
      <alignment horizontal="right" vertical="top"/>
    </xf>
    <xf numFmtId="164" fontId="4" fillId="2" borderId="4" xfId="3" applyNumberFormat="1" applyFont="1" applyFill="1" applyBorder="1" applyAlignment="1">
      <alignment horizontal="center" vertical="center"/>
    </xf>
    <xf numFmtId="0" fontId="4" fillId="2" borderId="5" xfId="3" applyNumberFormat="1" applyFont="1" applyFill="1" applyBorder="1" applyAlignment="1">
      <alignment horizontal="left" vertical="top"/>
    </xf>
    <xf numFmtId="0" fontId="4" fillId="2" borderId="6" xfId="3" applyNumberFormat="1" applyFont="1" applyFill="1" applyBorder="1" applyAlignment="1">
      <alignment horizontal="left" vertical="top"/>
    </xf>
    <xf numFmtId="0" fontId="4" fillId="2" borderId="7" xfId="3" applyNumberFormat="1" applyFont="1" applyFill="1" applyBorder="1" applyAlignment="1">
      <alignment horizontal="left" vertical="top"/>
    </xf>
    <xf numFmtId="0" fontId="4" fillId="2" borderId="8" xfId="3" applyNumberFormat="1" applyFont="1" applyFill="1" applyBorder="1" applyAlignment="1">
      <alignment horizontal="left" vertical="top"/>
    </xf>
    <xf numFmtId="0" fontId="4" fillId="2" borderId="9" xfId="3" applyNumberFormat="1" applyFont="1" applyFill="1" applyBorder="1" applyAlignment="1">
      <alignment horizontal="left" vertical="top"/>
    </xf>
    <xf numFmtId="4" fontId="4" fillId="2" borderId="9" xfId="3" applyNumberFormat="1" applyFont="1" applyFill="1" applyBorder="1" applyAlignment="1">
      <alignment horizontal="right" vertical="top"/>
    </xf>
    <xf numFmtId="164" fontId="4" fillId="2" borderId="9" xfId="3" applyNumberFormat="1" applyFont="1" applyFill="1" applyBorder="1" applyAlignment="1">
      <alignment horizontal="center" vertical="center"/>
    </xf>
    <xf numFmtId="0" fontId="4" fillId="2" borderId="10" xfId="3" applyNumberFormat="1" applyFont="1" applyFill="1" applyBorder="1" applyAlignment="1">
      <alignment horizontal="left" vertical="top"/>
    </xf>
    <xf numFmtId="4" fontId="0" fillId="4" borderId="0" xfId="0" applyNumberFormat="1" applyFill="1"/>
    <xf numFmtId="4" fontId="0" fillId="4" borderId="0" xfId="0" applyNumberFormat="1" applyFill="1" applyAlignment="1">
      <alignment horizontal="center" vertical="center"/>
    </xf>
    <xf numFmtId="4" fontId="1" fillId="4" borderId="0" xfId="0" applyNumberFormat="1" applyFont="1" applyFill="1" applyAlignment="1">
      <alignment horizontal="center" vertical="center"/>
    </xf>
    <xf numFmtId="4" fontId="4" fillId="5" borderId="1" xfId="1" applyNumberFormat="1" applyFont="1" applyFill="1" applyBorder="1" applyAlignment="1">
      <alignment horizontal="right" vertical="top"/>
    </xf>
    <xf numFmtId="4" fontId="4" fillId="0" borderId="1" xfId="1" applyNumberFormat="1" applyFont="1" applyFill="1" applyBorder="1" applyAlignment="1">
      <alignment horizontal="right" vertical="top"/>
    </xf>
  </cellXfs>
  <cellStyles count="4">
    <cellStyle name="Обычный" xfId="0" builtinId="0"/>
    <cellStyle name="Обычный_Акты заказчика" xfId="1"/>
    <cellStyle name="Обычный_Списание стройматериалов" xfId="2"/>
    <cellStyle name="Обычный_Услуги_сторонних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topLeftCell="A40" workbookViewId="0">
      <selection activeCell="E50" sqref="E50"/>
    </sheetView>
  </sheetViews>
  <sheetFormatPr defaultRowHeight="14.4" outlineLevelRow="1" x14ac:dyDescent="0.3"/>
  <cols>
    <col min="1" max="1" width="14" bestFit="1" customWidth="1"/>
    <col min="2" max="2" width="8.77734375" bestFit="1" customWidth="1"/>
    <col min="3" max="3" width="38.109375" bestFit="1" customWidth="1"/>
    <col min="4" max="4" width="12.33203125" bestFit="1" customWidth="1"/>
    <col min="5" max="5" width="7.6640625" bestFit="1" customWidth="1"/>
    <col min="6" max="6" width="22.88671875" bestFit="1" customWidth="1"/>
    <col min="7" max="7" width="16.6640625" bestFit="1" customWidth="1"/>
    <col min="8" max="8" width="14.5546875" bestFit="1" customWidth="1"/>
    <col min="9" max="9" width="30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233757.78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17</v>
      </c>
      <c r="B3" s="2" t="s">
        <v>18</v>
      </c>
      <c r="C3" s="2" t="s">
        <v>19</v>
      </c>
      <c r="D3" s="3">
        <v>20575.46</v>
      </c>
      <c r="E3" s="2" t="s">
        <v>12</v>
      </c>
      <c r="F3" s="2" t="s">
        <v>20</v>
      </c>
      <c r="G3" s="2" t="s">
        <v>14</v>
      </c>
      <c r="H3" s="2" t="s">
        <v>15</v>
      </c>
      <c r="I3" s="2" t="s">
        <v>21</v>
      </c>
    </row>
    <row r="4" spans="1:9" x14ac:dyDescent="0.3">
      <c r="A4" s="2" t="s">
        <v>22</v>
      </c>
      <c r="B4" s="2" t="s">
        <v>23</v>
      </c>
      <c r="C4" s="2" t="s">
        <v>24</v>
      </c>
      <c r="D4" s="3">
        <v>180645.68</v>
      </c>
      <c r="E4" s="2" t="s">
        <v>12</v>
      </c>
      <c r="F4" s="2" t="s">
        <v>25</v>
      </c>
      <c r="G4" s="2" t="s">
        <v>14</v>
      </c>
      <c r="H4" s="2" t="s">
        <v>15</v>
      </c>
      <c r="I4" s="2" t="s">
        <v>26</v>
      </c>
    </row>
    <row r="5" spans="1:9" x14ac:dyDescent="0.3">
      <c r="A5" s="2" t="s">
        <v>22</v>
      </c>
      <c r="B5" s="2" t="s">
        <v>27</v>
      </c>
      <c r="C5" s="2" t="s">
        <v>24</v>
      </c>
      <c r="D5" s="3">
        <v>228648.66</v>
      </c>
      <c r="E5" s="2" t="s">
        <v>12</v>
      </c>
      <c r="F5" s="2" t="s">
        <v>25</v>
      </c>
      <c r="G5" s="2" t="s">
        <v>14</v>
      </c>
      <c r="H5" s="2" t="s">
        <v>15</v>
      </c>
      <c r="I5" s="2" t="s">
        <v>28</v>
      </c>
    </row>
    <row r="6" spans="1:9" x14ac:dyDescent="0.3">
      <c r="A6" s="2" t="s">
        <v>29</v>
      </c>
      <c r="B6" s="2" t="s">
        <v>30</v>
      </c>
      <c r="C6" s="2" t="s">
        <v>19</v>
      </c>
      <c r="D6" s="3">
        <v>292489.01</v>
      </c>
      <c r="E6" s="2" t="s">
        <v>12</v>
      </c>
      <c r="F6" s="2" t="s">
        <v>20</v>
      </c>
      <c r="G6" s="2" t="s">
        <v>14</v>
      </c>
      <c r="H6" s="2" t="s">
        <v>15</v>
      </c>
      <c r="I6" s="2" t="s">
        <v>31</v>
      </c>
    </row>
    <row r="7" spans="1:9" x14ac:dyDescent="0.3">
      <c r="A7" s="2" t="s">
        <v>32</v>
      </c>
      <c r="B7" s="2" t="s">
        <v>33</v>
      </c>
      <c r="C7" s="2" t="s">
        <v>19</v>
      </c>
      <c r="D7" s="3">
        <v>839608.82</v>
      </c>
      <c r="E7" s="2" t="s">
        <v>12</v>
      </c>
      <c r="F7" s="2" t="s">
        <v>20</v>
      </c>
      <c r="G7" s="2" t="s">
        <v>14</v>
      </c>
      <c r="H7" s="2" t="s">
        <v>15</v>
      </c>
      <c r="I7" s="2" t="s">
        <v>34</v>
      </c>
    </row>
    <row r="8" spans="1:9" x14ac:dyDescent="0.3">
      <c r="A8" s="2" t="s">
        <v>35</v>
      </c>
      <c r="B8" s="2" t="s">
        <v>36</v>
      </c>
      <c r="C8" s="2" t="s">
        <v>24</v>
      </c>
      <c r="D8" s="3">
        <v>366549.55</v>
      </c>
      <c r="E8" s="2" t="s">
        <v>12</v>
      </c>
      <c r="F8" s="2" t="s">
        <v>25</v>
      </c>
      <c r="G8" s="2" t="s">
        <v>14</v>
      </c>
      <c r="H8" s="2" t="s">
        <v>15</v>
      </c>
      <c r="I8" s="2" t="s">
        <v>37</v>
      </c>
    </row>
    <row r="9" spans="1:9" x14ac:dyDescent="0.3">
      <c r="A9" s="2" t="s">
        <v>38</v>
      </c>
      <c r="B9" s="2" t="s">
        <v>39</v>
      </c>
      <c r="C9" s="2" t="s">
        <v>40</v>
      </c>
      <c r="D9" s="3">
        <v>654022.37</v>
      </c>
      <c r="E9" s="2" t="s">
        <v>12</v>
      </c>
      <c r="F9" s="2" t="s">
        <v>41</v>
      </c>
      <c r="G9" s="2" t="s">
        <v>14</v>
      </c>
      <c r="H9" s="2" t="s">
        <v>15</v>
      </c>
      <c r="I9" s="2" t="s">
        <v>42</v>
      </c>
    </row>
    <row r="10" spans="1:9" x14ac:dyDescent="0.3">
      <c r="A10" s="2" t="s">
        <v>43</v>
      </c>
      <c r="B10" s="2" t="s">
        <v>44</v>
      </c>
      <c r="C10" s="2" t="s">
        <v>40</v>
      </c>
      <c r="D10" s="3">
        <v>1132692.95</v>
      </c>
      <c r="E10" s="2" t="s">
        <v>12</v>
      </c>
      <c r="F10" s="2" t="s">
        <v>41</v>
      </c>
      <c r="G10" s="2" t="s">
        <v>14</v>
      </c>
      <c r="H10" s="2" t="s">
        <v>15</v>
      </c>
      <c r="I10" s="2" t="s">
        <v>42</v>
      </c>
    </row>
    <row r="11" spans="1:9" x14ac:dyDescent="0.3">
      <c r="A11" s="2" t="s">
        <v>45</v>
      </c>
      <c r="B11" s="2" t="s">
        <v>46</v>
      </c>
      <c r="C11" s="2" t="s">
        <v>24</v>
      </c>
      <c r="D11" s="3">
        <v>734152.8</v>
      </c>
      <c r="E11" s="2" t="s">
        <v>12</v>
      </c>
      <c r="F11" s="2" t="s">
        <v>25</v>
      </c>
      <c r="G11" s="2" t="s">
        <v>14</v>
      </c>
      <c r="H11" s="2" t="s">
        <v>15</v>
      </c>
      <c r="I11" s="2" t="s">
        <v>47</v>
      </c>
    </row>
    <row r="12" spans="1:9" x14ac:dyDescent="0.3">
      <c r="A12" s="2" t="s">
        <v>45</v>
      </c>
      <c r="B12" s="2" t="s">
        <v>48</v>
      </c>
      <c r="C12" s="2" t="s">
        <v>24</v>
      </c>
      <c r="D12" s="3">
        <v>446107.94</v>
      </c>
      <c r="E12" s="2" t="s">
        <v>12</v>
      </c>
      <c r="F12" s="2" t="s">
        <v>25</v>
      </c>
      <c r="G12" s="2" t="s">
        <v>14</v>
      </c>
      <c r="H12" s="2" t="s">
        <v>15</v>
      </c>
      <c r="I12" s="2" t="s">
        <v>49</v>
      </c>
    </row>
    <row r="13" spans="1:9" x14ac:dyDescent="0.3">
      <c r="A13" s="2" t="s">
        <v>50</v>
      </c>
      <c r="B13" s="2" t="s">
        <v>51</v>
      </c>
      <c r="C13" s="2" t="s">
        <v>40</v>
      </c>
      <c r="D13" s="3">
        <v>908103.59</v>
      </c>
      <c r="E13" s="2" t="s">
        <v>12</v>
      </c>
      <c r="F13" s="2" t="s">
        <v>41</v>
      </c>
      <c r="G13" s="2" t="s">
        <v>14</v>
      </c>
      <c r="H13" s="2" t="s">
        <v>15</v>
      </c>
      <c r="I13" s="2" t="s">
        <v>42</v>
      </c>
    </row>
    <row r="14" spans="1:9" x14ac:dyDescent="0.3">
      <c r="A14" s="2" t="s">
        <v>52</v>
      </c>
      <c r="B14" s="2" t="s">
        <v>53</v>
      </c>
      <c r="C14" s="2" t="s">
        <v>40</v>
      </c>
      <c r="D14" s="3">
        <v>36580.370000000003</v>
      </c>
      <c r="E14" s="2" t="s">
        <v>12</v>
      </c>
      <c r="F14" s="2" t="s">
        <v>41</v>
      </c>
      <c r="G14" s="2" t="s">
        <v>14</v>
      </c>
      <c r="H14" s="2" t="s">
        <v>15</v>
      </c>
      <c r="I14" s="2" t="s">
        <v>42</v>
      </c>
    </row>
    <row r="15" spans="1:9" x14ac:dyDescent="0.3">
      <c r="A15" s="2" t="s">
        <v>54</v>
      </c>
      <c r="B15" s="2" t="s">
        <v>55</v>
      </c>
      <c r="C15" s="2" t="s">
        <v>40</v>
      </c>
      <c r="D15" s="3">
        <v>263765.51</v>
      </c>
      <c r="E15" s="2" t="s">
        <v>12</v>
      </c>
      <c r="F15" s="2" t="s">
        <v>41</v>
      </c>
      <c r="G15" s="2" t="s">
        <v>14</v>
      </c>
      <c r="H15" s="2" t="s">
        <v>15</v>
      </c>
      <c r="I15" s="2" t="s">
        <v>42</v>
      </c>
    </row>
    <row r="16" spans="1:9" x14ac:dyDescent="0.3">
      <c r="A16" s="2" t="s">
        <v>56</v>
      </c>
      <c r="B16" s="2" t="s">
        <v>57</v>
      </c>
      <c r="C16" s="2" t="s">
        <v>40</v>
      </c>
      <c r="D16" s="3">
        <v>48463.22</v>
      </c>
      <c r="E16" s="2" t="s">
        <v>12</v>
      </c>
      <c r="F16" s="2" t="s">
        <v>41</v>
      </c>
      <c r="G16" s="2" t="s">
        <v>14</v>
      </c>
      <c r="H16" s="2" t="s">
        <v>15</v>
      </c>
      <c r="I16" s="2" t="s">
        <v>42</v>
      </c>
    </row>
    <row r="17" spans="1:9" x14ac:dyDescent="0.3">
      <c r="A17" s="2" t="s">
        <v>58</v>
      </c>
      <c r="B17" s="2" t="s">
        <v>59</v>
      </c>
      <c r="C17" s="2" t="s">
        <v>40</v>
      </c>
      <c r="D17" s="3">
        <v>666949.24</v>
      </c>
      <c r="E17" s="2" t="s">
        <v>12</v>
      </c>
      <c r="F17" s="2" t="s">
        <v>41</v>
      </c>
      <c r="G17" s="2" t="s">
        <v>14</v>
      </c>
      <c r="H17" s="2" t="s">
        <v>15</v>
      </c>
      <c r="I17" s="2" t="s">
        <v>42</v>
      </c>
    </row>
    <row r="18" spans="1:9" x14ac:dyDescent="0.3">
      <c r="A18" s="2" t="s">
        <v>60</v>
      </c>
      <c r="B18" s="2" t="s">
        <v>61</v>
      </c>
      <c r="C18" s="2" t="s">
        <v>40</v>
      </c>
      <c r="D18" s="3">
        <v>29078.77</v>
      </c>
      <c r="E18" s="2" t="s">
        <v>12</v>
      </c>
      <c r="F18" s="2" t="s">
        <v>41</v>
      </c>
      <c r="G18" s="2" t="s">
        <v>14</v>
      </c>
      <c r="H18" s="2" t="s">
        <v>15</v>
      </c>
      <c r="I18" s="2" t="s">
        <v>42</v>
      </c>
    </row>
    <row r="19" spans="1:9" x14ac:dyDescent="0.3">
      <c r="A19" s="2" t="s">
        <v>62</v>
      </c>
      <c r="B19" s="2" t="s">
        <v>63</v>
      </c>
      <c r="C19" s="2" t="s">
        <v>40</v>
      </c>
      <c r="D19" s="3">
        <v>351792.49</v>
      </c>
      <c r="E19" s="2" t="s">
        <v>12</v>
      </c>
      <c r="F19" s="2" t="s">
        <v>41</v>
      </c>
      <c r="G19" s="2" t="s">
        <v>14</v>
      </c>
      <c r="H19" s="2" t="s">
        <v>15</v>
      </c>
      <c r="I19" s="2" t="s">
        <v>42</v>
      </c>
    </row>
    <row r="20" spans="1:9" x14ac:dyDescent="0.3">
      <c r="A20" s="2" t="s">
        <v>165</v>
      </c>
      <c r="B20" s="2" t="s">
        <v>166</v>
      </c>
      <c r="C20" s="2" t="s">
        <v>19</v>
      </c>
      <c r="D20" s="3">
        <v>1000129.2</v>
      </c>
      <c r="E20" s="2" t="s">
        <v>12</v>
      </c>
      <c r="F20" s="2" t="s">
        <v>20</v>
      </c>
      <c r="G20" s="2" t="s">
        <v>14</v>
      </c>
      <c r="H20" s="2" t="s">
        <v>167</v>
      </c>
      <c r="I20" s="2" t="s">
        <v>168</v>
      </c>
    </row>
    <row r="21" spans="1:9" x14ac:dyDescent="0.3">
      <c r="A21" s="2" t="s">
        <v>169</v>
      </c>
      <c r="B21" s="2" t="s">
        <v>170</v>
      </c>
      <c r="C21" s="2" t="s">
        <v>19</v>
      </c>
      <c r="D21" s="3">
        <v>189124.25</v>
      </c>
      <c r="E21" s="2" t="s">
        <v>12</v>
      </c>
      <c r="F21" s="2" t="s">
        <v>20</v>
      </c>
      <c r="G21" s="2" t="s">
        <v>14</v>
      </c>
      <c r="H21" s="2" t="s">
        <v>15</v>
      </c>
      <c r="I21" s="2" t="s">
        <v>171</v>
      </c>
    </row>
    <row r="22" spans="1:9" x14ac:dyDescent="0.3">
      <c r="A22" s="2" t="s">
        <v>180</v>
      </c>
      <c r="B22" s="2" t="s">
        <v>181</v>
      </c>
      <c r="C22" s="2" t="s">
        <v>40</v>
      </c>
      <c r="D22" s="3">
        <v>55136.76</v>
      </c>
      <c r="E22" s="2" t="s">
        <v>12</v>
      </c>
      <c r="F22" s="2" t="s">
        <v>41</v>
      </c>
      <c r="G22" s="2" t="s">
        <v>14</v>
      </c>
      <c r="H22" s="2" t="s">
        <v>15</v>
      </c>
      <c r="I22" s="2" t="s">
        <v>182</v>
      </c>
    </row>
    <row r="23" spans="1:9" x14ac:dyDescent="0.3">
      <c r="A23" s="2" t="s">
        <v>183</v>
      </c>
      <c r="B23" s="2" t="s">
        <v>184</v>
      </c>
      <c r="C23" s="2" t="s">
        <v>11</v>
      </c>
      <c r="D23" s="3">
        <v>29584.9</v>
      </c>
      <c r="E23" s="2" t="s">
        <v>12</v>
      </c>
      <c r="F23" s="2" t="s">
        <v>13</v>
      </c>
      <c r="G23" s="2" t="s">
        <v>14</v>
      </c>
      <c r="H23" s="2" t="s">
        <v>15</v>
      </c>
      <c r="I23" s="2" t="s">
        <v>185</v>
      </c>
    </row>
    <row r="24" spans="1:9" x14ac:dyDescent="0.3">
      <c r="A24" s="2" t="s">
        <v>188</v>
      </c>
      <c r="B24" s="2" t="s">
        <v>189</v>
      </c>
      <c r="C24" s="2" t="s">
        <v>11</v>
      </c>
      <c r="D24" s="3">
        <v>3821318.12</v>
      </c>
      <c r="E24" s="2" t="s">
        <v>12</v>
      </c>
      <c r="F24" s="2" t="s">
        <v>13</v>
      </c>
      <c r="G24" s="2" t="s">
        <v>14</v>
      </c>
      <c r="H24" s="2" t="s">
        <v>15</v>
      </c>
      <c r="I24" s="2" t="s">
        <v>190</v>
      </c>
    </row>
    <row r="25" spans="1:9" x14ac:dyDescent="0.3">
      <c r="A25" s="2" t="s">
        <v>191</v>
      </c>
      <c r="B25" s="2" t="s">
        <v>192</v>
      </c>
      <c r="C25" s="2" t="s">
        <v>11</v>
      </c>
      <c r="D25" s="3">
        <v>98455.63</v>
      </c>
      <c r="E25" s="2" t="s">
        <v>12</v>
      </c>
      <c r="F25" s="2" t="s">
        <v>13</v>
      </c>
      <c r="G25" s="2" t="s">
        <v>14</v>
      </c>
      <c r="H25" s="2" t="s">
        <v>15</v>
      </c>
      <c r="I25" s="2" t="s">
        <v>193</v>
      </c>
    </row>
    <row r="26" spans="1:9" x14ac:dyDescent="0.3">
      <c r="A26" s="2" t="s">
        <v>194</v>
      </c>
      <c r="B26" s="2" t="s">
        <v>195</v>
      </c>
      <c r="C26" s="2" t="s">
        <v>11</v>
      </c>
      <c r="D26" s="3">
        <v>36249.65</v>
      </c>
      <c r="E26" s="2" t="s">
        <v>12</v>
      </c>
      <c r="F26" s="2" t="s">
        <v>13</v>
      </c>
      <c r="G26" s="2" t="s">
        <v>14</v>
      </c>
      <c r="H26" s="2" t="s">
        <v>15</v>
      </c>
      <c r="I26" s="2" t="s">
        <v>196</v>
      </c>
    </row>
    <row r="27" spans="1:9" x14ac:dyDescent="0.3">
      <c r="A27" s="2" t="s">
        <v>197</v>
      </c>
      <c r="B27" s="2" t="s">
        <v>198</v>
      </c>
      <c r="C27" s="2" t="s">
        <v>11</v>
      </c>
      <c r="D27" s="3">
        <v>188324.6</v>
      </c>
      <c r="E27" s="2" t="s">
        <v>12</v>
      </c>
      <c r="F27" s="2" t="s">
        <v>13</v>
      </c>
      <c r="G27" s="2" t="s">
        <v>14</v>
      </c>
      <c r="H27" s="2" t="s">
        <v>15</v>
      </c>
      <c r="I27" s="2" t="s">
        <v>199</v>
      </c>
    </row>
    <row r="28" spans="1:9" x14ac:dyDescent="0.3">
      <c r="A28" s="2" t="s">
        <v>200</v>
      </c>
      <c r="B28" s="2" t="s">
        <v>201</v>
      </c>
      <c r="C28" s="2" t="s">
        <v>11</v>
      </c>
      <c r="D28" s="3">
        <v>99444.07</v>
      </c>
      <c r="E28" s="2" t="s">
        <v>12</v>
      </c>
      <c r="F28" s="2" t="s">
        <v>13</v>
      </c>
      <c r="G28" s="2" t="s">
        <v>14</v>
      </c>
      <c r="H28" s="2" t="s">
        <v>167</v>
      </c>
      <c r="I28" s="2" t="s">
        <v>202</v>
      </c>
    </row>
    <row r="29" spans="1:9" x14ac:dyDescent="0.3">
      <c r="A29" s="2" t="s">
        <v>203</v>
      </c>
      <c r="B29" s="2" t="s">
        <v>204</v>
      </c>
      <c r="C29" s="2" t="s">
        <v>11</v>
      </c>
      <c r="D29" s="3">
        <v>282271.15999999997</v>
      </c>
      <c r="E29" s="2" t="s">
        <v>12</v>
      </c>
      <c r="F29" s="2" t="s">
        <v>13</v>
      </c>
      <c r="G29" s="2" t="s">
        <v>14</v>
      </c>
      <c r="H29" s="2" t="s">
        <v>167</v>
      </c>
      <c r="I29" s="2" t="s">
        <v>205</v>
      </c>
    </row>
    <row r="30" spans="1:9" x14ac:dyDescent="0.3">
      <c r="A30" s="4" t="s">
        <v>220</v>
      </c>
      <c r="B30" s="4" t="s">
        <v>221</v>
      </c>
      <c r="C30" s="4" t="s">
        <v>11</v>
      </c>
      <c r="D30" s="5">
        <v>3571179.26</v>
      </c>
      <c r="E30" s="4" t="s">
        <v>12</v>
      </c>
      <c r="F30" s="4" t="s">
        <v>13</v>
      </c>
      <c r="G30" s="4" t="s">
        <v>14</v>
      </c>
      <c r="H30" s="4" t="s">
        <v>15</v>
      </c>
      <c r="I30" s="4" t="s">
        <v>222</v>
      </c>
    </row>
    <row r="31" spans="1:9" x14ac:dyDescent="0.3">
      <c r="D31" s="12">
        <f>SUM(D2:D30)</f>
        <v>16805201.810000002</v>
      </c>
    </row>
    <row r="32" spans="1:9" x14ac:dyDescent="0.3">
      <c r="D32" s="13">
        <f>D31-D37</f>
        <v>0</v>
      </c>
    </row>
    <row r="33" spans="1:10" x14ac:dyDescent="0.3">
      <c r="C33" t="s">
        <v>223</v>
      </c>
      <c r="D33" s="50">
        <f>D2+D23+D24+D25+D26+D27+D28+D29+D30</f>
        <v>8360585.1699999999</v>
      </c>
      <c r="F33" s="10">
        <f>D33-D30</f>
        <v>4789405.91</v>
      </c>
      <c r="G33" t="s">
        <v>410</v>
      </c>
    </row>
    <row r="34" spans="1:10" x14ac:dyDescent="0.3">
      <c r="C34" t="s">
        <v>224</v>
      </c>
      <c r="D34" s="50">
        <f>D3+D6+D7+D20+D21</f>
        <v>2341926.7400000002</v>
      </c>
    </row>
    <row r="35" spans="1:10" x14ac:dyDescent="0.3">
      <c r="C35" s="9" t="s">
        <v>225</v>
      </c>
      <c r="D35" s="50">
        <f>D9+D10+D14+D13+D15+D16+D17+D18+D19+D22</f>
        <v>4146585.2699999996</v>
      </c>
      <c r="F35" s="50">
        <f>D35+D86+D89</f>
        <v>4859853.8699999992</v>
      </c>
      <c r="G35" t="s">
        <v>228</v>
      </c>
    </row>
    <row r="36" spans="1:10" x14ac:dyDescent="0.3">
      <c r="C36" s="9" t="s">
        <v>226</v>
      </c>
      <c r="D36" s="50">
        <f>D4+D5+D8+D11+D12</f>
        <v>1956104.63</v>
      </c>
    </row>
    <row r="37" spans="1:10" x14ac:dyDescent="0.3">
      <c r="C37" s="11" t="s">
        <v>227</v>
      </c>
      <c r="D37" s="12">
        <f>SUM(D33:D36)</f>
        <v>16805201.809999999</v>
      </c>
    </row>
    <row r="39" spans="1:10" x14ac:dyDescent="0.3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</row>
    <row r="40" spans="1:10" outlineLevel="1" x14ac:dyDescent="0.3">
      <c r="A40" s="4" t="s">
        <v>117</v>
      </c>
      <c r="B40" s="4" t="s">
        <v>118</v>
      </c>
      <c r="C40" s="4" t="s">
        <v>66</v>
      </c>
      <c r="D40" s="54">
        <v>74844.2</v>
      </c>
      <c r="E40" s="4" t="s">
        <v>12</v>
      </c>
      <c r="F40" s="4" t="s">
        <v>67</v>
      </c>
      <c r="G40" s="4" t="s">
        <v>14</v>
      </c>
      <c r="H40" s="4" t="s">
        <v>15</v>
      </c>
      <c r="I40" s="4" t="s">
        <v>119</v>
      </c>
      <c r="J40" t="s">
        <v>218</v>
      </c>
    </row>
    <row r="41" spans="1:10" outlineLevel="1" x14ac:dyDescent="0.3">
      <c r="A41" s="4" t="s">
        <v>120</v>
      </c>
      <c r="B41" s="4" t="s">
        <v>121</v>
      </c>
      <c r="C41" s="4" t="s">
        <v>66</v>
      </c>
      <c r="D41" s="5">
        <v>585276.81999999995</v>
      </c>
      <c r="E41" s="4" t="s">
        <v>12</v>
      </c>
      <c r="F41" s="4" t="s">
        <v>67</v>
      </c>
      <c r="G41" s="4" t="s">
        <v>14</v>
      </c>
      <c r="H41" s="4" t="s">
        <v>15</v>
      </c>
      <c r="I41" s="4" t="s">
        <v>122</v>
      </c>
      <c r="J41" t="s">
        <v>218</v>
      </c>
    </row>
    <row r="42" spans="1:10" outlineLevel="1" x14ac:dyDescent="0.3">
      <c r="A42" s="4" t="s">
        <v>123</v>
      </c>
      <c r="B42" s="4" t="s">
        <v>124</v>
      </c>
      <c r="C42" s="4" t="s">
        <v>66</v>
      </c>
      <c r="D42" s="5">
        <v>585218.81999999995</v>
      </c>
      <c r="E42" s="4" t="s">
        <v>12</v>
      </c>
      <c r="F42" s="4" t="s">
        <v>67</v>
      </c>
      <c r="G42" s="4" t="s">
        <v>14</v>
      </c>
      <c r="H42" s="4" t="s">
        <v>15</v>
      </c>
      <c r="I42" s="4" t="s">
        <v>125</v>
      </c>
      <c r="J42" t="s">
        <v>218</v>
      </c>
    </row>
    <row r="43" spans="1:10" outlineLevel="1" x14ac:dyDescent="0.3">
      <c r="A43" s="4" t="s">
        <v>126</v>
      </c>
      <c r="B43" s="4" t="s">
        <v>127</v>
      </c>
      <c r="C43" s="4" t="s">
        <v>66</v>
      </c>
      <c r="D43" s="54">
        <v>70000</v>
      </c>
      <c r="E43" s="4" t="s">
        <v>12</v>
      </c>
      <c r="F43" s="4" t="s">
        <v>67</v>
      </c>
      <c r="G43" s="4" t="s">
        <v>14</v>
      </c>
      <c r="H43" s="4" t="s">
        <v>15</v>
      </c>
      <c r="I43" s="4" t="s">
        <v>128</v>
      </c>
      <c r="J43" t="s">
        <v>218</v>
      </c>
    </row>
    <row r="44" spans="1:10" outlineLevel="1" x14ac:dyDescent="0.3">
      <c r="A44" s="4" t="s">
        <v>129</v>
      </c>
      <c r="B44" s="4" t="s">
        <v>130</v>
      </c>
      <c r="C44" s="4" t="s">
        <v>66</v>
      </c>
      <c r="D44" s="5">
        <v>92115.83</v>
      </c>
      <c r="E44" s="4" t="s">
        <v>12</v>
      </c>
      <c r="F44" s="4" t="s">
        <v>67</v>
      </c>
      <c r="G44" s="4" t="s">
        <v>14</v>
      </c>
      <c r="H44" s="4" t="s">
        <v>15</v>
      </c>
      <c r="I44" s="4" t="s">
        <v>131</v>
      </c>
      <c r="J44" t="s">
        <v>218</v>
      </c>
    </row>
    <row r="45" spans="1:10" outlineLevel="1" x14ac:dyDescent="0.3">
      <c r="A45" s="4" t="s">
        <v>132</v>
      </c>
      <c r="B45" s="4" t="s">
        <v>133</v>
      </c>
      <c r="C45" s="4" t="s">
        <v>66</v>
      </c>
      <c r="D45" s="5">
        <v>69692.789999999994</v>
      </c>
      <c r="E45" s="4" t="s">
        <v>12</v>
      </c>
      <c r="F45" s="4" t="s">
        <v>67</v>
      </c>
      <c r="G45" s="4" t="s">
        <v>14</v>
      </c>
      <c r="H45" s="4" t="s">
        <v>15</v>
      </c>
      <c r="I45" s="4" t="s">
        <v>134</v>
      </c>
      <c r="J45" t="s">
        <v>218</v>
      </c>
    </row>
    <row r="46" spans="1:10" outlineLevel="1" x14ac:dyDescent="0.3">
      <c r="A46" s="4" t="s">
        <v>135</v>
      </c>
      <c r="B46" s="4" t="s">
        <v>136</v>
      </c>
      <c r="C46" s="4" t="s">
        <v>66</v>
      </c>
      <c r="D46" s="5">
        <v>220420.19</v>
      </c>
      <c r="E46" s="4" t="s">
        <v>12</v>
      </c>
      <c r="F46" s="4" t="s">
        <v>67</v>
      </c>
      <c r="G46" s="4" t="s">
        <v>14</v>
      </c>
      <c r="H46" s="4" t="s">
        <v>15</v>
      </c>
      <c r="I46" s="4" t="s">
        <v>137</v>
      </c>
      <c r="J46" t="s">
        <v>218</v>
      </c>
    </row>
    <row r="47" spans="1:10" outlineLevel="1" x14ac:dyDescent="0.3">
      <c r="A47" s="4" t="s">
        <v>138</v>
      </c>
      <c r="B47" s="4" t="s">
        <v>139</v>
      </c>
      <c r="C47" s="4" t="s">
        <v>66</v>
      </c>
      <c r="D47" s="5">
        <v>19075.72</v>
      </c>
      <c r="E47" s="4" t="s">
        <v>12</v>
      </c>
      <c r="F47" s="4" t="s">
        <v>67</v>
      </c>
      <c r="G47" s="4" t="s">
        <v>14</v>
      </c>
      <c r="H47" s="4" t="s">
        <v>15</v>
      </c>
      <c r="I47" s="4" t="s">
        <v>140</v>
      </c>
      <c r="J47" t="s">
        <v>218</v>
      </c>
    </row>
    <row r="48" spans="1:10" outlineLevel="1" x14ac:dyDescent="0.3">
      <c r="A48" s="4" t="s">
        <v>141</v>
      </c>
      <c r="B48" s="4" t="s">
        <v>142</v>
      </c>
      <c r="C48" s="4" t="s">
        <v>66</v>
      </c>
      <c r="D48" s="5">
        <v>8730</v>
      </c>
      <c r="E48" s="4" t="s">
        <v>12</v>
      </c>
      <c r="F48" s="4" t="s">
        <v>67</v>
      </c>
      <c r="G48" s="4" t="s">
        <v>14</v>
      </c>
      <c r="H48" s="4" t="s">
        <v>15</v>
      </c>
      <c r="I48" s="4" t="s">
        <v>143</v>
      </c>
      <c r="J48" t="s">
        <v>218</v>
      </c>
    </row>
    <row r="49" spans="1:10" outlineLevel="1" x14ac:dyDescent="0.3">
      <c r="A49" s="6" t="s">
        <v>102</v>
      </c>
      <c r="B49" s="6" t="s">
        <v>103</v>
      </c>
      <c r="C49" s="6" t="s">
        <v>66</v>
      </c>
      <c r="D49" s="7">
        <v>1027136</v>
      </c>
      <c r="E49" s="6" t="s">
        <v>12</v>
      </c>
      <c r="F49" s="6" t="s">
        <v>67</v>
      </c>
      <c r="G49" s="6" t="s">
        <v>14</v>
      </c>
      <c r="H49" s="6" t="s">
        <v>15</v>
      </c>
      <c r="I49" s="6" t="s">
        <v>104</v>
      </c>
      <c r="J49" t="s">
        <v>219</v>
      </c>
    </row>
    <row r="50" spans="1:10" outlineLevel="1" x14ac:dyDescent="0.3">
      <c r="A50" s="6" t="s">
        <v>105</v>
      </c>
      <c r="B50" s="6" t="s">
        <v>106</v>
      </c>
      <c r="C50" s="6" t="s">
        <v>66</v>
      </c>
      <c r="D50" s="7">
        <v>309258.40000000002</v>
      </c>
      <c r="E50" s="6" t="s">
        <v>12</v>
      </c>
      <c r="F50" s="6" t="s">
        <v>67</v>
      </c>
      <c r="G50" s="6" t="s">
        <v>14</v>
      </c>
      <c r="H50" s="6" t="s">
        <v>15</v>
      </c>
      <c r="I50" s="6" t="s">
        <v>107</v>
      </c>
      <c r="J50" t="s">
        <v>219</v>
      </c>
    </row>
    <row r="51" spans="1:10" outlineLevel="1" x14ac:dyDescent="0.3">
      <c r="A51" s="6" t="s">
        <v>108</v>
      </c>
      <c r="B51" s="6" t="s">
        <v>109</v>
      </c>
      <c r="C51" s="6" t="s">
        <v>66</v>
      </c>
      <c r="D51" s="7">
        <v>151220.25</v>
      </c>
      <c r="E51" s="6" t="s">
        <v>12</v>
      </c>
      <c r="F51" s="6" t="s">
        <v>67</v>
      </c>
      <c r="G51" s="6" t="s">
        <v>14</v>
      </c>
      <c r="H51" s="6" t="s">
        <v>15</v>
      </c>
      <c r="I51" s="6" t="s">
        <v>110</v>
      </c>
      <c r="J51" t="s">
        <v>219</v>
      </c>
    </row>
    <row r="52" spans="1:10" outlineLevel="1" x14ac:dyDescent="0.3">
      <c r="A52" s="6" t="s">
        <v>111</v>
      </c>
      <c r="B52" s="6" t="s">
        <v>112</v>
      </c>
      <c r="C52" s="6" t="s">
        <v>66</v>
      </c>
      <c r="D52" s="7">
        <v>48963.26</v>
      </c>
      <c r="E52" s="6" t="s">
        <v>12</v>
      </c>
      <c r="F52" s="6" t="s">
        <v>67</v>
      </c>
      <c r="G52" s="6" t="s">
        <v>14</v>
      </c>
      <c r="H52" s="6" t="s">
        <v>15</v>
      </c>
      <c r="I52" s="6" t="s">
        <v>113</v>
      </c>
      <c r="J52" t="s">
        <v>219</v>
      </c>
    </row>
    <row r="53" spans="1:10" outlineLevel="1" x14ac:dyDescent="0.3">
      <c r="A53" s="6" t="s">
        <v>114</v>
      </c>
      <c r="B53" s="6" t="s">
        <v>115</v>
      </c>
      <c r="C53" s="6" t="s">
        <v>66</v>
      </c>
      <c r="D53" s="7">
        <v>25935.46</v>
      </c>
      <c r="E53" s="6" t="s">
        <v>12</v>
      </c>
      <c r="F53" s="6" t="s">
        <v>67</v>
      </c>
      <c r="G53" s="6" t="s">
        <v>14</v>
      </c>
      <c r="H53" s="6" t="s">
        <v>15</v>
      </c>
      <c r="I53" s="6" t="s">
        <v>116</v>
      </c>
      <c r="J53" t="s">
        <v>219</v>
      </c>
    </row>
    <row r="54" spans="1:10" outlineLevel="1" x14ac:dyDescent="0.3">
      <c r="A54" s="6" t="s">
        <v>144</v>
      </c>
      <c r="B54" s="6" t="s">
        <v>145</v>
      </c>
      <c r="C54" s="6" t="s">
        <v>66</v>
      </c>
      <c r="D54" s="7">
        <v>1609186.51</v>
      </c>
      <c r="E54" s="6" t="s">
        <v>12</v>
      </c>
      <c r="F54" s="6" t="s">
        <v>67</v>
      </c>
      <c r="G54" s="6" t="s">
        <v>14</v>
      </c>
      <c r="H54" s="6" t="s">
        <v>15</v>
      </c>
      <c r="I54" s="6" t="s">
        <v>146</v>
      </c>
      <c r="J54" t="s">
        <v>219</v>
      </c>
    </row>
    <row r="55" spans="1:10" outlineLevel="1" x14ac:dyDescent="0.3">
      <c r="A55" s="6" t="s">
        <v>147</v>
      </c>
      <c r="B55" s="6" t="s">
        <v>148</v>
      </c>
      <c r="C55" s="6" t="s">
        <v>66</v>
      </c>
      <c r="D55" s="7">
        <v>231000</v>
      </c>
      <c r="E55" s="6" t="s">
        <v>12</v>
      </c>
      <c r="F55" s="6" t="s">
        <v>67</v>
      </c>
      <c r="G55" s="6" t="s">
        <v>14</v>
      </c>
      <c r="H55" s="6" t="s">
        <v>15</v>
      </c>
      <c r="I55" s="6" t="s">
        <v>149</v>
      </c>
      <c r="J55" t="s">
        <v>219</v>
      </c>
    </row>
    <row r="56" spans="1:10" outlineLevel="1" x14ac:dyDescent="0.3">
      <c r="A56" s="6" t="s">
        <v>150</v>
      </c>
      <c r="B56" s="6" t="s">
        <v>151</v>
      </c>
      <c r="C56" s="6" t="s">
        <v>66</v>
      </c>
      <c r="D56" s="7">
        <v>27868</v>
      </c>
      <c r="E56" s="6" t="s">
        <v>12</v>
      </c>
      <c r="F56" s="6" t="s">
        <v>67</v>
      </c>
      <c r="G56" s="6" t="s">
        <v>14</v>
      </c>
      <c r="H56" s="6" t="s">
        <v>15</v>
      </c>
      <c r="I56" s="6" t="s">
        <v>152</v>
      </c>
      <c r="J56" t="s">
        <v>219</v>
      </c>
    </row>
    <row r="57" spans="1:10" outlineLevel="1" x14ac:dyDescent="0.3">
      <c r="A57" s="6" t="s">
        <v>153</v>
      </c>
      <c r="B57" s="6" t="s">
        <v>154</v>
      </c>
      <c r="C57" s="6" t="s">
        <v>66</v>
      </c>
      <c r="D57" s="7">
        <v>554353</v>
      </c>
      <c r="E57" s="6" t="s">
        <v>12</v>
      </c>
      <c r="F57" s="6" t="s">
        <v>67</v>
      </c>
      <c r="G57" s="6" t="s">
        <v>14</v>
      </c>
      <c r="H57" s="6" t="s">
        <v>15</v>
      </c>
      <c r="I57" s="6" t="s">
        <v>155</v>
      </c>
      <c r="J57" t="s">
        <v>219</v>
      </c>
    </row>
    <row r="58" spans="1:10" outlineLevel="1" x14ac:dyDescent="0.3">
      <c r="A58" s="6" t="s">
        <v>156</v>
      </c>
      <c r="B58" s="6" t="s">
        <v>157</v>
      </c>
      <c r="C58" s="6" t="s">
        <v>66</v>
      </c>
      <c r="D58" s="7">
        <v>446461.48</v>
      </c>
      <c r="E58" s="6" t="s">
        <v>12</v>
      </c>
      <c r="F58" s="6" t="s">
        <v>67</v>
      </c>
      <c r="G58" s="6" t="s">
        <v>14</v>
      </c>
      <c r="H58" s="6" t="s">
        <v>15</v>
      </c>
      <c r="I58" s="6" t="s">
        <v>158</v>
      </c>
      <c r="J58" t="s">
        <v>219</v>
      </c>
    </row>
    <row r="59" spans="1:10" outlineLevel="1" x14ac:dyDescent="0.3">
      <c r="A59" s="6" t="s">
        <v>159</v>
      </c>
      <c r="B59" s="6" t="s">
        <v>160</v>
      </c>
      <c r="C59" s="6" t="s">
        <v>66</v>
      </c>
      <c r="D59" s="7">
        <v>47254.52</v>
      </c>
      <c r="E59" s="6" t="s">
        <v>12</v>
      </c>
      <c r="F59" s="6" t="s">
        <v>67</v>
      </c>
      <c r="G59" s="6" t="s">
        <v>14</v>
      </c>
      <c r="H59" s="6" t="s">
        <v>15</v>
      </c>
      <c r="I59" s="6" t="s">
        <v>161</v>
      </c>
      <c r="J59" t="s">
        <v>219</v>
      </c>
    </row>
    <row r="60" spans="1:10" outlineLevel="1" x14ac:dyDescent="0.3">
      <c r="A60" s="6" t="s">
        <v>162</v>
      </c>
      <c r="B60" s="6" t="s">
        <v>163</v>
      </c>
      <c r="C60" s="6" t="s">
        <v>66</v>
      </c>
      <c r="D60" s="7">
        <v>2044</v>
      </c>
      <c r="E60" s="6" t="s">
        <v>12</v>
      </c>
      <c r="F60" s="6" t="s">
        <v>67</v>
      </c>
      <c r="G60" s="6" t="s">
        <v>14</v>
      </c>
      <c r="H60" s="6" t="s">
        <v>15</v>
      </c>
      <c r="I60" s="6" t="s">
        <v>164</v>
      </c>
      <c r="J60" t="s">
        <v>219</v>
      </c>
    </row>
    <row r="61" spans="1:10" s="8" customFormat="1" x14ac:dyDescent="0.3">
      <c r="A61" s="2" t="s">
        <v>64</v>
      </c>
      <c r="B61" s="2" t="s">
        <v>65</v>
      </c>
      <c r="C61" s="2" t="s">
        <v>66</v>
      </c>
      <c r="D61" s="3">
        <v>290457</v>
      </c>
      <c r="E61" s="2" t="s">
        <v>12</v>
      </c>
      <c r="F61" s="2" t="s">
        <v>67</v>
      </c>
      <c r="G61" s="2" t="s">
        <v>14</v>
      </c>
      <c r="H61" s="2" t="s">
        <v>15</v>
      </c>
      <c r="I61" s="2" t="s">
        <v>68</v>
      </c>
      <c r="J61" t="s">
        <v>368</v>
      </c>
    </row>
    <row r="62" spans="1:10" s="8" customFormat="1" x14ac:dyDescent="0.3">
      <c r="A62" s="2" t="s">
        <v>69</v>
      </c>
      <c r="B62" s="2" t="s">
        <v>70</v>
      </c>
      <c r="C62" s="2" t="s">
        <v>66</v>
      </c>
      <c r="D62" s="3">
        <v>954520.6</v>
      </c>
      <c r="E62" s="2" t="s">
        <v>12</v>
      </c>
      <c r="F62" s="2" t="s">
        <v>67</v>
      </c>
      <c r="G62" s="2" t="s">
        <v>14</v>
      </c>
      <c r="H62" s="2" t="s">
        <v>15</v>
      </c>
      <c r="I62" s="2" t="s">
        <v>71</v>
      </c>
      <c r="J62" t="s">
        <v>368</v>
      </c>
    </row>
    <row r="63" spans="1:10" s="8" customFormat="1" x14ac:dyDescent="0.3">
      <c r="A63" s="2" t="s">
        <v>72</v>
      </c>
      <c r="B63" s="2" t="s">
        <v>73</v>
      </c>
      <c r="C63" s="2" t="s">
        <v>66</v>
      </c>
      <c r="D63" s="3">
        <v>33000</v>
      </c>
      <c r="E63" s="2" t="s">
        <v>12</v>
      </c>
      <c r="F63" s="2" t="s">
        <v>67</v>
      </c>
      <c r="G63" s="2" t="s">
        <v>14</v>
      </c>
      <c r="H63" s="2" t="s">
        <v>15</v>
      </c>
      <c r="I63" s="2" t="s">
        <v>74</v>
      </c>
      <c r="J63" t="s">
        <v>368</v>
      </c>
    </row>
    <row r="64" spans="1:10" s="8" customFormat="1" x14ac:dyDescent="0.3">
      <c r="A64" s="2" t="s">
        <v>75</v>
      </c>
      <c r="B64" s="2" t="s">
        <v>76</v>
      </c>
      <c r="C64" s="2" t="s">
        <v>66</v>
      </c>
      <c r="D64" s="3">
        <v>40920.07</v>
      </c>
      <c r="E64" s="2" t="s">
        <v>12</v>
      </c>
      <c r="F64" s="2" t="s">
        <v>67</v>
      </c>
      <c r="G64" s="2" t="s">
        <v>14</v>
      </c>
      <c r="H64" s="2" t="s">
        <v>15</v>
      </c>
      <c r="I64" s="2" t="s">
        <v>77</v>
      </c>
      <c r="J64" t="s">
        <v>368</v>
      </c>
    </row>
    <row r="65" spans="1:10" s="8" customFormat="1" x14ac:dyDescent="0.3">
      <c r="A65" s="2" t="s">
        <v>78</v>
      </c>
      <c r="B65" s="2" t="s">
        <v>79</v>
      </c>
      <c r="C65" s="2" t="s">
        <v>66</v>
      </c>
      <c r="D65" s="3">
        <v>330648.58</v>
      </c>
      <c r="E65" s="2" t="s">
        <v>12</v>
      </c>
      <c r="F65" s="2" t="s">
        <v>67</v>
      </c>
      <c r="G65" s="2" t="s">
        <v>14</v>
      </c>
      <c r="H65" s="2" t="s">
        <v>15</v>
      </c>
      <c r="I65" s="2" t="s">
        <v>80</v>
      </c>
      <c r="J65" t="s">
        <v>368</v>
      </c>
    </row>
    <row r="66" spans="1:10" s="8" customFormat="1" x14ac:dyDescent="0.3">
      <c r="A66" s="2" t="s">
        <v>81</v>
      </c>
      <c r="B66" s="2" t="s">
        <v>82</v>
      </c>
      <c r="C66" s="2" t="s">
        <v>66</v>
      </c>
      <c r="D66" s="3">
        <v>337206.36</v>
      </c>
      <c r="E66" s="2" t="s">
        <v>12</v>
      </c>
      <c r="F66" s="2" t="s">
        <v>67</v>
      </c>
      <c r="G66" s="2" t="s">
        <v>14</v>
      </c>
      <c r="H66" s="2" t="s">
        <v>15</v>
      </c>
      <c r="I66" s="2" t="s">
        <v>83</v>
      </c>
      <c r="J66" t="s">
        <v>368</v>
      </c>
    </row>
    <row r="67" spans="1:10" s="8" customFormat="1" x14ac:dyDescent="0.3">
      <c r="A67" s="2" t="s">
        <v>84</v>
      </c>
      <c r="B67" s="2" t="s">
        <v>85</v>
      </c>
      <c r="C67" s="2" t="s">
        <v>66</v>
      </c>
      <c r="D67" s="3">
        <v>1900000</v>
      </c>
      <c r="E67" s="2" t="s">
        <v>12</v>
      </c>
      <c r="F67" s="2" t="s">
        <v>67</v>
      </c>
      <c r="G67" s="2" t="s">
        <v>14</v>
      </c>
      <c r="H67" s="2" t="s">
        <v>15</v>
      </c>
      <c r="I67" s="2" t="s">
        <v>86</v>
      </c>
      <c r="J67" t="s">
        <v>368</v>
      </c>
    </row>
    <row r="68" spans="1:10" s="8" customFormat="1" x14ac:dyDescent="0.3">
      <c r="A68" s="2" t="s">
        <v>87</v>
      </c>
      <c r="B68" s="2" t="s">
        <v>88</v>
      </c>
      <c r="C68" s="2" t="s">
        <v>66</v>
      </c>
      <c r="D68" s="3">
        <v>46960.61</v>
      </c>
      <c r="E68" s="2" t="s">
        <v>12</v>
      </c>
      <c r="F68" s="2" t="s">
        <v>67</v>
      </c>
      <c r="G68" s="2" t="s">
        <v>14</v>
      </c>
      <c r="H68" s="2" t="s">
        <v>15</v>
      </c>
      <c r="I68" s="2" t="s">
        <v>89</v>
      </c>
      <c r="J68" t="s">
        <v>368</v>
      </c>
    </row>
    <row r="69" spans="1:10" s="8" customFormat="1" x14ac:dyDescent="0.3">
      <c r="A69" s="2" t="s">
        <v>90</v>
      </c>
      <c r="B69" s="2" t="s">
        <v>91</v>
      </c>
      <c r="C69" s="2" t="s">
        <v>66</v>
      </c>
      <c r="D69" s="53">
        <f>148179.73*0</f>
        <v>0</v>
      </c>
      <c r="E69" s="2" t="s">
        <v>12</v>
      </c>
      <c r="F69" s="2" t="s">
        <v>67</v>
      </c>
      <c r="G69" s="2" t="s">
        <v>14</v>
      </c>
      <c r="H69" s="2" t="s">
        <v>15</v>
      </c>
      <c r="I69" s="2" t="s">
        <v>92</v>
      </c>
      <c r="J69" t="s">
        <v>411</v>
      </c>
    </row>
    <row r="70" spans="1:10" s="8" customFormat="1" x14ac:dyDescent="0.3">
      <c r="A70" s="2" t="s">
        <v>93</v>
      </c>
      <c r="B70" s="2" t="s">
        <v>94</v>
      </c>
      <c r="C70" s="2" t="s">
        <v>66</v>
      </c>
      <c r="D70" s="3">
        <v>111000</v>
      </c>
      <c r="E70" s="2" t="s">
        <v>12</v>
      </c>
      <c r="F70" s="2" t="s">
        <v>67</v>
      </c>
      <c r="G70" s="2" t="s">
        <v>14</v>
      </c>
      <c r="H70" s="2" t="s">
        <v>15</v>
      </c>
      <c r="I70" s="2" t="s">
        <v>95</v>
      </c>
      <c r="J70" t="s">
        <v>368</v>
      </c>
    </row>
    <row r="71" spans="1:10" s="8" customFormat="1" x14ac:dyDescent="0.3">
      <c r="A71" s="2" t="s">
        <v>96</v>
      </c>
      <c r="B71" s="2" t="s">
        <v>97</v>
      </c>
      <c r="C71" s="2" t="s">
        <v>66</v>
      </c>
      <c r="D71" s="3">
        <v>593059.22</v>
      </c>
      <c r="E71" s="2" t="s">
        <v>12</v>
      </c>
      <c r="F71" s="2" t="s">
        <v>67</v>
      </c>
      <c r="G71" s="2" t="s">
        <v>14</v>
      </c>
      <c r="H71" s="2" t="s">
        <v>15</v>
      </c>
      <c r="I71" s="2" t="s">
        <v>98</v>
      </c>
      <c r="J71" t="s">
        <v>368</v>
      </c>
    </row>
    <row r="72" spans="1:10" s="8" customFormat="1" x14ac:dyDescent="0.3">
      <c r="A72" s="2" t="s">
        <v>99</v>
      </c>
      <c r="B72" s="2" t="s">
        <v>100</v>
      </c>
      <c r="C72" s="2" t="s">
        <v>66</v>
      </c>
      <c r="D72" s="3">
        <v>40991.120000000003</v>
      </c>
      <c r="E72" s="2" t="s">
        <v>12</v>
      </c>
      <c r="F72" s="2" t="s">
        <v>67</v>
      </c>
      <c r="G72" s="2" t="s">
        <v>14</v>
      </c>
      <c r="H72" s="2" t="s">
        <v>15</v>
      </c>
      <c r="I72" s="2" t="s">
        <v>101</v>
      </c>
      <c r="J72" t="s">
        <v>368</v>
      </c>
    </row>
    <row r="73" spans="1:10" x14ac:dyDescent="0.3">
      <c r="A73" s="2" t="s">
        <v>172</v>
      </c>
      <c r="B73" s="2" t="s">
        <v>173</v>
      </c>
      <c r="C73" s="2" t="s">
        <v>66</v>
      </c>
      <c r="D73" s="3">
        <v>27224</v>
      </c>
      <c r="E73" s="2" t="s">
        <v>12</v>
      </c>
      <c r="F73" s="2" t="s">
        <v>67</v>
      </c>
      <c r="G73" s="2" t="s">
        <v>14</v>
      </c>
      <c r="H73" s="2" t="s">
        <v>15</v>
      </c>
      <c r="I73" s="2" t="s">
        <v>174</v>
      </c>
      <c r="J73" t="s">
        <v>368</v>
      </c>
    </row>
    <row r="74" spans="1:10" x14ac:dyDescent="0.3">
      <c r="A74" s="2" t="s">
        <v>175</v>
      </c>
      <c r="B74" s="2" t="s">
        <v>176</v>
      </c>
      <c r="C74" s="2" t="s">
        <v>66</v>
      </c>
      <c r="D74" s="3">
        <v>5437399.7400000002</v>
      </c>
      <c r="E74" s="2" t="s">
        <v>12</v>
      </c>
      <c r="F74" s="2" t="s">
        <v>67</v>
      </c>
      <c r="G74" s="2" t="s">
        <v>14</v>
      </c>
      <c r="H74" s="2" t="s">
        <v>15</v>
      </c>
      <c r="I74" s="2" t="s">
        <v>177</v>
      </c>
      <c r="J74" t="s">
        <v>368</v>
      </c>
    </row>
    <row r="75" spans="1:10" x14ac:dyDescent="0.3">
      <c r="A75" s="2" t="s">
        <v>178</v>
      </c>
      <c r="B75" s="2" t="s">
        <v>179</v>
      </c>
      <c r="C75" s="2" t="s">
        <v>66</v>
      </c>
      <c r="D75" s="3">
        <v>330648.58</v>
      </c>
      <c r="E75" s="2" t="s">
        <v>12</v>
      </c>
      <c r="F75" s="2" t="s">
        <v>67</v>
      </c>
      <c r="G75" s="2" t="s">
        <v>14</v>
      </c>
      <c r="H75" s="2" t="s">
        <v>15</v>
      </c>
      <c r="I75" s="2" t="s">
        <v>113</v>
      </c>
      <c r="J75" t="s">
        <v>368</v>
      </c>
    </row>
    <row r="76" spans="1:10" x14ac:dyDescent="0.3">
      <c r="A76" s="2" t="s">
        <v>183</v>
      </c>
      <c r="B76" s="2" t="s">
        <v>186</v>
      </c>
      <c r="C76" s="2" t="s">
        <v>66</v>
      </c>
      <c r="D76" s="53">
        <f>337206.36*0</f>
        <v>0</v>
      </c>
      <c r="E76" s="2" t="s">
        <v>12</v>
      </c>
      <c r="F76" s="2" t="s">
        <v>67</v>
      </c>
      <c r="G76" s="2" t="s">
        <v>14</v>
      </c>
      <c r="H76" s="2" t="s">
        <v>15</v>
      </c>
      <c r="I76" s="2" t="s">
        <v>187</v>
      </c>
      <c r="J76" t="s">
        <v>411</v>
      </c>
    </row>
    <row r="77" spans="1:10" x14ac:dyDescent="0.3">
      <c r="A77" s="2" t="s">
        <v>206</v>
      </c>
      <c r="B77" s="2" t="s">
        <v>207</v>
      </c>
      <c r="C77" s="2" t="s">
        <v>66</v>
      </c>
      <c r="D77" s="53">
        <f>145228.5*0</f>
        <v>0</v>
      </c>
      <c r="E77" s="2" t="s">
        <v>12</v>
      </c>
      <c r="F77" s="2" t="s">
        <v>67</v>
      </c>
      <c r="G77" s="2" t="s">
        <v>14</v>
      </c>
      <c r="H77" s="2" t="s">
        <v>15</v>
      </c>
      <c r="I77" s="2" t="s">
        <v>208</v>
      </c>
      <c r="J77" t="s">
        <v>411</v>
      </c>
    </row>
    <row r="78" spans="1:10" x14ac:dyDescent="0.3">
      <c r="A78" s="2" t="s">
        <v>209</v>
      </c>
      <c r="B78" s="2" t="s">
        <v>210</v>
      </c>
      <c r="C78" s="2" t="s">
        <v>66</v>
      </c>
      <c r="D78" s="53">
        <f>28858*0</f>
        <v>0</v>
      </c>
      <c r="E78" s="2" t="s">
        <v>12</v>
      </c>
      <c r="F78" s="2" t="s">
        <v>67</v>
      </c>
      <c r="G78" s="2" t="s">
        <v>14</v>
      </c>
      <c r="H78" s="2" t="s">
        <v>15</v>
      </c>
      <c r="I78" s="2" t="s">
        <v>211</v>
      </c>
      <c r="J78" t="s">
        <v>411</v>
      </c>
    </row>
    <row r="79" spans="1:10" x14ac:dyDescent="0.3">
      <c r="A79" s="2" t="s">
        <v>212</v>
      </c>
      <c r="B79" s="2" t="s">
        <v>213</v>
      </c>
      <c r="C79" s="2" t="s">
        <v>66</v>
      </c>
      <c r="D79" s="53">
        <f>325313.9*0</f>
        <v>0</v>
      </c>
      <c r="E79" s="2" t="s">
        <v>12</v>
      </c>
      <c r="F79" s="2" t="s">
        <v>67</v>
      </c>
      <c r="G79" s="2" t="s">
        <v>14</v>
      </c>
      <c r="H79" s="2" t="s">
        <v>15</v>
      </c>
      <c r="I79" s="2" t="s">
        <v>214</v>
      </c>
      <c r="J79" t="s">
        <v>411</v>
      </c>
    </row>
    <row r="80" spans="1:10" x14ac:dyDescent="0.3">
      <c r="A80" s="2" t="s">
        <v>215</v>
      </c>
      <c r="B80" s="2" t="s">
        <v>216</v>
      </c>
      <c r="C80" s="2" t="s">
        <v>66</v>
      </c>
      <c r="D80" s="53">
        <f>887716.17*0</f>
        <v>0</v>
      </c>
      <c r="E80" s="2" t="s">
        <v>12</v>
      </c>
      <c r="F80" s="2" t="s">
        <v>67</v>
      </c>
      <c r="G80" s="2" t="s">
        <v>14</v>
      </c>
      <c r="H80" s="2" t="s">
        <v>15</v>
      </c>
      <c r="I80" s="2" t="s">
        <v>217</v>
      </c>
      <c r="J80" t="s">
        <v>411</v>
      </c>
    </row>
    <row r="81" spans="1:9" x14ac:dyDescent="0.3">
      <c r="D81" s="15">
        <f>SUM(D61:D80)</f>
        <v>10474035.880000001</v>
      </c>
    </row>
    <row r="83" spans="1:9" x14ac:dyDescent="0.3">
      <c r="A83" s="14" t="s">
        <v>0</v>
      </c>
      <c r="B83" s="14" t="s">
        <v>1</v>
      </c>
      <c r="C83" s="14" t="s">
        <v>229</v>
      </c>
      <c r="D83" s="14" t="s">
        <v>3</v>
      </c>
      <c r="E83" s="14" t="s">
        <v>4</v>
      </c>
      <c r="F83" s="14" t="s">
        <v>2</v>
      </c>
      <c r="G83" s="14" t="s">
        <v>230</v>
      </c>
      <c r="H83" s="14" t="s">
        <v>6</v>
      </c>
      <c r="I83" s="14" t="s">
        <v>7</v>
      </c>
    </row>
    <row r="84" spans="1:9" x14ac:dyDescent="0.3">
      <c r="A84" s="2" t="s">
        <v>233</v>
      </c>
      <c r="B84" s="2" t="s">
        <v>234</v>
      </c>
      <c r="C84" s="2" t="s">
        <v>231</v>
      </c>
      <c r="D84" s="3">
        <v>289417.08</v>
      </c>
      <c r="E84" s="2" t="s">
        <v>12</v>
      </c>
      <c r="F84" s="2" t="s">
        <v>40</v>
      </c>
      <c r="G84" s="2" t="s">
        <v>232</v>
      </c>
      <c r="H84" s="2" t="s">
        <v>14</v>
      </c>
      <c r="I84" s="2" t="s">
        <v>15</v>
      </c>
    </row>
    <row r="85" spans="1:9" x14ac:dyDescent="0.3">
      <c r="A85" s="2" t="s">
        <v>235</v>
      </c>
      <c r="B85" s="2" t="s">
        <v>236</v>
      </c>
      <c r="C85" s="2" t="s">
        <v>231</v>
      </c>
      <c r="D85" s="3">
        <v>45561.599999999999</v>
      </c>
      <c r="E85" s="2" t="s">
        <v>12</v>
      </c>
      <c r="F85" s="2" t="s">
        <v>40</v>
      </c>
      <c r="G85" s="2" t="s">
        <v>232</v>
      </c>
      <c r="H85" s="2" t="s">
        <v>14</v>
      </c>
      <c r="I85" s="2" t="s">
        <v>15</v>
      </c>
    </row>
    <row r="86" spans="1:9" x14ac:dyDescent="0.3">
      <c r="D86" s="15">
        <f>SUBTOTAL(9,D84:D85)</f>
        <v>334978.68</v>
      </c>
    </row>
    <row r="88" spans="1:9" x14ac:dyDescent="0.3">
      <c r="A88" s="2" t="s">
        <v>408</v>
      </c>
      <c r="B88" s="2" t="s">
        <v>409</v>
      </c>
      <c r="C88" s="2" t="s">
        <v>231</v>
      </c>
      <c r="D88" s="3">
        <v>378289.91999999998</v>
      </c>
      <c r="E88" s="2" t="s">
        <v>12</v>
      </c>
      <c r="F88" s="2" t="s">
        <v>40</v>
      </c>
      <c r="G88" s="2" t="s">
        <v>232</v>
      </c>
      <c r="H88" s="2" t="s">
        <v>14</v>
      </c>
      <c r="I88" s="2" t="s">
        <v>15</v>
      </c>
    </row>
    <row r="89" spans="1:9" x14ac:dyDescent="0.3">
      <c r="D89" s="15">
        <f>SUBTOTAL(9,D88)</f>
        <v>378289.91999999998</v>
      </c>
    </row>
  </sheetData>
  <autoFilter ref="A1:I37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topLeftCell="A37" workbookViewId="0">
      <selection activeCell="E53" sqref="E53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16.33203125" bestFit="1" customWidth="1"/>
    <col min="4" max="5" width="16.33203125" customWidth="1"/>
    <col min="6" max="6" width="17.33203125" bestFit="1" customWidth="1"/>
    <col min="7" max="7" width="14.5546875" bestFit="1" customWidth="1"/>
    <col min="8" max="8" width="32.5546875" bestFit="1" customWidth="1"/>
  </cols>
  <sheetData>
    <row r="1" spans="1:8" x14ac:dyDescent="0.3">
      <c r="A1" s="16" t="s">
        <v>0</v>
      </c>
      <c r="B1" s="16" t="s">
        <v>1</v>
      </c>
      <c r="C1" s="16" t="s">
        <v>237</v>
      </c>
      <c r="D1" s="18" t="s">
        <v>250</v>
      </c>
      <c r="E1" s="18" t="s">
        <v>251</v>
      </c>
      <c r="F1" s="16" t="s">
        <v>238</v>
      </c>
      <c r="G1" s="16" t="s">
        <v>7</v>
      </c>
      <c r="H1" s="16" t="s">
        <v>8</v>
      </c>
    </row>
    <row r="2" spans="1:8" x14ac:dyDescent="0.3">
      <c r="A2" s="17" t="s">
        <v>239</v>
      </c>
      <c r="B2" s="17" t="s">
        <v>240</v>
      </c>
      <c r="C2" s="17" t="s">
        <v>241</v>
      </c>
      <c r="D2" s="19">
        <v>7120.1799999999994</v>
      </c>
      <c r="E2" s="19">
        <f>D2*1.2</f>
        <v>8544.2159999999985</v>
      </c>
      <c r="F2" s="17" t="s">
        <v>242</v>
      </c>
      <c r="G2" s="17" t="s">
        <v>15</v>
      </c>
      <c r="H2" s="17" t="s">
        <v>243</v>
      </c>
    </row>
    <row r="3" spans="1:8" x14ac:dyDescent="0.3">
      <c r="A3" s="17" t="s">
        <v>244</v>
      </c>
      <c r="B3" s="17" t="s">
        <v>245</v>
      </c>
      <c r="C3" s="17" t="s">
        <v>241</v>
      </c>
      <c r="D3" s="19">
        <v>89093.809999999983</v>
      </c>
      <c r="E3" s="19">
        <f>D3*1.2</f>
        <v>106912.57199999997</v>
      </c>
      <c r="F3" s="17" t="s">
        <v>242</v>
      </c>
      <c r="G3" s="17" t="s">
        <v>15</v>
      </c>
      <c r="H3" s="17" t="s">
        <v>246</v>
      </c>
    </row>
    <row r="4" spans="1:8" x14ac:dyDescent="0.3">
      <c r="A4" s="17" t="s">
        <v>247</v>
      </c>
      <c r="B4" s="17" t="s">
        <v>248</v>
      </c>
      <c r="C4" s="17" t="s">
        <v>241</v>
      </c>
      <c r="D4" s="19">
        <v>120043.05</v>
      </c>
      <c r="E4" s="19">
        <f>D4*1.2</f>
        <v>144051.66</v>
      </c>
      <c r="F4" s="17" t="s">
        <v>242</v>
      </c>
      <c r="G4" s="17" t="s">
        <v>15</v>
      </c>
      <c r="H4" s="17" t="s">
        <v>249</v>
      </c>
    </row>
    <row r="5" spans="1:8" x14ac:dyDescent="0.3">
      <c r="E5" s="52">
        <f>SUM(E3:E4)</f>
        <v>250964.23199999996</v>
      </c>
    </row>
    <row r="6" spans="1:8" x14ac:dyDescent="0.3">
      <c r="E6" s="20"/>
    </row>
    <row r="7" spans="1:8" x14ac:dyDescent="0.3">
      <c r="A7" s="16" t="s">
        <v>0</v>
      </c>
      <c r="B7" s="16" t="s">
        <v>1</v>
      </c>
      <c r="C7" s="16" t="s">
        <v>230</v>
      </c>
      <c r="D7" s="18" t="s">
        <v>250</v>
      </c>
      <c r="E7" s="18" t="s">
        <v>251</v>
      </c>
      <c r="F7" s="16" t="s">
        <v>5</v>
      </c>
      <c r="G7" s="16" t="s">
        <v>7</v>
      </c>
      <c r="H7" s="16" t="s">
        <v>8</v>
      </c>
    </row>
    <row r="8" spans="1:8" x14ac:dyDescent="0.3">
      <c r="A8" s="17" t="s">
        <v>22</v>
      </c>
      <c r="B8" s="17" t="s">
        <v>253</v>
      </c>
      <c r="C8" s="17" t="s">
        <v>254</v>
      </c>
      <c r="D8" s="19">
        <v>102672.20000000001</v>
      </c>
      <c r="E8" s="19">
        <f>D8*1.2</f>
        <v>123206.64000000001</v>
      </c>
      <c r="F8" s="17" t="s">
        <v>20</v>
      </c>
      <c r="G8" s="17" t="s">
        <v>15</v>
      </c>
      <c r="H8" s="17"/>
    </row>
    <row r="9" spans="1:8" x14ac:dyDescent="0.3">
      <c r="A9" s="17" t="s">
        <v>22</v>
      </c>
      <c r="B9" s="17" t="s">
        <v>255</v>
      </c>
      <c r="C9" s="17" t="s">
        <v>256</v>
      </c>
      <c r="D9" s="19">
        <v>23792.79</v>
      </c>
      <c r="E9" s="19">
        <f t="shared" ref="E9:E47" si="0">D9*1.2</f>
        <v>28551.348000000002</v>
      </c>
      <c r="F9" s="17" t="s">
        <v>25</v>
      </c>
      <c r="G9" s="17" t="s">
        <v>15</v>
      </c>
      <c r="H9" s="17"/>
    </row>
    <row r="10" spans="1:8" x14ac:dyDescent="0.3">
      <c r="A10" s="17" t="s">
        <v>257</v>
      </c>
      <c r="B10" s="17" t="s">
        <v>258</v>
      </c>
      <c r="C10" s="17" t="s">
        <v>256</v>
      </c>
      <c r="D10" s="19">
        <v>27282.1</v>
      </c>
      <c r="E10" s="19">
        <f t="shared" si="0"/>
        <v>32738.519999999997</v>
      </c>
      <c r="F10" s="17" t="s">
        <v>25</v>
      </c>
      <c r="G10" s="17" t="s">
        <v>15</v>
      </c>
      <c r="H10" s="17"/>
    </row>
    <row r="11" spans="1:8" x14ac:dyDescent="0.3">
      <c r="A11" s="17" t="s">
        <v>259</v>
      </c>
      <c r="B11" s="17" t="s">
        <v>260</v>
      </c>
      <c r="C11" s="17" t="s">
        <v>254</v>
      </c>
      <c r="D11" s="19">
        <v>308851.99</v>
      </c>
      <c r="E11" s="19">
        <f t="shared" si="0"/>
        <v>370622.38799999998</v>
      </c>
      <c r="F11" s="17" t="s">
        <v>20</v>
      </c>
      <c r="G11" s="17" t="s">
        <v>15</v>
      </c>
      <c r="H11" s="17"/>
    </row>
    <row r="12" spans="1:8" x14ac:dyDescent="0.3">
      <c r="A12" s="17" t="s">
        <v>261</v>
      </c>
      <c r="B12" s="17" t="s">
        <v>262</v>
      </c>
      <c r="C12" s="17" t="s">
        <v>256</v>
      </c>
      <c r="D12" s="19">
        <v>160084.37000000002</v>
      </c>
      <c r="E12" s="19">
        <f t="shared" si="0"/>
        <v>192101.24400000004</v>
      </c>
      <c r="F12" s="17" t="s">
        <v>25</v>
      </c>
      <c r="G12" s="17" t="s">
        <v>15</v>
      </c>
      <c r="H12" s="17"/>
    </row>
    <row r="13" spans="1:8" x14ac:dyDescent="0.3">
      <c r="A13" s="17" t="s">
        <v>263</v>
      </c>
      <c r="B13" s="17" t="s">
        <v>264</v>
      </c>
      <c r="C13" s="17" t="s">
        <v>254</v>
      </c>
      <c r="D13" s="19">
        <v>895.14</v>
      </c>
      <c r="E13" s="19">
        <f t="shared" si="0"/>
        <v>1074.1679999999999</v>
      </c>
      <c r="F13" s="17" t="s">
        <v>20</v>
      </c>
      <c r="G13" s="17" t="s">
        <v>15</v>
      </c>
      <c r="H13" s="17"/>
    </row>
    <row r="14" spans="1:8" x14ac:dyDescent="0.3">
      <c r="A14" s="17" t="s">
        <v>265</v>
      </c>
      <c r="B14" s="17" t="s">
        <v>266</v>
      </c>
      <c r="C14" s="17" t="s">
        <v>254</v>
      </c>
      <c r="D14" s="19">
        <v>1920.16</v>
      </c>
      <c r="E14" s="19">
        <f t="shared" si="0"/>
        <v>2304.192</v>
      </c>
      <c r="F14" s="17" t="s">
        <v>20</v>
      </c>
      <c r="G14" s="17" t="s">
        <v>15</v>
      </c>
      <c r="H14" s="17"/>
    </row>
    <row r="15" spans="1:8" x14ac:dyDescent="0.3">
      <c r="A15" s="17" t="s">
        <v>267</v>
      </c>
      <c r="B15" s="17" t="s">
        <v>268</v>
      </c>
      <c r="C15" s="17" t="s">
        <v>254</v>
      </c>
      <c r="D15" s="19">
        <v>336.1</v>
      </c>
      <c r="E15" s="19">
        <f t="shared" si="0"/>
        <v>403.32</v>
      </c>
      <c r="F15" s="17" t="s">
        <v>20</v>
      </c>
      <c r="G15" s="17" t="s">
        <v>15</v>
      </c>
      <c r="H15" s="17"/>
    </row>
    <row r="16" spans="1:8" x14ac:dyDescent="0.3">
      <c r="A16" s="17" t="s">
        <v>269</v>
      </c>
      <c r="B16" s="17" t="s">
        <v>270</v>
      </c>
      <c r="C16" s="17" t="s">
        <v>254</v>
      </c>
      <c r="D16" s="19">
        <v>37164.14</v>
      </c>
      <c r="E16" s="19">
        <f t="shared" si="0"/>
        <v>44596.968000000001</v>
      </c>
      <c r="F16" s="17" t="s">
        <v>20</v>
      </c>
      <c r="G16" s="17" t="s">
        <v>15</v>
      </c>
      <c r="H16" s="17"/>
    </row>
    <row r="17" spans="1:8" x14ac:dyDescent="0.3">
      <c r="A17" s="17" t="s">
        <v>271</v>
      </c>
      <c r="B17" s="17" t="s">
        <v>272</v>
      </c>
      <c r="C17" s="17" t="s">
        <v>254</v>
      </c>
      <c r="D17" s="19">
        <v>45585.469999999994</v>
      </c>
      <c r="E17" s="19">
        <f t="shared" si="0"/>
        <v>54702.563999999991</v>
      </c>
      <c r="F17" s="17" t="s">
        <v>20</v>
      </c>
      <c r="G17" s="17" t="s">
        <v>15</v>
      </c>
      <c r="H17" s="17"/>
    </row>
    <row r="18" spans="1:8" x14ac:dyDescent="0.3">
      <c r="A18" s="17" t="s">
        <v>273</v>
      </c>
      <c r="B18" s="17" t="s">
        <v>274</v>
      </c>
      <c r="C18" s="17" t="s">
        <v>254</v>
      </c>
      <c r="D18" s="19">
        <v>54435.360000000001</v>
      </c>
      <c r="E18" s="19">
        <f t="shared" si="0"/>
        <v>65322.432000000001</v>
      </c>
      <c r="F18" s="17" t="s">
        <v>20</v>
      </c>
      <c r="G18" s="17" t="s">
        <v>15</v>
      </c>
      <c r="H18" s="17"/>
    </row>
    <row r="19" spans="1:8" x14ac:dyDescent="0.3">
      <c r="A19" s="17" t="s">
        <v>275</v>
      </c>
      <c r="B19" s="17" t="s">
        <v>276</v>
      </c>
      <c r="C19" s="17" t="s">
        <v>254</v>
      </c>
      <c r="D19" s="19">
        <v>828.67000000000007</v>
      </c>
      <c r="E19" s="19">
        <f t="shared" si="0"/>
        <v>994.404</v>
      </c>
      <c r="F19" s="17" t="s">
        <v>20</v>
      </c>
      <c r="G19" s="17" t="s">
        <v>15</v>
      </c>
      <c r="H19" s="17"/>
    </row>
    <row r="20" spans="1:8" x14ac:dyDescent="0.3">
      <c r="A20" s="17" t="s">
        <v>277</v>
      </c>
      <c r="B20" s="17" t="s">
        <v>278</v>
      </c>
      <c r="C20" s="17" t="s">
        <v>254</v>
      </c>
      <c r="D20" s="19">
        <v>35617.29</v>
      </c>
      <c r="E20" s="19">
        <f t="shared" si="0"/>
        <v>42740.748</v>
      </c>
      <c r="F20" s="17" t="s">
        <v>20</v>
      </c>
      <c r="G20" s="17" t="s">
        <v>15</v>
      </c>
      <c r="H20" s="17"/>
    </row>
    <row r="21" spans="1:8" x14ac:dyDescent="0.3">
      <c r="A21" s="17" t="s">
        <v>279</v>
      </c>
      <c r="B21" s="17" t="s">
        <v>280</v>
      </c>
      <c r="C21" s="17" t="s">
        <v>232</v>
      </c>
      <c r="D21" s="19">
        <v>623362.26999999979</v>
      </c>
      <c r="E21" s="19">
        <f t="shared" si="0"/>
        <v>748034.7239999997</v>
      </c>
      <c r="F21" s="17" t="s">
        <v>41</v>
      </c>
      <c r="G21" s="17" t="s">
        <v>15</v>
      </c>
      <c r="H21" s="17"/>
    </row>
    <row r="22" spans="1:8" x14ac:dyDescent="0.3">
      <c r="A22" s="17" t="s">
        <v>281</v>
      </c>
      <c r="B22" s="17" t="s">
        <v>282</v>
      </c>
      <c r="C22" s="17" t="s">
        <v>232</v>
      </c>
      <c r="D22" s="19">
        <v>12568.640000000001</v>
      </c>
      <c r="E22" s="19">
        <f t="shared" si="0"/>
        <v>15082.368</v>
      </c>
      <c r="F22" s="17" t="s">
        <v>41</v>
      </c>
      <c r="G22" s="17" t="s">
        <v>15</v>
      </c>
      <c r="H22" s="17"/>
    </row>
    <row r="23" spans="1:8" x14ac:dyDescent="0.3">
      <c r="A23" s="17" t="s">
        <v>283</v>
      </c>
      <c r="B23" s="17" t="s">
        <v>284</v>
      </c>
      <c r="C23" s="17" t="s">
        <v>232</v>
      </c>
      <c r="D23" s="19">
        <v>9594.92</v>
      </c>
      <c r="E23" s="19">
        <f t="shared" si="0"/>
        <v>11513.904</v>
      </c>
      <c r="F23" s="17" t="s">
        <v>41</v>
      </c>
      <c r="G23" s="17" t="s">
        <v>15</v>
      </c>
      <c r="H23" s="17"/>
    </row>
    <row r="24" spans="1:8" x14ac:dyDescent="0.3">
      <c r="A24" s="17" t="s">
        <v>285</v>
      </c>
      <c r="B24" s="17" t="s">
        <v>286</v>
      </c>
      <c r="C24" s="17" t="s">
        <v>232</v>
      </c>
      <c r="D24" s="19">
        <v>90278.81</v>
      </c>
      <c r="E24" s="19">
        <f t="shared" si="0"/>
        <v>108334.572</v>
      </c>
      <c r="F24" s="17" t="s">
        <v>41</v>
      </c>
      <c r="G24" s="17" t="s">
        <v>15</v>
      </c>
      <c r="H24" s="17"/>
    </row>
    <row r="25" spans="1:8" x14ac:dyDescent="0.3">
      <c r="A25" s="17" t="s">
        <v>287</v>
      </c>
      <c r="B25" s="17" t="s">
        <v>288</v>
      </c>
      <c r="C25" s="17" t="s">
        <v>232</v>
      </c>
      <c r="D25" s="19">
        <v>259231.65</v>
      </c>
      <c r="E25" s="19">
        <f t="shared" si="0"/>
        <v>311077.98</v>
      </c>
      <c r="F25" s="17" t="s">
        <v>41</v>
      </c>
      <c r="G25" s="17" t="s">
        <v>15</v>
      </c>
      <c r="H25" s="17"/>
    </row>
    <row r="26" spans="1:8" x14ac:dyDescent="0.3">
      <c r="A26" s="17" t="s">
        <v>289</v>
      </c>
      <c r="B26" s="17" t="s">
        <v>290</v>
      </c>
      <c r="C26" s="17" t="s">
        <v>232</v>
      </c>
      <c r="D26" s="19">
        <v>190348.98999999996</v>
      </c>
      <c r="E26" s="19">
        <f t="shared" si="0"/>
        <v>228418.78799999994</v>
      </c>
      <c r="F26" s="17" t="s">
        <v>41</v>
      </c>
      <c r="G26" s="17" t="s">
        <v>15</v>
      </c>
      <c r="H26" s="17"/>
    </row>
    <row r="27" spans="1:8" x14ac:dyDescent="0.3">
      <c r="A27" s="17" t="s">
        <v>45</v>
      </c>
      <c r="B27" s="17" t="s">
        <v>291</v>
      </c>
      <c r="C27" s="17" t="s">
        <v>256</v>
      </c>
      <c r="D27" s="19">
        <v>187838.94</v>
      </c>
      <c r="E27" s="19">
        <f t="shared" si="0"/>
        <v>225406.728</v>
      </c>
      <c r="F27" s="17" t="s">
        <v>25</v>
      </c>
      <c r="G27" s="17" t="s">
        <v>15</v>
      </c>
      <c r="H27" s="17"/>
    </row>
    <row r="28" spans="1:8" x14ac:dyDescent="0.3">
      <c r="A28" s="17" t="s">
        <v>292</v>
      </c>
      <c r="B28" s="17" t="s">
        <v>293</v>
      </c>
      <c r="C28" s="17" t="s">
        <v>256</v>
      </c>
      <c r="D28" s="19">
        <v>311080.39000000007</v>
      </c>
      <c r="E28" s="19">
        <f t="shared" si="0"/>
        <v>373296.46800000005</v>
      </c>
      <c r="F28" s="17" t="s">
        <v>25</v>
      </c>
      <c r="G28" s="17" t="s">
        <v>15</v>
      </c>
      <c r="H28" s="17"/>
    </row>
    <row r="29" spans="1:8" x14ac:dyDescent="0.3">
      <c r="A29" s="17" t="s">
        <v>294</v>
      </c>
      <c r="B29" s="17" t="s">
        <v>295</v>
      </c>
      <c r="C29" s="17" t="s">
        <v>254</v>
      </c>
      <c r="D29" s="19">
        <v>446470.09</v>
      </c>
      <c r="E29" s="19">
        <f t="shared" si="0"/>
        <v>535764.10800000001</v>
      </c>
      <c r="F29" s="17" t="s">
        <v>20</v>
      </c>
      <c r="G29" s="17" t="s">
        <v>15</v>
      </c>
      <c r="H29" s="17"/>
    </row>
    <row r="30" spans="1:8" x14ac:dyDescent="0.3">
      <c r="A30" s="17" t="s">
        <v>296</v>
      </c>
      <c r="B30" s="17" t="s">
        <v>297</v>
      </c>
      <c r="C30" s="17" t="s">
        <v>254</v>
      </c>
      <c r="D30" s="19">
        <v>63081.32</v>
      </c>
      <c r="E30" s="19">
        <f t="shared" si="0"/>
        <v>75697.584000000003</v>
      </c>
      <c r="F30" s="17" t="s">
        <v>20</v>
      </c>
      <c r="G30" s="17" t="s">
        <v>15</v>
      </c>
      <c r="H30" s="17"/>
    </row>
    <row r="31" spans="1:8" x14ac:dyDescent="0.3">
      <c r="A31" s="17" t="s">
        <v>298</v>
      </c>
      <c r="B31" s="17" t="s">
        <v>299</v>
      </c>
      <c r="C31" s="17" t="s">
        <v>232</v>
      </c>
      <c r="D31" s="19">
        <v>51151.79</v>
      </c>
      <c r="E31" s="19">
        <f t="shared" si="0"/>
        <v>61382.148000000001</v>
      </c>
      <c r="F31" s="17"/>
      <c r="G31" s="17" t="s">
        <v>167</v>
      </c>
      <c r="H31" s="17" t="s">
        <v>300</v>
      </c>
    </row>
    <row r="32" spans="1:8" x14ac:dyDescent="0.3">
      <c r="A32" s="17" t="s">
        <v>301</v>
      </c>
      <c r="B32" s="17" t="s">
        <v>302</v>
      </c>
      <c r="C32" s="17" t="s">
        <v>232</v>
      </c>
      <c r="D32" s="19">
        <v>1107.44</v>
      </c>
      <c r="E32" s="19">
        <f t="shared" si="0"/>
        <v>1328.9280000000001</v>
      </c>
      <c r="F32" s="17" t="s">
        <v>41</v>
      </c>
      <c r="G32" s="17" t="s">
        <v>167</v>
      </c>
      <c r="H32" s="17" t="s">
        <v>303</v>
      </c>
    </row>
    <row r="33" spans="1:8" x14ac:dyDescent="0.3">
      <c r="A33" s="17" t="s">
        <v>304</v>
      </c>
      <c r="B33" s="17" t="s">
        <v>305</v>
      </c>
      <c r="C33" s="17" t="s">
        <v>232</v>
      </c>
      <c r="D33" s="19">
        <v>2774.77</v>
      </c>
      <c r="E33" s="19">
        <f t="shared" si="0"/>
        <v>3329.7239999999997</v>
      </c>
      <c r="F33" s="17" t="s">
        <v>41</v>
      </c>
      <c r="G33" s="17" t="s">
        <v>167</v>
      </c>
      <c r="H33" s="17" t="s">
        <v>306</v>
      </c>
    </row>
    <row r="34" spans="1:8" x14ac:dyDescent="0.3">
      <c r="A34" s="17" t="s">
        <v>307</v>
      </c>
      <c r="B34" s="17" t="s">
        <v>308</v>
      </c>
      <c r="C34" s="17" t="s">
        <v>232</v>
      </c>
      <c r="D34" s="19">
        <v>4082.18</v>
      </c>
      <c r="E34" s="19">
        <f t="shared" si="0"/>
        <v>4898.616</v>
      </c>
      <c r="F34" s="17" t="s">
        <v>41</v>
      </c>
      <c r="G34" s="17" t="s">
        <v>167</v>
      </c>
      <c r="H34" s="17" t="s">
        <v>309</v>
      </c>
    </row>
    <row r="35" spans="1:8" x14ac:dyDescent="0.3">
      <c r="A35" s="17" t="s">
        <v>310</v>
      </c>
      <c r="B35" s="17" t="s">
        <v>311</v>
      </c>
      <c r="C35" s="17" t="s">
        <v>232</v>
      </c>
      <c r="D35" s="19">
        <v>51774.249999999993</v>
      </c>
      <c r="E35" s="19">
        <f t="shared" si="0"/>
        <v>62129.099999999991</v>
      </c>
      <c r="F35" s="17" t="s">
        <v>41</v>
      </c>
      <c r="G35" s="17" t="s">
        <v>167</v>
      </c>
      <c r="H35" s="17" t="s">
        <v>312</v>
      </c>
    </row>
    <row r="36" spans="1:8" x14ac:dyDescent="0.3">
      <c r="A36" s="17" t="s">
        <v>313</v>
      </c>
      <c r="B36" s="17" t="s">
        <v>314</v>
      </c>
      <c r="C36" s="17" t="s">
        <v>232</v>
      </c>
      <c r="D36" s="19">
        <v>6468.6</v>
      </c>
      <c r="E36" s="19">
        <f t="shared" si="0"/>
        <v>7762.32</v>
      </c>
      <c r="F36" s="17" t="s">
        <v>41</v>
      </c>
      <c r="G36" s="17" t="s">
        <v>167</v>
      </c>
      <c r="H36" s="17" t="s">
        <v>315</v>
      </c>
    </row>
    <row r="37" spans="1:8" x14ac:dyDescent="0.3">
      <c r="A37" s="17" t="s">
        <v>316</v>
      </c>
      <c r="B37" s="17" t="s">
        <v>317</v>
      </c>
      <c r="C37" s="17" t="s">
        <v>232</v>
      </c>
      <c r="D37" s="19">
        <v>13377</v>
      </c>
      <c r="E37" s="19">
        <f t="shared" si="0"/>
        <v>16052.4</v>
      </c>
      <c r="F37" s="17" t="s">
        <v>41</v>
      </c>
      <c r="G37" s="17" t="s">
        <v>167</v>
      </c>
      <c r="H37" s="17" t="s">
        <v>318</v>
      </c>
    </row>
    <row r="38" spans="1:8" x14ac:dyDescent="0.3">
      <c r="A38" s="17" t="s">
        <v>319</v>
      </c>
      <c r="B38" s="17" t="s">
        <v>320</v>
      </c>
      <c r="C38" s="17" t="s">
        <v>232</v>
      </c>
      <c r="D38" s="19">
        <v>974.86</v>
      </c>
      <c r="E38" s="19">
        <f t="shared" si="0"/>
        <v>1169.8319999999999</v>
      </c>
      <c r="F38" s="17" t="s">
        <v>41</v>
      </c>
      <c r="G38" s="17" t="s">
        <v>167</v>
      </c>
      <c r="H38" s="17" t="s">
        <v>321</v>
      </c>
    </row>
    <row r="39" spans="1:8" x14ac:dyDescent="0.3">
      <c r="A39" s="17" t="s">
        <v>322</v>
      </c>
      <c r="B39" s="17" t="s">
        <v>323</v>
      </c>
      <c r="C39" s="17" t="s">
        <v>232</v>
      </c>
      <c r="D39" s="19">
        <v>15489.82</v>
      </c>
      <c r="E39" s="19">
        <f t="shared" si="0"/>
        <v>18587.784</v>
      </c>
      <c r="F39" s="17" t="s">
        <v>41</v>
      </c>
      <c r="G39" s="17" t="s">
        <v>167</v>
      </c>
      <c r="H39" s="17" t="s">
        <v>324</v>
      </c>
    </row>
    <row r="40" spans="1:8" x14ac:dyDescent="0.3">
      <c r="A40" s="17" t="s">
        <v>325</v>
      </c>
      <c r="B40" s="17" t="s">
        <v>326</v>
      </c>
      <c r="C40" s="17" t="s">
        <v>232</v>
      </c>
      <c r="D40" s="19">
        <v>168065.11999999994</v>
      </c>
      <c r="E40" s="19">
        <f t="shared" si="0"/>
        <v>201678.14399999991</v>
      </c>
      <c r="F40" s="17"/>
      <c r="G40" s="17" t="s">
        <v>167</v>
      </c>
      <c r="H40" s="17"/>
    </row>
    <row r="41" spans="1:8" x14ac:dyDescent="0.3">
      <c r="A41" s="17" t="s">
        <v>183</v>
      </c>
      <c r="B41" s="17" t="s">
        <v>327</v>
      </c>
      <c r="C41" s="17" t="s">
        <v>223</v>
      </c>
      <c r="D41" s="19">
        <v>34187.050000000003</v>
      </c>
      <c r="E41" s="19">
        <f t="shared" si="0"/>
        <v>41024.46</v>
      </c>
      <c r="F41" s="17" t="s">
        <v>13</v>
      </c>
      <c r="G41" s="17" t="s">
        <v>15</v>
      </c>
      <c r="H41" s="17"/>
    </row>
    <row r="42" spans="1:8" x14ac:dyDescent="0.3">
      <c r="A42" s="17" t="s">
        <v>183</v>
      </c>
      <c r="B42" s="17" t="s">
        <v>328</v>
      </c>
      <c r="C42" s="17" t="s">
        <v>223</v>
      </c>
      <c r="D42" s="19">
        <v>1121151.19</v>
      </c>
      <c r="E42" s="19">
        <f t="shared" si="0"/>
        <v>1345381.4279999998</v>
      </c>
      <c r="F42" s="17" t="s">
        <v>13</v>
      </c>
      <c r="G42" s="17" t="s">
        <v>15</v>
      </c>
      <c r="H42" s="17"/>
    </row>
    <row r="43" spans="1:8" x14ac:dyDescent="0.3">
      <c r="A43" s="17" t="s">
        <v>329</v>
      </c>
      <c r="B43" s="17" t="s">
        <v>330</v>
      </c>
      <c r="C43" s="17" t="s">
        <v>223</v>
      </c>
      <c r="D43" s="19">
        <v>11142.630000000001</v>
      </c>
      <c r="E43" s="19">
        <f t="shared" si="0"/>
        <v>13371.156000000001</v>
      </c>
      <c r="F43" s="17" t="s">
        <v>13</v>
      </c>
      <c r="G43" s="17" t="s">
        <v>15</v>
      </c>
      <c r="H43" s="17"/>
    </row>
    <row r="44" spans="1:8" x14ac:dyDescent="0.3">
      <c r="A44" s="17" t="s">
        <v>329</v>
      </c>
      <c r="B44" s="17" t="s">
        <v>331</v>
      </c>
      <c r="C44" s="17" t="s">
        <v>223</v>
      </c>
      <c r="D44" s="19">
        <v>54862.6</v>
      </c>
      <c r="E44" s="19">
        <f t="shared" si="0"/>
        <v>65835.12</v>
      </c>
      <c r="F44" s="17" t="s">
        <v>13</v>
      </c>
      <c r="G44" s="17" t="s">
        <v>15</v>
      </c>
      <c r="H44" s="17"/>
    </row>
    <row r="45" spans="1:8" x14ac:dyDescent="0.3">
      <c r="A45" s="17" t="s">
        <v>329</v>
      </c>
      <c r="B45" s="17" t="s">
        <v>412</v>
      </c>
      <c r="C45" s="17" t="s">
        <v>223</v>
      </c>
      <c r="D45" s="19">
        <v>11752.75</v>
      </c>
      <c r="E45" s="19">
        <f t="shared" si="0"/>
        <v>14103.3</v>
      </c>
      <c r="F45" s="17" t="s">
        <v>13</v>
      </c>
      <c r="G45" s="17"/>
      <c r="H45" s="17"/>
    </row>
    <row r="46" spans="1:8" x14ac:dyDescent="0.3">
      <c r="A46" s="17" t="s">
        <v>332</v>
      </c>
      <c r="B46" s="17" t="s">
        <v>333</v>
      </c>
      <c r="C46" s="17" t="s">
        <v>232</v>
      </c>
      <c r="D46" s="19">
        <v>42079.710000000006</v>
      </c>
      <c r="E46" s="19">
        <f t="shared" si="0"/>
        <v>50495.652000000009</v>
      </c>
      <c r="F46" s="17" t="s">
        <v>41</v>
      </c>
      <c r="G46" s="17" t="s">
        <v>15</v>
      </c>
      <c r="H46" s="17" t="s">
        <v>334</v>
      </c>
    </row>
    <row r="47" spans="1:8" x14ac:dyDescent="0.3">
      <c r="A47" s="17" t="s">
        <v>335</v>
      </c>
      <c r="B47" s="17" t="s">
        <v>336</v>
      </c>
      <c r="C47" s="17" t="s">
        <v>232</v>
      </c>
      <c r="D47" s="19">
        <v>839.04</v>
      </c>
      <c r="E47" s="19">
        <f t="shared" si="0"/>
        <v>1006.848</v>
      </c>
      <c r="F47" s="17" t="s">
        <v>41</v>
      </c>
      <c r="G47" s="17" t="s">
        <v>15</v>
      </c>
      <c r="H47" s="17"/>
    </row>
    <row r="48" spans="1:8" x14ac:dyDescent="0.3">
      <c r="D48" s="10">
        <f>SUM(D8:D47)</f>
        <v>4584602.5999999987</v>
      </c>
      <c r="E48" s="10">
        <f>SUM(E8:E47)</f>
        <v>5501523.1199999992</v>
      </c>
    </row>
    <row r="49" spans="3:5" x14ac:dyDescent="0.3">
      <c r="D49" s="22">
        <f>D48-D55</f>
        <v>0</v>
      </c>
      <c r="E49" s="22">
        <f>E48-E55</f>
        <v>0</v>
      </c>
    </row>
    <row r="51" spans="3:5" x14ac:dyDescent="0.3">
      <c r="C51" t="s">
        <v>254</v>
      </c>
      <c r="D51" s="23">
        <f>SUMIF($C$7:$C$47,C51,$D$7:$D$47)</f>
        <v>1097857.9300000002</v>
      </c>
      <c r="E51" s="51">
        <f>SUMIF($C$7:$C$47,C51,$E$7:$E$47)</f>
        <v>1317429.5160000001</v>
      </c>
    </row>
    <row r="52" spans="3:5" x14ac:dyDescent="0.3">
      <c r="C52" t="s">
        <v>256</v>
      </c>
      <c r="D52" s="23">
        <f t="shared" ref="D52:D54" si="1">SUMIF($C$7:$C$47,C52,$D$7:$D$47)</f>
        <v>710078.59000000008</v>
      </c>
      <c r="E52" s="51">
        <f t="shared" ref="E52:E54" si="2">SUMIF($C$7:$C$47,C52,$E$7:$E$47)</f>
        <v>852094.30800000008</v>
      </c>
    </row>
    <row r="53" spans="3:5" x14ac:dyDescent="0.3">
      <c r="C53" t="s">
        <v>232</v>
      </c>
      <c r="D53" s="23">
        <f t="shared" si="1"/>
        <v>1543569.8599999999</v>
      </c>
      <c r="E53" s="51">
        <f t="shared" si="2"/>
        <v>1852283.8319999995</v>
      </c>
    </row>
    <row r="54" spans="3:5" x14ac:dyDescent="0.3">
      <c r="C54" t="s">
        <v>223</v>
      </c>
      <c r="D54" s="23">
        <f t="shared" si="1"/>
        <v>1233096.22</v>
      </c>
      <c r="E54" s="51">
        <f t="shared" si="2"/>
        <v>1479715.4639999999</v>
      </c>
    </row>
    <row r="55" spans="3:5" x14ac:dyDescent="0.3">
      <c r="C55" s="11" t="s">
        <v>227</v>
      </c>
      <c r="D55" s="21">
        <f>SUM(D51:D54)</f>
        <v>4584602.5999999996</v>
      </c>
      <c r="E55" s="21">
        <f>SUM(E51:E54)</f>
        <v>5501523.1199999992</v>
      </c>
    </row>
  </sheetData>
  <autoFilter ref="A7:H4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8" sqref="H28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A28" sqref="A28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12" bestFit="1" customWidth="1"/>
    <col min="4" max="4" width="11.33203125" bestFit="1" customWidth="1"/>
    <col min="5" max="5" width="7.6640625" bestFit="1" customWidth="1"/>
    <col min="6" max="6" width="14.6640625" bestFit="1" customWidth="1"/>
    <col min="7" max="7" width="12.88671875" bestFit="1" customWidth="1"/>
    <col min="8" max="8" width="8.109375" bestFit="1" customWidth="1"/>
    <col min="9" max="9" width="9.33203125" bestFit="1" customWidth="1"/>
    <col min="10" max="10" width="22.109375" bestFit="1" customWidth="1"/>
    <col min="11" max="11" width="14.5546875" bestFit="1" customWidth="1"/>
    <col min="14" max="14" width="8.88671875" style="33"/>
  </cols>
  <sheetData>
    <row r="1" spans="1:14" x14ac:dyDescent="0.3">
      <c r="A1" s="24" t="s">
        <v>0</v>
      </c>
      <c r="B1" s="24" t="s">
        <v>1</v>
      </c>
      <c r="C1" s="24" t="s">
        <v>229</v>
      </c>
      <c r="D1" s="24" t="s">
        <v>3</v>
      </c>
      <c r="E1" s="24" t="s">
        <v>4</v>
      </c>
      <c r="F1" s="24" t="s">
        <v>230</v>
      </c>
      <c r="G1" s="24" t="s">
        <v>2</v>
      </c>
      <c r="H1" s="24" t="s">
        <v>337</v>
      </c>
      <c r="I1" s="24" t="s">
        <v>338</v>
      </c>
      <c r="J1" s="24" t="s">
        <v>369</v>
      </c>
      <c r="K1" s="24" t="s">
        <v>7</v>
      </c>
    </row>
    <row r="2" spans="1:14" x14ac:dyDescent="0.3">
      <c r="A2" s="27" t="s">
        <v>345</v>
      </c>
      <c r="B2" s="27" t="s">
        <v>346</v>
      </c>
      <c r="C2" s="27" t="s">
        <v>342</v>
      </c>
      <c r="D2" s="28">
        <v>3307.28</v>
      </c>
      <c r="E2" s="27" t="s">
        <v>12</v>
      </c>
      <c r="F2" s="27" t="s">
        <v>241</v>
      </c>
      <c r="G2" s="27" t="s">
        <v>341</v>
      </c>
      <c r="H2" s="27"/>
      <c r="I2" s="27" t="s">
        <v>252</v>
      </c>
      <c r="J2" s="29">
        <v>0.18</v>
      </c>
      <c r="K2" s="27" t="s">
        <v>344</v>
      </c>
      <c r="L2" t="s">
        <v>219</v>
      </c>
    </row>
    <row r="3" spans="1:14" x14ac:dyDescent="0.3">
      <c r="A3" s="27" t="s">
        <v>345</v>
      </c>
      <c r="B3" s="27" t="s">
        <v>347</v>
      </c>
      <c r="C3" s="27" t="s">
        <v>342</v>
      </c>
      <c r="D3" s="28">
        <v>327145.93</v>
      </c>
      <c r="E3" s="27" t="s">
        <v>12</v>
      </c>
      <c r="F3" s="27" t="s">
        <v>241</v>
      </c>
      <c r="G3" s="27" t="s">
        <v>341</v>
      </c>
      <c r="H3" s="27"/>
      <c r="I3" s="27" t="s">
        <v>348</v>
      </c>
      <c r="J3" s="29">
        <v>17.805</v>
      </c>
      <c r="K3" s="27" t="s">
        <v>344</v>
      </c>
      <c r="L3" t="s">
        <v>219</v>
      </c>
    </row>
    <row r="4" spans="1:14" ht="15" thickBot="1" x14ac:dyDescent="0.35">
      <c r="A4" s="35" t="s">
        <v>345</v>
      </c>
      <c r="B4" s="35" t="s">
        <v>349</v>
      </c>
      <c r="C4" s="35" t="s">
        <v>342</v>
      </c>
      <c r="D4" s="36">
        <v>67466.33</v>
      </c>
      <c r="E4" s="35" t="s">
        <v>12</v>
      </c>
      <c r="F4" s="35" t="s">
        <v>241</v>
      </c>
      <c r="G4" s="35" t="s">
        <v>341</v>
      </c>
      <c r="H4" s="35"/>
      <c r="I4" s="35" t="s">
        <v>350</v>
      </c>
      <c r="J4" s="37">
        <v>1.34</v>
      </c>
      <c r="K4" s="35" t="s">
        <v>344</v>
      </c>
      <c r="L4" t="s">
        <v>219</v>
      </c>
      <c r="N4" s="31">
        <f>SUM(J2:J4)</f>
        <v>19.324999999999999</v>
      </c>
    </row>
    <row r="5" spans="1:14" x14ac:dyDescent="0.3">
      <c r="A5" s="38" t="s">
        <v>345</v>
      </c>
      <c r="B5" s="39" t="s">
        <v>351</v>
      </c>
      <c r="C5" s="39" t="s">
        <v>342</v>
      </c>
      <c r="D5" s="40">
        <v>418537.66</v>
      </c>
      <c r="E5" s="39" t="s">
        <v>12</v>
      </c>
      <c r="F5" s="39" t="s">
        <v>241</v>
      </c>
      <c r="G5" s="39" t="s">
        <v>341</v>
      </c>
      <c r="H5" s="39"/>
      <c r="I5" s="39" t="s">
        <v>352</v>
      </c>
      <c r="J5" s="41">
        <v>22.495000000000001</v>
      </c>
      <c r="K5" s="42" t="s">
        <v>344</v>
      </c>
      <c r="L5" t="s">
        <v>368</v>
      </c>
    </row>
    <row r="6" spans="1:14" x14ac:dyDescent="0.3">
      <c r="A6" s="43" t="s">
        <v>345</v>
      </c>
      <c r="B6" s="25" t="s">
        <v>353</v>
      </c>
      <c r="C6" s="25" t="s">
        <v>342</v>
      </c>
      <c r="D6" s="26">
        <v>122216.93</v>
      </c>
      <c r="E6" s="25" t="s">
        <v>12</v>
      </c>
      <c r="F6" s="25" t="s">
        <v>241</v>
      </c>
      <c r="G6" s="25" t="s">
        <v>341</v>
      </c>
      <c r="H6" s="25"/>
      <c r="I6" s="25" t="s">
        <v>354</v>
      </c>
      <c r="J6" s="30">
        <v>6.6</v>
      </c>
      <c r="K6" s="44" t="s">
        <v>344</v>
      </c>
      <c r="L6" t="s">
        <v>368</v>
      </c>
    </row>
    <row r="7" spans="1:14" x14ac:dyDescent="0.3">
      <c r="A7" s="43" t="s">
        <v>345</v>
      </c>
      <c r="B7" s="25" t="s">
        <v>355</v>
      </c>
      <c r="C7" s="25" t="s">
        <v>342</v>
      </c>
      <c r="D7" s="26">
        <v>459424.54</v>
      </c>
      <c r="E7" s="25" t="s">
        <v>12</v>
      </c>
      <c r="F7" s="25" t="s">
        <v>241</v>
      </c>
      <c r="G7" s="25" t="s">
        <v>341</v>
      </c>
      <c r="H7" s="25"/>
      <c r="I7" s="25" t="s">
        <v>356</v>
      </c>
      <c r="J7" s="30">
        <v>24.81</v>
      </c>
      <c r="K7" s="44" t="s">
        <v>344</v>
      </c>
      <c r="L7" t="s">
        <v>368</v>
      </c>
    </row>
    <row r="8" spans="1:14" x14ac:dyDescent="0.3">
      <c r="A8" s="43" t="s">
        <v>345</v>
      </c>
      <c r="B8" s="25" t="s">
        <v>357</v>
      </c>
      <c r="C8" s="25" t="s">
        <v>342</v>
      </c>
      <c r="D8" s="26">
        <v>5555.26</v>
      </c>
      <c r="E8" s="25" t="s">
        <v>12</v>
      </c>
      <c r="F8" s="25" t="s">
        <v>241</v>
      </c>
      <c r="G8" s="25" t="s">
        <v>341</v>
      </c>
      <c r="H8" s="25"/>
      <c r="I8" s="25" t="s">
        <v>358</v>
      </c>
      <c r="J8" s="30">
        <v>0.3</v>
      </c>
      <c r="K8" s="44" t="s">
        <v>344</v>
      </c>
      <c r="L8" t="s">
        <v>368</v>
      </c>
    </row>
    <row r="9" spans="1:14" x14ac:dyDescent="0.3">
      <c r="A9" s="43" t="s">
        <v>345</v>
      </c>
      <c r="B9" s="25" t="s">
        <v>359</v>
      </c>
      <c r="C9" s="25" t="s">
        <v>342</v>
      </c>
      <c r="D9" s="26">
        <v>130519.74</v>
      </c>
      <c r="E9" s="25" t="s">
        <v>12</v>
      </c>
      <c r="F9" s="25" t="s">
        <v>241</v>
      </c>
      <c r="G9" s="25" t="s">
        <v>341</v>
      </c>
      <c r="H9" s="25"/>
      <c r="I9" s="25" t="s">
        <v>343</v>
      </c>
      <c r="J9" s="30">
        <v>7.0149999999999997</v>
      </c>
      <c r="K9" s="44" t="s">
        <v>344</v>
      </c>
      <c r="L9" t="s">
        <v>368</v>
      </c>
    </row>
    <row r="10" spans="1:14" x14ac:dyDescent="0.3">
      <c r="A10" s="43" t="s">
        <v>345</v>
      </c>
      <c r="B10" s="25" t="s">
        <v>360</v>
      </c>
      <c r="C10" s="25" t="s">
        <v>342</v>
      </c>
      <c r="D10" s="26">
        <v>67404.44</v>
      </c>
      <c r="E10" s="25" t="s">
        <v>12</v>
      </c>
      <c r="F10" s="25" t="s">
        <v>241</v>
      </c>
      <c r="G10" s="25" t="s">
        <v>341</v>
      </c>
      <c r="H10" s="25"/>
      <c r="I10" s="25" t="s">
        <v>361</v>
      </c>
      <c r="J10" s="30">
        <v>3.64</v>
      </c>
      <c r="K10" s="44" t="s">
        <v>344</v>
      </c>
      <c r="L10" t="s">
        <v>368</v>
      </c>
    </row>
    <row r="11" spans="1:14" x14ac:dyDescent="0.3">
      <c r="A11" s="43" t="s">
        <v>345</v>
      </c>
      <c r="B11" s="25" t="s">
        <v>362</v>
      </c>
      <c r="C11" s="25" t="s">
        <v>342</v>
      </c>
      <c r="D11" s="26">
        <v>183918.41</v>
      </c>
      <c r="E11" s="25" t="s">
        <v>12</v>
      </c>
      <c r="F11" s="25" t="s">
        <v>241</v>
      </c>
      <c r="G11" s="25" t="s">
        <v>341</v>
      </c>
      <c r="H11" s="25"/>
      <c r="I11" s="25" t="s">
        <v>363</v>
      </c>
      <c r="J11" s="30">
        <v>9.8849999999999998</v>
      </c>
      <c r="K11" s="44" t="s">
        <v>344</v>
      </c>
      <c r="L11" t="s">
        <v>368</v>
      </c>
    </row>
    <row r="12" spans="1:14" x14ac:dyDescent="0.3">
      <c r="A12" s="43" t="s">
        <v>345</v>
      </c>
      <c r="B12" s="25" t="s">
        <v>364</v>
      </c>
      <c r="C12" s="25" t="s">
        <v>342</v>
      </c>
      <c r="D12" s="26">
        <v>227119.64</v>
      </c>
      <c r="E12" s="25" t="s">
        <v>12</v>
      </c>
      <c r="F12" s="25" t="s">
        <v>241</v>
      </c>
      <c r="G12" s="25" t="s">
        <v>341</v>
      </c>
      <c r="H12" s="25"/>
      <c r="I12" s="25" t="s">
        <v>365</v>
      </c>
      <c r="J12" s="30">
        <v>12.265000000000001</v>
      </c>
      <c r="K12" s="44" t="s">
        <v>344</v>
      </c>
      <c r="L12" t="s">
        <v>368</v>
      </c>
    </row>
    <row r="13" spans="1:14" ht="15" thickBot="1" x14ac:dyDescent="0.35">
      <c r="A13" s="45" t="s">
        <v>345</v>
      </c>
      <c r="B13" s="46" t="s">
        <v>366</v>
      </c>
      <c r="C13" s="46" t="s">
        <v>342</v>
      </c>
      <c r="D13" s="47">
        <v>22498.76</v>
      </c>
      <c r="E13" s="46" t="s">
        <v>12</v>
      </c>
      <c r="F13" s="46" t="s">
        <v>241</v>
      </c>
      <c r="G13" s="46" t="s">
        <v>341</v>
      </c>
      <c r="H13" s="46"/>
      <c r="I13" s="46" t="s">
        <v>367</v>
      </c>
      <c r="J13" s="48">
        <v>1.2150000000000001</v>
      </c>
      <c r="K13" s="49" t="s">
        <v>344</v>
      </c>
      <c r="L13" t="s">
        <v>368</v>
      </c>
      <c r="N13" s="31">
        <f>SUM(J5:J13)</f>
        <v>88.225000000000009</v>
      </c>
    </row>
    <row r="14" spans="1:14" x14ac:dyDescent="0.3">
      <c r="D14" s="15">
        <f>SUM(D5:D13)</f>
        <v>1637195.3799999997</v>
      </c>
      <c r="J14" s="32">
        <f>SUM(J2:J13)</f>
        <v>107.55000000000001</v>
      </c>
    </row>
    <row r="16" spans="1:14" x14ac:dyDescent="0.3">
      <c r="A16" s="34">
        <v>45443</v>
      </c>
      <c r="B16" s="25"/>
      <c r="C16" s="25" t="s">
        <v>342</v>
      </c>
      <c r="D16" s="26">
        <v>16800</v>
      </c>
      <c r="E16" s="25" t="s">
        <v>12</v>
      </c>
      <c r="F16" s="25" t="s">
        <v>241</v>
      </c>
      <c r="G16" s="25" t="s">
        <v>341</v>
      </c>
      <c r="H16" s="25"/>
      <c r="I16" s="25">
        <v>21</v>
      </c>
      <c r="J16" s="30" t="s">
        <v>370</v>
      </c>
      <c r="K16" s="25" t="s">
        <v>344</v>
      </c>
      <c r="L16" t="s">
        <v>368</v>
      </c>
    </row>
    <row r="17" spans="1:14" x14ac:dyDescent="0.3">
      <c r="D17" s="15">
        <f>SUM(D16)</f>
        <v>16800</v>
      </c>
    </row>
    <row r="19" spans="1:14" x14ac:dyDescent="0.3">
      <c r="A19" s="24" t="s">
        <v>0</v>
      </c>
      <c r="B19" s="24" t="s">
        <v>1</v>
      </c>
      <c r="C19" s="24" t="s">
        <v>229</v>
      </c>
      <c r="D19" s="24" t="s">
        <v>3</v>
      </c>
      <c r="E19" s="24" t="s">
        <v>4</v>
      </c>
      <c r="F19" s="24" t="s">
        <v>230</v>
      </c>
      <c r="G19" s="24" t="s">
        <v>2</v>
      </c>
      <c r="H19" s="24" t="s">
        <v>337</v>
      </c>
      <c r="I19" s="24" t="s">
        <v>338</v>
      </c>
      <c r="J19" s="24" t="s">
        <v>339</v>
      </c>
      <c r="K19" s="24" t="s">
        <v>340</v>
      </c>
      <c r="L19" s="24" t="s">
        <v>6</v>
      </c>
      <c r="M19" s="24" t="s">
        <v>7</v>
      </c>
    </row>
    <row r="20" spans="1:14" x14ac:dyDescent="0.3">
      <c r="A20" s="25" t="s">
        <v>371</v>
      </c>
      <c r="B20" s="25" t="s">
        <v>372</v>
      </c>
      <c r="C20" s="25" t="s">
        <v>342</v>
      </c>
      <c r="D20" s="26">
        <v>115137.1</v>
      </c>
      <c r="E20" s="25" t="s">
        <v>12</v>
      </c>
      <c r="F20" s="25" t="s">
        <v>223</v>
      </c>
      <c r="G20" s="25" t="s">
        <v>373</v>
      </c>
      <c r="H20" s="25" t="s">
        <v>374</v>
      </c>
      <c r="I20" s="25" t="s">
        <v>375</v>
      </c>
      <c r="J20" s="25" t="s">
        <v>376</v>
      </c>
      <c r="K20" s="25" t="s">
        <v>377</v>
      </c>
      <c r="L20" s="25" t="s">
        <v>14</v>
      </c>
      <c r="M20" s="25" t="s">
        <v>15</v>
      </c>
    </row>
    <row r="21" spans="1:14" x14ac:dyDescent="0.3">
      <c r="A21" s="25" t="s">
        <v>378</v>
      </c>
      <c r="B21" s="25" t="s">
        <v>379</v>
      </c>
      <c r="C21" s="25" t="s">
        <v>342</v>
      </c>
      <c r="D21" s="26">
        <v>330718.15999999997</v>
      </c>
      <c r="E21" s="25" t="s">
        <v>12</v>
      </c>
      <c r="F21" s="25" t="s">
        <v>223</v>
      </c>
      <c r="G21" s="25" t="s">
        <v>373</v>
      </c>
      <c r="H21" s="25" t="s">
        <v>380</v>
      </c>
      <c r="I21" s="25" t="s">
        <v>381</v>
      </c>
      <c r="J21" s="25" t="s">
        <v>376</v>
      </c>
      <c r="K21" s="25" t="s">
        <v>377</v>
      </c>
      <c r="L21" s="25" t="s">
        <v>14</v>
      </c>
      <c r="M21" s="25" t="s">
        <v>15</v>
      </c>
    </row>
    <row r="22" spans="1:14" x14ac:dyDescent="0.3">
      <c r="D22" s="15">
        <f>SUM(D20:D21)</f>
        <v>445855.26</v>
      </c>
    </row>
    <row r="24" spans="1:14" x14ac:dyDescent="0.3">
      <c r="A24" s="24" t="s">
        <v>0</v>
      </c>
      <c r="B24" s="24" t="s">
        <v>1</v>
      </c>
      <c r="C24" s="24" t="s">
        <v>229</v>
      </c>
      <c r="D24" s="24" t="s">
        <v>3</v>
      </c>
      <c r="E24" s="24" t="s">
        <v>4</v>
      </c>
      <c r="F24" s="24" t="s">
        <v>230</v>
      </c>
      <c r="G24" s="24" t="s">
        <v>2</v>
      </c>
      <c r="H24" s="24" t="s">
        <v>337</v>
      </c>
      <c r="I24" s="24" t="s">
        <v>338</v>
      </c>
      <c r="J24" s="24" t="s">
        <v>339</v>
      </c>
      <c r="K24" s="24" t="s">
        <v>340</v>
      </c>
      <c r="L24" s="24" t="s">
        <v>6</v>
      </c>
      <c r="M24" s="24" t="s">
        <v>7</v>
      </c>
      <c r="N24" s="24" t="s">
        <v>8</v>
      </c>
    </row>
    <row r="25" spans="1:14" x14ac:dyDescent="0.3">
      <c r="A25" s="25" t="s">
        <v>382</v>
      </c>
      <c r="B25" s="25" t="s">
        <v>383</v>
      </c>
      <c r="C25" s="25" t="s">
        <v>342</v>
      </c>
      <c r="D25" s="26">
        <v>212500</v>
      </c>
      <c r="E25" s="25" t="s">
        <v>12</v>
      </c>
      <c r="F25" s="25"/>
      <c r="G25" s="25" t="s">
        <v>384</v>
      </c>
      <c r="H25" s="25" t="s">
        <v>385</v>
      </c>
      <c r="I25" s="25" t="s">
        <v>386</v>
      </c>
      <c r="J25" s="25" t="s">
        <v>387</v>
      </c>
      <c r="K25" s="25" t="s">
        <v>388</v>
      </c>
      <c r="L25" s="25" t="s">
        <v>14</v>
      </c>
      <c r="M25" s="25" t="s">
        <v>344</v>
      </c>
      <c r="N25" s="25" t="s">
        <v>389</v>
      </c>
    </row>
    <row r="26" spans="1:14" x14ac:dyDescent="0.3">
      <c r="D26" s="15">
        <f>SUM(D25)</f>
        <v>212500</v>
      </c>
    </row>
    <row r="28" spans="1:14" x14ac:dyDescent="0.3">
      <c r="A28" s="24" t="s">
        <v>0</v>
      </c>
      <c r="B28" s="24" t="s">
        <v>1</v>
      </c>
      <c r="C28" s="24" t="s">
        <v>229</v>
      </c>
      <c r="D28" s="24" t="s">
        <v>3</v>
      </c>
      <c r="E28" s="24" t="s">
        <v>4</v>
      </c>
      <c r="F28" s="24" t="s">
        <v>230</v>
      </c>
      <c r="G28" s="24" t="s">
        <v>2</v>
      </c>
      <c r="H28" s="24" t="s">
        <v>337</v>
      </c>
      <c r="I28" s="24" t="s">
        <v>338</v>
      </c>
      <c r="J28" s="24" t="s">
        <v>339</v>
      </c>
      <c r="K28" s="24" t="s">
        <v>340</v>
      </c>
      <c r="L28" s="24" t="s">
        <v>6</v>
      </c>
      <c r="M28" s="24" t="s">
        <v>7</v>
      </c>
    </row>
    <row r="29" spans="1:14" x14ac:dyDescent="0.3">
      <c r="A29" s="25" t="s">
        <v>390</v>
      </c>
      <c r="B29" s="25" t="s">
        <v>391</v>
      </c>
      <c r="C29" s="25" t="s">
        <v>342</v>
      </c>
      <c r="D29" s="26">
        <v>246197.3</v>
      </c>
      <c r="E29" s="25" t="s">
        <v>12</v>
      </c>
      <c r="F29" s="25" t="s">
        <v>392</v>
      </c>
      <c r="G29" s="25" t="s">
        <v>393</v>
      </c>
      <c r="H29" s="25" t="s">
        <v>394</v>
      </c>
      <c r="I29" s="25" t="s">
        <v>395</v>
      </c>
      <c r="J29" s="25" t="s">
        <v>396</v>
      </c>
      <c r="K29" s="25"/>
      <c r="L29" s="25" t="s">
        <v>14</v>
      </c>
      <c r="M29" s="25" t="s">
        <v>15</v>
      </c>
    </row>
    <row r="30" spans="1:14" x14ac:dyDescent="0.3">
      <c r="A30" s="25" t="s">
        <v>397</v>
      </c>
      <c r="B30" s="25" t="s">
        <v>398</v>
      </c>
      <c r="C30" s="25" t="s">
        <v>342</v>
      </c>
      <c r="D30" s="26">
        <v>69509.53</v>
      </c>
      <c r="E30" s="25" t="s">
        <v>12</v>
      </c>
      <c r="F30" s="25" t="s">
        <v>392</v>
      </c>
      <c r="G30" s="25" t="s">
        <v>393</v>
      </c>
      <c r="H30" s="25" t="s">
        <v>394</v>
      </c>
      <c r="I30" s="25" t="s">
        <v>395</v>
      </c>
      <c r="J30" s="25" t="s">
        <v>396</v>
      </c>
      <c r="K30" s="25"/>
      <c r="L30" s="25" t="s">
        <v>14</v>
      </c>
      <c r="M30" s="25" t="s">
        <v>15</v>
      </c>
    </row>
    <row r="31" spans="1:14" x14ac:dyDescent="0.3">
      <c r="D31" s="15">
        <f>SUM(D29:D30)</f>
        <v>315706.82999999996</v>
      </c>
    </row>
    <row r="33" spans="1:13" x14ac:dyDescent="0.3">
      <c r="A33" s="24" t="s">
        <v>0</v>
      </c>
      <c r="B33" s="24" t="s">
        <v>1</v>
      </c>
      <c r="C33" s="24" t="s">
        <v>229</v>
      </c>
      <c r="D33" s="24" t="s">
        <v>3</v>
      </c>
      <c r="E33" s="24" t="s">
        <v>4</v>
      </c>
      <c r="F33" s="24" t="s">
        <v>230</v>
      </c>
      <c r="G33" s="24" t="s">
        <v>2</v>
      </c>
      <c r="H33" s="24" t="s">
        <v>337</v>
      </c>
      <c r="I33" s="24" t="s">
        <v>338</v>
      </c>
      <c r="J33" s="24" t="s">
        <v>339</v>
      </c>
      <c r="K33" s="24" t="s">
        <v>340</v>
      </c>
      <c r="L33" s="24" t="s">
        <v>6</v>
      </c>
      <c r="M33" s="24" t="s">
        <v>7</v>
      </c>
    </row>
    <row r="34" spans="1:13" x14ac:dyDescent="0.3">
      <c r="A34" s="25" t="s">
        <v>399</v>
      </c>
      <c r="B34" s="25" t="s">
        <v>400</v>
      </c>
      <c r="C34" s="25" t="s">
        <v>342</v>
      </c>
      <c r="D34" s="26">
        <v>223918.19</v>
      </c>
      <c r="E34" s="25" t="s">
        <v>12</v>
      </c>
      <c r="F34" s="25" t="s">
        <v>232</v>
      </c>
      <c r="G34" s="25" t="s">
        <v>401</v>
      </c>
      <c r="H34" s="25" t="s">
        <v>402</v>
      </c>
      <c r="I34" s="25" t="s">
        <v>403</v>
      </c>
      <c r="J34" s="25" t="s">
        <v>404</v>
      </c>
      <c r="K34" s="25" t="s">
        <v>405</v>
      </c>
      <c r="L34" s="25" t="s">
        <v>14</v>
      </c>
      <c r="M34" s="25" t="s">
        <v>15</v>
      </c>
    </row>
    <row r="35" spans="1:13" x14ac:dyDescent="0.3">
      <c r="A35" s="25" t="s">
        <v>406</v>
      </c>
      <c r="B35" s="25" t="s">
        <v>407</v>
      </c>
      <c r="C35" s="25" t="s">
        <v>342</v>
      </c>
      <c r="D35" s="26">
        <v>66808.929999999993</v>
      </c>
      <c r="E35" s="25" t="s">
        <v>12</v>
      </c>
      <c r="F35" s="25" t="s">
        <v>232</v>
      </c>
      <c r="G35" s="25" t="s">
        <v>401</v>
      </c>
      <c r="H35" s="25" t="s">
        <v>402</v>
      </c>
      <c r="I35" s="25" t="s">
        <v>403</v>
      </c>
      <c r="J35" s="25" t="s">
        <v>404</v>
      </c>
      <c r="K35" s="25" t="s">
        <v>405</v>
      </c>
      <c r="L35" s="25" t="s">
        <v>14</v>
      </c>
      <c r="M35" s="25" t="s">
        <v>15</v>
      </c>
    </row>
    <row r="36" spans="1:13" x14ac:dyDescent="0.3">
      <c r="D36" s="15">
        <f>SUM(D34:D35)</f>
        <v>290727.12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Акты заказчика</vt:lpstr>
      <vt:lpstr>Списание стройматериалов</vt:lpstr>
      <vt:lpstr>ВаловаяПрибыль</vt:lpstr>
      <vt:lpstr>Услуги_сторонних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2024-07-19T06:00:30Z</dcterms:modified>
</cp:coreProperties>
</file>
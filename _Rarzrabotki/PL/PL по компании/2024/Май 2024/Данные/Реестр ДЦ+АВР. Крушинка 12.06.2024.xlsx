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92" yWindow="-108" windowWidth="23256" windowHeight="13176" tabRatio="531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ДЦ Замовник" sheetId="21" r:id="rId4"/>
    <sheet name="Реєстр АВР " sheetId="22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externalReferences>
    <externalReference r:id="rId10"/>
  </externalReferences>
  <definedNames>
    <definedName name="_xlnm._FilterDatabase" localSheetId="5" hidden="1">'10 акт переносится'!$A$7:$AD$31</definedName>
    <definedName name="_xlnm._FilterDatabase" localSheetId="3" hidden="1">'ДЦ Замовник'!#REF!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4" hidden="1">'Реєстр АВР '!$A$4:$L$74</definedName>
    <definedName name="_xlnm.Print_Area" localSheetId="5">'10 акт переносится'!$A$2:$Y$72</definedName>
    <definedName name="_xlnm.Print_Area" localSheetId="3">'ДЦ Замовник'!$B$1:$R$35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4">'Реєстр АВР '!$A$2:$L$75</definedName>
  </definedNames>
  <calcPr calcId="145621"/>
</workbook>
</file>

<file path=xl/calcChain.xml><?xml version="1.0" encoding="utf-8"?>
<calcChain xmlns="http://schemas.openxmlformats.org/spreadsheetml/2006/main">
  <c r="J57" i="22" l="1"/>
  <c r="I59" i="22"/>
  <c r="J59" i="22" s="1"/>
  <c r="I41" i="22"/>
  <c r="J41" i="22" s="1"/>
  <c r="I12" i="22"/>
  <c r="J12" i="22" s="1"/>
  <c r="I49" i="22" l="1"/>
  <c r="J49" i="22" s="1"/>
  <c r="M73" i="22"/>
  <c r="J73" i="22"/>
  <c r="I62" i="22"/>
  <c r="J62" i="22" s="1"/>
  <c r="I66" i="22" l="1"/>
  <c r="J66" i="22" s="1"/>
  <c r="I40" i="22"/>
  <c r="J40" i="22" s="1"/>
  <c r="I39" i="22"/>
  <c r="I38" i="22"/>
  <c r="J38" i="22" s="1"/>
  <c r="I36" i="22"/>
  <c r="J36" i="22" s="1"/>
  <c r="G24" i="21"/>
  <c r="I37" i="22"/>
  <c r="J37" i="22" s="1"/>
  <c r="I65" i="22"/>
  <c r="J65" i="22" s="1"/>
  <c r="I72" i="22"/>
  <c r="J72" i="22" s="1"/>
  <c r="J61" i="22"/>
  <c r="I56" i="22"/>
  <c r="J56" i="22" s="1"/>
  <c r="I35" i="22"/>
  <c r="J35" i="22" s="1"/>
  <c r="I50" i="22"/>
  <c r="J50" i="22" s="1"/>
  <c r="J58" i="22"/>
  <c r="I33" i="22"/>
  <c r="J33" i="22" s="1"/>
  <c r="I34" i="22"/>
  <c r="I32" i="22"/>
  <c r="J32" i="22" s="1"/>
  <c r="I31" i="22"/>
  <c r="J31" i="22" s="1"/>
  <c r="F70" i="22"/>
  <c r="I70" i="22" s="1"/>
  <c r="J70" i="22" s="1"/>
  <c r="I55" i="22"/>
  <c r="J55" i="22" s="1"/>
  <c r="I68" i="22"/>
  <c r="J68" i="22" s="1"/>
  <c r="I30" i="22"/>
  <c r="J30" i="22" s="1"/>
  <c r="T14" i="21"/>
  <c r="I60" i="22"/>
  <c r="J60" i="22" s="1"/>
  <c r="J48" i="22"/>
  <c r="J47" i="22"/>
  <c r="I46" i="22"/>
  <c r="J46" i="22" s="1"/>
  <c r="J45" i="22"/>
  <c r="J44" i="22"/>
  <c r="J43" i="22"/>
  <c r="N31" i="21"/>
  <c r="O15" i="21"/>
  <c r="O17" i="21"/>
  <c r="E18" i="21"/>
  <c r="E17" i="21"/>
  <c r="E16" i="21"/>
  <c r="E15" i="21"/>
  <c r="E14" i="21"/>
  <c r="E13" i="21"/>
  <c r="E12" i="21"/>
  <c r="E10" i="21"/>
  <c r="E11" i="21"/>
  <c r="E19" i="21"/>
  <c r="E20" i="21"/>
  <c r="E21" i="21"/>
  <c r="E22" i="21"/>
  <c r="E23" i="21"/>
  <c r="F9" i="21"/>
  <c r="F31" i="21" s="1"/>
  <c r="F71" i="22"/>
  <c r="I71" i="22" s="1"/>
  <c r="J71" i="22" s="1"/>
  <c r="I53" i="22"/>
  <c r="J53" i="22" s="1"/>
  <c r="I69" i="22"/>
  <c r="J69" i="22" s="1"/>
  <c r="F51" i="22"/>
  <c r="I51" i="22" l="1"/>
  <c r="J51" i="22" s="1"/>
  <c r="F74" i="22"/>
  <c r="J39" i="22"/>
  <c r="J34" i="22"/>
  <c r="E9" i="21"/>
  <c r="I29" i="22"/>
  <c r="J29" i="22" s="1"/>
  <c r="J54" i="22"/>
  <c r="D7" i="22"/>
  <c r="I7" i="22"/>
  <c r="I10" i="22"/>
  <c r="J10" i="22" s="1"/>
  <c r="I11" i="22"/>
  <c r="J11" i="22" s="1"/>
  <c r="D15" i="22"/>
  <c r="I15" i="22"/>
  <c r="K15" i="22" s="1"/>
  <c r="K16" i="22"/>
  <c r="I17" i="22"/>
  <c r="K17" i="22" s="1"/>
  <c r="I18" i="22"/>
  <c r="K18" i="22" s="1"/>
  <c r="J19" i="22"/>
  <c r="J20" i="22"/>
  <c r="I21" i="22"/>
  <c r="K21" i="22"/>
  <c r="I22" i="22"/>
  <c r="J22" i="22" s="1"/>
  <c r="I23" i="22"/>
  <c r="J23" i="22" s="1"/>
  <c r="I24" i="22"/>
  <c r="J24" i="22" s="1"/>
  <c r="I25" i="22"/>
  <c r="J25" i="22" s="1"/>
  <c r="I26" i="22"/>
  <c r="J26" i="22" s="1"/>
  <c r="I27" i="22"/>
  <c r="J27" i="22" s="1"/>
  <c r="I28" i="22"/>
  <c r="J28" i="22" s="1"/>
  <c r="I52" i="22"/>
  <c r="J52" i="22" s="1"/>
  <c r="I63" i="22"/>
  <c r="J63" i="22" s="1"/>
  <c r="I64" i="22"/>
  <c r="J64" i="22" s="1"/>
  <c r="I67" i="22"/>
  <c r="J67" i="22" s="1"/>
  <c r="K74" i="22" l="1"/>
  <c r="I74" i="22"/>
  <c r="D74" i="22"/>
  <c r="J7" i="22"/>
  <c r="J21" i="22"/>
  <c r="J74" i="22" l="1"/>
  <c r="P11" i="21"/>
  <c r="O11" i="21" s="1"/>
  <c r="O31" i="21" s="1"/>
  <c r="P31" i="21" l="1"/>
  <c r="H31" i="21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C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s="1"/>
  <c r="H9" i="18" l="1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  <c r="G31" i="21"/>
  <c r="E31" i="21" s="1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<sst xmlns="http://schemas.openxmlformats.org/spreadsheetml/2006/main" count="595" uniqueCount="270">
  <si>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</si>
  <si>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</si>
  <si>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</si>
  <si>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</si>
  <si>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</si>
  <si>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</si>
  <si>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</si>
  <si>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</si>
  <si>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</si>
  <si>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</si>
  <si>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</si>
  <si>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</si>
  <si>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</si>
  <si>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</si>
  <si>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</si>
  <si>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</si>
  <si>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</si>
  <si>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</si>
  <si>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</si>
  <si>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</si>
  <si>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</si>
  <si>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</si>
  <si>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</si>
  <si>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</si>
  <si>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</si>
  <si>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</si>
  <si>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</si>
  <si>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</si>
  <si>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</si>
  <si>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</si>
  <si>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</si>
  <si>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</si>
  <si>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</si>
  <si>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</si>
  <si>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</si>
  <si>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</si>
  <si>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</si>
  <si>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</si>
  <si>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</si>
  <si>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</si>
  <si>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</si>
  <si>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</si>
  <si>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</si>
  <si>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</si>
  <si>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</si>
  <si>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</si>
  <si>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</si>
  <si>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</si>
  <si>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</si>
  <si>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</si>
  <si>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</si>
  <si>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</si>
  <si>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</si>
  <si>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</si>
  <si>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</si>
  <si>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</si>
  <si>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</si>
  <si>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</si>
  <si>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</si>
  <si>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</si>
  <si>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</si>
  <si>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</si>
  <si>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</si>
  <si>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</si>
  <si>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</si>
  <si>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</si>
  <si>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</si>
  <si>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</si>
  <si>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</si>
  <si>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</si>
  <si>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</si>
  <si>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</si>
  <si>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</si>
  <si>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</si>
  <si>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</si>
  <si>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</si>
  <si>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</si>
  <si>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</si>
  <si>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</si>
  <si>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</si>
  <si>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</si>
  <si>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</si>
  <si>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</si>
  <si>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</si>
  <si>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</si>
  <si>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</si>
  <si>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</si>
  <si>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</si>
  <si>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</si>
  <si>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</si>
  <si>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</si>
  <si>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</si>
  <si>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</si>
  <si>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</si>
  <si>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</si>
  <si>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</si>
  <si>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</si>
  <si>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</si>
  <si>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</si>
  <si>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</si>
  <si>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</si>
  <si>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</si>
  <si>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</si>
  <si>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</si>
  <si>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</si>
  <si>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</si>
  <si>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</si>
  <si>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</si>
  <si>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</si>
  <si>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</si>
  <si>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</si>
  <si>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</si>
  <si>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</si>
  <si>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</si>
  <si>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</si>
  <si>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</si>
  <si>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</si>
  <si>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</si>
  <si>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r>
      <t xml:space="preserve">Підрядник: </t>
    </r>
    <r>
      <rPr>
        <sz val="11"/>
        <color indexed="8"/>
        <rFont val="Times New Roman"/>
        <family val="1"/>
        <charset val="204"/>
      </rPr>
      <t>ТОВ "ІНДАСТРІАЛБУД"</t>
    </r>
  </si>
  <si>
    <t>ВСЬОГО вартість погоджених ДЦ, грн з ПДВ</t>
  </si>
  <si>
    <t>матеріал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</si>
  <si>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</si>
  <si>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</si>
  <si>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</si>
  <si>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</si>
  <si>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</si>
  <si>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</si>
  <si>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</si>
  <si>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</si>
  <si>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</si>
  <si>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</si>
  <si>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</si>
  <si>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</si>
  <si>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</si>
  <si>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</si>
  <si>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</si>
  <si>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</si>
  <si>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</si>
  <si>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</si>
  <si>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</si>
  <si>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</si>
  <si>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</si>
  <si>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</si>
  <si>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</si>
  <si>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</si>
  <si>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</si>
  <si>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</si>
  <si>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</si>
  <si>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</si>
  <si>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</si>
  <si>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</si>
  <si>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</si>
  <si>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</si>
  <si>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</si>
  <si>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</si>
  <si>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</si>
  <si>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</si>
  <si>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</si>
  <si>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</si>
  <si>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</si>
  <si>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</si>
  <si>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</si>
  <si>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</si>
  <si>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</si>
  <si>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</si>
  <si>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</si>
  <si>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</si>
  <si>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</si>
  <si>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</si>
  <si>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</si>
  <si>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</si>
  <si>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</si>
  <si>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</si>
  <si>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</si>
  <si>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</si>
  <si>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</si>
  <si>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</si>
  <si>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</si>
  <si>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</si>
  <si>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</si>
  <si>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</si>
  <si>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</si>
  <si>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</si>
  <si>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</si>
  <si>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</si>
  <si>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</si>
  <si>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</si>
  <si>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</si>
  <si>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№, період, статус 2023 р.</t>
  </si>
  <si>
    <t>статус</t>
  </si>
  <si>
    <t>Найменування договірної ціни</t>
  </si>
  <si>
    <t>оригінал</t>
  </si>
  <si>
    <t>Земляні роботи</t>
  </si>
  <si>
    <t>Конструкції залізобетонні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</si>
  <si>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"Нове будівництво виробничого комплексу центру передових технологій в
с.Крушинка, Фастівського району, Київської області"</t>
    </r>
  </si>
  <si>
    <r>
      <t xml:space="preserve">Замовник: </t>
    </r>
    <r>
      <rPr>
        <sz val="11"/>
        <color indexed="8"/>
        <rFont val="Times New Roman"/>
        <family val="1"/>
        <charset val="204"/>
      </rPr>
      <t xml:space="preserve">ТОВ «АВІА ВЕНЧУРС»  </t>
    </r>
  </si>
  <si>
    <r>
      <t xml:space="preserve">Договір </t>
    </r>
    <r>
      <rPr>
        <sz val="11"/>
        <color indexed="8"/>
        <rFont val="Times New Roman"/>
        <family val="1"/>
        <charset val="204"/>
      </rPr>
      <t xml:space="preserve">№ 20230815-3  від “15 ” серпня  2023  р.  </t>
    </r>
  </si>
  <si>
    <t xml:space="preserve">ДУ №1 від 20.09.2023 р. до Договору №20230815-3 від 15.08.2023 р.  </t>
  </si>
  <si>
    <t>Будівельне водозниження</t>
  </si>
  <si>
    <t xml:space="preserve">ДУ №2 від 22.09.2023 р. до Договору №20230815-3 від 15.08.2023 р.  </t>
  </si>
  <si>
    <t>Найменування субпідрядної організації</t>
  </si>
  <si>
    <t xml:space="preserve">ТОВ «ДНІПРО АКВАБУД ІНВЕСТ»  </t>
  </si>
  <si>
    <t>СУБПІДРЯД</t>
  </si>
  <si>
    <t>підписано</t>
  </si>
  <si>
    <t>Водозниження</t>
  </si>
  <si>
    <t>ДУ№2</t>
  </si>
  <si>
    <t>Гідроізоляція автоклаву</t>
  </si>
  <si>
    <t>Гідроізоляція котловану</t>
  </si>
  <si>
    <t>Договір № F-20231127-1 від 27.11.2023 р.</t>
  </si>
  <si>
    <t xml:space="preserve">ДУ №1 від 27.11.2023 р. до Договору № F-20231127-1 від 27.11.2023 р.  </t>
  </si>
  <si>
    <t>Каналізація (в плиті)</t>
  </si>
  <si>
    <t>Хім.анкера (дефектний акт №5)</t>
  </si>
  <si>
    <t>ДУ №4 від 04.01.2024 р. до Договору №20230815-3 від 15.08.2023 р.</t>
  </si>
  <si>
    <t>Каналізація в плиті</t>
  </si>
  <si>
    <t>Підписано</t>
  </si>
  <si>
    <t>ДУ №3 від 26.12.2023 р. до Договору №20230815-3 від 15.08.2023 р.</t>
  </si>
  <si>
    <t>ДУ№1</t>
  </si>
  <si>
    <t>№ F-20231127-1</t>
  </si>
  <si>
    <t>Гідрошпонка</t>
  </si>
  <si>
    <t xml:space="preserve">ДУ №2 від 17.01.2024 р. до Договору № F-20231127-1 від 27.11.2023 р.  </t>
  </si>
  <si>
    <t>Електрообігрів бетону</t>
  </si>
  <si>
    <t>ДУ №5 від 17.01.2024 р. до Договору №20230815-3 від 15.08.2023 р.</t>
  </si>
  <si>
    <t>ДУ №6 від 22.01.2024 р. до Договору №20230815-3 від 15.08.2023 р.</t>
  </si>
  <si>
    <t>Зворотня засипка піском</t>
  </si>
  <si>
    <t>Заїзд в котлован</t>
  </si>
  <si>
    <t>Армування підбетонки; Двері; Бентонітовий шнур</t>
  </si>
  <si>
    <t>Армування підбетонки приямків сіткою+Двері+Бентонітовий шнур</t>
  </si>
  <si>
    <t>Найменування будівництва та його адреса: Нове будівництво виробничого комплексу центру передових технологій за адресою: вул. Авіаційна,
с.Крушинка, Фастівського району, Київської області</t>
  </si>
  <si>
    <t>Робота з ПДВ,грн</t>
  </si>
  <si>
    <t>Матеріали з ПДВ,грн</t>
  </si>
  <si>
    <t>Всього по ДЦ з ПДВ, грн</t>
  </si>
  <si>
    <t>Собівартість,грн</t>
  </si>
  <si>
    <t>Коментарі</t>
  </si>
  <si>
    <t>ДУ №7 від 24.01.2024 р. до Договору №20230815-3 від 15.08.2023 р.</t>
  </si>
  <si>
    <t>ДУ№3</t>
  </si>
  <si>
    <t>ДУ №8 від 07.03.2024 р. до Договору №20230815-3 від 15.08.2023 р.</t>
  </si>
  <si>
    <t>ДУ №9 від 07.03.2024 р. до Договору №20230815-3 від 15.08.2023 р.</t>
  </si>
  <si>
    <t>не підписано</t>
  </si>
  <si>
    <t>7</t>
  </si>
  <si>
    <t>8</t>
  </si>
  <si>
    <t>9</t>
  </si>
  <si>
    <t>10</t>
  </si>
  <si>
    <t>Дорога до відвалу +Водовідведення Зумпф,дорога для крана</t>
  </si>
  <si>
    <t>Влаштування ЗУМПФ+водовідведення+ дорога для крану+дорога у відвал</t>
  </si>
  <si>
    <t>тн замовника</t>
  </si>
  <si>
    <t>ДУ №10 від .2024 р. до Договору №20230815-3 від 15.08.2023 р.</t>
  </si>
  <si>
    <t>ДУ №11 від .2024 р. до Договору №20230815-3 від 15.08.2023 р.</t>
  </si>
  <si>
    <t>Водозниження (ВУХО)</t>
  </si>
  <si>
    <t>Водозниження (травень)</t>
  </si>
  <si>
    <t>ДУ№12</t>
  </si>
  <si>
    <t>ДУ№10</t>
  </si>
  <si>
    <t>ДУ№11</t>
  </si>
  <si>
    <t>ДУ №12 від .2024 р. до Договору №20230815-3 від 15.08.2023 р.</t>
  </si>
  <si>
    <t>кошторисник замовника</t>
  </si>
  <si>
    <t xml:space="preserve">оригінал </t>
  </si>
  <si>
    <t>3 червня</t>
  </si>
  <si>
    <t>Підколонники</t>
  </si>
  <si>
    <t xml:space="preserve">Котловану ВУХО. </t>
  </si>
  <si>
    <t>будемо доказувати витрати піску</t>
  </si>
  <si>
    <t>Грунтозаміщення щебенем</t>
  </si>
  <si>
    <t>гідроізоляція "ВУХО"</t>
  </si>
  <si>
    <t>Щебенева основа, підбетонка</t>
  </si>
  <si>
    <t>противибухові двері</t>
  </si>
  <si>
    <t>плита перекриття 1 захв</t>
  </si>
  <si>
    <t>2 червня</t>
  </si>
  <si>
    <t>проведено оригінал в замовника</t>
  </si>
  <si>
    <t>потрібно доопрацювати АВР</t>
  </si>
  <si>
    <t>Випуск АВР</t>
  </si>
  <si>
    <t>Зворотня засипка</t>
  </si>
  <si>
    <t>«»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</si>
</sst>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_ ;\-#,##0\ "/>
    <numFmt numFmtId="176" formatCode="_-* #,##0\ _₴_-;\-* #,##0\ _₴_-;_-* &quot;-&quot;??\ _₴_-;_-@_-"/>
    <numFmt numFmtId="177" formatCode="[$-F800]dddd\,\ mmmm\ dd\,\ yyyy"/>
    <numFmt numFmtId="178" formatCode="#,##0.00;[Red]#,##0.00"/>
    <numFmt numFmtId="179" formatCode="_-* #,##0\ _₽_-;\-* #,##0\ _₽_-;_-* &quot;-&quot;??\ _₽_-;_-@_-"/>
  </numFmts>
  <fonts count="5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0"/>
      <name val="Arial Cyr"/>
      <charset val="204"/>
    </font>
    <font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9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4C6B2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1" fillId="0" borderId="0"/>
    <xf numFmtId="0" fontId="11" fillId="0" borderId="0"/>
    <xf numFmtId="0" fontId="23" fillId="0" borderId="0"/>
    <xf numFmtId="0" fontId="9" fillId="0" borderId="0"/>
    <xf numFmtId="0" fontId="3" fillId="0" borderId="0"/>
    <xf numFmtId="0" fontId="21" fillId="0" borderId="0"/>
    <xf numFmtId="170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21" fillId="0" borderId="0"/>
  </cellStyleXfs>
  <cellXfs count="953">
    <xf numFmtId="0" fontId="0" fillId="0" borderId="0" xfId="0"/>
    <xf numFmtId="0" fontId="13" fillId="2" borderId="2" xfId="3" applyFont="1" applyFill="1" applyBorder="1" applyAlignment="1">
      <alignment horizontal="left" vertical="top" wrapText="1"/>
    </xf>
    <xf numFmtId="4" fontId="14" fillId="2" borderId="2" xfId="1" applyNumberFormat="1" applyFont="1" applyFill="1" applyBorder="1" applyAlignment="1">
      <alignment horizontal="left" vertical="top"/>
    </xf>
    <xf numFmtId="0" fontId="13" fillId="0" borderId="0" xfId="1" applyFont="1"/>
    <xf numFmtId="0" fontId="17" fillId="0" borderId="0" xfId="1" applyFont="1"/>
    <xf numFmtId="167" fontId="13" fillId="0" borderId="0" xfId="1" applyNumberFormat="1" applyFont="1"/>
    <xf numFmtId="0" fontId="15" fillId="2" borderId="0" xfId="1" applyFont="1" applyFill="1" applyAlignment="1">
      <alignment horizontal="left" wrapText="1"/>
    </xf>
    <xf numFmtId="167" fontId="18" fillId="0" borderId="0" xfId="1" applyNumberFormat="1" applyFont="1" applyAlignment="1">
      <alignment horizontal="center" vertical="center"/>
    </xf>
    <xf numFmtId="167" fontId="18" fillId="2" borderId="0" xfId="1" applyNumberFormat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2" borderId="2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  <xf numFmtId="167" fontId="13" fillId="2" borderId="2" xfId="1" applyNumberFormat="1" applyFont="1" applyFill="1" applyBorder="1" applyAlignment="1">
      <alignment vertical="center"/>
    </xf>
    <xf numFmtId="49" fontId="13" fillId="2" borderId="2" xfId="1" applyNumberFormat="1" applyFont="1" applyFill="1" applyBorder="1" applyAlignment="1">
      <alignment vertical="center"/>
    </xf>
    <xf numFmtId="4" fontId="13" fillId="2" borderId="2" xfId="1" applyNumberFormat="1" applyFont="1" applyFill="1" applyBorder="1" applyAlignment="1">
      <alignment vertical="center"/>
    </xf>
    <xf numFmtId="167" fontId="17" fillId="2" borderId="2" xfId="1" applyNumberFormat="1" applyFont="1" applyFill="1" applyBorder="1" applyAlignment="1">
      <alignment vertical="center"/>
    </xf>
    <xf numFmtId="167" fontId="13" fillId="0" borderId="2" xfId="1" applyNumberFormat="1" applyFont="1" applyBorder="1" applyAlignment="1">
      <alignment vertical="center"/>
    </xf>
    <xf numFmtId="0" fontId="13" fillId="2" borderId="2" xfId="1" applyFont="1" applyFill="1" applyBorder="1" applyAlignment="1">
      <alignment vertical="center" wrapText="1"/>
    </xf>
    <xf numFmtId="167" fontId="17" fillId="2" borderId="2" xfId="1" applyNumberFormat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vertical="center"/>
    </xf>
    <xf numFmtId="0" fontId="13" fillId="0" borderId="0" xfId="1" applyFont="1" applyAlignment="1">
      <alignment vertical="center"/>
    </xf>
    <xf numFmtId="49" fontId="18" fillId="2" borderId="2" xfId="2" applyNumberFormat="1" applyFont="1" applyFill="1" applyBorder="1" applyAlignment="1">
      <alignment vertical="center"/>
    </xf>
    <xf numFmtId="167" fontId="18" fillId="2" borderId="2" xfId="2" applyNumberFormat="1" applyFont="1" applyFill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0" xfId="1" applyFont="1" applyAlignment="1">
      <alignment vertical="center"/>
    </xf>
    <xf numFmtId="0" fontId="18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167" fontId="18" fillId="0" borderId="0" xfId="1" applyNumberFormat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67" fontId="13" fillId="0" borderId="0" xfId="1" applyNumberFormat="1" applyFont="1" applyAlignment="1">
      <alignment horizontal="center"/>
    </xf>
    <xf numFmtId="0" fontId="14" fillId="0" borderId="0" xfId="1" applyFont="1"/>
    <xf numFmtId="43" fontId="13" fillId="2" borderId="0" xfId="2" applyFont="1" applyFill="1" applyAlignment="1">
      <alignment horizontal="center"/>
    </xf>
    <xf numFmtId="167" fontId="13" fillId="2" borderId="0" xfId="2" applyNumberFormat="1" applyFont="1" applyFill="1" applyAlignment="1">
      <alignment horizontal="center"/>
    </xf>
    <xf numFmtId="167" fontId="14" fillId="2" borderId="0" xfId="1" applyNumberFormat="1" applyFont="1" applyFill="1"/>
    <xf numFmtId="167" fontId="14" fillId="0" borderId="0" xfId="1" applyNumberFormat="1" applyFont="1"/>
    <xf numFmtId="0" fontId="14" fillId="2" borderId="0" xfId="1" applyFont="1" applyFill="1" applyAlignment="1">
      <alignment horizontal="center" vertical="center"/>
    </xf>
    <xf numFmtId="167" fontId="13" fillId="2" borderId="2" xfId="1" applyNumberFormat="1" applyFont="1" applyFill="1" applyBorder="1" applyAlignment="1">
      <alignment horizontal="center" vertical="center"/>
    </xf>
    <xf numFmtId="167" fontId="13" fillId="2" borderId="2" xfId="1" applyNumberFormat="1" applyFont="1" applyFill="1" applyBorder="1" applyAlignment="1">
      <alignment horizontal="left" vertical="center"/>
    </xf>
    <xf numFmtId="167" fontId="13" fillId="0" borderId="2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17" fontId="19" fillId="2" borderId="2" xfId="3" applyNumberFormat="1" applyFont="1" applyFill="1" applyBorder="1" applyAlignment="1">
      <alignment horizontal="center" vertical="center"/>
    </xf>
    <xf numFmtId="17" fontId="17" fillId="2" borderId="2" xfId="3" applyNumberFormat="1" applyFont="1" applyFill="1" applyBorder="1" applyAlignment="1">
      <alignment horizontal="center" vertical="center"/>
    </xf>
    <xf numFmtId="167" fontId="18" fillId="2" borderId="2" xfId="3" applyNumberFormat="1" applyFont="1" applyFill="1" applyBorder="1" applyAlignment="1">
      <alignment horizontal="center"/>
    </xf>
    <xf numFmtId="0" fontId="18" fillId="2" borderId="2" xfId="3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17" fontId="13" fillId="2" borderId="2" xfId="3" applyNumberFormat="1" applyFont="1" applyFill="1" applyBorder="1" applyAlignment="1">
      <alignment horizontal="center" vertical="center"/>
    </xf>
    <xf numFmtId="167" fontId="13" fillId="2" borderId="2" xfId="3" applyNumberFormat="1" applyFont="1" applyFill="1" applyBorder="1" applyAlignment="1">
      <alignment horizontal="center"/>
    </xf>
    <xf numFmtId="0" fontId="13" fillId="2" borderId="2" xfId="3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168" fontId="13" fillId="0" borderId="2" xfId="1" applyNumberFormat="1" applyFont="1" applyBorder="1" applyAlignment="1">
      <alignment horizontal="center" vertical="center"/>
    </xf>
    <xf numFmtId="169" fontId="13" fillId="0" borderId="0" xfId="1" applyNumberFormat="1" applyFont="1" applyAlignment="1">
      <alignment horizontal="center" vertical="center"/>
    </xf>
    <xf numFmtId="169" fontId="13" fillId="0" borderId="2" xfId="1" applyNumberFormat="1" applyFont="1" applyBorder="1" applyAlignment="1">
      <alignment horizontal="center" vertical="center"/>
    </xf>
    <xf numFmtId="169" fontId="18" fillId="0" borderId="0" xfId="1" applyNumberFormat="1" applyFont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7" fontId="13" fillId="3" borderId="0" xfId="1" applyNumberFormat="1" applyFont="1" applyFill="1"/>
    <xf numFmtId="167" fontId="15" fillId="2" borderId="0" xfId="1" applyNumberFormat="1" applyFont="1" applyFill="1" applyAlignment="1">
      <alignment horizontal="left" wrapText="1"/>
    </xf>
    <xf numFmtId="167" fontId="14" fillId="2" borderId="0" xfId="1" applyNumberFormat="1" applyFont="1" applyFill="1" applyAlignment="1">
      <alignment horizontal="left"/>
    </xf>
    <xf numFmtId="0" fontId="13" fillId="2" borderId="0" xfId="1" applyFont="1" applyFill="1"/>
    <xf numFmtId="0" fontId="17" fillId="2" borderId="0" xfId="1" applyFont="1" applyFill="1"/>
    <xf numFmtId="167" fontId="13" fillId="2" borderId="0" xfId="1" applyNumberFormat="1" applyFont="1" applyFill="1"/>
    <xf numFmtId="169" fontId="13" fillId="2" borderId="0" xfId="1" applyNumberFormat="1" applyFont="1" applyFill="1" applyAlignment="1">
      <alignment horizontal="center" vertical="center"/>
    </xf>
    <xf numFmtId="167" fontId="15" fillId="2" borderId="0" xfId="2" applyNumberFormat="1" applyFont="1" applyFill="1" applyBorder="1" applyAlignment="1">
      <alignment horizontal="left" vertical="center" wrapText="1"/>
    </xf>
    <xf numFmtId="167" fontId="15" fillId="2" borderId="0" xfId="1" applyNumberFormat="1" applyFont="1" applyFill="1" applyAlignment="1">
      <alignment horizontal="left" vertical="center" wrapText="1"/>
    </xf>
    <xf numFmtId="0" fontId="13" fillId="2" borderId="2" xfId="1" applyFont="1" applyFill="1" applyBorder="1" applyAlignment="1">
      <alignment horizontal="center" vertical="top" wrapText="1"/>
    </xf>
    <xf numFmtId="0" fontId="13" fillId="2" borderId="2" xfId="1" applyFont="1" applyFill="1" applyBorder="1" applyAlignment="1">
      <alignment horizontal="left" vertical="center" wrapText="1"/>
    </xf>
    <xf numFmtId="43" fontId="18" fillId="0" borderId="0" xfId="2" applyFont="1" applyFill="1" applyBorder="1" applyAlignment="1">
      <alignment horizontal="center" vertical="center"/>
    </xf>
    <xf numFmtId="167" fontId="18" fillId="0" borderId="0" xfId="2" applyNumberFormat="1" applyFont="1" applyFill="1" applyBorder="1" applyAlignment="1">
      <alignment horizontal="center" vertical="center"/>
    </xf>
    <xf numFmtId="167" fontId="18" fillId="0" borderId="0" xfId="2" applyNumberFormat="1" applyFont="1" applyFill="1" applyBorder="1" applyAlignment="1"/>
    <xf numFmtId="43" fontId="13" fillId="0" borderId="0" xfId="2" applyFont="1" applyFill="1" applyBorder="1" applyAlignment="1">
      <alignment horizontal="center"/>
    </xf>
    <xf numFmtId="167" fontId="13" fillId="0" borderId="0" xfId="2" applyNumberFormat="1" applyFont="1" applyFill="1" applyBorder="1" applyAlignment="1">
      <alignment horizontal="center"/>
    </xf>
    <xf numFmtId="4" fontId="13" fillId="0" borderId="0" xfId="1" applyNumberFormat="1" applyFont="1" applyAlignment="1">
      <alignment horizontal="center" vertical="center"/>
    </xf>
    <xf numFmtId="43" fontId="13" fillId="0" borderId="0" xfId="2" applyFont="1" applyFill="1" applyAlignment="1">
      <alignment horizontal="center"/>
    </xf>
    <xf numFmtId="167" fontId="13" fillId="0" borderId="0" xfId="2" applyNumberFormat="1" applyFont="1" applyFill="1" applyAlignment="1">
      <alignment horizontal="center"/>
    </xf>
    <xf numFmtId="43" fontId="14" fillId="0" borderId="0" xfId="1" applyNumberFormat="1" applyFont="1" applyAlignment="1">
      <alignment horizontal="center" vertical="center"/>
    </xf>
    <xf numFmtId="4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8" fillId="2" borderId="0" xfId="2" applyNumberFormat="1" applyFont="1" applyFill="1" applyBorder="1" applyAlignment="1">
      <alignment vertical="center"/>
    </xf>
    <xf numFmtId="43" fontId="18" fillId="2" borderId="0" xfId="2" applyFont="1" applyFill="1" applyBorder="1" applyAlignment="1">
      <alignment horizontal="right" vertical="center"/>
    </xf>
    <xf numFmtId="0" fontId="18" fillId="0" borderId="2" xfId="1" applyFont="1" applyBorder="1" applyAlignment="1">
      <alignment horizontal="center" vertical="center"/>
    </xf>
    <xf numFmtId="0" fontId="15" fillId="2" borderId="0" xfId="1" applyFont="1" applyFill="1" applyAlignment="1">
      <alignment horizontal="left" vertical="center" wrapText="1"/>
    </xf>
    <xf numFmtId="167" fontId="20" fillId="2" borderId="2" xfId="3" applyNumberFormat="1" applyFont="1" applyFill="1" applyBorder="1" applyAlignment="1">
      <alignment horizontal="center"/>
    </xf>
    <xf numFmtId="0" fontId="18" fillId="0" borderId="2" xfId="1" applyFont="1" applyBorder="1" applyAlignment="1">
      <alignment horizontal="left" vertical="center"/>
    </xf>
    <xf numFmtId="43" fontId="18" fillId="0" borderId="2" xfId="2" applyFont="1" applyFill="1" applyBorder="1" applyAlignment="1">
      <alignment horizontal="center" vertical="center"/>
    </xf>
    <xf numFmtId="167" fontId="18" fillId="0" borderId="2" xfId="2" applyNumberFormat="1" applyFont="1" applyFill="1" applyBorder="1" applyAlignment="1">
      <alignment horizontal="center" vertical="center"/>
    </xf>
    <xf numFmtId="167" fontId="18" fillId="0" borderId="2" xfId="2" applyNumberFormat="1" applyFont="1" applyFill="1" applyBorder="1" applyAlignment="1"/>
    <xf numFmtId="0" fontId="18" fillId="0" borderId="0" xfId="1" applyFont="1" applyAlignment="1">
      <alignment horizontal="left" vertical="center"/>
    </xf>
    <xf numFmtId="0" fontId="13" fillId="0" borderId="2" xfId="1" applyFont="1" applyBorder="1" applyAlignment="1">
      <alignment vertical="center"/>
    </xf>
    <xf numFmtId="49" fontId="13" fillId="2" borderId="2" xfId="1" applyNumberFormat="1" applyFont="1" applyFill="1" applyBorder="1" applyAlignment="1">
      <alignment horizontal="center" vertical="center"/>
    </xf>
    <xf numFmtId="0" fontId="9" fillId="0" borderId="0" xfId="9" applyFont="1"/>
    <xf numFmtId="0" fontId="9" fillId="0" borderId="0" xfId="9" applyFont="1" applyAlignment="1">
      <alignment vertical="center"/>
    </xf>
    <xf numFmtId="0" fontId="9" fillId="0" borderId="0" xfId="9" applyFont="1" applyAlignment="1">
      <alignment horizontal="center" vertical="top"/>
    </xf>
    <xf numFmtId="0" fontId="9" fillId="0" borderId="0" xfId="9" applyFont="1" applyAlignment="1">
      <alignment horizontal="left" vertical="center"/>
    </xf>
    <xf numFmtId="49" fontId="9" fillId="0" borderId="0" xfId="9" applyNumberFormat="1" applyFont="1" applyAlignment="1">
      <alignment horizontal="center" vertical="center" wrapText="1"/>
    </xf>
    <xf numFmtId="4" fontId="12" fillId="0" borderId="0" xfId="9" applyNumberFormat="1" applyFont="1"/>
    <xf numFmtId="43" fontId="9" fillId="0" borderId="0" xfId="10" applyFont="1" applyFill="1" applyBorder="1" applyAlignment="1">
      <alignment horizontal="center" vertical="center"/>
    </xf>
    <xf numFmtId="0" fontId="8" fillId="0" borderId="0" xfId="9" applyFont="1" applyAlignment="1">
      <alignment vertical="center"/>
    </xf>
    <xf numFmtId="0" fontId="9" fillId="0" borderId="0" xfId="9" applyFont="1" applyAlignment="1">
      <alignment horizontal="center" vertical="center"/>
    </xf>
    <xf numFmtId="0" fontId="8" fillId="0" borderId="0" xfId="9" applyFont="1" applyAlignment="1">
      <alignment horizontal="left"/>
    </xf>
    <xf numFmtId="43" fontId="8" fillId="0" borderId="0" xfId="10" applyFont="1" applyFill="1" applyBorder="1" applyAlignment="1">
      <alignment horizontal="center" vertical="center"/>
    </xf>
    <xf numFmtId="43" fontId="8" fillId="0" borderId="0" xfId="10" applyFont="1" applyFill="1" applyBorder="1" applyAlignment="1">
      <alignment horizontal="right"/>
    </xf>
    <xf numFmtId="0" fontId="9" fillId="0" borderId="0" xfId="9" applyFont="1" applyAlignment="1">
      <alignment horizontal="center"/>
    </xf>
    <xf numFmtId="4" fontId="10" fillId="0" borderId="0" xfId="9" applyNumberFormat="1" applyFont="1" applyAlignment="1">
      <alignment horizontal="right"/>
    </xf>
    <xf numFmtId="0" fontId="7" fillId="0" borderId="0" xfId="9" applyFont="1"/>
    <xf numFmtId="0" fontId="10" fillId="0" borderId="2" xfId="9" applyFont="1" applyBorder="1" applyAlignment="1">
      <alignment horizontal="center" vertical="center" wrapText="1"/>
    </xf>
    <xf numFmtId="0" fontId="8" fillId="0" borderId="5" xfId="9" applyFont="1" applyBorder="1" applyAlignment="1">
      <alignment horizontal="center" vertical="center" wrapText="1"/>
    </xf>
    <xf numFmtId="0" fontId="8" fillId="0" borderId="4" xfId="9" applyFont="1" applyBorder="1" applyAlignment="1">
      <alignment horizontal="center" vertical="center"/>
    </xf>
    <xf numFmtId="0" fontId="8" fillId="0" borderId="4" xfId="9" applyFont="1" applyBorder="1" applyAlignment="1">
      <alignment horizontal="center" vertical="center" wrapText="1"/>
    </xf>
    <xf numFmtId="43" fontId="8" fillId="0" borderId="4" xfId="10" applyFont="1" applyFill="1" applyBorder="1" applyAlignment="1">
      <alignment horizontal="center" vertical="center" wrapText="1"/>
    </xf>
    <xf numFmtId="17" fontId="8" fillId="0" borderId="4" xfId="9" applyNumberFormat="1" applyFont="1" applyBorder="1" applyAlignment="1">
      <alignment horizontal="center" vertical="center" wrapText="1"/>
    </xf>
    <xf numFmtId="49" fontId="9" fillId="0" borderId="1" xfId="3" applyNumberFormat="1" applyFont="1" applyBorder="1" applyAlignment="1">
      <alignment horizontal="center" vertical="center" wrapText="1"/>
    </xf>
    <xf numFmtId="0" fontId="9" fillId="0" borderId="7" xfId="9" applyFont="1" applyBorder="1" applyAlignment="1">
      <alignment horizontal="center" vertical="top"/>
    </xf>
    <xf numFmtId="0" fontId="9" fillId="0" borderId="8" xfId="9" applyFont="1" applyBorder="1" applyAlignment="1">
      <alignment horizontal="left" vertical="top" wrapText="1"/>
    </xf>
    <xf numFmtId="49" fontId="9" fillId="0" borderId="13" xfId="9" applyNumberFormat="1" applyFont="1" applyBorder="1" applyAlignment="1">
      <alignment horizontal="left" vertical="center" wrapText="1"/>
    </xf>
    <xf numFmtId="0" fontId="10" fillId="0" borderId="8" xfId="9" applyFont="1" applyBorder="1" applyAlignment="1">
      <alignment horizontal="left" vertical="center" wrapText="1"/>
    </xf>
    <xf numFmtId="165" fontId="8" fillId="0" borderId="8" xfId="9" applyNumberFormat="1" applyFont="1" applyBorder="1" applyAlignment="1">
      <alignment horizontal="right" vertical="top"/>
    </xf>
    <xf numFmtId="14" fontId="9" fillId="0" borderId="8" xfId="9" applyNumberFormat="1" applyFont="1" applyBorder="1" applyAlignment="1">
      <alignment horizontal="left" vertical="top"/>
    </xf>
    <xf numFmtId="0" fontId="9" fillId="0" borderId="0" xfId="9" applyFont="1" applyAlignment="1">
      <alignment horizontal="left" vertical="top" wrapText="1"/>
    </xf>
    <xf numFmtId="49" fontId="9" fillId="0" borderId="0" xfId="9" applyNumberFormat="1" applyFont="1" applyAlignment="1">
      <alignment horizontal="left" vertical="center" wrapText="1"/>
    </xf>
    <xf numFmtId="0" fontId="10" fillId="0" borderId="0" xfId="9" applyFont="1" applyAlignment="1">
      <alignment horizontal="left" vertical="center" wrapText="1"/>
    </xf>
    <xf numFmtId="4" fontId="9" fillId="0" borderId="0" xfId="9" applyNumberFormat="1" applyFont="1" applyAlignment="1">
      <alignment horizontal="left" vertical="top"/>
    </xf>
    <xf numFmtId="14" fontId="9" fillId="0" borderId="0" xfId="9" applyNumberFormat="1" applyFont="1" applyAlignment="1">
      <alignment horizontal="left" vertical="top"/>
    </xf>
    <xf numFmtId="43" fontId="9" fillId="0" borderId="0" xfId="10" applyFont="1" applyFill="1" applyAlignment="1">
      <alignment horizontal="center" vertical="center"/>
    </xf>
    <xf numFmtId="0" fontId="7" fillId="0" borderId="0" xfId="9" applyFont="1" applyAlignment="1">
      <alignment horizontal="right"/>
    </xf>
    <xf numFmtId="0" fontId="9" fillId="0" borderId="3" xfId="9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 wrapText="1"/>
    </xf>
    <xf numFmtId="14" fontId="9" fillId="0" borderId="2" xfId="9" applyNumberFormat="1" applyFont="1" applyBorder="1" applyAlignment="1">
      <alignment horizontal="center" vertical="center"/>
    </xf>
    <xf numFmtId="165" fontId="9" fillId="0" borderId="3" xfId="3" applyNumberFormat="1" applyFont="1" applyBorder="1" applyAlignment="1">
      <alignment horizontal="right" vertical="center"/>
    </xf>
    <xf numFmtId="0" fontId="8" fillId="0" borderId="0" xfId="9" applyFont="1" applyAlignment="1">
      <alignment horizontal="center" vertical="center"/>
    </xf>
    <xf numFmtId="2" fontId="9" fillId="0" borderId="0" xfId="9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2" xfId="0" applyFont="1" applyBorder="1" applyAlignment="1">
      <alignment vertical="center" wrapText="1"/>
    </xf>
    <xf numFmtId="4" fontId="27" fillId="0" borderId="2" xfId="0" applyNumberFormat="1" applyFont="1" applyBorder="1" applyAlignment="1">
      <alignment vertical="center"/>
    </xf>
    <xf numFmtId="0" fontId="27" fillId="4" borderId="2" xfId="0" applyFont="1" applyFill="1" applyBorder="1" applyAlignment="1">
      <alignment horizontal="center" vertical="center"/>
    </xf>
    <xf numFmtId="0" fontId="24" fillId="4" borderId="31" xfId="9" applyFont="1" applyFill="1" applyBorder="1" applyAlignment="1">
      <alignment horizontal="center" vertical="center" wrapText="1"/>
    </xf>
    <xf numFmtId="0" fontId="24" fillId="4" borderId="4" xfId="9" applyFont="1" applyFill="1" applyBorder="1" applyAlignment="1">
      <alignment horizontal="center" vertical="center" wrapText="1"/>
    </xf>
    <xf numFmtId="0" fontId="24" fillId="4" borderId="32" xfId="9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4" fontId="27" fillId="0" borderId="34" xfId="0" applyNumberFormat="1" applyFont="1" applyBorder="1" applyAlignment="1">
      <alignment vertical="center"/>
    </xf>
    <xf numFmtId="0" fontId="25" fillId="0" borderId="34" xfId="0" applyFont="1" applyBorder="1" applyAlignment="1">
      <alignment vertical="center" wrapText="1"/>
    </xf>
    <xf numFmtId="0" fontId="24" fillId="4" borderId="41" xfId="9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4" fillId="4" borderId="5" xfId="9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4" fontId="29" fillId="0" borderId="18" xfId="0" applyNumberFormat="1" applyFont="1" applyBorder="1" applyAlignment="1">
      <alignment vertical="center" wrapText="1"/>
    </xf>
    <xf numFmtId="0" fontId="28" fillId="0" borderId="37" xfId="0" applyFont="1" applyBorder="1" applyAlignment="1">
      <alignment vertical="center" wrapText="1"/>
    </xf>
    <xf numFmtId="0" fontId="25" fillId="0" borderId="37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8" fillId="0" borderId="43" xfId="0" applyFont="1" applyBorder="1" applyAlignment="1">
      <alignment vertical="center" wrapText="1"/>
    </xf>
    <xf numFmtId="4" fontId="29" fillId="0" borderId="33" xfId="0" applyNumberFormat="1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4" fontId="29" fillId="0" borderId="23" xfId="0" applyNumberFormat="1" applyFont="1" applyBorder="1" applyAlignment="1">
      <alignment vertical="center" wrapText="1"/>
    </xf>
    <xf numFmtId="4" fontId="28" fillId="0" borderId="19" xfId="0" applyNumberFormat="1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28" fillId="0" borderId="6" xfId="0" applyFont="1" applyBorder="1" applyAlignment="1">
      <alignment vertical="center" wrapText="1"/>
    </xf>
    <xf numFmtId="4" fontId="29" fillId="0" borderId="36" xfId="0" applyNumberFormat="1" applyFont="1" applyBorder="1" applyAlignment="1">
      <alignment vertical="center" wrapText="1"/>
    </xf>
    <xf numFmtId="4" fontId="28" fillId="0" borderId="20" xfId="0" applyNumberFormat="1" applyFont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0" fontId="25" fillId="6" borderId="44" xfId="0" applyFont="1" applyFill="1" applyBorder="1" applyAlignment="1">
      <alignment vertical="center"/>
    </xf>
    <xf numFmtId="0" fontId="25" fillId="6" borderId="6" xfId="0" applyFont="1" applyFill="1" applyBorder="1" applyAlignment="1">
      <alignment vertical="center"/>
    </xf>
    <xf numFmtId="0" fontId="25" fillId="6" borderId="12" xfId="0" applyFont="1" applyFill="1" applyBorder="1" applyAlignment="1">
      <alignment vertical="center"/>
    </xf>
    <xf numFmtId="4" fontId="24" fillId="6" borderId="46" xfId="0" applyNumberFormat="1" applyFont="1" applyFill="1" applyBorder="1" applyAlignment="1">
      <alignment vertical="center"/>
    </xf>
    <xf numFmtId="4" fontId="25" fillId="6" borderId="12" xfId="0" applyNumberFormat="1" applyFont="1" applyFill="1" applyBorder="1" applyAlignment="1">
      <alignment vertical="center"/>
    </xf>
    <xf numFmtId="4" fontId="25" fillId="6" borderId="6" xfId="0" applyNumberFormat="1" applyFont="1" applyFill="1" applyBorder="1" applyAlignment="1">
      <alignment vertical="center"/>
    </xf>
    <xf numFmtId="0" fontId="25" fillId="6" borderId="43" xfId="0" applyFont="1" applyFill="1" applyBorder="1" applyAlignment="1">
      <alignment vertical="center"/>
    </xf>
    <xf numFmtId="0" fontId="25" fillId="6" borderId="11" xfId="0" applyFont="1" applyFill="1" applyBorder="1" applyAlignment="1">
      <alignment vertical="center"/>
    </xf>
    <xf numFmtId="0" fontId="24" fillId="7" borderId="7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/>
    </xf>
    <xf numFmtId="0" fontId="24" fillId="7" borderId="47" xfId="0" applyFont="1" applyFill="1" applyBorder="1" applyAlignment="1">
      <alignment vertical="center"/>
    </xf>
    <xf numFmtId="4" fontId="24" fillId="7" borderId="8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4" fontId="32" fillId="8" borderId="0" xfId="0" applyNumberFormat="1" applyFont="1" applyFill="1" applyAlignment="1">
      <alignment vertical="center"/>
    </xf>
    <xf numFmtId="0" fontId="27" fillId="0" borderId="22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4" fontId="26" fillId="0" borderId="33" xfId="0" applyNumberFormat="1" applyFont="1" applyBorder="1" applyAlignment="1">
      <alignment vertical="center"/>
    </xf>
    <xf numFmtId="0" fontId="27" fillId="0" borderId="35" xfId="0" applyFont="1" applyBorder="1" applyAlignment="1">
      <alignment vertical="center" wrapText="1"/>
    </xf>
    <xf numFmtId="4" fontId="26" fillId="4" borderId="23" xfId="0" applyNumberFormat="1" applyFont="1" applyFill="1" applyBorder="1" applyAlignment="1">
      <alignment vertical="center"/>
    </xf>
    <xf numFmtId="4" fontId="27" fillId="4" borderId="19" xfId="0" applyNumberFormat="1" applyFont="1" applyFill="1" applyBorder="1" applyAlignment="1">
      <alignment vertical="center"/>
    </xf>
    <xf numFmtId="4" fontId="27" fillId="4" borderId="30" xfId="0" applyNumberFormat="1" applyFont="1" applyFill="1" applyBorder="1" applyAlignment="1">
      <alignment vertical="center"/>
    </xf>
    <xf numFmtId="0" fontId="26" fillId="4" borderId="18" xfId="0" applyFont="1" applyFill="1" applyBorder="1" applyAlignment="1">
      <alignment vertical="center"/>
    </xf>
    <xf numFmtId="4" fontId="26" fillId="0" borderId="18" xfId="0" applyNumberFormat="1" applyFont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0" fontId="27" fillId="4" borderId="37" xfId="0" applyFont="1" applyFill="1" applyBorder="1" applyAlignment="1">
      <alignment vertical="center"/>
    </xf>
    <xf numFmtId="0" fontId="27" fillId="0" borderId="37" xfId="0" applyFont="1" applyBorder="1" applyAlignment="1">
      <alignment vertical="center" wrapText="1"/>
    </xf>
    <xf numFmtId="4" fontId="27" fillId="4" borderId="35" xfId="0" applyNumberFormat="1" applyFont="1" applyFill="1" applyBorder="1" applyAlignment="1">
      <alignment vertical="center"/>
    </xf>
    <xf numFmtId="4" fontId="26" fillId="4" borderId="33" xfId="0" applyNumberFormat="1" applyFont="1" applyFill="1" applyBorder="1" applyAlignment="1">
      <alignment vertical="center"/>
    </xf>
    <xf numFmtId="4" fontId="27" fillId="0" borderId="0" xfId="0" applyNumberFormat="1" applyFont="1" applyAlignment="1">
      <alignment vertical="center"/>
    </xf>
    <xf numFmtId="4" fontId="26" fillId="8" borderId="56" xfId="0" applyNumberFormat="1" applyFont="1" applyFill="1" applyBorder="1" applyAlignment="1">
      <alignment vertical="center"/>
    </xf>
    <xf numFmtId="4" fontId="26" fillId="8" borderId="8" xfId="0" applyNumberFormat="1" applyFont="1" applyFill="1" applyBorder="1" applyAlignment="1">
      <alignment vertical="center"/>
    </xf>
    <xf numFmtId="4" fontId="26" fillId="8" borderId="57" xfId="0" applyNumberFormat="1" applyFont="1" applyFill="1" applyBorder="1" applyAlignment="1">
      <alignment vertical="center"/>
    </xf>
    <xf numFmtId="4" fontId="26" fillId="0" borderId="59" xfId="0" applyNumberFormat="1" applyFont="1" applyBorder="1" applyAlignment="1">
      <alignment vertical="center"/>
    </xf>
    <xf numFmtId="0" fontId="27" fillId="0" borderId="60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4" fontId="26" fillId="8" borderId="61" xfId="0" applyNumberFormat="1" applyFont="1" applyFill="1" applyBorder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3" fontId="26" fillId="0" borderId="51" xfId="0" applyNumberFormat="1" applyFont="1" applyBorder="1" applyAlignment="1">
      <alignment horizontal="right" vertical="center"/>
    </xf>
    <xf numFmtId="0" fontId="26" fillId="0" borderId="53" xfId="0" applyFont="1" applyBorder="1" applyAlignment="1">
      <alignment horizontal="right" vertical="center"/>
    </xf>
    <xf numFmtId="3" fontId="26" fillId="0" borderId="42" xfId="0" applyNumberFormat="1" applyFont="1" applyBorder="1" applyAlignment="1">
      <alignment horizontal="right" vertical="center"/>
    </xf>
    <xf numFmtId="0" fontId="27" fillId="0" borderId="58" xfId="0" applyFont="1" applyBorder="1" applyAlignment="1">
      <alignment horizontal="right" vertical="center"/>
    </xf>
    <xf numFmtId="0" fontId="24" fillId="0" borderId="53" xfId="0" applyFont="1" applyBorder="1" applyAlignment="1">
      <alignment horizontal="right" vertical="center"/>
    </xf>
    <xf numFmtId="4" fontId="25" fillId="0" borderId="2" xfId="0" applyNumberFormat="1" applyFont="1" applyBorder="1" applyAlignment="1">
      <alignment vertical="center"/>
    </xf>
    <xf numFmtId="14" fontId="31" fillId="0" borderId="0" xfId="0" applyNumberFormat="1" applyFont="1" applyAlignment="1">
      <alignment vertical="center"/>
    </xf>
    <xf numFmtId="0" fontId="25" fillId="0" borderId="1" xfId="0" applyFont="1" applyBorder="1" applyAlignment="1">
      <alignment vertical="center" wrapText="1"/>
    </xf>
    <xf numFmtId="3" fontId="24" fillId="0" borderId="42" xfId="0" applyNumberFormat="1" applyFont="1" applyBorder="1" applyAlignment="1">
      <alignment horizontal="right" vertical="center"/>
    </xf>
    <xf numFmtId="4" fontId="24" fillId="0" borderId="33" xfId="0" applyNumberFormat="1" applyFont="1" applyBorder="1" applyAlignment="1">
      <alignment vertical="center"/>
    </xf>
    <xf numFmtId="4" fontId="25" fillId="0" borderId="34" xfId="0" applyNumberFormat="1" applyFont="1" applyBorder="1" applyAlignment="1">
      <alignment vertical="center"/>
    </xf>
    <xf numFmtId="14" fontId="25" fillId="0" borderId="26" xfId="0" applyNumberFormat="1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0" borderId="58" xfId="0" applyFont="1" applyBorder="1" applyAlignment="1">
      <alignment horizontal="right" vertical="center"/>
    </xf>
    <xf numFmtId="4" fontId="26" fillId="5" borderId="31" xfId="0" applyNumberFormat="1" applyFont="1" applyFill="1" applyBorder="1" applyAlignment="1">
      <alignment vertical="center"/>
    </xf>
    <xf numFmtId="10" fontId="28" fillId="0" borderId="37" xfId="0" applyNumberFormat="1" applyFont="1" applyBorder="1" applyAlignment="1">
      <alignment vertical="center"/>
    </xf>
    <xf numFmtId="0" fontId="25" fillId="5" borderId="34" xfId="0" applyFont="1" applyFill="1" applyBorder="1" applyAlignment="1">
      <alignment vertical="center"/>
    </xf>
    <xf numFmtId="0" fontId="25" fillId="5" borderId="35" xfId="0" applyFont="1" applyFill="1" applyBorder="1" applyAlignment="1">
      <alignment vertical="center" wrapText="1"/>
    </xf>
    <xf numFmtId="0" fontId="25" fillId="5" borderId="28" xfId="0" applyFont="1" applyFill="1" applyBorder="1" applyAlignment="1">
      <alignment vertical="center"/>
    </xf>
    <xf numFmtId="4" fontId="28" fillId="0" borderId="1" xfId="0" applyNumberFormat="1" applyFont="1" applyBorder="1" applyAlignment="1">
      <alignment vertical="center"/>
    </xf>
    <xf numFmtId="0" fontId="25" fillId="5" borderId="3" xfId="0" applyFont="1" applyFill="1" applyBorder="1" applyAlignment="1">
      <alignment vertical="center"/>
    </xf>
    <xf numFmtId="0" fontId="25" fillId="5" borderId="2" xfId="0" applyFont="1" applyFill="1" applyBorder="1" applyAlignment="1">
      <alignment vertical="center"/>
    </xf>
    <xf numFmtId="0" fontId="25" fillId="5" borderId="37" xfId="0" applyFont="1" applyFill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43" xfId="0" applyFont="1" applyBorder="1" applyAlignment="1">
      <alignment vertical="center"/>
    </xf>
    <xf numFmtId="0" fontId="27" fillId="4" borderId="23" xfId="0" applyFont="1" applyFill="1" applyBorder="1" applyAlignment="1">
      <alignment vertical="center"/>
    </xf>
    <xf numFmtId="0" fontId="27" fillId="4" borderId="19" xfId="0" applyFont="1" applyFill="1" applyBorder="1" applyAlignment="1">
      <alignment vertical="center"/>
    </xf>
    <xf numFmtId="0" fontId="27" fillId="4" borderId="30" xfId="0" applyFont="1" applyFill="1" applyBorder="1" applyAlignment="1">
      <alignment vertical="center"/>
    </xf>
    <xf numFmtId="4" fontId="24" fillId="0" borderId="18" xfId="0" applyNumberFormat="1" applyFont="1" applyBorder="1" applyAlignment="1">
      <alignment vertical="center"/>
    </xf>
    <xf numFmtId="14" fontId="25" fillId="0" borderId="1" xfId="0" applyNumberFormat="1" applyFont="1" applyBorder="1" applyAlignment="1">
      <alignment vertical="center"/>
    </xf>
    <xf numFmtId="4" fontId="29" fillId="4" borderId="33" xfId="0" applyNumberFormat="1" applyFont="1" applyFill="1" applyBorder="1" applyAlignment="1">
      <alignment vertical="center"/>
    </xf>
    <xf numFmtId="4" fontId="29" fillId="4" borderId="23" xfId="0" applyNumberFormat="1" applyFont="1" applyFill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61" xfId="0" applyFont="1" applyBorder="1" applyAlignment="1">
      <alignment horizontal="center" vertical="center" wrapText="1"/>
    </xf>
    <xf numFmtId="0" fontId="29" fillId="4" borderId="36" xfId="0" applyFont="1" applyFill="1" applyBorder="1" applyAlignment="1">
      <alignment vertical="center"/>
    </xf>
    <xf numFmtId="0" fontId="26" fillId="0" borderId="55" xfId="0" applyFont="1" applyBorder="1" applyAlignment="1">
      <alignment horizontal="right" vertical="center"/>
    </xf>
    <xf numFmtId="4" fontId="29" fillId="0" borderId="23" xfId="0" applyNumberFormat="1" applyFont="1" applyBorder="1" applyAlignment="1">
      <alignment vertical="center"/>
    </xf>
    <xf numFmtId="0" fontId="26" fillId="4" borderId="31" xfId="0" applyFont="1" applyFill="1" applyBorder="1" applyAlignment="1">
      <alignment vertical="center"/>
    </xf>
    <xf numFmtId="4" fontId="29" fillId="5" borderId="36" xfId="0" applyNumberFormat="1" applyFont="1" applyFill="1" applyBorder="1" applyAlignment="1">
      <alignment vertical="center"/>
    </xf>
    <xf numFmtId="4" fontId="28" fillId="5" borderId="20" xfId="0" applyNumberFormat="1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7" fillId="5" borderId="62" xfId="0" applyFont="1" applyFill="1" applyBorder="1" applyAlignment="1">
      <alignment vertical="center" wrapText="1"/>
    </xf>
    <xf numFmtId="4" fontId="27" fillId="5" borderId="4" xfId="0" applyNumberFormat="1" applyFont="1" applyFill="1" applyBorder="1" applyAlignment="1">
      <alignment vertical="center"/>
    </xf>
    <xf numFmtId="0" fontId="27" fillId="5" borderId="41" xfId="0" applyFont="1" applyFill="1" applyBorder="1" applyAlignment="1">
      <alignment vertical="center"/>
    </xf>
    <xf numFmtId="0" fontId="27" fillId="5" borderId="32" xfId="0" applyFont="1" applyFill="1" applyBorder="1" applyAlignment="1">
      <alignment vertical="center" wrapText="1"/>
    </xf>
    <xf numFmtId="4" fontId="26" fillId="4" borderId="58" xfId="0" applyNumberFormat="1" applyFont="1" applyFill="1" applyBorder="1" applyAlignment="1">
      <alignment vertical="center"/>
    </xf>
    <xf numFmtId="0" fontId="26" fillId="4" borderId="60" xfId="0" applyFont="1" applyFill="1" applyBorder="1" applyAlignment="1">
      <alignment vertical="center"/>
    </xf>
    <xf numFmtId="0" fontId="27" fillId="4" borderId="58" xfId="0" applyFont="1" applyFill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7" fillId="0" borderId="61" xfId="0" applyFont="1" applyBorder="1" applyAlignment="1">
      <alignment horizontal="center" vertical="center"/>
    </xf>
    <xf numFmtId="0" fontId="27" fillId="0" borderId="61" xfId="0" applyFont="1" applyBorder="1" applyAlignment="1">
      <alignment vertical="center" wrapText="1"/>
    </xf>
    <xf numFmtId="4" fontId="26" fillId="9" borderId="58" xfId="0" applyNumberFormat="1" applyFont="1" applyFill="1" applyBorder="1" applyAlignment="1">
      <alignment vertical="center"/>
    </xf>
    <xf numFmtId="4" fontId="26" fillId="9" borderId="13" xfId="0" applyNumberFormat="1" applyFont="1" applyFill="1" applyBorder="1" applyAlignment="1">
      <alignment vertical="center"/>
    </xf>
    <xf numFmtId="0" fontId="27" fillId="9" borderId="47" xfId="0" applyFont="1" applyFill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9" fillId="4" borderId="18" xfId="0" applyFont="1" applyFill="1" applyBorder="1" applyAlignment="1">
      <alignment vertical="center"/>
    </xf>
    <xf numFmtId="0" fontId="26" fillId="0" borderId="54" xfId="0" applyFont="1" applyBorder="1" applyAlignment="1">
      <alignment horizontal="right" vertical="center"/>
    </xf>
    <xf numFmtId="0" fontId="24" fillId="4" borderId="31" xfId="0" applyFont="1" applyFill="1" applyBorder="1" applyAlignment="1">
      <alignment vertical="center"/>
    </xf>
    <xf numFmtId="0" fontId="24" fillId="0" borderId="58" xfId="0" applyFont="1" applyBorder="1" applyAlignment="1">
      <alignment horizontal="right" vertical="center"/>
    </xf>
    <xf numFmtId="4" fontId="24" fillId="5" borderId="31" xfId="0" applyNumberFormat="1" applyFont="1" applyFill="1" applyBorder="1" applyAlignment="1">
      <alignment vertical="center"/>
    </xf>
    <xf numFmtId="4" fontId="25" fillId="5" borderId="4" xfId="0" applyNumberFormat="1" applyFont="1" applyFill="1" applyBorder="1" applyAlignment="1">
      <alignment vertical="center"/>
    </xf>
    <xf numFmtId="14" fontId="25" fillId="5" borderId="41" xfId="0" applyNumberFormat="1" applyFont="1" applyFill="1" applyBorder="1" applyAlignment="1">
      <alignment vertical="center"/>
    </xf>
    <xf numFmtId="0" fontId="25" fillId="5" borderId="32" xfId="0" applyFont="1" applyFill="1" applyBorder="1" applyAlignment="1">
      <alignment vertical="center" wrapText="1"/>
    </xf>
    <xf numFmtId="0" fontId="25" fillId="4" borderId="31" xfId="0" applyFont="1" applyFill="1" applyBorder="1" applyAlignment="1">
      <alignment vertical="center"/>
    </xf>
    <xf numFmtId="0" fontId="25" fillId="4" borderId="4" xfId="0" applyFont="1" applyFill="1" applyBorder="1" applyAlignment="1">
      <alignment vertical="center"/>
    </xf>
    <xf numFmtId="0" fontId="25" fillId="4" borderId="32" xfId="0" applyFont="1" applyFill="1" applyBorder="1" applyAlignment="1">
      <alignment vertical="center"/>
    </xf>
    <xf numFmtId="4" fontId="27" fillId="4" borderId="34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4" borderId="20" xfId="0" applyFont="1" applyFill="1" applyBorder="1" applyAlignment="1">
      <alignment vertical="center"/>
    </xf>
    <xf numFmtId="0" fontId="28" fillId="4" borderId="62" xfId="0" applyFont="1" applyFill="1" applyBorder="1" applyAlignment="1">
      <alignment vertical="center"/>
    </xf>
    <xf numFmtId="0" fontId="28" fillId="0" borderId="42" xfId="0" applyFont="1" applyBorder="1" applyAlignment="1">
      <alignment horizontal="center" vertical="center" wrapText="1"/>
    </xf>
    <xf numFmtId="4" fontId="28" fillId="4" borderId="34" xfId="0" applyNumberFormat="1" applyFont="1" applyFill="1" applyBorder="1" applyAlignment="1">
      <alignment vertical="center"/>
    </xf>
    <xf numFmtId="4" fontId="28" fillId="4" borderId="35" xfId="0" applyNumberFormat="1" applyFont="1" applyFill="1" applyBorder="1" applyAlignment="1">
      <alignment vertical="center"/>
    </xf>
    <xf numFmtId="0" fontId="29" fillId="0" borderId="42" xfId="0" applyFont="1" applyBorder="1" applyAlignment="1">
      <alignment horizontal="right" vertical="center"/>
    </xf>
    <xf numFmtId="4" fontId="29" fillId="0" borderId="33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8" fillId="0" borderId="58" xfId="0" applyFont="1" applyBorder="1" applyAlignment="1">
      <alignment vertical="center" wrapText="1"/>
    </xf>
    <xf numFmtId="4" fontId="29" fillId="4" borderId="31" xfId="0" applyNumberFormat="1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0" fontId="29" fillId="0" borderId="58" xfId="0" applyFont="1" applyBorder="1" applyAlignment="1">
      <alignment horizontal="right" vertical="center"/>
    </xf>
    <xf numFmtId="4" fontId="29" fillId="5" borderId="58" xfId="0" applyNumberFormat="1" applyFont="1" applyFill="1" applyBorder="1" applyAlignment="1">
      <alignment vertical="center"/>
    </xf>
    <xf numFmtId="4" fontId="29" fillId="5" borderId="41" xfId="0" applyNumberFormat="1" applyFont="1" applyFill="1" applyBorder="1" applyAlignment="1">
      <alignment vertical="center"/>
    </xf>
    <xf numFmtId="4" fontId="29" fillId="5" borderId="22" xfId="0" applyNumberFormat="1" applyFont="1" applyFill="1" applyBorder="1" applyAlignment="1">
      <alignment vertical="center"/>
    </xf>
    <xf numFmtId="0" fontId="28" fillId="5" borderId="32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14" fontId="25" fillId="0" borderId="1" xfId="0" applyNumberFormat="1" applyFont="1" applyBorder="1" applyAlignment="1">
      <alignment horizontal="right" vertical="center" wrapText="1"/>
    </xf>
    <xf numFmtId="0" fontId="33" fillId="0" borderId="0" xfId="18" applyFont="1" applyAlignment="1">
      <alignment horizontal="left" vertical="center" wrapText="1"/>
    </xf>
    <xf numFmtId="0" fontId="35" fillId="0" borderId="0" xfId="18" applyFont="1"/>
    <xf numFmtId="0" fontId="33" fillId="0" borderId="0" xfId="18" applyFont="1" applyAlignment="1">
      <alignment horizontal="left" vertical="center"/>
    </xf>
    <xf numFmtId="43" fontId="33" fillId="0" borderId="0" xfId="19" applyFont="1" applyFill="1" applyBorder="1" applyAlignment="1">
      <alignment horizontal="left" vertical="top" wrapText="1"/>
    </xf>
    <xf numFmtId="0" fontId="35" fillId="0" borderId="0" xfId="18" applyFont="1" applyAlignment="1">
      <alignment vertical="center"/>
    </xf>
    <xf numFmtId="0" fontId="36" fillId="0" borderId="0" xfId="18" applyFont="1" applyAlignment="1">
      <alignment vertical="center"/>
    </xf>
    <xf numFmtId="0" fontId="35" fillId="0" borderId="0" xfId="18" applyFont="1" applyAlignment="1">
      <alignment horizontal="center" vertical="top"/>
    </xf>
    <xf numFmtId="0" fontId="35" fillId="0" borderId="0" xfId="18" applyFont="1" applyAlignment="1">
      <alignment horizontal="left" vertical="center"/>
    </xf>
    <xf numFmtId="2" fontId="39" fillId="0" borderId="0" xfId="18" applyNumberFormat="1" applyFont="1"/>
    <xf numFmtId="43" fontId="35" fillId="0" borderId="0" xfId="19" applyFont="1" applyFill="1" applyBorder="1" applyAlignment="1">
      <alignment horizontal="center" vertical="center"/>
    </xf>
    <xf numFmtId="4" fontId="39" fillId="0" borderId="0" xfId="18" applyNumberFormat="1" applyFont="1"/>
    <xf numFmtId="0" fontId="35" fillId="0" borderId="0" xfId="18" applyFont="1" applyAlignment="1">
      <alignment horizontal="center" vertical="center"/>
    </xf>
    <xf numFmtId="0" fontId="36" fillId="0" borderId="0" xfId="18" applyFont="1" applyAlignment="1">
      <alignment horizontal="left"/>
    </xf>
    <xf numFmtId="43" fontId="36" fillId="0" borderId="0" xfId="19" applyFont="1" applyFill="1" applyBorder="1" applyAlignment="1">
      <alignment horizontal="right"/>
    </xf>
    <xf numFmtId="165" fontId="36" fillId="0" borderId="0" xfId="18" applyNumberFormat="1" applyFont="1" applyAlignment="1">
      <alignment vertical="center"/>
    </xf>
    <xf numFmtId="0" fontId="35" fillId="0" borderId="0" xfId="18" applyFont="1" applyAlignment="1">
      <alignment horizontal="center"/>
    </xf>
    <xf numFmtId="0" fontId="36" fillId="0" borderId="0" xfId="18" applyFont="1" applyAlignment="1">
      <alignment horizontal="center" vertical="center"/>
    </xf>
    <xf numFmtId="4" fontId="37" fillId="0" borderId="0" xfId="18" applyNumberFormat="1" applyFont="1" applyAlignment="1">
      <alignment horizontal="right"/>
    </xf>
    <xf numFmtId="0" fontId="38" fillId="0" borderId="0" xfId="18" applyFont="1"/>
    <xf numFmtId="0" fontId="38" fillId="0" borderId="0" xfId="18" applyFont="1" applyAlignment="1">
      <alignment horizontal="right"/>
    </xf>
    <xf numFmtId="171" fontId="36" fillId="0" borderId="2" xfId="18" applyNumberFormat="1" applyFont="1" applyBorder="1" applyAlignment="1">
      <alignment horizontal="center" vertical="center" wrapText="1"/>
    </xf>
    <xf numFmtId="0" fontId="33" fillId="0" borderId="0" xfId="18" applyFont="1" applyAlignment="1">
      <alignment horizontal="left" vertical="top" wrapText="1"/>
    </xf>
    <xf numFmtId="0" fontId="42" fillId="2" borderId="0" xfId="20" applyFont="1" applyFill="1" applyAlignment="1">
      <alignment horizontal="center" vertical="center"/>
    </xf>
    <xf numFmtId="0" fontId="42" fillId="0" borderId="0" xfId="20" applyFont="1"/>
    <xf numFmtId="0" fontId="43" fillId="0" borderId="0" xfId="20" applyFont="1" applyAlignment="1">
      <alignment horizontal="center" vertical="center"/>
    </xf>
    <xf numFmtId="167" fontId="43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left"/>
    </xf>
    <xf numFmtId="167" fontId="43" fillId="2" borderId="0" xfId="20" applyNumberFormat="1" applyFont="1" applyFill="1" applyAlignment="1">
      <alignment horizontal="center" vertical="center"/>
    </xf>
    <xf numFmtId="0" fontId="43" fillId="2" borderId="0" xfId="20" applyFont="1" applyFill="1" applyAlignment="1">
      <alignment horizontal="center" vertical="center"/>
    </xf>
    <xf numFmtId="43" fontId="43" fillId="2" borderId="2" xfId="21" applyFont="1" applyFill="1" applyBorder="1" applyAlignment="1">
      <alignment horizontal="center" vertical="center" wrapText="1"/>
    </xf>
    <xf numFmtId="167" fontId="43" fillId="2" borderId="2" xfId="21" applyNumberFormat="1" applyFont="1" applyFill="1" applyBorder="1" applyAlignment="1">
      <alignment horizontal="center" vertical="center" wrapText="1"/>
    </xf>
    <xf numFmtId="0" fontId="43" fillId="2" borderId="2" xfId="20" applyFont="1" applyFill="1" applyBorder="1" applyAlignment="1">
      <alignment horizontal="center" vertical="center"/>
    </xf>
    <xf numFmtId="17" fontId="43" fillId="2" borderId="2" xfId="18" applyNumberFormat="1" applyFont="1" applyFill="1" applyBorder="1" applyAlignment="1">
      <alignment horizontal="center" vertical="center"/>
    </xf>
    <xf numFmtId="0" fontId="42" fillId="0" borderId="0" xfId="20" applyFont="1" applyAlignment="1">
      <alignment horizontal="center" vertical="center"/>
    </xf>
    <xf numFmtId="165" fontId="42" fillId="10" borderId="2" xfId="20" applyNumberFormat="1" applyFont="1" applyFill="1" applyBorder="1" applyAlignment="1">
      <alignment horizontal="left" vertical="center"/>
    </xf>
    <xf numFmtId="165" fontId="42" fillId="10" borderId="1" xfId="20" applyNumberFormat="1" applyFont="1" applyFill="1" applyBorder="1" applyAlignment="1">
      <alignment horizontal="center" vertical="center"/>
    </xf>
    <xf numFmtId="173" fontId="42" fillId="10" borderId="2" xfId="20" applyNumberFormat="1" applyFont="1" applyFill="1" applyBorder="1" applyAlignment="1">
      <alignment horizontal="center" vertical="center"/>
    </xf>
    <xf numFmtId="165" fontId="42" fillId="10" borderId="2" xfId="20" applyNumberFormat="1" applyFont="1" applyFill="1" applyBorder="1" applyAlignment="1">
      <alignment horizontal="center" vertical="center"/>
    </xf>
    <xf numFmtId="0" fontId="42" fillId="10" borderId="0" xfId="20" applyFont="1" applyFill="1" applyAlignment="1">
      <alignment horizontal="center" vertical="center"/>
    </xf>
    <xf numFmtId="0" fontId="43" fillId="0" borderId="0" xfId="20" applyFont="1" applyAlignment="1">
      <alignment vertical="center"/>
    </xf>
    <xf numFmtId="0" fontId="43" fillId="0" borderId="0" xfId="20" applyFont="1" applyAlignment="1">
      <alignment horizontal="left" vertical="center"/>
    </xf>
    <xf numFmtId="43" fontId="43" fillId="0" borderId="0" xfId="21" applyFont="1" applyFill="1" applyBorder="1" applyAlignment="1">
      <alignment horizontal="center" vertical="center"/>
    </xf>
    <xf numFmtId="167" fontId="43" fillId="0" borderId="0" xfId="21" applyNumberFormat="1" applyFont="1" applyFill="1" applyBorder="1" applyAlignment="1">
      <alignment horizontal="center" vertical="center"/>
    </xf>
    <xf numFmtId="167" fontId="43" fillId="0" borderId="0" xfId="21" applyNumberFormat="1" applyFont="1" applyFill="1" applyBorder="1" applyAlignment="1"/>
    <xf numFmtId="0" fontId="42" fillId="0" borderId="0" xfId="20" applyFont="1" applyAlignment="1">
      <alignment horizontal="left" vertical="center"/>
    </xf>
    <xf numFmtId="165" fontId="43" fillId="0" borderId="0" xfId="20" applyNumberFormat="1" applyFont="1" applyAlignment="1">
      <alignment vertical="center"/>
    </xf>
    <xf numFmtId="0" fontId="42" fillId="0" borderId="0" xfId="20" applyFont="1" applyAlignment="1">
      <alignment horizontal="center"/>
    </xf>
    <xf numFmtId="43" fontId="42" fillId="0" borderId="0" xfId="21" applyFont="1" applyFill="1" applyBorder="1" applyAlignment="1">
      <alignment horizontal="center"/>
    </xf>
    <xf numFmtId="167" fontId="42" fillId="0" borderId="0" xfId="21" applyNumberFormat="1" applyFont="1" applyFill="1" applyBorder="1" applyAlignment="1">
      <alignment horizontal="center"/>
    </xf>
    <xf numFmtId="167" fontId="42" fillId="0" borderId="0" xfId="20" applyNumberFormat="1" applyFont="1"/>
    <xf numFmtId="4" fontId="42" fillId="0" borderId="0" xfId="20" applyNumberFormat="1" applyFont="1" applyAlignment="1">
      <alignment horizontal="center" vertical="center"/>
    </xf>
    <xf numFmtId="164" fontId="42" fillId="0" borderId="0" xfId="20" applyNumberFormat="1" applyFont="1" applyAlignment="1">
      <alignment horizontal="center"/>
    </xf>
    <xf numFmtId="4" fontId="42" fillId="0" borderId="0" xfId="20" applyNumberFormat="1" applyFont="1" applyAlignment="1">
      <alignment horizontal="center"/>
    </xf>
    <xf numFmtId="43" fontId="42" fillId="0" borderId="0" xfId="21" applyFont="1" applyFill="1" applyAlignment="1">
      <alignment horizontal="center"/>
    </xf>
    <xf numFmtId="167" fontId="42" fillId="0" borderId="0" xfId="21" applyNumberFormat="1" applyFont="1" applyFill="1" applyAlignment="1">
      <alignment horizontal="center"/>
    </xf>
    <xf numFmtId="43" fontId="42" fillId="0" borderId="0" xfId="20" applyNumberFormat="1" applyFont="1" applyAlignment="1">
      <alignment horizontal="center" vertical="center"/>
    </xf>
    <xf numFmtId="43" fontId="42" fillId="2" borderId="0" xfId="21" applyFont="1" applyFill="1" applyAlignment="1">
      <alignment horizontal="center"/>
    </xf>
    <xf numFmtId="167" fontId="42" fillId="2" borderId="0" xfId="21" applyNumberFormat="1" applyFont="1" applyFill="1" applyAlignment="1">
      <alignment horizontal="center"/>
    </xf>
    <xf numFmtId="167" fontId="42" fillId="2" borderId="0" xfId="20" applyNumberFormat="1" applyFont="1" applyFill="1"/>
    <xf numFmtId="165" fontId="35" fillId="10" borderId="1" xfId="20" applyNumberFormat="1" applyFont="1" applyFill="1" applyBorder="1" applyAlignment="1">
      <alignment horizontal="center" vertical="center"/>
    </xf>
    <xf numFmtId="0" fontId="42" fillId="10" borderId="2" xfId="20" applyFont="1" applyFill="1" applyBorder="1" applyAlignment="1">
      <alignment horizontal="center" vertical="center"/>
    </xf>
    <xf numFmtId="167" fontId="42" fillId="10" borderId="2" xfId="20" applyNumberFormat="1" applyFont="1" applyFill="1" applyBorder="1" applyAlignment="1">
      <alignment horizontal="center" vertical="center"/>
    </xf>
    <xf numFmtId="165" fontId="42" fillId="0" borderId="2" xfId="20" applyNumberFormat="1" applyFont="1" applyBorder="1" applyAlignment="1">
      <alignment horizontal="left" vertical="center"/>
    </xf>
    <xf numFmtId="165" fontId="42" fillId="0" borderId="1" xfId="20" applyNumberFormat="1" applyFont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72" fontId="42" fillId="0" borderId="1" xfId="20" applyNumberFormat="1" applyFont="1" applyBorder="1" applyAlignment="1">
      <alignment horizontal="center" vertical="center"/>
    </xf>
    <xf numFmtId="173" fontId="42" fillId="0" borderId="1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left" vertical="center"/>
    </xf>
    <xf numFmtId="43" fontId="43" fillId="0" borderId="0" xfId="21" applyFont="1" applyFill="1" applyBorder="1" applyAlignment="1">
      <alignment vertical="center"/>
    </xf>
    <xf numFmtId="167" fontId="45" fillId="0" borderId="0" xfId="21" applyNumberFormat="1" applyFont="1" applyFill="1" applyBorder="1" applyAlignment="1">
      <alignment vertical="center"/>
    </xf>
    <xf numFmtId="43" fontId="43" fillId="0" borderId="0" xfId="21" applyFont="1" applyFill="1" applyBorder="1" applyAlignment="1">
      <alignment horizontal="left" vertical="center"/>
    </xf>
    <xf numFmtId="167" fontId="43" fillId="0" borderId="0" xfId="21" applyNumberFormat="1" applyFont="1" applyFill="1" applyBorder="1" applyAlignment="1">
      <alignment vertical="center"/>
    </xf>
    <xf numFmtId="165" fontId="43" fillId="0" borderId="0" xfId="21" applyNumberFormat="1" applyFont="1" applyFill="1" applyBorder="1" applyAlignment="1">
      <alignment vertical="center"/>
    </xf>
    <xf numFmtId="165" fontId="42" fillId="10" borderId="1" xfId="20" applyNumberFormat="1" applyFont="1" applyFill="1" applyBorder="1" applyAlignment="1">
      <alignment horizontal="left" vertical="center"/>
    </xf>
    <xf numFmtId="165" fontId="42" fillId="0" borderId="12" xfId="20" applyNumberFormat="1" applyFont="1" applyBorder="1" applyAlignment="1">
      <alignment horizontal="center" vertical="center"/>
    </xf>
    <xf numFmtId="165" fontId="42" fillId="0" borderId="56" xfId="20" applyNumberFormat="1" applyFont="1" applyBorder="1" applyAlignment="1">
      <alignment horizontal="center" vertical="center"/>
    </xf>
    <xf numFmtId="165" fontId="42" fillId="0" borderId="13" xfId="20" applyNumberFormat="1" applyFont="1" applyBorder="1" applyAlignment="1">
      <alignment horizontal="center" vertical="center"/>
    </xf>
    <xf numFmtId="172" fontId="43" fillId="0" borderId="13" xfId="20" applyNumberFormat="1" applyFont="1" applyBorder="1" applyAlignment="1">
      <alignment horizontal="center" vertical="center"/>
    </xf>
    <xf numFmtId="165" fontId="43" fillId="0" borderId="8" xfId="20" applyNumberFormat="1" applyFont="1" applyBorder="1" applyAlignment="1">
      <alignment horizontal="center" vertical="center"/>
    </xf>
    <xf numFmtId="173" fontId="43" fillId="0" borderId="8" xfId="20" applyNumberFormat="1" applyFont="1" applyBorder="1" applyAlignment="1">
      <alignment horizontal="center" vertical="center"/>
    </xf>
    <xf numFmtId="165" fontId="43" fillId="0" borderId="47" xfId="20" applyNumberFormat="1" applyFont="1" applyBorder="1" applyAlignment="1">
      <alignment horizontal="center" vertical="center"/>
    </xf>
    <xf numFmtId="165" fontId="43" fillId="0" borderId="13" xfId="20" applyNumberFormat="1" applyFont="1" applyBorder="1" applyAlignment="1">
      <alignment horizontal="center" vertical="center"/>
    </xf>
    <xf numFmtId="173" fontId="43" fillId="0" borderId="13" xfId="20" applyNumberFormat="1" applyFont="1" applyBorder="1" applyAlignment="1">
      <alignment horizontal="center" vertical="center"/>
    </xf>
    <xf numFmtId="165" fontId="48" fillId="0" borderId="1" xfId="20" applyNumberFormat="1" applyFont="1" applyBorder="1" applyAlignment="1">
      <alignment horizontal="center" vertical="center"/>
    </xf>
    <xf numFmtId="165" fontId="48" fillId="0" borderId="12" xfId="20" applyNumberFormat="1" applyFont="1" applyBorder="1" applyAlignment="1">
      <alignment horizontal="center" vertical="center"/>
    </xf>
    <xf numFmtId="165" fontId="48" fillId="10" borderId="1" xfId="20" applyNumberFormat="1" applyFont="1" applyFill="1" applyBorder="1" applyAlignment="1">
      <alignment horizontal="center" vertical="center"/>
    </xf>
    <xf numFmtId="172" fontId="48" fillId="10" borderId="2" xfId="20" applyNumberFormat="1" applyFont="1" applyFill="1" applyBorder="1" applyAlignment="1">
      <alignment horizontal="center" vertical="center"/>
    </xf>
    <xf numFmtId="173" fontId="48" fillId="10" borderId="2" xfId="20" applyNumberFormat="1" applyFont="1" applyFill="1" applyBorder="1" applyAlignment="1">
      <alignment horizontal="center" vertical="center"/>
    </xf>
    <xf numFmtId="165" fontId="42" fillId="0" borderId="0" xfId="20" applyNumberFormat="1" applyFont="1" applyAlignment="1">
      <alignment horizontal="center" vertical="center"/>
    </xf>
    <xf numFmtId="165" fontId="42" fillId="0" borderId="15" xfId="20" applyNumberFormat="1" applyFont="1" applyBorder="1" applyAlignment="1">
      <alignment horizontal="center" vertical="center"/>
    </xf>
    <xf numFmtId="172" fontId="43" fillId="0" borderId="15" xfId="20" applyNumberFormat="1" applyFont="1" applyBorder="1" applyAlignment="1">
      <alignment horizontal="center" vertical="center"/>
    </xf>
    <xf numFmtId="165" fontId="43" fillId="0" borderId="20" xfId="20" applyNumberFormat="1" applyFont="1" applyBorder="1" applyAlignment="1">
      <alignment horizontal="center" vertical="center"/>
    </xf>
    <xf numFmtId="173" fontId="43" fillId="0" borderId="20" xfId="20" applyNumberFormat="1" applyFont="1" applyBorder="1" applyAlignment="1">
      <alignment horizontal="center" vertical="center"/>
    </xf>
    <xf numFmtId="0" fontId="43" fillId="0" borderId="7" xfId="20" applyFont="1" applyBorder="1" applyAlignment="1">
      <alignment vertical="center"/>
    </xf>
    <xf numFmtId="0" fontId="43" fillId="0" borderId="8" xfId="20" applyFont="1" applyBorder="1" applyAlignment="1">
      <alignment vertical="center"/>
    </xf>
    <xf numFmtId="43" fontId="43" fillId="0" borderId="8" xfId="21" applyFont="1" applyFill="1" applyBorder="1" applyAlignment="1">
      <alignment vertical="center"/>
    </xf>
    <xf numFmtId="167" fontId="45" fillId="0" borderId="8" xfId="21" applyNumberFormat="1" applyFont="1" applyFill="1" applyBorder="1" applyAlignment="1">
      <alignment vertical="center"/>
    </xf>
    <xf numFmtId="43" fontId="43" fillId="0" borderId="8" xfId="21" applyFont="1" applyFill="1" applyBorder="1" applyAlignment="1">
      <alignment horizontal="left" vertical="center"/>
    </xf>
    <xf numFmtId="167" fontId="43" fillId="0" borderId="13" xfId="21" applyNumberFormat="1" applyFont="1" applyFill="1" applyBorder="1" applyAlignment="1">
      <alignment vertical="center"/>
    </xf>
    <xf numFmtId="165" fontId="43" fillId="10" borderId="64" xfId="20" applyNumberFormat="1" applyFont="1" applyFill="1" applyBorder="1" applyAlignment="1">
      <alignment horizontal="center" vertical="center"/>
    </xf>
    <xf numFmtId="165" fontId="43" fillId="10" borderId="40" xfId="20" applyNumberFormat="1" applyFont="1" applyFill="1" applyBorder="1" applyAlignment="1">
      <alignment horizontal="center" vertical="center"/>
    </xf>
    <xf numFmtId="172" fontId="43" fillId="10" borderId="40" xfId="20" applyNumberFormat="1" applyFont="1" applyFill="1" applyBorder="1" applyAlignment="1">
      <alignment horizontal="center" vertical="center"/>
    </xf>
    <xf numFmtId="173" fontId="43" fillId="10" borderId="40" xfId="20" applyNumberFormat="1" applyFont="1" applyFill="1" applyBorder="1" applyAlignment="1">
      <alignment horizontal="center" vertical="center"/>
    </xf>
    <xf numFmtId="173" fontId="43" fillId="10" borderId="25" xfId="20" applyNumberFormat="1" applyFont="1" applyFill="1" applyBorder="1" applyAlignment="1">
      <alignment horizontal="center" vertical="center"/>
    </xf>
    <xf numFmtId="165" fontId="43" fillId="10" borderId="29" xfId="20" applyNumberFormat="1" applyFont="1" applyFill="1" applyBorder="1" applyAlignment="1">
      <alignment horizontal="center" vertical="center"/>
    </xf>
    <xf numFmtId="165" fontId="42" fillId="10" borderId="34" xfId="20" applyNumberFormat="1" applyFont="1" applyFill="1" applyBorder="1" applyAlignment="1">
      <alignment horizontal="left" vertical="center"/>
    </xf>
    <xf numFmtId="165" fontId="42" fillId="10" borderId="26" xfId="20" applyNumberFormat="1" applyFont="1" applyFill="1" applyBorder="1" applyAlignment="1">
      <alignment horizontal="center" vertical="center"/>
    </xf>
    <xf numFmtId="172" fontId="42" fillId="10" borderId="26" xfId="20" applyNumberFormat="1" applyFont="1" applyFill="1" applyBorder="1" applyAlignment="1">
      <alignment horizontal="center" vertical="center"/>
    </xf>
    <xf numFmtId="173" fontId="42" fillId="10" borderId="26" xfId="20" applyNumberFormat="1" applyFont="1" applyFill="1" applyBorder="1" applyAlignment="1">
      <alignment horizontal="center" vertical="center"/>
    </xf>
    <xf numFmtId="165" fontId="42" fillId="10" borderId="35" xfId="20" applyNumberFormat="1" applyFont="1" applyFill="1" applyBorder="1" applyAlignment="1">
      <alignment horizontal="center" vertical="center"/>
    </xf>
    <xf numFmtId="0" fontId="42" fillId="10" borderId="65" xfId="20" applyFont="1" applyFill="1" applyBorder="1" applyAlignment="1">
      <alignment horizontal="center" vertical="center"/>
    </xf>
    <xf numFmtId="0" fontId="42" fillId="10" borderId="4" xfId="20" applyFont="1" applyFill="1" applyBorder="1" applyAlignment="1">
      <alignment horizontal="center" vertical="center"/>
    </xf>
    <xf numFmtId="165" fontId="42" fillId="10" borderId="22" xfId="20" applyNumberFormat="1" applyFont="1" applyFill="1" applyBorder="1" applyAlignment="1">
      <alignment horizontal="left" vertical="center"/>
    </xf>
    <xf numFmtId="165" fontId="42" fillId="10" borderId="38" xfId="20" applyNumberFormat="1" applyFont="1" applyFill="1" applyBorder="1" applyAlignment="1">
      <alignment horizontal="center" vertical="center"/>
    </xf>
    <xf numFmtId="172" fontId="42" fillId="10" borderId="38" xfId="20" applyNumberFormat="1" applyFont="1" applyFill="1" applyBorder="1" applyAlignment="1">
      <alignment horizontal="center" vertical="center"/>
    </xf>
    <xf numFmtId="173" fontId="42" fillId="10" borderId="38" xfId="20" applyNumberFormat="1" applyFont="1" applyFill="1" applyBorder="1" applyAlignment="1">
      <alignment horizontal="center" vertical="center"/>
    </xf>
    <xf numFmtId="165" fontId="42" fillId="10" borderId="39" xfId="20" applyNumberFormat="1" applyFont="1" applyFill="1" applyBorder="1" applyAlignment="1">
      <alignment horizontal="center" vertical="center"/>
    </xf>
    <xf numFmtId="165" fontId="43" fillId="4" borderId="15" xfId="20" applyNumberFormat="1" applyFont="1" applyFill="1" applyBorder="1" applyAlignment="1">
      <alignment horizontal="center" vertical="center"/>
    </xf>
    <xf numFmtId="172" fontId="43" fillId="4" borderId="15" xfId="20" applyNumberFormat="1" applyFont="1" applyFill="1" applyBorder="1" applyAlignment="1">
      <alignment horizontal="center" vertical="center"/>
    </xf>
    <xf numFmtId="173" fontId="43" fillId="4" borderId="15" xfId="20" applyNumberFormat="1" applyFont="1" applyFill="1" applyBorder="1" applyAlignment="1">
      <alignment horizontal="center" vertical="center"/>
    </xf>
    <xf numFmtId="165" fontId="43" fillId="0" borderId="4" xfId="20" applyNumberFormat="1" applyFont="1" applyBorder="1" applyAlignment="1">
      <alignment horizontal="center" vertical="center"/>
    </xf>
    <xf numFmtId="165" fontId="43" fillId="0" borderId="4" xfId="20" applyNumberFormat="1" applyFont="1" applyBorder="1" applyAlignment="1">
      <alignment horizontal="left" vertical="center"/>
    </xf>
    <xf numFmtId="165" fontId="43" fillId="0" borderId="41" xfId="20" applyNumberFormat="1" applyFont="1" applyBorder="1" applyAlignment="1">
      <alignment horizontal="center" vertical="center"/>
    </xf>
    <xf numFmtId="172" fontId="43" fillId="0" borderId="41" xfId="20" applyNumberFormat="1" applyFont="1" applyBorder="1" applyAlignment="1">
      <alignment horizontal="center" vertical="center"/>
    </xf>
    <xf numFmtId="165" fontId="42" fillId="0" borderId="26" xfId="20" applyNumberFormat="1" applyFont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167" fontId="48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172" fontId="49" fillId="0" borderId="1" xfId="20" applyNumberFormat="1" applyFont="1" applyBorder="1" applyAlignment="1">
      <alignment horizontal="center" vertical="center"/>
    </xf>
    <xf numFmtId="165" fontId="49" fillId="0" borderId="1" xfId="20" applyNumberFormat="1" applyFont="1" applyBorder="1" applyAlignment="1">
      <alignment horizontal="center" vertical="center"/>
    </xf>
    <xf numFmtId="172" fontId="49" fillId="0" borderId="12" xfId="20" applyNumberFormat="1" applyFont="1" applyBorder="1" applyAlignment="1">
      <alignment horizontal="center" vertical="center"/>
    </xf>
    <xf numFmtId="173" fontId="49" fillId="0" borderId="41" xfId="20" applyNumberFormat="1" applyFont="1" applyBorder="1" applyAlignment="1">
      <alignment horizontal="center" vertical="center"/>
    </xf>
    <xf numFmtId="165" fontId="49" fillId="0" borderId="41" xfId="20" applyNumberFormat="1" applyFont="1" applyBorder="1" applyAlignment="1">
      <alignment horizontal="center" vertical="center"/>
    </xf>
    <xf numFmtId="165" fontId="49" fillId="0" borderId="32" xfId="20" applyNumberFormat="1" applyFont="1" applyBorder="1" applyAlignment="1">
      <alignment horizontal="center" vertical="center"/>
    </xf>
    <xf numFmtId="164" fontId="42" fillId="10" borderId="2" xfId="20" applyNumberFormat="1" applyFont="1" applyFill="1" applyBorder="1" applyAlignment="1">
      <alignment horizontal="center" vertical="center"/>
    </xf>
    <xf numFmtId="173" fontId="43" fillId="10" borderId="19" xfId="20" applyNumberFormat="1" applyFont="1" applyFill="1" applyBorder="1" applyAlignment="1">
      <alignment horizontal="center" vertical="center"/>
    </xf>
    <xf numFmtId="0" fontId="43" fillId="10" borderId="25" xfId="20" applyFont="1" applyFill="1" applyBorder="1" applyAlignment="1">
      <alignment horizontal="left" vertical="center" wrapText="1"/>
    </xf>
    <xf numFmtId="165" fontId="42" fillId="0" borderId="58" xfId="20" applyNumberFormat="1" applyFont="1" applyBorder="1" applyAlignment="1">
      <alignment horizontal="center" vertical="center"/>
    </xf>
    <xf numFmtId="165" fontId="42" fillId="0" borderId="41" xfId="20" applyNumberFormat="1" applyFont="1" applyBorder="1" applyAlignment="1">
      <alignment horizontal="center" vertical="center"/>
    </xf>
    <xf numFmtId="165" fontId="43" fillId="0" borderId="8" xfId="21" applyNumberFormat="1" applyFont="1" applyFill="1" applyBorder="1" applyAlignment="1">
      <alignment vertical="center"/>
    </xf>
    <xf numFmtId="167" fontId="43" fillId="0" borderId="8" xfId="21" applyNumberFormat="1" applyFont="1" applyFill="1" applyBorder="1" applyAlignment="1">
      <alignment vertical="center"/>
    </xf>
    <xf numFmtId="167" fontId="43" fillId="0" borderId="47" xfId="21" applyNumberFormat="1" applyFont="1" applyFill="1" applyBorder="1" applyAlignment="1">
      <alignment vertical="center"/>
    </xf>
    <xf numFmtId="165" fontId="42" fillId="0" borderId="34" xfId="20" applyNumberFormat="1" applyFont="1" applyBorder="1" applyAlignment="1">
      <alignment horizontal="left" vertical="center"/>
    </xf>
    <xf numFmtId="165" fontId="42" fillId="0" borderId="35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38" xfId="20" applyNumberFormat="1" applyFont="1" applyBorder="1" applyAlignment="1">
      <alignment horizontal="left" vertical="center"/>
    </xf>
    <xf numFmtId="0" fontId="42" fillId="4" borderId="0" xfId="20" applyFont="1" applyFill="1" applyAlignment="1">
      <alignment horizontal="center" vertical="center"/>
    </xf>
    <xf numFmtId="0" fontId="44" fillId="4" borderId="15" xfId="20" applyFont="1" applyFill="1" applyBorder="1" applyAlignment="1">
      <alignment horizontal="left" vertical="center" wrapText="1"/>
    </xf>
    <xf numFmtId="0" fontId="42" fillId="4" borderId="20" xfId="20" applyFont="1" applyFill="1" applyBorder="1" applyAlignment="1">
      <alignment horizontal="center" vertical="center"/>
    </xf>
    <xf numFmtId="165" fontId="44" fillId="4" borderId="15" xfId="20" applyNumberFormat="1" applyFont="1" applyFill="1" applyBorder="1" applyAlignment="1">
      <alignment horizontal="center" vertical="center"/>
    </xf>
    <xf numFmtId="165" fontId="42" fillId="4" borderId="15" xfId="20" applyNumberFormat="1" applyFont="1" applyFill="1" applyBorder="1" applyAlignment="1">
      <alignment horizontal="left" vertical="center"/>
    </xf>
    <xf numFmtId="165" fontId="42" fillId="4" borderId="15" xfId="20" applyNumberFormat="1" applyFont="1" applyFill="1" applyBorder="1" applyAlignment="1">
      <alignment horizontal="center" vertical="center"/>
    </xf>
    <xf numFmtId="165" fontId="42" fillId="0" borderId="26" xfId="20" applyNumberFormat="1" applyFont="1" applyBorder="1" applyAlignment="1">
      <alignment horizontal="left" vertical="center"/>
    </xf>
    <xf numFmtId="165" fontId="47" fillId="0" borderId="26" xfId="20" applyNumberFormat="1" applyFont="1" applyBorder="1" applyAlignment="1">
      <alignment horizontal="center" vertical="center"/>
    </xf>
    <xf numFmtId="165" fontId="48" fillId="0" borderId="26" xfId="20" applyNumberFormat="1" applyFont="1" applyBorder="1" applyAlignment="1">
      <alignment horizontal="center" vertical="center"/>
    </xf>
    <xf numFmtId="165" fontId="48" fillId="0" borderId="34" xfId="20" applyNumberFormat="1" applyFont="1" applyBorder="1" applyAlignment="1">
      <alignment horizontal="center" vertical="center"/>
    </xf>
    <xf numFmtId="165" fontId="48" fillId="0" borderId="35" xfId="20" applyNumberFormat="1" applyFont="1" applyBorder="1" applyAlignment="1">
      <alignment horizontal="center" vertical="center"/>
    </xf>
    <xf numFmtId="165" fontId="49" fillId="0" borderId="37" xfId="20" applyNumberFormat="1" applyFont="1" applyBorder="1" applyAlignment="1">
      <alignment horizontal="center" vertical="center"/>
    </xf>
    <xf numFmtId="165" fontId="49" fillId="0" borderId="43" xfId="20" applyNumberFormat="1" applyFont="1" applyBorder="1" applyAlignment="1">
      <alignment horizontal="center" vertical="center"/>
    </xf>
    <xf numFmtId="165" fontId="48" fillId="0" borderId="37" xfId="20" applyNumberFormat="1" applyFont="1" applyBorder="1" applyAlignment="1">
      <alignment horizontal="center" vertical="center"/>
    </xf>
    <xf numFmtId="165" fontId="48" fillId="0" borderId="43" xfId="20" applyNumberFormat="1" applyFont="1" applyBorder="1" applyAlignment="1">
      <alignment horizontal="center" vertical="center"/>
    </xf>
    <xf numFmtId="165" fontId="42" fillId="10" borderId="38" xfId="20" applyNumberFormat="1" applyFont="1" applyFill="1" applyBorder="1" applyAlignment="1">
      <alignment horizontal="left" vertical="center"/>
    </xf>
    <xf numFmtId="165" fontId="42" fillId="10" borderId="26" xfId="20" applyNumberFormat="1" applyFont="1" applyFill="1" applyBorder="1" applyAlignment="1">
      <alignment horizontal="left" vertical="center"/>
    </xf>
    <xf numFmtId="165" fontId="42" fillId="0" borderId="66" xfId="20" applyNumberFormat="1" applyFont="1" applyBorder="1" applyAlignment="1">
      <alignment horizontal="center" vertical="center"/>
    </xf>
    <xf numFmtId="165" fontId="42" fillId="0" borderId="40" xfId="20" applyNumberFormat="1" applyFont="1" applyBorder="1" applyAlignment="1">
      <alignment horizontal="center" vertical="center"/>
    </xf>
    <xf numFmtId="172" fontId="43" fillId="0" borderId="40" xfId="20" applyNumberFormat="1" applyFont="1" applyBorder="1" applyAlignment="1">
      <alignment horizontal="center" vertical="center"/>
    </xf>
    <xf numFmtId="165" fontId="43" fillId="0" borderId="25" xfId="20" applyNumberFormat="1" applyFont="1" applyBorder="1" applyAlignment="1">
      <alignment horizontal="center" vertical="center"/>
    </xf>
    <xf numFmtId="173" fontId="43" fillId="0" borderId="25" xfId="20" applyNumberFormat="1" applyFont="1" applyBorder="1" applyAlignment="1">
      <alignment horizontal="center" vertical="center"/>
    </xf>
    <xf numFmtId="165" fontId="43" fillId="0" borderId="29" xfId="20" applyNumberFormat="1" applyFont="1" applyBorder="1" applyAlignment="1">
      <alignment horizontal="center" vertical="center"/>
    </xf>
    <xf numFmtId="165" fontId="43" fillId="0" borderId="62" xfId="20" applyNumberFormat="1" applyFont="1" applyBorder="1" applyAlignment="1">
      <alignment horizontal="center" vertical="center"/>
    </xf>
    <xf numFmtId="165" fontId="42" fillId="0" borderId="59" xfId="20" applyNumberFormat="1" applyFont="1" applyBorder="1" applyAlignment="1">
      <alignment horizontal="center" vertical="center"/>
    </xf>
    <xf numFmtId="173" fontId="43" fillId="0" borderId="4" xfId="20" applyNumberFormat="1" applyFont="1" applyBorder="1" applyAlignment="1">
      <alignment horizontal="center" vertical="center"/>
    </xf>
    <xf numFmtId="165" fontId="43" fillId="0" borderId="32" xfId="20" applyNumberFormat="1" applyFont="1" applyBorder="1" applyAlignment="1">
      <alignment horizontal="center" vertical="center"/>
    </xf>
    <xf numFmtId="0" fontId="42" fillId="0" borderId="44" xfId="20" applyFont="1" applyBorder="1" applyAlignment="1">
      <alignment horizontal="center" vertical="center"/>
    </xf>
    <xf numFmtId="0" fontId="42" fillId="0" borderId="6" xfId="20" applyFont="1" applyBorder="1" applyAlignment="1">
      <alignment horizontal="center" vertical="center"/>
    </xf>
    <xf numFmtId="0" fontId="42" fillId="2" borderId="6" xfId="20" applyFont="1" applyFill="1" applyBorder="1" applyAlignment="1">
      <alignment horizontal="center" vertical="center"/>
    </xf>
    <xf numFmtId="172" fontId="42" fillId="2" borderId="12" xfId="20" applyNumberFormat="1" applyFont="1" applyFill="1" applyBorder="1" applyAlignment="1">
      <alignment horizontal="center" vertical="center"/>
    </xf>
    <xf numFmtId="172" fontId="42" fillId="2" borderId="6" xfId="20" applyNumberFormat="1" applyFont="1" applyFill="1" applyBorder="1" applyAlignment="1">
      <alignment horizontal="center" vertical="center"/>
    </xf>
    <xf numFmtId="165" fontId="35" fillId="10" borderId="26" xfId="20" applyNumberFormat="1" applyFont="1" applyFill="1" applyBorder="1" applyAlignment="1">
      <alignment horizontal="center" vertical="center"/>
    </xf>
    <xf numFmtId="0" fontId="48" fillId="10" borderId="34" xfId="20" applyFont="1" applyFill="1" applyBorder="1" applyAlignment="1">
      <alignment horizontal="center" vertical="center"/>
    </xf>
    <xf numFmtId="173" fontId="48" fillId="10" borderId="34" xfId="20" applyNumberFormat="1" applyFont="1" applyFill="1" applyBorder="1" applyAlignment="1">
      <alignment horizontal="center" vertical="center"/>
    </xf>
    <xf numFmtId="167" fontId="48" fillId="10" borderId="34" xfId="20" applyNumberFormat="1" applyFont="1" applyFill="1" applyBorder="1" applyAlignment="1">
      <alignment horizontal="center" vertical="center"/>
    </xf>
    <xf numFmtId="165" fontId="42" fillId="10" borderId="34" xfId="20" applyNumberFormat="1" applyFont="1" applyFill="1" applyBorder="1" applyAlignment="1">
      <alignment horizontal="center" vertical="center"/>
    </xf>
    <xf numFmtId="165" fontId="42" fillId="10" borderId="37" xfId="20" applyNumberFormat="1" applyFont="1" applyFill="1" applyBorder="1" applyAlignment="1">
      <alignment horizontal="center" vertical="center"/>
    </xf>
    <xf numFmtId="0" fontId="42" fillId="10" borderId="22" xfId="20" applyFont="1" applyFill="1" applyBorder="1" applyAlignment="1">
      <alignment horizontal="center" vertical="center"/>
    </xf>
    <xf numFmtId="165" fontId="48" fillId="10" borderId="38" xfId="20" applyNumberFormat="1" applyFont="1" applyFill="1" applyBorder="1" applyAlignment="1">
      <alignment horizontal="center" vertical="center"/>
    </xf>
    <xf numFmtId="173" fontId="48" fillId="10" borderId="22" xfId="20" applyNumberFormat="1" applyFont="1" applyFill="1" applyBorder="1" applyAlignment="1">
      <alignment horizontal="center" vertical="center"/>
    </xf>
    <xf numFmtId="165" fontId="48" fillId="10" borderId="22" xfId="20" applyNumberFormat="1" applyFont="1" applyFill="1" applyBorder="1" applyAlignment="1">
      <alignment horizontal="center" vertical="center"/>
    </xf>
    <xf numFmtId="165" fontId="42" fillId="10" borderId="22" xfId="20" applyNumberFormat="1" applyFont="1" applyFill="1" applyBorder="1" applyAlignment="1">
      <alignment horizontal="center" vertical="center"/>
    </xf>
    <xf numFmtId="171" fontId="36" fillId="0" borderId="19" xfId="18" applyNumberFormat="1" applyFont="1" applyBorder="1" applyAlignment="1">
      <alignment horizontal="center" vertical="center" wrapText="1"/>
    </xf>
    <xf numFmtId="165" fontId="43" fillId="0" borderId="19" xfId="20" applyNumberFormat="1" applyFont="1" applyBorder="1" applyAlignment="1">
      <alignment horizontal="left" vertical="center"/>
    </xf>
    <xf numFmtId="165" fontId="43" fillId="0" borderId="14" xfId="20" applyNumberFormat="1" applyFont="1" applyBorder="1" applyAlignment="1">
      <alignment horizontal="center" vertical="center"/>
    </xf>
    <xf numFmtId="0" fontId="42" fillId="0" borderId="19" xfId="20" applyFont="1" applyBorder="1" applyAlignment="1">
      <alignment horizontal="center" vertical="center"/>
    </xf>
    <xf numFmtId="165" fontId="42" fillId="0" borderId="14" xfId="20" applyNumberFormat="1" applyFont="1" applyBorder="1" applyAlignment="1">
      <alignment horizontal="center" vertical="center"/>
    </xf>
    <xf numFmtId="174" fontId="51" fillId="0" borderId="30" xfId="23" applyNumberFormat="1" applyFont="1" applyBorder="1" applyAlignment="1">
      <alignment horizontal="right" vertical="center" wrapText="1"/>
    </xf>
    <xf numFmtId="174" fontId="51" fillId="0" borderId="14" xfId="23" applyNumberFormat="1" applyFont="1" applyBorder="1" applyAlignment="1">
      <alignment horizontal="right" vertical="center" wrapText="1"/>
    </xf>
    <xf numFmtId="165" fontId="49" fillId="0" borderId="14" xfId="20" applyNumberFormat="1" applyFont="1" applyBorder="1" applyAlignment="1">
      <alignment horizontal="center" vertical="center"/>
    </xf>
    <xf numFmtId="165" fontId="49" fillId="0" borderId="30" xfId="20" applyNumberFormat="1" applyFont="1" applyBorder="1" applyAlignment="1">
      <alignment horizontal="center" vertical="center"/>
    </xf>
    <xf numFmtId="0" fontId="43" fillId="10" borderId="24" xfId="20" applyFont="1" applyFill="1" applyBorder="1" applyAlignment="1">
      <alignment horizontal="center" vertical="center"/>
    </xf>
    <xf numFmtId="0" fontId="43" fillId="10" borderId="25" xfId="20" applyFont="1" applyFill="1" applyBorder="1" applyAlignment="1">
      <alignment horizontal="center" vertical="center"/>
    </xf>
    <xf numFmtId="165" fontId="43" fillId="10" borderId="25" xfId="20" applyNumberFormat="1" applyFont="1" applyFill="1" applyBorder="1" applyAlignment="1">
      <alignment horizontal="center" vertical="center"/>
    </xf>
    <xf numFmtId="165" fontId="43" fillId="10" borderId="40" xfId="20" applyNumberFormat="1" applyFont="1" applyFill="1" applyBorder="1" applyAlignment="1">
      <alignment horizontal="left" vertical="center"/>
    </xf>
    <xf numFmtId="0" fontId="43" fillId="4" borderId="31" xfId="20" applyFont="1" applyFill="1" applyBorder="1" applyAlignment="1">
      <alignment horizontal="center" vertical="center"/>
    </xf>
    <xf numFmtId="0" fontId="43" fillId="4" borderId="4" xfId="20" applyFont="1" applyFill="1" applyBorder="1" applyAlignment="1">
      <alignment horizontal="left" vertical="center" wrapText="1"/>
    </xf>
    <xf numFmtId="0" fontId="43" fillId="4" borderId="4" xfId="20" applyFont="1" applyFill="1" applyBorder="1" applyAlignment="1">
      <alignment horizontal="center" vertical="center"/>
    </xf>
    <xf numFmtId="165" fontId="43" fillId="4" borderId="4" xfId="20" applyNumberFormat="1" applyFont="1" applyFill="1" applyBorder="1" applyAlignment="1">
      <alignment horizontal="center" vertical="center"/>
    </xf>
    <xf numFmtId="165" fontId="43" fillId="4" borderId="4" xfId="20" applyNumberFormat="1" applyFont="1" applyFill="1" applyBorder="1" applyAlignment="1">
      <alignment horizontal="left" vertical="center"/>
    </xf>
    <xf numFmtId="165" fontId="43" fillId="4" borderId="41" xfId="20" applyNumberFormat="1" applyFont="1" applyFill="1" applyBorder="1" applyAlignment="1">
      <alignment horizontal="center" vertical="center"/>
    </xf>
    <xf numFmtId="172" fontId="43" fillId="4" borderId="41" xfId="20" applyNumberFormat="1" applyFont="1" applyFill="1" applyBorder="1" applyAlignment="1">
      <alignment horizontal="center" vertical="center"/>
    </xf>
    <xf numFmtId="173" fontId="43" fillId="4" borderId="41" xfId="20" applyNumberFormat="1" applyFont="1" applyFill="1" applyBorder="1" applyAlignment="1">
      <alignment horizontal="center" vertical="center"/>
    </xf>
    <xf numFmtId="173" fontId="43" fillId="4" borderId="4" xfId="20" applyNumberFormat="1" applyFont="1" applyFill="1" applyBorder="1" applyAlignment="1">
      <alignment horizontal="center" vertical="center"/>
    </xf>
    <xf numFmtId="165" fontId="43" fillId="4" borderId="32" xfId="20" applyNumberFormat="1" applyFont="1" applyFill="1" applyBorder="1" applyAlignment="1">
      <alignment horizontal="center" vertical="center"/>
    </xf>
    <xf numFmtId="0" fontId="42" fillId="0" borderId="2" xfId="20" applyFont="1" applyBorder="1" applyAlignment="1">
      <alignment horizontal="center" vertical="center"/>
    </xf>
    <xf numFmtId="165" fontId="42" fillId="0" borderId="12" xfId="20" applyNumberFormat="1" applyFont="1" applyBorder="1" applyAlignment="1">
      <alignment horizontal="left" vertical="center"/>
    </xf>
    <xf numFmtId="0" fontId="42" fillId="0" borderId="15" xfId="20" applyFont="1" applyBorder="1" applyAlignment="1">
      <alignment horizontal="center" vertical="center"/>
    </xf>
    <xf numFmtId="173" fontId="42" fillId="10" borderId="6" xfId="20" applyNumberFormat="1" applyFont="1" applyFill="1" applyBorder="1" applyAlignment="1">
      <alignment horizontal="center" vertical="center"/>
    </xf>
    <xf numFmtId="173" fontId="47" fillId="0" borderId="2" xfId="20" applyNumberFormat="1" applyFont="1" applyBorder="1" applyAlignment="1">
      <alignment horizontal="center" vertical="center"/>
    </xf>
    <xf numFmtId="0" fontId="42" fillId="0" borderId="1" xfId="20" applyFont="1" applyBorder="1" applyAlignment="1">
      <alignment horizontal="center" vertical="center"/>
    </xf>
    <xf numFmtId="165" fontId="47" fillId="0" borderId="2" xfId="20" applyNumberFormat="1" applyFont="1" applyBorder="1" applyAlignment="1">
      <alignment horizontal="center" vertical="center"/>
    </xf>
    <xf numFmtId="165" fontId="47" fillId="0" borderId="37" xfId="20" applyNumberFormat="1" applyFont="1" applyBorder="1" applyAlignment="1">
      <alignment horizontal="center" vertical="center"/>
    </xf>
    <xf numFmtId="165" fontId="47" fillId="0" borderId="1" xfId="20" applyNumberFormat="1" applyFont="1" applyBorder="1" applyAlignment="1">
      <alignment horizontal="center" vertical="center"/>
    </xf>
    <xf numFmtId="165" fontId="48" fillId="0" borderId="14" xfId="20" applyNumberFormat="1" applyFont="1" applyBorder="1" applyAlignment="1">
      <alignment horizontal="center" vertical="center"/>
    </xf>
    <xf numFmtId="165" fontId="48" fillId="0" borderId="2" xfId="20" applyNumberFormat="1" applyFont="1" applyBorder="1" applyAlignment="1">
      <alignment horizontal="center" vertical="center"/>
    </xf>
    <xf numFmtId="164" fontId="43" fillId="0" borderId="0" xfId="20" applyNumberFormat="1" applyFont="1" applyAlignment="1">
      <alignment vertical="center"/>
    </xf>
    <xf numFmtId="0" fontId="42" fillId="10" borderId="25" xfId="20" applyFont="1" applyFill="1" applyBorder="1" applyAlignment="1">
      <alignment horizontal="center" vertical="center"/>
    </xf>
    <xf numFmtId="0" fontId="42" fillId="10" borderId="20" xfId="20" applyFont="1" applyFill="1" applyBorder="1" applyAlignment="1">
      <alignment horizontal="center" vertical="center"/>
    </xf>
    <xf numFmtId="43" fontId="43" fillId="2" borderId="17" xfId="21" applyFont="1" applyFill="1" applyBorder="1" applyAlignment="1">
      <alignment horizontal="center" vertical="center" wrapText="1"/>
    </xf>
    <xf numFmtId="43" fontId="43" fillId="2" borderId="16" xfId="21" applyFont="1" applyFill="1" applyBorder="1" applyAlignment="1">
      <alignment horizontal="center" vertical="center" wrapText="1"/>
    </xf>
    <xf numFmtId="173" fontId="48" fillId="11" borderId="2" xfId="20" applyNumberFormat="1" applyFont="1" applyFill="1" applyBorder="1" applyAlignment="1">
      <alignment horizontal="center" vertical="center"/>
    </xf>
    <xf numFmtId="173" fontId="48" fillId="11" borderId="6" xfId="20" applyNumberFormat="1" applyFont="1" applyFill="1" applyBorder="1" applyAlignment="1">
      <alignment horizontal="center" vertical="center"/>
    </xf>
    <xf numFmtId="165" fontId="42" fillId="10" borderId="6" xfId="20" applyNumberFormat="1" applyFont="1" applyFill="1" applyBorder="1" applyAlignment="1">
      <alignment horizontal="center" vertical="center"/>
    </xf>
    <xf numFmtId="165" fontId="42" fillId="0" borderId="19" xfId="20" applyNumberFormat="1" applyFont="1" applyBorder="1" applyAlignment="1">
      <alignment horizontal="center" vertical="center"/>
    </xf>
    <xf numFmtId="0" fontId="43" fillId="0" borderId="31" xfId="20" applyFont="1" applyBorder="1" applyAlignment="1">
      <alignment vertical="center"/>
    </xf>
    <xf numFmtId="0" fontId="43" fillId="0" borderId="4" xfId="20" applyFont="1" applyBorder="1" applyAlignment="1">
      <alignment vertical="center"/>
    </xf>
    <xf numFmtId="17" fontId="43" fillId="2" borderId="6" xfId="18" applyNumberFormat="1" applyFont="1" applyFill="1" applyBorder="1" applyAlignment="1">
      <alignment horizontal="center" vertical="center"/>
    </xf>
    <xf numFmtId="0" fontId="7" fillId="0" borderId="2" xfId="20" applyFont="1" applyBorder="1" applyAlignment="1">
      <alignment horizontal="center" vertical="center" wrapText="1"/>
    </xf>
    <xf numFmtId="0" fontId="43" fillId="0" borderId="2" xfId="20" applyFont="1" applyBorder="1" applyAlignment="1">
      <alignment horizontal="center" vertical="center"/>
    </xf>
    <xf numFmtId="43" fontId="43" fillId="2" borderId="6" xfId="21" applyFont="1" applyFill="1" applyBorder="1" applyAlignment="1">
      <alignment horizontal="center" vertical="center" wrapText="1"/>
    </xf>
    <xf numFmtId="0" fontId="42" fillId="10" borderId="7" xfId="20" applyFont="1" applyFill="1" applyBorder="1" applyAlignment="1">
      <alignment horizontal="center" vertical="center"/>
    </xf>
    <xf numFmtId="0" fontId="43" fillId="10" borderId="8" xfId="20" applyFont="1" applyFill="1" applyBorder="1" applyAlignment="1">
      <alignment horizontal="left" vertical="center" wrapText="1"/>
    </xf>
    <xf numFmtId="165" fontId="42" fillId="10" borderId="8" xfId="20" applyNumberFormat="1" applyFont="1" applyFill="1" applyBorder="1" applyAlignment="1">
      <alignment horizontal="center" vertical="center"/>
    </xf>
    <xf numFmtId="0" fontId="43" fillId="0" borderId="7" xfId="20" applyFont="1" applyBorder="1" applyAlignment="1">
      <alignment horizontal="center" vertical="center"/>
    </xf>
    <xf numFmtId="0" fontId="43" fillId="0" borderId="8" xfId="20" applyFont="1" applyBorder="1" applyAlignment="1">
      <alignment horizontal="left" vertical="center" wrapText="1"/>
    </xf>
    <xf numFmtId="167" fontId="43" fillId="0" borderId="61" xfId="21" applyNumberFormat="1" applyFont="1" applyFill="1" applyBorder="1" applyAlignment="1">
      <alignment vertical="center"/>
    </xf>
    <xf numFmtId="0" fontId="43" fillId="10" borderId="7" xfId="20" applyFont="1" applyFill="1" applyBorder="1" applyAlignment="1">
      <alignment horizontal="center" vertical="center"/>
    </xf>
    <xf numFmtId="172" fontId="43" fillId="6" borderId="13" xfId="20" applyNumberFormat="1" applyFont="1" applyFill="1" applyBorder="1" applyAlignment="1">
      <alignment horizontal="center" vertical="center"/>
    </xf>
    <xf numFmtId="165" fontId="43" fillId="6" borderId="47" xfId="20" applyNumberFormat="1" applyFont="1" applyFill="1" applyBorder="1" applyAlignment="1">
      <alignment horizontal="center" vertical="center"/>
    </xf>
    <xf numFmtId="167" fontId="43" fillId="2" borderId="6" xfId="21" applyNumberFormat="1" applyFont="1" applyFill="1" applyBorder="1" applyAlignment="1">
      <alignment horizontal="center" vertical="center" wrapText="1"/>
    </xf>
    <xf numFmtId="0" fontId="36" fillId="12" borderId="8" xfId="18" applyFont="1" applyFill="1" applyBorder="1" applyAlignment="1">
      <alignment horizontal="center" vertical="center"/>
    </xf>
    <xf numFmtId="43" fontId="36" fillId="12" borderId="8" xfId="19" applyFont="1" applyFill="1" applyBorder="1" applyAlignment="1">
      <alignment horizontal="center" vertical="center" wrapText="1"/>
    </xf>
    <xf numFmtId="17" fontId="36" fillId="12" borderId="8" xfId="18" applyNumberFormat="1" applyFont="1" applyFill="1" applyBorder="1" applyAlignment="1">
      <alignment horizontal="center" vertical="center" wrapText="1"/>
    </xf>
    <xf numFmtId="17" fontId="36" fillId="12" borderId="47" xfId="18" applyNumberFormat="1" applyFont="1" applyFill="1" applyBorder="1" applyAlignment="1">
      <alignment horizontal="center" vertical="center" wrapText="1"/>
    </xf>
    <xf numFmtId="171" fontId="36" fillId="2" borderId="2" xfId="18" applyNumberFormat="1" applyFont="1" applyFill="1" applyBorder="1" applyAlignment="1">
      <alignment horizontal="center" vertical="center" wrapText="1"/>
    </xf>
    <xf numFmtId="171" fontId="36" fillId="12" borderId="2" xfId="18" applyNumberFormat="1" applyFont="1" applyFill="1" applyBorder="1" applyAlignment="1">
      <alignment horizontal="center" vertical="center" wrapText="1"/>
    </xf>
    <xf numFmtId="0" fontId="36" fillId="12" borderId="7" xfId="18" applyFont="1" applyFill="1" applyBorder="1" applyAlignment="1">
      <alignment horizontal="center" vertical="center" wrapText="1"/>
    </xf>
    <xf numFmtId="0" fontId="36" fillId="12" borderId="22" xfId="18" applyFont="1" applyFill="1" applyBorder="1" applyAlignment="1">
      <alignment horizontal="center" vertical="center" wrapText="1"/>
    </xf>
    <xf numFmtId="171" fontId="36" fillId="12" borderId="22" xfId="18" applyNumberFormat="1" applyFont="1" applyFill="1" applyBorder="1" applyAlignment="1">
      <alignment horizontal="center" vertical="center" wrapText="1"/>
    </xf>
    <xf numFmtId="43" fontId="36" fillId="12" borderId="22" xfId="19" applyFont="1" applyFill="1" applyBorder="1" applyAlignment="1">
      <alignment horizontal="left" vertical="center"/>
    </xf>
    <xf numFmtId="17" fontId="39" fillId="12" borderId="39" xfId="18" applyNumberFormat="1" applyFont="1" applyFill="1" applyBorder="1" applyAlignment="1">
      <alignment vertical="center"/>
    </xf>
    <xf numFmtId="171" fontId="40" fillId="2" borderId="2" xfId="18" applyNumberFormat="1" applyFont="1" applyFill="1" applyBorder="1" applyAlignment="1">
      <alignment horizontal="center" vertical="center" wrapText="1"/>
    </xf>
    <xf numFmtId="171" fontId="40" fillId="12" borderId="2" xfId="18" applyNumberFormat="1" applyFont="1" applyFill="1" applyBorder="1" applyAlignment="1">
      <alignment horizontal="center" vertical="center" wrapText="1"/>
    </xf>
    <xf numFmtId="171" fontId="40" fillId="0" borderId="2" xfId="18" applyNumberFormat="1" applyFont="1" applyBorder="1" applyAlignment="1">
      <alignment horizontal="center" vertical="center" wrapText="1"/>
    </xf>
    <xf numFmtId="0" fontId="54" fillId="0" borderId="0" xfId="18" applyFont="1" applyAlignment="1">
      <alignment vertical="center"/>
    </xf>
    <xf numFmtId="164" fontId="42" fillId="0" borderId="0" xfId="20" applyNumberFormat="1" applyFont="1"/>
    <xf numFmtId="171" fontId="36" fillId="2" borderId="6" xfId="18" applyNumberFormat="1" applyFont="1" applyFill="1" applyBorder="1" applyAlignment="1">
      <alignment horizontal="center" vertical="center" wrapText="1"/>
    </xf>
    <xf numFmtId="171" fontId="36" fillId="12" borderId="6" xfId="18" applyNumberFormat="1" applyFont="1" applyFill="1" applyBorder="1" applyAlignment="1">
      <alignment horizontal="center" vertical="center" wrapText="1"/>
    </xf>
    <xf numFmtId="171" fontId="36" fillId="0" borderId="6" xfId="18" applyNumberFormat="1" applyFont="1" applyBorder="1" applyAlignment="1">
      <alignment horizontal="center" vertical="center" wrapText="1"/>
    </xf>
    <xf numFmtId="17" fontId="35" fillId="0" borderId="43" xfId="18" applyNumberFormat="1" applyFont="1" applyBorder="1" applyAlignment="1">
      <alignment vertical="center"/>
    </xf>
    <xf numFmtId="164" fontId="47" fillId="0" borderId="0" xfId="20" applyNumberFormat="1" applyFont="1"/>
    <xf numFmtId="0" fontId="51" fillId="0" borderId="1" xfId="0" applyFont="1" applyBorder="1" applyAlignment="1">
      <alignment horizontal="center" vertical="center" wrapText="1"/>
    </xf>
    <xf numFmtId="0" fontId="51" fillId="0" borderId="2" xfId="0" applyFont="1" applyBorder="1" applyAlignment="1">
      <alignment vertical="center" wrapText="1"/>
    </xf>
    <xf numFmtId="0" fontId="51" fillId="0" borderId="37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0" fontId="55" fillId="0" borderId="2" xfId="0" applyFont="1" applyBorder="1" applyAlignment="1">
      <alignment vertical="center" wrapText="1"/>
    </xf>
    <xf numFmtId="0" fontId="55" fillId="0" borderId="37" xfId="0" applyFont="1" applyBorder="1" applyAlignment="1">
      <alignment vertical="center" wrapText="1"/>
    </xf>
    <xf numFmtId="0" fontId="51" fillId="0" borderId="12" xfId="0" applyFont="1" applyBorder="1" applyAlignment="1">
      <alignment horizontal="center" vertical="center" wrapText="1"/>
    </xf>
    <xf numFmtId="0" fontId="51" fillId="0" borderId="6" xfId="0" applyFont="1" applyBorder="1" applyAlignment="1">
      <alignment vertical="center" wrapText="1"/>
    </xf>
    <xf numFmtId="0" fontId="36" fillId="13" borderId="2" xfId="18" applyFont="1" applyFill="1" applyBorder="1" applyAlignment="1">
      <alignment horizontal="center" vertical="center" wrapText="1"/>
    </xf>
    <xf numFmtId="0" fontId="51" fillId="12" borderId="63" xfId="0" applyFont="1" applyFill="1" applyBorder="1" applyAlignment="1">
      <alignment horizontal="center" vertical="center" wrapText="1"/>
    </xf>
    <xf numFmtId="0" fontId="55" fillId="12" borderId="63" xfId="0" applyFont="1" applyFill="1" applyBorder="1" applyAlignment="1">
      <alignment horizontal="center" vertical="center" wrapText="1"/>
    </xf>
    <xf numFmtId="17" fontId="35" fillId="12" borderId="68" xfId="4" applyNumberFormat="1" applyFont="1" applyFill="1" applyBorder="1" applyAlignment="1">
      <alignment horizontal="left" vertical="center"/>
    </xf>
    <xf numFmtId="171" fontId="39" fillId="0" borderId="2" xfId="18" applyNumberFormat="1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 wrapText="1"/>
    </xf>
    <xf numFmtId="0" fontId="36" fillId="0" borderId="2" xfId="18" applyFont="1" applyBorder="1" applyAlignment="1">
      <alignment horizontal="left" vertical="center" wrapText="1"/>
    </xf>
    <xf numFmtId="43" fontId="36" fillId="0" borderId="2" xfId="19" applyFont="1" applyFill="1" applyBorder="1" applyAlignment="1">
      <alignment horizontal="left" vertical="center"/>
    </xf>
    <xf numFmtId="17" fontId="39" fillId="0" borderId="2" xfId="18" applyNumberFormat="1" applyFont="1" applyBorder="1" applyAlignment="1">
      <alignment vertical="center"/>
    </xf>
    <xf numFmtId="0" fontId="36" fillId="14" borderId="6" xfId="18" applyFont="1" applyFill="1" applyBorder="1" applyAlignment="1">
      <alignment horizontal="center" vertical="center" wrapText="1"/>
    </xf>
    <xf numFmtId="0" fontId="36" fillId="14" borderId="24" xfId="18" applyFont="1" applyFill="1" applyBorder="1" applyAlignment="1">
      <alignment horizontal="center" vertical="center" wrapText="1"/>
    </xf>
    <xf numFmtId="0" fontId="36" fillId="14" borderId="25" xfId="18" applyFont="1" applyFill="1" applyBorder="1" applyAlignment="1">
      <alignment horizontal="center" vertical="center"/>
    </xf>
    <xf numFmtId="43" fontId="36" fillId="14" borderId="25" xfId="19" applyFont="1" applyFill="1" applyBorder="1" applyAlignment="1">
      <alignment horizontal="center" vertical="center" wrapText="1"/>
    </xf>
    <xf numFmtId="165" fontId="38" fillId="14" borderId="25" xfId="18" applyNumberFormat="1" applyFont="1" applyFill="1" applyBorder="1" applyAlignment="1">
      <alignment horizontal="center" vertical="center"/>
    </xf>
    <xf numFmtId="17" fontId="36" fillId="14" borderId="25" xfId="18" applyNumberFormat="1" applyFont="1" applyFill="1" applyBorder="1" applyAlignment="1">
      <alignment horizontal="center" vertical="center" wrapText="1"/>
    </xf>
    <xf numFmtId="17" fontId="36" fillId="14" borderId="29" xfId="18" applyNumberFormat="1" applyFont="1" applyFill="1" applyBorder="1" applyAlignment="1">
      <alignment horizontal="center" vertical="center" wrapText="1"/>
    </xf>
    <xf numFmtId="43" fontId="43" fillId="2" borderId="22" xfId="21" applyFont="1" applyFill="1" applyBorder="1" applyAlignment="1">
      <alignment horizontal="center" vertical="center" wrapText="1"/>
    </xf>
    <xf numFmtId="0" fontId="43" fillId="2" borderId="22" xfId="20" applyFont="1" applyFill="1" applyBorder="1" applyAlignment="1">
      <alignment horizontal="center" vertical="center"/>
    </xf>
    <xf numFmtId="17" fontId="43" fillId="2" borderId="22" xfId="18" applyNumberFormat="1" applyFont="1" applyFill="1" applyBorder="1" applyAlignment="1">
      <alignment horizontal="center" vertical="center"/>
    </xf>
    <xf numFmtId="17" fontId="43" fillId="2" borderId="38" xfId="18" applyNumberFormat="1" applyFont="1" applyFill="1" applyBorder="1" applyAlignment="1">
      <alignment horizontal="center" vertical="center"/>
    </xf>
    <xf numFmtId="0" fontId="42" fillId="0" borderId="61" xfId="20" applyFont="1" applyBorder="1" applyAlignment="1">
      <alignment horizontal="center" vertical="center"/>
    </xf>
    <xf numFmtId="0" fontId="43" fillId="0" borderId="59" xfId="20" applyFont="1" applyBorder="1" applyAlignment="1">
      <alignment horizontal="center" vertical="center"/>
    </xf>
    <xf numFmtId="167" fontId="43" fillId="0" borderId="59" xfId="20" applyNumberFormat="1" applyFont="1" applyBorder="1" applyAlignment="1">
      <alignment horizontal="center" vertical="center"/>
    </xf>
    <xf numFmtId="167" fontId="43" fillId="2" borderId="59" xfId="20" applyNumberFormat="1" applyFont="1" applyFill="1" applyBorder="1" applyAlignment="1">
      <alignment horizontal="center" vertical="center"/>
    </xf>
    <xf numFmtId="0" fontId="42" fillId="0" borderId="59" xfId="20" applyFont="1" applyBorder="1"/>
    <xf numFmtId="0" fontId="43" fillId="2" borderId="0" xfId="20" applyFont="1" applyFill="1" applyAlignment="1">
      <alignment vertical="center"/>
    </xf>
    <xf numFmtId="43" fontId="43" fillId="2" borderId="0" xfId="21" applyFont="1" applyFill="1" applyBorder="1" applyAlignment="1">
      <alignment vertical="center"/>
    </xf>
    <xf numFmtId="167" fontId="45" fillId="2" borderId="0" xfId="21" applyNumberFormat="1" applyFont="1" applyFill="1" applyBorder="1" applyAlignment="1">
      <alignment vertical="center"/>
    </xf>
    <xf numFmtId="167" fontId="43" fillId="2" borderId="0" xfId="21" applyNumberFormat="1" applyFont="1" applyFill="1" applyBorder="1" applyAlignment="1">
      <alignment vertical="center"/>
    </xf>
    <xf numFmtId="0" fontId="42" fillId="2" borderId="0" xfId="20" applyFont="1" applyFill="1"/>
    <xf numFmtId="167" fontId="42" fillId="2" borderId="0" xfId="21" applyNumberFormat="1" applyFont="1" applyFill="1" applyBorder="1" applyAlignment="1">
      <alignment horizontal="center"/>
    </xf>
    <xf numFmtId="164" fontId="42" fillId="0" borderId="0" xfId="20" applyNumberFormat="1" applyFont="1" applyAlignment="1">
      <alignment horizontal="center" vertical="center"/>
    </xf>
    <xf numFmtId="171" fontId="51" fillId="2" borderId="2" xfId="0" applyNumberFormat="1" applyFont="1" applyFill="1" applyBorder="1" applyAlignment="1">
      <alignment horizontal="center" vertical="center" wrapText="1"/>
    </xf>
    <xf numFmtId="171" fontId="35" fillId="2" borderId="2" xfId="18" applyNumberFormat="1" applyFont="1" applyFill="1" applyBorder="1" applyAlignment="1">
      <alignment horizontal="center" vertical="center" wrapText="1"/>
    </xf>
    <xf numFmtId="43" fontId="35" fillId="2" borderId="2" xfId="4" applyFont="1" applyFill="1" applyBorder="1" applyAlignment="1">
      <alignment horizontal="left" vertical="center"/>
    </xf>
    <xf numFmtId="0" fontId="51" fillId="2" borderId="2" xfId="0" applyFont="1" applyFill="1" applyBorder="1" applyAlignment="1">
      <alignment vertical="center" wrapText="1"/>
    </xf>
    <xf numFmtId="171" fontId="38" fillId="2" borderId="2" xfId="18" applyNumberFormat="1" applyFont="1" applyFill="1" applyBorder="1" applyAlignment="1">
      <alignment horizontal="right" vertical="center"/>
    </xf>
    <xf numFmtId="0" fontId="39" fillId="2" borderId="2" xfId="0" applyFont="1" applyFill="1" applyBorder="1" applyAlignment="1">
      <alignment horizontal="center" vertical="center" wrapText="1"/>
    </xf>
    <xf numFmtId="171" fontId="39" fillId="2" borderId="2" xfId="18" applyNumberFormat="1" applyFont="1" applyFill="1" applyBorder="1" applyAlignment="1">
      <alignment horizontal="right" vertical="center"/>
    </xf>
    <xf numFmtId="17" fontId="38" fillId="2" borderId="2" xfId="9" applyNumberFormat="1" applyFont="1" applyFill="1" applyBorder="1"/>
    <xf numFmtId="17" fontId="35" fillId="2" borderId="2" xfId="18" applyNumberFormat="1" applyFont="1" applyFill="1" applyBorder="1" applyAlignment="1">
      <alignment vertical="center"/>
    </xf>
    <xf numFmtId="171" fontId="35" fillId="2" borderId="2" xfId="18" applyNumberFormat="1" applyFont="1" applyFill="1" applyBorder="1" applyAlignment="1">
      <alignment horizontal="center" vertical="center"/>
    </xf>
    <xf numFmtId="171" fontId="36" fillId="2" borderId="2" xfId="18" applyNumberFormat="1" applyFont="1" applyFill="1" applyBorder="1" applyAlignment="1">
      <alignment horizontal="center" vertical="center"/>
    </xf>
    <xf numFmtId="171" fontId="38" fillId="2" borderId="2" xfId="18" applyNumberFormat="1" applyFont="1" applyFill="1" applyBorder="1" applyAlignment="1">
      <alignment horizontal="center" vertical="center"/>
    </xf>
    <xf numFmtId="171" fontId="39" fillId="2" borderId="2" xfId="18" applyNumberFormat="1" applyFont="1" applyFill="1" applyBorder="1" applyAlignment="1">
      <alignment horizontal="center" vertical="center"/>
    </xf>
    <xf numFmtId="171" fontId="38" fillId="2" borderId="2" xfId="0" applyNumberFormat="1" applyFont="1" applyFill="1" applyBorder="1" applyAlignment="1">
      <alignment horizontal="center" vertical="center" wrapText="1"/>
    </xf>
    <xf numFmtId="171" fontId="35" fillId="2" borderId="2" xfId="18" applyNumberFormat="1" applyFont="1" applyFill="1" applyBorder="1" applyAlignment="1">
      <alignment horizontal="right" vertical="center"/>
    </xf>
    <xf numFmtId="171" fontId="36" fillId="2" borderId="2" xfId="18" applyNumberFormat="1" applyFont="1" applyFill="1" applyBorder="1" applyAlignment="1">
      <alignment horizontal="right" vertical="center"/>
    </xf>
    <xf numFmtId="171" fontId="38" fillId="2" borderId="2" xfId="18" applyNumberFormat="1" applyFont="1" applyFill="1" applyBorder="1" applyAlignment="1">
      <alignment horizontal="center" vertical="center" wrapText="1"/>
    </xf>
    <xf numFmtId="171" fontId="39" fillId="2" borderId="2" xfId="18" applyNumberFormat="1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vertical="center" wrapText="1"/>
    </xf>
    <xf numFmtId="171" fontId="44" fillId="2" borderId="2" xfId="0" applyNumberFormat="1" applyFont="1" applyFill="1" applyBorder="1" applyAlignment="1">
      <alignment horizontal="center" vertical="center" wrapText="1"/>
    </xf>
    <xf numFmtId="171" fontId="38" fillId="15" borderId="2" xfId="0" applyNumberFormat="1" applyFont="1" applyFill="1" applyBorder="1" applyAlignment="1">
      <alignment horizontal="center" vertical="center" wrapText="1"/>
    </xf>
    <xf numFmtId="171" fontId="35" fillId="15" borderId="2" xfId="18" applyNumberFormat="1" applyFont="1" applyFill="1" applyBorder="1" applyAlignment="1">
      <alignment horizontal="right" vertical="center"/>
    </xf>
    <xf numFmtId="171" fontId="36" fillId="15" borderId="2" xfId="18" applyNumberFormat="1" applyFont="1" applyFill="1" applyBorder="1" applyAlignment="1">
      <alignment horizontal="center" vertical="center" wrapText="1"/>
    </xf>
    <xf numFmtId="171" fontId="36" fillId="15" borderId="2" xfId="18" applyNumberFormat="1" applyFont="1" applyFill="1" applyBorder="1" applyAlignment="1">
      <alignment horizontal="right" vertical="center"/>
    </xf>
    <xf numFmtId="177" fontId="38" fillId="15" borderId="2" xfId="9" applyNumberFormat="1" applyFont="1" applyFill="1" applyBorder="1"/>
    <xf numFmtId="177" fontId="54" fillId="15" borderId="2" xfId="9" applyNumberFormat="1" applyFont="1" applyFill="1" applyBorder="1"/>
    <xf numFmtId="171" fontId="54" fillId="15" borderId="2" xfId="18" applyNumberFormat="1" applyFont="1" applyFill="1" applyBorder="1" applyAlignment="1">
      <alignment horizontal="right" vertical="center"/>
    </xf>
    <xf numFmtId="0" fontId="51" fillId="15" borderId="2" xfId="0" applyFont="1" applyFill="1" applyBorder="1" applyAlignment="1">
      <alignment vertical="center" wrapText="1"/>
    </xf>
    <xf numFmtId="43" fontId="35" fillId="15" borderId="2" xfId="4" applyFont="1" applyFill="1" applyBorder="1" applyAlignment="1">
      <alignment horizontal="left" vertical="center"/>
    </xf>
    <xf numFmtId="17" fontId="38" fillId="15" borderId="2" xfId="9" applyNumberFormat="1" applyFont="1" applyFill="1" applyBorder="1"/>
    <xf numFmtId="0" fontId="35" fillId="2" borderId="2" xfId="18" applyFont="1" applyFill="1" applyBorder="1" applyAlignment="1">
      <alignment horizontal="center" vertical="center"/>
    </xf>
    <xf numFmtId="0" fontId="35" fillId="2" borderId="2" xfId="18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left" vertical="center" wrapText="1"/>
    </xf>
    <xf numFmtId="0" fontId="35" fillId="2" borderId="2" xfId="3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left" vertical="center" wrapText="1"/>
    </xf>
    <xf numFmtId="0" fontId="38" fillId="2" borderId="2" xfId="18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left" vertical="center" wrapText="1"/>
    </xf>
    <xf numFmtId="171" fontId="38" fillId="15" borderId="2" xfId="0" applyNumberFormat="1" applyFont="1" applyFill="1" applyBorder="1" applyAlignment="1">
      <alignment horizontal="left" vertical="center" wrapText="1"/>
    </xf>
    <xf numFmtId="177" fontId="38" fillId="15" borderId="2" xfId="9" applyNumberFormat="1" applyFont="1" applyFill="1" applyBorder="1" applyAlignment="1">
      <alignment horizontal="right"/>
    </xf>
    <xf numFmtId="178" fontId="35" fillId="0" borderId="0" xfId="18" applyNumberFormat="1" applyFont="1" applyAlignment="1">
      <alignment vertical="center"/>
    </xf>
    <xf numFmtId="171" fontId="51" fillId="15" borderId="2" xfId="0" applyNumberFormat="1" applyFont="1" applyFill="1" applyBorder="1" applyAlignment="1">
      <alignment vertical="center" wrapText="1"/>
    </xf>
    <xf numFmtId="0" fontId="42" fillId="0" borderId="55" xfId="20" applyFont="1" applyBorder="1" applyAlignment="1">
      <alignment horizontal="center" vertical="center"/>
    </xf>
    <xf numFmtId="0" fontId="42" fillId="2" borderId="24" xfId="20" applyFont="1" applyFill="1" applyBorder="1" applyAlignment="1">
      <alignment horizontal="center" vertical="center"/>
    </xf>
    <xf numFmtId="1" fontId="42" fillId="2" borderId="19" xfId="20" applyNumberFormat="1" applyFont="1" applyFill="1" applyBorder="1" applyAlignment="1">
      <alignment horizontal="center" vertical="center"/>
    </xf>
    <xf numFmtId="164" fontId="13" fillId="2" borderId="19" xfId="20" applyNumberFormat="1" applyFont="1" applyFill="1" applyBorder="1"/>
    <xf numFmtId="165" fontId="35" fillId="2" borderId="19" xfId="20" applyNumberFormat="1" applyFont="1" applyFill="1" applyBorder="1" applyAlignment="1">
      <alignment horizontal="center" vertical="center" wrapText="1"/>
    </xf>
    <xf numFmtId="167" fontId="48" fillId="2" borderId="19" xfId="20" applyNumberFormat="1" applyFont="1" applyFill="1" applyBorder="1" applyAlignment="1">
      <alignment horizontal="center" vertical="center"/>
    </xf>
    <xf numFmtId="165" fontId="42" fillId="2" borderId="19" xfId="20" applyNumberFormat="1" applyFont="1" applyFill="1" applyBorder="1" applyAlignment="1">
      <alignment horizontal="center" vertical="center"/>
    </xf>
    <xf numFmtId="165" fontId="42" fillId="2" borderId="14" xfId="20" applyNumberFormat="1" applyFont="1" applyFill="1" applyBorder="1" applyAlignment="1">
      <alignment horizontal="center" vertical="center"/>
    </xf>
    <xf numFmtId="0" fontId="42" fillId="2" borderId="69" xfId="20" applyFont="1" applyFill="1" applyBorder="1" applyAlignment="1">
      <alignment horizontal="center" vertical="center"/>
    </xf>
    <xf numFmtId="0" fontId="42" fillId="2" borderId="36" xfId="20" applyFont="1" applyFill="1" applyBorder="1" applyAlignment="1">
      <alignment horizontal="center" vertical="center"/>
    </xf>
    <xf numFmtId="0" fontId="44" fillId="2" borderId="20" xfId="20" applyFont="1" applyFill="1" applyBorder="1" applyAlignment="1">
      <alignment horizontal="left" vertical="center" wrapText="1"/>
    </xf>
    <xf numFmtId="165" fontId="44" fillId="2" borderId="55" xfId="20" applyNumberFormat="1" applyFont="1" applyFill="1" applyBorder="1" applyAlignment="1">
      <alignment horizontal="center" vertical="center"/>
    </xf>
    <xf numFmtId="1" fontId="42" fillId="2" borderId="2" xfId="20" applyNumberFormat="1" applyFont="1" applyFill="1" applyBorder="1" applyAlignment="1">
      <alignment horizontal="center" vertical="center"/>
    </xf>
    <xf numFmtId="164" fontId="13" fillId="2" borderId="2" xfId="20" applyNumberFormat="1" applyFont="1" applyFill="1" applyBorder="1"/>
    <xf numFmtId="165" fontId="42" fillId="2" borderId="2" xfId="20" applyNumberFormat="1" applyFont="1" applyFill="1" applyBorder="1" applyAlignment="1">
      <alignment horizontal="center" vertical="center"/>
    </xf>
    <xf numFmtId="165" fontId="35" fillId="2" borderId="2" xfId="20" applyNumberFormat="1" applyFont="1" applyFill="1" applyBorder="1" applyAlignment="1">
      <alignment horizontal="center" vertical="center"/>
    </xf>
    <xf numFmtId="165" fontId="42" fillId="2" borderId="1" xfId="20" applyNumberFormat="1" applyFont="1" applyFill="1" applyBorder="1" applyAlignment="1">
      <alignment horizontal="center" vertical="center"/>
    </xf>
    <xf numFmtId="0" fontId="42" fillId="2" borderId="54" xfId="20" applyFont="1" applyFill="1" applyBorder="1" applyAlignment="1">
      <alignment horizontal="center" vertical="center"/>
    </xf>
    <xf numFmtId="167" fontId="48" fillId="2" borderId="2" xfId="20" applyNumberFormat="1" applyFont="1" applyFill="1" applyBorder="1" applyAlignment="1">
      <alignment horizontal="center" vertical="center"/>
    </xf>
    <xf numFmtId="1" fontId="47" fillId="2" borderId="22" xfId="20" applyNumberFormat="1" applyFont="1" applyFill="1" applyBorder="1" applyAlignment="1">
      <alignment horizontal="center" vertical="center"/>
    </xf>
    <xf numFmtId="164" fontId="17" fillId="2" borderId="22" xfId="20" applyNumberFormat="1" applyFont="1" applyFill="1" applyBorder="1"/>
    <xf numFmtId="164" fontId="17" fillId="2" borderId="22" xfId="20" applyNumberFormat="1" applyFont="1" applyFill="1" applyBorder="1" applyAlignment="1">
      <alignment horizontal="center"/>
    </xf>
    <xf numFmtId="179" fontId="17" fillId="2" borderId="22" xfId="20" applyNumberFormat="1" applyFont="1" applyFill="1" applyBorder="1"/>
    <xf numFmtId="16" fontId="47" fillId="2" borderId="71" xfId="20" applyNumberFormat="1" applyFont="1" applyFill="1" applyBorder="1" applyAlignment="1">
      <alignment horizontal="center" vertical="center"/>
    </xf>
    <xf numFmtId="164" fontId="13" fillId="2" borderId="19" xfId="20" applyNumberFormat="1" applyFont="1" applyFill="1" applyBorder="1" applyAlignment="1">
      <alignment horizontal="right"/>
    </xf>
    <xf numFmtId="165" fontId="35" fillId="2" borderId="19" xfId="20" applyNumberFormat="1" applyFont="1" applyFill="1" applyBorder="1" applyAlignment="1">
      <alignment horizontal="center" vertical="center"/>
    </xf>
    <xf numFmtId="167" fontId="48" fillId="2" borderId="19" xfId="20" applyNumberFormat="1" applyFont="1" applyFill="1" applyBorder="1" applyAlignment="1">
      <alignment vertical="center"/>
    </xf>
    <xf numFmtId="165" fontId="42" fillId="2" borderId="30" xfId="20" applyNumberFormat="1" applyFont="1" applyFill="1" applyBorder="1" applyAlignment="1">
      <alignment horizontal="center" vertical="center"/>
    </xf>
    <xf numFmtId="0" fontId="42" fillId="2" borderId="70" xfId="20" applyFont="1" applyFill="1" applyBorder="1" applyAlignment="1">
      <alignment horizontal="center" vertical="center"/>
    </xf>
    <xf numFmtId="1" fontId="48" fillId="2" borderId="2" xfId="20" applyNumberFormat="1" applyFont="1" applyFill="1" applyBorder="1" applyAlignment="1">
      <alignment horizontal="center" vertical="center"/>
    </xf>
    <xf numFmtId="167" fontId="48" fillId="2" borderId="2" xfId="20" applyNumberFormat="1" applyFont="1" applyFill="1" applyBorder="1" applyAlignment="1">
      <alignment vertical="center"/>
    </xf>
    <xf numFmtId="165" fontId="42" fillId="2" borderId="37" xfId="20" applyNumberFormat="1" applyFont="1" applyFill="1" applyBorder="1" applyAlignment="1">
      <alignment horizontal="center" vertical="center"/>
    </xf>
    <xf numFmtId="164" fontId="14" fillId="2" borderId="2" xfId="20" applyNumberFormat="1" applyFont="1" applyFill="1" applyBorder="1"/>
    <xf numFmtId="165" fontId="48" fillId="2" borderId="2" xfId="20" applyNumberFormat="1" applyFont="1" applyFill="1" applyBorder="1" applyAlignment="1">
      <alignment vertical="center"/>
    </xf>
    <xf numFmtId="165" fontId="48" fillId="2" borderId="2" xfId="20" applyNumberFormat="1" applyFont="1" applyFill="1" applyBorder="1" applyAlignment="1">
      <alignment horizontal="center" vertical="center"/>
    </xf>
    <xf numFmtId="0" fontId="42" fillId="2" borderId="37" xfId="20" applyFont="1" applyFill="1" applyBorder="1" applyAlignment="1">
      <alignment horizontal="center" vertical="center"/>
    </xf>
    <xf numFmtId="176" fontId="42" fillId="2" borderId="2" xfId="20" applyNumberFormat="1" applyFont="1" applyFill="1" applyBorder="1" applyAlignment="1">
      <alignment horizontal="center" vertical="center"/>
    </xf>
    <xf numFmtId="173" fontId="48" fillId="2" borderId="2" xfId="20" applyNumberFormat="1" applyFont="1" applyFill="1" applyBorder="1" applyAlignment="1">
      <alignment vertical="center"/>
    </xf>
    <xf numFmtId="0" fontId="42" fillId="2" borderId="2" xfId="20" applyFont="1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173" fontId="48" fillId="2" borderId="2" xfId="20" applyNumberFormat="1" applyFont="1" applyFill="1" applyBorder="1" applyAlignment="1">
      <alignment horizontal="center" vertical="center"/>
    </xf>
    <xf numFmtId="175" fontId="42" fillId="2" borderId="2" xfId="20" applyNumberFormat="1" applyFont="1" applyFill="1" applyBorder="1" applyAlignment="1">
      <alignment horizontal="center" vertical="center"/>
    </xf>
    <xf numFmtId="1" fontId="42" fillId="2" borderId="6" xfId="20" applyNumberFormat="1" applyFont="1" applyFill="1" applyBorder="1" applyAlignment="1">
      <alignment horizontal="center" vertical="center"/>
    </xf>
    <xf numFmtId="164" fontId="13" fillId="2" borderId="6" xfId="20" applyNumberFormat="1" applyFont="1" applyFill="1" applyBorder="1"/>
    <xf numFmtId="165" fontId="42" fillId="2" borderId="6" xfId="20" applyNumberFormat="1" applyFont="1" applyFill="1" applyBorder="1" applyAlignment="1">
      <alignment horizontal="center" vertical="center"/>
    </xf>
    <xf numFmtId="175" fontId="42" fillId="2" borderId="6" xfId="20" applyNumberFormat="1" applyFont="1" applyFill="1" applyBorder="1" applyAlignment="1">
      <alignment horizontal="center" vertical="center"/>
    </xf>
    <xf numFmtId="165" fontId="42" fillId="2" borderId="43" xfId="20" applyNumberFormat="1" applyFont="1" applyFill="1" applyBorder="1" applyAlignment="1">
      <alignment horizontal="center" vertical="center"/>
    </xf>
    <xf numFmtId="16" fontId="42" fillId="2" borderId="67" xfId="20" applyNumberFormat="1" applyFont="1" applyFill="1" applyBorder="1" applyAlignment="1">
      <alignment horizontal="center" vertical="center"/>
    </xf>
    <xf numFmtId="165" fontId="47" fillId="2" borderId="43" xfId="20" applyNumberFormat="1" applyFont="1" applyFill="1" applyBorder="1" applyAlignment="1">
      <alignment horizontal="center" vertical="center"/>
    </xf>
    <xf numFmtId="165" fontId="44" fillId="2" borderId="36" xfId="20" applyNumberFormat="1" applyFont="1" applyFill="1" applyBorder="1" applyAlignment="1">
      <alignment horizontal="center" vertical="center"/>
    </xf>
    <xf numFmtId="16" fontId="42" fillId="2" borderId="54" xfId="20" applyNumberFormat="1" applyFont="1" applyFill="1" applyBorder="1" applyAlignment="1">
      <alignment horizontal="center" vertical="center"/>
    </xf>
    <xf numFmtId="1" fontId="47" fillId="2" borderId="2" xfId="20" applyNumberFormat="1" applyFont="1" applyFill="1" applyBorder="1" applyAlignment="1">
      <alignment horizontal="center" vertical="center"/>
    </xf>
    <xf numFmtId="164" fontId="17" fillId="2" borderId="2" xfId="20" applyNumberFormat="1" applyFont="1" applyFill="1" applyBorder="1"/>
    <xf numFmtId="165" fontId="47" fillId="2" borderId="2" xfId="20" applyNumberFormat="1" applyFont="1" applyFill="1" applyBorder="1" applyAlignment="1">
      <alignment horizontal="center" vertical="center"/>
    </xf>
    <xf numFmtId="175" fontId="47" fillId="2" borderId="2" xfId="20" applyNumberFormat="1" applyFont="1" applyFill="1" applyBorder="1" applyAlignment="1">
      <alignment horizontal="center" vertical="center"/>
    </xf>
    <xf numFmtId="16" fontId="47" fillId="2" borderId="54" xfId="20" applyNumberFormat="1" applyFont="1" applyFill="1" applyBorder="1" applyAlignment="1">
      <alignment horizontal="center" vertical="center"/>
    </xf>
    <xf numFmtId="165" fontId="47" fillId="2" borderId="1" xfId="20" applyNumberFormat="1" applyFont="1" applyFill="1" applyBorder="1" applyAlignment="1">
      <alignment horizontal="center" vertical="center"/>
    </xf>
    <xf numFmtId="16" fontId="47" fillId="2" borderId="70" xfId="20" applyNumberFormat="1" applyFont="1" applyFill="1" applyBorder="1" applyAlignment="1">
      <alignment horizontal="center" vertical="center"/>
    </xf>
    <xf numFmtId="165" fontId="47" fillId="2" borderId="22" xfId="20" applyNumberFormat="1" applyFont="1" applyFill="1" applyBorder="1" applyAlignment="1">
      <alignment horizontal="center" vertical="center"/>
    </xf>
    <xf numFmtId="175" fontId="47" fillId="2" borderId="22" xfId="20" applyNumberFormat="1" applyFont="1" applyFill="1" applyBorder="1" applyAlignment="1">
      <alignment horizontal="center" vertical="center"/>
    </xf>
    <xf numFmtId="165" fontId="47" fillId="2" borderId="38" xfId="20" applyNumberFormat="1" applyFont="1" applyFill="1" applyBorder="1" applyAlignment="1">
      <alignment horizontal="center" vertical="center"/>
    </xf>
    <xf numFmtId="175" fontId="42" fillId="2" borderId="19" xfId="20" applyNumberFormat="1" applyFont="1" applyFill="1" applyBorder="1" applyAlignment="1">
      <alignment horizontal="center" vertical="center"/>
    </xf>
    <xf numFmtId="165" fontId="48" fillId="2" borderId="19" xfId="20" applyNumberFormat="1" applyFont="1" applyFill="1" applyBorder="1" applyAlignment="1">
      <alignment horizontal="center" vertical="center"/>
    </xf>
    <xf numFmtId="164" fontId="42" fillId="2" borderId="2" xfId="20" applyNumberFormat="1" applyFont="1" applyFill="1" applyBorder="1" applyAlignment="1">
      <alignment vertical="center"/>
    </xf>
    <xf numFmtId="0" fontId="42" fillId="2" borderId="31" xfId="20" applyFont="1" applyFill="1" applyBorder="1" applyAlignment="1">
      <alignment horizontal="center" vertical="center"/>
    </xf>
    <xf numFmtId="0" fontId="42" fillId="2" borderId="19" xfId="20" applyFont="1" applyFill="1" applyBorder="1" applyAlignment="1">
      <alignment horizontal="center" vertical="center"/>
    </xf>
    <xf numFmtId="0" fontId="44" fillId="2" borderId="19" xfId="20" applyFont="1" applyFill="1" applyBorder="1" applyAlignment="1">
      <alignment horizontal="left" vertical="center" wrapText="1"/>
    </xf>
    <xf numFmtId="164" fontId="42" fillId="2" borderId="30" xfId="20" applyNumberFormat="1" applyFont="1" applyFill="1" applyBorder="1" applyAlignment="1">
      <alignment horizontal="center" vertical="center"/>
    </xf>
    <xf numFmtId="165" fontId="44" fillId="2" borderId="46" xfId="20" applyNumberFormat="1" applyFont="1" applyFill="1" applyBorder="1" applyAlignment="1">
      <alignment vertical="center"/>
    </xf>
    <xf numFmtId="176" fontId="47" fillId="2" borderId="2" xfId="20" applyNumberFormat="1" applyFont="1" applyFill="1" applyBorder="1" applyAlignment="1">
      <alignment horizontal="center" vertical="center"/>
    </xf>
    <xf numFmtId="165" fontId="47" fillId="2" borderId="37" xfId="20" applyNumberFormat="1" applyFont="1" applyFill="1" applyBorder="1" applyAlignment="1">
      <alignment horizontal="center" vertical="center"/>
    </xf>
    <xf numFmtId="0" fontId="42" fillId="2" borderId="44" xfId="20" applyFont="1" applyFill="1" applyBorder="1" applyAlignment="1">
      <alignment horizontal="center" vertical="center"/>
    </xf>
    <xf numFmtId="0" fontId="44" fillId="2" borderId="6" xfId="20" applyFont="1" applyFill="1" applyBorder="1" applyAlignment="1">
      <alignment horizontal="left" vertical="center" wrapText="1"/>
    </xf>
    <xf numFmtId="164" fontId="42" fillId="2" borderId="62" xfId="20" applyNumberFormat="1" applyFont="1" applyFill="1" applyBorder="1" applyAlignment="1">
      <alignment horizontal="center" vertical="center"/>
    </xf>
    <xf numFmtId="0" fontId="44" fillId="2" borderId="2" xfId="20" applyFont="1" applyFill="1" applyBorder="1" applyAlignment="1">
      <alignment horizontal="left" vertical="center" wrapText="1"/>
    </xf>
    <xf numFmtId="164" fontId="42" fillId="2" borderId="1" xfId="20" applyNumberFormat="1" applyFont="1" applyFill="1" applyBorder="1" applyAlignment="1">
      <alignment horizontal="center" vertical="center"/>
    </xf>
    <xf numFmtId="165" fontId="44" fillId="2" borderId="53" xfId="20" applyNumberFormat="1" applyFont="1" applyFill="1" applyBorder="1" applyAlignment="1">
      <alignment vertical="center"/>
    </xf>
    <xf numFmtId="49" fontId="42" fillId="2" borderId="2" xfId="20" applyNumberFormat="1" applyFont="1" applyFill="1" applyBorder="1" applyAlignment="1">
      <alignment horizontal="center" vertical="center"/>
    </xf>
    <xf numFmtId="164" fontId="42" fillId="2" borderId="37" xfId="20" applyNumberFormat="1" applyFont="1" applyFill="1" applyBorder="1" applyAlignment="1">
      <alignment horizontal="center" vertical="center"/>
    </xf>
    <xf numFmtId="165" fontId="42" fillId="2" borderId="63" xfId="20" applyNumberFormat="1" applyFont="1" applyFill="1" applyBorder="1" applyAlignment="1">
      <alignment horizontal="center" vertical="center"/>
    </xf>
    <xf numFmtId="164" fontId="47" fillId="2" borderId="2" xfId="20" applyNumberFormat="1" applyFont="1" applyFill="1" applyBorder="1" applyAlignment="1">
      <alignment vertical="center"/>
    </xf>
    <xf numFmtId="164" fontId="42" fillId="2" borderId="2" xfId="20" applyNumberFormat="1" applyFont="1" applyFill="1" applyBorder="1" applyAlignment="1">
      <alignment horizontal="center" vertical="center"/>
    </xf>
    <xf numFmtId="164" fontId="42" fillId="2" borderId="43" xfId="20" applyNumberFormat="1" applyFont="1" applyFill="1" applyBorder="1" applyAlignment="1">
      <alignment horizontal="center" vertical="center"/>
    </xf>
    <xf numFmtId="165" fontId="44" fillId="2" borderId="53" xfId="20" applyNumberFormat="1" applyFont="1" applyFill="1" applyBorder="1" applyAlignment="1">
      <alignment horizontal="center" vertical="center"/>
    </xf>
    <xf numFmtId="164" fontId="42" fillId="2" borderId="12" xfId="20" applyNumberFormat="1" applyFont="1" applyFill="1" applyBorder="1" applyAlignment="1">
      <alignment horizontal="center" vertical="center"/>
    </xf>
    <xf numFmtId="165" fontId="44" fillId="2" borderId="46" xfId="20" applyNumberFormat="1" applyFont="1" applyFill="1" applyBorder="1" applyAlignment="1">
      <alignment horizontal="center" vertical="center"/>
    </xf>
    <xf numFmtId="165" fontId="44" fillId="2" borderId="18" xfId="20" applyNumberFormat="1" applyFont="1" applyFill="1" applyBorder="1" applyAlignment="1">
      <alignment horizontal="center" vertical="center"/>
    </xf>
    <xf numFmtId="164" fontId="42" fillId="2" borderId="6" xfId="20" applyNumberFormat="1" applyFont="1" applyFill="1" applyBorder="1" applyAlignment="1">
      <alignment vertical="center"/>
    </xf>
    <xf numFmtId="164" fontId="42" fillId="2" borderId="15" xfId="20" applyNumberFormat="1" applyFont="1" applyFill="1" applyBorder="1" applyAlignment="1">
      <alignment horizontal="center" vertical="center"/>
    </xf>
    <xf numFmtId="164" fontId="47" fillId="2" borderId="2" xfId="20" applyNumberFormat="1" applyFont="1" applyFill="1" applyBorder="1" applyAlignment="1">
      <alignment horizontal="center" vertical="center"/>
    </xf>
    <xf numFmtId="49" fontId="42" fillId="2" borderId="6" xfId="20" applyNumberFormat="1" applyFont="1" applyFill="1" applyBorder="1" applyAlignment="1">
      <alignment horizontal="center" vertical="center"/>
    </xf>
    <xf numFmtId="176" fontId="42" fillId="2" borderId="6" xfId="20" applyNumberFormat="1" applyFont="1" applyFill="1" applyBorder="1" applyAlignment="1">
      <alignment horizontal="center" vertical="center"/>
    </xf>
    <xf numFmtId="175" fontId="42" fillId="2" borderId="17" xfId="20" applyNumberFormat="1" applyFont="1" applyFill="1" applyBorder="1" applyAlignment="1">
      <alignment horizontal="center" vertical="center"/>
    </xf>
    <xf numFmtId="0" fontId="43" fillId="2" borderId="58" xfId="20" applyFont="1" applyFill="1" applyBorder="1" applyAlignment="1">
      <alignment vertical="center"/>
    </xf>
    <xf numFmtId="0" fontId="43" fillId="2" borderId="31" xfId="20" applyFont="1" applyFill="1" applyBorder="1" applyAlignment="1">
      <alignment vertical="center"/>
    </xf>
    <xf numFmtId="43" fontId="43" fillId="2" borderId="41" xfId="21" applyFont="1" applyFill="1" applyBorder="1" applyAlignment="1">
      <alignment vertical="center"/>
    </xf>
    <xf numFmtId="167" fontId="45" fillId="2" borderId="50" xfId="21" applyNumberFormat="1" applyFont="1" applyFill="1" applyBorder="1" applyAlignment="1">
      <alignment vertical="center"/>
    </xf>
    <xf numFmtId="167" fontId="43" fillId="2" borderId="50" xfId="21" applyNumberFormat="1" applyFont="1" applyFill="1" applyBorder="1" applyAlignment="1">
      <alignment vertical="center"/>
    </xf>
    <xf numFmtId="165" fontId="44" fillId="2" borderId="2" xfId="20" applyNumberFormat="1" applyFont="1" applyFill="1" applyBorder="1" applyAlignment="1">
      <alignment horizontal="center" vertical="center"/>
    </xf>
    <xf numFmtId="165" fontId="17" fillId="2" borderId="2" xfId="20" applyNumberFormat="1" applyFont="1" applyFill="1" applyBorder="1" applyAlignment="1">
      <alignment horizontal="center" vertical="center"/>
    </xf>
    <xf numFmtId="165" fontId="42" fillId="2" borderId="12" xfId="20" applyNumberFormat="1" applyFont="1" applyFill="1" applyBorder="1" applyAlignment="1">
      <alignment horizontal="center" vertical="center"/>
    </xf>
    <xf numFmtId="0" fontId="43" fillId="2" borderId="50" xfId="20" applyFont="1" applyFill="1" applyBorder="1" applyAlignment="1">
      <alignment vertical="center"/>
    </xf>
    <xf numFmtId="16" fontId="42" fillId="2" borderId="2" xfId="20" applyNumberFormat="1" applyFont="1" applyFill="1" applyBorder="1" applyAlignment="1">
      <alignment horizontal="center" vertical="center"/>
    </xf>
    <xf numFmtId="16" fontId="47" fillId="2" borderId="2" xfId="20" applyNumberFormat="1" applyFont="1" applyFill="1" applyBorder="1" applyAlignment="1">
      <alignment horizontal="center" vertical="center"/>
    </xf>
    <xf numFmtId="165" fontId="42" fillId="2" borderId="18" xfId="20" applyNumberFormat="1" applyFont="1" applyFill="1" applyBorder="1" applyAlignment="1">
      <alignment horizontal="center" vertical="center"/>
    </xf>
    <xf numFmtId="0" fontId="56" fillId="0" borderId="0" xfId="20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43" fontId="18" fillId="2" borderId="2" xfId="2" applyFont="1" applyFill="1" applyBorder="1" applyAlignment="1">
      <alignment horizontal="center" vertical="center" wrapText="1"/>
    </xf>
    <xf numFmtId="167" fontId="18" fillId="2" borderId="2" xfId="2" applyNumberFormat="1" applyFont="1" applyFill="1" applyBorder="1" applyAlignment="1">
      <alignment horizontal="center" vertical="center" wrapText="1"/>
    </xf>
    <xf numFmtId="17" fontId="18" fillId="2" borderId="2" xfId="1" applyNumberFormat="1" applyFont="1" applyFill="1" applyBorder="1" applyAlignment="1">
      <alignment horizontal="center" vertical="center"/>
    </xf>
    <xf numFmtId="0" fontId="15" fillId="2" borderId="0" xfId="1" applyFont="1" applyFill="1" applyAlignment="1">
      <alignment wrapText="1"/>
    </xf>
    <xf numFmtId="0" fontId="15" fillId="2" borderId="0" xfId="1" applyFont="1" applyFill="1" applyAlignment="1">
      <alignment horizontal="left" vertical="center" wrapText="1"/>
    </xf>
    <xf numFmtId="43" fontId="15" fillId="2" borderId="0" xfId="2" applyFont="1" applyFill="1" applyBorder="1" applyAlignment="1">
      <alignment horizontal="left" vertical="center" wrapText="1"/>
    </xf>
    <xf numFmtId="167" fontId="20" fillId="2" borderId="2" xfId="3" applyNumberFormat="1" applyFont="1" applyFill="1" applyBorder="1" applyAlignment="1">
      <alignment horizontal="center"/>
    </xf>
    <xf numFmtId="0" fontId="18" fillId="0" borderId="12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167" fontId="13" fillId="0" borderId="12" xfId="1" applyNumberFormat="1" applyFont="1" applyBorder="1" applyAlignment="1">
      <alignment horizontal="center" vertical="center"/>
    </xf>
    <xf numFmtId="167" fontId="13" fillId="0" borderId="11" xfId="1" applyNumberFormat="1" applyFont="1" applyBorder="1" applyAlignment="1">
      <alignment horizontal="center" vertical="center"/>
    </xf>
    <xf numFmtId="167" fontId="13" fillId="0" borderId="15" xfId="1" applyNumberFormat="1" applyFont="1" applyBorder="1" applyAlignment="1">
      <alignment horizontal="center" vertical="center"/>
    </xf>
    <xf numFmtId="167" fontId="13" fillId="0" borderId="9" xfId="1" applyNumberFormat="1" applyFont="1" applyBorder="1" applyAlignment="1">
      <alignment horizontal="center" vertical="center"/>
    </xf>
    <xf numFmtId="167" fontId="13" fillId="0" borderId="14" xfId="1" applyNumberFormat="1" applyFont="1" applyBorder="1" applyAlignment="1">
      <alignment horizontal="center" vertical="center"/>
    </xf>
    <xf numFmtId="167" fontId="13" fillId="0" borderId="10" xfId="1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4" borderId="40" xfId="9" applyFont="1" applyFill="1" applyBorder="1" applyAlignment="1">
      <alignment horizontal="center" vertical="center" wrapText="1"/>
    </xf>
    <xf numFmtId="0" fontId="24" fillId="4" borderId="14" xfId="9" applyFont="1" applyFill="1" applyBorder="1" applyAlignment="1">
      <alignment horizontal="center" vertical="center" wrapText="1"/>
    </xf>
    <xf numFmtId="17" fontId="24" fillId="4" borderId="29" xfId="9" applyNumberFormat="1" applyFont="1" applyFill="1" applyBorder="1" applyAlignment="1">
      <alignment horizontal="center" vertical="center" wrapText="1"/>
    </xf>
    <xf numFmtId="17" fontId="24" fillId="4" borderId="30" xfId="9" applyNumberFormat="1" applyFont="1" applyFill="1" applyBorder="1" applyAlignment="1">
      <alignment horizontal="center" vertical="center" wrapText="1"/>
    </xf>
    <xf numFmtId="0" fontId="24" fillId="4" borderId="42" xfId="9" applyFont="1" applyFill="1" applyBorder="1" applyAlignment="1">
      <alignment horizontal="center" vertical="center" wrapText="1"/>
    </xf>
    <xf numFmtId="0" fontId="24" fillId="4" borderId="27" xfId="9" applyFont="1" applyFill="1" applyBorder="1" applyAlignment="1">
      <alignment horizontal="center" vertical="center" wrapText="1"/>
    </xf>
    <xf numFmtId="0" fontId="24" fillId="4" borderId="28" xfId="9" applyFont="1" applyFill="1" applyBorder="1" applyAlignment="1">
      <alignment horizontal="center" vertical="center" wrapText="1"/>
    </xf>
    <xf numFmtId="43" fontId="24" fillId="4" borderId="27" xfId="10" applyFont="1" applyFill="1" applyBorder="1" applyAlignment="1">
      <alignment horizontal="center" vertical="center" wrapText="1"/>
    </xf>
    <xf numFmtId="43" fontId="24" fillId="4" borderId="28" xfId="10" applyFont="1" applyFill="1" applyBorder="1" applyAlignment="1">
      <alignment horizontal="center" vertical="center" wrapText="1"/>
    </xf>
    <xf numFmtId="0" fontId="24" fillId="4" borderId="24" xfId="9" applyFont="1" applyFill="1" applyBorder="1" applyAlignment="1">
      <alignment horizontal="center" vertical="center" wrapText="1"/>
    </xf>
    <xf numFmtId="0" fontId="24" fillId="4" borderId="23" xfId="9" applyFont="1" applyFill="1" applyBorder="1" applyAlignment="1">
      <alignment horizontal="center" vertical="center" wrapText="1"/>
    </xf>
    <xf numFmtId="0" fontId="24" fillId="4" borderId="25" xfId="9" applyFont="1" applyFill="1" applyBorder="1" applyAlignment="1">
      <alignment horizontal="center" vertical="center" wrapText="1"/>
    </xf>
    <xf numFmtId="0" fontId="24" fillId="4" borderId="19" xfId="9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6" fillId="4" borderId="42" xfId="0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center" vertical="center" wrapText="1"/>
    </xf>
    <xf numFmtId="0" fontId="26" fillId="5" borderId="42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 wrapText="1"/>
    </xf>
    <xf numFmtId="0" fontId="26" fillId="5" borderId="49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6" fillId="0" borderId="0" xfId="18" applyFont="1" applyAlignment="1">
      <alignment horizontal="center"/>
    </xf>
    <xf numFmtId="0" fontId="36" fillId="0" borderId="0" xfId="18" applyFont="1" applyAlignment="1">
      <alignment horizontal="center" vertical="center"/>
    </xf>
    <xf numFmtId="0" fontId="33" fillId="0" borderId="0" xfId="18" applyFont="1" applyAlignment="1">
      <alignment horizontal="left" vertical="center" wrapText="1"/>
    </xf>
    <xf numFmtId="0" fontId="33" fillId="0" borderId="0" xfId="18" applyFont="1" applyAlignment="1">
      <alignment horizontal="center" wrapText="1"/>
    </xf>
    <xf numFmtId="0" fontId="7" fillId="0" borderId="34" xfId="20" applyFont="1" applyBorder="1" applyAlignment="1">
      <alignment horizontal="center" vertical="center" wrapText="1"/>
    </xf>
    <xf numFmtId="0" fontId="7" fillId="0" borderId="2" xfId="20" applyFont="1" applyBorder="1" applyAlignment="1">
      <alignment horizontal="center" vertical="center" wrapText="1"/>
    </xf>
    <xf numFmtId="0" fontId="7" fillId="0" borderId="22" xfId="20" applyFont="1" applyBorder="1" applyAlignment="1">
      <alignment horizontal="center" vertical="center" wrapText="1"/>
    </xf>
    <xf numFmtId="0" fontId="43" fillId="0" borderId="19" xfId="20" applyFont="1" applyBorder="1" applyAlignment="1">
      <alignment horizontal="center" vertical="center"/>
    </xf>
    <xf numFmtId="0" fontId="43" fillId="0" borderId="2" xfId="20" applyFont="1" applyBorder="1" applyAlignment="1">
      <alignment horizontal="center" vertical="center"/>
    </xf>
    <xf numFmtId="0" fontId="43" fillId="0" borderId="6" xfId="20" applyFont="1" applyBorder="1" applyAlignment="1">
      <alignment horizontal="center" vertical="center"/>
    </xf>
    <xf numFmtId="43" fontId="43" fillId="2" borderId="19" xfId="21" applyFont="1" applyFill="1" applyBorder="1" applyAlignment="1">
      <alignment horizontal="center" vertical="center" wrapText="1"/>
    </xf>
    <xf numFmtId="43" fontId="43" fillId="2" borderId="2" xfId="2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4" fillId="2" borderId="25" xfId="20" applyFont="1" applyFill="1" applyBorder="1" applyAlignment="1">
      <alignment horizontal="left" vertical="center" wrapText="1"/>
    </xf>
    <xf numFmtId="0" fontId="44" fillId="2" borderId="20" xfId="20" applyFont="1" applyFill="1" applyBorder="1" applyAlignment="1">
      <alignment horizontal="left" vertical="center" wrapText="1"/>
    </xf>
    <xf numFmtId="0" fontId="44" fillId="2" borderId="4" xfId="20" applyFont="1" applyFill="1" applyBorder="1" applyAlignment="1">
      <alignment horizontal="left" vertical="center" wrapText="1"/>
    </xf>
    <xf numFmtId="0" fontId="13" fillId="2" borderId="29" xfId="0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65" fontId="44" fillId="2" borderId="24" xfId="20" applyNumberFormat="1" applyFont="1" applyFill="1" applyBorder="1" applyAlignment="1">
      <alignment horizontal="center" vertical="center"/>
    </xf>
    <xf numFmtId="165" fontId="44" fillId="2" borderId="36" xfId="20" applyNumberFormat="1" applyFont="1" applyFill="1" applyBorder="1" applyAlignment="1">
      <alignment horizontal="center" vertical="center"/>
    </xf>
    <xf numFmtId="165" fontId="44" fillId="2" borderId="23" xfId="20" applyNumberFormat="1" applyFont="1" applyFill="1" applyBorder="1" applyAlignment="1">
      <alignment horizontal="center" vertical="center"/>
    </xf>
    <xf numFmtId="0" fontId="43" fillId="0" borderId="0" xfId="20" applyFont="1" applyAlignment="1">
      <alignment horizontal="center" vertical="center" wrapText="1"/>
    </xf>
    <xf numFmtId="0" fontId="44" fillId="2" borderId="6" xfId="20" applyFont="1" applyFill="1" applyBorder="1" applyAlignment="1">
      <alignment horizontal="center" vertical="center" wrapText="1"/>
    </xf>
    <xf numFmtId="0" fontId="44" fillId="2" borderId="20" xfId="20" applyFont="1" applyFill="1" applyBorder="1" applyAlignment="1">
      <alignment horizontal="center" vertical="center" wrapText="1"/>
    </xf>
    <xf numFmtId="0" fontId="44" fillId="2" borderId="19" xfId="20" applyFont="1" applyFill="1" applyBorder="1" applyAlignment="1">
      <alignment horizontal="center" vertical="center" wrapText="1"/>
    </xf>
    <xf numFmtId="49" fontId="42" fillId="2" borderId="6" xfId="20" applyNumberFormat="1" applyFont="1" applyFill="1" applyBorder="1" applyAlignment="1">
      <alignment horizontal="center" vertical="center"/>
    </xf>
    <xf numFmtId="49" fontId="42" fillId="2" borderId="20" xfId="20" applyNumberFormat="1" applyFont="1" applyFill="1" applyBorder="1" applyAlignment="1">
      <alignment horizontal="center" vertical="center"/>
    </xf>
    <xf numFmtId="49" fontId="42" fillId="2" borderId="19" xfId="20" applyNumberFormat="1" applyFont="1" applyFill="1" applyBorder="1" applyAlignment="1">
      <alignment horizontal="center" vertical="center"/>
    </xf>
    <xf numFmtId="164" fontId="42" fillId="2" borderId="12" xfId="20" applyNumberFormat="1" applyFont="1" applyFill="1" applyBorder="1" applyAlignment="1">
      <alignment horizontal="center" vertical="center"/>
    </xf>
    <xf numFmtId="164" fontId="42" fillId="2" borderId="15" xfId="20" applyNumberFormat="1" applyFont="1" applyFill="1" applyBorder="1" applyAlignment="1">
      <alignment horizontal="center" vertical="center"/>
    </xf>
    <xf numFmtId="164" fontId="42" fillId="2" borderId="14" xfId="20" applyNumberFormat="1" applyFont="1" applyFill="1" applyBorder="1" applyAlignment="1">
      <alignment horizontal="center" vertical="center"/>
    </xf>
    <xf numFmtId="165" fontId="42" fillId="2" borderId="11" xfId="20" applyNumberFormat="1" applyFont="1" applyFill="1" applyBorder="1" applyAlignment="1">
      <alignment horizontal="center" vertical="center"/>
    </xf>
    <xf numFmtId="165" fontId="42" fillId="2" borderId="9" xfId="20" applyNumberFormat="1" applyFont="1" applyFill="1" applyBorder="1" applyAlignment="1">
      <alignment horizontal="center" vertical="center"/>
    </xf>
    <xf numFmtId="165" fontId="42" fillId="2" borderId="10" xfId="20" applyNumberFormat="1" applyFont="1" applyFill="1" applyBorder="1" applyAlignment="1">
      <alignment horizontal="center" vertical="center"/>
    </xf>
    <xf numFmtId="0" fontId="42" fillId="0" borderId="48" xfId="20" applyFont="1" applyBorder="1" applyAlignment="1">
      <alignment horizontal="center"/>
    </xf>
    <xf numFmtId="0" fontId="42" fillId="0" borderId="52" xfId="20" applyFont="1" applyBorder="1" applyAlignment="1">
      <alignment horizontal="center"/>
    </xf>
    <xf numFmtId="0" fontId="42" fillId="0" borderId="50" xfId="20" applyFont="1" applyBorder="1" applyAlignment="1">
      <alignment horizontal="center"/>
    </xf>
    <xf numFmtId="43" fontId="43" fillId="2" borderId="14" xfId="21" applyFont="1" applyFill="1" applyBorder="1" applyAlignment="1">
      <alignment horizontal="center" vertical="center" wrapText="1"/>
    </xf>
    <xf numFmtId="43" fontId="43" fillId="2" borderId="16" xfId="21" applyFont="1" applyFill="1" applyBorder="1" applyAlignment="1">
      <alignment horizontal="center" vertical="center" wrapText="1"/>
    </xf>
    <xf numFmtId="0" fontId="42" fillId="2" borderId="24" xfId="20" applyFont="1" applyFill="1" applyBorder="1" applyAlignment="1">
      <alignment horizontal="center" vertical="center"/>
    </xf>
    <xf numFmtId="0" fontId="42" fillId="2" borderId="36" xfId="20" applyFont="1" applyFill="1" applyBorder="1" applyAlignment="1">
      <alignment horizontal="center" vertical="center"/>
    </xf>
    <xf numFmtId="0" fontId="42" fillId="2" borderId="29" xfId="20" applyFont="1" applyFill="1" applyBorder="1" applyAlignment="1">
      <alignment horizontal="center" vertical="center"/>
    </xf>
    <xf numFmtId="0" fontId="42" fillId="2" borderId="62" xfId="20" applyFont="1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165" fontId="44" fillId="2" borderId="64" xfId="20" applyNumberFormat="1" applyFont="1" applyFill="1" applyBorder="1" applyAlignment="1">
      <alignment horizontal="center" vertical="center"/>
    </xf>
    <xf numFmtId="165" fontId="44" fillId="2" borderId="55" xfId="20" applyNumberFormat="1" applyFont="1" applyFill="1" applyBorder="1" applyAlignment="1">
      <alignment horizontal="center" vertical="center"/>
    </xf>
    <xf numFmtId="0" fontId="42" fillId="2" borderId="40" xfId="20" applyFont="1" applyFill="1" applyBorder="1" applyAlignment="1">
      <alignment horizontal="center" vertical="center"/>
    </xf>
    <xf numFmtId="0" fontId="42" fillId="2" borderId="15" xfId="20" applyFont="1" applyFill="1" applyBorder="1" applyAlignment="1">
      <alignment horizontal="center" vertical="center"/>
    </xf>
    <xf numFmtId="0" fontId="53" fillId="0" borderId="15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43" fillId="0" borderId="0" xfId="20" applyFont="1" applyAlignment="1">
      <alignment horizontal="center" vertical="center"/>
    </xf>
    <xf numFmtId="0" fontId="7" fillId="0" borderId="6" xfId="20" applyFont="1" applyBorder="1" applyAlignment="1">
      <alignment horizontal="center" vertical="center" wrapText="1"/>
    </xf>
    <xf numFmtId="0" fontId="7" fillId="0" borderId="20" xfId="20" applyFont="1" applyBorder="1" applyAlignment="1">
      <alignment horizontal="center" vertical="center" wrapText="1"/>
    </xf>
    <xf numFmtId="0" fontId="7" fillId="0" borderId="19" xfId="20" applyFont="1" applyBorder="1" applyAlignment="1">
      <alignment horizontal="center" vertical="center" wrapText="1"/>
    </xf>
    <xf numFmtId="0" fontId="43" fillId="0" borderId="20" xfId="20" applyFont="1" applyBorder="1" applyAlignment="1">
      <alignment horizontal="center" vertical="center"/>
    </xf>
    <xf numFmtId="43" fontId="43" fillId="2" borderId="12" xfId="21" applyFont="1" applyFill="1" applyBorder="1" applyAlignment="1">
      <alignment horizontal="center" vertical="center" wrapText="1"/>
    </xf>
    <xf numFmtId="43" fontId="43" fillId="2" borderId="11" xfId="21" applyFont="1" applyFill="1" applyBorder="1" applyAlignment="1">
      <alignment horizontal="center" vertical="center" wrapText="1"/>
    </xf>
    <xf numFmtId="43" fontId="43" fillId="2" borderId="10" xfId="21" applyFont="1" applyFill="1" applyBorder="1" applyAlignment="1">
      <alignment horizontal="center" vertical="center" wrapText="1"/>
    </xf>
    <xf numFmtId="17" fontId="43" fillId="2" borderId="6" xfId="18" applyNumberFormat="1" applyFont="1" applyFill="1" applyBorder="1" applyAlignment="1">
      <alignment horizontal="center" vertical="center"/>
    </xf>
    <xf numFmtId="17" fontId="43" fillId="2" borderId="20" xfId="18" applyNumberFormat="1" applyFont="1" applyFill="1" applyBorder="1" applyAlignment="1">
      <alignment horizontal="center" vertical="center"/>
    </xf>
    <xf numFmtId="17" fontId="43" fillId="2" borderId="19" xfId="18" applyNumberFormat="1" applyFont="1" applyFill="1" applyBorder="1" applyAlignment="1">
      <alignment horizontal="center" vertical="center"/>
    </xf>
    <xf numFmtId="43" fontId="43" fillId="2" borderId="1" xfId="21" applyFont="1" applyFill="1" applyBorder="1" applyAlignment="1">
      <alignment horizontal="center" vertical="center" wrapText="1"/>
    </xf>
    <xf numFmtId="43" fontId="43" fillId="2" borderId="63" xfId="21" applyFont="1" applyFill="1" applyBorder="1" applyAlignment="1">
      <alignment horizontal="center" vertical="center" wrapText="1"/>
    </xf>
    <xf numFmtId="43" fontId="43" fillId="2" borderId="3" xfId="21" applyFont="1" applyFill="1" applyBorder="1" applyAlignment="1">
      <alignment horizontal="center" vertical="center" wrapText="1"/>
    </xf>
    <xf numFmtId="43" fontId="43" fillId="2" borderId="17" xfId="21" applyFont="1" applyFill="1" applyBorder="1" applyAlignment="1">
      <alignment horizontal="center" vertical="center" wrapText="1"/>
    </xf>
    <xf numFmtId="0" fontId="43" fillId="0" borderId="12" xfId="20" applyFont="1" applyBorder="1" applyAlignment="1">
      <alignment horizontal="center" vertical="center"/>
    </xf>
    <xf numFmtId="0" fontId="43" fillId="0" borderId="17" xfId="20" applyFont="1" applyBorder="1" applyAlignment="1">
      <alignment horizontal="center" vertical="center"/>
    </xf>
    <xf numFmtId="0" fontId="43" fillId="0" borderId="11" xfId="20" applyFont="1" applyBorder="1" applyAlignment="1">
      <alignment horizontal="center" vertical="center"/>
    </xf>
    <xf numFmtId="0" fontId="43" fillId="0" borderId="14" xfId="20" applyFont="1" applyBorder="1" applyAlignment="1">
      <alignment horizontal="center" vertical="center"/>
    </xf>
    <xf numFmtId="0" fontId="43" fillId="0" borderId="16" xfId="20" applyFont="1" applyBorder="1" applyAlignment="1">
      <alignment horizontal="center" vertical="center"/>
    </xf>
    <xf numFmtId="0" fontId="43" fillId="0" borderId="10" xfId="20" applyFont="1" applyBorder="1" applyAlignment="1">
      <alignment horizontal="center" vertical="center"/>
    </xf>
    <xf numFmtId="0" fontId="42" fillId="10" borderId="25" xfId="20" applyFont="1" applyFill="1" applyBorder="1" applyAlignment="1">
      <alignment horizontal="center" vertical="center"/>
    </xf>
    <xf numFmtId="0" fontId="42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44" fillId="10" borderId="25" xfId="20" applyNumberFormat="1" applyFont="1" applyFill="1" applyBorder="1" applyAlignment="1">
      <alignment horizontal="center" vertical="center"/>
    </xf>
    <xf numFmtId="165" fontId="44" fillId="10" borderId="20" xfId="20" applyNumberFormat="1" applyFont="1" applyFill="1" applyBorder="1" applyAlignment="1">
      <alignment horizontal="center" vertical="center"/>
    </xf>
    <xf numFmtId="165" fontId="44" fillId="10" borderId="4" xfId="20" applyNumberFormat="1" applyFont="1" applyFill="1" applyBorder="1" applyAlignment="1">
      <alignment horizontal="center" vertical="center"/>
    </xf>
    <xf numFmtId="173" fontId="49" fillId="10" borderId="25" xfId="20" applyNumberFormat="1" applyFont="1" applyFill="1" applyBorder="1" applyAlignment="1">
      <alignment horizontal="center" vertical="center"/>
    </xf>
    <xf numFmtId="173" fontId="49" fillId="10" borderId="20" xfId="20" applyNumberFormat="1" applyFont="1" applyFill="1" applyBorder="1" applyAlignment="1">
      <alignment horizontal="center" vertical="center"/>
    </xf>
    <xf numFmtId="173" fontId="49" fillId="10" borderId="4" xfId="20" applyNumberFormat="1" applyFont="1" applyFill="1" applyBorder="1" applyAlignment="1">
      <alignment horizontal="center" vertical="center"/>
    </xf>
    <xf numFmtId="0" fontId="42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3" fillId="10" borderId="25" xfId="20" applyFont="1" applyFill="1" applyBorder="1" applyAlignment="1">
      <alignment horizontal="left" vertical="center" wrapText="1"/>
    </xf>
    <xf numFmtId="0" fontId="43" fillId="10" borderId="20" xfId="20" applyFont="1" applyFill="1" applyBorder="1" applyAlignment="1">
      <alignment horizontal="left" vertical="center" wrapText="1"/>
    </xf>
    <xf numFmtId="0" fontId="43" fillId="10" borderId="4" xfId="20" applyFont="1" applyFill="1" applyBorder="1" applyAlignment="1">
      <alignment horizontal="left" vertical="center" wrapText="1"/>
    </xf>
    <xf numFmtId="165" fontId="44" fillId="10" borderId="25" xfId="20" applyNumberFormat="1" applyFont="1" applyFill="1" applyBorder="1" applyAlignment="1">
      <alignment horizontal="left" vertical="center"/>
    </xf>
    <xf numFmtId="165" fontId="44" fillId="10" borderId="20" xfId="20" applyNumberFormat="1" applyFont="1" applyFill="1" applyBorder="1" applyAlignment="1">
      <alignment horizontal="left" vertical="center"/>
    </xf>
    <xf numFmtId="165" fontId="44" fillId="10" borderId="4" xfId="20" applyNumberFormat="1" applyFont="1" applyFill="1" applyBorder="1" applyAlignment="1">
      <alignment horizontal="left" vertical="center"/>
    </xf>
    <xf numFmtId="0" fontId="43" fillId="0" borderId="36" xfId="20" applyFont="1" applyBorder="1" applyAlignment="1">
      <alignment horizontal="center" vertical="center"/>
    </xf>
    <xf numFmtId="0" fontId="43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9" fillId="0" borderId="19" xfId="20" applyNumberFormat="1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2" fillId="10" borderId="36" xfId="20" applyFont="1" applyFill="1" applyBorder="1" applyAlignment="1">
      <alignment horizontal="center" vertical="center"/>
    </xf>
    <xf numFmtId="0" fontId="42" fillId="10" borderId="31" xfId="20" applyFont="1" applyFill="1" applyBorder="1" applyAlignment="1">
      <alignment horizontal="center" vertical="center"/>
    </xf>
    <xf numFmtId="0" fontId="44" fillId="10" borderId="25" xfId="20" applyFont="1" applyFill="1" applyBorder="1" applyAlignment="1">
      <alignment horizontal="left" vertical="center" wrapText="1"/>
    </xf>
    <xf numFmtId="0" fontId="44" fillId="10" borderId="20" xfId="20" applyFont="1" applyFill="1" applyBorder="1" applyAlignment="1">
      <alignment horizontal="left" vertical="center" wrapText="1"/>
    </xf>
    <xf numFmtId="0" fontId="44" fillId="10" borderId="4" xfId="20" applyFont="1" applyFill="1" applyBorder="1" applyAlignment="1">
      <alignment horizontal="left" vertical="center" wrapText="1"/>
    </xf>
    <xf numFmtId="0" fontId="42" fillId="0" borderId="24" xfId="20" applyFont="1" applyBorder="1" applyAlignment="1">
      <alignment horizontal="center" vertical="center"/>
    </xf>
    <xf numFmtId="0" fontId="44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42" fillId="0" borderId="25" xfId="20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173" fontId="49" fillId="0" borderId="25" xfId="20" applyNumberFormat="1" applyFont="1" applyBorder="1" applyAlignment="1">
      <alignment horizontal="center" vertical="center"/>
    </xf>
    <xf numFmtId="173" fontId="49" fillId="0" borderId="20" xfId="20" applyNumberFormat="1" applyFont="1" applyBorder="1" applyAlignment="1">
      <alignment horizontal="center" vertical="center"/>
    </xf>
    <xf numFmtId="173" fontId="43" fillId="0" borderId="6" xfId="20" applyNumberFormat="1" applyFont="1" applyBorder="1" applyAlignment="1">
      <alignment horizontal="center" vertical="center"/>
    </xf>
    <xf numFmtId="0" fontId="42" fillId="0" borderId="36" xfId="20" applyFont="1" applyBorder="1" applyAlignment="1">
      <alignment horizontal="center" vertical="center"/>
    </xf>
    <xf numFmtId="0" fontId="42" fillId="0" borderId="31" xfId="20" applyFont="1" applyBorder="1" applyAlignment="1">
      <alignment horizontal="center" vertical="center"/>
    </xf>
    <xf numFmtId="0" fontId="44" fillId="0" borderId="20" xfId="20" applyFont="1" applyBorder="1" applyAlignment="1">
      <alignment horizontal="left" vertical="center" wrapText="1"/>
    </xf>
    <xf numFmtId="0" fontId="44" fillId="0" borderId="4" xfId="20" applyFont="1" applyBorder="1" applyAlignment="1">
      <alignment horizontal="left" vertical="center" wrapText="1"/>
    </xf>
    <xf numFmtId="0" fontId="42" fillId="0" borderId="20" xfId="20" applyFont="1" applyBorder="1" applyAlignment="1">
      <alignment horizontal="center" vertical="center"/>
    </xf>
    <xf numFmtId="0" fontId="42" fillId="0" borderId="4" xfId="20" applyFont="1" applyBorder="1" applyAlignment="1">
      <alignment horizontal="center" vertical="center"/>
    </xf>
    <xf numFmtId="165" fontId="44" fillId="0" borderId="20" xfId="20" applyNumberFormat="1" applyFont="1" applyBorder="1" applyAlignment="1">
      <alignment horizontal="center" vertical="center"/>
    </xf>
    <xf numFmtId="165" fontId="44" fillId="0" borderId="4" xfId="20" applyNumberFormat="1" applyFont="1" applyBorder="1" applyAlignment="1">
      <alignment horizontal="center" vertical="center"/>
    </xf>
    <xf numFmtId="165" fontId="49" fillId="0" borderId="25" xfId="20" applyNumberFormat="1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45" fillId="0" borderId="0" xfId="20" applyFont="1" applyAlignment="1">
      <alignment horizontal="center" vertical="center"/>
    </xf>
    <xf numFmtId="0" fontId="0" fillId="0" borderId="0" xfId="0"/>
    <xf numFmtId="0" fontId="6" fillId="0" borderId="0" xfId="9" applyFont="1" applyAlignment="1">
      <alignment horizontal="center" wrapText="1"/>
    </xf>
    <xf numFmtId="0" fontId="8" fillId="0" borderId="0" xfId="9" applyFont="1" applyAlignment="1">
      <alignment horizontal="center" vertical="center"/>
    </xf>
  </cellXfs>
  <cellStyles count="24">
    <cellStyle name="TableStyleLight1 2" xfId="13"/>
    <cellStyle name="Обычный" xfId="0" builtinId="0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42">
    <dxf>
      <fill>
        <patternFill patternType="solid">
          <fgColor rgb="FFFF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22" formatCode="mmm/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₴_-;\-* #,##0.00_₴_-;_-* &quot;-&quot;??_₴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scheme val="none"/>
      </font>
      <numFmt numFmtId="171" formatCode="#,##0.00\ _₽;[Red]#,##0.00\ _₽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scheme val="none"/>
      </font>
      <numFmt numFmtId="171" formatCode="#,##0.00\ _₽;[Red]#,##0.00\ _₽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71" formatCode="#,##0.00\ _₽;[Red]#,##0.00\ _₽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scheme val="none"/>
      </font>
      <numFmt numFmtId="171" formatCode="#,##0.00\ _₽;[Red]#,##0.00\ _₽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71" formatCode="#,##0.00\ _₽;[Red]#,##0.00\ _₽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22" formatCode="mmm/yy"/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41"/>
    </tableStyle>
    <tableStyle name="Стиль таблицы 2" pivot="0" count="2">
      <tableStyleElement type="headerRow" dxfId="40"/>
      <tableStyleElement type="totalRow" dxfId="39"/>
    </tableStyle>
    <tableStyle name="Стиль таблицы 3" pivot="0" count="2">
      <tableStyleElement type="firstRowStripe" dxfId="38"/>
      <tableStyleElement type="secondRowStripe" dxfId="37"/>
    </tableStyle>
  </tableStyles>
  <colors>
    <mruColors>
      <color rgb="FF66FFFF"/>
      <color rgb="FF66CCFF"/>
      <color rgb="FFF4C6B2"/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TO/AppData/Local/Microsoft/Windows/INetCache/Content.Outlook/M513OIGI/&#1056;&#1077;&#1077;&#1089;&#1090;&#1088;%20&#1072;&#1085;&#1072;&#1083;&#1080;&#1090;&#1080;&#1082;&#1072;%20&#1057;&#1058;&#1040;&#1056;&#1050;&#1054;&#10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оябрь"/>
      <sheetName val="ДЦ Замовник"/>
      <sheetName val="Реєстр АВР"/>
      <sheetName val="Пожарка подрядчик"/>
      <sheetName val="Лист1"/>
    </sheetNames>
    <sheetDataSet>
      <sheetData sheetId="0"/>
      <sheetData sheetId="1">
        <row r="9">
          <cell r="B9" t="str">
            <v>Нове будівництво комплексу будівель та споруд по зберіганню та переробці зерна за адресою: Хмельницька обл., м. Старокостянтинів, вул. Франка, 67</v>
          </cell>
        </row>
        <row r="17">
          <cell r="E17" t="str">
            <v>№2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Таблица22" displayName="Таблица22" ref="B8:L31" totalsRowShown="0" headerRowDxfId="36" dataDxfId="34" headerRowBorderDxfId="35" tableBorderDxfId="33" totalsRowBorderDxfId="32">
  <tableColumns count="11">
    <tableColumn id="1" name="№ ДЦ" dataDxfId="31" totalsRowDxfId="30" dataCellStyle="Обычный 13 2"/>
    <tableColumn id="15" name="№, дата Договору" dataDxfId="29" totalsRowDxfId="28" dataCellStyle="Обычный 13 2"/>
    <tableColumn id="2" name="Найменування договірної ціни" dataDxfId="27" totalsRowDxfId="26" dataCellStyle="Обычный 13 2"/>
    <tableColumn id="5" name="Робота з ПДВ,грн" dataDxfId="25" totalsRowDxfId="24">
      <calculatedColumnFormula>Таблица22[[#This Row],[Всього по ДЦ з ПДВ, грн]]-Таблица22[[#This Row],[Матеріали з ПДВ,грн]]</calculatedColumnFormula>
    </tableColumn>
    <tableColumn id="16" name="Матеріали з ПДВ,грн" dataDxfId="23" totalsRowDxfId="22" dataCellStyle="Обычный 13 2 2 2"/>
    <tableColumn id="7" name="Всього по ДЦ з ПДВ, грн" dataDxfId="21" totalsRowDxfId="20" dataCellStyle="Обычный 13 2">
      <calculatedColumnFormula>SUM(G7:G8)</calculatedColumnFormula>
    </tableColumn>
    <tableColumn id="14" name="Собівартість,грн" dataDxfId="19" totalsRowDxfId="18" dataCellStyle="Обычный 13 2 2 2">
      <calculatedColumnFormula>SUM(H7:H8)</calculatedColumnFormula>
    </tableColumn>
    <tableColumn id="13" name="Статус" dataDxfId="17" totalsRowDxfId="16" dataCellStyle="Обычный 13 2 2 2"/>
    <tableColumn id="8" name="Дата" dataDxfId="15" totalsRowDxfId="14" dataCellStyle="Финансовый 2 2"/>
    <tableColumn id="3" name="Коментарі" dataDxfId="13" totalsRowDxfId="12" dataCellStyle="Обычный 13 2 2"/>
    <tableColumn id="4" name="Найменування субпідрядної організації" dataDxfId="11" dataCellStyle="Финансовый 2 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Таблица223" displayName="Таблица223" ref="A3:F18" totalsRowShown="0" headerRowDxfId="10" dataDxfId="8" headerRowBorderDxfId="9" tableBorderDxfId="7">
  <autoFilter ref="A3:F18"/>
  <tableColumns count="6">
    <tableColumn id="1" name="№ п/п" dataDxfId="6" dataCellStyle="Обычный 13 2"/>
    <tableColumn id="2" name="Вид робіт (витрат)" dataDxfId="5" dataCellStyle="Обычный 13 2"/>
    <tableColumn id="4" name="ознака робіт" dataDxfId="4" dataCellStyle="Обычный 13 2"/>
    <tableColumn id="5" name="Номер ДЦ" dataDxfId="3"/>
    <tableColumn id="7" name="Сумма" dataDxfId="2" dataCellStyle="Обычный 13 2"/>
    <tableColumn id="8" name="Статус" dataDxfId="1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71" t="s">
        <v>37</v>
      </c>
      <c r="B5" s="771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71" t="s">
        <v>24</v>
      </c>
      <c r="B6" s="771"/>
      <c r="C6" s="82"/>
      <c r="D6" s="772"/>
      <c r="E6" s="772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71" t="s">
        <v>38</v>
      </c>
      <c r="B7" s="771"/>
      <c r="C7" s="771"/>
      <c r="D7" s="771"/>
      <c r="E7" s="771"/>
      <c r="F7" s="771"/>
      <c r="G7" s="771"/>
      <c r="H7" s="771"/>
      <c r="I7" s="771"/>
      <c r="J7" s="82"/>
      <c r="L7" s="61"/>
      <c r="V7" s="62"/>
      <c r="W7" s="63"/>
    </row>
    <row r="8" spans="1:23" s="60" customFormat="1" ht="12.75" customHeight="1" x14ac:dyDescent="0.25">
      <c r="A8" s="771" t="s">
        <v>39</v>
      </c>
      <c r="B8" s="771"/>
      <c r="C8" s="771"/>
      <c r="D8" s="771"/>
      <c r="E8" s="771"/>
      <c r="F8" s="771"/>
      <c r="G8" s="771"/>
      <c r="H8" s="771"/>
      <c r="I8" s="771"/>
      <c r="J8" s="82"/>
      <c r="L8" s="61"/>
      <c r="V8" s="62"/>
      <c r="W8" s="63"/>
    </row>
    <row r="9" spans="1:23" s="60" customFormat="1" ht="12.75" customHeight="1" x14ac:dyDescent="0.25">
      <c r="A9" s="770" t="s">
        <v>40</v>
      </c>
      <c r="B9" s="770"/>
      <c r="C9" s="770"/>
      <c r="D9" s="770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64" t="s">
        <v>0</v>
      </c>
      <c r="B11" s="764"/>
      <c r="C11" s="764"/>
      <c r="D11" s="764"/>
      <c r="E11" s="764"/>
      <c r="F11" s="764"/>
      <c r="G11" s="764"/>
      <c r="H11" s="764"/>
      <c r="I11" s="764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65" t="s">
        <v>1</v>
      </c>
      <c r="B13" s="766" t="s">
        <v>2</v>
      </c>
      <c r="C13" s="765" t="s">
        <v>13</v>
      </c>
      <c r="D13" s="767" t="s">
        <v>3</v>
      </c>
      <c r="E13" s="768" t="s">
        <v>14</v>
      </c>
      <c r="F13" s="769" t="s">
        <v>27</v>
      </c>
      <c r="G13" s="769"/>
      <c r="H13" s="767" t="s">
        <v>17</v>
      </c>
      <c r="I13" s="767"/>
      <c r="J13" s="774" t="s">
        <v>30</v>
      </c>
      <c r="K13" s="775"/>
      <c r="L13" s="776"/>
      <c r="M13" s="766" t="s">
        <v>26</v>
      </c>
      <c r="N13" s="766"/>
      <c r="O13" s="766"/>
      <c r="P13" s="766"/>
      <c r="Q13" s="766" t="s">
        <v>29</v>
      </c>
      <c r="R13" s="766"/>
      <c r="S13" s="766"/>
      <c r="T13" s="766"/>
      <c r="U13" s="766"/>
      <c r="V13" s="780" t="s">
        <v>34</v>
      </c>
      <c r="W13" s="781"/>
    </row>
    <row r="14" spans="1:23" s="3" customFormat="1" ht="20.25" customHeight="1" x14ac:dyDescent="0.25">
      <c r="A14" s="765"/>
      <c r="B14" s="766"/>
      <c r="C14" s="765"/>
      <c r="D14" s="767"/>
      <c r="E14" s="768"/>
      <c r="F14" s="767" t="s">
        <v>41</v>
      </c>
      <c r="G14" s="767"/>
      <c r="H14" s="767"/>
      <c r="I14" s="767"/>
      <c r="J14" s="777"/>
      <c r="K14" s="778"/>
      <c r="L14" s="779"/>
      <c r="M14" s="766"/>
      <c r="N14" s="766"/>
      <c r="O14" s="766"/>
      <c r="P14" s="766"/>
      <c r="Q14" s="766"/>
      <c r="R14" s="766"/>
      <c r="S14" s="766"/>
      <c r="T14" s="766"/>
      <c r="U14" s="766"/>
      <c r="V14" s="782"/>
      <c r="W14" s="783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82"/>
      <c r="W15" s="783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73" t="s">
        <v>32</v>
      </c>
      <c r="U16" s="773"/>
      <c r="V16" s="784"/>
      <c r="W16" s="785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95" t="s">
        <v>93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</row>
    <row r="2" spans="1:13" ht="16.2" thickBot="1" x14ac:dyDescent="0.3">
      <c r="M2" s="216"/>
    </row>
    <row r="3" spans="1:13" ht="31.5" customHeight="1" x14ac:dyDescent="0.25">
      <c r="A3" s="805" t="s">
        <v>84</v>
      </c>
      <c r="B3" s="807" t="s">
        <v>82</v>
      </c>
      <c r="C3" s="807" t="s">
        <v>86</v>
      </c>
      <c r="D3" s="807" t="s">
        <v>85</v>
      </c>
      <c r="E3" s="796" t="s">
        <v>83</v>
      </c>
      <c r="F3" s="800" t="s">
        <v>90</v>
      </c>
      <c r="G3" s="801"/>
      <c r="H3" s="802"/>
      <c r="I3" s="798" t="s">
        <v>9</v>
      </c>
      <c r="J3" s="803" t="s">
        <v>91</v>
      </c>
      <c r="K3" s="803"/>
      <c r="L3" s="804"/>
      <c r="M3" s="798" t="s">
        <v>50</v>
      </c>
    </row>
    <row r="4" spans="1:13" x14ac:dyDescent="0.25">
      <c r="A4" s="806"/>
      <c r="B4" s="808"/>
      <c r="C4" s="808"/>
      <c r="D4" s="808"/>
      <c r="E4" s="797"/>
      <c r="F4" s="145" t="s">
        <v>87</v>
      </c>
      <c r="G4" s="135" t="s">
        <v>88</v>
      </c>
      <c r="H4" s="135" t="s">
        <v>89</v>
      </c>
      <c r="I4" s="799"/>
      <c r="J4" s="143" t="s">
        <v>87</v>
      </c>
      <c r="K4" s="135" t="s">
        <v>88</v>
      </c>
      <c r="L4" s="135" t="s">
        <v>89</v>
      </c>
      <c r="M4" s="79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89">
        <v>4</v>
      </c>
      <c r="B6" s="786" t="s">
        <v>97</v>
      </c>
      <c r="C6" s="79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90"/>
      <c r="B7" s="787"/>
      <c r="C7" s="79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90"/>
      <c r="B8" s="787"/>
      <c r="C8" s="79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91"/>
      <c r="B9" s="788"/>
      <c r="C9" s="79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824" t="s">
        <v>84</v>
      </c>
      <c r="B2" s="824" t="s">
        <v>99</v>
      </c>
      <c r="C2" s="824" t="s">
        <v>86</v>
      </c>
      <c r="D2" s="824" t="s">
        <v>51</v>
      </c>
      <c r="E2" s="818" t="s">
        <v>100</v>
      </c>
      <c r="F2" s="819"/>
      <c r="G2" s="820"/>
      <c r="H2" s="821" t="s">
        <v>101</v>
      </c>
      <c r="I2" s="822"/>
      <c r="J2" s="822"/>
      <c r="K2" s="822"/>
      <c r="L2" s="822"/>
      <c r="M2" s="823"/>
      <c r="N2" s="818" t="s">
        <v>102</v>
      </c>
      <c r="O2" s="819"/>
      <c r="P2" s="820"/>
    </row>
    <row r="3" spans="1:16" ht="16.2" thickBot="1" x14ac:dyDescent="0.3">
      <c r="A3" s="825"/>
      <c r="B3" s="825"/>
      <c r="C3" s="825"/>
      <c r="D3" s="825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809">
        <v>4</v>
      </c>
      <c r="B4" s="812" t="s">
        <v>109</v>
      </c>
      <c r="C4" s="812" t="s">
        <v>94</v>
      </c>
      <c r="D4" s="812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810"/>
      <c r="B5" s="813"/>
      <c r="C5" s="813"/>
      <c r="D5" s="813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810"/>
      <c r="B6" s="813"/>
      <c r="C6" s="813"/>
      <c r="D6" s="813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810"/>
      <c r="B7" s="813"/>
      <c r="C7" s="813"/>
      <c r="D7" s="813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810"/>
      <c r="B8" s="813"/>
      <c r="C8" s="813"/>
      <c r="D8" s="814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810"/>
      <c r="B9" s="813"/>
      <c r="C9" s="813"/>
      <c r="D9" s="815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810"/>
      <c r="B10" s="813"/>
      <c r="C10" s="813"/>
      <c r="D10" s="816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810"/>
      <c r="B11" s="813"/>
      <c r="C11" s="813"/>
      <c r="D11" s="817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810"/>
      <c r="B12" s="813"/>
      <c r="C12" s="813"/>
      <c r="D12" s="812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810"/>
      <c r="B13" s="813"/>
      <c r="C13" s="813"/>
      <c r="D13" s="813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810"/>
      <c r="B14" s="813"/>
      <c r="C14" s="813"/>
      <c r="D14" s="814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810"/>
      <c r="B15" s="813"/>
      <c r="C15" s="813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811"/>
      <c r="B16" s="814"/>
      <c r="C16" s="814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showWhiteSpace="0" topLeftCell="C4" zoomScale="70" zoomScaleNormal="70" zoomScaleSheetLayoutView="89" workbookViewId="0">
      <pane ySplit="5" topLeftCell="A18" activePane="bottomLeft" state="frozen"/>
      <selection activeCell="A4" sqref="A4"/>
      <selection pane="bottomLeft" activeCell="I40" sqref="I40"/>
    </sheetView>
  </sheetViews>
  <sheetFormatPr defaultColWidth="9.109375" defaultRowHeight="13.8" outlineLevelCol="1" x14ac:dyDescent="0.25"/>
  <cols>
    <col min="1" max="1" width="5.77734375" style="325" customWidth="1"/>
    <col min="2" max="2" width="8.44140625" style="325" customWidth="1"/>
    <col min="3" max="3" width="36.88671875" style="325" customWidth="1"/>
    <col min="4" max="4" width="34.5546875" style="325" customWidth="1"/>
    <col min="5" max="5" width="23.33203125" style="325" customWidth="1"/>
    <col min="6" max="6" width="20.77734375" style="325" customWidth="1"/>
    <col min="7" max="7" width="19.33203125" style="326" customWidth="1"/>
    <col min="8" max="8" width="17.109375" style="326" customWidth="1"/>
    <col min="9" max="9" width="16.88671875" style="326" customWidth="1"/>
    <col min="10" max="10" width="25.77734375" style="325" customWidth="1"/>
    <col min="11" max="11" width="19.33203125" style="325" customWidth="1"/>
    <col min="12" max="12" width="20.109375" style="325" customWidth="1" outlineLevel="1"/>
    <col min="13" max="13" width="17.33203125" style="325" customWidth="1" outlineLevel="1"/>
    <col min="14" max="14" width="18.77734375" style="326" customWidth="1" outlineLevel="1"/>
    <col min="15" max="15" width="17.44140625" style="326" customWidth="1" outlineLevel="1"/>
    <col min="16" max="16" width="17.21875" style="326" customWidth="1" outlineLevel="1"/>
    <col min="17" max="17" width="13.77734375" style="325" customWidth="1" outlineLevel="1"/>
    <col min="18" max="18" width="19.88671875" style="325" customWidth="1" outlineLevel="1"/>
    <col min="19" max="19" width="9.109375" style="325"/>
    <col min="20" max="20" width="17.5546875" style="325" customWidth="1"/>
    <col min="21" max="16384" width="9.109375" style="325"/>
  </cols>
  <sheetData>
    <row r="1" spans="1:20" s="308" customFormat="1" ht="18.75" customHeight="1" x14ac:dyDescent="0.25">
      <c r="B1" s="828" t="s">
        <v>195</v>
      </c>
      <c r="C1" s="828"/>
      <c r="D1" s="828"/>
      <c r="E1" s="307"/>
      <c r="F1" s="307"/>
      <c r="G1" s="328"/>
      <c r="H1" s="328"/>
      <c r="I1" s="328"/>
      <c r="M1" s="307"/>
      <c r="N1" s="328"/>
      <c r="O1" s="328"/>
      <c r="P1" s="328"/>
    </row>
    <row r="2" spans="1:20" s="308" customFormat="1" ht="15.75" customHeight="1" x14ac:dyDescent="0.25">
      <c r="B2" s="828" t="s">
        <v>118</v>
      </c>
      <c r="C2" s="828"/>
      <c r="D2" s="828"/>
      <c r="E2" s="307"/>
      <c r="F2" s="307"/>
      <c r="G2" s="310"/>
      <c r="H2" s="310"/>
      <c r="I2" s="310"/>
      <c r="M2" s="307"/>
      <c r="N2" s="310"/>
      <c r="O2" s="310"/>
      <c r="P2" s="310"/>
    </row>
    <row r="3" spans="1:20" s="308" customFormat="1" ht="21.6" customHeight="1" x14ac:dyDescent="0.25">
      <c r="B3" s="309" t="s">
        <v>196</v>
      </c>
      <c r="C3" s="309"/>
      <c r="D3" s="307"/>
      <c r="E3" s="307"/>
      <c r="F3" s="307"/>
      <c r="G3" s="310"/>
      <c r="H3" s="310"/>
      <c r="I3" s="310"/>
      <c r="M3" s="307"/>
      <c r="N3" s="310"/>
      <c r="O3" s="310"/>
      <c r="P3" s="310"/>
    </row>
    <row r="4" spans="1:20" s="308" customFormat="1" ht="33.6" customHeight="1" x14ac:dyDescent="0.25">
      <c r="B4" s="828" t="s">
        <v>227</v>
      </c>
      <c r="C4" s="828"/>
      <c r="D4" s="828"/>
      <c r="E4" s="828"/>
      <c r="F4" s="828"/>
      <c r="G4" s="828"/>
      <c r="H4" s="828"/>
      <c r="I4" s="828"/>
      <c r="J4" s="828"/>
    </row>
    <row r="5" spans="1:20" s="308" customFormat="1" ht="15.75" customHeight="1" x14ac:dyDescent="0.25">
      <c r="B5" s="307"/>
      <c r="C5" s="307"/>
      <c r="D5" s="307"/>
      <c r="E5" s="307"/>
      <c r="F5" s="307"/>
      <c r="G5" s="310"/>
      <c r="H5" s="310"/>
      <c r="I5" s="310"/>
      <c r="M5" s="307"/>
      <c r="N5" s="310"/>
      <c r="O5" s="310"/>
      <c r="P5" s="310"/>
    </row>
    <row r="6" spans="1:20" s="308" customFormat="1" ht="13.5" customHeight="1" x14ac:dyDescent="0.25">
      <c r="B6" s="829" t="s">
        <v>6</v>
      </c>
      <c r="C6" s="829"/>
      <c r="D6" s="829"/>
      <c r="E6" s="829"/>
      <c r="F6" s="829"/>
      <c r="G6" s="829"/>
      <c r="H6" s="829"/>
      <c r="I6" s="829"/>
      <c r="J6" s="829"/>
      <c r="L6" s="826" t="s">
        <v>202</v>
      </c>
      <c r="M6" s="826"/>
      <c r="N6" s="826"/>
      <c r="O6" s="826"/>
      <c r="P6" s="826"/>
      <c r="Q6" s="826"/>
      <c r="R6" s="826"/>
    </row>
    <row r="7" spans="1:20" s="308" customFormat="1" ht="12.75" customHeight="1" thickBot="1" x14ac:dyDescent="0.3">
      <c r="B7" s="827"/>
      <c r="C7" s="827"/>
      <c r="D7" s="827"/>
      <c r="E7" s="827"/>
      <c r="F7" s="827"/>
      <c r="G7" s="827"/>
      <c r="H7" s="323"/>
      <c r="I7" s="323"/>
      <c r="O7" s="323"/>
      <c r="P7" s="323"/>
    </row>
    <row r="8" spans="1:20" s="308" customFormat="1" ht="54.6" customHeight="1" thickBot="1" x14ac:dyDescent="0.3">
      <c r="A8" s="594" t="s">
        <v>1</v>
      </c>
      <c r="B8" s="595" t="s">
        <v>127</v>
      </c>
      <c r="C8" s="596" t="s">
        <v>83</v>
      </c>
      <c r="D8" s="596" t="s">
        <v>190</v>
      </c>
      <c r="E8" s="596" t="s">
        <v>228</v>
      </c>
      <c r="F8" s="596" t="s">
        <v>229</v>
      </c>
      <c r="G8" s="597" t="s">
        <v>230</v>
      </c>
      <c r="H8" s="598" t="s">
        <v>231</v>
      </c>
      <c r="I8" s="598" t="s">
        <v>9</v>
      </c>
      <c r="J8" s="599" t="s">
        <v>104</v>
      </c>
      <c r="K8" s="600" t="s">
        <v>232</v>
      </c>
      <c r="L8" s="562" t="s">
        <v>200</v>
      </c>
      <c r="M8" s="556" t="s">
        <v>83</v>
      </c>
      <c r="N8" s="557" t="s">
        <v>12</v>
      </c>
      <c r="O8" s="557" t="s">
        <v>25</v>
      </c>
      <c r="P8" s="557" t="s">
        <v>120</v>
      </c>
      <c r="Q8" s="558" t="s">
        <v>9</v>
      </c>
      <c r="R8" s="559" t="s">
        <v>50</v>
      </c>
    </row>
    <row r="9" spans="1:20" s="311" customFormat="1" ht="46.8" x14ac:dyDescent="0.25">
      <c r="A9" s="647">
        <v>1</v>
      </c>
      <c r="B9" s="648">
        <v>1</v>
      </c>
      <c r="C9" s="649" t="s">
        <v>197</v>
      </c>
      <c r="D9" s="620" t="s">
        <v>192</v>
      </c>
      <c r="E9" s="617">
        <f>Таблица22[[#This Row],[Всього по ДЦ з ПДВ, грн]]-Таблица22[[#This Row],[Матеріали з ПДВ,грн]]</f>
        <v>20014627.07</v>
      </c>
      <c r="F9" s="618">
        <f t="shared" ref="F9" si="0">SUM(F7:F8)</f>
        <v>0</v>
      </c>
      <c r="G9" s="560">
        <v>20014627.07</v>
      </c>
      <c r="H9" s="560"/>
      <c r="I9" s="619" t="s">
        <v>214</v>
      </c>
      <c r="J9" s="619"/>
      <c r="K9" s="620"/>
      <c r="L9" s="586"/>
      <c r="M9" s="577"/>
      <c r="N9" s="561"/>
      <c r="O9" s="560"/>
      <c r="P9" s="327"/>
      <c r="Q9" s="578"/>
      <c r="R9" s="579"/>
    </row>
    <row r="10" spans="1:20" s="311" customFormat="1" ht="46.8" x14ac:dyDescent="0.25">
      <c r="A10" s="647">
        <v>2</v>
      </c>
      <c r="B10" s="648">
        <v>1</v>
      </c>
      <c r="C10" s="649" t="s">
        <v>197</v>
      </c>
      <c r="D10" s="620" t="s">
        <v>193</v>
      </c>
      <c r="E10" s="617">
        <f>Таблица22[[#This Row],[Всього по ДЦ з ПДВ, грн]]-Таблица22[[#This Row],[Матеріали з ПДВ,грн]]</f>
        <v>53346485.635999992</v>
      </c>
      <c r="F10" s="618">
        <v>109556128.524</v>
      </c>
      <c r="G10" s="560">
        <v>162902614.16</v>
      </c>
      <c r="H10" s="560"/>
      <c r="I10" s="619" t="s">
        <v>214</v>
      </c>
      <c r="J10" s="619"/>
      <c r="K10" s="620"/>
      <c r="L10" s="586"/>
      <c r="M10" s="577"/>
      <c r="N10" s="561"/>
      <c r="O10" s="560"/>
      <c r="P10" s="327"/>
      <c r="Q10" s="578"/>
      <c r="R10" s="579"/>
    </row>
    <row r="11" spans="1:20" s="311" customFormat="1" ht="46.8" x14ac:dyDescent="0.25">
      <c r="A11" s="647">
        <v>3</v>
      </c>
      <c r="B11" s="647">
        <v>2</v>
      </c>
      <c r="C11" s="649" t="s">
        <v>199</v>
      </c>
      <c r="D11" s="620" t="s">
        <v>198</v>
      </c>
      <c r="E11" s="617">
        <f>Таблица22[[#This Row],[Всього по ДЦ з ПДВ, грн]]-Таблица22[[#This Row],[Матеріали з ПДВ,грн]]</f>
        <v>1445345.3499999999</v>
      </c>
      <c r="F11" s="618">
        <v>34274.1</v>
      </c>
      <c r="G11" s="560">
        <v>1479619.45</v>
      </c>
      <c r="H11" s="560"/>
      <c r="I11" s="619" t="s">
        <v>214</v>
      </c>
      <c r="J11" s="619"/>
      <c r="K11" s="620"/>
      <c r="L11" s="586" t="s">
        <v>201</v>
      </c>
      <c r="M11" s="577"/>
      <c r="N11" s="561">
        <v>903840.13</v>
      </c>
      <c r="O11" s="560">
        <f>N11-P11</f>
        <v>877810.78599999996</v>
      </c>
      <c r="P11" s="327">
        <f>21691.12*1.2</f>
        <v>26029.343999999997</v>
      </c>
      <c r="Q11" s="578" t="s">
        <v>203</v>
      </c>
      <c r="R11" s="579"/>
    </row>
    <row r="12" spans="1:20" s="311" customFormat="1" ht="46.8" x14ac:dyDescent="0.25">
      <c r="A12" s="647">
        <v>4</v>
      </c>
      <c r="B12" s="650">
        <v>3</v>
      </c>
      <c r="C12" s="649" t="s">
        <v>215</v>
      </c>
      <c r="D12" s="620" t="s">
        <v>213</v>
      </c>
      <c r="E12" s="617">
        <f>Таблица22[[#This Row],[Всього по ДЦ з ПДВ, грн]]-Таблица22[[#This Row],[Матеріали з ПДВ,грн]]</f>
        <v>42182.078000000001</v>
      </c>
      <c r="F12" s="621">
        <v>56127.671999999999</v>
      </c>
      <c r="G12" s="622">
        <v>98309.75</v>
      </c>
      <c r="H12" s="623"/>
      <c r="I12" s="619" t="s">
        <v>214</v>
      </c>
      <c r="J12" s="619"/>
      <c r="K12" s="624"/>
      <c r="L12" s="587"/>
      <c r="M12" s="577"/>
      <c r="N12" s="561"/>
      <c r="O12" s="560"/>
      <c r="P12" s="327"/>
      <c r="Q12" s="578"/>
      <c r="R12" s="579"/>
    </row>
    <row r="13" spans="1:20" s="311" customFormat="1" ht="46.8" x14ac:dyDescent="0.25">
      <c r="A13" s="647">
        <v>5</v>
      </c>
      <c r="B13" s="647">
        <v>4</v>
      </c>
      <c r="C13" s="649" t="s">
        <v>212</v>
      </c>
      <c r="D13" s="620" t="s">
        <v>211</v>
      </c>
      <c r="E13" s="617">
        <f>Таблица22[[#This Row],[Всього по ДЦ з ПДВ, грн]]-Таблица22[[#This Row],[Матеріали з ПДВ,грн]]</f>
        <v>70684.100000000006</v>
      </c>
      <c r="F13" s="618">
        <v>47269.38</v>
      </c>
      <c r="G13" s="560">
        <v>117953.48</v>
      </c>
      <c r="H13" s="560"/>
      <c r="I13" s="619" t="s">
        <v>214</v>
      </c>
      <c r="J13" s="619"/>
      <c r="K13" s="625"/>
      <c r="L13" s="587"/>
      <c r="M13" s="577"/>
      <c r="N13" s="561"/>
      <c r="O13" s="560"/>
      <c r="P13" s="327"/>
      <c r="Q13" s="578"/>
      <c r="R13" s="579"/>
    </row>
    <row r="14" spans="1:20" s="311" customFormat="1" ht="46.8" x14ac:dyDescent="0.25">
      <c r="A14" s="647">
        <v>6</v>
      </c>
      <c r="B14" s="650">
        <v>5</v>
      </c>
      <c r="C14" s="649" t="s">
        <v>221</v>
      </c>
      <c r="D14" s="620" t="s">
        <v>220</v>
      </c>
      <c r="E14" s="617">
        <f>Таблица22[[#This Row],[Всього по ДЦ з ПДВ, грн]]-Таблица22[[#This Row],[Матеріали з ПДВ,грн]]</f>
        <v>164209.79999999999</v>
      </c>
      <c r="F14" s="626">
        <v>149880.89000000001</v>
      </c>
      <c r="G14" s="560">
        <v>314090.69</v>
      </c>
      <c r="H14" s="627"/>
      <c r="I14" s="619" t="s">
        <v>214</v>
      </c>
      <c r="J14" s="619"/>
      <c r="K14" s="624"/>
      <c r="L14" s="587"/>
      <c r="M14" s="577"/>
      <c r="N14" s="561"/>
      <c r="O14" s="560"/>
      <c r="P14" s="327"/>
      <c r="Q14" s="578"/>
      <c r="R14" s="579"/>
      <c r="T14" s="656">
        <f>N11+N15</f>
        <v>1564884.42</v>
      </c>
    </row>
    <row r="15" spans="1:20" s="311" customFormat="1" ht="46.8" x14ac:dyDescent="0.25">
      <c r="A15" s="647">
        <v>7</v>
      </c>
      <c r="B15" s="650">
        <v>6</v>
      </c>
      <c r="C15" s="649" t="s">
        <v>222</v>
      </c>
      <c r="D15" s="620" t="s">
        <v>198</v>
      </c>
      <c r="E15" s="617">
        <f>Таблица22[[#This Row],[Всього по ДЦ з ПДВ, грн]]-Таблица22[[#This Row],[Матеріали з ПДВ,грн]]</f>
        <v>873320.76</v>
      </c>
      <c r="F15" s="628">
        <v>51947.46</v>
      </c>
      <c r="G15" s="560">
        <v>925268.22</v>
      </c>
      <c r="H15" s="629"/>
      <c r="I15" s="619" t="s">
        <v>214</v>
      </c>
      <c r="J15" s="619"/>
      <c r="K15" s="624"/>
      <c r="L15" s="586" t="s">
        <v>201</v>
      </c>
      <c r="M15" s="577" t="s">
        <v>216</v>
      </c>
      <c r="N15" s="561">
        <v>661044.29</v>
      </c>
      <c r="O15" s="560">
        <f>N15-P15</f>
        <v>612037.25</v>
      </c>
      <c r="P15" s="327">
        <v>49007.040000000001</v>
      </c>
      <c r="Q15" s="578" t="s">
        <v>203</v>
      </c>
      <c r="R15" s="579"/>
    </row>
    <row r="16" spans="1:20" s="311" customFormat="1" ht="27.6" x14ac:dyDescent="0.25">
      <c r="A16" s="647">
        <v>8</v>
      </c>
      <c r="B16" s="650">
        <v>7</v>
      </c>
      <c r="C16" s="651" t="s">
        <v>233</v>
      </c>
      <c r="D16" s="620" t="s">
        <v>223</v>
      </c>
      <c r="E16" s="630">
        <f>Таблица22[[#This Row],[Всього по ДЦ з ПДВ, грн]]-Таблица22[[#This Row],[Матеріали з ПДВ,грн]]</f>
        <v>520063.16999999993</v>
      </c>
      <c r="F16" s="631">
        <v>1387127.59</v>
      </c>
      <c r="G16" s="560">
        <v>1907190.76</v>
      </c>
      <c r="H16" s="632"/>
      <c r="I16" s="619" t="s">
        <v>214</v>
      </c>
      <c r="J16" s="619"/>
      <c r="K16" s="619"/>
      <c r="L16" s="587"/>
      <c r="M16" s="577"/>
      <c r="N16" s="561"/>
      <c r="O16" s="560"/>
      <c r="P16" s="327"/>
      <c r="Q16" s="578"/>
      <c r="R16" s="579"/>
    </row>
    <row r="17" spans="1:18" s="311" customFormat="1" ht="46.8" x14ac:dyDescent="0.25">
      <c r="A17" s="647">
        <v>8</v>
      </c>
      <c r="B17" s="650">
        <v>8</v>
      </c>
      <c r="C17" s="651" t="s">
        <v>235</v>
      </c>
      <c r="D17" s="620" t="s">
        <v>198</v>
      </c>
      <c r="E17" s="630">
        <f>Таблица22[[#This Row],[Всього по ДЦ з ПДВ, грн]]-Таблица22[[#This Row],[Матеріали з ПДВ,грн]]</f>
        <v>498158.72</v>
      </c>
      <c r="F17" s="631">
        <v>56430.62</v>
      </c>
      <c r="G17" s="560">
        <v>554589.34</v>
      </c>
      <c r="H17" s="632"/>
      <c r="I17" s="619" t="s">
        <v>214</v>
      </c>
      <c r="J17" s="619"/>
      <c r="K17" s="619"/>
      <c r="L17" s="586" t="s">
        <v>201</v>
      </c>
      <c r="M17" s="577" t="s">
        <v>234</v>
      </c>
      <c r="N17" s="561">
        <v>336962.14</v>
      </c>
      <c r="O17" s="560">
        <f>N17-P17</f>
        <v>284517.54399999999</v>
      </c>
      <c r="P17" s="327">
        <v>52444.595999999998</v>
      </c>
      <c r="Q17" s="581" t="s">
        <v>237</v>
      </c>
      <c r="R17" s="579"/>
    </row>
    <row r="18" spans="1:18" s="311" customFormat="1" ht="46.8" x14ac:dyDescent="0.25">
      <c r="A18" s="647">
        <v>8</v>
      </c>
      <c r="B18" s="650">
        <v>9</v>
      </c>
      <c r="C18" s="651" t="s">
        <v>236</v>
      </c>
      <c r="D18" s="620" t="s">
        <v>226</v>
      </c>
      <c r="E18" s="630">
        <f>Таблица22[[#This Row],[Всього по ДЦ з ПДВ, грн]]-Таблица22[[#This Row],[Матеріали з ПДВ,грн]]</f>
        <v>70564.63</v>
      </c>
      <c r="F18" s="631">
        <v>134686.01999999999</v>
      </c>
      <c r="G18" s="560">
        <v>205250.65</v>
      </c>
      <c r="H18" s="632"/>
      <c r="I18" s="619" t="s">
        <v>214</v>
      </c>
      <c r="J18" s="619"/>
      <c r="K18" s="619"/>
      <c r="L18" s="587"/>
      <c r="M18" s="577"/>
      <c r="N18" s="561"/>
      <c r="O18" s="560"/>
      <c r="P18" s="327"/>
      <c r="Q18" s="578"/>
      <c r="R18" s="579"/>
    </row>
    <row r="19" spans="1:18" s="570" customFormat="1" ht="35.4" customHeight="1" x14ac:dyDescent="0.25">
      <c r="A19" s="647">
        <v>9</v>
      </c>
      <c r="B19" s="652"/>
      <c r="C19" s="649" t="s">
        <v>208</v>
      </c>
      <c r="D19" s="620" t="s">
        <v>207</v>
      </c>
      <c r="E19" s="617">
        <f>Таблица22[[#This Row],[Всього по ДЦ з ПДВ, грн]]-Таблица22[[#This Row],[Матеріали з ПДВ,грн]]</f>
        <v>3477499.16</v>
      </c>
      <c r="F19" s="633">
        <v>7738911.1699999999</v>
      </c>
      <c r="G19" s="634">
        <v>11216410.33</v>
      </c>
      <c r="H19" s="634"/>
      <c r="I19" s="619" t="s">
        <v>214</v>
      </c>
      <c r="J19" s="619"/>
      <c r="K19" s="635"/>
      <c r="L19" s="587"/>
      <c r="M19" s="580"/>
      <c r="N19" s="568"/>
      <c r="O19" s="567"/>
      <c r="P19" s="569"/>
      <c r="Q19" s="581"/>
      <c r="R19" s="582"/>
    </row>
    <row r="20" spans="1:18" s="570" customFormat="1" ht="45" customHeight="1" x14ac:dyDescent="0.25">
      <c r="A20" s="647">
        <v>10</v>
      </c>
      <c r="B20" s="650">
        <v>1</v>
      </c>
      <c r="C20" s="653" t="s">
        <v>209</v>
      </c>
      <c r="D20" s="620" t="s">
        <v>206</v>
      </c>
      <c r="E20" s="636">
        <f>Таблица22[[#This Row],[Всього по ДЦ з ПДВ, грн]]-Таблица22[[#This Row],[Матеріали з ПДВ,грн]]</f>
        <v>240913.76</v>
      </c>
      <c r="F20" s="633">
        <v>549105.22</v>
      </c>
      <c r="G20" s="634">
        <v>790018.98</v>
      </c>
      <c r="H20" s="634"/>
      <c r="I20" s="619" t="s">
        <v>214</v>
      </c>
      <c r="J20" s="619"/>
      <c r="K20" s="624"/>
      <c r="L20" s="587"/>
      <c r="M20" s="580"/>
      <c r="N20" s="568"/>
      <c r="O20" s="567"/>
      <c r="P20" s="569"/>
      <c r="Q20" s="581"/>
      <c r="R20" s="582"/>
    </row>
    <row r="21" spans="1:18" s="570" customFormat="1" ht="48" customHeight="1" x14ac:dyDescent="0.25">
      <c r="A21" s="647">
        <v>11</v>
      </c>
      <c r="B21" s="650">
        <v>2</v>
      </c>
      <c r="C21" s="653" t="s">
        <v>219</v>
      </c>
      <c r="D21" s="620" t="s">
        <v>218</v>
      </c>
      <c r="E21" s="636">
        <f>Таблица22[[#This Row],[Всього по ДЦ з ПДВ, грн]]-Таблица22[[#This Row],[Матеріали з ПДВ,грн]]</f>
        <v>50000.040000000008</v>
      </c>
      <c r="F21" s="631">
        <v>114975</v>
      </c>
      <c r="G21" s="634">
        <v>164975.04000000001</v>
      </c>
      <c r="H21" s="632"/>
      <c r="I21" s="619" t="s">
        <v>214</v>
      </c>
      <c r="J21" s="619"/>
      <c r="K21" s="624"/>
      <c r="L21" s="587"/>
      <c r="M21" s="580"/>
      <c r="N21" s="568"/>
      <c r="O21" s="567"/>
      <c r="P21" s="569"/>
      <c r="Q21" s="581"/>
      <c r="R21" s="582"/>
    </row>
    <row r="22" spans="1:18" s="312" customFormat="1" ht="46.8" customHeight="1" x14ac:dyDescent="0.25">
      <c r="A22" s="647">
        <v>12</v>
      </c>
      <c r="B22" s="637"/>
      <c r="C22" s="651" t="s">
        <v>245</v>
      </c>
      <c r="D22" s="654" t="s">
        <v>243</v>
      </c>
      <c r="E22" s="637">
        <f>Таблица22[[#This Row],[Всього по ДЦ з ПДВ, грн]]-Таблица22[[#This Row],[Матеріали з ПДВ,грн]]</f>
        <v>140865.35999999999</v>
      </c>
      <c r="F22" s="638">
        <v>9613.6299999999992</v>
      </c>
      <c r="G22" s="639">
        <v>150478.99</v>
      </c>
      <c r="H22" s="640"/>
      <c r="I22" s="619" t="s">
        <v>214</v>
      </c>
      <c r="J22" s="641"/>
      <c r="K22" s="642"/>
      <c r="L22" s="587"/>
      <c r="M22" s="583"/>
      <c r="N22" s="573"/>
      <c r="O22" s="572"/>
      <c r="P22" s="574"/>
      <c r="Q22" s="584"/>
      <c r="R22" s="575"/>
    </row>
    <row r="23" spans="1:18" s="312" customFormat="1" ht="27.6" x14ac:dyDescent="0.25">
      <c r="A23" s="647">
        <v>13</v>
      </c>
      <c r="B23" s="637"/>
      <c r="C23" s="651" t="s">
        <v>246</v>
      </c>
      <c r="D23" s="654" t="s">
        <v>224</v>
      </c>
      <c r="E23" s="637">
        <f>Таблица22[[#This Row],[Всього по ДЦ з ПДВ, грн]]-Таблица22[[#This Row],[Матеріали з ПДВ,грн]]</f>
        <v>36380.339999999997</v>
      </c>
      <c r="F23" s="638">
        <v>30857.02</v>
      </c>
      <c r="G23" s="639">
        <v>67237.36</v>
      </c>
      <c r="H23" s="640"/>
      <c r="I23" s="619" t="s">
        <v>214</v>
      </c>
      <c r="J23" s="655"/>
      <c r="K23" s="642"/>
      <c r="L23" s="587"/>
      <c r="M23" s="583"/>
      <c r="N23" s="573"/>
      <c r="O23" s="572"/>
      <c r="P23" s="574"/>
      <c r="Q23" s="584"/>
      <c r="R23" s="575"/>
    </row>
    <row r="24" spans="1:18" s="312" customFormat="1" ht="27.6" x14ac:dyDescent="0.25">
      <c r="A24" s="647">
        <v>17</v>
      </c>
      <c r="B24" s="637"/>
      <c r="C24" s="651" t="s">
        <v>252</v>
      </c>
      <c r="D24" s="654" t="s">
        <v>204</v>
      </c>
      <c r="E24" s="637">
        <v>402382.24</v>
      </c>
      <c r="F24" s="638">
        <v>25973.736000000001</v>
      </c>
      <c r="G24" s="657">
        <f>Таблица22[[#This Row],[Робота з ПДВ,грн]]+Таблица22[[#This Row],[Матеріали з ПДВ,грн]]</f>
        <v>428355.97599999997</v>
      </c>
      <c r="H24" s="643"/>
      <c r="I24" s="619" t="s">
        <v>214</v>
      </c>
      <c r="J24" s="645"/>
      <c r="K24" s="646"/>
      <c r="L24" s="587"/>
      <c r="M24" s="583"/>
      <c r="N24" s="573"/>
      <c r="O24" s="572"/>
      <c r="P24" s="574"/>
      <c r="Q24" s="584"/>
      <c r="R24" s="575"/>
    </row>
    <row r="25" spans="1:18" s="312" customFormat="1" ht="15.6" x14ac:dyDescent="0.25">
      <c r="A25" s="647">
        <v>18</v>
      </c>
      <c r="B25" s="637"/>
      <c r="C25" s="637"/>
      <c r="D25" s="637"/>
      <c r="E25" s="637"/>
      <c r="F25" s="643"/>
      <c r="G25" s="644"/>
      <c r="H25" s="643"/>
      <c r="I25" s="645"/>
      <c r="J25" s="645"/>
      <c r="K25" s="646"/>
      <c r="L25" s="587"/>
      <c r="M25" s="583"/>
      <c r="N25" s="573"/>
      <c r="O25" s="572"/>
      <c r="P25" s="574"/>
      <c r="Q25" s="584"/>
      <c r="R25" s="575"/>
    </row>
    <row r="26" spans="1:18" s="312" customFormat="1" ht="15.6" x14ac:dyDescent="0.25">
      <c r="A26" s="647">
        <v>19</v>
      </c>
      <c r="B26" s="637"/>
      <c r="C26" s="637"/>
      <c r="D26" s="637"/>
      <c r="E26" s="637"/>
      <c r="F26" s="643"/>
      <c r="G26" s="644"/>
      <c r="H26" s="643"/>
      <c r="I26" s="645"/>
      <c r="J26" s="645"/>
      <c r="K26" s="646"/>
      <c r="L26" s="587"/>
      <c r="M26" s="583"/>
      <c r="N26" s="573"/>
      <c r="O26" s="572"/>
      <c r="P26" s="574"/>
      <c r="Q26" s="584"/>
      <c r="R26" s="575"/>
    </row>
    <row r="27" spans="1:18" s="312" customFormat="1" ht="15.6" x14ac:dyDescent="0.25">
      <c r="A27" s="647">
        <v>20</v>
      </c>
      <c r="B27" s="637"/>
      <c r="C27" s="637"/>
      <c r="D27" s="637"/>
      <c r="E27" s="637"/>
      <c r="F27" s="643"/>
      <c r="G27" s="644"/>
      <c r="H27" s="643"/>
      <c r="I27" s="645"/>
      <c r="J27" s="645"/>
      <c r="K27" s="646"/>
      <c r="L27" s="587"/>
      <c r="M27" s="583"/>
      <c r="N27" s="573"/>
      <c r="O27" s="572"/>
      <c r="P27" s="574"/>
      <c r="Q27" s="584"/>
      <c r="R27" s="575"/>
    </row>
    <row r="28" spans="1:18" s="312" customFormat="1" ht="15.6" x14ac:dyDescent="0.25">
      <c r="A28" s="647">
        <v>21</v>
      </c>
      <c r="B28" s="637"/>
      <c r="C28" s="637"/>
      <c r="D28" s="637"/>
      <c r="E28" s="637"/>
      <c r="F28" s="643"/>
      <c r="G28" s="644"/>
      <c r="H28" s="643"/>
      <c r="I28" s="645"/>
      <c r="J28" s="645"/>
      <c r="K28" s="646"/>
      <c r="L28" s="587"/>
      <c r="M28" s="583"/>
      <c r="N28" s="573"/>
      <c r="O28" s="572"/>
      <c r="P28" s="574"/>
      <c r="Q28" s="584"/>
      <c r="R28" s="575"/>
    </row>
    <row r="29" spans="1:18" s="312" customFormat="1" ht="15.6" x14ac:dyDescent="0.25">
      <c r="A29" s="647">
        <v>22</v>
      </c>
      <c r="B29" s="637"/>
      <c r="C29" s="637"/>
      <c r="D29" s="637"/>
      <c r="E29" s="637"/>
      <c r="F29" s="643"/>
      <c r="G29" s="644"/>
      <c r="H29" s="643"/>
      <c r="I29" s="645"/>
      <c r="J29" s="645"/>
      <c r="K29" s="646"/>
      <c r="L29" s="587"/>
      <c r="M29" s="583"/>
      <c r="N29" s="573"/>
      <c r="O29" s="572"/>
      <c r="P29" s="574"/>
      <c r="Q29" s="584"/>
      <c r="R29" s="575"/>
    </row>
    <row r="30" spans="1:18" s="312" customFormat="1" ht="15.6" x14ac:dyDescent="0.25">
      <c r="A30" s="647">
        <v>23</v>
      </c>
      <c r="B30" s="637"/>
      <c r="C30" s="637"/>
      <c r="D30" s="637"/>
      <c r="E30" s="637"/>
      <c r="F30" s="643"/>
      <c r="G30" s="644"/>
      <c r="H30" s="643"/>
      <c r="I30" s="645"/>
      <c r="J30" s="645"/>
      <c r="K30" s="646"/>
      <c r="L30" s="587"/>
      <c r="M30" s="583"/>
      <c r="N30" s="573"/>
      <c r="O30" s="572"/>
      <c r="P30" s="574"/>
      <c r="Q30" s="584"/>
      <c r="R30" s="575"/>
    </row>
    <row r="31" spans="1:18" s="312" customFormat="1" ht="34.200000000000003" customHeight="1" thickBot="1" x14ac:dyDescent="0.3">
      <c r="A31" s="585"/>
      <c r="B31" s="590"/>
      <c r="C31" s="590"/>
      <c r="D31" s="591" t="s">
        <v>119</v>
      </c>
      <c r="E31" s="327">
        <f>Таблица22[[#This Row],[Всього по ДЦ з ПДВ, грн]]-Таблица22[[#This Row],[Матеріали з ПДВ,грн]]</f>
        <v>81393682.214000002</v>
      </c>
      <c r="F31" s="589">
        <f>SUM(F9:F30)</f>
        <v>119943308.03199999</v>
      </c>
      <c r="G31" s="589">
        <f>SUM(G9:G30)</f>
        <v>201336990.24599999</v>
      </c>
      <c r="H31" s="589">
        <f>SUM(H9:H30)</f>
        <v>0</v>
      </c>
      <c r="I31" s="589"/>
      <c r="J31" s="592" t="s">
        <v>5</v>
      </c>
      <c r="K31" s="593"/>
      <c r="L31" s="588"/>
      <c r="M31" s="563"/>
      <c r="N31" s="564">
        <f>SUM(N9:N21)</f>
        <v>1901846.56</v>
      </c>
      <c r="O31" s="564">
        <f>SUM(O9:O21)</f>
        <v>1774365.5799999998</v>
      </c>
      <c r="P31" s="564">
        <f>SUM(P9:P21)</f>
        <v>127480.97999999998</v>
      </c>
      <c r="Q31" s="565" t="s">
        <v>5</v>
      </c>
      <c r="R31" s="566"/>
    </row>
    <row r="32" spans="1:18" s="312" customFormat="1" ht="17.25" customHeight="1" x14ac:dyDescent="0.25">
      <c r="B32" s="313"/>
      <c r="C32" s="313"/>
      <c r="D32" s="314"/>
      <c r="E32" s="314"/>
      <c r="F32" s="314"/>
      <c r="G32" s="315"/>
      <c r="H32" s="315"/>
      <c r="I32" s="315"/>
      <c r="J32" s="316"/>
      <c r="M32" s="314"/>
      <c r="N32" s="315"/>
      <c r="O32" s="315"/>
      <c r="P32" s="315"/>
      <c r="Q32" s="316"/>
    </row>
    <row r="33" spans="2:17" s="312" customFormat="1" ht="17.25" customHeight="1" x14ac:dyDescent="0.25">
      <c r="B33" s="313"/>
      <c r="C33" s="313"/>
      <c r="D33" s="314"/>
      <c r="E33" s="314"/>
      <c r="F33" s="314"/>
      <c r="G33" s="317"/>
      <c r="H33" s="317"/>
      <c r="I33" s="317"/>
      <c r="J33" s="316"/>
      <c r="M33" s="314"/>
      <c r="N33" s="317"/>
      <c r="O33" s="317"/>
      <c r="P33" s="317"/>
      <c r="Q33" s="316"/>
    </row>
    <row r="34" spans="2:17" s="322" customFormat="1" x14ac:dyDescent="0.25">
      <c r="B34" s="318"/>
      <c r="C34" s="318"/>
      <c r="D34" s="319"/>
      <c r="E34" s="319"/>
      <c r="F34" s="319"/>
      <c r="G34" s="320"/>
      <c r="H34" s="320"/>
      <c r="I34" s="320"/>
      <c r="J34" s="321"/>
      <c r="M34" s="319"/>
      <c r="N34" s="320"/>
      <c r="O34" s="320"/>
      <c r="P34" s="320"/>
      <c r="Q34" s="321"/>
    </row>
    <row r="35" spans="2:17" s="322" customFormat="1" x14ac:dyDescent="0.25">
      <c r="B35" s="323"/>
      <c r="C35" s="323"/>
      <c r="D35" s="314"/>
      <c r="E35" s="314"/>
      <c r="F35" s="314"/>
      <c r="G35" s="320"/>
      <c r="H35" s="320"/>
      <c r="I35" s="320"/>
      <c r="J35" s="312"/>
      <c r="M35" s="314"/>
      <c r="N35" s="320"/>
      <c r="O35" s="320"/>
      <c r="P35" s="320"/>
      <c r="Q35" s="312"/>
    </row>
    <row r="36" spans="2:17" x14ac:dyDescent="0.25">
      <c r="B36" s="322"/>
      <c r="C36" s="322"/>
      <c r="D36" s="322"/>
      <c r="E36" s="322"/>
      <c r="F36" s="322"/>
      <c r="G36" s="324"/>
      <c r="H36" s="324"/>
      <c r="I36" s="324"/>
      <c r="J36" s="322"/>
      <c r="M36" s="322"/>
      <c r="N36" s="324"/>
      <c r="O36" s="324"/>
      <c r="P36" s="324"/>
      <c r="Q36" s="322"/>
    </row>
    <row r="37" spans="2:17" x14ac:dyDescent="0.25">
      <c r="B37" s="322"/>
      <c r="C37" s="322"/>
      <c r="D37" s="322"/>
      <c r="E37" s="322"/>
      <c r="F37" s="322"/>
      <c r="G37" s="324"/>
      <c r="H37" s="324"/>
      <c r="I37" s="324"/>
      <c r="J37" s="322"/>
      <c r="M37" s="322"/>
      <c r="N37" s="324"/>
      <c r="O37" s="324"/>
      <c r="P37" s="324"/>
      <c r="Q37" s="322"/>
    </row>
  </sheetData>
  <dataConsolidate/>
  <mergeCells count="6">
    <mergeCell ref="L6:R6"/>
    <mergeCell ref="B7:G7"/>
    <mergeCell ref="B1:D1"/>
    <mergeCell ref="B2:D2"/>
    <mergeCell ref="B4:J4"/>
    <mergeCell ref="B6:J6"/>
  </mergeCells>
  <phoneticPr fontId="41" type="noConversion"/>
  <pageMargins left="0.31496062992125984" right="0.15748031496062992" top="0.35433070866141736" bottom="0.15748031496062992" header="0.6692913385826772" footer="0.15748031496062992"/>
  <pageSetup paperSize="9" scale="41" orientation="landscape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J90"/>
  <sheetViews>
    <sheetView tabSelected="1" showWhiteSpace="0" topLeftCell="A12" zoomScaleNormal="100" zoomScaleSheetLayoutView="80" workbookViewId="0">
      <selection activeCell="E38" activeCellId="3" sqref="I38:I73 I12 E12 E38:E73"/>
    </sheetView>
  </sheetViews>
  <sheetFormatPr defaultColWidth="9.109375" defaultRowHeight="12" x14ac:dyDescent="0.25"/>
  <cols>
    <col min="1" max="1" width="5.6640625" style="330" customWidth="1"/>
    <col min="2" max="2" width="31.33203125" style="330" customWidth="1"/>
    <col min="3" max="3" width="12.5546875" style="363" customWidth="1"/>
    <col min="4" max="4" width="19.44140625" style="364" customWidth="1"/>
    <col min="5" max="5" width="6.5546875" style="365" customWidth="1"/>
    <col min="6" max="6" width="16.77734375" style="365" customWidth="1"/>
    <col min="7" max="7" width="28.21875" style="365" customWidth="1"/>
    <col min="8" max="8" width="6" style="365" customWidth="1"/>
    <col min="9" max="9" width="14" style="330" customWidth="1"/>
    <col min="10" max="10" width="16.77734375" style="330" customWidth="1"/>
    <col min="11" max="11" width="13.33203125" style="330" customWidth="1"/>
    <col min="12" max="12" width="16.44140625" style="330" customWidth="1"/>
    <col min="13" max="13" width="28.44140625" style="330" customWidth="1"/>
    <col min="14" max="14" width="20.5546875" style="330" customWidth="1"/>
    <col min="15" max="16384" width="9.109375" style="330"/>
  </cols>
  <sheetData>
    <row r="1" spans="1:36" ht="16.8" customHeight="1" x14ac:dyDescent="0.25"/>
    <row r="2" spans="1:36" ht="59.4" customHeight="1" x14ac:dyDescent="0.25">
      <c r="A2" s="848" t="s">
        <v>194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</row>
    <row r="3" spans="1:36" ht="15" customHeight="1" thickBot="1" x14ac:dyDescent="0.3">
      <c r="A3" s="331"/>
      <c r="B3" s="606"/>
      <c r="C3" s="606"/>
      <c r="D3" s="607"/>
      <c r="E3" s="608"/>
      <c r="F3" s="608"/>
      <c r="G3" s="608"/>
      <c r="H3" s="608"/>
      <c r="I3" s="609"/>
      <c r="J3" s="609"/>
      <c r="K3" s="609"/>
    </row>
    <row r="4" spans="1:36" ht="17.399999999999999" customHeight="1" x14ac:dyDescent="0.25">
      <c r="A4" s="830"/>
      <c r="B4" s="833" t="s">
        <v>190</v>
      </c>
      <c r="C4" s="836" t="s">
        <v>122</v>
      </c>
      <c r="D4" s="836"/>
      <c r="E4" s="864" t="s">
        <v>188</v>
      </c>
      <c r="F4" s="865"/>
      <c r="G4" s="865"/>
      <c r="H4" s="875" t="s">
        <v>126</v>
      </c>
      <c r="I4" s="876"/>
      <c r="J4" s="876"/>
      <c r="K4" s="876"/>
      <c r="L4" s="861"/>
    </row>
    <row r="5" spans="1:36" ht="21" hidden="1" customHeight="1" x14ac:dyDescent="0.25">
      <c r="A5" s="831"/>
      <c r="B5" s="834"/>
      <c r="C5" s="837"/>
      <c r="D5" s="837"/>
      <c r="E5" s="837"/>
      <c r="F5" s="837"/>
      <c r="G5" s="838"/>
      <c r="H5" s="877"/>
      <c r="I5" s="878"/>
      <c r="J5" s="878"/>
      <c r="K5" s="878"/>
      <c r="L5" s="862"/>
    </row>
    <row r="6" spans="1:36" ht="30" hidden="1" customHeight="1" thickBot="1" x14ac:dyDescent="0.3">
      <c r="A6" s="832"/>
      <c r="B6" s="835"/>
      <c r="C6" s="545" t="s">
        <v>127</v>
      </c>
      <c r="D6" s="555" t="s">
        <v>128</v>
      </c>
      <c r="E6" s="601" t="s">
        <v>129</v>
      </c>
      <c r="F6" s="601" t="s">
        <v>130</v>
      </c>
      <c r="G6" s="601" t="s">
        <v>189</v>
      </c>
      <c r="H6" s="601"/>
      <c r="I6" s="602" t="s">
        <v>16</v>
      </c>
      <c r="J6" s="603" t="s">
        <v>25</v>
      </c>
      <c r="K6" s="604" t="s">
        <v>15</v>
      </c>
      <c r="L6" s="863"/>
    </row>
    <row r="7" spans="1:36" s="345" customFormat="1" ht="24.6" hidden="1" customHeight="1" x14ac:dyDescent="0.25">
      <c r="A7" s="866">
        <v>1</v>
      </c>
      <c r="B7" s="839" t="s">
        <v>192</v>
      </c>
      <c r="C7" s="873" t="s">
        <v>53</v>
      </c>
      <c r="D7" s="871">
        <f>'ДЦ Замовник'!G9</f>
        <v>20014627.07</v>
      </c>
      <c r="E7" s="660">
        <v>1</v>
      </c>
      <c r="F7" s="661">
        <v>1104052.82</v>
      </c>
      <c r="G7" s="662" t="s">
        <v>191</v>
      </c>
      <c r="H7" s="660">
        <v>1</v>
      </c>
      <c r="I7" s="663">
        <f>F7</f>
        <v>1104052.82</v>
      </c>
      <c r="J7" s="664">
        <f>I7-K7</f>
        <v>1104052.82</v>
      </c>
      <c r="K7" s="665">
        <v>0</v>
      </c>
      <c r="L7" s="666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0"/>
      <c r="X7" s="340"/>
      <c r="Y7" s="340"/>
      <c r="Z7" s="340"/>
      <c r="AA7" s="340"/>
      <c r="AB7" s="340"/>
      <c r="AC7" s="340"/>
      <c r="AD7" s="340"/>
      <c r="AE7" s="340"/>
      <c r="AF7" s="340"/>
      <c r="AG7" s="340"/>
      <c r="AH7" s="340"/>
      <c r="AI7" s="340"/>
      <c r="AJ7" s="340"/>
    </row>
    <row r="8" spans="1:36" s="345" customFormat="1" ht="13.8" hidden="1" x14ac:dyDescent="0.25">
      <c r="A8" s="867"/>
      <c r="B8" s="840"/>
      <c r="C8" s="874"/>
      <c r="D8" s="872"/>
      <c r="E8" s="670">
        <v>3</v>
      </c>
      <c r="F8" s="671">
        <v>2033549.68</v>
      </c>
      <c r="G8" s="672" t="s">
        <v>191</v>
      </c>
      <c r="H8" s="670">
        <v>3</v>
      </c>
      <c r="I8" s="673">
        <v>2033549.68</v>
      </c>
      <c r="J8" s="673">
        <v>2033549.68</v>
      </c>
      <c r="K8" s="674"/>
      <c r="L8" s="675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</row>
    <row r="9" spans="1:36" s="345" customFormat="1" ht="13.2" hidden="1" x14ac:dyDescent="0.25">
      <c r="A9" s="867"/>
      <c r="B9" s="840"/>
      <c r="C9" s="874"/>
      <c r="D9" s="872"/>
      <c r="E9" s="670">
        <v>6</v>
      </c>
      <c r="F9" s="671">
        <v>1313878.48</v>
      </c>
      <c r="G9" s="672" t="s">
        <v>191</v>
      </c>
      <c r="H9" s="670">
        <v>6</v>
      </c>
      <c r="I9" s="676">
        <v>1313878.48</v>
      </c>
      <c r="J9" s="672">
        <v>1313878.48</v>
      </c>
      <c r="K9" s="674"/>
      <c r="L9" s="675"/>
      <c r="M9" s="340"/>
      <c r="N9" s="763" t="s">
        <v>269</v>
      </c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</row>
    <row r="10" spans="1:36" s="345" customFormat="1" ht="13.2" hidden="1" x14ac:dyDescent="0.25">
      <c r="A10" s="867"/>
      <c r="B10" s="840"/>
      <c r="C10" s="874"/>
      <c r="D10" s="872"/>
      <c r="E10" s="670">
        <v>8</v>
      </c>
      <c r="F10" s="671">
        <v>199967</v>
      </c>
      <c r="G10" s="672" t="s">
        <v>191</v>
      </c>
      <c r="H10" s="670">
        <v>8</v>
      </c>
      <c r="I10" s="676">
        <f>F10</f>
        <v>199967</v>
      </c>
      <c r="J10" s="672">
        <f>I10-K10</f>
        <v>199967</v>
      </c>
      <c r="K10" s="674"/>
      <c r="L10" s="675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</row>
    <row r="11" spans="1:36" s="345" customFormat="1" ht="13.2" hidden="1" x14ac:dyDescent="0.25">
      <c r="A11" s="867"/>
      <c r="B11" s="840"/>
      <c r="C11" s="874"/>
      <c r="D11" s="872"/>
      <c r="E11" s="670">
        <v>11</v>
      </c>
      <c r="F11" s="671">
        <v>1611409.02</v>
      </c>
      <c r="G11" s="672" t="s">
        <v>191</v>
      </c>
      <c r="H11" s="670">
        <v>11</v>
      </c>
      <c r="I11" s="676">
        <f>F11</f>
        <v>1611409.02</v>
      </c>
      <c r="J11" s="672">
        <f>I11-K11</f>
        <v>1611409.02</v>
      </c>
      <c r="K11" s="674"/>
      <c r="L11" s="675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</row>
    <row r="12" spans="1:36" s="345" customFormat="1" ht="13.8" thickBot="1" x14ac:dyDescent="0.3">
      <c r="A12" s="867"/>
      <c r="B12" s="840"/>
      <c r="C12" s="874"/>
      <c r="D12" s="872"/>
      <c r="E12" s="677">
        <v>29</v>
      </c>
      <c r="F12" s="678">
        <v>351066</v>
      </c>
      <c r="G12" s="679" t="s">
        <v>253</v>
      </c>
      <c r="H12" s="680">
        <v>29</v>
      </c>
      <c r="I12" s="678">
        <f t="shared" ref="I12" si="0">F12</f>
        <v>351066</v>
      </c>
      <c r="J12" s="678">
        <f t="shared" ref="J12" si="1">I12-K12</f>
        <v>351066</v>
      </c>
      <c r="K12" s="678">
        <v>0</v>
      </c>
      <c r="L12" s="681">
        <v>45456</v>
      </c>
      <c r="M12" s="330" t="s">
        <v>257</v>
      </c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340"/>
      <c r="AI12" s="340"/>
      <c r="AJ12" s="340"/>
    </row>
    <row r="13" spans="1:36" s="345" customFormat="1" ht="13.8" thickBot="1" x14ac:dyDescent="0.3">
      <c r="A13" s="867"/>
      <c r="B13" s="840"/>
      <c r="C13" s="874"/>
      <c r="D13" s="872"/>
      <c r="E13" s="677">
        <v>34</v>
      </c>
      <c r="F13" s="678"/>
      <c r="G13" s="679" t="s">
        <v>267</v>
      </c>
      <c r="H13" s="680">
        <v>34</v>
      </c>
      <c r="I13" s="678"/>
      <c r="J13" s="678"/>
      <c r="K13" s="678"/>
      <c r="L13" s="681"/>
      <c r="M13" s="330" t="s">
        <v>268</v>
      </c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</row>
    <row r="14" spans="1:36" s="345" customFormat="1" ht="13.8" thickBot="1" x14ac:dyDescent="0.3">
      <c r="A14" s="867"/>
      <c r="B14" s="840"/>
      <c r="C14" s="874"/>
      <c r="D14" s="872"/>
      <c r="E14" s="677">
        <v>35</v>
      </c>
      <c r="F14" s="678"/>
      <c r="G14" s="679" t="s">
        <v>267</v>
      </c>
      <c r="H14" s="680">
        <v>35</v>
      </c>
      <c r="I14" s="678"/>
      <c r="J14" s="678"/>
      <c r="K14" s="678"/>
      <c r="L14" s="681"/>
      <c r="M14" s="330" t="s">
        <v>268</v>
      </c>
      <c r="N14" s="330"/>
      <c r="O14" s="340"/>
      <c r="P14" s="340"/>
      <c r="Q14" s="340"/>
      <c r="R14" s="340"/>
      <c r="S14" s="340"/>
      <c r="T14" s="340"/>
      <c r="U14" s="340"/>
      <c r="V14" s="340"/>
      <c r="W14" s="340"/>
      <c r="X14" s="340"/>
      <c r="Y14" s="340"/>
      <c r="Z14" s="340"/>
      <c r="AA14" s="340"/>
      <c r="AB14" s="340"/>
      <c r="AC14" s="340"/>
      <c r="AD14" s="340"/>
      <c r="AE14" s="340"/>
      <c r="AF14" s="340"/>
      <c r="AG14" s="340"/>
      <c r="AH14" s="340"/>
      <c r="AI14" s="340"/>
      <c r="AJ14" s="340"/>
    </row>
    <row r="15" spans="1:36" s="345" customFormat="1" ht="12" hidden="1" customHeight="1" x14ac:dyDescent="0.25">
      <c r="A15" s="866">
        <v>2</v>
      </c>
      <c r="B15" s="839" t="s">
        <v>193</v>
      </c>
      <c r="C15" s="868" t="s">
        <v>53</v>
      </c>
      <c r="D15" s="871">
        <f>'ДЦ Замовник'!G10</f>
        <v>162902614.16</v>
      </c>
      <c r="E15" s="660">
        <v>2</v>
      </c>
      <c r="F15" s="682">
        <v>1727848.62</v>
      </c>
      <c r="G15" s="683" t="s">
        <v>191</v>
      </c>
      <c r="H15" s="660">
        <v>2</v>
      </c>
      <c r="I15" s="684">
        <f>F15</f>
        <v>1727848.62</v>
      </c>
      <c r="J15" s="664">
        <v>591098.65</v>
      </c>
      <c r="K15" s="685">
        <f>I15-J15</f>
        <v>1136749.9700000002</v>
      </c>
      <c r="L15" s="686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</row>
    <row r="16" spans="1:36" s="345" customFormat="1" ht="13.8" hidden="1" x14ac:dyDescent="0.25">
      <c r="A16" s="867"/>
      <c r="B16" s="840"/>
      <c r="C16" s="869"/>
      <c r="D16" s="872"/>
      <c r="E16" s="687">
        <v>4</v>
      </c>
      <c r="F16" s="671">
        <v>1624658.88</v>
      </c>
      <c r="G16" s="673" t="s">
        <v>191</v>
      </c>
      <c r="H16" s="687">
        <v>4</v>
      </c>
      <c r="I16" s="688">
        <v>1624658.88</v>
      </c>
      <c r="J16" s="672">
        <v>554629.63</v>
      </c>
      <c r="K16" s="689">
        <f>I16-J16</f>
        <v>1070029.25</v>
      </c>
      <c r="L16" s="675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</row>
    <row r="17" spans="1:36" s="345" customFormat="1" ht="13.8" hidden="1" x14ac:dyDescent="0.25">
      <c r="A17" s="867"/>
      <c r="B17" s="840"/>
      <c r="C17" s="869"/>
      <c r="D17" s="872"/>
      <c r="E17" s="687">
        <v>5</v>
      </c>
      <c r="F17" s="690">
        <v>3749612.99</v>
      </c>
      <c r="G17" s="673" t="s">
        <v>191</v>
      </c>
      <c r="H17" s="687">
        <v>5</v>
      </c>
      <c r="I17" s="688">
        <f>F17</f>
        <v>3749612.99</v>
      </c>
      <c r="J17" s="672">
        <v>1363957.02</v>
      </c>
      <c r="K17" s="689">
        <f>I17-J17</f>
        <v>2385655.9700000002</v>
      </c>
      <c r="L17" s="675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</row>
    <row r="18" spans="1:36" s="345" customFormat="1" ht="13.8" hidden="1" x14ac:dyDescent="0.25">
      <c r="A18" s="867"/>
      <c r="B18" s="840"/>
      <c r="C18" s="869"/>
      <c r="D18" s="872"/>
      <c r="E18" s="670">
        <v>7</v>
      </c>
      <c r="F18" s="671">
        <v>2005376.27</v>
      </c>
      <c r="G18" s="673" t="s">
        <v>191</v>
      </c>
      <c r="H18" s="670">
        <v>7</v>
      </c>
      <c r="I18" s="688">
        <f>F18</f>
        <v>2005376.27</v>
      </c>
      <c r="J18" s="672">
        <v>754584.78</v>
      </c>
      <c r="K18" s="689">
        <f>I18-J18</f>
        <v>1250791.49</v>
      </c>
      <c r="L18" s="675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</row>
    <row r="19" spans="1:36" s="345" customFormat="1" ht="13.8" hidden="1" x14ac:dyDescent="0.25">
      <c r="A19" s="867"/>
      <c r="B19" s="840"/>
      <c r="C19" s="869"/>
      <c r="D19" s="872"/>
      <c r="E19" s="670">
        <v>9</v>
      </c>
      <c r="F19" s="671">
        <v>69765.179999999993</v>
      </c>
      <c r="G19" s="673" t="s">
        <v>191</v>
      </c>
      <c r="H19" s="670">
        <v>9</v>
      </c>
      <c r="I19" s="688">
        <v>69765.179999999993</v>
      </c>
      <c r="J19" s="672">
        <f t="shared" ref="J19:J26" si="2">I19-K19</f>
        <v>46304.599999999991</v>
      </c>
      <c r="K19" s="689">
        <v>23460.58</v>
      </c>
      <c r="L19" s="675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</row>
    <row r="20" spans="1:36" s="345" customFormat="1" ht="13.2" hidden="1" x14ac:dyDescent="0.25">
      <c r="A20" s="867"/>
      <c r="B20" s="840"/>
      <c r="C20" s="869"/>
      <c r="D20" s="872"/>
      <c r="E20" s="670">
        <v>10</v>
      </c>
      <c r="F20" s="671">
        <v>2279032.85</v>
      </c>
      <c r="G20" s="672" t="s">
        <v>191</v>
      </c>
      <c r="H20" s="670">
        <v>10</v>
      </c>
      <c r="I20" s="691">
        <v>2279032.85</v>
      </c>
      <c r="J20" s="672">
        <f t="shared" si="2"/>
        <v>782671.01</v>
      </c>
      <c r="K20" s="689">
        <v>1496361.84</v>
      </c>
      <c r="L20" s="675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  <c r="AE20" s="340"/>
      <c r="AF20" s="340"/>
      <c r="AG20" s="340"/>
      <c r="AH20" s="340"/>
      <c r="AI20" s="340"/>
      <c r="AJ20" s="340"/>
    </row>
    <row r="21" spans="1:36" s="345" customFormat="1" ht="13.2" hidden="1" x14ac:dyDescent="0.25">
      <c r="A21" s="867"/>
      <c r="B21" s="840"/>
      <c r="C21" s="869"/>
      <c r="D21" s="872"/>
      <c r="E21" s="670">
        <v>12</v>
      </c>
      <c r="F21" s="671">
        <v>1660579.03</v>
      </c>
      <c r="G21" s="692" t="s">
        <v>191</v>
      </c>
      <c r="H21" s="670">
        <v>12</v>
      </c>
      <c r="I21" s="691">
        <f t="shared" ref="I21:I53" si="3">F21</f>
        <v>1660579.03</v>
      </c>
      <c r="J21" s="672">
        <f t="shared" si="2"/>
        <v>413252.53</v>
      </c>
      <c r="K21" s="693">
        <f>1039438.75*1.2</f>
        <v>1247326.5</v>
      </c>
      <c r="L21" s="675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</row>
    <row r="22" spans="1:36" s="345" customFormat="1" ht="13.2" hidden="1" x14ac:dyDescent="0.25">
      <c r="A22" s="867"/>
      <c r="B22" s="840"/>
      <c r="C22" s="869"/>
      <c r="D22" s="872"/>
      <c r="E22" s="670">
        <v>13</v>
      </c>
      <c r="F22" s="671">
        <v>2493224.0499999998</v>
      </c>
      <c r="G22" s="692" t="s">
        <v>191</v>
      </c>
      <c r="H22" s="670">
        <v>13</v>
      </c>
      <c r="I22" s="691">
        <f t="shared" si="3"/>
        <v>2493224.0499999998</v>
      </c>
      <c r="J22" s="672">
        <f t="shared" si="2"/>
        <v>670807.69999999972</v>
      </c>
      <c r="K22" s="689">
        <v>1822416.35</v>
      </c>
      <c r="L22" s="675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  <c r="AE22" s="340"/>
      <c r="AF22" s="340"/>
      <c r="AG22" s="340"/>
      <c r="AH22" s="340"/>
      <c r="AI22" s="340"/>
      <c r="AJ22" s="340"/>
    </row>
    <row r="23" spans="1:36" s="345" customFormat="1" ht="13.2" hidden="1" x14ac:dyDescent="0.25">
      <c r="A23" s="867"/>
      <c r="B23" s="840"/>
      <c r="C23" s="869"/>
      <c r="D23" s="872"/>
      <c r="E23" s="694">
        <v>14</v>
      </c>
      <c r="F23" s="671">
        <v>3270399.41</v>
      </c>
      <c r="G23" s="692" t="s">
        <v>191</v>
      </c>
      <c r="H23" s="694">
        <v>14</v>
      </c>
      <c r="I23" s="695">
        <f t="shared" si="3"/>
        <v>3270399.41</v>
      </c>
      <c r="J23" s="672">
        <f t="shared" si="2"/>
        <v>1331652.8700000001</v>
      </c>
      <c r="K23" s="689">
        <v>1938746.54</v>
      </c>
      <c r="L23" s="675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</row>
    <row r="24" spans="1:36" s="345" customFormat="1" ht="13.2" hidden="1" x14ac:dyDescent="0.25">
      <c r="A24" s="867"/>
      <c r="B24" s="840"/>
      <c r="C24" s="869"/>
      <c r="D24" s="872"/>
      <c r="E24" s="694">
        <v>15</v>
      </c>
      <c r="F24" s="671">
        <v>118627.25</v>
      </c>
      <c r="G24" s="692" t="s">
        <v>191</v>
      </c>
      <c r="H24" s="694">
        <v>15</v>
      </c>
      <c r="I24" s="695">
        <f t="shared" si="3"/>
        <v>118627.25</v>
      </c>
      <c r="J24" s="672">
        <f t="shared" si="2"/>
        <v>54300.18</v>
      </c>
      <c r="K24" s="689">
        <v>64327.07</v>
      </c>
      <c r="L24" s="675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</row>
    <row r="25" spans="1:36" s="345" customFormat="1" ht="13.2" hidden="1" x14ac:dyDescent="0.25">
      <c r="A25" s="867"/>
      <c r="B25" s="840"/>
      <c r="C25" s="869"/>
      <c r="D25" s="872"/>
      <c r="E25" s="696">
        <v>16</v>
      </c>
      <c r="F25" s="671">
        <v>140758.31</v>
      </c>
      <c r="G25" s="692" t="s">
        <v>191</v>
      </c>
      <c r="H25" s="696">
        <v>16</v>
      </c>
      <c r="I25" s="691">
        <f t="shared" si="3"/>
        <v>140758.31</v>
      </c>
      <c r="J25" s="672">
        <f t="shared" si="2"/>
        <v>75375.73</v>
      </c>
      <c r="K25" s="689">
        <v>65382.58</v>
      </c>
      <c r="L25" s="675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0"/>
    </row>
    <row r="26" spans="1:36" s="345" customFormat="1" ht="13.2" hidden="1" x14ac:dyDescent="0.25">
      <c r="A26" s="867"/>
      <c r="B26" s="840"/>
      <c r="C26" s="869"/>
      <c r="D26" s="872"/>
      <c r="E26" s="696">
        <v>17</v>
      </c>
      <c r="F26" s="671">
        <v>1287044.8600000001</v>
      </c>
      <c r="G26" s="692" t="s">
        <v>191</v>
      </c>
      <c r="H26" s="696">
        <v>17</v>
      </c>
      <c r="I26" s="691">
        <f t="shared" si="3"/>
        <v>1287044.8600000001</v>
      </c>
      <c r="J26" s="672">
        <f t="shared" si="2"/>
        <v>629179.07000000007</v>
      </c>
      <c r="K26" s="689">
        <v>657865.79</v>
      </c>
      <c r="L26" s="675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  <c r="AA26" s="340"/>
      <c r="AB26" s="340"/>
      <c r="AC26" s="340"/>
      <c r="AD26" s="340"/>
      <c r="AE26" s="340"/>
      <c r="AF26" s="340"/>
      <c r="AG26" s="340"/>
      <c r="AH26" s="340"/>
      <c r="AI26" s="340"/>
      <c r="AJ26" s="340"/>
    </row>
    <row r="27" spans="1:36" s="345" customFormat="1" ht="13.2" hidden="1" x14ac:dyDescent="0.25">
      <c r="A27" s="867"/>
      <c r="B27" s="840"/>
      <c r="C27" s="869"/>
      <c r="D27" s="872"/>
      <c r="E27" s="696">
        <v>18</v>
      </c>
      <c r="F27" s="690">
        <v>609343.34</v>
      </c>
      <c r="G27" s="692" t="s">
        <v>191</v>
      </c>
      <c r="H27" s="696">
        <v>18</v>
      </c>
      <c r="I27" s="691">
        <f t="shared" si="3"/>
        <v>609343.34</v>
      </c>
      <c r="J27" s="672">
        <f t="shared" ref="J27:J33" si="4">I27-K27</f>
        <v>197687.83999999997</v>
      </c>
      <c r="K27" s="689">
        <v>411655.5</v>
      </c>
      <c r="L27" s="675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  <c r="AA27" s="340"/>
      <c r="AB27" s="340"/>
      <c r="AC27" s="340"/>
      <c r="AD27" s="340"/>
      <c r="AE27" s="340"/>
      <c r="AF27" s="340"/>
      <c r="AG27" s="340"/>
      <c r="AH27" s="340"/>
      <c r="AI27" s="340"/>
      <c r="AJ27" s="340"/>
    </row>
    <row r="28" spans="1:36" s="345" customFormat="1" ht="13.2" hidden="1" x14ac:dyDescent="0.25">
      <c r="A28" s="867"/>
      <c r="B28" s="840"/>
      <c r="C28" s="870"/>
      <c r="D28" s="872"/>
      <c r="E28" s="696">
        <v>19</v>
      </c>
      <c r="F28" s="671">
        <v>753745</v>
      </c>
      <c r="G28" s="692" t="s">
        <v>191</v>
      </c>
      <c r="H28" s="696">
        <v>19</v>
      </c>
      <c r="I28" s="698">
        <f t="shared" si="3"/>
        <v>753745</v>
      </c>
      <c r="J28" s="672">
        <f t="shared" si="4"/>
        <v>259424.5</v>
      </c>
      <c r="K28" s="689">
        <v>494320.5</v>
      </c>
      <c r="L28" s="675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</row>
    <row r="29" spans="1:36" s="345" customFormat="1" ht="13.2" hidden="1" x14ac:dyDescent="0.25">
      <c r="A29" s="867"/>
      <c r="B29" s="840"/>
      <c r="C29" s="870"/>
      <c r="D29" s="872"/>
      <c r="E29" s="670">
        <v>20</v>
      </c>
      <c r="F29" s="671">
        <v>16538270.630000001</v>
      </c>
      <c r="G29" s="672" t="s">
        <v>191</v>
      </c>
      <c r="H29" s="699">
        <v>20</v>
      </c>
      <c r="I29" s="692">
        <f t="shared" si="3"/>
        <v>16538270.630000001</v>
      </c>
      <c r="J29" s="672">
        <f t="shared" si="4"/>
        <v>5351713.7200000007</v>
      </c>
      <c r="K29" s="689">
        <v>11186556.91</v>
      </c>
      <c r="L29" s="675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</row>
    <row r="30" spans="1:36" s="345" customFormat="1" ht="15.6" hidden="1" x14ac:dyDescent="0.25">
      <c r="A30" s="667"/>
      <c r="B30" s="668"/>
      <c r="C30" s="697"/>
      <c r="D30" s="669"/>
      <c r="E30" s="700">
        <v>21</v>
      </c>
      <c r="F30" s="701">
        <v>4337508.26</v>
      </c>
      <c r="G30" s="702" t="s">
        <v>191</v>
      </c>
      <c r="H30" s="703">
        <v>21</v>
      </c>
      <c r="I30" s="702">
        <f>F30</f>
        <v>4337508.26</v>
      </c>
      <c r="J30" s="702">
        <f t="shared" si="4"/>
        <v>1978438.7999999998</v>
      </c>
      <c r="K30" s="704">
        <v>2359069.46</v>
      </c>
      <c r="L30" s="705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</row>
    <row r="31" spans="1:36" s="345" customFormat="1" ht="15.6" hidden="1" x14ac:dyDescent="0.25">
      <c r="A31" s="667"/>
      <c r="B31" s="668"/>
      <c r="C31" s="697"/>
      <c r="D31" s="669"/>
      <c r="E31" s="700">
        <v>22</v>
      </c>
      <c r="F31" s="701">
        <v>385970.59</v>
      </c>
      <c r="G31" s="702" t="s">
        <v>191</v>
      </c>
      <c r="H31" s="703">
        <v>22</v>
      </c>
      <c r="I31" s="702">
        <f t="shared" ref="I31" si="5">F31</f>
        <v>385970.59</v>
      </c>
      <c r="J31" s="702">
        <f t="shared" si="4"/>
        <v>139764.51400000002</v>
      </c>
      <c r="K31" s="704">
        <v>246206.076</v>
      </c>
      <c r="L31" s="705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</row>
    <row r="32" spans="1:36" s="345" customFormat="1" ht="15.6" hidden="1" x14ac:dyDescent="0.25">
      <c r="A32" s="667"/>
      <c r="B32" s="668"/>
      <c r="C32" s="697"/>
      <c r="D32" s="669"/>
      <c r="E32" s="670">
        <v>23</v>
      </c>
      <c r="F32" s="671">
        <v>161785.29999999999</v>
      </c>
      <c r="G32" s="672" t="s">
        <v>191</v>
      </c>
      <c r="H32" s="699">
        <v>23</v>
      </c>
      <c r="I32" s="672">
        <f>F32</f>
        <v>161785.29999999999</v>
      </c>
      <c r="J32" s="672">
        <f t="shared" si="4"/>
        <v>47278.799999999988</v>
      </c>
      <c r="K32" s="672">
        <v>114506.5</v>
      </c>
      <c r="L32" s="705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  <c r="AA32" s="340"/>
      <c r="AB32" s="340"/>
      <c r="AC32" s="340"/>
      <c r="AD32" s="340"/>
      <c r="AE32" s="340"/>
      <c r="AF32" s="340"/>
      <c r="AG32" s="340"/>
      <c r="AH32" s="340"/>
      <c r="AI32" s="340"/>
      <c r="AJ32" s="340"/>
    </row>
    <row r="33" spans="1:36" s="345" customFormat="1" ht="15.6" hidden="1" x14ac:dyDescent="0.25">
      <c r="A33" s="667"/>
      <c r="B33" s="668"/>
      <c r="C33" s="697"/>
      <c r="D33" s="669"/>
      <c r="E33" s="700">
        <v>24</v>
      </c>
      <c r="F33" s="701">
        <v>934814.87</v>
      </c>
      <c r="G33" s="672" t="s">
        <v>191</v>
      </c>
      <c r="H33" s="703">
        <v>24</v>
      </c>
      <c r="I33" s="702">
        <f>F33</f>
        <v>934814.87</v>
      </c>
      <c r="J33" s="702">
        <f t="shared" si="4"/>
        <v>275181.30000000005</v>
      </c>
      <c r="K33" s="704">
        <v>659633.56999999995</v>
      </c>
      <c r="L33" s="705"/>
      <c r="M33" s="340"/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340"/>
      <c r="Y33" s="340"/>
      <c r="Z33" s="340"/>
      <c r="AA33" s="340"/>
      <c r="AB33" s="340"/>
      <c r="AC33" s="340"/>
      <c r="AD33" s="340"/>
      <c r="AE33" s="340"/>
      <c r="AF33" s="340"/>
      <c r="AG33" s="340"/>
      <c r="AH33" s="340"/>
      <c r="AI33" s="340"/>
      <c r="AJ33" s="340"/>
    </row>
    <row r="34" spans="1:36" s="345" customFormat="1" ht="15.6" hidden="1" x14ac:dyDescent="0.25">
      <c r="A34" s="667"/>
      <c r="B34" s="668"/>
      <c r="C34" s="697"/>
      <c r="D34" s="669"/>
      <c r="E34" s="700">
        <v>25</v>
      </c>
      <c r="F34" s="701">
        <v>813895.61</v>
      </c>
      <c r="G34" s="672" t="s">
        <v>191</v>
      </c>
      <c r="H34" s="703">
        <v>25</v>
      </c>
      <c r="I34" s="702">
        <f>F34</f>
        <v>813895.61</v>
      </c>
      <c r="J34" s="702">
        <f>I34</f>
        <v>813895.61</v>
      </c>
      <c r="K34" s="706"/>
      <c r="L34" s="705"/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340"/>
      <c r="Y34" s="340"/>
      <c r="Z34" s="340"/>
      <c r="AA34" s="340"/>
      <c r="AB34" s="340"/>
      <c r="AC34" s="340"/>
      <c r="AD34" s="340"/>
      <c r="AE34" s="340"/>
      <c r="AF34" s="340"/>
      <c r="AG34" s="340"/>
      <c r="AH34" s="340"/>
      <c r="AI34" s="340"/>
      <c r="AJ34" s="340"/>
    </row>
    <row r="35" spans="1:36" s="345" customFormat="1" ht="15.6" hidden="1" x14ac:dyDescent="0.25">
      <c r="A35" s="667"/>
      <c r="B35" s="668"/>
      <c r="C35" s="697"/>
      <c r="D35" s="707"/>
      <c r="E35" s="670">
        <v>26</v>
      </c>
      <c r="F35" s="671">
        <v>3821318.12</v>
      </c>
      <c r="G35" s="672" t="s">
        <v>191</v>
      </c>
      <c r="H35" s="703">
        <v>26</v>
      </c>
      <c r="I35" s="702">
        <f>F35</f>
        <v>3821318.12</v>
      </c>
      <c r="J35" s="672">
        <f>I35-K35</f>
        <v>1827253.2680000002</v>
      </c>
      <c r="K35" s="689">
        <v>1994064.852</v>
      </c>
      <c r="L35" s="708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</row>
    <row r="36" spans="1:36" s="345" customFormat="1" ht="15.6" hidden="1" x14ac:dyDescent="0.25">
      <c r="A36" s="667"/>
      <c r="B36" s="668"/>
      <c r="C36" s="697"/>
      <c r="D36" s="669"/>
      <c r="E36" s="670">
        <v>27</v>
      </c>
      <c r="F36" s="671">
        <v>99444.07</v>
      </c>
      <c r="G36" s="672" t="s">
        <v>191</v>
      </c>
      <c r="H36" s="699">
        <v>27</v>
      </c>
      <c r="I36" s="672">
        <f>F36</f>
        <v>99444.07</v>
      </c>
      <c r="J36" s="672">
        <f>I36-K36</f>
        <v>45519.33400000001</v>
      </c>
      <c r="K36" s="689">
        <v>53924.735999999997</v>
      </c>
      <c r="L36" s="708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340"/>
      <c r="AD36" s="340"/>
      <c r="AE36" s="340"/>
      <c r="AF36" s="340"/>
      <c r="AG36" s="340"/>
      <c r="AH36" s="340"/>
      <c r="AI36" s="340"/>
      <c r="AJ36" s="340"/>
    </row>
    <row r="37" spans="1:36" s="345" customFormat="1" ht="15.6" x14ac:dyDescent="0.25">
      <c r="A37" s="667"/>
      <c r="B37" s="668"/>
      <c r="C37" s="697"/>
      <c r="D37" s="669"/>
      <c r="E37" s="709">
        <v>28</v>
      </c>
      <c r="F37" s="710">
        <v>3571179.26</v>
      </c>
      <c r="G37" s="711" t="s">
        <v>265</v>
      </c>
      <c r="H37" s="712">
        <v>28</v>
      </c>
      <c r="I37" s="711">
        <f t="shared" ref="I37:I41" si="6">F37</f>
        <v>3571179.26</v>
      </c>
      <c r="J37" s="711">
        <f t="shared" ref="J37:J41" si="7">I37-K37</f>
        <v>1677107.9799999997</v>
      </c>
      <c r="K37" s="711">
        <v>1894071.28</v>
      </c>
      <c r="L37" s="713">
        <v>45455</v>
      </c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  <c r="AA37" s="340"/>
      <c r="AB37" s="340"/>
      <c r="AC37" s="340"/>
      <c r="AD37" s="340"/>
      <c r="AE37" s="340"/>
      <c r="AF37" s="340"/>
      <c r="AG37" s="340"/>
      <c r="AH37" s="340"/>
      <c r="AI37" s="340"/>
      <c r="AJ37" s="340"/>
    </row>
    <row r="38" spans="1:36" s="345" customFormat="1" ht="15.6" x14ac:dyDescent="0.25">
      <c r="A38" s="667"/>
      <c r="B38" s="668"/>
      <c r="C38" s="697"/>
      <c r="D38" s="669"/>
      <c r="E38" s="709">
        <v>33</v>
      </c>
      <c r="F38" s="710">
        <v>1171454.52</v>
      </c>
      <c r="G38" s="711" t="s">
        <v>266</v>
      </c>
      <c r="H38" s="712">
        <v>33</v>
      </c>
      <c r="I38" s="711">
        <f t="shared" si="6"/>
        <v>1171454.52</v>
      </c>
      <c r="J38" s="711">
        <f t="shared" si="7"/>
        <v>365750.79599999997</v>
      </c>
      <c r="K38" s="714">
        <v>805703.72400000005</v>
      </c>
      <c r="L38" s="715">
        <v>45455</v>
      </c>
      <c r="M38" s="340" t="s">
        <v>256</v>
      </c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</row>
    <row r="39" spans="1:36" s="345" customFormat="1" ht="15.6" x14ac:dyDescent="0.25">
      <c r="A39" s="667"/>
      <c r="B39" s="668"/>
      <c r="C39" s="697"/>
      <c r="D39" s="669"/>
      <c r="E39" s="709">
        <v>30</v>
      </c>
      <c r="F39" s="710">
        <v>269317.93</v>
      </c>
      <c r="G39" s="711" t="s">
        <v>253</v>
      </c>
      <c r="H39" s="712">
        <v>30</v>
      </c>
      <c r="I39" s="711">
        <f t="shared" si="6"/>
        <v>269317.93</v>
      </c>
      <c r="J39" s="711">
        <f t="shared" si="7"/>
        <v>126785.07399999999</v>
      </c>
      <c r="K39" s="714">
        <v>142532.856</v>
      </c>
      <c r="L39" s="713">
        <v>45456</v>
      </c>
      <c r="M39" s="340" t="s">
        <v>259</v>
      </c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  <c r="AA39" s="340"/>
      <c r="AB39" s="340"/>
      <c r="AC39" s="340"/>
      <c r="AD39" s="340"/>
      <c r="AE39" s="340"/>
      <c r="AF39" s="340"/>
      <c r="AG39" s="340"/>
      <c r="AH39" s="340"/>
      <c r="AI39" s="340"/>
      <c r="AJ39" s="340"/>
    </row>
    <row r="40" spans="1:36" s="345" customFormat="1" ht="15.6" x14ac:dyDescent="0.25">
      <c r="A40" s="667"/>
      <c r="B40" s="668"/>
      <c r="C40" s="697"/>
      <c r="D40" s="669"/>
      <c r="E40" s="709">
        <v>32</v>
      </c>
      <c r="F40" s="710">
        <v>169670.14</v>
      </c>
      <c r="G40" s="711" t="s">
        <v>244</v>
      </c>
      <c r="H40" s="712">
        <v>32</v>
      </c>
      <c r="I40" s="711">
        <f t="shared" si="6"/>
        <v>169670.14</v>
      </c>
      <c r="J40" s="711">
        <f t="shared" si="7"/>
        <v>92619.340000000011</v>
      </c>
      <c r="K40" s="714">
        <v>77050.8</v>
      </c>
      <c r="L40" s="713">
        <v>45455</v>
      </c>
      <c r="M40" s="340" t="s">
        <v>261</v>
      </c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</row>
    <row r="41" spans="1:36" s="345" customFormat="1" ht="15.6" x14ac:dyDescent="0.25">
      <c r="A41" s="667"/>
      <c r="B41" s="668"/>
      <c r="C41" s="697"/>
      <c r="D41" s="669"/>
      <c r="E41" s="709">
        <v>31</v>
      </c>
      <c r="F41" s="710">
        <v>5593404.4400000004</v>
      </c>
      <c r="G41" s="711" t="s">
        <v>244</v>
      </c>
      <c r="H41" s="712">
        <v>31</v>
      </c>
      <c r="I41" s="711">
        <f t="shared" si="6"/>
        <v>5593404.4400000004</v>
      </c>
      <c r="J41" s="711">
        <f t="shared" si="7"/>
        <v>1607611.3160000006</v>
      </c>
      <c r="K41" s="714">
        <v>3985793.1239999998</v>
      </c>
      <c r="L41" s="713">
        <v>45455</v>
      </c>
      <c r="M41" s="340" t="s">
        <v>263</v>
      </c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</row>
    <row r="42" spans="1:36" s="345" customFormat="1" ht="16.2" thickBot="1" x14ac:dyDescent="0.3">
      <c r="A42" s="667"/>
      <c r="B42" s="668"/>
      <c r="C42" s="697"/>
      <c r="D42" s="669"/>
      <c r="E42" s="677"/>
      <c r="F42" s="678"/>
      <c r="G42" s="716"/>
      <c r="H42" s="717"/>
      <c r="I42" s="716"/>
      <c r="J42" s="716"/>
      <c r="K42" s="718"/>
      <c r="L42" s="681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Y42" s="340"/>
      <c r="Z42" s="340"/>
      <c r="AA42" s="340"/>
      <c r="AB42" s="340"/>
      <c r="AC42" s="340"/>
      <c r="AD42" s="340"/>
      <c r="AE42" s="340"/>
      <c r="AF42" s="340"/>
      <c r="AG42" s="340"/>
      <c r="AH42" s="340"/>
      <c r="AI42" s="340"/>
      <c r="AJ42" s="340"/>
    </row>
    <row r="43" spans="1:36" s="345" customFormat="1" ht="15.6" hidden="1" customHeight="1" x14ac:dyDescent="0.25">
      <c r="A43" s="659"/>
      <c r="B43" s="839" t="s">
        <v>204</v>
      </c>
      <c r="C43" s="842" t="s">
        <v>69</v>
      </c>
      <c r="D43" s="845">
        <v>1479619.45</v>
      </c>
      <c r="E43" s="660">
        <v>1</v>
      </c>
      <c r="F43" s="661">
        <v>522833.08</v>
      </c>
      <c r="G43" s="664" t="s">
        <v>191</v>
      </c>
      <c r="H43" s="719">
        <v>1</v>
      </c>
      <c r="I43" s="720">
        <v>522833.08</v>
      </c>
      <c r="J43" s="664">
        <f t="shared" ref="J43:J48" si="8">I43-K43</f>
        <v>517153.16000000003</v>
      </c>
      <c r="K43" s="685">
        <v>5679.92</v>
      </c>
      <c r="L43" s="686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Y43" s="340"/>
      <c r="Z43" s="340"/>
      <c r="AA43" s="340"/>
      <c r="AB43" s="340"/>
      <c r="AC43" s="340"/>
      <c r="AD43" s="340"/>
      <c r="AE43" s="340"/>
      <c r="AF43" s="340"/>
      <c r="AG43" s="340"/>
      <c r="AH43" s="340"/>
      <c r="AI43" s="340"/>
      <c r="AJ43" s="340"/>
    </row>
    <row r="44" spans="1:36" s="345" customFormat="1" ht="15.6" hidden="1" customHeight="1" x14ac:dyDescent="0.25">
      <c r="A44" s="667"/>
      <c r="B44" s="840"/>
      <c r="C44" s="843"/>
      <c r="D44" s="846"/>
      <c r="E44" s="670">
        <v>2</v>
      </c>
      <c r="F44" s="671">
        <v>295471.78000000003</v>
      </c>
      <c r="G44" s="672" t="s">
        <v>191</v>
      </c>
      <c r="H44" s="699">
        <v>2</v>
      </c>
      <c r="I44" s="692">
        <v>295471.78000000003</v>
      </c>
      <c r="J44" s="672">
        <f t="shared" si="8"/>
        <v>292646.76</v>
      </c>
      <c r="K44" s="689">
        <v>2825.02</v>
      </c>
      <c r="L44" s="675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0"/>
      <c r="AG44" s="340"/>
      <c r="AH44" s="340"/>
      <c r="AI44" s="340"/>
      <c r="AJ44" s="340"/>
    </row>
    <row r="45" spans="1:36" s="345" customFormat="1" ht="15.6" hidden="1" customHeight="1" x14ac:dyDescent="0.25">
      <c r="A45" s="667">
        <v>3</v>
      </c>
      <c r="B45" s="840"/>
      <c r="C45" s="843"/>
      <c r="D45" s="846"/>
      <c r="E45" s="670">
        <v>3</v>
      </c>
      <c r="F45" s="671">
        <v>246436.9</v>
      </c>
      <c r="G45" s="672" t="s">
        <v>191</v>
      </c>
      <c r="H45" s="699">
        <v>3</v>
      </c>
      <c r="I45" s="692">
        <v>246436.9</v>
      </c>
      <c r="J45" s="672">
        <f t="shared" si="8"/>
        <v>246436.9</v>
      </c>
      <c r="K45" s="689"/>
      <c r="L45" s="675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</row>
    <row r="46" spans="1:36" s="345" customFormat="1" ht="13.2" hidden="1" customHeight="1" x14ac:dyDescent="0.25">
      <c r="A46" s="667"/>
      <c r="B46" s="840"/>
      <c r="C46" s="843"/>
      <c r="D46" s="846"/>
      <c r="E46" s="670">
        <v>4</v>
      </c>
      <c r="F46" s="671">
        <v>497995.15</v>
      </c>
      <c r="G46" s="672" t="s">
        <v>191</v>
      </c>
      <c r="H46" s="699">
        <v>4</v>
      </c>
      <c r="I46" s="692">
        <f>F46</f>
        <v>497995.15</v>
      </c>
      <c r="J46" s="672">
        <f t="shared" si="8"/>
        <v>435636.26</v>
      </c>
      <c r="K46" s="689">
        <v>62358.89</v>
      </c>
      <c r="L46" s="675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</row>
    <row r="47" spans="1:36" s="345" customFormat="1" ht="12" hidden="1" customHeight="1" x14ac:dyDescent="0.25">
      <c r="A47" s="667"/>
      <c r="B47" s="840"/>
      <c r="C47" s="843"/>
      <c r="D47" s="846"/>
      <c r="E47" s="670">
        <v>5</v>
      </c>
      <c r="F47" s="721">
        <v>487575.25</v>
      </c>
      <c r="G47" s="672" t="s">
        <v>191</v>
      </c>
      <c r="H47" s="699">
        <v>5</v>
      </c>
      <c r="I47" s="692">
        <v>487575.25</v>
      </c>
      <c r="J47" s="672">
        <f t="shared" si="8"/>
        <v>460329.66</v>
      </c>
      <c r="K47" s="689">
        <v>27245.59</v>
      </c>
      <c r="L47" s="675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</row>
    <row r="48" spans="1:36" s="345" customFormat="1" ht="12" hidden="1" customHeight="1" x14ac:dyDescent="0.25">
      <c r="A48" s="667"/>
      <c r="B48" s="840"/>
      <c r="C48" s="843"/>
      <c r="D48" s="846"/>
      <c r="E48" s="694">
        <v>6</v>
      </c>
      <c r="F48" s="721">
        <v>1996.56</v>
      </c>
      <c r="G48" s="672" t="s">
        <v>191</v>
      </c>
      <c r="H48" s="699">
        <v>6</v>
      </c>
      <c r="I48" s="721">
        <v>1996.56</v>
      </c>
      <c r="J48" s="672">
        <f t="shared" si="8"/>
        <v>1996.56</v>
      </c>
      <c r="K48" s="689">
        <v>0</v>
      </c>
      <c r="L48" s="67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</row>
    <row r="49" spans="1:36" s="345" customFormat="1" ht="12" hidden="1" customHeight="1" x14ac:dyDescent="0.25">
      <c r="A49" s="667"/>
      <c r="B49" s="840"/>
      <c r="C49" s="843"/>
      <c r="D49" s="846"/>
      <c r="E49" s="670">
        <v>7</v>
      </c>
      <c r="F49" s="671">
        <v>188323.6</v>
      </c>
      <c r="G49" s="672" t="s">
        <v>191</v>
      </c>
      <c r="H49" s="699">
        <v>7</v>
      </c>
      <c r="I49" s="672">
        <f>F49</f>
        <v>188323.6</v>
      </c>
      <c r="J49" s="672">
        <f>I49-K49</f>
        <v>179726.9</v>
      </c>
      <c r="K49" s="689">
        <v>8596.7000000000007</v>
      </c>
      <c r="L49" s="708" t="s">
        <v>264</v>
      </c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</row>
    <row r="50" spans="1:36" s="345" customFormat="1" ht="13.2" customHeight="1" thickBot="1" x14ac:dyDescent="0.3">
      <c r="A50" s="722"/>
      <c r="B50" s="841"/>
      <c r="C50" s="844"/>
      <c r="D50" s="847"/>
      <c r="E50" s="709">
        <v>8</v>
      </c>
      <c r="F50" s="710">
        <v>195660.76</v>
      </c>
      <c r="G50" s="711" t="s">
        <v>253</v>
      </c>
      <c r="H50" s="712">
        <v>8</v>
      </c>
      <c r="I50" s="711">
        <f>F50</f>
        <v>195660.76</v>
      </c>
      <c r="J50" s="711">
        <f>I50-K50</f>
        <v>190169.79</v>
      </c>
      <c r="K50" s="728">
        <v>5490.97</v>
      </c>
      <c r="L50" s="713">
        <v>45456</v>
      </c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</row>
    <row r="51" spans="1:36" s="345" customFormat="1" ht="16.2" thickBot="1" x14ac:dyDescent="0.3">
      <c r="A51" s="723">
        <v>4</v>
      </c>
      <c r="B51" s="724" t="s">
        <v>210</v>
      </c>
      <c r="C51" s="725" t="s">
        <v>70</v>
      </c>
      <c r="D51" s="726">
        <v>98309.75</v>
      </c>
      <c r="E51" s="727">
        <v>1</v>
      </c>
      <c r="F51" s="710">
        <f>D51</f>
        <v>98309.75</v>
      </c>
      <c r="G51" s="711" t="s">
        <v>244</v>
      </c>
      <c r="H51" s="712">
        <v>1</v>
      </c>
      <c r="I51" s="711">
        <f t="shared" si="3"/>
        <v>98309.75</v>
      </c>
      <c r="J51" s="711">
        <f>I51-K51</f>
        <v>42182.080000000002</v>
      </c>
      <c r="K51" s="728">
        <v>56127.67</v>
      </c>
      <c r="L51" s="713">
        <v>45436</v>
      </c>
      <c r="M51" s="340"/>
      <c r="N51" s="616"/>
      <c r="O51" s="340"/>
      <c r="P51" s="340"/>
      <c r="Q51" s="605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</row>
    <row r="52" spans="1:36" s="345" customFormat="1" ht="31.2" hidden="1" x14ac:dyDescent="0.25">
      <c r="A52" s="729">
        <v>5</v>
      </c>
      <c r="B52" s="730" t="s">
        <v>211</v>
      </c>
      <c r="C52" s="731" t="s">
        <v>71</v>
      </c>
      <c r="D52" s="726">
        <v>117953.48</v>
      </c>
      <c r="E52" s="694">
        <v>1</v>
      </c>
      <c r="F52" s="671">
        <v>117953.48</v>
      </c>
      <c r="G52" s="692" t="s">
        <v>191</v>
      </c>
      <c r="H52" s="699">
        <v>1</v>
      </c>
      <c r="I52" s="692">
        <f t="shared" si="3"/>
        <v>117953.48</v>
      </c>
      <c r="J52" s="672">
        <f>I52-K52</f>
        <v>70684.100000000006</v>
      </c>
      <c r="K52" s="689">
        <v>47269.38</v>
      </c>
      <c r="L52" s="675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</row>
    <row r="53" spans="1:36" s="345" customFormat="1" ht="15.6" hidden="1" x14ac:dyDescent="0.25">
      <c r="A53" s="696">
        <v>6</v>
      </c>
      <c r="B53" s="732" t="s">
        <v>220</v>
      </c>
      <c r="C53" s="733" t="s">
        <v>72</v>
      </c>
      <c r="D53" s="734">
        <v>314090.69</v>
      </c>
      <c r="E53" s="694">
        <v>1</v>
      </c>
      <c r="F53" s="671">
        <v>18137.18</v>
      </c>
      <c r="G53" s="672"/>
      <c r="H53" s="699">
        <v>1</v>
      </c>
      <c r="I53" s="672">
        <f t="shared" si="3"/>
        <v>18137.18</v>
      </c>
      <c r="J53" s="672">
        <f>I53-K53</f>
        <v>9482.3000000000011</v>
      </c>
      <c r="K53" s="689">
        <v>8654.8799999999992</v>
      </c>
      <c r="L53" s="675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</row>
    <row r="54" spans="1:36" s="345" customFormat="1" ht="13.8" hidden="1" customHeight="1" x14ac:dyDescent="0.25">
      <c r="A54" s="735" t="s">
        <v>238</v>
      </c>
      <c r="B54" s="732" t="s">
        <v>204</v>
      </c>
      <c r="C54" s="736" t="s">
        <v>73</v>
      </c>
      <c r="D54" s="737">
        <v>925268.22</v>
      </c>
      <c r="E54" s="694">
        <v>1</v>
      </c>
      <c r="F54" s="721">
        <v>462990.42</v>
      </c>
      <c r="G54" s="672" t="s">
        <v>191</v>
      </c>
      <c r="H54" s="699">
        <v>1</v>
      </c>
      <c r="I54" s="721">
        <v>462990.42</v>
      </c>
      <c r="J54" s="672">
        <f t="shared" ref="J54" si="9">I54-K54</f>
        <v>436474.81</v>
      </c>
      <c r="K54" s="689">
        <v>26515.61</v>
      </c>
      <c r="L54" s="675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</row>
    <row r="55" spans="1:36" s="345" customFormat="1" ht="13.8" hidden="1" customHeight="1" x14ac:dyDescent="0.25">
      <c r="A55" s="735"/>
      <c r="B55" s="732"/>
      <c r="C55" s="736"/>
      <c r="D55" s="737"/>
      <c r="E55" s="694">
        <v>2</v>
      </c>
      <c r="F55" s="721">
        <v>413678.99</v>
      </c>
      <c r="G55" s="702" t="s">
        <v>191</v>
      </c>
      <c r="H55" s="699">
        <v>2</v>
      </c>
      <c r="I55" s="721">
        <f>F55</f>
        <v>413678.99</v>
      </c>
      <c r="J55" s="672">
        <f>I55-K55</f>
        <v>388969.62</v>
      </c>
      <c r="K55" s="689">
        <v>24709.37</v>
      </c>
      <c r="L55" s="705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</row>
    <row r="56" spans="1:36" s="345" customFormat="1" ht="13.8" customHeight="1" x14ac:dyDescent="0.25">
      <c r="A56" s="735" t="s">
        <v>239</v>
      </c>
      <c r="B56" s="732" t="s">
        <v>223</v>
      </c>
      <c r="C56" s="736" t="s">
        <v>74</v>
      </c>
      <c r="D56" s="737">
        <v>1907190.76</v>
      </c>
      <c r="E56" s="727">
        <v>1</v>
      </c>
      <c r="F56" s="738">
        <v>605497.75</v>
      </c>
      <c r="G56" s="711" t="s">
        <v>253</v>
      </c>
      <c r="H56" s="712">
        <v>1</v>
      </c>
      <c r="I56" s="738">
        <f>F56</f>
        <v>605497.75</v>
      </c>
      <c r="J56" s="711">
        <f>I56-K56</f>
        <v>164923.21000000002</v>
      </c>
      <c r="K56" s="728">
        <v>440574.54</v>
      </c>
      <c r="L56" s="713" t="s">
        <v>255</v>
      </c>
      <c r="M56" s="340" t="s">
        <v>258</v>
      </c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</row>
    <row r="57" spans="1:36" s="345" customFormat="1" ht="13.8" customHeight="1" x14ac:dyDescent="0.25">
      <c r="A57" s="735"/>
      <c r="B57" s="732"/>
      <c r="C57" s="736"/>
      <c r="D57" s="737"/>
      <c r="E57" s="727">
        <v>2</v>
      </c>
      <c r="F57" s="738">
        <v>4858.4399999999996</v>
      </c>
      <c r="G57" s="711" t="s">
        <v>244</v>
      </c>
      <c r="H57" s="712">
        <v>2</v>
      </c>
      <c r="I57" s="738">
        <v>4858.4399999999996</v>
      </c>
      <c r="J57" s="711">
        <f>I57-K57</f>
        <v>1323.0839999999994</v>
      </c>
      <c r="K57" s="728">
        <v>3535.3560000000002</v>
      </c>
      <c r="L57" s="713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</row>
    <row r="58" spans="1:36" s="345" customFormat="1" ht="13.8" hidden="1" customHeight="1" x14ac:dyDescent="0.25">
      <c r="A58" s="735" t="s">
        <v>240</v>
      </c>
      <c r="B58" s="732" t="s">
        <v>247</v>
      </c>
      <c r="C58" s="736" t="s">
        <v>77</v>
      </c>
      <c r="D58" s="737">
        <v>554589.34</v>
      </c>
      <c r="E58" s="694">
        <v>1</v>
      </c>
      <c r="F58" s="721">
        <v>233757.78</v>
      </c>
      <c r="G58" s="739" t="s">
        <v>254</v>
      </c>
      <c r="H58" s="699">
        <v>1</v>
      </c>
      <c r="I58" s="721">
        <v>233757.78</v>
      </c>
      <c r="J58" s="672">
        <f>I58-K58</f>
        <v>225075.77</v>
      </c>
      <c r="K58" s="689">
        <v>8682.01</v>
      </c>
      <c r="L58" s="708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</row>
    <row r="59" spans="1:36" s="345" customFormat="1" ht="13.8" customHeight="1" x14ac:dyDescent="0.25">
      <c r="A59" s="748"/>
      <c r="B59" s="730"/>
      <c r="C59" s="742"/>
      <c r="D59" s="762"/>
      <c r="E59" s="727">
        <v>2</v>
      </c>
      <c r="F59" s="738">
        <v>147210.66</v>
      </c>
      <c r="G59" s="747" t="s">
        <v>253</v>
      </c>
      <c r="H59" s="712">
        <v>2</v>
      </c>
      <c r="I59" s="738">
        <f>F59</f>
        <v>147210.66</v>
      </c>
      <c r="J59" s="711">
        <f>I59-K59</f>
        <v>135650.72400000002</v>
      </c>
      <c r="K59" s="728">
        <v>11559.936</v>
      </c>
      <c r="L59" s="713">
        <v>45456</v>
      </c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</row>
    <row r="60" spans="1:36" s="345" customFormat="1" ht="25.8" hidden="1" customHeight="1" x14ac:dyDescent="0.25">
      <c r="A60" s="852" t="s">
        <v>241</v>
      </c>
      <c r="B60" s="849" t="s">
        <v>225</v>
      </c>
      <c r="C60" s="855" t="s">
        <v>78</v>
      </c>
      <c r="D60" s="858">
        <v>205250.65</v>
      </c>
      <c r="E60" s="694">
        <v>1</v>
      </c>
      <c r="F60" s="721">
        <v>36249.65</v>
      </c>
      <c r="G60" s="739" t="s">
        <v>254</v>
      </c>
      <c r="H60" s="699">
        <v>1</v>
      </c>
      <c r="I60" s="672">
        <f t="shared" ref="I60" si="10">F60</f>
        <v>36249.65</v>
      </c>
      <c r="J60" s="672">
        <f t="shared" ref="J60" si="11">I60-K60</f>
        <v>21207.086000000003</v>
      </c>
      <c r="K60" s="689">
        <v>15042.564</v>
      </c>
      <c r="L60" s="708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  <c r="AA60" s="340"/>
      <c r="AB60" s="340"/>
      <c r="AC60" s="340"/>
      <c r="AD60" s="340"/>
      <c r="AE60" s="340"/>
      <c r="AF60" s="340"/>
      <c r="AG60" s="340"/>
      <c r="AH60" s="340"/>
      <c r="AI60" s="340"/>
      <c r="AJ60" s="340"/>
    </row>
    <row r="61" spans="1:36" s="345" customFormat="1" ht="12" hidden="1" customHeight="1" x14ac:dyDescent="0.25">
      <c r="A61" s="853"/>
      <c r="B61" s="850"/>
      <c r="C61" s="856"/>
      <c r="D61" s="859"/>
      <c r="E61" s="694">
        <v>2</v>
      </c>
      <c r="F61" s="721">
        <v>29584.9</v>
      </c>
      <c r="G61" s="739" t="s">
        <v>254</v>
      </c>
      <c r="H61" s="699">
        <v>2</v>
      </c>
      <c r="I61" s="672">
        <v>29584.9</v>
      </c>
      <c r="J61" s="672">
        <f>I61-K61</f>
        <v>14776.612000000001</v>
      </c>
      <c r="K61" s="689">
        <v>14808.288</v>
      </c>
      <c r="L61" s="708">
        <v>45450</v>
      </c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40"/>
      <c r="AD61" s="340"/>
      <c r="AE61" s="340"/>
      <c r="AF61" s="340"/>
      <c r="AG61" s="340"/>
      <c r="AH61" s="340"/>
      <c r="AI61" s="340"/>
      <c r="AJ61" s="340"/>
    </row>
    <row r="62" spans="1:36" s="345" customFormat="1" ht="12" customHeight="1" x14ac:dyDescent="0.25">
      <c r="A62" s="854"/>
      <c r="B62" s="851"/>
      <c r="C62" s="857"/>
      <c r="D62" s="860"/>
      <c r="E62" s="727">
        <v>3</v>
      </c>
      <c r="F62" s="738">
        <v>120717.72</v>
      </c>
      <c r="G62" s="747" t="s">
        <v>244</v>
      </c>
      <c r="H62" s="712">
        <v>3</v>
      </c>
      <c r="I62" s="711">
        <f>F62</f>
        <v>120717.72</v>
      </c>
      <c r="J62" s="711">
        <f>I62-K62</f>
        <v>25204.75</v>
      </c>
      <c r="K62" s="728">
        <v>95512.97</v>
      </c>
      <c r="L62" s="713">
        <v>45455</v>
      </c>
      <c r="M62" s="340" t="s">
        <v>262</v>
      </c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  <c r="AC62" s="340"/>
      <c r="AD62" s="340"/>
      <c r="AE62" s="340"/>
      <c r="AF62" s="340"/>
      <c r="AG62" s="340"/>
      <c r="AH62" s="340"/>
      <c r="AI62" s="340"/>
      <c r="AJ62" s="340"/>
    </row>
    <row r="63" spans="1:36" s="345" customFormat="1" ht="16.8" hidden="1" customHeight="1" x14ac:dyDescent="0.25">
      <c r="A63" s="696">
        <v>11</v>
      </c>
      <c r="B63" s="732" t="s">
        <v>207</v>
      </c>
      <c r="C63" s="733" t="s">
        <v>217</v>
      </c>
      <c r="D63" s="741">
        <v>11216410.33</v>
      </c>
      <c r="E63" s="694">
        <v>1</v>
      </c>
      <c r="F63" s="721">
        <v>4613140.4800000004</v>
      </c>
      <c r="G63" s="672" t="s">
        <v>191</v>
      </c>
      <c r="H63" s="699">
        <v>1</v>
      </c>
      <c r="I63" s="692">
        <f t="shared" ref="I63:I71" si="12">F63</f>
        <v>4613140.4800000004</v>
      </c>
      <c r="J63" s="672">
        <f t="shared" ref="J63:J72" si="13">I63-K63</f>
        <v>1433237.4000000004</v>
      </c>
      <c r="K63" s="689">
        <v>3179903.08</v>
      </c>
      <c r="L63" s="675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  <c r="AG63" s="340"/>
      <c r="AH63" s="340"/>
      <c r="AI63" s="340"/>
      <c r="AJ63" s="340"/>
    </row>
    <row r="64" spans="1:36" s="345" customFormat="1" ht="13.8" hidden="1" customHeight="1" x14ac:dyDescent="0.25">
      <c r="A64" s="696">
        <v>12</v>
      </c>
      <c r="B64" s="732"/>
      <c r="C64" s="733"/>
      <c r="D64" s="741"/>
      <c r="E64" s="694">
        <v>2</v>
      </c>
      <c r="F64" s="721">
        <v>648268.93000000005</v>
      </c>
      <c r="G64" s="672" t="s">
        <v>191</v>
      </c>
      <c r="H64" s="699">
        <v>2</v>
      </c>
      <c r="I64" s="692">
        <f t="shared" si="12"/>
        <v>648268.93000000005</v>
      </c>
      <c r="J64" s="672">
        <f t="shared" si="13"/>
        <v>221313.73000000004</v>
      </c>
      <c r="K64" s="689">
        <v>426955.2</v>
      </c>
      <c r="L64" s="675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  <c r="AG64" s="340"/>
      <c r="AH64" s="340"/>
      <c r="AI64" s="340"/>
      <c r="AJ64" s="340"/>
    </row>
    <row r="65" spans="1:36" s="345" customFormat="1" ht="13.8" hidden="1" customHeight="1" x14ac:dyDescent="0.25">
      <c r="A65" s="696"/>
      <c r="B65" s="732"/>
      <c r="C65" s="733"/>
      <c r="D65" s="741"/>
      <c r="E65" s="670">
        <v>3</v>
      </c>
      <c r="F65" s="671">
        <v>764834.02</v>
      </c>
      <c r="G65" s="672" t="s">
        <v>191</v>
      </c>
      <c r="H65" s="699">
        <v>3</v>
      </c>
      <c r="I65" s="672">
        <f t="shared" si="12"/>
        <v>764834.02</v>
      </c>
      <c r="J65" s="672">
        <f t="shared" si="13"/>
        <v>251675.5</v>
      </c>
      <c r="K65" s="689">
        <v>513158.52</v>
      </c>
      <c r="L65" s="708">
        <v>45450</v>
      </c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  <c r="AE65" s="340"/>
      <c r="AF65" s="340"/>
      <c r="AG65" s="340"/>
      <c r="AH65" s="340"/>
      <c r="AI65" s="340"/>
      <c r="AJ65" s="340"/>
    </row>
    <row r="66" spans="1:36" s="345" customFormat="1" ht="13.8" customHeight="1" x14ac:dyDescent="0.25">
      <c r="A66" s="696"/>
      <c r="B66" s="732"/>
      <c r="C66" s="733"/>
      <c r="D66" s="741"/>
      <c r="E66" s="709">
        <v>4</v>
      </c>
      <c r="F66" s="710">
        <v>459693.22</v>
      </c>
      <c r="G66" s="711" t="s">
        <v>244</v>
      </c>
      <c r="H66" s="712">
        <v>4</v>
      </c>
      <c r="I66" s="711">
        <f t="shared" si="12"/>
        <v>459693.22</v>
      </c>
      <c r="J66" s="711">
        <f t="shared" si="13"/>
        <v>144151.70799999998</v>
      </c>
      <c r="K66" s="728">
        <v>315541.51199999999</v>
      </c>
      <c r="L66" s="708">
        <v>45450</v>
      </c>
      <c r="M66" s="340" t="s">
        <v>260</v>
      </c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  <c r="AG66" s="340"/>
      <c r="AH66" s="340"/>
      <c r="AI66" s="340"/>
      <c r="AJ66" s="340"/>
    </row>
    <row r="67" spans="1:36" s="345" customFormat="1" ht="13.8" hidden="1" customHeight="1" x14ac:dyDescent="0.25">
      <c r="A67" s="696">
        <v>13</v>
      </c>
      <c r="B67" s="732" t="s">
        <v>206</v>
      </c>
      <c r="C67" s="733" t="s">
        <v>216</v>
      </c>
      <c r="D67" s="741">
        <v>790018.98</v>
      </c>
      <c r="E67" s="694">
        <v>1</v>
      </c>
      <c r="F67" s="721">
        <v>323673.21999999997</v>
      </c>
      <c r="G67" s="692" t="s">
        <v>191</v>
      </c>
      <c r="H67" s="699">
        <v>1</v>
      </c>
      <c r="I67" s="692">
        <f t="shared" si="12"/>
        <v>323673.21999999997</v>
      </c>
      <c r="J67" s="672">
        <f t="shared" si="13"/>
        <v>100620.12399999998</v>
      </c>
      <c r="K67" s="689">
        <v>223053.09599999999</v>
      </c>
      <c r="L67" s="675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  <c r="AG67" s="340"/>
      <c r="AH67" s="340"/>
      <c r="AI67" s="340"/>
      <c r="AJ67" s="340"/>
    </row>
    <row r="68" spans="1:36" s="345" customFormat="1" ht="13.8" hidden="1" customHeight="1" x14ac:dyDescent="0.25">
      <c r="A68" s="483"/>
      <c r="B68" s="730"/>
      <c r="C68" s="742"/>
      <c r="D68" s="743"/>
      <c r="E68" s="694">
        <v>2</v>
      </c>
      <c r="F68" s="721">
        <v>254891.88</v>
      </c>
      <c r="G68" s="702" t="s">
        <v>191</v>
      </c>
      <c r="H68" s="699">
        <v>2</v>
      </c>
      <c r="I68" s="672">
        <f>F68</f>
        <v>254891.88</v>
      </c>
      <c r="J68" s="672">
        <f t="shared" si="13"/>
        <v>78766.608000000007</v>
      </c>
      <c r="K68" s="689">
        <v>176125.272</v>
      </c>
      <c r="L68" s="708"/>
      <c r="M68" s="658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  <c r="AG68" s="340"/>
      <c r="AH68" s="340"/>
      <c r="AI68" s="340"/>
      <c r="AJ68" s="340"/>
    </row>
    <row r="69" spans="1:36" s="345" customFormat="1" ht="13.8" hidden="1" customHeight="1" x14ac:dyDescent="0.25">
      <c r="A69" s="483">
        <v>14</v>
      </c>
      <c r="B69" s="730" t="s">
        <v>218</v>
      </c>
      <c r="C69" s="740" t="s">
        <v>205</v>
      </c>
      <c r="D69" s="743">
        <v>164975.04000000001</v>
      </c>
      <c r="E69" s="694">
        <v>1</v>
      </c>
      <c r="F69" s="721">
        <v>98455.63</v>
      </c>
      <c r="G69" s="739" t="s">
        <v>254</v>
      </c>
      <c r="H69" s="699">
        <v>1</v>
      </c>
      <c r="I69" s="672">
        <f t="shared" si="12"/>
        <v>98455.63</v>
      </c>
      <c r="J69" s="672">
        <f t="shared" si="13"/>
        <v>29328.718000000008</v>
      </c>
      <c r="K69" s="689">
        <v>69126.911999999997</v>
      </c>
      <c r="L69" s="708"/>
      <c r="M69" s="658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</row>
    <row r="70" spans="1:36" s="345" customFormat="1" ht="48" hidden="1" customHeight="1" x14ac:dyDescent="0.25">
      <c r="A70" s="696">
        <v>15</v>
      </c>
      <c r="B70" s="732" t="s">
        <v>242</v>
      </c>
      <c r="C70" s="736" t="s">
        <v>250</v>
      </c>
      <c r="D70" s="741">
        <v>150478.99</v>
      </c>
      <c r="E70" s="694">
        <v>1</v>
      </c>
      <c r="F70" s="721">
        <f>D70</f>
        <v>150478.99</v>
      </c>
      <c r="G70" s="672" t="s">
        <v>191</v>
      </c>
      <c r="H70" s="699">
        <v>1</v>
      </c>
      <c r="I70" s="672">
        <f t="shared" si="12"/>
        <v>150478.99</v>
      </c>
      <c r="J70" s="672">
        <f t="shared" si="13"/>
        <v>150478.99</v>
      </c>
      <c r="K70" s="689">
        <v>0</v>
      </c>
      <c r="L70" s="708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</row>
    <row r="71" spans="1:36" s="345" customFormat="1" ht="13.8" hidden="1" customHeight="1" x14ac:dyDescent="0.25">
      <c r="A71" s="696">
        <v>18</v>
      </c>
      <c r="B71" s="732" t="s">
        <v>224</v>
      </c>
      <c r="C71" s="736" t="s">
        <v>251</v>
      </c>
      <c r="D71" s="744">
        <v>67237.36</v>
      </c>
      <c r="E71" s="694">
        <v>1</v>
      </c>
      <c r="F71" s="745">
        <f t="shared" ref="F71" si="14">D71</f>
        <v>67237.36</v>
      </c>
      <c r="G71" s="702" t="s">
        <v>191</v>
      </c>
      <c r="H71" s="703">
        <v>1</v>
      </c>
      <c r="I71" s="672">
        <f t="shared" si="12"/>
        <v>67237.36</v>
      </c>
      <c r="J71" s="672">
        <f t="shared" si="13"/>
        <v>36380.339999999997</v>
      </c>
      <c r="K71" s="704">
        <v>30857.02</v>
      </c>
      <c r="L71" s="708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</row>
    <row r="72" spans="1:36" s="345" customFormat="1" ht="13.8" hidden="1" customHeight="1" x14ac:dyDescent="0.25">
      <c r="A72" s="329">
        <v>19</v>
      </c>
      <c r="B72" s="730" t="s">
        <v>248</v>
      </c>
      <c r="C72" s="746" t="s">
        <v>249</v>
      </c>
      <c r="D72" s="669">
        <v>428355.98</v>
      </c>
      <c r="E72" s="749">
        <v>1</v>
      </c>
      <c r="F72" s="745">
        <v>282271.15999999997</v>
      </c>
      <c r="G72" s="702" t="s">
        <v>191</v>
      </c>
      <c r="H72" s="750">
        <v>1</v>
      </c>
      <c r="I72" s="702">
        <f>F72</f>
        <v>282271.15999999997</v>
      </c>
      <c r="J72" s="702">
        <f t="shared" si="13"/>
        <v>268254.74</v>
      </c>
      <c r="K72" s="758">
        <v>14016.42</v>
      </c>
      <c r="L72" s="760" t="s">
        <v>255</v>
      </c>
      <c r="M72" s="616">
        <v>230241.44</v>
      </c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</row>
    <row r="73" spans="1:36" s="345" customFormat="1" ht="13.8" customHeight="1" x14ac:dyDescent="0.25">
      <c r="A73" s="696"/>
      <c r="B73" s="732"/>
      <c r="C73" s="739"/>
      <c r="D73" s="756"/>
      <c r="E73" s="727">
        <v>2</v>
      </c>
      <c r="F73" s="757">
        <v>230241.44</v>
      </c>
      <c r="G73" s="711" t="s">
        <v>244</v>
      </c>
      <c r="H73" s="712">
        <v>2</v>
      </c>
      <c r="I73" s="757">
        <v>230241.44</v>
      </c>
      <c r="J73" s="711">
        <f>I73-K73</f>
        <v>219259.5</v>
      </c>
      <c r="K73" s="714">
        <v>10981.94</v>
      </c>
      <c r="L73" s="761">
        <v>45455</v>
      </c>
      <c r="M73" s="616">
        <f>F72+M72</f>
        <v>512512.6</v>
      </c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</row>
    <row r="74" spans="1:36" s="346" customFormat="1" ht="17.399999999999999" hidden="1" customHeight="1" thickBot="1" x14ac:dyDescent="0.3">
      <c r="A74" s="751"/>
      <c r="B74" s="752" t="s">
        <v>47</v>
      </c>
      <c r="C74" s="753"/>
      <c r="D74" s="754">
        <f>SUM(D7:D72)</f>
        <v>201336990.24999997</v>
      </c>
      <c r="E74" s="755"/>
      <c r="F74" s="755">
        <f>SUM(F7:F73)</f>
        <v>78890398.909999996</v>
      </c>
      <c r="G74" s="755"/>
      <c r="H74" s="755"/>
      <c r="I74" s="755">
        <f>SUM(I7:I73)</f>
        <v>78890398.909999996</v>
      </c>
      <c r="J74" s="755">
        <f>SUM(J7:J73)</f>
        <v>35481286.456</v>
      </c>
      <c r="K74" s="755">
        <f>SUM(K7:K73)</f>
        <v>43409112.454000026</v>
      </c>
      <c r="L74" s="759"/>
    </row>
    <row r="75" spans="1:36" s="346" customFormat="1" ht="22.2" customHeight="1" x14ac:dyDescent="0.25">
      <c r="A75" s="610"/>
      <c r="B75" s="610"/>
      <c r="C75" s="611"/>
      <c r="D75" s="612"/>
      <c r="E75" s="613"/>
      <c r="F75" s="613"/>
      <c r="G75" s="613"/>
      <c r="H75" s="379"/>
      <c r="I75" s="616"/>
      <c r="J75" s="379"/>
      <c r="K75" s="379"/>
    </row>
    <row r="76" spans="1:36" x14ac:dyDescent="0.25">
      <c r="A76" s="614"/>
      <c r="B76" s="614"/>
      <c r="D76" s="615"/>
      <c r="H76" s="356"/>
    </row>
    <row r="77" spans="1:36" x14ac:dyDescent="0.25">
      <c r="A77" s="614"/>
      <c r="B77" s="614"/>
      <c r="D77" s="615"/>
      <c r="H77" s="356"/>
    </row>
    <row r="78" spans="1:36" x14ac:dyDescent="0.25">
      <c r="A78" s="614"/>
      <c r="B78" s="614"/>
      <c r="D78" s="615"/>
      <c r="H78" s="356"/>
    </row>
    <row r="79" spans="1:36" x14ac:dyDescent="0.25">
      <c r="A79" s="614"/>
      <c r="B79" s="614"/>
      <c r="D79" s="615"/>
      <c r="H79" s="356"/>
    </row>
    <row r="80" spans="1:36" x14ac:dyDescent="0.25">
      <c r="A80" s="614"/>
      <c r="B80" s="614"/>
      <c r="D80" s="615"/>
      <c r="H80" s="356"/>
    </row>
    <row r="81" spans="1:10" x14ac:dyDescent="0.25">
      <c r="A81" s="614"/>
      <c r="B81" s="614"/>
      <c r="D81" s="615"/>
      <c r="H81" s="356"/>
      <c r="I81" s="576"/>
      <c r="J81" s="571"/>
    </row>
    <row r="82" spans="1:10" x14ac:dyDescent="0.25">
      <c r="A82" s="614"/>
      <c r="B82" s="614"/>
      <c r="H82" s="356"/>
    </row>
    <row r="83" spans="1:10" x14ac:dyDescent="0.25">
      <c r="A83" s="614"/>
      <c r="B83" s="614"/>
      <c r="H83" s="356"/>
    </row>
    <row r="84" spans="1:10" x14ac:dyDescent="0.25">
      <c r="A84" s="614"/>
      <c r="B84" s="614"/>
      <c r="H84" s="356"/>
    </row>
    <row r="85" spans="1:10" x14ac:dyDescent="0.25">
      <c r="A85" s="614"/>
      <c r="B85" s="614"/>
      <c r="H85" s="356"/>
    </row>
    <row r="86" spans="1:10" x14ac:dyDescent="0.25">
      <c r="A86" s="614"/>
      <c r="B86" s="614"/>
      <c r="H86" s="356"/>
    </row>
    <row r="87" spans="1:10" x14ac:dyDescent="0.25">
      <c r="A87" s="614"/>
      <c r="B87" s="614"/>
      <c r="H87" s="356"/>
    </row>
    <row r="88" spans="1:10" x14ac:dyDescent="0.25">
      <c r="C88" s="360"/>
      <c r="D88" s="361"/>
      <c r="E88" s="356"/>
      <c r="F88" s="356"/>
      <c r="G88" s="356"/>
      <c r="H88" s="356"/>
    </row>
    <row r="89" spans="1:10" x14ac:dyDescent="0.25">
      <c r="C89" s="360"/>
      <c r="D89" s="361"/>
      <c r="E89" s="356"/>
      <c r="F89" s="356"/>
      <c r="G89" s="356"/>
      <c r="H89" s="356"/>
    </row>
    <row r="90" spans="1:10" x14ac:dyDescent="0.25">
      <c r="C90" s="360"/>
      <c r="D90" s="361"/>
      <c r="E90" s="356"/>
      <c r="F90" s="356"/>
      <c r="G90" s="356"/>
      <c r="H90" s="356"/>
    </row>
  </sheetData>
  <autoFilter ref="A4:L74">
    <filterColumn colId="2" showButton="0"/>
    <filterColumn colId="4" showButton="0">
      <colorFilter dxfId="0" cellColor="0"/>
    </filterColumn>
    <filterColumn colId="5" showButton="0"/>
    <filterColumn colId="7" showButton="0"/>
    <filterColumn colId="8" showButton="0"/>
    <filterColumn colId="9" showButton="0"/>
  </autoFilter>
  <mergeCells count="23">
    <mergeCell ref="A2:L2"/>
    <mergeCell ref="B60:B62"/>
    <mergeCell ref="A60:A62"/>
    <mergeCell ref="C60:C62"/>
    <mergeCell ref="D60:D62"/>
    <mergeCell ref="L4:L6"/>
    <mergeCell ref="E4:G4"/>
    <mergeCell ref="A15:A29"/>
    <mergeCell ref="B15:B29"/>
    <mergeCell ref="C15:C29"/>
    <mergeCell ref="D15:D29"/>
    <mergeCell ref="A7:A14"/>
    <mergeCell ref="D7:D14"/>
    <mergeCell ref="B7:B14"/>
    <mergeCell ref="C7:C14"/>
    <mergeCell ref="H4:K5"/>
    <mergeCell ref="A4:A6"/>
    <mergeCell ref="B4:B6"/>
    <mergeCell ref="C4:D5"/>
    <mergeCell ref="E5:G5"/>
    <mergeCell ref="B43:B50"/>
    <mergeCell ref="C43:C50"/>
    <mergeCell ref="D43:D50"/>
  </mergeCells>
  <phoneticPr fontId="41" type="noConversion"/>
  <pageMargins left="0.25" right="0.25" top="0.75" bottom="0.75" header="0.3" footer="0.3"/>
  <pageSetup paperSize="9" scale="77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30" customWidth="1"/>
    <col min="2" max="2" width="35.6640625" style="330" customWidth="1"/>
    <col min="3" max="3" width="6.44140625" style="363" customWidth="1" outlineLevel="1"/>
    <col min="4" max="4" width="17.44140625" style="364" customWidth="1" outlineLevel="1"/>
    <col min="5" max="5" width="25.77734375" style="333" hidden="1" customWidth="1"/>
    <col min="6" max="6" width="5.6640625" style="365" customWidth="1" outlineLevel="1"/>
    <col min="7" max="7" width="16.77734375" style="365" customWidth="1" outlineLevel="1"/>
    <col min="8" max="8" width="5.44140625" style="365" customWidth="1" outlineLevel="1"/>
    <col min="9" max="9" width="16.6640625" style="365" customWidth="1" outlineLevel="1"/>
    <col min="10" max="10" width="6.44140625" style="365" customWidth="1" outlineLevel="1"/>
    <col min="11" max="11" width="14.5546875" style="365" customWidth="1" outlineLevel="1"/>
    <col min="12" max="12" width="5.6640625" style="365" customWidth="1" outlineLevel="1"/>
    <col min="13" max="13" width="14" style="365" customWidth="1" outlineLevel="1"/>
    <col min="14" max="14" width="7.109375" style="365" customWidth="1" outlineLevel="1"/>
    <col min="15" max="15" width="13.88671875" style="365" customWidth="1" outlineLevel="1"/>
    <col min="16" max="16" width="6.21875" style="365" customWidth="1" outlineLevel="1"/>
    <col min="17" max="17" width="14.109375" style="365" customWidth="1" outlineLevel="1"/>
    <col min="18" max="18" width="5.6640625" style="365" customWidth="1" outlineLevel="1"/>
    <col min="19" max="19" width="12.33203125" style="365" customWidth="1" outlineLevel="1"/>
    <col min="20" max="20" width="5.33203125" style="365" customWidth="1" outlineLevel="1"/>
    <col min="21" max="21" width="11.44140625" style="365" customWidth="1" outlineLevel="1"/>
    <col min="22" max="22" width="13.33203125" style="365" customWidth="1" outlineLevel="1"/>
    <col min="23" max="24" width="11.21875" style="365" customWidth="1" outlineLevel="1"/>
    <col min="25" max="25" width="7.21875" style="329" customWidth="1"/>
    <col min="26" max="26" width="13.33203125" style="329" customWidth="1"/>
    <col min="27" max="27" width="16.44140625" style="329" customWidth="1"/>
    <col min="28" max="28" width="13.33203125" style="330" customWidth="1"/>
    <col min="29" max="29" width="13.5546875" style="330" customWidth="1"/>
    <col min="30" max="30" width="13.33203125" style="330" customWidth="1"/>
    <col min="31" max="31" width="9.109375" style="330"/>
    <col min="32" max="32" width="13.33203125" style="330" bestFit="1" customWidth="1"/>
    <col min="33" max="16384" width="9.109375" style="330"/>
  </cols>
  <sheetData>
    <row r="2" spans="1:30" ht="15" customHeight="1" x14ac:dyDescent="0.25">
      <c r="A2" s="879" t="s">
        <v>152</v>
      </c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  <c r="M2" s="879"/>
      <c r="N2" s="879"/>
      <c r="O2" s="879"/>
      <c r="P2" s="879"/>
      <c r="Q2" s="879"/>
      <c r="R2" s="879"/>
      <c r="S2" s="879"/>
      <c r="T2" s="879"/>
      <c r="U2" s="879"/>
      <c r="V2" s="879"/>
      <c r="W2" s="879"/>
      <c r="X2" s="879"/>
      <c r="Y2" s="879"/>
      <c r="Z2" s="331"/>
      <c r="AA2" s="331"/>
    </row>
    <row r="3" spans="1:30" ht="15" customHeight="1" x14ac:dyDescent="0.25">
      <c r="A3" s="331"/>
      <c r="B3" s="331"/>
      <c r="C3" s="331"/>
      <c r="D3" s="332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5"/>
      <c r="Z3" s="335"/>
      <c r="AA3" s="335"/>
    </row>
    <row r="4" spans="1:30" ht="39.6" customHeight="1" x14ac:dyDescent="0.25">
      <c r="A4" s="880" t="s">
        <v>121</v>
      </c>
      <c r="B4" s="835" t="s">
        <v>2</v>
      </c>
      <c r="C4" s="884" t="s">
        <v>122</v>
      </c>
      <c r="D4" s="885"/>
      <c r="E4" s="887" t="s">
        <v>123</v>
      </c>
      <c r="F4" s="890" t="s">
        <v>124</v>
      </c>
      <c r="G4" s="891"/>
      <c r="H4" s="891"/>
      <c r="I4" s="891"/>
      <c r="J4" s="891"/>
      <c r="K4" s="891"/>
      <c r="L4" s="891"/>
      <c r="M4" s="891"/>
      <c r="N4" s="891"/>
      <c r="O4" s="891"/>
      <c r="P4" s="891"/>
      <c r="Q4" s="891"/>
      <c r="R4" s="891"/>
      <c r="S4" s="891"/>
      <c r="T4" s="891"/>
      <c r="U4" s="891"/>
      <c r="V4" s="891"/>
      <c r="W4" s="892"/>
      <c r="X4" s="534"/>
      <c r="Y4" s="884" t="s">
        <v>125</v>
      </c>
      <c r="Z4" s="893"/>
      <c r="AA4" s="885"/>
      <c r="AB4" s="894" t="s">
        <v>126</v>
      </c>
      <c r="AC4" s="895"/>
      <c r="AD4" s="896"/>
    </row>
    <row r="5" spans="1:30" ht="15.45" customHeight="1" x14ac:dyDescent="0.25">
      <c r="A5" s="881"/>
      <c r="B5" s="883"/>
      <c r="C5" s="864"/>
      <c r="D5" s="886"/>
      <c r="E5" s="888"/>
      <c r="F5" s="890" t="s">
        <v>146</v>
      </c>
      <c r="G5" s="892"/>
      <c r="H5" s="890" t="s">
        <v>147</v>
      </c>
      <c r="I5" s="892"/>
      <c r="J5" s="890" t="s">
        <v>148</v>
      </c>
      <c r="K5" s="892"/>
      <c r="L5" s="890" t="s">
        <v>159</v>
      </c>
      <c r="M5" s="892"/>
      <c r="N5" s="890" t="s">
        <v>158</v>
      </c>
      <c r="O5" s="892"/>
      <c r="P5" s="890" t="s">
        <v>162</v>
      </c>
      <c r="Q5" s="892"/>
      <c r="R5" s="890" t="s">
        <v>169</v>
      </c>
      <c r="S5" s="892"/>
      <c r="T5" s="890"/>
      <c r="U5" s="892"/>
      <c r="V5" s="890"/>
      <c r="W5" s="892"/>
      <c r="X5" s="535"/>
      <c r="Y5" s="864"/>
      <c r="Z5" s="865"/>
      <c r="AA5" s="886"/>
      <c r="AB5" s="897"/>
      <c r="AC5" s="898"/>
      <c r="AD5" s="899"/>
    </row>
    <row r="6" spans="1:30" ht="27.75" customHeight="1" x14ac:dyDescent="0.25">
      <c r="A6" s="882"/>
      <c r="B6" s="833"/>
      <c r="C6" s="336" t="s">
        <v>127</v>
      </c>
      <c r="D6" s="337" t="s">
        <v>128</v>
      </c>
      <c r="E6" s="889"/>
      <c r="F6" s="336" t="s">
        <v>129</v>
      </c>
      <c r="G6" s="336" t="s">
        <v>130</v>
      </c>
      <c r="H6" s="336" t="s">
        <v>129</v>
      </c>
      <c r="I6" s="336" t="s">
        <v>130</v>
      </c>
      <c r="J6" s="336" t="s">
        <v>129</v>
      </c>
      <c r="K6" s="336" t="s">
        <v>130</v>
      </c>
      <c r="L6" s="336" t="s">
        <v>129</v>
      </c>
      <c r="M6" s="336" t="s">
        <v>130</v>
      </c>
      <c r="N6" s="336" t="s">
        <v>129</v>
      </c>
      <c r="O6" s="336" t="s">
        <v>130</v>
      </c>
      <c r="P6" s="336" t="s">
        <v>129</v>
      </c>
      <c r="Q6" s="336" t="s">
        <v>130</v>
      </c>
      <c r="R6" s="336" t="s">
        <v>129</v>
      </c>
      <c r="S6" s="336" t="s">
        <v>130</v>
      </c>
      <c r="T6" s="336" t="s">
        <v>129</v>
      </c>
      <c r="U6" s="336" t="s">
        <v>130</v>
      </c>
      <c r="V6" s="336" t="s">
        <v>129</v>
      </c>
      <c r="W6" s="336" t="s">
        <v>130</v>
      </c>
      <c r="X6" s="336"/>
      <c r="Y6" s="336" t="s">
        <v>131</v>
      </c>
      <c r="Z6" s="336" t="s">
        <v>130</v>
      </c>
      <c r="AA6" s="336" t="s">
        <v>132</v>
      </c>
      <c r="AB6" s="338" t="s">
        <v>16</v>
      </c>
      <c r="AC6" s="339" t="s">
        <v>25</v>
      </c>
      <c r="AD6" s="339" t="s">
        <v>15</v>
      </c>
    </row>
    <row r="7" spans="1:30" s="340" customFormat="1" ht="12.6" thickBot="1" x14ac:dyDescent="0.3">
      <c r="A7" s="481">
        <v>1</v>
      </c>
      <c r="B7" s="482">
        <v>2</v>
      </c>
      <c r="C7" s="483">
        <v>3</v>
      </c>
      <c r="D7" s="484">
        <v>4</v>
      </c>
      <c r="E7" s="483">
        <v>5</v>
      </c>
      <c r="F7" s="484">
        <v>8</v>
      </c>
      <c r="G7" s="484">
        <v>9</v>
      </c>
      <c r="H7" s="484"/>
      <c r="I7" s="484"/>
      <c r="J7" s="484"/>
      <c r="K7" s="484"/>
      <c r="L7" s="484"/>
      <c r="M7" s="484"/>
      <c r="N7" s="484"/>
      <c r="O7" s="484"/>
      <c r="P7" s="484"/>
      <c r="Q7" s="484"/>
      <c r="R7" s="484"/>
      <c r="S7" s="484"/>
      <c r="T7" s="484"/>
      <c r="U7" s="484"/>
      <c r="V7" s="484"/>
      <c r="W7" s="484"/>
      <c r="X7" s="484"/>
      <c r="Y7" s="485">
        <v>10</v>
      </c>
      <c r="Z7" s="485">
        <v>11</v>
      </c>
      <c r="AA7" s="483">
        <v>12</v>
      </c>
      <c r="AB7" s="483">
        <v>19</v>
      </c>
      <c r="AC7" s="483">
        <v>20</v>
      </c>
      <c r="AD7" s="483">
        <v>21</v>
      </c>
    </row>
    <row r="8" spans="1:30" s="345" customFormat="1" ht="12" customHeight="1" x14ac:dyDescent="0.25">
      <c r="A8" s="910">
        <v>1</v>
      </c>
      <c r="B8" s="926" t="s">
        <v>95</v>
      </c>
      <c r="C8" s="900" t="s">
        <v>53</v>
      </c>
      <c r="D8" s="904">
        <v>9670800</v>
      </c>
      <c r="E8" s="413" t="s">
        <v>133</v>
      </c>
      <c r="F8" s="414" t="s">
        <v>53</v>
      </c>
      <c r="G8" s="486">
        <f>288379.22</f>
        <v>288379.21999999997</v>
      </c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87">
        <v>1</v>
      </c>
      <c r="Z8" s="488">
        <v>288379.21999999997</v>
      </c>
      <c r="AA8" s="907">
        <f>SUM(AB8:AB22)</f>
        <v>8579031.879999999</v>
      </c>
      <c r="AB8" s="489">
        <v>288379.21999999997</v>
      </c>
      <c r="AC8" s="490">
        <v>279386.06</v>
      </c>
      <c r="AD8" s="417">
        <v>8993.16</v>
      </c>
    </row>
    <row r="9" spans="1:30" s="345" customFormat="1" ht="13.8" x14ac:dyDescent="0.25">
      <c r="A9" s="924"/>
      <c r="B9" s="927"/>
      <c r="C9" s="901"/>
      <c r="D9" s="905"/>
      <c r="E9" s="341" t="s">
        <v>134</v>
      </c>
      <c r="F9" s="342" t="s">
        <v>69</v>
      </c>
      <c r="G9" s="366">
        <v>193609.49</v>
      </c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433">
        <v>2</v>
      </c>
      <c r="Z9" s="395">
        <v>193609.49</v>
      </c>
      <c r="AA9" s="908"/>
      <c r="AB9" s="434">
        <v>193609.49</v>
      </c>
      <c r="AC9" s="344">
        <v>193609.49</v>
      </c>
      <c r="AD9" s="491">
        <v>0</v>
      </c>
    </row>
    <row r="10" spans="1:30" s="345" customFormat="1" ht="13.8" x14ac:dyDescent="0.25">
      <c r="A10" s="924"/>
      <c r="B10" s="927"/>
      <c r="C10" s="901"/>
      <c r="D10" s="905"/>
      <c r="E10" s="341" t="s">
        <v>135</v>
      </c>
      <c r="F10" s="342"/>
      <c r="G10" s="342"/>
      <c r="H10" s="342" t="s">
        <v>70</v>
      </c>
      <c r="I10" s="366">
        <v>266283.61</v>
      </c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433">
        <v>3</v>
      </c>
      <c r="Z10" s="395">
        <v>266283.61</v>
      </c>
      <c r="AA10" s="908"/>
      <c r="AB10" s="434">
        <v>266283.61</v>
      </c>
      <c r="AC10" s="344">
        <v>256961.43399999998</v>
      </c>
      <c r="AD10" s="491">
        <v>9322.1759999999995</v>
      </c>
    </row>
    <row r="11" spans="1:30" s="345" customFormat="1" ht="13.8" x14ac:dyDescent="0.25">
      <c r="A11" s="924"/>
      <c r="B11" s="927"/>
      <c r="C11" s="901"/>
      <c r="D11" s="905"/>
      <c r="E11" s="341" t="s">
        <v>136</v>
      </c>
      <c r="F11" s="342"/>
      <c r="G11" s="342"/>
      <c r="H11" s="342" t="s">
        <v>71</v>
      </c>
      <c r="I11" s="366">
        <v>1054954.1000000001</v>
      </c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433">
        <v>4</v>
      </c>
      <c r="Z11" s="395">
        <v>1054954.1000000001</v>
      </c>
      <c r="AA11" s="908"/>
      <c r="AB11" s="434">
        <f>Z11</f>
        <v>1054954.1000000001</v>
      </c>
      <c r="AC11" s="344">
        <v>1043855.2300000001</v>
      </c>
      <c r="AD11" s="491">
        <v>11098.87</v>
      </c>
    </row>
    <row r="12" spans="1:30" s="345" customFormat="1" ht="13.8" x14ac:dyDescent="0.25">
      <c r="A12" s="924"/>
      <c r="B12" s="927"/>
      <c r="C12" s="901"/>
      <c r="D12" s="905"/>
      <c r="E12" s="341" t="s">
        <v>137</v>
      </c>
      <c r="F12" s="342"/>
      <c r="G12" s="344"/>
      <c r="I12" s="367"/>
      <c r="J12" s="367" t="s">
        <v>72</v>
      </c>
      <c r="K12" s="366">
        <v>70786.210000000006</v>
      </c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433">
        <v>5</v>
      </c>
      <c r="Z12" s="395">
        <v>70786.210000000006</v>
      </c>
      <c r="AA12" s="908"/>
      <c r="AB12" s="434">
        <v>70786.210000000006</v>
      </c>
      <c r="AC12" s="368">
        <v>68044.39</v>
      </c>
      <c r="AD12" s="491">
        <v>2741.8199999999997</v>
      </c>
    </row>
    <row r="13" spans="1:30" s="345" customFormat="1" x14ac:dyDescent="0.25">
      <c r="A13" s="924"/>
      <c r="B13" s="927"/>
      <c r="C13" s="901"/>
      <c r="D13" s="905"/>
      <c r="E13" s="341"/>
      <c r="F13" s="342"/>
      <c r="G13" s="344"/>
      <c r="H13" s="367"/>
      <c r="I13" s="367"/>
      <c r="J13" s="342" t="s">
        <v>73</v>
      </c>
      <c r="K13" s="342">
        <v>862817.57</v>
      </c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94">
        <v>6</v>
      </c>
      <c r="Z13" s="395">
        <v>862817.57</v>
      </c>
      <c r="AA13" s="908"/>
      <c r="AB13" s="435">
        <v>862817.57</v>
      </c>
      <c r="AC13" s="344">
        <v>805192.25</v>
      </c>
      <c r="AD13" s="491">
        <v>57625.32</v>
      </c>
    </row>
    <row r="14" spans="1:30" s="345" customFormat="1" x14ac:dyDescent="0.25">
      <c r="A14" s="924"/>
      <c r="B14" s="927"/>
      <c r="C14" s="901"/>
      <c r="D14" s="905"/>
      <c r="E14" s="341"/>
      <c r="F14" s="342"/>
      <c r="G14" s="344"/>
      <c r="H14" s="367"/>
      <c r="I14" s="367"/>
      <c r="J14" s="342" t="s">
        <v>74</v>
      </c>
      <c r="K14" s="342">
        <v>291462.71000000002</v>
      </c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94">
        <v>7</v>
      </c>
      <c r="Z14" s="395">
        <v>291462.71000000002</v>
      </c>
      <c r="AA14" s="908"/>
      <c r="AB14" s="435">
        <v>291462.71000000002</v>
      </c>
      <c r="AC14" s="344">
        <v>280166.43</v>
      </c>
      <c r="AD14" s="491">
        <v>11296.28</v>
      </c>
    </row>
    <row r="15" spans="1:30" s="345" customFormat="1" x14ac:dyDescent="0.25">
      <c r="A15" s="924"/>
      <c r="B15" s="927"/>
      <c r="C15" s="901"/>
      <c r="D15" s="905"/>
      <c r="E15" s="341"/>
      <c r="F15" s="342"/>
      <c r="G15" s="344"/>
      <c r="H15" s="367"/>
      <c r="I15" s="367"/>
      <c r="J15" s="342" t="s">
        <v>77</v>
      </c>
      <c r="K15" s="342">
        <v>449187.01</v>
      </c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94">
        <v>8</v>
      </c>
      <c r="Z15" s="395">
        <f>K15</f>
        <v>449187.01</v>
      </c>
      <c r="AA15" s="908"/>
      <c r="AB15" s="435">
        <f>Z15</f>
        <v>449187.01</v>
      </c>
      <c r="AC15" s="344">
        <v>439722.83</v>
      </c>
      <c r="AD15" s="491">
        <v>9464.18</v>
      </c>
    </row>
    <row r="16" spans="1:30" s="345" customFormat="1" x14ac:dyDescent="0.25">
      <c r="A16" s="924"/>
      <c r="B16" s="927"/>
      <c r="C16" s="901"/>
      <c r="D16" s="905"/>
      <c r="E16" s="341"/>
      <c r="F16" s="342"/>
      <c r="G16" s="344"/>
      <c r="H16" s="367"/>
      <c r="I16" s="367"/>
      <c r="J16" s="342" t="s">
        <v>78</v>
      </c>
      <c r="K16" s="343">
        <v>603287.62</v>
      </c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94">
        <v>9</v>
      </c>
      <c r="Z16" s="395">
        <v>603287.62</v>
      </c>
      <c r="AA16" s="908"/>
      <c r="AB16" s="395">
        <v>603287.62</v>
      </c>
      <c r="AC16" s="344">
        <v>595984.13</v>
      </c>
      <c r="AD16" s="491">
        <v>7303.49</v>
      </c>
    </row>
    <row r="17" spans="1:30" s="345" customFormat="1" x14ac:dyDescent="0.25">
      <c r="A17" s="924"/>
      <c r="B17" s="927"/>
      <c r="C17" s="901"/>
      <c r="D17" s="905"/>
      <c r="E17" s="341" t="s">
        <v>138</v>
      </c>
      <c r="F17" s="367"/>
      <c r="G17" s="367"/>
      <c r="H17" s="367"/>
      <c r="I17" s="367"/>
      <c r="L17" s="342" t="s">
        <v>76</v>
      </c>
      <c r="M17" s="342">
        <v>941673.71</v>
      </c>
      <c r="N17" s="367"/>
      <c r="P17" s="342"/>
      <c r="Q17" s="342"/>
      <c r="R17" s="342"/>
      <c r="S17" s="342"/>
      <c r="T17" s="342"/>
      <c r="U17" s="342"/>
      <c r="V17" s="342"/>
      <c r="W17" s="342"/>
      <c r="X17" s="342"/>
      <c r="Y17" s="394">
        <v>10</v>
      </c>
      <c r="Z17" s="395">
        <f>M17</f>
        <v>941673.71</v>
      </c>
      <c r="AA17" s="908"/>
      <c r="AB17" s="435">
        <f>Z17</f>
        <v>941673.71</v>
      </c>
      <c r="AC17" s="344">
        <f>AB17-AD17</f>
        <v>921997.46600000001</v>
      </c>
      <c r="AD17" s="491">
        <v>19676.243999999999</v>
      </c>
    </row>
    <row r="18" spans="1:30" s="345" customFormat="1" x14ac:dyDescent="0.25">
      <c r="A18" s="924"/>
      <c r="B18" s="927"/>
      <c r="C18" s="901"/>
      <c r="D18" s="905"/>
      <c r="E18" s="341" t="s">
        <v>139</v>
      </c>
      <c r="G18" s="367"/>
      <c r="H18" s="367"/>
      <c r="I18" s="367"/>
      <c r="J18" s="342"/>
      <c r="K18" s="342"/>
      <c r="L18" s="342" t="s">
        <v>79</v>
      </c>
      <c r="M18" s="342">
        <f>Z18</f>
        <v>293363.46999999997</v>
      </c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94">
        <v>11</v>
      </c>
      <c r="Z18" s="395">
        <v>293363.46999999997</v>
      </c>
      <c r="AA18" s="908"/>
      <c r="AB18" s="435">
        <f>Z18</f>
        <v>293363.46999999997</v>
      </c>
      <c r="AC18" s="344">
        <v>290271.42</v>
      </c>
      <c r="AD18" s="491">
        <v>3092.05</v>
      </c>
    </row>
    <row r="19" spans="1:30" s="345" customFormat="1" x14ac:dyDescent="0.25">
      <c r="A19" s="924"/>
      <c r="B19" s="927"/>
      <c r="C19" s="901"/>
      <c r="D19" s="905"/>
      <c r="E19" s="341" t="s">
        <v>140</v>
      </c>
      <c r="F19" s="367"/>
      <c r="G19" s="367"/>
      <c r="H19" s="367"/>
      <c r="I19" s="367"/>
      <c r="J19" s="342"/>
      <c r="K19" s="342"/>
      <c r="L19" s="393" t="s">
        <v>75</v>
      </c>
      <c r="M19" s="393">
        <v>372983.72</v>
      </c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94">
        <v>12</v>
      </c>
      <c r="Z19" s="395">
        <f>M19</f>
        <v>372983.72</v>
      </c>
      <c r="AA19" s="908"/>
      <c r="AB19" s="435">
        <f>Z19</f>
        <v>372983.72</v>
      </c>
      <c r="AC19" s="344">
        <v>368468.62</v>
      </c>
      <c r="AD19" s="491">
        <v>4515.1000000000004</v>
      </c>
    </row>
    <row r="20" spans="1:30" s="345" customFormat="1" x14ac:dyDescent="0.25">
      <c r="A20" s="924"/>
      <c r="B20" s="927"/>
      <c r="C20" s="901"/>
      <c r="D20" s="905"/>
      <c r="E20" s="341" t="s">
        <v>141</v>
      </c>
      <c r="F20" s="367"/>
      <c r="G20" s="442"/>
      <c r="H20" s="367"/>
      <c r="I20" s="367"/>
      <c r="J20" s="342"/>
      <c r="K20" s="342"/>
      <c r="L20" s="342"/>
      <c r="M20" s="342"/>
      <c r="N20" s="393" t="s">
        <v>80</v>
      </c>
      <c r="O20" s="393">
        <v>354144.6</v>
      </c>
      <c r="P20" s="342"/>
      <c r="Q20" s="342"/>
      <c r="R20" s="342"/>
      <c r="S20" s="342"/>
      <c r="T20" s="342"/>
      <c r="U20" s="342"/>
      <c r="V20" s="342"/>
      <c r="W20" s="342"/>
      <c r="X20" s="342"/>
      <c r="Y20" s="393" t="s">
        <v>80</v>
      </c>
      <c r="Z20" s="393">
        <v>354144.6</v>
      </c>
      <c r="AA20" s="908"/>
      <c r="AB20" s="435">
        <v>354144.6</v>
      </c>
      <c r="AC20" s="344">
        <f>Z20-AD20</f>
        <v>349857.55</v>
      </c>
      <c r="AD20" s="491">
        <v>4287.05</v>
      </c>
    </row>
    <row r="21" spans="1:30" s="345" customFormat="1" x14ac:dyDescent="0.25">
      <c r="A21" s="924"/>
      <c r="B21" s="927"/>
      <c r="C21" s="902"/>
      <c r="D21" s="905"/>
      <c r="E21" s="341" t="s">
        <v>142</v>
      </c>
      <c r="F21" s="367"/>
      <c r="G21" s="367"/>
      <c r="H21" s="367"/>
      <c r="I21" s="367"/>
      <c r="J21" s="342"/>
      <c r="K21" s="342"/>
      <c r="L21" s="342"/>
      <c r="M21" s="342"/>
      <c r="N21" s="393" t="s">
        <v>81</v>
      </c>
      <c r="O21" s="393">
        <v>177987.94</v>
      </c>
      <c r="P21" s="367"/>
      <c r="Q21" s="367"/>
      <c r="R21" s="342"/>
      <c r="S21" s="342"/>
      <c r="T21" s="342"/>
      <c r="U21" s="342"/>
      <c r="V21" s="342"/>
      <c r="W21" s="342"/>
      <c r="X21" s="342"/>
      <c r="Y21" s="393" t="s">
        <v>81</v>
      </c>
      <c r="Z21" s="395">
        <f>O21</f>
        <v>177987.94</v>
      </c>
      <c r="AA21" s="908"/>
      <c r="AB21" s="395">
        <v>177987.94</v>
      </c>
      <c r="AC21" s="344">
        <f>AB21-AD21</f>
        <v>160077.57</v>
      </c>
      <c r="AD21" s="491">
        <v>17910.37</v>
      </c>
    </row>
    <row r="22" spans="1:30" s="345" customFormat="1" ht="12.6" thickBot="1" x14ac:dyDescent="0.3">
      <c r="A22" s="925"/>
      <c r="B22" s="928"/>
      <c r="C22" s="903"/>
      <c r="D22" s="906"/>
      <c r="E22" s="420" t="s">
        <v>143</v>
      </c>
      <c r="F22" s="421"/>
      <c r="G22" s="421"/>
      <c r="H22" s="421"/>
      <c r="I22" s="421"/>
      <c r="J22" s="421"/>
      <c r="K22" s="421"/>
      <c r="L22" s="421"/>
      <c r="M22" s="421"/>
      <c r="N22" s="492"/>
      <c r="O22" s="492"/>
      <c r="P22" s="493" t="s">
        <v>161</v>
      </c>
      <c r="Q22" s="421">
        <v>2358110.9</v>
      </c>
      <c r="R22" s="421"/>
      <c r="S22" s="421"/>
      <c r="T22" s="421"/>
      <c r="U22" s="421"/>
      <c r="V22" s="421"/>
      <c r="W22" s="421"/>
      <c r="X22" s="421"/>
      <c r="Y22" s="493" t="s">
        <v>161</v>
      </c>
      <c r="Z22" s="494">
        <f>Q22</f>
        <v>2358110.9</v>
      </c>
      <c r="AA22" s="909"/>
      <c r="AB22" s="495">
        <f>Z22</f>
        <v>2358110.9</v>
      </c>
      <c r="AC22" s="496">
        <v>1910403.5699999998</v>
      </c>
      <c r="AD22" s="424">
        <v>447707.33</v>
      </c>
    </row>
    <row r="23" spans="1:30" s="345" customFormat="1" ht="12.6" customHeight="1" x14ac:dyDescent="0.25">
      <c r="A23" s="506"/>
      <c r="B23" s="444"/>
      <c r="C23" s="507"/>
      <c r="D23" s="508"/>
      <c r="E23" s="509"/>
      <c r="F23" s="407"/>
      <c r="G23" s="408"/>
      <c r="H23" s="408"/>
      <c r="I23" s="408"/>
      <c r="J23" s="408"/>
      <c r="K23" s="408"/>
      <c r="L23" s="408"/>
      <c r="M23" s="408"/>
      <c r="N23" s="408"/>
      <c r="O23" s="408"/>
      <c r="P23" s="408"/>
      <c r="Q23" s="408"/>
      <c r="R23" s="408"/>
      <c r="S23" s="408"/>
      <c r="T23" s="408"/>
      <c r="U23" s="408"/>
      <c r="V23" s="408"/>
      <c r="W23" s="408"/>
      <c r="X23" s="408"/>
      <c r="Y23" s="409" t="s">
        <v>151</v>
      </c>
      <c r="Z23" s="410">
        <f>SUM(Z8:Z22)</f>
        <v>8579031.879999999</v>
      </c>
      <c r="AA23" s="411"/>
      <c r="AB23" s="408">
        <f>SUM(AB8:AB22)</f>
        <v>8579031.879999999</v>
      </c>
      <c r="AC23" s="408">
        <f>SUM(AC8:AC22)</f>
        <v>7963998.4400000013</v>
      </c>
      <c r="AD23" s="412">
        <f>SUM(AD8:AD22)</f>
        <v>615033.43999999994</v>
      </c>
    </row>
    <row r="24" spans="1:30" s="345" customFormat="1" ht="12.6" thickBot="1" x14ac:dyDescent="0.3">
      <c r="A24" s="510"/>
      <c r="B24" s="511"/>
      <c r="C24" s="512"/>
      <c r="D24" s="513"/>
      <c r="E24" s="514"/>
      <c r="F24" s="515"/>
      <c r="G24" s="515"/>
      <c r="H24" s="515"/>
      <c r="I24" s="515"/>
      <c r="J24" s="515"/>
      <c r="K24" s="515"/>
      <c r="L24" s="515"/>
      <c r="M24" s="515"/>
      <c r="N24" s="515"/>
      <c r="O24" s="515"/>
      <c r="P24" s="515"/>
      <c r="Q24" s="515"/>
      <c r="R24" s="515"/>
      <c r="S24" s="515"/>
      <c r="T24" s="515"/>
      <c r="U24" s="515"/>
      <c r="V24" s="515"/>
      <c r="W24" s="515"/>
      <c r="X24" s="515"/>
      <c r="Y24" s="516"/>
      <c r="Z24" s="517"/>
      <c r="AA24" s="518"/>
      <c r="AB24" s="515"/>
      <c r="AC24" s="515"/>
      <c r="AD24" s="519"/>
    </row>
    <row r="25" spans="1:30" s="345" customFormat="1" ht="16.8" customHeight="1" x14ac:dyDescent="0.25">
      <c r="A25" s="919">
        <v>2</v>
      </c>
      <c r="B25" s="920" t="s">
        <v>160</v>
      </c>
      <c r="C25" s="883" t="s">
        <v>153</v>
      </c>
      <c r="D25" s="497">
        <v>281803.98</v>
      </c>
      <c r="E25" s="498"/>
      <c r="F25" s="499"/>
      <c r="G25" s="499"/>
      <c r="H25" s="499"/>
      <c r="I25" s="499"/>
      <c r="J25" s="499"/>
      <c r="K25" s="499"/>
      <c r="L25" s="500"/>
      <c r="M25" s="499"/>
      <c r="N25" s="500"/>
      <c r="O25" s="500"/>
      <c r="P25" s="501" t="s">
        <v>53</v>
      </c>
      <c r="Q25" s="502">
        <v>281803.98</v>
      </c>
      <c r="R25" s="499"/>
      <c r="S25" s="499"/>
      <c r="T25" s="499"/>
      <c r="U25" s="499"/>
      <c r="V25" s="499"/>
      <c r="W25" s="499"/>
      <c r="X25" s="499"/>
      <c r="Y25" s="501" t="s">
        <v>53</v>
      </c>
      <c r="Z25" s="503">
        <v>281803.98</v>
      </c>
      <c r="AA25" s="922">
        <f>SUM(AB25:AB26)</f>
        <v>281803.98</v>
      </c>
      <c r="AB25" s="504">
        <f>AC25+AD25</f>
        <v>281803.98</v>
      </c>
      <c r="AC25" s="504">
        <f>Z25-AD25</f>
        <v>251804.02999999997</v>
      </c>
      <c r="AD25" s="505">
        <v>29999.95</v>
      </c>
    </row>
    <row r="26" spans="1:30" s="345" customFormat="1" ht="15.6" customHeight="1" thickBot="1" x14ac:dyDescent="0.3">
      <c r="A26" s="912"/>
      <c r="B26" s="921"/>
      <c r="C26" s="903"/>
      <c r="D26" s="428"/>
      <c r="E26" s="429"/>
      <c r="F26" s="430"/>
      <c r="G26" s="430"/>
      <c r="H26" s="430"/>
      <c r="I26" s="430"/>
      <c r="J26" s="430"/>
      <c r="K26" s="430"/>
      <c r="L26" s="430"/>
      <c r="M26" s="430"/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Y26" s="431"/>
      <c r="Z26" s="439"/>
      <c r="AA26" s="923"/>
      <c r="AB26" s="440"/>
      <c r="AC26" s="440"/>
      <c r="AD26" s="441"/>
    </row>
    <row r="27" spans="1:30" s="345" customFormat="1" ht="12" customHeight="1" x14ac:dyDescent="0.25">
      <c r="A27" s="910">
        <v>3</v>
      </c>
      <c r="B27" s="913" t="s">
        <v>98</v>
      </c>
      <c r="C27" s="532"/>
      <c r="D27" s="916">
        <v>131336.26</v>
      </c>
      <c r="E27" s="413"/>
      <c r="F27" s="414"/>
      <c r="G27" s="414"/>
      <c r="H27" s="414" t="s">
        <v>53</v>
      </c>
      <c r="I27" s="414">
        <v>110363.99</v>
      </c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5">
        <v>1</v>
      </c>
      <c r="Z27" s="416">
        <f>I27</f>
        <v>110363.99</v>
      </c>
      <c r="AA27" s="443">
        <f>AB27</f>
        <v>110363.99</v>
      </c>
      <c r="AB27" s="414">
        <f>I27</f>
        <v>110363.99</v>
      </c>
      <c r="AC27" s="414">
        <f>AB27-AD27</f>
        <v>85118.37000000001</v>
      </c>
      <c r="AD27" s="417">
        <v>25245.62</v>
      </c>
    </row>
    <row r="28" spans="1:30" s="345" customFormat="1" ht="12" customHeight="1" x14ac:dyDescent="0.25">
      <c r="A28" s="911"/>
      <c r="B28" s="914"/>
      <c r="C28" s="533"/>
      <c r="D28" s="917"/>
      <c r="E28" s="341"/>
      <c r="F28" s="342"/>
      <c r="G28" s="342"/>
      <c r="H28" s="342"/>
      <c r="I28" s="342"/>
      <c r="AD28" s="418"/>
    </row>
    <row r="29" spans="1:30" s="345" customFormat="1" ht="12.6" thickBot="1" x14ac:dyDescent="0.3">
      <c r="A29" s="912"/>
      <c r="B29" s="915"/>
      <c r="C29" s="419"/>
      <c r="D29" s="918"/>
      <c r="E29" s="420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2"/>
      <c r="Z29" s="423"/>
      <c r="AA29" s="523"/>
      <c r="AB29" s="421"/>
      <c r="AC29" s="421"/>
      <c r="AD29" s="424"/>
    </row>
    <row r="30" spans="1:30" s="345" customFormat="1" ht="16.2" customHeight="1" x14ac:dyDescent="0.25">
      <c r="A30" s="929">
        <f>A8+1</f>
        <v>2</v>
      </c>
      <c r="B30" s="930" t="s">
        <v>155</v>
      </c>
      <c r="C30" s="933" t="str">
        <f>'[1]ДЦ Замовник'!E17</f>
        <v>№2</v>
      </c>
      <c r="D30" s="934" t="e">
        <f>'ДЦ Замовник'!#REF!</f>
        <v>#REF!</v>
      </c>
      <c r="E30" s="450" t="s">
        <v>144</v>
      </c>
      <c r="F30" s="432"/>
      <c r="G30" s="432"/>
      <c r="H30" s="432" t="s">
        <v>53</v>
      </c>
      <c r="I30" s="432">
        <v>111154.22</v>
      </c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 t="s">
        <v>53</v>
      </c>
      <c r="Z30" s="432">
        <v>111154.22</v>
      </c>
      <c r="AA30" s="937">
        <f>SUM(AB30:AB44)</f>
        <v>2293462.2600000002</v>
      </c>
      <c r="AB30" s="432">
        <v>111154.22</v>
      </c>
      <c r="AC30" s="432">
        <f>AB30-AD30</f>
        <v>44105.48000000001</v>
      </c>
      <c r="AD30" s="451">
        <f>55873.95*1.2</f>
        <v>67048.739999999991</v>
      </c>
    </row>
    <row r="31" spans="1:30" s="345" customFormat="1" ht="12" customHeight="1" x14ac:dyDescent="0.25">
      <c r="A31" s="938"/>
      <c r="B31" s="940"/>
      <c r="C31" s="942"/>
      <c r="D31" s="944"/>
      <c r="E31" s="369" t="s">
        <v>145</v>
      </c>
      <c r="F31" s="370"/>
      <c r="G31" s="370"/>
      <c r="H31" s="370"/>
      <c r="I31" s="370"/>
      <c r="J31" s="370" t="s">
        <v>69</v>
      </c>
      <c r="K31" s="370">
        <v>99020.51</v>
      </c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3" t="s">
        <v>69</v>
      </c>
      <c r="Z31" s="374">
        <f>K31</f>
        <v>99020.51</v>
      </c>
      <c r="AA31" s="902"/>
      <c r="AB31" s="370">
        <f>K31</f>
        <v>99020.51</v>
      </c>
      <c r="AC31" s="370">
        <v>53748.149999999994</v>
      </c>
      <c r="AD31" s="452">
        <v>45272.36</v>
      </c>
    </row>
    <row r="32" spans="1:30" s="345" customFormat="1" ht="12" customHeight="1" x14ac:dyDescent="0.25">
      <c r="A32" s="938"/>
      <c r="B32" s="940"/>
      <c r="C32" s="902"/>
      <c r="D32" s="944"/>
      <c r="E32" s="369"/>
      <c r="F32" s="370"/>
      <c r="G32" s="370"/>
      <c r="H32" s="370"/>
      <c r="I32" s="370"/>
      <c r="J32" s="370" t="s">
        <v>70</v>
      </c>
      <c r="K32" s="372">
        <v>345752.57</v>
      </c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 t="s">
        <v>70</v>
      </c>
      <c r="Z32" s="372">
        <v>345752.57</v>
      </c>
      <c r="AA32" s="902"/>
      <c r="AB32" s="372">
        <v>345752.57</v>
      </c>
      <c r="AC32" s="372">
        <v>231533.51</v>
      </c>
      <c r="AD32" s="452">
        <v>114219.06</v>
      </c>
    </row>
    <row r="33" spans="1:30" s="345" customFormat="1" ht="12" customHeight="1" x14ac:dyDescent="0.25">
      <c r="A33" s="938"/>
      <c r="B33" s="940"/>
      <c r="C33" s="902"/>
      <c r="D33" s="944"/>
      <c r="E33" s="369"/>
      <c r="F33" s="370"/>
      <c r="G33" s="370"/>
      <c r="H33" s="370"/>
      <c r="I33" s="370"/>
      <c r="J33" s="370" t="s">
        <v>71</v>
      </c>
      <c r="K33" s="371">
        <v>103230.59</v>
      </c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 t="e">
        <f>D30-Z45</f>
        <v>#REF!</v>
      </c>
      <c r="W33" s="370"/>
      <c r="X33" s="370"/>
      <c r="Y33" s="370" t="s">
        <v>71</v>
      </c>
      <c r="Z33" s="371">
        <v>103230.59</v>
      </c>
      <c r="AA33" s="902"/>
      <c r="AB33" s="371">
        <v>103230.59</v>
      </c>
      <c r="AC33" s="372">
        <v>30347.26999999999</v>
      </c>
      <c r="AD33" s="452">
        <v>72883.320000000007</v>
      </c>
    </row>
    <row r="34" spans="1:30" s="345" customFormat="1" ht="12" customHeight="1" x14ac:dyDescent="0.25">
      <c r="A34" s="938"/>
      <c r="B34" s="940"/>
      <c r="C34" s="902"/>
      <c r="D34" s="944"/>
      <c r="E34" s="369"/>
      <c r="F34" s="370"/>
      <c r="G34" s="370"/>
      <c r="H34" s="370"/>
      <c r="I34" s="370"/>
      <c r="J34" s="370" t="s">
        <v>72</v>
      </c>
      <c r="K34" s="371">
        <v>58541.36</v>
      </c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 t="s">
        <v>72</v>
      </c>
      <c r="Z34" s="371">
        <v>58541.36</v>
      </c>
      <c r="AA34" s="902"/>
      <c r="AB34" s="371">
        <v>58541.36</v>
      </c>
      <c r="AC34" s="372">
        <v>33049.979999999996</v>
      </c>
      <c r="AD34" s="452">
        <v>25491.38</v>
      </c>
    </row>
    <row r="35" spans="1:30" s="345" customFormat="1" ht="12" customHeight="1" x14ac:dyDescent="0.25">
      <c r="A35" s="938"/>
      <c r="B35" s="940"/>
      <c r="C35" s="902"/>
      <c r="D35" s="944"/>
      <c r="E35" s="369"/>
      <c r="F35" s="370"/>
      <c r="G35" s="370"/>
      <c r="H35" s="370"/>
      <c r="I35" s="370"/>
      <c r="J35" s="370"/>
      <c r="K35" s="370"/>
      <c r="L35" s="370" t="s">
        <v>73</v>
      </c>
      <c r="M35" s="371">
        <v>20510.87</v>
      </c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 t="s">
        <v>73</v>
      </c>
      <c r="Z35" s="371">
        <v>20510.87</v>
      </c>
      <c r="AA35" s="902"/>
      <c r="AB35" s="371">
        <v>20510.87</v>
      </c>
      <c r="AC35" s="372">
        <f>Z35-AD35</f>
        <v>19006.322</v>
      </c>
      <c r="AD35" s="452">
        <v>1504.548</v>
      </c>
    </row>
    <row r="36" spans="1:30" s="345" customFormat="1" ht="12" customHeight="1" x14ac:dyDescent="0.25">
      <c r="A36" s="938"/>
      <c r="B36" s="940"/>
      <c r="C36" s="902"/>
      <c r="D36" s="944"/>
      <c r="E36" s="369"/>
      <c r="F36" s="370"/>
      <c r="G36" s="370"/>
      <c r="H36" s="370"/>
      <c r="I36" s="370"/>
      <c r="J36" s="370"/>
      <c r="K36" s="370"/>
      <c r="L36" s="370" t="s">
        <v>74</v>
      </c>
      <c r="M36" s="370">
        <f>Z36</f>
        <v>112396.12</v>
      </c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 t="s">
        <v>74</v>
      </c>
      <c r="Z36" s="371">
        <v>112396.12</v>
      </c>
      <c r="AA36" s="902"/>
      <c r="AB36" s="372">
        <f t="shared" ref="AB36:AB38" si="0">Z36</f>
        <v>112396.12</v>
      </c>
      <c r="AC36" s="372">
        <v>57471.423999999999</v>
      </c>
      <c r="AD36" s="452">
        <v>54924.696000000004</v>
      </c>
    </row>
    <row r="37" spans="1:30" s="345" customFormat="1" ht="12" customHeight="1" x14ac:dyDescent="0.25">
      <c r="A37" s="938"/>
      <c r="B37" s="940"/>
      <c r="C37" s="902"/>
      <c r="D37" s="944"/>
      <c r="E37" s="369"/>
      <c r="F37" s="370"/>
      <c r="G37" s="370"/>
      <c r="H37" s="370"/>
      <c r="I37" s="370"/>
      <c r="J37" s="370"/>
      <c r="K37" s="370"/>
      <c r="L37" s="370" t="s">
        <v>77</v>
      </c>
      <c r="M37" s="370">
        <v>36533.03</v>
      </c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 t="s">
        <v>77</v>
      </c>
      <c r="Z37" s="371">
        <f>M37</f>
        <v>36533.03</v>
      </c>
      <c r="AA37" s="902"/>
      <c r="AB37" s="372">
        <f t="shared" si="0"/>
        <v>36533.03</v>
      </c>
      <c r="AC37" s="372">
        <v>32587.68</v>
      </c>
      <c r="AD37" s="452">
        <v>3945.35</v>
      </c>
    </row>
    <row r="38" spans="1:30" s="345" customFormat="1" ht="12" customHeight="1" x14ac:dyDescent="0.25">
      <c r="A38" s="938"/>
      <c r="B38" s="940"/>
      <c r="C38" s="902"/>
      <c r="D38" s="944"/>
      <c r="E38" s="369"/>
      <c r="F38" s="370"/>
      <c r="G38" s="370"/>
      <c r="H38" s="370"/>
      <c r="I38" s="370"/>
      <c r="J38" s="370"/>
      <c r="K38" s="370"/>
      <c r="L38" s="370" t="s">
        <v>78</v>
      </c>
      <c r="M38" s="370">
        <v>282807.74</v>
      </c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 t="s">
        <v>78</v>
      </c>
      <c r="Z38" s="371">
        <f>M38</f>
        <v>282807.74</v>
      </c>
      <c r="AA38" s="902"/>
      <c r="AB38" s="372">
        <f t="shared" si="0"/>
        <v>282807.74</v>
      </c>
      <c r="AC38" s="372">
        <f t="shared" ref="AC38:AC44" si="1">AB38-AD38</f>
        <v>157013.31</v>
      </c>
      <c r="AD38" s="452">
        <v>125794.43</v>
      </c>
    </row>
    <row r="39" spans="1:30" s="345" customFormat="1" ht="12" customHeight="1" x14ac:dyDescent="0.25">
      <c r="A39" s="938"/>
      <c r="B39" s="940"/>
      <c r="C39" s="902"/>
      <c r="D39" s="944"/>
      <c r="E39" s="375"/>
      <c r="F39" s="372"/>
      <c r="G39" s="372"/>
      <c r="H39" s="372"/>
      <c r="I39" s="372"/>
      <c r="J39" s="372"/>
      <c r="K39" s="372"/>
      <c r="L39" s="372"/>
      <c r="M39" s="372"/>
      <c r="N39" s="520"/>
      <c r="O39" s="525"/>
      <c r="P39" s="520"/>
      <c r="Q39" s="520"/>
      <c r="R39" s="370" t="s">
        <v>76</v>
      </c>
      <c r="S39" s="524">
        <v>236670.38</v>
      </c>
      <c r="T39" s="372"/>
      <c r="U39" s="372"/>
      <c r="V39" s="372"/>
      <c r="W39" s="372" t="s">
        <v>163</v>
      </c>
      <c r="X39" s="370">
        <f>Z39+Z43+Z44</f>
        <v>596567.15</v>
      </c>
      <c r="Y39" s="528" t="s">
        <v>76</v>
      </c>
      <c r="Z39" s="524">
        <v>236670.38</v>
      </c>
      <c r="AA39" s="902"/>
      <c r="AB39" s="524">
        <v>236670.38</v>
      </c>
      <c r="AC39" s="526">
        <f t="shared" si="1"/>
        <v>135826.63</v>
      </c>
      <c r="AD39" s="527">
        <v>100843.75</v>
      </c>
    </row>
    <row r="40" spans="1:30" s="345" customFormat="1" ht="12" customHeight="1" x14ac:dyDescent="0.25">
      <c r="A40" s="938"/>
      <c r="B40" s="940"/>
      <c r="C40" s="902"/>
      <c r="D40" s="944"/>
      <c r="E40" s="375"/>
      <c r="F40" s="372"/>
      <c r="G40" s="372"/>
      <c r="H40" s="372"/>
      <c r="I40" s="372"/>
      <c r="J40" s="372"/>
      <c r="K40" s="372"/>
      <c r="L40" s="372"/>
      <c r="M40" s="372"/>
      <c r="N40" s="520"/>
      <c r="O40" s="525"/>
      <c r="P40" s="520"/>
      <c r="Q40" s="520"/>
      <c r="R40" s="370" t="s">
        <v>79</v>
      </c>
      <c r="S40" s="524">
        <v>78675.94</v>
      </c>
      <c r="T40" s="372"/>
      <c r="U40" s="372"/>
      <c r="V40" s="372"/>
      <c r="W40" s="372" t="s">
        <v>164</v>
      </c>
      <c r="X40" s="370" t="e">
        <f>X39+'Реєстр АВР '!#REF!+'Реєстр АВР '!#REF!+'Реєстр АВР '!#REF!+'Реєстр АВР '!#REF!</f>
        <v>#REF!</v>
      </c>
      <c r="Y40" s="528" t="s">
        <v>79</v>
      </c>
      <c r="Z40" s="536">
        <v>78675.94</v>
      </c>
      <c r="AA40" s="902"/>
      <c r="AB40" s="524">
        <v>78675.94</v>
      </c>
      <c r="AC40" s="526">
        <f t="shared" si="1"/>
        <v>32607.32</v>
      </c>
      <c r="AD40" s="527">
        <v>46068.62</v>
      </c>
    </row>
    <row r="41" spans="1:30" s="345" customFormat="1" ht="12" customHeight="1" x14ac:dyDescent="0.25">
      <c r="A41" s="938"/>
      <c r="B41" s="940"/>
      <c r="C41" s="902"/>
      <c r="D41" s="944"/>
      <c r="E41" s="521"/>
      <c r="F41" s="396"/>
      <c r="G41" s="397"/>
      <c r="H41" s="397"/>
      <c r="I41" s="397"/>
      <c r="J41" s="397"/>
      <c r="K41" s="397"/>
      <c r="L41" s="397"/>
      <c r="M41" s="397"/>
      <c r="N41" s="522"/>
      <c r="O41" s="522"/>
      <c r="P41" s="520"/>
      <c r="Q41" s="520"/>
      <c r="R41" s="370" t="s">
        <v>75</v>
      </c>
      <c r="S41" s="524">
        <v>83218.66</v>
      </c>
      <c r="T41" s="372"/>
      <c r="U41" s="372"/>
      <c r="V41" s="372"/>
      <c r="W41" s="372" t="s">
        <v>165</v>
      </c>
      <c r="X41" s="370"/>
      <c r="Y41" s="528" t="s">
        <v>75</v>
      </c>
      <c r="Z41" s="536">
        <v>75489.289999999994</v>
      </c>
      <c r="AA41" s="902"/>
      <c r="AB41" s="524">
        <f>Z41</f>
        <v>75489.289999999994</v>
      </c>
      <c r="AC41" s="526">
        <f t="shared" si="1"/>
        <v>31514.699999999997</v>
      </c>
      <c r="AD41" s="526">
        <v>43974.59</v>
      </c>
    </row>
    <row r="42" spans="1:30" s="345" customFormat="1" ht="12" customHeight="1" x14ac:dyDescent="0.25">
      <c r="A42" s="938"/>
      <c r="B42" s="940"/>
      <c r="C42" s="902"/>
      <c r="D42" s="944"/>
      <c r="E42" s="521"/>
      <c r="F42" s="396"/>
      <c r="G42" s="397"/>
      <c r="H42" s="397"/>
      <c r="I42" s="397"/>
      <c r="J42" s="397"/>
      <c r="K42" s="397"/>
      <c r="L42" s="397"/>
      <c r="M42" s="397"/>
      <c r="N42" s="522"/>
      <c r="O42" s="522"/>
      <c r="P42" s="520"/>
      <c r="Q42" s="520"/>
      <c r="R42" s="370" t="s">
        <v>80</v>
      </c>
      <c r="S42" s="524">
        <f>Z42</f>
        <v>372782.87</v>
      </c>
      <c r="T42" s="372"/>
      <c r="U42" s="372"/>
      <c r="V42" s="372"/>
      <c r="W42" s="372" t="s">
        <v>166</v>
      </c>
      <c r="X42" s="370"/>
      <c r="Y42" s="528" t="s">
        <v>80</v>
      </c>
      <c r="Z42" s="537">
        <v>372782.87</v>
      </c>
      <c r="AA42" s="902"/>
      <c r="AB42" s="524">
        <f>Z42</f>
        <v>372782.87</v>
      </c>
      <c r="AC42" s="526">
        <f t="shared" si="1"/>
        <v>152785.19</v>
      </c>
      <c r="AD42" s="526">
        <v>219997.68</v>
      </c>
    </row>
    <row r="43" spans="1:30" s="345" customFormat="1" ht="12" customHeight="1" x14ac:dyDescent="0.25">
      <c r="A43" s="938"/>
      <c r="B43" s="940"/>
      <c r="C43" s="902"/>
      <c r="D43" s="944"/>
      <c r="E43" s="521"/>
      <c r="F43" s="396"/>
      <c r="G43" s="397"/>
      <c r="H43" s="397"/>
      <c r="I43" s="397"/>
      <c r="J43" s="397"/>
      <c r="K43" s="397"/>
      <c r="L43" s="397"/>
      <c r="M43" s="397"/>
      <c r="N43" s="522"/>
      <c r="O43" s="522"/>
      <c r="P43" s="520"/>
      <c r="Q43" s="520"/>
      <c r="R43" s="370" t="s">
        <v>81</v>
      </c>
      <c r="S43" s="524">
        <v>328788.28999999998</v>
      </c>
      <c r="T43" s="372"/>
      <c r="U43" s="372"/>
      <c r="V43" s="372"/>
      <c r="W43" s="372" t="s">
        <v>167</v>
      </c>
      <c r="X43" s="370"/>
      <c r="Y43" s="528" t="s">
        <v>81</v>
      </c>
      <c r="Z43" s="524">
        <v>356228.86</v>
      </c>
      <c r="AA43" s="902"/>
      <c r="AB43" s="524">
        <f>Z43</f>
        <v>356228.86</v>
      </c>
      <c r="AC43" s="526">
        <f t="shared" si="1"/>
        <v>201417.03999999998</v>
      </c>
      <c r="AD43" s="526">
        <v>154811.82</v>
      </c>
    </row>
    <row r="44" spans="1:30" s="345" customFormat="1" ht="12" customHeight="1" x14ac:dyDescent="0.25">
      <c r="A44" s="938"/>
      <c r="B44" s="940"/>
      <c r="C44" s="902"/>
      <c r="D44" s="944"/>
      <c r="E44" s="521"/>
      <c r="F44" s="396"/>
      <c r="G44" s="397"/>
      <c r="H44" s="397"/>
      <c r="I44" s="397"/>
      <c r="J44" s="397"/>
      <c r="K44" s="397"/>
      <c r="L44" s="397"/>
      <c r="M44" s="397"/>
      <c r="N44" s="522"/>
      <c r="O44" s="522"/>
      <c r="P44" s="520"/>
      <c r="Q44" s="520"/>
      <c r="R44" s="370" t="s">
        <v>161</v>
      </c>
      <c r="S44" s="524">
        <v>12657.74</v>
      </c>
      <c r="T44" s="372"/>
      <c r="U44" s="372"/>
      <c r="V44" s="372"/>
      <c r="W44" s="372" t="s">
        <v>168</v>
      </c>
      <c r="X44" s="370"/>
      <c r="Y44" s="528" t="s">
        <v>161</v>
      </c>
      <c r="Z44" s="524">
        <v>3667.91</v>
      </c>
      <c r="AA44" s="902"/>
      <c r="AB44" s="524">
        <f>Z44</f>
        <v>3667.91</v>
      </c>
      <c r="AC44" s="526">
        <f t="shared" si="1"/>
        <v>2114.5099999999998</v>
      </c>
      <c r="AD44" s="526">
        <v>1553.4</v>
      </c>
    </row>
    <row r="45" spans="1:30" s="345" customFormat="1" ht="12" customHeight="1" thickBot="1" x14ac:dyDescent="0.3">
      <c r="A45" s="939"/>
      <c r="B45" s="941"/>
      <c r="C45" s="903"/>
      <c r="D45" s="945"/>
      <c r="E45" s="453"/>
      <c r="F45" s="445"/>
      <c r="G45" s="446"/>
      <c r="H45" s="446"/>
      <c r="I45" s="446"/>
      <c r="J45" s="446"/>
      <c r="K45" s="446"/>
      <c r="L45" s="446"/>
      <c r="M45" s="446"/>
      <c r="N45" s="446"/>
      <c r="O45" s="446"/>
      <c r="P45" s="520"/>
      <c r="Q45" s="520"/>
      <c r="R45" s="520"/>
      <c r="S45" s="520"/>
      <c r="T45" s="372"/>
      <c r="U45" s="372"/>
      <c r="V45" s="372"/>
      <c r="W45" s="446"/>
      <c r="X45" s="446"/>
      <c r="Y45" s="431" t="s">
        <v>151</v>
      </c>
      <c r="Z45" s="430">
        <f>SUM(Z30:Z44)</f>
        <v>2293462.2600000002</v>
      </c>
      <c r="AA45" s="479"/>
      <c r="AB45" s="430">
        <f>SUM(AB30:AB44)</f>
        <v>2293462.2600000002</v>
      </c>
      <c r="AC45" s="430">
        <f>SUM(AC30:AC40)</f>
        <v>827297.07599999988</v>
      </c>
      <c r="AD45" s="480">
        <f>AB45-AC45</f>
        <v>1466165.1840000004</v>
      </c>
    </row>
    <row r="46" spans="1:30" s="345" customFormat="1" ht="12" customHeight="1" thickBot="1" x14ac:dyDescent="0.3">
      <c r="A46" s="454"/>
      <c r="B46" s="455"/>
      <c r="C46" s="456"/>
      <c r="D46" s="457"/>
      <c r="E46" s="458"/>
      <c r="F46" s="459"/>
      <c r="G46" s="459"/>
      <c r="H46" s="459"/>
      <c r="I46" s="459"/>
      <c r="J46" s="459"/>
      <c r="K46" s="459"/>
      <c r="L46" s="459"/>
      <c r="M46" s="459"/>
      <c r="N46" s="459"/>
      <c r="O46" s="459"/>
      <c r="P46" s="459"/>
      <c r="Q46" s="459"/>
      <c r="R46" s="459"/>
      <c r="S46" s="459"/>
      <c r="T46" s="459"/>
      <c r="U46" s="459"/>
      <c r="V46" s="459"/>
      <c r="W46" s="459"/>
      <c r="X46" s="459"/>
      <c r="Y46" s="426"/>
      <c r="Z46" s="425"/>
      <c r="AA46" s="427"/>
      <c r="AB46" s="425"/>
      <c r="AC46" s="425"/>
      <c r="AD46" s="425"/>
    </row>
    <row r="47" spans="1:30" s="345" customFormat="1" ht="12" customHeight="1" x14ac:dyDescent="0.25">
      <c r="A47" s="929">
        <v>3</v>
      </c>
      <c r="B47" s="930" t="s">
        <v>149</v>
      </c>
      <c r="C47" s="933" t="s">
        <v>70</v>
      </c>
      <c r="D47" s="934">
        <v>1540968</v>
      </c>
      <c r="E47" s="460"/>
      <c r="F47" s="432"/>
      <c r="G47" s="432"/>
      <c r="H47" s="432"/>
      <c r="I47" s="432"/>
      <c r="J47" s="432"/>
      <c r="K47" s="432"/>
      <c r="L47" s="461"/>
      <c r="M47" s="461"/>
      <c r="N47" s="462" t="s">
        <v>53</v>
      </c>
      <c r="O47" s="462">
        <v>248026.63</v>
      </c>
      <c r="P47" s="462"/>
      <c r="Q47" s="462"/>
      <c r="R47" s="462"/>
      <c r="S47" s="462"/>
      <c r="T47" s="462"/>
      <c r="U47" s="462"/>
      <c r="V47" s="462"/>
      <c r="W47" s="462"/>
      <c r="X47" s="529"/>
      <c r="Y47" s="530" t="s">
        <v>53</v>
      </c>
      <c r="Z47" s="462">
        <v>248026.63</v>
      </c>
      <c r="AA47" s="946">
        <f>SUM(AB47:AB51)</f>
        <v>672881.95</v>
      </c>
      <c r="AB47" s="462">
        <v>248026.63</v>
      </c>
      <c r="AC47" s="463">
        <f>Z47-AD47</f>
        <v>242763.11000000002</v>
      </c>
      <c r="AD47" s="464">
        <v>5263.52</v>
      </c>
    </row>
    <row r="48" spans="1:30" s="345" customFormat="1" ht="12" customHeight="1" x14ac:dyDescent="0.25">
      <c r="A48" s="938"/>
      <c r="B48" s="940"/>
      <c r="C48" s="942"/>
      <c r="D48" s="944"/>
      <c r="E48" s="375"/>
      <c r="F48" s="370"/>
      <c r="G48" s="370"/>
      <c r="H48" s="370"/>
      <c r="I48" s="370"/>
      <c r="J48" s="370"/>
      <c r="K48" s="370"/>
      <c r="L48" s="370"/>
      <c r="M48" s="370"/>
      <c r="N48" s="391" t="s">
        <v>69</v>
      </c>
      <c r="O48" s="391">
        <v>227228.23</v>
      </c>
      <c r="P48" s="391"/>
      <c r="Q48" s="391"/>
      <c r="R48" s="391"/>
      <c r="S48" s="391"/>
      <c r="T48" s="391"/>
      <c r="U48" s="391"/>
      <c r="V48" s="391"/>
      <c r="W48" s="391"/>
      <c r="X48" s="529"/>
      <c r="Y48" s="529" t="s">
        <v>69</v>
      </c>
      <c r="Z48" s="391">
        <f>O48</f>
        <v>227228.23</v>
      </c>
      <c r="AA48" s="947"/>
      <c r="AB48" s="391">
        <f>Z48</f>
        <v>227228.23</v>
      </c>
      <c r="AC48" s="391">
        <f>AB48-AD48</f>
        <v>222406.2</v>
      </c>
      <c r="AD48" s="467">
        <v>4822.03</v>
      </c>
    </row>
    <row r="49" spans="1:30" s="345" customFormat="1" ht="12" customHeight="1" x14ac:dyDescent="0.25">
      <c r="A49" s="938"/>
      <c r="B49" s="940"/>
      <c r="C49" s="942"/>
      <c r="D49" s="944"/>
      <c r="E49" s="375"/>
      <c r="F49" s="370"/>
      <c r="G49" s="370"/>
      <c r="H49" s="370"/>
      <c r="I49" s="370"/>
      <c r="J49" s="370"/>
      <c r="K49" s="370"/>
      <c r="L49" s="370"/>
      <c r="M49" s="370"/>
      <c r="N49" s="391"/>
      <c r="O49" s="391"/>
      <c r="P49" s="391"/>
      <c r="Q49" s="391"/>
      <c r="R49" s="391"/>
      <c r="S49" s="391"/>
      <c r="T49" s="391"/>
      <c r="U49" s="391"/>
      <c r="V49" s="391"/>
      <c r="W49" s="391"/>
      <c r="X49" s="529"/>
      <c r="Y49" s="529" t="s">
        <v>70</v>
      </c>
      <c r="Z49" s="437">
        <v>197627.09</v>
      </c>
      <c r="AA49" s="947"/>
      <c r="AB49" s="437">
        <f>Z49</f>
        <v>197627.09</v>
      </c>
      <c r="AC49" s="437"/>
      <c r="AD49" s="465"/>
    </row>
    <row r="50" spans="1:30" s="345" customFormat="1" ht="12" customHeight="1" x14ac:dyDescent="0.25">
      <c r="A50" s="938"/>
      <c r="B50" s="940"/>
      <c r="C50" s="942"/>
      <c r="D50" s="944"/>
      <c r="E50" s="375"/>
      <c r="F50" s="370"/>
      <c r="G50" s="370"/>
      <c r="H50" s="370"/>
      <c r="I50" s="370"/>
      <c r="J50" s="370"/>
      <c r="K50" s="370"/>
      <c r="L50" s="370"/>
      <c r="M50" s="370"/>
      <c r="N50" s="391"/>
      <c r="O50" s="391"/>
      <c r="P50" s="391"/>
      <c r="Q50" s="391"/>
      <c r="R50" s="391"/>
      <c r="S50" s="391"/>
      <c r="T50" s="391"/>
      <c r="U50" s="391"/>
      <c r="V50" s="391"/>
      <c r="W50" s="391"/>
      <c r="X50" s="391"/>
      <c r="Y50" s="436"/>
      <c r="Z50" s="437"/>
      <c r="AA50" s="947"/>
      <c r="AB50" s="437"/>
      <c r="AC50" s="437"/>
      <c r="AD50" s="465"/>
    </row>
    <row r="51" spans="1:30" s="345" customFormat="1" ht="12" customHeight="1" thickBot="1" x14ac:dyDescent="0.3">
      <c r="A51" s="938"/>
      <c r="B51" s="940"/>
      <c r="C51" s="942"/>
      <c r="D51" s="944"/>
      <c r="E51" s="375"/>
      <c r="F51" s="382"/>
      <c r="G51" s="382"/>
      <c r="H51" s="382"/>
      <c r="I51" s="382"/>
      <c r="J51" s="382"/>
      <c r="K51" s="382"/>
      <c r="L51" s="382"/>
      <c r="M51" s="382"/>
      <c r="N51" s="392"/>
      <c r="O51" s="392"/>
      <c r="P51" s="392"/>
      <c r="Q51" s="392"/>
      <c r="R51" s="392"/>
      <c r="S51" s="392"/>
      <c r="T51" s="392"/>
      <c r="U51" s="392"/>
      <c r="V51" s="392"/>
      <c r="W51" s="392"/>
      <c r="X51" s="392"/>
      <c r="Y51" s="438"/>
      <c r="Z51" s="437"/>
      <c r="AA51" s="948"/>
      <c r="AB51" s="437"/>
      <c r="AC51" s="437"/>
      <c r="AD51" s="466"/>
    </row>
    <row r="52" spans="1:30" s="345" customFormat="1" ht="12.6" customHeight="1" thickBot="1" x14ac:dyDescent="0.3">
      <c r="A52" s="939"/>
      <c r="B52" s="941"/>
      <c r="C52" s="943"/>
      <c r="D52" s="945"/>
      <c r="E52" s="453"/>
      <c r="F52" s="383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5" t="s">
        <v>151</v>
      </c>
      <c r="Z52" s="389">
        <f>SUM(Z47:Z51)</f>
        <v>672881.95</v>
      </c>
      <c r="AA52" s="390"/>
      <c r="AB52" s="389">
        <f>SUM(AB47:AB51)</f>
        <v>672881.95</v>
      </c>
      <c r="AC52" s="389">
        <f>SUM(AC47:AC51)</f>
        <v>465169.31000000006</v>
      </c>
      <c r="AD52" s="388">
        <f>SUM(AD47:AD51)</f>
        <v>10085.549999999999</v>
      </c>
    </row>
    <row r="53" spans="1:30" s="345" customFormat="1" ht="12" customHeight="1" x14ac:dyDescent="0.25">
      <c r="A53" s="929">
        <v>4</v>
      </c>
      <c r="B53" s="930" t="s">
        <v>154</v>
      </c>
      <c r="C53" s="933" t="s">
        <v>71</v>
      </c>
      <c r="D53" s="934">
        <v>414039.73</v>
      </c>
      <c r="E53" s="460"/>
      <c r="F53" s="432"/>
      <c r="G53" s="432"/>
      <c r="H53" s="432"/>
      <c r="I53" s="432"/>
      <c r="J53" s="432"/>
      <c r="K53" s="432"/>
      <c r="L53" s="462" t="s">
        <v>53</v>
      </c>
      <c r="M53" s="462">
        <v>87813.66</v>
      </c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 t="s">
        <v>53</v>
      </c>
      <c r="Z53" s="462">
        <v>87813.66</v>
      </c>
      <c r="AA53" s="935">
        <f>SUM(AB53:AB57)</f>
        <v>376145.98000000004</v>
      </c>
      <c r="AB53" s="462">
        <f>Z53</f>
        <v>87813.66</v>
      </c>
      <c r="AC53" s="462">
        <v>42008.340000000004</v>
      </c>
      <c r="AD53" s="464">
        <v>45805.32</v>
      </c>
    </row>
    <row r="54" spans="1:30" s="345" customFormat="1" ht="12" customHeight="1" x14ac:dyDescent="0.25">
      <c r="A54" s="911"/>
      <c r="B54" s="931"/>
      <c r="C54" s="902"/>
      <c r="D54" s="902"/>
      <c r="E54" s="375"/>
      <c r="F54" s="370"/>
      <c r="G54" s="370"/>
      <c r="H54" s="370"/>
      <c r="I54" s="370"/>
      <c r="J54" s="370"/>
      <c r="K54" s="370"/>
      <c r="L54" s="391" t="s">
        <v>69</v>
      </c>
      <c r="M54" s="391">
        <f>Z54</f>
        <v>43236.49</v>
      </c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3" t="s">
        <v>69</v>
      </c>
      <c r="Z54" s="391">
        <v>43236.49</v>
      </c>
      <c r="AA54" s="936"/>
      <c r="AB54" s="391">
        <f>Z54</f>
        <v>43236.49</v>
      </c>
      <c r="AC54" s="391">
        <v>20794.07</v>
      </c>
      <c r="AD54" s="467">
        <v>22442.42</v>
      </c>
    </row>
    <row r="55" spans="1:30" s="345" customFormat="1" ht="12" customHeight="1" x14ac:dyDescent="0.25">
      <c r="A55" s="911"/>
      <c r="B55" s="931"/>
      <c r="C55" s="902"/>
      <c r="D55" s="902"/>
      <c r="E55" s="342"/>
      <c r="F55" s="370"/>
      <c r="G55" s="370"/>
      <c r="H55" s="370"/>
      <c r="I55" s="370"/>
      <c r="J55" s="370"/>
      <c r="K55" s="370"/>
      <c r="L55" s="391" t="s">
        <v>70</v>
      </c>
      <c r="M55" s="391">
        <f>Z55</f>
        <v>199976.26</v>
      </c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 t="s">
        <v>70</v>
      </c>
      <c r="Z55" s="391">
        <v>199976.26</v>
      </c>
      <c r="AA55" s="936"/>
      <c r="AB55" s="391">
        <f t="shared" ref="AB55:AB56" si="2">Z55</f>
        <v>199976.26</v>
      </c>
      <c r="AC55" s="391">
        <v>190762.90000000002</v>
      </c>
      <c r="AD55" s="467">
        <v>9213.36</v>
      </c>
    </row>
    <row r="56" spans="1:30" s="345" customFormat="1" ht="12" customHeight="1" x14ac:dyDescent="0.25">
      <c r="A56" s="911"/>
      <c r="B56" s="931"/>
      <c r="C56" s="902"/>
      <c r="D56" s="902"/>
      <c r="E56" s="342"/>
      <c r="F56" s="370"/>
      <c r="G56" s="370"/>
      <c r="H56" s="370"/>
      <c r="I56" s="370"/>
      <c r="J56" s="370"/>
      <c r="K56" s="370"/>
      <c r="L56" s="391" t="s">
        <v>71</v>
      </c>
      <c r="M56" s="391">
        <f>Z56</f>
        <v>45119.57</v>
      </c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 t="s">
        <v>71</v>
      </c>
      <c r="Z56" s="391">
        <v>45119.57</v>
      </c>
      <c r="AA56" s="936"/>
      <c r="AB56" s="391">
        <f t="shared" si="2"/>
        <v>45119.57</v>
      </c>
      <c r="AC56" s="391">
        <f>AB56</f>
        <v>45119.57</v>
      </c>
      <c r="AD56" s="467" t="s">
        <v>156</v>
      </c>
    </row>
    <row r="57" spans="1:30" s="345" customFormat="1" ht="12" customHeight="1" thickBot="1" x14ac:dyDescent="0.3">
      <c r="A57" s="911"/>
      <c r="B57" s="931"/>
      <c r="C57" s="902"/>
      <c r="D57" s="902"/>
      <c r="E57" s="342"/>
      <c r="F57" s="382"/>
      <c r="G57" s="382"/>
      <c r="H57" s="382"/>
      <c r="I57" s="382"/>
      <c r="J57" s="382"/>
      <c r="K57" s="382"/>
      <c r="L57" s="382"/>
      <c r="M57" s="382"/>
      <c r="N57" s="382"/>
      <c r="O57" s="382"/>
      <c r="P57" s="382"/>
      <c r="Q57" s="382"/>
      <c r="R57" s="382"/>
      <c r="S57" s="382"/>
      <c r="T57" s="382"/>
      <c r="U57" s="382"/>
      <c r="V57" s="382"/>
      <c r="W57" s="382"/>
      <c r="X57" s="382"/>
      <c r="Y57" s="382"/>
      <c r="Z57" s="392"/>
      <c r="AA57" s="936"/>
      <c r="AB57" s="392"/>
      <c r="AC57" s="392"/>
      <c r="AD57" s="468"/>
    </row>
    <row r="58" spans="1:30" s="345" customFormat="1" ht="13.2" customHeight="1" thickBot="1" x14ac:dyDescent="0.3">
      <c r="A58" s="912"/>
      <c r="B58" s="932"/>
      <c r="C58" s="903"/>
      <c r="D58" s="903"/>
      <c r="E58" s="469"/>
      <c r="F58" s="383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5" t="s">
        <v>151</v>
      </c>
      <c r="Z58" s="386">
        <f>SUM(Z53:Z57)</f>
        <v>376145.98000000004</v>
      </c>
      <c r="AA58" s="387"/>
      <c r="AB58" s="386">
        <f>SUM(AB53:AB57)</f>
        <v>376145.98000000004</v>
      </c>
      <c r="AC58" s="386">
        <f>SUM(AC53:AC57)</f>
        <v>298684.88</v>
      </c>
      <c r="AD58" s="388">
        <f>SUM(AD53:AD57)</f>
        <v>77461.099999999991</v>
      </c>
    </row>
    <row r="59" spans="1:30" s="345" customFormat="1" ht="13.2" customHeight="1" x14ac:dyDescent="0.25">
      <c r="A59" s="929">
        <v>5</v>
      </c>
      <c r="B59" s="930" t="s">
        <v>157</v>
      </c>
      <c r="C59" s="933" t="s">
        <v>72</v>
      </c>
      <c r="D59" s="934">
        <v>234737.15</v>
      </c>
      <c r="E59" s="470"/>
      <c r="F59" s="471"/>
      <c r="G59" s="472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2"/>
      <c r="U59" s="472"/>
      <c r="V59" s="472"/>
      <c r="W59" s="472"/>
      <c r="X59" s="472"/>
      <c r="Y59" s="473"/>
      <c r="Z59" s="474"/>
      <c r="AA59" s="475"/>
      <c r="AB59" s="474"/>
      <c r="AC59" s="474"/>
      <c r="AD59" s="476"/>
    </row>
    <row r="60" spans="1:30" s="345" customFormat="1" ht="13.2" customHeight="1" x14ac:dyDescent="0.25">
      <c r="A60" s="911"/>
      <c r="B60" s="931"/>
      <c r="C60" s="902"/>
      <c r="D60" s="902"/>
      <c r="E60" s="381"/>
      <c r="F60" s="396"/>
      <c r="G60" s="397"/>
      <c r="H60" s="397"/>
      <c r="I60" s="397"/>
      <c r="J60" s="397"/>
      <c r="K60" s="397"/>
      <c r="L60" s="397"/>
      <c r="M60" s="397"/>
      <c r="N60" s="397"/>
      <c r="O60" s="397"/>
      <c r="P60" s="397"/>
      <c r="Q60" s="397"/>
      <c r="R60" s="397"/>
      <c r="S60" s="397"/>
      <c r="T60" s="397"/>
      <c r="U60" s="397"/>
      <c r="V60" s="397"/>
      <c r="W60" s="397"/>
      <c r="X60" s="397"/>
      <c r="Y60" s="398"/>
      <c r="Z60" s="399"/>
      <c r="AA60" s="400"/>
      <c r="AB60" s="399"/>
      <c r="AC60" s="399"/>
      <c r="AD60" s="477"/>
    </row>
    <row r="61" spans="1:30" s="345" customFormat="1" ht="13.2" customHeight="1" x14ac:dyDescent="0.25">
      <c r="A61" s="911"/>
      <c r="B61" s="931"/>
      <c r="C61" s="902"/>
      <c r="D61" s="902"/>
      <c r="E61" s="381"/>
      <c r="F61" s="396"/>
      <c r="G61" s="397"/>
      <c r="H61" s="397"/>
      <c r="I61" s="397"/>
      <c r="J61" s="397"/>
      <c r="K61" s="397"/>
      <c r="L61" s="397"/>
      <c r="M61" s="397"/>
      <c r="N61" s="397"/>
      <c r="O61" s="397"/>
      <c r="P61" s="397"/>
      <c r="Q61" s="397"/>
      <c r="R61" s="397"/>
      <c r="S61" s="397"/>
      <c r="T61" s="397"/>
      <c r="U61" s="397"/>
      <c r="V61" s="397"/>
      <c r="W61" s="397"/>
      <c r="X61" s="397"/>
      <c r="Y61" s="398"/>
      <c r="Z61" s="399"/>
      <c r="AA61" s="400"/>
      <c r="AB61" s="399"/>
      <c r="AC61" s="399"/>
      <c r="AD61" s="477"/>
    </row>
    <row r="62" spans="1:30" s="345" customFormat="1" ht="13.2" customHeight="1" x14ac:dyDescent="0.25">
      <c r="A62" s="911"/>
      <c r="B62" s="931"/>
      <c r="C62" s="902"/>
      <c r="D62" s="902"/>
      <c r="E62" s="381"/>
      <c r="F62" s="396"/>
      <c r="G62" s="397"/>
      <c r="H62" s="397"/>
      <c r="I62" s="397"/>
      <c r="J62" s="397"/>
      <c r="K62" s="397"/>
      <c r="L62" s="397"/>
      <c r="M62" s="397"/>
      <c r="N62" s="397"/>
      <c r="O62" s="397"/>
      <c r="P62" s="397"/>
      <c r="Q62" s="397"/>
      <c r="R62" s="397"/>
      <c r="S62" s="397"/>
      <c r="T62" s="397"/>
      <c r="U62" s="397"/>
      <c r="V62" s="397"/>
      <c r="W62" s="397"/>
      <c r="X62" s="397"/>
      <c r="Y62" s="398"/>
      <c r="Z62" s="399"/>
      <c r="AA62" s="400"/>
      <c r="AB62" s="399"/>
      <c r="AC62" s="399"/>
      <c r="AD62" s="477"/>
    </row>
    <row r="63" spans="1:30" s="345" customFormat="1" ht="13.2" customHeight="1" x14ac:dyDescent="0.25">
      <c r="A63" s="911"/>
      <c r="B63" s="931"/>
      <c r="C63" s="902"/>
      <c r="D63" s="902"/>
      <c r="E63" s="381"/>
      <c r="F63" s="396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8"/>
      <c r="Z63" s="399"/>
      <c r="AA63" s="400"/>
      <c r="AB63" s="399"/>
      <c r="AC63" s="399"/>
      <c r="AD63" s="477"/>
    </row>
    <row r="64" spans="1:30" s="345" customFormat="1" ht="13.2" customHeight="1" thickBot="1" x14ac:dyDescent="0.3">
      <c r="A64" s="912"/>
      <c r="B64" s="932"/>
      <c r="C64" s="903"/>
      <c r="D64" s="903"/>
      <c r="E64" s="469"/>
      <c r="F64" s="478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31"/>
      <c r="Z64" s="428"/>
      <c r="AA64" s="479"/>
      <c r="AB64" s="428"/>
      <c r="AC64" s="428"/>
      <c r="AD64" s="480"/>
    </row>
    <row r="65" spans="1:32" s="346" customFormat="1" ht="17.399999999999999" customHeight="1" thickBot="1" x14ac:dyDescent="0.3">
      <c r="A65" s="401"/>
      <c r="B65" s="402" t="s">
        <v>47</v>
      </c>
      <c r="C65" s="403"/>
      <c r="D65" s="404" t="e">
        <f>SUM(D8:D64)</f>
        <v>#REF!</v>
      </c>
      <c r="E65" s="405"/>
      <c r="F65" s="406"/>
      <c r="G65" s="406">
        <f>SUM(G8:G64)</f>
        <v>481988.70999999996</v>
      </c>
      <c r="H65" s="406"/>
      <c r="I65" s="406">
        <f>SUM(I8:I64)</f>
        <v>1542755.92</v>
      </c>
      <c r="J65" s="406"/>
      <c r="K65" s="406">
        <f>SUM(K8:K64)</f>
        <v>2884086.1499999994</v>
      </c>
      <c r="L65" s="406"/>
      <c r="M65" s="406">
        <f>SUM(M8:M64)</f>
        <v>2436414.64</v>
      </c>
      <c r="N65" s="406"/>
      <c r="O65" s="406">
        <f>SUM(O8:O64)</f>
        <v>1007387.4</v>
      </c>
      <c r="P65" s="406"/>
      <c r="Q65" s="406">
        <f>SUM(Q8:Q64)</f>
        <v>2639914.88</v>
      </c>
      <c r="R65" s="406"/>
      <c r="S65" s="406">
        <f>SUM(S8:S64)</f>
        <v>1112793.8799999999</v>
      </c>
      <c r="T65" s="406"/>
      <c r="U65" s="406">
        <f>SUM(U8:U64)</f>
        <v>0</v>
      </c>
      <c r="V65" s="406"/>
      <c r="W65" s="406">
        <f t="shared" ref="W65" si="3">SUM(W8:W64)</f>
        <v>0</v>
      </c>
      <c r="X65" s="406"/>
      <c r="Y65" s="406"/>
      <c r="Z65" s="406">
        <f>Z23+Z27+Z45+Z52+Z58+Z25</f>
        <v>12313690.039999999</v>
      </c>
      <c r="AA65" s="447">
        <f>SUM(AA8:AA58)</f>
        <v>12313690.039999999</v>
      </c>
      <c r="AB65" s="448">
        <f>AB23+AB27+AB45+AB52+AB58+AB25</f>
        <v>12313690.039999999</v>
      </c>
      <c r="AC65" s="448">
        <f>AC23+AC27+AC45+AC52+AC58+AC25</f>
        <v>9892072.1060000025</v>
      </c>
      <c r="AD65" s="449">
        <f>AD23+AD27+AD45+AD52+AD58+AD25</f>
        <v>2223990.8440000005</v>
      </c>
    </row>
    <row r="66" spans="1:32" s="346" customFormat="1" ht="22.2" customHeight="1" x14ac:dyDescent="0.25">
      <c r="C66" s="376"/>
      <c r="D66" s="377"/>
      <c r="E66" s="378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80"/>
      <c r="Z66" s="379"/>
      <c r="AA66" s="380"/>
      <c r="AB66" s="379"/>
      <c r="AC66" s="379"/>
      <c r="AD66" s="379"/>
      <c r="AF66" s="531" t="e">
        <f>D30-AA30</f>
        <v>#REF!</v>
      </c>
    </row>
    <row r="67" spans="1:32" s="346" customFormat="1" ht="21.75" customHeight="1" x14ac:dyDescent="0.2">
      <c r="A67" s="331"/>
      <c r="B67" s="347"/>
      <c r="C67" s="348"/>
      <c r="D67" s="349"/>
      <c r="E67" s="347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48"/>
      <c r="Z67" s="348"/>
      <c r="AA67" s="348"/>
    </row>
    <row r="68" spans="1:32" s="346" customFormat="1" ht="17.25" customHeight="1" x14ac:dyDescent="0.2">
      <c r="A68" s="331"/>
      <c r="B68" s="351" t="s">
        <v>150</v>
      </c>
      <c r="C68" s="348"/>
      <c r="D68" s="349"/>
      <c r="E68" s="347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48"/>
      <c r="Z68" s="348"/>
      <c r="AB68" s="352"/>
    </row>
    <row r="69" spans="1:32" s="353" customFormat="1" x14ac:dyDescent="0.25">
      <c r="C69" s="354"/>
      <c r="D69" s="355"/>
      <c r="E69" s="333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7"/>
      <c r="Z69" s="357"/>
      <c r="AA69" s="358"/>
    </row>
    <row r="70" spans="1:32" s="353" customFormat="1" x14ac:dyDescent="0.25">
      <c r="C70" s="354"/>
      <c r="D70" s="355"/>
      <c r="E70" s="333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7"/>
      <c r="Z70" s="357"/>
      <c r="AA70" s="357"/>
      <c r="AB70" s="359"/>
    </row>
    <row r="71" spans="1:32" x14ac:dyDescent="0.25">
      <c r="C71" s="360"/>
      <c r="D71" s="361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62"/>
      <c r="Z71" s="362"/>
      <c r="AA71" s="362"/>
    </row>
    <row r="72" spans="1:32" x14ac:dyDescent="0.25">
      <c r="B72" s="330" t="s">
        <v>7</v>
      </c>
      <c r="C72" s="360"/>
      <c r="D72" s="361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7"/>
      <c r="Z72" s="357"/>
      <c r="AA72" s="357"/>
    </row>
    <row r="73" spans="1:32" x14ac:dyDescent="0.25">
      <c r="C73" s="360"/>
      <c r="D73" s="361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62"/>
      <c r="Z73" s="362"/>
      <c r="AA73" s="362"/>
    </row>
    <row r="74" spans="1:32" x14ac:dyDescent="0.25">
      <c r="C74" s="360"/>
      <c r="D74" s="361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40"/>
      <c r="Z74" s="340"/>
      <c r="AA74" s="340"/>
    </row>
    <row r="75" spans="1:32" x14ac:dyDescent="0.25">
      <c r="C75" s="360"/>
      <c r="D75" s="361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40"/>
      <c r="Z75" s="340"/>
      <c r="AA75" s="340"/>
    </row>
    <row r="76" spans="1:32" x14ac:dyDescent="0.25">
      <c r="C76" s="360"/>
      <c r="D76" s="361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40"/>
      <c r="Z76" s="340"/>
      <c r="AA76" s="340"/>
    </row>
    <row r="77" spans="1:32" x14ac:dyDescent="0.25">
      <c r="C77" s="360"/>
      <c r="D77" s="361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40"/>
      <c r="Z77" s="340"/>
      <c r="AA77" s="340"/>
    </row>
    <row r="78" spans="1:32" x14ac:dyDescent="0.25">
      <c r="C78" s="360"/>
      <c r="D78" s="361"/>
      <c r="F78" s="356"/>
      <c r="G78" s="356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40"/>
      <c r="Z78" s="340"/>
      <c r="AA78" s="340"/>
    </row>
    <row r="79" spans="1:32" x14ac:dyDescent="0.25">
      <c r="C79" s="360"/>
      <c r="D79" s="361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40"/>
      <c r="Z79" s="340"/>
      <c r="AA79" s="340"/>
    </row>
    <row r="80" spans="1:32" x14ac:dyDescent="0.25">
      <c r="C80" s="360"/>
      <c r="D80" s="361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40"/>
      <c r="Z80" s="340"/>
      <c r="AA80" s="340"/>
    </row>
    <row r="81" spans="3:27" x14ac:dyDescent="0.25">
      <c r="C81" s="360"/>
      <c r="D81" s="361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40"/>
      <c r="Z81" s="340"/>
      <c r="AA81" s="340"/>
    </row>
    <row r="82" spans="3:27" x14ac:dyDescent="0.25">
      <c r="C82" s="360"/>
      <c r="D82" s="361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40"/>
      <c r="Z82" s="340"/>
      <c r="AA82" s="340"/>
    </row>
    <row r="83" spans="3:27" x14ac:dyDescent="0.25">
      <c r="C83" s="360"/>
      <c r="D83" s="361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40"/>
      <c r="Z83" s="340"/>
      <c r="AA83" s="340"/>
    </row>
    <row r="84" spans="3:27" x14ac:dyDescent="0.25">
      <c r="C84" s="360"/>
      <c r="D84" s="361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40"/>
      <c r="Z84" s="340"/>
      <c r="AA84" s="340"/>
    </row>
    <row r="85" spans="3:27" x14ac:dyDescent="0.25">
      <c r="C85" s="360"/>
      <c r="D85" s="361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40"/>
      <c r="Z85" s="340"/>
      <c r="AA85" s="340"/>
    </row>
    <row r="86" spans="3:27" x14ac:dyDescent="0.25">
      <c r="C86" s="360"/>
      <c r="D86" s="361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40"/>
      <c r="Z86" s="340"/>
      <c r="AA86" s="340"/>
    </row>
    <row r="87" spans="3:27" x14ac:dyDescent="0.25">
      <c r="C87" s="360"/>
      <c r="D87" s="361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40"/>
      <c r="Z87" s="340"/>
      <c r="AA87" s="340"/>
    </row>
    <row r="88" spans="3:27" x14ac:dyDescent="0.25">
      <c r="C88" s="360"/>
      <c r="D88" s="361"/>
      <c r="F88" s="356"/>
      <c r="G88" s="356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40"/>
      <c r="Z88" s="340"/>
      <c r="AA88" s="340"/>
    </row>
    <row r="89" spans="3:27" x14ac:dyDescent="0.25">
      <c r="C89" s="360"/>
      <c r="D89" s="361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40"/>
      <c r="Z89" s="340"/>
      <c r="AA89" s="340"/>
    </row>
    <row r="90" spans="3:27" x14ac:dyDescent="0.25">
      <c r="C90" s="360"/>
      <c r="D90" s="361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40"/>
      <c r="Z90" s="340"/>
      <c r="AA90" s="340"/>
    </row>
    <row r="91" spans="3:27" x14ac:dyDescent="0.25">
      <c r="C91" s="360"/>
      <c r="D91" s="361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40"/>
      <c r="Z91" s="340"/>
      <c r="AA91" s="340"/>
    </row>
    <row r="92" spans="3:27" x14ac:dyDescent="0.25">
      <c r="C92" s="360"/>
      <c r="D92" s="361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40"/>
      <c r="Z92" s="340"/>
      <c r="AA92" s="340"/>
    </row>
    <row r="93" spans="3:27" x14ac:dyDescent="0.25">
      <c r="C93" s="360"/>
      <c r="D93" s="361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40"/>
      <c r="Z93" s="340"/>
      <c r="AA93" s="340"/>
    </row>
    <row r="94" spans="3:27" x14ac:dyDescent="0.25">
      <c r="C94" s="360"/>
      <c r="D94" s="361"/>
      <c r="F94" s="356"/>
      <c r="G94" s="356"/>
      <c r="H94" s="356"/>
      <c r="I94" s="356"/>
      <c r="J94" s="356"/>
      <c r="K94" s="356"/>
      <c r="L94" s="356"/>
      <c r="M94" s="356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40"/>
      <c r="Z94" s="340"/>
      <c r="AA94" s="340"/>
    </row>
    <row r="95" spans="3:27" x14ac:dyDescent="0.25">
      <c r="C95" s="360"/>
      <c r="D95" s="361"/>
      <c r="F95" s="356"/>
      <c r="G95" s="356"/>
      <c r="H95" s="356"/>
      <c r="I95" s="356"/>
      <c r="J95" s="356"/>
      <c r="K95" s="356"/>
      <c r="L95" s="356"/>
      <c r="M95" s="356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40"/>
      <c r="Z95" s="340"/>
      <c r="AA95" s="340"/>
    </row>
    <row r="96" spans="3:27" x14ac:dyDescent="0.25">
      <c r="C96" s="360"/>
      <c r="D96" s="361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40"/>
      <c r="Z96" s="340"/>
      <c r="AA96" s="340"/>
    </row>
    <row r="97" spans="3:27" x14ac:dyDescent="0.25">
      <c r="C97" s="360"/>
      <c r="D97" s="361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40"/>
      <c r="Z97" s="340"/>
      <c r="AA97" s="340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30" customWidth="1"/>
    <col min="2" max="2" width="35.6640625" style="330" customWidth="1"/>
    <col min="3" max="3" width="5.6640625" style="329" customWidth="1"/>
    <col min="4" max="4" width="10.44140625" style="329" customWidth="1"/>
    <col min="5" max="5" width="13.5546875" style="329" customWidth="1"/>
    <col min="6" max="6" width="9.109375" style="330"/>
    <col min="7" max="7" width="13.33203125" style="330" bestFit="1" customWidth="1"/>
    <col min="8" max="16384" width="9.109375" style="330"/>
  </cols>
  <sheetData>
    <row r="1" spans="1:5" ht="16.8" customHeight="1" x14ac:dyDescent="0.25">
      <c r="C1" s="331"/>
      <c r="D1" s="330"/>
      <c r="E1" s="330"/>
    </row>
    <row r="2" spans="1:5" ht="15" customHeight="1" x14ac:dyDescent="0.25">
      <c r="A2" s="949" t="s">
        <v>184</v>
      </c>
      <c r="B2" s="949"/>
      <c r="C2" s="949"/>
      <c r="D2" s="950"/>
      <c r="E2" s="950"/>
    </row>
    <row r="3" spans="1:5" ht="15" customHeight="1" x14ac:dyDescent="0.25">
      <c r="A3" s="331"/>
      <c r="B3" s="331"/>
      <c r="C3" s="331"/>
      <c r="D3" s="898" t="s">
        <v>185</v>
      </c>
      <c r="E3" s="898"/>
    </row>
    <row r="4" spans="1:5" ht="27.75" customHeight="1" x14ac:dyDescent="0.25">
      <c r="A4" s="543" t="s">
        <v>182</v>
      </c>
      <c r="B4" s="544" t="s">
        <v>183</v>
      </c>
      <c r="C4" s="336" t="s">
        <v>131</v>
      </c>
      <c r="D4" s="545" t="s">
        <v>186</v>
      </c>
      <c r="E4" s="542" t="s">
        <v>187</v>
      </c>
    </row>
    <row r="5" spans="1:5" s="345" customFormat="1" ht="12" customHeight="1" x14ac:dyDescent="0.25">
      <c r="A5" s="924">
        <v>1</v>
      </c>
      <c r="B5" s="927" t="s">
        <v>176</v>
      </c>
      <c r="C5" s="344" t="s">
        <v>53</v>
      </c>
      <c r="D5" s="344">
        <v>7494.3</v>
      </c>
      <c r="E5" s="344">
        <f>D5*1.2</f>
        <v>8993.16</v>
      </c>
    </row>
    <row r="6" spans="1:5" s="345" customFormat="1" ht="12" customHeight="1" x14ac:dyDescent="0.25">
      <c r="A6" s="924"/>
      <c r="B6" s="927"/>
      <c r="C6" s="344" t="s">
        <v>69</v>
      </c>
      <c r="D6" s="344">
        <v>23.05</v>
      </c>
      <c r="E6" s="344">
        <f t="shared" ref="E6:E19" si="0">D6*1.2</f>
        <v>27.66</v>
      </c>
    </row>
    <row r="7" spans="1:5" s="345" customFormat="1" ht="12" customHeight="1" x14ac:dyDescent="0.25">
      <c r="A7" s="924"/>
      <c r="B7" s="927"/>
      <c r="C7" s="344" t="s">
        <v>70</v>
      </c>
      <c r="D7" s="344">
        <v>7768.48</v>
      </c>
      <c r="E7" s="344">
        <f t="shared" si="0"/>
        <v>9322.1759999999995</v>
      </c>
    </row>
    <row r="8" spans="1:5" s="345" customFormat="1" ht="12" customHeight="1" x14ac:dyDescent="0.25">
      <c r="A8" s="924"/>
      <c r="B8" s="927"/>
      <c r="C8" s="344" t="s">
        <v>71</v>
      </c>
      <c r="D8" s="344">
        <v>9249.06</v>
      </c>
      <c r="E8" s="344">
        <f t="shared" si="0"/>
        <v>11098.871999999999</v>
      </c>
    </row>
    <row r="9" spans="1:5" s="345" customFormat="1" ht="12" customHeight="1" x14ac:dyDescent="0.25">
      <c r="A9" s="924"/>
      <c r="B9" s="927"/>
      <c r="C9" s="344" t="s">
        <v>72</v>
      </c>
      <c r="D9" s="344">
        <v>2284.84</v>
      </c>
      <c r="E9" s="344">
        <f t="shared" si="0"/>
        <v>2741.808</v>
      </c>
    </row>
    <row r="10" spans="1:5" s="345" customFormat="1" ht="12" customHeight="1" x14ac:dyDescent="0.25">
      <c r="A10" s="924"/>
      <c r="B10" s="927"/>
      <c r="C10" s="344" t="s">
        <v>73</v>
      </c>
      <c r="D10" s="344">
        <v>48021.11</v>
      </c>
      <c r="E10" s="344">
        <f t="shared" si="0"/>
        <v>57625.332000000002</v>
      </c>
    </row>
    <row r="11" spans="1:5" s="345" customFormat="1" ht="12" customHeight="1" x14ac:dyDescent="0.25">
      <c r="A11" s="924"/>
      <c r="B11" s="927"/>
      <c r="C11" s="344" t="s">
        <v>74</v>
      </c>
      <c r="D11" s="344">
        <v>9413.57</v>
      </c>
      <c r="E11" s="344">
        <f t="shared" si="0"/>
        <v>11296.284</v>
      </c>
    </row>
    <row r="12" spans="1:5" s="345" customFormat="1" ht="12" customHeight="1" x14ac:dyDescent="0.25">
      <c r="A12" s="924"/>
      <c r="B12" s="927"/>
      <c r="C12" s="344" t="s">
        <v>77</v>
      </c>
      <c r="D12" s="344">
        <v>7886.82</v>
      </c>
      <c r="E12" s="344">
        <f t="shared" si="0"/>
        <v>9464.1839999999993</v>
      </c>
    </row>
    <row r="13" spans="1:5" s="345" customFormat="1" ht="12" customHeight="1" x14ac:dyDescent="0.25">
      <c r="A13" s="924"/>
      <c r="B13" s="927"/>
      <c r="C13" s="344" t="s">
        <v>78</v>
      </c>
      <c r="D13" s="344">
        <v>6086.26</v>
      </c>
      <c r="E13" s="344">
        <f t="shared" si="0"/>
        <v>7303.5119999999997</v>
      </c>
    </row>
    <row r="14" spans="1:5" s="345" customFormat="1" ht="12" customHeight="1" x14ac:dyDescent="0.25">
      <c r="A14" s="924"/>
      <c r="B14" s="927"/>
      <c r="C14" s="344" t="s">
        <v>76</v>
      </c>
      <c r="D14" s="344">
        <v>16396.86</v>
      </c>
      <c r="E14" s="344">
        <f t="shared" si="0"/>
        <v>19676.232</v>
      </c>
    </row>
    <row r="15" spans="1:5" s="345" customFormat="1" ht="12" customHeight="1" x14ac:dyDescent="0.25">
      <c r="A15" s="924"/>
      <c r="B15" s="927"/>
      <c r="C15" s="344" t="s">
        <v>79</v>
      </c>
      <c r="D15" s="344">
        <v>2576.71</v>
      </c>
      <c r="E15" s="344">
        <f t="shared" si="0"/>
        <v>3092.0520000000001</v>
      </c>
    </row>
    <row r="16" spans="1:5" s="345" customFormat="1" ht="12" customHeight="1" x14ac:dyDescent="0.25">
      <c r="A16" s="924"/>
      <c r="B16" s="927"/>
      <c r="C16" s="344" t="s">
        <v>75</v>
      </c>
      <c r="D16" s="344">
        <v>3762.57</v>
      </c>
      <c r="E16" s="344">
        <f t="shared" si="0"/>
        <v>4515.0839999999998</v>
      </c>
    </row>
    <row r="17" spans="1:5" s="345" customFormat="1" ht="12" customHeight="1" x14ac:dyDescent="0.25">
      <c r="A17" s="924"/>
      <c r="B17" s="927"/>
      <c r="C17" s="344" t="s">
        <v>80</v>
      </c>
      <c r="D17" s="344">
        <v>3572.55</v>
      </c>
      <c r="E17" s="344">
        <f t="shared" si="0"/>
        <v>4287.0600000000004</v>
      </c>
    </row>
    <row r="18" spans="1:5" s="345" customFormat="1" ht="12" customHeight="1" x14ac:dyDescent="0.25">
      <c r="A18" s="924"/>
      <c r="B18" s="927"/>
      <c r="C18" s="344" t="s">
        <v>81</v>
      </c>
      <c r="D18" s="344">
        <v>14925.31</v>
      </c>
      <c r="E18" s="344">
        <f t="shared" si="0"/>
        <v>17910.371999999999</v>
      </c>
    </row>
    <row r="19" spans="1:5" s="345" customFormat="1" ht="12" customHeight="1" thickBot="1" x14ac:dyDescent="0.3">
      <c r="A19" s="924"/>
      <c r="B19" s="927"/>
      <c r="C19" s="538" t="s">
        <v>161</v>
      </c>
      <c r="D19" s="538">
        <v>373089.66</v>
      </c>
      <c r="E19" s="538">
        <f t="shared" si="0"/>
        <v>447707.59199999995</v>
      </c>
    </row>
    <row r="20" spans="1:5" s="345" customFormat="1" ht="12" customHeight="1" thickBot="1" x14ac:dyDescent="0.3">
      <c r="A20" s="552"/>
      <c r="B20" s="547"/>
      <c r="C20" s="553" t="s">
        <v>151</v>
      </c>
      <c r="D20" s="553"/>
      <c r="E20" s="554">
        <f>SUM(E5:E19)</f>
        <v>615061.37999999989</v>
      </c>
    </row>
    <row r="21" spans="1:5" s="345" customFormat="1" ht="36" customHeight="1" thickBot="1" x14ac:dyDescent="0.3">
      <c r="A21" s="549">
        <v>2</v>
      </c>
      <c r="B21" s="550" t="s">
        <v>177</v>
      </c>
      <c r="C21" s="384" t="s">
        <v>53</v>
      </c>
      <c r="D21" s="539">
        <v>24999.960000000003</v>
      </c>
      <c r="E21" s="539">
        <f>D21*1.2</f>
        <v>29999.952000000001</v>
      </c>
    </row>
    <row r="22" spans="1:5" s="345" customFormat="1" ht="40.200000000000003" customHeight="1" thickBot="1" x14ac:dyDescent="0.3">
      <c r="A22" s="546">
        <v>3</v>
      </c>
      <c r="B22" s="547" t="s">
        <v>178</v>
      </c>
      <c r="C22" s="548" t="s">
        <v>53</v>
      </c>
      <c r="D22" s="548">
        <v>21038.02</v>
      </c>
      <c r="E22" s="548">
        <f>D22*1.2</f>
        <v>25245.624</v>
      </c>
    </row>
    <row r="23" spans="1:5" s="345" customFormat="1" ht="16.2" customHeight="1" x14ac:dyDescent="0.25">
      <c r="A23" s="938">
        <f>A5+1</f>
        <v>2</v>
      </c>
      <c r="B23" s="940" t="s">
        <v>180</v>
      </c>
      <c r="C23" s="501" t="s">
        <v>53</v>
      </c>
      <c r="D23" s="539">
        <v>55874.91</v>
      </c>
      <c r="E23" s="539">
        <f t="shared" ref="E23:E50" si="1">D23*1.2</f>
        <v>67049.892000000007</v>
      </c>
    </row>
    <row r="24" spans="1:5" s="345" customFormat="1" ht="12" customHeight="1" x14ac:dyDescent="0.25">
      <c r="A24" s="938"/>
      <c r="B24" s="940"/>
      <c r="C24" s="373" t="s">
        <v>69</v>
      </c>
      <c r="D24" s="539">
        <v>37726.97</v>
      </c>
      <c r="E24" s="372">
        <f t="shared" si="1"/>
        <v>45272.364000000001</v>
      </c>
    </row>
    <row r="25" spans="1:5" s="345" customFormat="1" ht="16.2" customHeight="1" x14ac:dyDescent="0.25">
      <c r="A25" s="938"/>
      <c r="B25" s="940"/>
      <c r="C25" s="370" t="s">
        <v>70</v>
      </c>
      <c r="D25" s="539">
        <v>95182.55</v>
      </c>
      <c r="E25" s="372">
        <f t="shared" si="1"/>
        <v>114219.06</v>
      </c>
    </row>
    <row r="26" spans="1:5" s="345" customFormat="1" ht="13.8" customHeight="1" x14ac:dyDescent="0.25">
      <c r="A26" s="938"/>
      <c r="B26" s="940"/>
      <c r="C26" s="370" t="s">
        <v>71</v>
      </c>
      <c r="D26" s="539">
        <v>60736.1</v>
      </c>
      <c r="E26" s="372">
        <f t="shared" si="1"/>
        <v>72883.319999999992</v>
      </c>
    </row>
    <row r="27" spans="1:5" s="345" customFormat="1" ht="16.8" customHeight="1" x14ac:dyDescent="0.25">
      <c r="A27" s="938"/>
      <c r="B27" s="940"/>
      <c r="C27" s="370" t="s">
        <v>72</v>
      </c>
      <c r="D27" s="539">
        <v>21242.81</v>
      </c>
      <c r="E27" s="372">
        <f t="shared" si="1"/>
        <v>25491.371999999999</v>
      </c>
    </row>
    <row r="28" spans="1:5" s="345" customFormat="1" ht="12" customHeight="1" x14ac:dyDescent="0.25">
      <c r="A28" s="938"/>
      <c r="B28" s="940"/>
      <c r="C28" s="370" t="s">
        <v>73</v>
      </c>
      <c r="D28" s="539">
        <v>1253.78</v>
      </c>
      <c r="E28" s="372">
        <f t="shared" si="1"/>
        <v>1504.5359999999998</v>
      </c>
    </row>
    <row r="29" spans="1:5" s="345" customFormat="1" ht="12" customHeight="1" x14ac:dyDescent="0.25">
      <c r="A29" s="938"/>
      <c r="B29" s="940"/>
      <c r="C29" s="370" t="s">
        <v>74</v>
      </c>
      <c r="D29" s="539">
        <v>45770.58</v>
      </c>
      <c r="E29" s="372">
        <f t="shared" si="1"/>
        <v>54924.696000000004</v>
      </c>
    </row>
    <row r="30" spans="1:5" s="345" customFormat="1" ht="12" customHeight="1" x14ac:dyDescent="0.25">
      <c r="A30" s="938"/>
      <c r="B30" s="940"/>
      <c r="C30" s="370" t="s">
        <v>77</v>
      </c>
      <c r="D30" s="539">
        <v>3287.79</v>
      </c>
      <c r="E30" s="372">
        <f t="shared" si="1"/>
        <v>3945.348</v>
      </c>
    </row>
    <row r="31" spans="1:5" s="345" customFormat="1" ht="12" customHeight="1" x14ac:dyDescent="0.25">
      <c r="A31" s="938"/>
      <c r="B31" s="940"/>
      <c r="C31" s="370" t="s">
        <v>78</v>
      </c>
      <c r="D31" s="539">
        <v>104828.68</v>
      </c>
      <c r="E31" s="372">
        <f t="shared" si="1"/>
        <v>125794.41599999998</v>
      </c>
    </row>
    <row r="32" spans="1:5" s="345" customFormat="1" ht="12" customHeight="1" x14ac:dyDescent="0.25">
      <c r="A32" s="938"/>
      <c r="B32" s="940"/>
      <c r="C32" s="391" t="s">
        <v>76</v>
      </c>
      <c r="D32" s="539">
        <v>38390.54</v>
      </c>
      <c r="E32" s="372">
        <f t="shared" si="1"/>
        <v>46068.648000000001</v>
      </c>
    </row>
    <row r="33" spans="1:5" s="345" customFormat="1" ht="12" customHeight="1" x14ac:dyDescent="0.25">
      <c r="A33" s="938"/>
      <c r="B33" s="940"/>
      <c r="C33" s="391" t="s">
        <v>79</v>
      </c>
      <c r="D33" s="539">
        <v>33164.519999999997</v>
      </c>
      <c r="E33" s="372">
        <f t="shared" si="1"/>
        <v>39797.423999999992</v>
      </c>
    </row>
    <row r="34" spans="1:5" s="345" customFormat="1" ht="12" customHeight="1" x14ac:dyDescent="0.25">
      <c r="A34" s="938"/>
      <c r="B34" s="940"/>
      <c r="C34" s="392" t="s">
        <v>75</v>
      </c>
      <c r="D34" s="539">
        <v>171056.73</v>
      </c>
      <c r="E34" s="372">
        <f t="shared" si="1"/>
        <v>205268.076</v>
      </c>
    </row>
    <row r="35" spans="1:5" s="345" customFormat="1" ht="12" customHeight="1" x14ac:dyDescent="0.25">
      <c r="A35" s="938"/>
      <c r="B35" s="940"/>
      <c r="C35" s="530" t="s">
        <v>80</v>
      </c>
      <c r="D35" s="539">
        <v>59510.96</v>
      </c>
      <c r="E35" s="372">
        <f t="shared" si="1"/>
        <v>71413.152000000002</v>
      </c>
    </row>
    <row r="36" spans="1:5" s="345" customFormat="1" ht="12" customHeight="1" x14ac:dyDescent="0.25">
      <c r="A36" s="938"/>
      <c r="B36" s="940"/>
      <c r="C36" s="392" t="s">
        <v>170</v>
      </c>
      <c r="D36" s="539">
        <v>5935.61</v>
      </c>
      <c r="E36" s="372">
        <f t="shared" si="1"/>
        <v>7122.7319999999991</v>
      </c>
    </row>
    <row r="37" spans="1:5" s="345" customFormat="1" ht="12" customHeight="1" x14ac:dyDescent="0.25">
      <c r="A37" s="938"/>
      <c r="B37" s="940"/>
      <c r="C37" s="530" t="s">
        <v>171</v>
      </c>
      <c r="D37" s="539">
        <v>17328.79</v>
      </c>
      <c r="E37" s="372">
        <f t="shared" si="1"/>
        <v>20794.547999999999</v>
      </c>
    </row>
    <row r="38" spans="1:5" s="345" customFormat="1" ht="12" customHeight="1" x14ac:dyDescent="0.25">
      <c r="A38" s="938"/>
      <c r="B38" s="940"/>
      <c r="C38" s="530" t="s">
        <v>172</v>
      </c>
      <c r="D38" s="539">
        <v>29440.14</v>
      </c>
      <c r="E38" s="372">
        <f t="shared" si="1"/>
        <v>35328.167999999998</v>
      </c>
    </row>
    <row r="39" spans="1:5" s="345" customFormat="1" ht="12" customHeight="1" x14ac:dyDescent="0.25">
      <c r="A39" s="938"/>
      <c r="B39" s="940"/>
      <c r="C39" s="530" t="s">
        <v>173</v>
      </c>
      <c r="D39" s="539">
        <v>84036.47</v>
      </c>
      <c r="E39" s="372">
        <f t="shared" si="1"/>
        <v>100843.764</v>
      </c>
    </row>
    <row r="40" spans="1:5" s="345" customFormat="1" ht="12" customHeight="1" x14ac:dyDescent="0.25">
      <c r="A40" s="938"/>
      <c r="B40" s="940"/>
      <c r="C40" s="530" t="s">
        <v>174</v>
      </c>
      <c r="D40" s="539">
        <v>129009.85</v>
      </c>
      <c r="E40" s="372">
        <f t="shared" si="1"/>
        <v>154811.82</v>
      </c>
    </row>
    <row r="41" spans="1:5" s="345" customFormat="1" ht="12" customHeight="1" thickBot="1" x14ac:dyDescent="0.3">
      <c r="A41" s="938"/>
      <c r="B41" s="940"/>
      <c r="C41" s="530" t="s">
        <v>175</v>
      </c>
      <c r="D41" s="530">
        <v>766.9</v>
      </c>
      <c r="E41" s="372">
        <f t="shared" si="1"/>
        <v>920.28</v>
      </c>
    </row>
    <row r="42" spans="1:5" s="345" customFormat="1" ht="12" customHeight="1" thickBot="1" x14ac:dyDescent="0.3">
      <c r="A42" s="938"/>
      <c r="B42" s="940"/>
      <c r="C42" s="553" t="s">
        <v>151</v>
      </c>
      <c r="D42" s="553"/>
      <c r="E42" s="554">
        <f>SUM(E23:E41)</f>
        <v>1193453.6159999999</v>
      </c>
    </row>
    <row r="43" spans="1:5" s="345" customFormat="1" ht="12" customHeight="1" x14ac:dyDescent="0.25">
      <c r="A43" s="929">
        <v>3</v>
      </c>
      <c r="B43" s="930" t="s">
        <v>179</v>
      </c>
      <c r="C43" s="463" t="s">
        <v>53</v>
      </c>
      <c r="D43" s="462">
        <v>4386.25</v>
      </c>
      <c r="E43" s="372">
        <f t="shared" si="1"/>
        <v>5263.5</v>
      </c>
    </row>
    <row r="44" spans="1:5" s="345" customFormat="1" ht="12" customHeight="1" x14ac:dyDescent="0.25">
      <c r="A44" s="938"/>
      <c r="B44" s="940"/>
      <c r="C44" s="529" t="s">
        <v>69</v>
      </c>
      <c r="D44" s="529">
        <v>4018.36</v>
      </c>
      <c r="E44" s="372">
        <f t="shared" si="1"/>
        <v>4822.0320000000002</v>
      </c>
    </row>
    <row r="45" spans="1:5" s="345" customFormat="1" ht="12" customHeight="1" x14ac:dyDescent="0.25">
      <c r="A45" s="938"/>
      <c r="B45" s="940"/>
      <c r="C45" s="529" t="s">
        <v>70</v>
      </c>
      <c r="D45" s="529">
        <v>3494.95</v>
      </c>
      <c r="E45" s="372">
        <f t="shared" si="1"/>
        <v>4193.9399999999996</v>
      </c>
    </row>
    <row r="46" spans="1:5" s="345" customFormat="1" ht="12" customHeight="1" thickBot="1" x14ac:dyDescent="0.3">
      <c r="A46" s="938"/>
      <c r="B46" s="940"/>
      <c r="C46" s="529" t="s">
        <v>71</v>
      </c>
      <c r="D46" s="529">
        <v>3400.86</v>
      </c>
      <c r="E46" s="372">
        <f t="shared" si="1"/>
        <v>4081.0320000000002</v>
      </c>
    </row>
    <row r="47" spans="1:5" s="345" customFormat="1" ht="12.6" customHeight="1" thickBot="1" x14ac:dyDescent="0.3">
      <c r="A47" s="939"/>
      <c r="B47" s="941"/>
      <c r="C47" s="553" t="s">
        <v>151</v>
      </c>
      <c r="D47" s="553"/>
      <c r="E47" s="554">
        <f>SUM(E43:E46)</f>
        <v>18360.503999999997</v>
      </c>
    </row>
    <row r="48" spans="1:5" s="345" customFormat="1" ht="12" customHeight="1" x14ac:dyDescent="0.25">
      <c r="A48" s="929">
        <v>4</v>
      </c>
      <c r="B48" s="930" t="s">
        <v>181</v>
      </c>
      <c r="C48" s="432" t="s">
        <v>53</v>
      </c>
      <c r="D48" s="432">
        <v>38171.620000000003</v>
      </c>
      <c r="E48" s="372">
        <f t="shared" si="1"/>
        <v>45805.944000000003</v>
      </c>
    </row>
    <row r="49" spans="1:7" s="345" customFormat="1" ht="12" customHeight="1" x14ac:dyDescent="0.25">
      <c r="A49" s="911"/>
      <c r="B49" s="931"/>
      <c r="C49" s="373" t="s">
        <v>69</v>
      </c>
      <c r="D49" s="372">
        <v>18702.27</v>
      </c>
      <c r="E49" s="372">
        <f t="shared" si="1"/>
        <v>22442.723999999998</v>
      </c>
    </row>
    <row r="50" spans="1:7" s="345" customFormat="1" ht="12" customHeight="1" thickBot="1" x14ac:dyDescent="0.3">
      <c r="A50" s="911"/>
      <c r="B50" s="931"/>
      <c r="C50" s="370" t="s">
        <v>70</v>
      </c>
      <c r="D50" s="370">
        <v>7677.79</v>
      </c>
      <c r="E50" s="372">
        <f t="shared" si="1"/>
        <v>9213.348</v>
      </c>
    </row>
    <row r="51" spans="1:7" s="345" customFormat="1" ht="12" customHeight="1" thickBot="1" x14ac:dyDescent="0.3">
      <c r="A51" s="911"/>
      <c r="B51" s="931"/>
      <c r="C51" s="553" t="s">
        <v>151</v>
      </c>
      <c r="D51" s="553"/>
      <c r="E51" s="554">
        <f>SUM(E48:E50)</f>
        <v>77462.016000000003</v>
      </c>
    </row>
    <row r="52" spans="1:7" s="346" customFormat="1" ht="17.399999999999999" customHeight="1" thickBot="1" x14ac:dyDescent="0.3">
      <c r="A52" s="540"/>
      <c r="B52" s="541" t="s">
        <v>47</v>
      </c>
      <c r="C52" s="406"/>
      <c r="D52" s="406"/>
      <c r="E52" s="551">
        <f>E51+E47+E42+E22+E21+E20</f>
        <v>1959583.0919999999</v>
      </c>
    </row>
    <row r="53" spans="1:7" s="346" customFormat="1" ht="22.2" customHeight="1" x14ac:dyDescent="0.25">
      <c r="C53" s="380"/>
      <c r="D53" s="380"/>
      <c r="E53" s="380"/>
      <c r="G53" s="531"/>
    </row>
    <row r="54" spans="1:7" s="346" customFormat="1" ht="21.75" customHeight="1" x14ac:dyDescent="0.25">
      <c r="A54" s="331"/>
      <c r="B54" s="347"/>
      <c r="C54" s="348"/>
      <c r="D54" s="348"/>
      <c r="E54" s="348"/>
    </row>
    <row r="55" spans="1:7" s="346" customFormat="1" ht="17.25" customHeight="1" x14ac:dyDescent="0.25">
      <c r="A55" s="331"/>
      <c r="B55" s="351" t="s">
        <v>150</v>
      </c>
      <c r="C55" s="348"/>
      <c r="D55" s="348"/>
      <c r="E55" s="348"/>
    </row>
    <row r="56" spans="1:7" s="353" customFormat="1" x14ac:dyDescent="0.25">
      <c r="C56" s="357"/>
      <c r="D56" s="357"/>
      <c r="E56" s="357"/>
    </row>
    <row r="57" spans="1:7" s="353" customFormat="1" x14ac:dyDescent="0.25">
      <c r="C57" s="357"/>
      <c r="D57" s="357"/>
      <c r="E57" s="357"/>
    </row>
    <row r="58" spans="1:7" x14ac:dyDescent="0.25">
      <c r="C58" s="362"/>
      <c r="D58" s="362"/>
      <c r="E58" s="362"/>
    </row>
    <row r="59" spans="1:7" x14ac:dyDescent="0.25">
      <c r="B59" s="330" t="s">
        <v>7</v>
      </c>
      <c r="C59" s="357"/>
      <c r="D59" s="357"/>
      <c r="E59" s="357"/>
    </row>
    <row r="60" spans="1:7" x14ac:dyDescent="0.25">
      <c r="C60" s="362"/>
      <c r="D60" s="362"/>
      <c r="E60" s="362"/>
    </row>
    <row r="61" spans="1:7" x14ac:dyDescent="0.25">
      <c r="C61" s="340"/>
      <c r="D61" s="340"/>
      <c r="E61" s="340"/>
    </row>
    <row r="62" spans="1:7" x14ac:dyDescent="0.25">
      <c r="C62" s="340"/>
      <c r="D62" s="340"/>
      <c r="E62" s="340"/>
    </row>
    <row r="63" spans="1:7" x14ac:dyDescent="0.25">
      <c r="C63" s="340"/>
      <c r="D63" s="340"/>
      <c r="E63" s="340"/>
    </row>
    <row r="64" spans="1:7" x14ac:dyDescent="0.25">
      <c r="C64" s="340"/>
      <c r="D64" s="340"/>
      <c r="E64" s="340"/>
    </row>
    <row r="65" spans="3:5" x14ac:dyDescent="0.25">
      <c r="C65" s="340"/>
      <c r="D65" s="340"/>
      <c r="E65" s="340"/>
    </row>
    <row r="66" spans="3:5" x14ac:dyDescent="0.25">
      <c r="C66" s="340"/>
      <c r="D66" s="340"/>
      <c r="E66" s="340"/>
    </row>
    <row r="67" spans="3:5" x14ac:dyDescent="0.25">
      <c r="C67" s="340"/>
      <c r="D67" s="340"/>
      <c r="E67" s="340"/>
    </row>
    <row r="68" spans="3:5" x14ac:dyDescent="0.25">
      <c r="C68" s="340"/>
      <c r="D68" s="340"/>
      <c r="E68" s="340"/>
    </row>
    <row r="69" spans="3:5" x14ac:dyDescent="0.25">
      <c r="C69" s="340"/>
      <c r="D69" s="340"/>
      <c r="E69" s="340"/>
    </row>
    <row r="70" spans="3:5" x14ac:dyDescent="0.25">
      <c r="C70" s="340"/>
      <c r="D70" s="340"/>
      <c r="E70" s="340"/>
    </row>
    <row r="71" spans="3:5" x14ac:dyDescent="0.25">
      <c r="C71" s="340"/>
      <c r="D71" s="340"/>
      <c r="E71" s="340"/>
    </row>
    <row r="72" spans="3:5" x14ac:dyDescent="0.25">
      <c r="C72" s="340"/>
      <c r="D72" s="340"/>
      <c r="E72" s="340"/>
    </row>
    <row r="73" spans="3:5" x14ac:dyDescent="0.25">
      <c r="C73" s="340"/>
      <c r="D73" s="340"/>
      <c r="E73" s="340"/>
    </row>
    <row r="74" spans="3:5" x14ac:dyDescent="0.25">
      <c r="C74" s="340"/>
      <c r="D74" s="340"/>
      <c r="E74" s="340"/>
    </row>
    <row r="75" spans="3:5" x14ac:dyDescent="0.25">
      <c r="C75" s="340"/>
      <c r="D75" s="340"/>
      <c r="E75" s="340"/>
    </row>
    <row r="76" spans="3:5" x14ac:dyDescent="0.25">
      <c r="C76" s="340"/>
      <c r="D76" s="340"/>
      <c r="E76" s="340"/>
    </row>
    <row r="77" spans="3:5" x14ac:dyDescent="0.25">
      <c r="C77" s="340"/>
      <c r="D77" s="340"/>
      <c r="E77" s="340"/>
    </row>
    <row r="78" spans="3:5" x14ac:dyDescent="0.25">
      <c r="C78" s="340"/>
      <c r="D78" s="340"/>
      <c r="E78" s="340"/>
    </row>
    <row r="79" spans="3:5" x14ac:dyDescent="0.25">
      <c r="C79" s="340"/>
      <c r="D79" s="340"/>
      <c r="E79" s="340"/>
    </row>
    <row r="80" spans="3:5" x14ac:dyDescent="0.25">
      <c r="C80" s="340"/>
      <c r="D80" s="340"/>
      <c r="E80" s="340"/>
    </row>
    <row r="81" spans="3:5" x14ac:dyDescent="0.25">
      <c r="C81" s="340"/>
      <c r="D81" s="340"/>
      <c r="E81" s="340"/>
    </row>
    <row r="82" spans="3:5" x14ac:dyDescent="0.25">
      <c r="C82" s="340"/>
      <c r="D82" s="340"/>
      <c r="E82" s="340"/>
    </row>
    <row r="83" spans="3:5" x14ac:dyDescent="0.25">
      <c r="C83" s="340"/>
      <c r="D83" s="340"/>
      <c r="E83" s="340"/>
    </row>
    <row r="84" spans="3:5" x14ac:dyDescent="0.25">
      <c r="C84" s="340"/>
      <c r="D84" s="340"/>
      <c r="E84" s="340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51" t="s">
        <v>6</v>
      </c>
      <c r="B1" s="951"/>
      <c r="C1" s="951"/>
      <c r="D1" s="951"/>
      <c r="E1" s="951"/>
      <c r="F1" s="951"/>
    </row>
    <row r="2" spans="1:8" s="91" customFormat="1" ht="12.75" customHeight="1" x14ac:dyDescent="0.25">
      <c r="A2" s="952"/>
      <c r="B2" s="952"/>
      <c r="C2" s="952"/>
      <c r="D2" s="952"/>
      <c r="E2" s="952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ДЦ Замовник</vt:lpstr>
      <vt:lpstr>Реєстр АВР 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'ДЦ Замовник'!Область_печати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АВР 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2024-06-10T10:54:09Z</cp:lastPrinted>
  <dcterms:created xsi:type="dcterms:W3CDTF">2016-07-15T13:11:41Z</dcterms:created>
  <dcterms:modified xsi:type="dcterms:W3CDTF">2024-06-14T05:55:31Z</dcterms:modified>
</cp:coreProperties>
</file>
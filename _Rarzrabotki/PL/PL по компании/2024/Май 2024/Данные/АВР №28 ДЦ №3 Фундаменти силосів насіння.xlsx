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8688"/>
  </bookViews>
  <sheets>
    <sheet name="ДЦ (насіння)" sheetId="1" r:id="rId1"/>
  </sheets>
  <definedNames>
    <definedName name="_xlnm._FilterDatabase" localSheetId="0" hidden="1">'ДЦ (насіння)'!$A$9:$IP$37</definedName>
    <definedName name="_xlnm.Print_Area" localSheetId="0">'ДЦ (насіння)'!$A$1:$K$52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1" l="1"/>
  <c r="K19" i="1"/>
  <c r="I31" i="1" l="1"/>
  <c r="I30" i="1" l="1"/>
  <c r="O29" i="1"/>
  <c r="O28" i="1"/>
  <c r="O21" i="1"/>
  <c r="M29" i="1"/>
  <c r="M28" i="1"/>
  <c r="M27" i="1"/>
  <c r="O27" i="1" s="1"/>
  <c r="M26" i="1"/>
  <c r="O26" i="1" s="1"/>
  <c r="M25" i="1"/>
  <c r="O25" i="1" s="1"/>
  <c r="M24" i="1"/>
  <c r="O24" i="1" s="1"/>
  <c r="M23" i="1"/>
  <c r="O23" i="1" s="1"/>
  <c r="M22" i="1"/>
  <c r="O22" i="1" s="1"/>
  <c r="M21" i="1"/>
  <c r="I33" i="1"/>
  <c r="F14" i="1"/>
  <c r="I14" i="1"/>
  <c r="K14" i="1" s="1"/>
  <c r="D13" i="1"/>
  <c r="G52" i="1" l="1"/>
  <c r="K33" i="1"/>
  <c r="F33" i="1"/>
  <c r="I32" i="1"/>
  <c r="K32" i="1" s="1"/>
  <c r="F32" i="1"/>
  <c r="K31" i="1"/>
  <c r="F31" i="1"/>
  <c r="K29" i="1"/>
  <c r="F29" i="1"/>
  <c r="K28" i="1"/>
  <c r="F28" i="1"/>
  <c r="K27" i="1"/>
  <c r="F27" i="1"/>
  <c r="K26" i="1"/>
  <c r="F26" i="1"/>
  <c r="K25" i="1"/>
  <c r="K24" i="1"/>
  <c r="K23" i="1"/>
  <c r="F23" i="1"/>
  <c r="K22" i="1"/>
  <c r="F22" i="1"/>
  <c r="K21" i="1"/>
  <c r="F21" i="1"/>
  <c r="I20" i="1"/>
  <c r="K20" i="1" s="1"/>
  <c r="I19" i="1"/>
  <c r="F18" i="1"/>
  <c r="F17" i="1"/>
  <c r="F15" i="1"/>
  <c r="K16" i="1"/>
  <c r="F13" i="1"/>
  <c r="F12" i="1"/>
  <c r="F16" i="1" l="1"/>
  <c r="K35" i="1"/>
  <c r="F19" i="1"/>
  <c r="F34" i="1" s="1"/>
  <c r="F35" i="1" s="1"/>
  <c r="F20" i="1"/>
  <c r="K30" i="1"/>
  <c r="K36" i="1" l="1"/>
  <c r="K37" i="1" s="1"/>
</calcChain>
</file>

<file path=xl/sharedStrings.xml><?xml version="1.0" encoding="utf-8"?>
<sst xmlns="http://schemas.openxmlformats.org/spreadsheetml/2006/main" count="99" uniqueCount="74">
  <si>
    <t>Замовник: ПАТ "НІЖИНСЬКИЙ ЖИРКОМБІНАТ"</t>
  </si>
  <si>
    <t xml:space="preserve">Договір: №14/02/24-1ГП від 14.02.2024 року </t>
  </si>
  <si>
    <t>Генідрядник: ТОВ "ІНДАСТРІАЛБУД"</t>
  </si>
  <si>
    <t>Об'єкт:  Реконструкція олійноекстракційного заводу на території ПрАТ «Ніжинський жиркомбінат» за адресою: Чернігівська область м. Ніжин вул. Прилуцька, 2</t>
  </si>
  <si>
    <t>№ п/п</t>
  </si>
  <si>
    <t>Найменування робіт</t>
  </si>
  <si>
    <t>Од. вим.</t>
  </si>
  <si>
    <t>Кількість</t>
  </si>
  <si>
    <t>Ціна за од., грн з ПДВ</t>
  </si>
  <si>
    <t>Разом вартість, грн. з ПДВ</t>
  </si>
  <si>
    <t>Найменування матеріалів</t>
  </si>
  <si>
    <t>Вартість матеріалів за од., грн. з ПДВ</t>
  </si>
  <si>
    <t>Разом вартість матеріалів, грн. з ПДВ</t>
  </si>
  <si>
    <t>І</t>
  </si>
  <si>
    <t>Земляні роботи</t>
  </si>
  <si>
    <t>Розробка грунту механізованим способом з навантаженням на самосвали</t>
  </si>
  <si>
    <t>м3</t>
  </si>
  <si>
    <t>Перевезення грунту на відстань до 2км</t>
  </si>
  <si>
    <t>тн</t>
  </si>
  <si>
    <t>Зворотня засипка пазух з ущільненням пневматичними трамбівками</t>
  </si>
  <si>
    <t>т</t>
  </si>
  <si>
    <t xml:space="preserve">Планування території </t>
  </si>
  <si>
    <t>м2</t>
  </si>
  <si>
    <t>Ущільнення грунту віброкатком</t>
  </si>
  <si>
    <t>Всього по розділу:</t>
  </si>
  <si>
    <t>ІІ</t>
  </si>
  <si>
    <t xml:space="preserve">Влаштування фундаментів  </t>
  </si>
  <si>
    <t>Щебінь фр.40-70 (матеріал Замовника)</t>
  </si>
  <si>
    <t>Улаштування бетонної підготовки товщиною 100мм., марка бетону М:150 С8/10</t>
  </si>
  <si>
    <t>Бетон кл. С8/10 (матеріал Замовника)</t>
  </si>
  <si>
    <t>Улаштування залізобетонних фундаментів силосів та підземної галереї, марка бетону М:350 С20/25 з армуванням</t>
  </si>
  <si>
    <t>Арматура діам.16мм А400С</t>
  </si>
  <si>
    <t>Арматура діам.16мм А240С</t>
  </si>
  <si>
    <t>Арматура діам.20мм А400С</t>
  </si>
  <si>
    <t>Арматура діам.20мм А240С</t>
  </si>
  <si>
    <t>Арматура діам.28мм А400С</t>
  </si>
  <si>
    <t>Арматура діам.25мм А400С</t>
  </si>
  <si>
    <t>Арматура діам.14мм А400С</t>
  </si>
  <si>
    <t>Арматура діам.12мм А240С</t>
  </si>
  <si>
    <t>Арматура діам.12мм А400С</t>
  </si>
  <si>
    <t xml:space="preserve">Проволка </t>
  </si>
  <si>
    <t>кг</t>
  </si>
  <si>
    <t xml:space="preserve"> Влаштування плівки</t>
  </si>
  <si>
    <t>Улаштування обмазувальної гідроізоляції фудаментів силосів та підземної галереї в два шара бітумній мастиці</t>
  </si>
  <si>
    <t>Мастика бітумна</t>
  </si>
  <si>
    <t>Загалом вартість робіт по кошторису грн. з ПДВ</t>
  </si>
  <si>
    <t>Загалом вартість матеріалів по кошторису з ПДВ</t>
  </si>
  <si>
    <t>Всього грн. з ПДВ</t>
  </si>
  <si>
    <t>В т.ч. ПДВ</t>
  </si>
  <si>
    <t xml:space="preserve">Замовник:  </t>
  </si>
  <si>
    <t xml:space="preserve">Генпідрядник: </t>
  </si>
  <si>
    <t>ПАТ "НІЖИНСЬКИЙ ЖИРКОМБІНАТ"</t>
  </si>
  <si>
    <t>ТОВ "ІНДАСТРІАЛБУД"</t>
  </si>
  <si>
    <t>Місцезнаходження: 16600, Чернігівська обл., м.Ніжин, вул. Прилуцька, 2</t>
  </si>
  <si>
    <t>Місцезнаходження:03110, м.Київ, вул. Преображенська, будинок 23, офіс №507</t>
  </si>
  <si>
    <t>Код ЄДРПОУ 00373942</t>
  </si>
  <si>
    <t>Код ЄДРПОУ: 40645273</t>
  </si>
  <si>
    <t xml:space="preserve">ІПН – 003739425131 </t>
  </si>
  <si>
    <t>ІПН: 406452726560</t>
  </si>
  <si>
    <t xml:space="preserve">IBAN: UA 97 300528 0000026004000010559 </t>
  </si>
  <si>
    <t>АБ "Укрексімбанк" м. Київ, МФО 322313</t>
  </si>
  <si>
    <t>в  АТ "ОТП Банк", м.Київ, МФО 300528</t>
  </si>
  <si>
    <t>Голова правління ________________________ Васильченко Є.С.</t>
  </si>
  <si>
    <t>Директор ________________________ Воронцов О.В.</t>
  </si>
  <si>
    <t>"___"______________ 2024 року</t>
  </si>
  <si>
    <t xml:space="preserve">приймання виконаних робіт </t>
  </si>
  <si>
    <t>за  ______________________ 2024 року</t>
  </si>
  <si>
    <t>АКТ №28</t>
  </si>
  <si>
    <t>Влаштування фундаментів металевих силосів для зберігання насіння (310-2020-5.1.7-КБ-Р)</t>
  </si>
  <si>
    <t>Основа: ДЦ №3</t>
  </si>
  <si>
    <t>Улаштування щебеневої основи товщиною 575мм</t>
  </si>
  <si>
    <t>Відсів гранітний 0-5 мм (матеріал Замовника)</t>
  </si>
  <si>
    <t>Плівка ПВХ (матеріал Замовника)</t>
  </si>
  <si>
    <t>Бетон кл. С20/25 F75 W4 (матеріал Замовника)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</si>
</sst>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"/>
    <numFmt numFmtId="165" formatCode="_-* #,##0.00\ _₴_-;\-* #,##0.00\ _₴_-;_-* &quot;-&quot;??\ _₴_-;_-@_-"/>
    <numFmt numFmtId="166" formatCode="#,##0.00000"/>
    <numFmt numFmtId="167" formatCode="dd/mm/yy;@"/>
  </numFmts>
  <fonts count="15" x14ac:knownFonts="1"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0"/>
      <name val="Arial Cyr"/>
      <charset val="204"/>
    </font>
    <font>
      <b/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4.9989318521683403E-2"/>
        <bgColor indexed="5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4">
    <xf numFmtId="0" fontId="0" fillId="0" borderId="0"/>
    <xf numFmtId="0" fontId="8" fillId="0" borderId="0"/>
    <xf numFmtId="0" fontId="10" fillId="0" borderId="0"/>
    <xf numFmtId="0" fontId="14" fillId="0" borderId="0"/>
  </cellStyleXfs>
  <cellXfs count="118">
    <xf numFmtId="0" fontId="0" fillId="0" borderId="0" xfId="0"/>
    <xf numFmtId="1" fontId="1" fillId="0" borderId="0" xfId="0" applyNumberFormat="1" applyFont="1" applyAlignment="1"/>
    <xf numFmtId="0" fontId="2" fillId="0" borderId="0" xfId="0" applyFont="1"/>
    <xf numFmtId="1" fontId="1" fillId="0" borderId="0" xfId="0" applyNumberFormat="1" applyFont="1" applyFill="1" applyAlignment="1"/>
    <xf numFmtId="0" fontId="3" fillId="0" borderId="0" xfId="0" applyFont="1" applyAlignment="1">
      <alignment vertical="center" wrapText="1"/>
    </xf>
    <xf numFmtId="0" fontId="1" fillId="0" borderId="0" xfId="0" applyFont="1" applyFill="1" applyAlignment="1">
      <alignment wrapText="1"/>
    </xf>
    <xf numFmtId="3" fontId="1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4" fontId="3" fillId="0" borderId="0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left" vertical="center"/>
    </xf>
    <xf numFmtId="3" fontId="3" fillId="3" borderId="10" xfId="1" applyNumberFormat="1" applyFont="1" applyFill="1" applyBorder="1" applyAlignment="1">
      <alignment horizontal="center" vertical="center" wrapText="1"/>
    </xf>
    <xf numFmtId="4" fontId="9" fillId="4" borderId="10" xfId="1" applyNumberFormat="1" applyFont="1" applyFill="1" applyBorder="1" applyAlignment="1">
      <alignment vertical="center" wrapText="1"/>
    </xf>
    <xf numFmtId="4" fontId="9" fillId="4" borderId="10" xfId="1" applyNumberFormat="1" applyFont="1" applyFill="1" applyBorder="1" applyAlignment="1">
      <alignment horizontal="center" vertical="center" wrapText="1"/>
    </xf>
    <xf numFmtId="164" fontId="1" fillId="0" borderId="10" xfId="0" applyNumberFormat="1" applyFont="1" applyFill="1" applyBorder="1" applyAlignment="1">
      <alignment horizontal="center" vertical="center" wrapText="1"/>
    </xf>
    <xf numFmtId="165" fontId="1" fillId="0" borderId="10" xfId="0" applyNumberFormat="1" applyFont="1" applyFill="1" applyBorder="1" applyAlignment="1">
      <alignment horizontal="right" vertical="center"/>
    </xf>
    <xf numFmtId="4" fontId="1" fillId="0" borderId="10" xfId="0" applyNumberFormat="1" applyFont="1" applyFill="1" applyBorder="1" applyAlignment="1">
      <alignment vertical="center" wrapText="1"/>
    </xf>
    <xf numFmtId="4" fontId="1" fillId="0" borderId="10" xfId="0" applyNumberFormat="1" applyFont="1" applyFill="1" applyBorder="1" applyAlignment="1">
      <alignment horizontal="center" vertical="center" wrapText="1"/>
    </xf>
    <xf numFmtId="164" fontId="1" fillId="0" borderId="10" xfId="0" applyNumberFormat="1" applyFont="1" applyFill="1" applyBorder="1" applyAlignment="1">
      <alignment horizontal="right" vertical="center" wrapText="1"/>
    </xf>
    <xf numFmtId="4" fontId="1" fillId="0" borderId="10" xfId="0" applyNumberFormat="1" applyFont="1" applyFill="1" applyBorder="1" applyAlignment="1">
      <alignment horizontal="right" vertical="center" wrapText="1"/>
    </xf>
    <xf numFmtId="4" fontId="1" fillId="0" borderId="10" xfId="2" applyNumberFormat="1" applyFont="1" applyFill="1" applyBorder="1" applyAlignment="1">
      <alignment horizontal="right" vertical="center" wrapText="1"/>
    </xf>
    <xf numFmtId="4" fontId="3" fillId="5" borderId="0" xfId="0" applyNumberFormat="1" applyFont="1" applyFill="1" applyBorder="1" applyAlignment="1">
      <alignment horizontal="center" vertical="center" wrapText="1"/>
    </xf>
    <xf numFmtId="0" fontId="2" fillId="0" borderId="10" xfId="1" applyFont="1" applyBorder="1" applyAlignment="1">
      <alignment horizontal="left" vertical="center" wrapText="1"/>
    </xf>
    <xf numFmtId="4" fontId="1" fillId="0" borderId="10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right" vertical="center" wrapText="1"/>
    </xf>
    <xf numFmtId="3" fontId="1" fillId="0" borderId="7" xfId="1" applyNumberFormat="1" applyFont="1" applyFill="1" applyBorder="1" applyAlignment="1">
      <alignment horizontal="center" vertical="center" wrapText="1"/>
    </xf>
    <xf numFmtId="4" fontId="11" fillId="4" borderId="10" xfId="1" applyNumberFormat="1" applyFont="1" applyFill="1" applyBorder="1" applyAlignment="1">
      <alignment vertical="center" wrapText="1"/>
    </xf>
    <xf numFmtId="165" fontId="4" fillId="0" borderId="10" xfId="0" applyNumberFormat="1" applyFont="1" applyFill="1" applyBorder="1" applyAlignment="1">
      <alignment horizontal="right" vertical="center"/>
    </xf>
    <xf numFmtId="4" fontId="4" fillId="0" borderId="10" xfId="0" applyNumberFormat="1" applyFont="1" applyFill="1" applyBorder="1" applyAlignment="1">
      <alignment horizontal="right" vertical="center" wrapText="1"/>
    </xf>
    <xf numFmtId="4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/>
    </xf>
    <xf numFmtId="4" fontId="9" fillId="4" borderId="9" xfId="1" applyNumberFormat="1" applyFont="1" applyFill="1" applyBorder="1" applyAlignment="1">
      <alignment vertical="center" wrapText="1"/>
    </xf>
    <xf numFmtId="0" fontId="2" fillId="0" borderId="11" xfId="1" applyFont="1" applyBorder="1" applyAlignment="1">
      <alignment horizontal="left" vertical="center" wrapText="1"/>
    </xf>
    <xf numFmtId="4" fontId="9" fillId="4" borderId="11" xfId="1" applyNumberFormat="1" applyFont="1" applyFill="1" applyBorder="1" applyAlignment="1">
      <alignment horizontal="center" vertical="center" wrapText="1"/>
    </xf>
    <xf numFmtId="164" fontId="1" fillId="0" borderId="11" xfId="0" applyNumberFormat="1" applyFont="1" applyFill="1" applyBorder="1" applyAlignment="1">
      <alignment horizontal="center" vertical="center" wrapText="1"/>
    </xf>
    <xf numFmtId="165" fontId="1" fillId="0" borderId="11" xfId="0" applyNumberFormat="1" applyFont="1" applyFill="1" applyBorder="1" applyAlignment="1">
      <alignment horizontal="right" vertical="center"/>
    </xf>
    <xf numFmtId="164" fontId="1" fillId="0" borderId="10" xfId="0" applyNumberFormat="1" applyFont="1" applyFill="1" applyBorder="1" applyAlignment="1">
      <alignment horizontal="left" vertical="center" wrapText="1"/>
    </xf>
    <xf numFmtId="164" fontId="1" fillId="0" borderId="10" xfId="0" applyNumberFormat="1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164" fontId="1" fillId="3" borderId="10" xfId="0" applyNumberFormat="1" applyFont="1" applyFill="1" applyBorder="1" applyAlignment="1">
      <alignment horizontal="right" vertical="center" wrapText="1"/>
    </xf>
    <xf numFmtId="164" fontId="1" fillId="0" borderId="12" xfId="0" applyNumberFormat="1" applyFont="1" applyFill="1" applyBorder="1" applyAlignment="1">
      <alignment vertical="top" wrapText="1"/>
    </xf>
    <xf numFmtId="3" fontId="3" fillId="3" borderId="10" xfId="1" applyNumberFormat="1" applyFont="1" applyFill="1" applyBorder="1" applyAlignment="1">
      <alignment horizontal="center" vertical="top" wrapText="1"/>
    </xf>
    <xf numFmtId="4" fontId="9" fillId="4" borderId="10" xfId="1" applyNumberFormat="1" applyFont="1" applyFill="1" applyBorder="1" applyAlignment="1">
      <alignment horizontal="left" vertical="top" wrapText="1"/>
    </xf>
    <xf numFmtId="164" fontId="1" fillId="0" borderId="10" xfId="0" applyNumberFormat="1" applyFont="1" applyFill="1" applyBorder="1" applyAlignment="1">
      <alignment horizontal="center" vertical="top" wrapText="1"/>
    </xf>
    <xf numFmtId="0" fontId="1" fillId="3" borderId="13" xfId="0" applyFont="1" applyFill="1" applyBorder="1" applyAlignment="1">
      <alignment vertical="center" wrapText="1"/>
    </xf>
    <xf numFmtId="4" fontId="1" fillId="3" borderId="10" xfId="0" applyNumberFormat="1" applyFont="1" applyFill="1" applyBorder="1" applyAlignment="1">
      <alignment horizontal="right" vertical="center" wrapText="1"/>
    </xf>
    <xf numFmtId="2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166" fontId="1" fillId="0" borderId="10" xfId="0" applyNumberFormat="1" applyFont="1" applyFill="1" applyBorder="1" applyAlignment="1">
      <alignment horizontal="right" vertical="center" wrapText="1"/>
    </xf>
    <xf numFmtId="3" fontId="3" fillId="3" borderId="11" xfId="1" applyNumberFormat="1" applyFont="1" applyFill="1" applyBorder="1" applyAlignment="1">
      <alignment horizontal="center" vertical="top" wrapText="1"/>
    </xf>
    <xf numFmtId="4" fontId="1" fillId="4" borderId="11" xfId="1" applyNumberFormat="1" applyFont="1" applyFill="1" applyBorder="1" applyAlignment="1">
      <alignment horizontal="left" vertical="top" wrapText="1"/>
    </xf>
    <xf numFmtId="4" fontId="1" fillId="4" borderId="11" xfId="1" applyNumberFormat="1" applyFont="1" applyFill="1" applyBorder="1" applyAlignment="1">
      <alignment horizontal="center" vertical="center" wrapText="1"/>
    </xf>
    <xf numFmtId="164" fontId="1" fillId="0" borderId="11" xfId="0" applyNumberFormat="1" applyFont="1" applyFill="1" applyBorder="1" applyAlignment="1">
      <alignment horizontal="center" vertical="center" wrapText="1"/>
    </xf>
    <xf numFmtId="165" fontId="1" fillId="0" borderId="11" xfId="0" applyNumberFormat="1" applyFont="1" applyFill="1" applyBorder="1" applyAlignment="1">
      <alignment horizontal="center" vertical="center"/>
    </xf>
    <xf numFmtId="4" fontId="7" fillId="5" borderId="12" xfId="0" applyNumberFormat="1" applyFont="1" applyFill="1" applyBorder="1" applyAlignment="1">
      <alignment vertical="center"/>
    </xf>
    <xf numFmtId="165" fontId="7" fillId="5" borderId="12" xfId="0" applyNumberFormat="1" applyFont="1" applyFill="1" applyBorder="1" applyAlignment="1">
      <alignment horizontal="center" vertical="center"/>
    </xf>
    <xf numFmtId="4" fontId="13" fillId="5" borderId="10" xfId="0" applyNumberFormat="1" applyFont="1" applyFill="1" applyBorder="1" applyAlignment="1">
      <alignment vertical="center"/>
    </xf>
    <xf numFmtId="4" fontId="7" fillId="5" borderId="10" xfId="0" applyNumberFormat="1" applyFont="1" applyFill="1" applyBorder="1" applyAlignment="1">
      <alignment horizontal="center" vertical="center" wrapText="1"/>
    </xf>
    <xf numFmtId="4" fontId="7" fillId="5" borderId="10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4" fontId="7" fillId="6" borderId="14" xfId="0" applyNumberFormat="1" applyFont="1" applyFill="1" applyBorder="1" applyAlignment="1">
      <alignment vertical="center"/>
    </xf>
    <xf numFmtId="4" fontId="7" fillId="6" borderId="15" xfId="0" applyNumberFormat="1" applyFont="1" applyFill="1" applyBorder="1" applyAlignment="1">
      <alignment vertical="center" wrapText="1"/>
    </xf>
    <xf numFmtId="4" fontId="7" fillId="6" borderId="15" xfId="0" applyNumberFormat="1" applyFont="1" applyFill="1" applyBorder="1" applyAlignment="1">
      <alignment horizontal="center" vertical="center" wrapText="1"/>
    </xf>
    <xf numFmtId="4" fontId="7" fillId="6" borderId="15" xfId="0" applyNumberFormat="1" applyFont="1" applyFill="1" applyBorder="1" applyAlignment="1">
      <alignment horizontal="right" vertical="center" wrapText="1"/>
    </xf>
    <xf numFmtId="4" fontId="7" fillId="6" borderId="6" xfId="0" applyNumberFormat="1" applyFont="1" applyFill="1" applyBorder="1" applyAlignment="1">
      <alignment horizontal="right" vertical="center"/>
    </xf>
    <xf numFmtId="4" fontId="7" fillId="5" borderId="7" xfId="0" applyNumberFormat="1" applyFont="1" applyFill="1" applyBorder="1" applyAlignment="1">
      <alignment vertical="center"/>
    </xf>
    <xf numFmtId="4" fontId="7" fillId="5" borderId="8" xfId="0" applyNumberFormat="1" applyFont="1" applyFill="1" applyBorder="1" applyAlignment="1">
      <alignment vertical="center" wrapText="1"/>
    </xf>
    <xf numFmtId="4" fontId="7" fillId="5" borderId="8" xfId="0" applyNumberFormat="1" applyFont="1" applyFill="1" applyBorder="1" applyAlignment="1">
      <alignment horizontal="center" vertical="center" wrapText="1"/>
    </xf>
    <xf numFmtId="4" fontId="7" fillId="5" borderId="8" xfId="0" applyNumberFormat="1" applyFont="1" applyFill="1" applyBorder="1" applyAlignment="1">
      <alignment horizontal="right" vertical="center" wrapText="1"/>
    </xf>
    <xf numFmtId="4" fontId="7" fillId="5" borderId="0" xfId="0" applyNumberFormat="1" applyFont="1" applyFill="1" applyBorder="1" applyAlignment="1">
      <alignment vertical="center"/>
    </xf>
    <xf numFmtId="4" fontId="7" fillId="5" borderId="0" xfId="0" applyNumberFormat="1" applyFont="1" applyFill="1" applyBorder="1" applyAlignment="1">
      <alignment vertical="center" wrapText="1"/>
    </xf>
    <xf numFmtId="4" fontId="7" fillId="5" borderId="0" xfId="0" applyNumberFormat="1" applyFont="1" applyFill="1" applyBorder="1" applyAlignment="1">
      <alignment horizontal="center" vertical="center" wrapText="1"/>
    </xf>
    <xf numFmtId="4" fontId="7" fillId="5" borderId="0" xfId="0" applyNumberFormat="1" applyFont="1" applyFill="1" applyBorder="1" applyAlignment="1">
      <alignment horizontal="right" vertical="center" wrapText="1"/>
    </xf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Fill="1" applyAlignment="1"/>
    <xf numFmtId="0" fontId="4" fillId="0" borderId="0" xfId="0" applyFont="1" applyFill="1" applyAlignment="1">
      <alignment wrapText="1"/>
    </xf>
    <xf numFmtId="0" fontId="1" fillId="0" borderId="0" xfId="0" applyFont="1" applyFill="1" applyAlignment="1"/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167" fontId="1" fillId="0" borderId="0" xfId="0" applyNumberFormat="1" applyFont="1" applyBorder="1" applyAlignment="1"/>
    <xf numFmtId="0" fontId="1" fillId="0" borderId="0" xfId="0" applyFont="1" applyAlignment="1">
      <alignment horizontal="center" vertical="center"/>
    </xf>
    <xf numFmtId="167" fontId="1" fillId="0" borderId="0" xfId="0" applyNumberFormat="1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0" borderId="0" xfId="3" applyFont="1"/>
    <xf numFmtId="0" fontId="1" fillId="0" borderId="0" xfId="3" applyFont="1" applyAlignment="1">
      <alignment horizontal="center" vertical="center"/>
    </xf>
    <xf numFmtId="0" fontId="7" fillId="0" borderId="7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</cellXfs>
  <cellStyles count="4">
    <cellStyle name="Обычный" xfId="0" builtinId="0"/>
    <cellStyle name="Обычный 11" xfId="1"/>
    <cellStyle name="Обычный 2" xfId="3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R52"/>
  <sheetViews>
    <sheetView tabSelected="1" topLeftCell="A16" zoomScale="87" zoomScaleNormal="87" zoomScaleSheetLayoutView="100" zoomScalePageLayoutView="150" workbookViewId="0">
      <selection activeCell="L34" sqref="L34"/>
    </sheetView>
  </sheetViews>
  <sheetFormatPr defaultColWidth="12.33203125" defaultRowHeight="13.8" x14ac:dyDescent="0.3"/>
  <cols>
    <col min="1" max="1" width="6.77734375" style="15" customWidth="1"/>
    <col min="2" max="2" width="51.6640625" style="4" customWidth="1"/>
    <col min="3" max="3" width="7.44140625" style="107" customWidth="1"/>
    <col min="4" max="4" width="11.33203125" style="107" customWidth="1"/>
    <col min="5" max="5" width="12.33203125" style="107" customWidth="1"/>
    <col min="6" max="6" width="17.33203125" style="107" customWidth="1"/>
    <col min="7" max="7" width="35.6640625" style="4" customWidth="1"/>
    <col min="8" max="8" width="10.33203125" style="107" customWidth="1"/>
    <col min="9" max="9" width="11.33203125" style="107" customWidth="1"/>
    <col min="10" max="10" width="14.33203125" style="107" customWidth="1"/>
    <col min="11" max="11" width="15.44140625" style="107" customWidth="1"/>
    <col min="12" max="12" width="26.44140625" style="15" customWidth="1"/>
    <col min="13" max="13" width="19.44140625" style="15" hidden="1" customWidth="1"/>
    <col min="14" max="14" width="15.33203125" style="15" hidden="1" customWidth="1"/>
    <col min="15" max="15" width="18.109375" style="15" hidden="1" customWidth="1"/>
    <col min="16" max="16" width="9.6640625" style="15" hidden="1" customWidth="1"/>
    <col min="17" max="250" width="9.6640625" style="15" customWidth="1"/>
    <col min="251" max="16384" width="12.33203125" style="15"/>
  </cols>
  <sheetData>
    <row r="1" spans="1:16" s="2" customFormat="1" ht="15.75" customHeight="1" x14ac:dyDescent="0.25">
      <c r="A1" s="1"/>
      <c r="B1" s="114" t="s">
        <v>0</v>
      </c>
      <c r="C1" s="114"/>
      <c r="D1" s="114"/>
      <c r="E1" s="114"/>
      <c r="F1" s="114"/>
      <c r="G1" s="115" t="s">
        <v>1</v>
      </c>
      <c r="H1" s="115"/>
      <c r="I1" s="115"/>
      <c r="J1" s="115"/>
      <c r="K1" s="115"/>
    </row>
    <row r="2" spans="1:16" s="2" customFormat="1" ht="60" customHeight="1" x14ac:dyDescent="0.25">
      <c r="A2" s="3"/>
      <c r="B2" s="116" t="s">
        <v>2</v>
      </c>
      <c r="C2" s="116"/>
      <c r="D2" s="116"/>
      <c r="E2" s="116"/>
      <c r="F2" s="116"/>
      <c r="G2" s="117" t="s">
        <v>3</v>
      </c>
      <c r="H2" s="117"/>
      <c r="I2" s="117"/>
      <c r="J2" s="117"/>
      <c r="K2" s="117"/>
    </row>
    <row r="3" spans="1:16" s="2" customFormat="1" ht="11.25" customHeight="1" x14ac:dyDescent="0.25">
      <c r="A3" s="3"/>
      <c r="B3" s="4"/>
      <c r="C3" s="5"/>
      <c r="D3" s="5"/>
      <c r="E3" s="5"/>
      <c r="F3" s="5"/>
      <c r="G3" s="5"/>
      <c r="H3" s="5"/>
      <c r="I3" s="5"/>
      <c r="J3" s="5"/>
      <c r="K3" s="5"/>
    </row>
    <row r="4" spans="1:16" s="108" customFormat="1" x14ac:dyDescent="0.25">
      <c r="A4" s="113" t="s">
        <v>67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</row>
    <row r="5" spans="1:16" s="108" customFormat="1" x14ac:dyDescent="0.25">
      <c r="A5" s="113" t="s">
        <v>65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</row>
    <row r="6" spans="1:16" s="108" customFormat="1" x14ac:dyDescent="0.25">
      <c r="A6" s="109" t="s">
        <v>66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spans="1:16" s="2" customFormat="1" x14ac:dyDescent="0.25">
      <c r="A7" s="6" t="s">
        <v>69</v>
      </c>
      <c r="B7" s="7"/>
      <c r="C7" s="8"/>
      <c r="D7" s="9"/>
      <c r="E7" s="10"/>
      <c r="F7" s="10"/>
      <c r="G7" s="10"/>
      <c r="H7" s="8"/>
      <c r="I7" s="7"/>
      <c r="J7" s="8"/>
      <c r="K7" s="11"/>
    </row>
    <row r="8" spans="1:16" ht="55.2" x14ac:dyDescent="0.3">
      <c r="A8" s="12" t="s">
        <v>4</v>
      </c>
      <c r="B8" s="13" t="s">
        <v>5</v>
      </c>
      <c r="C8" s="13" t="s">
        <v>6</v>
      </c>
      <c r="D8" s="13" t="s">
        <v>7</v>
      </c>
      <c r="E8" s="13" t="s">
        <v>8</v>
      </c>
      <c r="F8" s="13" t="s">
        <v>9</v>
      </c>
      <c r="G8" s="13" t="s">
        <v>10</v>
      </c>
      <c r="H8" s="13" t="s">
        <v>6</v>
      </c>
      <c r="I8" s="13" t="s">
        <v>7</v>
      </c>
      <c r="J8" s="13" t="s">
        <v>11</v>
      </c>
      <c r="K8" s="14" t="s">
        <v>12</v>
      </c>
    </row>
    <row r="9" spans="1:16" x14ac:dyDescent="0.3">
      <c r="A9" s="16">
        <v>1</v>
      </c>
      <c r="B9" s="17">
        <v>2</v>
      </c>
      <c r="C9" s="17">
        <v>3</v>
      </c>
      <c r="D9" s="17">
        <v>4</v>
      </c>
      <c r="E9" s="17">
        <v>5</v>
      </c>
      <c r="F9" s="17">
        <v>6</v>
      </c>
      <c r="G9" s="17">
        <v>7</v>
      </c>
      <c r="H9" s="17">
        <v>8</v>
      </c>
      <c r="I9" s="17">
        <v>9</v>
      </c>
      <c r="J9" s="17">
        <v>10</v>
      </c>
      <c r="K9" s="18">
        <v>11</v>
      </c>
      <c r="L9" s="10"/>
      <c r="M9" s="10"/>
    </row>
    <row r="10" spans="1:16" ht="14.4" customHeight="1" x14ac:dyDescent="0.3">
      <c r="A10" s="19"/>
      <c r="B10" s="110" t="s">
        <v>68</v>
      </c>
      <c r="C10" s="111"/>
      <c r="D10" s="111"/>
      <c r="E10" s="111"/>
      <c r="F10" s="111"/>
      <c r="G10" s="111"/>
      <c r="H10" s="111"/>
      <c r="I10" s="111"/>
      <c r="J10" s="111"/>
      <c r="K10" s="112"/>
      <c r="L10" s="20"/>
      <c r="M10" s="21"/>
      <c r="N10" s="22"/>
      <c r="O10" s="22"/>
      <c r="P10" s="10"/>
    </row>
    <row r="11" spans="1:16" ht="14.4" customHeight="1" x14ac:dyDescent="0.3">
      <c r="A11" s="23" t="s">
        <v>13</v>
      </c>
      <c r="B11" s="24" t="s">
        <v>14</v>
      </c>
      <c r="C11" s="24"/>
      <c r="D11" s="24"/>
      <c r="E11" s="24"/>
      <c r="F11" s="24"/>
      <c r="G11" s="24"/>
      <c r="H11" s="24"/>
      <c r="I11" s="24"/>
      <c r="J11" s="24"/>
      <c r="K11" s="24"/>
      <c r="L11" s="20"/>
      <c r="M11" s="21"/>
      <c r="N11" s="22"/>
      <c r="O11" s="22"/>
      <c r="P11" s="10"/>
    </row>
    <row r="12" spans="1:16" ht="33.6" customHeight="1" x14ac:dyDescent="0.3">
      <c r="A12" s="25">
        <v>1</v>
      </c>
      <c r="B12" s="26" t="s">
        <v>15</v>
      </c>
      <c r="C12" s="27" t="s">
        <v>16</v>
      </c>
      <c r="D12" s="28">
        <v>391.4</v>
      </c>
      <c r="E12" s="29">
        <v>100</v>
      </c>
      <c r="F12" s="29">
        <f>ROUND(E12*D12,2)</f>
        <v>39140</v>
      </c>
      <c r="G12" s="30"/>
      <c r="H12" s="31"/>
      <c r="I12" s="32"/>
      <c r="J12" s="33"/>
      <c r="K12" s="34"/>
      <c r="M12" s="35"/>
      <c r="N12" s="22"/>
      <c r="O12" s="10"/>
    </row>
    <row r="13" spans="1:16" x14ac:dyDescent="0.3">
      <c r="A13" s="25">
        <v>3</v>
      </c>
      <c r="B13" s="26" t="s">
        <v>17</v>
      </c>
      <c r="C13" s="27" t="s">
        <v>18</v>
      </c>
      <c r="D13" s="28">
        <f>D12*1.6*0.7</f>
        <v>438.36799999999999</v>
      </c>
      <c r="E13" s="29">
        <v>120</v>
      </c>
      <c r="F13" s="29">
        <f t="shared" ref="F13:F15" si="0">ROUND(E13*D13,2)</f>
        <v>52604.160000000003</v>
      </c>
      <c r="G13" s="30"/>
      <c r="H13" s="31"/>
      <c r="I13" s="32"/>
      <c r="J13" s="33"/>
      <c r="K13" s="33"/>
      <c r="M13" s="35"/>
      <c r="N13" s="22"/>
      <c r="O13" s="10"/>
    </row>
    <row r="14" spans="1:16" ht="27.6" x14ac:dyDescent="0.3">
      <c r="A14" s="25">
        <v>4</v>
      </c>
      <c r="B14" s="36" t="s">
        <v>19</v>
      </c>
      <c r="C14" s="27" t="s">
        <v>16</v>
      </c>
      <c r="D14" s="28">
        <v>125.578</v>
      </c>
      <c r="E14" s="29">
        <v>220</v>
      </c>
      <c r="F14" s="29">
        <f t="shared" si="0"/>
        <v>27627.16</v>
      </c>
      <c r="G14" s="26" t="s">
        <v>71</v>
      </c>
      <c r="H14" s="37" t="s">
        <v>20</v>
      </c>
      <c r="I14" s="38">
        <f>D14*1.15*1.41</f>
        <v>203.62472699999995</v>
      </c>
      <c r="J14" s="33">
        <v>0</v>
      </c>
      <c r="K14" s="33">
        <f>ROUND(J14*I14,2)</f>
        <v>0</v>
      </c>
      <c r="M14" s="35"/>
      <c r="N14" s="22"/>
      <c r="O14" s="10"/>
    </row>
    <row r="15" spans="1:16" ht="15.45" customHeight="1" x14ac:dyDescent="0.3">
      <c r="A15" s="25">
        <v>6</v>
      </c>
      <c r="B15" s="26" t="s">
        <v>23</v>
      </c>
      <c r="C15" s="27" t="s">
        <v>22</v>
      </c>
      <c r="D15" s="28">
        <v>185.32</v>
      </c>
      <c r="E15" s="29">
        <v>35</v>
      </c>
      <c r="F15" s="29">
        <f t="shared" si="0"/>
        <v>6486.2</v>
      </c>
      <c r="G15" s="30"/>
      <c r="H15" s="31"/>
      <c r="I15" s="32"/>
      <c r="J15" s="33"/>
      <c r="K15" s="33"/>
      <c r="M15" s="35"/>
      <c r="N15" s="22"/>
      <c r="O15" s="10"/>
    </row>
    <row r="16" spans="1:16" s="45" customFormat="1" x14ac:dyDescent="0.3">
      <c r="A16" s="39"/>
      <c r="B16" s="40" t="s">
        <v>24</v>
      </c>
      <c r="C16" s="27"/>
      <c r="D16" s="28"/>
      <c r="E16" s="29"/>
      <c r="F16" s="41">
        <f>SUM(F12:F15)</f>
        <v>125857.52</v>
      </c>
      <c r="G16" s="30"/>
      <c r="H16" s="31"/>
      <c r="I16" s="32"/>
      <c r="J16" s="33"/>
      <c r="K16" s="42">
        <f>SUM(K12:K15)</f>
        <v>0</v>
      </c>
      <c r="L16" s="43"/>
      <c r="M16" s="43"/>
      <c r="N16" s="44"/>
    </row>
    <row r="17" spans="1:18" ht="14.25" customHeight="1" x14ac:dyDescent="0.3">
      <c r="A17" s="46" t="s">
        <v>25</v>
      </c>
      <c r="B17" s="47" t="s">
        <v>26</v>
      </c>
      <c r="C17" s="24"/>
      <c r="D17" s="24"/>
      <c r="E17" s="24"/>
      <c r="F17" s="29">
        <f t="shared" ref="F17:F33" si="1">ROUND(E17*D17,2)</f>
        <v>0</v>
      </c>
      <c r="G17" s="24"/>
      <c r="H17" s="24"/>
      <c r="I17" s="24"/>
      <c r="J17" s="24"/>
      <c r="K17" s="24"/>
      <c r="L17" s="20"/>
      <c r="M17" s="21"/>
      <c r="N17" s="22"/>
      <c r="O17" s="22"/>
      <c r="P17" s="10"/>
    </row>
    <row r="18" spans="1:18" ht="24" customHeight="1" x14ac:dyDescent="0.3">
      <c r="A18" s="25">
        <v>11</v>
      </c>
      <c r="B18" s="48" t="s">
        <v>21</v>
      </c>
      <c r="C18" s="27" t="s">
        <v>22</v>
      </c>
      <c r="D18" s="28">
        <v>185.32</v>
      </c>
      <c r="E18" s="29">
        <v>40</v>
      </c>
      <c r="F18" s="29">
        <f>ROUND(E18*D18,2)</f>
        <v>7412.8</v>
      </c>
      <c r="G18" s="24"/>
      <c r="H18" s="24"/>
      <c r="I18" s="24"/>
      <c r="J18" s="24"/>
      <c r="K18" s="24"/>
      <c r="L18" s="20"/>
      <c r="M18" s="21"/>
      <c r="N18" s="22"/>
      <c r="O18" s="22"/>
      <c r="P18" s="10"/>
    </row>
    <row r="19" spans="1:18" x14ac:dyDescent="0.3">
      <c r="A19" s="25">
        <v>12</v>
      </c>
      <c r="B19" s="48" t="s">
        <v>70</v>
      </c>
      <c r="C19" s="27" t="s">
        <v>16</v>
      </c>
      <c r="D19" s="28">
        <v>89.85</v>
      </c>
      <c r="E19" s="29">
        <v>200</v>
      </c>
      <c r="F19" s="29">
        <f t="shared" ref="F19:F21" si="2">ROUND(E19*D19,2)</f>
        <v>17970</v>
      </c>
      <c r="G19" s="26" t="s">
        <v>27</v>
      </c>
      <c r="H19" s="31" t="s">
        <v>16</v>
      </c>
      <c r="I19" s="32">
        <f>D19*1.2</f>
        <v>107.82</v>
      </c>
      <c r="J19" s="33">
        <v>0</v>
      </c>
      <c r="K19" s="33">
        <f>ROUND(J19*I19,2)</f>
        <v>0</v>
      </c>
      <c r="M19" s="35"/>
      <c r="N19" s="22"/>
      <c r="O19" s="10"/>
    </row>
    <row r="20" spans="1:18" ht="27.6" x14ac:dyDescent="0.3">
      <c r="A20" s="25">
        <v>13</v>
      </c>
      <c r="B20" s="49" t="s">
        <v>28</v>
      </c>
      <c r="C20" s="50" t="s">
        <v>16</v>
      </c>
      <c r="D20" s="51">
        <v>87.52</v>
      </c>
      <c r="E20" s="52">
        <v>1500</v>
      </c>
      <c r="F20" s="29">
        <f t="shared" si="2"/>
        <v>131280</v>
      </c>
      <c r="G20" s="30" t="s">
        <v>29</v>
      </c>
      <c r="H20" s="31" t="s">
        <v>16</v>
      </c>
      <c r="I20" s="32">
        <f>D20*1.02</f>
        <v>89.270399999999995</v>
      </c>
      <c r="J20" s="33">
        <v>0</v>
      </c>
      <c r="K20" s="33">
        <f t="shared" ref="K20:K33" si="3">ROUND(J20*I20,2)</f>
        <v>0</v>
      </c>
      <c r="M20" s="35"/>
      <c r="N20" s="22"/>
      <c r="O20" s="10"/>
    </row>
    <row r="21" spans="1:18" ht="39" customHeight="1" x14ac:dyDescent="0.3">
      <c r="A21" s="25">
        <v>14</v>
      </c>
      <c r="B21" s="53" t="s">
        <v>30</v>
      </c>
      <c r="C21" s="28" t="s">
        <v>16</v>
      </c>
      <c r="D21" s="28">
        <v>568.23</v>
      </c>
      <c r="E21" s="29">
        <v>4350</v>
      </c>
      <c r="F21" s="29">
        <f t="shared" si="2"/>
        <v>2471800.5</v>
      </c>
      <c r="G21" s="48" t="s">
        <v>31</v>
      </c>
      <c r="H21" s="27" t="s">
        <v>20</v>
      </c>
      <c r="I21" s="67">
        <v>18.414870449999999</v>
      </c>
      <c r="J21" s="33">
        <v>30270.62</v>
      </c>
      <c r="K21" s="33">
        <f t="shared" si="3"/>
        <v>557429.55000000005</v>
      </c>
      <c r="M21" s="67">
        <f>(17.8107+17.6469+17.6469)*1.01*1.03</f>
        <v>55.24461135</v>
      </c>
      <c r="N21" s="22"/>
      <c r="O21" s="10">
        <f>M21/3</f>
        <v>18.414870449999999</v>
      </c>
    </row>
    <row r="22" spans="1:18" ht="14.7" customHeight="1" x14ac:dyDescent="0.3">
      <c r="A22" s="28"/>
      <c r="B22" s="28"/>
      <c r="C22" s="28"/>
      <c r="D22" s="28"/>
      <c r="E22" s="29"/>
      <c r="F22" s="29">
        <f t="shared" si="1"/>
        <v>0</v>
      </c>
      <c r="G22" s="48" t="s">
        <v>32</v>
      </c>
      <c r="H22" s="27" t="s">
        <v>20</v>
      </c>
      <c r="I22" s="67">
        <v>2.3666825000000002E-2</v>
      </c>
      <c r="J22" s="33">
        <v>34764.120000000003</v>
      </c>
      <c r="K22" s="33">
        <f t="shared" si="3"/>
        <v>822.76</v>
      </c>
      <c r="M22" s="67">
        <f>(0.02275*3)*1.01*1.03</f>
        <v>7.1000475000000007E-2</v>
      </c>
      <c r="N22" s="22"/>
      <c r="O22" s="10">
        <f t="shared" ref="O22:O28" si="4">M22/3</f>
        <v>2.3666825000000002E-2</v>
      </c>
    </row>
    <row r="23" spans="1:18" x14ac:dyDescent="0.3">
      <c r="A23" s="54"/>
      <c r="B23" s="54"/>
      <c r="C23" s="54"/>
      <c r="D23" s="54"/>
      <c r="E23" s="29"/>
      <c r="F23" s="29">
        <f t="shared" si="1"/>
        <v>0</v>
      </c>
      <c r="G23" s="48" t="s">
        <v>33</v>
      </c>
      <c r="H23" s="31" t="s">
        <v>20</v>
      </c>
      <c r="I23" s="67">
        <v>28.35142767133333</v>
      </c>
      <c r="J23" s="33">
        <v>30270.62</v>
      </c>
      <c r="K23" s="33">
        <f t="shared" si="3"/>
        <v>858215.29</v>
      </c>
      <c r="M23" s="67">
        <f>(27.50383+27.11372+27.14183)*1.01*1.03</f>
        <v>85.054283013999992</v>
      </c>
      <c r="N23" s="22"/>
      <c r="O23" s="10">
        <f t="shared" si="4"/>
        <v>28.35142767133333</v>
      </c>
    </row>
    <row r="24" spans="1:18" x14ac:dyDescent="0.3">
      <c r="A24" s="54"/>
      <c r="B24" s="54"/>
      <c r="C24" s="54"/>
      <c r="D24" s="54"/>
      <c r="E24" s="29"/>
      <c r="F24" s="29"/>
      <c r="G24" s="48" t="s">
        <v>34</v>
      </c>
      <c r="H24" s="31" t="s">
        <v>20</v>
      </c>
      <c r="I24" s="67">
        <v>1.2333796800000001</v>
      </c>
      <c r="J24" s="33">
        <v>31000</v>
      </c>
      <c r="K24" s="33">
        <f>ROUND(J24*I24,2)</f>
        <v>38234.769999999997</v>
      </c>
      <c r="M24" s="67">
        <f>(1.1856*3)*1.01*1.03</f>
        <v>3.7001390400000003</v>
      </c>
      <c r="N24" s="22"/>
      <c r="O24" s="10">
        <f t="shared" si="4"/>
        <v>1.2333796800000001</v>
      </c>
    </row>
    <row r="25" spans="1:18" x14ac:dyDescent="0.3">
      <c r="A25" s="54"/>
      <c r="B25" s="54"/>
      <c r="C25" s="54"/>
      <c r="D25" s="54"/>
      <c r="E25" s="29"/>
      <c r="F25" s="29"/>
      <c r="G25" s="48" t="s">
        <v>35</v>
      </c>
      <c r="H25" s="31" t="s">
        <v>20</v>
      </c>
      <c r="I25" s="67">
        <v>21.322196860000002</v>
      </c>
      <c r="J25" s="33">
        <v>31000</v>
      </c>
      <c r="K25" s="33">
        <f>ROUND(J25*I25,2)</f>
        <v>660988.1</v>
      </c>
      <c r="M25" s="67">
        <f>(20.4962+20.4962+20.4962)*1.01*1.03</f>
        <v>63.966590580000009</v>
      </c>
      <c r="N25" s="22"/>
      <c r="O25" s="10">
        <f t="shared" si="4"/>
        <v>21.322196860000002</v>
      </c>
    </row>
    <row r="26" spans="1:18" ht="17.25" customHeight="1" x14ac:dyDescent="0.3">
      <c r="A26" s="54"/>
      <c r="B26" s="54"/>
      <c r="C26" s="54"/>
      <c r="D26" s="54"/>
      <c r="E26" s="29"/>
      <c r="F26" s="29">
        <f t="shared" si="1"/>
        <v>0</v>
      </c>
      <c r="G26" s="48" t="s">
        <v>36</v>
      </c>
      <c r="H26" s="31" t="s">
        <v>20</v>
      </c>
      <c r="I26" s="67">
        <v>12.057822548333334</v>
      </c>
      <c r="J26" s="33">
        <v>30270.62</v>
      </c>
      <c r="K26" s="33">
        <f t="shared" si="3"/>
        <v>364997.76</v>
      </c>
      <c r="M26" s="67">
        <f>(11.83249+11.46983+11.46983)*1.01*1.03</f>
        <v>36.173467645000002</v>
      </c>
      <c r="N26" s="22"/>
      <c r="O26" s="10">
        <f t="shared" si="4"/>
        <v>12.057822548333334</v>
      </c>
    </row>
    <row r="27" spans="1:18" x14ac:dyDescent="0.3">
      <c r="A27" s="54"/>
      <c r="B27" s="54"/>
      <c r="C27" s="54"/>
      <c r="D27" s="54"/>
      <c r="E27" s="29"/>
      <c r="F27" s="29">
        <f t="shared" si="1"/>
        <v>0</v>
      </c>
      <c r="G27" s="48" t="s">
        <v>37</v>
      </c>
      <c r="H27" s="31" t="s">
        <v>20</v>
      </c>
      <c r="I27" s="67">
        <v>2.413496E-2</v>
      </c>
      <c r="J27" s="33">
        <v>30270.62</v>
      </c>
      <c r="K27" s="33">
        <f t="shared" si="3"/>
        <v>730.58</v>
      </c>
      <c r="M27" s="67">
        <f>0.0232*3*1.01*1.03</f>
        <v>7.2404880000000005E-2</v>
      </c>
      <c r="N27" s="22"/>
      <c r="O27" s="10">
        <f t="shared" si="4"/>
        <v>2.413496E-2</v>
      </c>
    </row>
    <row r="28" spans="1:18" x14ac:dyDescent="0.3">
      <c r="A28" s="54"/>
      <c r="B28" s="54"/>
      <c r="C28" s="54"/>
      <c r="D28" s="54"/>
      <c r="E28" s="29"/>
      <c r="F28" s="29">
        <f t="shared" si="1"/>
        <v>0</v>
      </c>
      <c r="G28" s="48" t="s">
        <v>38</v>
      </c>
      <c r="H28" s="31" t="s">
        <v>20</v>
      </c>
      <c r="I28" s="67">
        <v>3.0607013066666671</v>
      </c>
      <c r="J28" s="33">
        <v>28920.62</v>
      </c>
      <c r="K28" s="33">
        <f t="shared" si="3"/>
        <v>88517.38</v>
      </c>
      <c r="M28" s="67">
        <f>(2.96018+2.93311+2.93311)*1.01*1.03</f>
        <v>9.1821039200000012</v>
      </c>
      <c r="N28" s="22"/>
      <c r="O28" s="10">
        <f t="shared" si="4"/>
        <v>3.0607013066666671</v>
      </c>
    </row>
    <row r="29" spans="1:18" x14ac:dyDescent="0.3">
      <c r="A29" s="54"/>
      <c r="B29" s="54"/>
      <c r="C29" s="54"/>
      <c r="D29" s="54"/>
      <c r="E29" s="29"/>
      <c r="F29" s="29">
        <f t="shared" si="1"/>
        <v>0</v>
      </c>
      <c r="G29" s="48" t="s">
        <v>39</v>
      </c>
      <c r="H29" s="31" t="s">
        <v>20</v>
      </c>
      <c r="I29" s="67">
        <v>0.83571460200000003</v>
      </c>
      <c r="J29" s="33">
        <v>30270.62</v>
      </c>
      <c r="K29" s="33">
        <f t="shared" si="3"/>
        <v>25297.599999999999</v>
      </c>
      <c r="M29" s="67">
        <f>(0.80334*3)*1.01*1.03</f>
        <v>2.5071438060000002</v>
      </c>
      <c r="N29" s="22"/>
      <c r="O29" s="10">
        <f>M29/3</f>
        <v>0.83571460200000003</v>
      </c>
    </row>
    <row r="30" spans="1:18" x14ac:dyDescent="0.3">
      <c r="A30" s="54"/>
      <c r="B30" s="54"/>
      <c r="C30" s="54"/>
      <c r="D30" s="54"/>
      <c r="E30" s="29"/>
      <c r="F30" s="29"/>
      <c r="G30" s="55" t="s">
        <v>40</v>
      </c>
      <c r="H30" s="56" t="s">
        <v>41</v>
      </c>
      <c r="I30" s="57">
        <f>SUM(I21:I29)*10</f>
        <v>853.23914903333332</v>
      </c>
      <c r="J30" s="33">
        <v>35.620310000000003</v>
      </c>
      <c r="K30" s="33">
        <f>I30*J30</f>
        <v>30392.642992703535</v>
      </c>
      <c r="M30" s="35"/>
      <c r="N30" s="22"/>
      <c r="O30" s="10"/>
    </row>
    <row r="31" spans="1:18" ht="27.6" x14ac:dyDescent="0.3">
      <c r="A31" s="54"/>
      <c r="B31" s="54"/>
      <c r="C31" s="54"/>
      <c r="D31" s="58"/>
      <c r="E31" s="29"/>
      <c r="F31" s="29">
        <f t="shared" si="1"/>
        <v>0</v>
      </c>
      <c r="G31" s="30" t="s">
        <v>73</v>
      </c>
      <c r="H31" s="31" t="s">
        <v>16</v>
      </c>
      <c r="I31" s="33">
        <f>D21*1.02</f>
        <v>579.59460000000001</v>
      </c>
      <c r="J31" s="33">
        <v>0</v>
      </c>
      <c r="K31" s="33">
        <f t="shared" si="3"/>
        <v>0</v>
      </c>
      <c r="M31" s="35"/>
      <c r="N31" s="22"/>
      <c r="O31" s="10"/>
    </row>
    <row r="32" spans="1:18" x14ac:dyDescent="0.3">
      <c r="A32" s="59">
        <v>15</v>
      </c>
      <c r="B32" s="60" t="s">
        <v>42</v>
      </c>
      <c r="C32" s="27" t="s">
        <v>22</v>
      </c>
      <c r="D32" s="61">
        <v>865.26</v>
      </c>
      <c r="E32" s="29">
        <v>18</v>
      </c>
      <c r="F32" s="29">
        <f>ROUND(E32*D32,2)</f>
        <v>15574.68</v>
      </c>
      <c r="G32" s="62" t="s">
        <v>72</v>
      </c>
      <c r="H32" s="56" t="s">
        <v>22</v>
      </c>
      <c r="I32" s="57">
        <f>D32*1.02</f>
        <v>882.5652</v>
      </c>
      <c r="J32" s="63">
        <v>0</v>
      </c>
      <c r="K32" s="33">
        <f t="shared" ref="K32" si="5">I32*J32</f>
        <v>0</v>
      </c>
      <c r="L32" s="64"/>
      <c r="M32" s="35"/>
      <c r="N32" s="22"/>
      <c r="O32" s="22"/>
      <c r="P32" s="65"/>
      <c r="Q32" s="64"/>
      <c r="R32" s="66"/>
    </row>
    <row r="33" spans="1:15" ht="37.200000000000003" customHeight="1" x14ac:dyDescent="0.3">
      <c r="A33" s="68">
        <v>22</v>
      </c>
      <c r="B33" s="69" t="s">
        <v>43</v>
      </c>
      <c r="C33" s="70" t="s">
        <v>22</v>
      </c>
      <c r="D33" s="71">
        <v>130.35</v>
      </c>
      <c r="E33" s="72">
        <v>140</v>
      </c>
      <c r="F33" s="29">
        <f t="shared" si="1"/>
        <v>18249</v>
      </c>
      <c r="G33" s="30" t="s">
        <v>44</v>
      </c>
      <c r="H33" s="31" t="s">
        <v>41</v>
      </c>
      <c r="I33" s="32">
        <f>D33*2.4</f>
        <v>312.83999999999997</v>
      </c>
      <c r="J33" s="33">
        <v>75.53</v>
      </c>
      <c r="K33" s="33">
        <f t="shared" si="3"/>
        <v>23628.81</v>
      </c>
      <c r="M33" s="35"/>
      <c r="N33" s="22"/>
      <c r="O33" s="10"/>
    </row>
    <row r="34" spans="1:15" s="45" customFormat="1" x14ac:dyDescent="0.3">
      <c r="A34" s="39"/>
      <c r="B34" s="40" t="s">
        <v>24</v>
      </c>
      <c r="C34" s="27"/>
      <c r="D34" s="28"/>
      <c r="E34" s="29"/>
      <c r="F34" s="41">
        <f>SUM(F18:F33)</f>
        <v>2662286.98</v>
      </c>
      <c r="G34" s="30"/>
      <c r="H34" s="31"/>
      <c r="I34" s="32"/>
      <c r="J34" s="33"/>
      <c r="K34" s="42">
        <f>SUM(K18:K33)</f>
        <v>2649255.2429927043</v>
      </c>
      <c r="L34" s="43"/>
      <c r="M34" s="43"/>
      <c r="N34" s="44"/>
    </row>
    <row r="35" spans="1:15" s="78" customFormat="1" x14ac:dyDescent="0.3">
      <c r="A35" s="73"/>
      <c r="B35" s="73" t="s">
        <v>45</v>
      </c>
      <c r="C35" s="73"/>
      <c r="D35" s="73"/>
      <c r="E35" s="74"/>
      <c r="F35" s="74">
        <f>F34+F16</f>
        <v>2788144.5</v>
      </c>
      <c r="G35" s="75" t="s">
        <v>46</v>
      </c>
      <c r="H35" s="76"/>
      <c r="I35" s="77"/>
      <c r="J35" s="76"/>
      <c r="K35" s="77">
        <f>K34+K16</f>
        <v>2649255.2429927043</v>
      </c>
    </row>
    <row r="36" spans="1:15" x14ac:dyDescent="0.3">
      <c r="A36" s="79"/>
      <c r="B36" s="79" t="s">
        <v>47</v>
      </c>
      <c r="C36" s="80"/>
      <c r="D36" s="81"/>
      <c r="E36" s="81"/>
      <c r="F36" s="81"/>
      <c r="G36" s="80"/>
      <c r="H36" s="81"/>
      <c r="I36" s="82"/>
      <c r="J36" s="81"/>
      <c r="K36" s="83">
        <f>K35+F35</f>
        <v>5437399.7429927047</v>
      </c>
    </row>
    <row r="37" spans="1:15" x14ac:dyDescent="0.3">
      <c r="A37" s="84"/>
      <c r="B37" s="84" t="s">
        <v>48</v>
      </c>
      <c r="C37" s="85"/>
      <c r="D37" s="86"/>
      <c r="E37" s="86"/>
      <c r="F37" s="86"/>
      <c r="G37" s="85"/>
      <c r="H37" s="86"/>
      <c r="I37" s="87"/>
      <c r="J37" s="86"/>
      <c r="K37" s="77">
        <f>ROUND(K36/6,2)</f>
        <v>906233.29</v>
      </c>
    </row>
    <row r="38" spans="1:15" x14ac:dyDescent="0.3">
      <c r="A38" s="88"/>
      <c r="B38" s="88"/>
      <c r="C38" s="89"/>
      <c r="D38" s="90"/>
      <c r="E38" s="90"/>
      <c r="F38" s="90"/>
      <c r="G38" s="89"/>
      <c r="H38" s="90"/>
      <c r="I38" s="91"/>
      <c r="J38" s="90"/>
      <c r="K38" s="91"/>
    </row>
    <row r="39" spans="1:15" s="2" customFormat="1" x14ac:dyDescent="0.25">
      <c r="A39" s="1"/>
      <c r="B39" s="92"/>
      <c r="C39" s="92"/>
      <c r="D39" s="92"/>
      <c r="E39" s="92"/>
      <c r="F39" s="92"/>
      <c r="G39" s="92"/>
      <c r="H39" s="93"/>
      <c r="I39" s="93"/>
      <c r="J39" s="94"/>
      <c r="K39" s="93"/>
    </row>
    <row r="40" spans="1:15" s="2" customFormat="1" x14ac:dyDescent="0.25">
      <c r="A40" s="1"/>
      <c r="B40" s="92"/>
      <c r="C40" s="92"/>
      <c r="D40" s="92"/>
      <c r="E40" s="92"/>
      <c r="F40" s="92"/>
      <c r="G40" s="92"/>
      <c r="H40" s="93"/>
      <c r="I40" s="93"/>
      <c r="J40" s="94"/>
      <c r="K40" s="93"/>
    </row>
    <row r="41" spans="1:15" s="2" customFormat="1" x14ac:dyDescent="0.25">
      <c r="A41" s="1"/>
      <c r="B41" s="95" t="s">
        <v>49</v>
      </c>
      <c r="C41" s="95"/>
      <c r="D41" s="95"/>
      <c r="E41" s="96"/>
      <c r="F41" s="96"/>
      <c r="G41" s="97" t="s">
        <v>50</v>
      </c>
      <c r="H41" s="98"/>
      <c r="I41" s="93"/>
      <c r="J41" s="94"/>
      <c r="K41" s="93"/>
    </row>
    <row r="42" spans="1:15" s="2" customFormat="1" x14ac:dyDescent="0.25">
      <c r="A42" s="1"/>
      <c r="B42" s="92" t="s">
        <v>51</v>
      </c>
      <c r="C42" s="92"/>
      <c r="D42" s="92"/>
      <c r="E42" s="92"/>
      <c r="F42" s="92"/>
      <c r="G42" s="99" t="s">
        <v>52</v>
      </c>
      <c r="H42" s="5"/>
      <c r="I42" s="5"/>
      <c r="J42" s="94"/>
      <c r="K42" s="93"/>
    </row>
    <row r="43" spans="1:15" s="2" customFormat="1" ht="13.95" customHeight="1" x14ac:dyDescent="0.25">
      <c r="A43" s="1"/>
      <c r="B43" s="92" t="s">
        <v>53</v>
      </c>
      <c r="C43" s="92"/>
      <c r="D43" s="92"/>
      <c r="E43" s="92"/>
      <c r="F43" s="92"/>
      <c r="G43" s="99" t="s">
        <v>54</v>
      </c>
      <c r="H43" s="5"/>
      <c r="I43" s="5"/>
      <c r="J43" s="94"/>
      <c r="K43" s="93"/>
    </row>
    <row r="44" spans="1:15" s="2" customFormat="1" ht="15" customHeight="1" x14ac:dyDescent="0.25">
      <c r="A44" s="1"/>
      <c r="B44" s="92" t="s">
        <v>55</v>
      </c>
      <c r="C44" s="92"/>
      <c r="D44" s="92"/>
      <c r="E44" s="92"/>
      <c r="F44" s="92"/>
      <c r="G44" s="99" t="s">
        <v>56</v>
      </c>
      <c r="H44" s="5"/>
      <c r="I44" s="5"/>
      <c r="J44" s="94"/>
      <c r="K44" s="93"/>
    </row>
    <row r="45" spans="1:15" s="2" customFormat="1" ht="15" customHeight="1" x14ac:dyDescent="0.25">
      <c r="A45" s="1"/>
      <c r="B45" s="100" t="s">
        <v>57</v>
      </c>
      <c r="C45" s="100"/>
      <c r="D45" s="100"/>
      <c r="E45" s="100"/>
      <c r="F45" s="100"/>
      <c r="G45" s="99" t="s">
        <v>58</v>
      </c>
      <c r="H45" s="5"/>
      <c r="I45" s="5"/>
      <c r="J45" s="94"/>
      <c r="K45" s="93"/>
    </row>
    <row r="46" spans="1:15" s="2" customFormat="1" ht="15" customHeight="1" x14ac:dyDescent="0.25">
      <c r="A46" s="1"/>
      <c r="B46" s="92" t="s">
        <v>59</v>
      </c>
      <c r="C46" s="92"/>
      <c r="D46" s="92"/>
      <c r="E46" s="92"/>
      <c r="F46" s="92"/>
      <c r="G46" s="99" t="s">
        <v>59</v>
      </c>
      <c r="H46" s="5"/>
      <c r="I46" s="5"/>
      <c r="J46" s="94"/>
      <c r="K46" s="93"/>
    </row>
    <row r="47" spans="1:15" s="2" customFormat="1" ht="13.95" customHeight="1" x14ac:dyDescent="0.25">
      <c r="A47" s="1"/>
      <c r="B47" s="100" t="s">
        <v>60</v>
      </c>
      <c r="C47" s="100"/>
      <c r="D47" s="100"/>
      <c r="E47" s="100"/>
      <c r="F47" s="100"/>
      <c r="G47" s="99" t="s">
        <v>61</v>
      </c>
      <c r="H47" s="5"/>
      <c r="I47" s="5"/>
      <c r="J47" s="94"/>
      <c r="K47" s="93"/>
    </row>
    <row r="48" spans="1:15" s="2" customFormat="1" x14ac:dyDescent="0.25">
      <c r="A48" s="1"/>
      <c r="B48" s="100"/>
      <c r="C48" s="100"/>
      <c r="D48" s="100"/>
      <c r="E48" s="100"/>
      <c r="F48" s="100"/>
      <c r="G48" s="101"/>
      <c r="H48" s="102"/>
      <c r="I48" s="102"/>
      <c r="J48" s="94"/>
      <c r="K48" s="93"/>
    </row>
    <row r="49" spans="1:11" s="2" customFormat="1" ht="13.95" customHeight="1" x14ac:dyDescent="0.25">
      <c r="A49" s="1"/>
      <c r="B49" s="92" t="s">
        <v>62</v>
      </c>
      <c r="C49" s="92"/>
      <c r="D49" s="92"/>
      <c r="E49" s="92"/>
      <c r="F49" s="92"/>
      <c r="G49" s="92" t="s">
        <v>63</v>
      </c>
      <c r="H49" s="103"/>
      <c r="I49" s="103"/>
      <c r="J49" s="94"/>
      <c r="K49" s="93"/>
    </row>
    <row r="50" spans="1:11" s="2" customFormat="1" x14ac:dyDescent="0.25">
      <c r="A50" s="1"/>
      <c r="B50" s="92"/>
      <c r="C50" s="92"/>
      <c r="D50" s="92"/>
      <c r="E50" s="92"/>
      <c r="F50" s="92"/>
      <c r="G50" s="92"/>
      <c r="H50" s="103"/>
      <c r="I50" s="103"/>
      <c r="J50" s="94"/>
      <c r="K50" s="93"/>
    </row>
    <row r="51" spans="1:11" s="2" customFormat="1" x14ac:dyDescent="0.25">
      <c r="A51" s="1"/>
      <c r="B51" s="92"/>
      <c r="C51" s="92"/>
      <c r="D51" s="92"/>
      <c r="E51" s="92"/>
      <c r="F51" s="92"/>
      <c r="G51" s="92"/>
      <c r="H51" s="103"/>
      <c r="I51" s="103"/>
      <c r="J51" s="94"/>
      <c r="K51" s="93"/>
    </row>
    <row r="52" spans="1:11" s="2" customFormat="1" x14ac:dyDescent="0.25">
      <c r="A52" s="1"/>
      <c r="B52" s="104" t="s">
        <v>64</v>
      </c>
      <c r="C52" s="104"/>
      <c r="D52" s="105"/>
      <c r="E52" s="105"/>
      <c r="F52" s="105"/>
      <c r="G52" s="104" t="str">
        <f>B52</f>
        <v>"___"______________ 2024 року</v>
      </c>
      <c r="H52" s="106"/>
      <c r="I52" s="93"/>
      <c r="J52" s="94"/>
      <c r="K52" s="93"/>
    </row>
  </sheetData>
  <autoFilter ref="A9:IP37"/>
  <mergeCells count="8">
    <mergeCell ref="A6:K6"/>
    <mergeCell ref="B10:K10"/>
    <mergeCell ref="A5:K5"/>
    <mergeCell ref="B1:F1"/>
    <mergeCell ref="G1:K1"/>
    <mergeCell ref="B2:F2"/>
    <mergeCell ref="G2:K2"/>
    <mergeCell ref="A4:K4"/>
  </mergeCells>
  <pageMargins left="0.47244094488188981" right="0.39370078740157483" top="0.55118110236220474" bottom="0.39370078740157483" header="0" footer="0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ДЦ (насіння)</vt:lpstr>
      <vt:lpstr>'ДЦ (насіння)'!Область_печати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i.steblianko</cp:lastModifiedBy>
  <dcterms:created xsi:type="dcterms:W3CDTF">2024-03-11T10:45:21Z</dcterms:created>
  <dcterms:modified xsi:type="dcterms:W3CDTF">2024-06-13T14:10:20Z</dcterms:modified>
</cp:coreProperties>
</file>
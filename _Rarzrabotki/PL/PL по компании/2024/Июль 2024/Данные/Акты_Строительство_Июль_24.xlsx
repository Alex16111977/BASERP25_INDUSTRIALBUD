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Акты заказчика" sheetId="1" r:id="rId1"/>
    <sheet name="Списание стройматериалов" sheetId="2" r:id="rId2"/>
  </sheets>
  <definedNames>
    <definedName name="_xlnm._FilterDatabase" localSheetId="0" hidden="1">'Акты заказчика'!$A$1:$I$81</definedName>
    <definedName name="_xlnm._FilterDatabase" localSheetId="1" hidden="1">'Списание стройматериалов'!$A$1:$G$44</definedName>
  </definedNames>
  <calcPr calcId="145621"/>
</workbook>
</file>

<file path=xl/calcChain.xml><?xml version="1.0" encoding="utf-8"?>
<calcChain xmlns="http://schemas.openxmlformats.org/spreadsheetml/2006/main">
  <c r="D103" i="1" l="1"/>
  <c r="E55" i="2"/>
  <c r="D59" i="2"/>
  <c r="E58" i="2"/>
  <c r="E57" i="2"/>
  <c r="E56" i="2"/>
  <c r="E59" i="2" l="1"/>
  <c r="D50" i="2" l="1"/>
  <c r="D49" i="2"/>
  <c r="D48" i="2"/>
  <c r="D47" i="2"/>
  <c r="D46" i="2"/>
  <c r="D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50" i="2" s="1"/>
  <c r="E13" i="2"/>
  <c r="E12" i="2"/>
  <c r="E11" i="2"/>
  <c r="E10" i="2"/>
  <c r="E9" i="2"/>
  <c r="E8" i="2"/>
  <c r="E7" i="2"/>
  <c r="E6" i="2"/>
  <c r="E5" i="2"/>
  <c r="E4" i="2"/>
  <c r="E3" i="2"/>
  <c r="E2" i="2"/>
  <c r="E43" i="2" s="1"/>
  <c r="E48" i="2" l="1"/>
  <c r="D51" i="2"/>
  <c r="E46" i="2"/>
  <c r="E51" i="2" s="1"/>
  <c r="E44" i="2" s="1"/>
  <c r="E49" i="2"/>
  <c r="E47" i="2"/>
  <c r="D44" i="2"/>
  <c r="D80" i="1" l="1"/>
  <c r="D79" i="1"/>
  <c r="D78" i="1"/>
  <c r="D77" i="1"/>
  <c r="D76" i="1"/>
  <c r="D75" i="1"/>
  <c r="D74" i="1"/>
  <c r="D73" i="1"/>
  <c r="D81" i="1" s="1"/>
  <c r="F80" i="1" l="1"/>
  <c r="D71" i="1"/>
  <c r="D72" i="1" s="1"/>
</calcChain>
</file>

<file path=xl/sharedStrings.xml><?xml version="1.0" encoding="utf-8"?>
<sst xmlns="http://schemas.openxmlformats.org/spreadsheetml/2006/main" count="852" uniqueCount="328">
  <si>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</si>
  <si>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</si>
  <si>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</si>
  <si>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</si>
  <si>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</si>
  <si>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</si>
  <si>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</si>
  <si>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</si>
  <si>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</si>
  <si>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01.07.2024 00:00:00</t>
  </si>
  <si>
    <t>ІБ00-000165</t>
  </si>
  <si>
    <t>НІЖИНСЬКИЙ ЖИРКОМБІНАТ ПрАТ</t>
  </si>
  <si>
    <t>грн</t>
  </si>
  <si>
    <t>Виробничий (Ніжин-3)</t>
  </si>
  <si>
    <t>ТОВ "ІНДАСТРІАЛБУД"</t>
  </si>
  <si>
    <t>Хлань Елена</t>
  </si>
  <si>
    <t xml:space="preserve">Акт № 27 </t>
  </si>
  <si>
    <t>ІБ00-000167</t>
  </si>
  <si>
    <t xml:space="preserve">Старокостянтинівський олійноекстраційний завод ТОВ </t>
  </si>
  <si>
    <t>Виробничий (Старокостянтинів)</t>
  </si>
  <si>
    <t>Акт № 6 ДОГОВІР ПІДРЯДУ № 18/12/23-3.3.3-АР-СтОЕЗ від 18.1</t>
  </si>
  <si>
    <t>ІБ00-000200</t>
  </si>
  <si>
    <t xml:space="preserve"> Акт 8 ДОГОВІР ПІДРЯДУ № 13/12/2023-3.4.5-АР-СтОЕЗ від 13</t>
  </si>
  <si>
    <t>ІБ00-000238</t>
  </si>
  <si>
    <t>Аулова Маргарита</t>
  </si>
  <si>
    <t>Акт № 43</t>
  </si>
  <si>
    <t>ІБ00-000239</t>
  </si>
  <si>
    <t>Акт № 47</t>
  </si>
  <si>
    <t>ІБ00-000260</t>
  </si>
  <si>
    <t>Акт № 49</t>
  </si>
  <si>
    <t>01.07.2024 10:05:34</t>
  </si>
  <si>
    <t>ІБ00-000208</t>
  </si>
  <si>
    <t xml:space="preserve">Акт № 42 </t>
  </si>
  <si>
    <t>01.07.2024 10:07:26</t>
  </si>
  <si>
    <t>ІБ00-000210</t>
  </si>
  <si>
    <t xml:space="preserve">Акт № 39 </t>
  </si>
  <si>
    <t>01.07.2024 10:08:35</t>
  </si>
  <si>
    <t>ІБ00-000212</t>
  </si>
  <si>
    <t>Акт № 37</t>
  </si>
  <si>
    <t>01.07.2024 10:09:56</t>
  </si>
  <si>
    <t>ІБ00-000213</t>
  </si>
  <si>
    <t>Акт № 29</t>
  </si>
  <si>
    <t>01.07.2024 14:53:09</t>
  </si>
  <si>
    <t>ІБ00-000214</t>
  </si>
  <si>
    <t>АВІА ВЕНЧУРС ТОВ</t>
  </si>
  <si>
    <t>Виробничий (Крушинка)</t>
  </si>
  <si>
    <t>Акт № 4 ДУ № 13 від 20.09.2023, року ДОГОВІР 20230815-3 від 15.08.2023</t>
  </si>
  <si>
    <t>01.07.2024 17:02:52</t>
  </si>
  <si>
    <t>ІБ00-000254</t>
  </si>
  <si>
    <t xml:space="preserve">Акт № 48 </t>
  </si>
  <si>
    <t>03.07.2024 00:00:00</t>
  </si>
  <si>
    <t>ІБ00-000188</t>
  </si>
  <si>
    <t xml:space="preserve">Акт № 35 </t>
  </si>
  <si>
    <t>08.07.2024 00:00:00</t>
  </si>
  <si>
    <t>ІБ00-000204</t>
  </si>
  <si>
    <t>ЗАПОРІЗЬКИЙ ОЛІЯЖИРКОМБІНАТ ПРАТ</t>
  </si>
  <si>
    <t>Виробничий Щедро_Флексітанки</t>
  </si>
  <si>
    <t>ІБ00-000216</t>
  </si>
  <si>
    <t>Акт № 5 ДУ № 13 від 20.09.2023, року ДОГОВІР 20230815-3 від 15.08.2023</t>
  </si>
  <si>
    <t>08.07.2024 17:40:19</t>
  </si>
  <si>
    <t>ІБ00-000253</t>
  </si>
  <si>
    <t xml:space="preserve">Акт № 46 </t>
  </si>
  <si>
    <t>08.07.2024 17:40:20</t>
  </si>
  <si>
    <t>ІБ00-000255</t>
  </si>
  <si>
    <t xml:space="preserve">Акт № 50 </t>
  </si>
  <si>
    <t>08.07.2024 17:40:21</t>
  </si>
  <si>
    <t>ІБ00-000256</t>
  </si>
  <si>
    <t>Акт № 51</t>
  </si>
  <si>
    <t>08.07.2024 17:40:22</t>
  </si>
  <si>
    <t>ІБ00-000257</t>
  </si>
  <si>
    <t>Акт № 52</t>
  </si>
  <si>
    <t>09.07.2024 11:16:44</t>
  </si>
  <si>
    <t>ІБ00-000230</t>
  </si>
  <si>
    <t>АСТАРТА АГРО ПРОТЕЇН ТОВ</t>
  </si>
  <si>
    <t>Виробничий (Глобино)</t>
  </si>
  <si>
    <t>Акт 1</t>
  </si>
  <si>
    <t>10.07.2024 00:00:00</t>
  </si>
  <si>
    <t>ІБ00-000215</t>
  </si>
  <si>
    <t>Акт № 6 ДУ № 13 від 20.09.2023, року ДОГОВІР 20230815-3 від 15.08.2023</t>
  </si>
  <si>
    <t>10.07.2024 08:40:20</t>
  </si>
  <si>
    <t>ІБ00-000231</t>
  </si>
  <si>
    <t>Акт № 7 ДУ № 13 від 20.09.2023, року ДОГОВІР 20230815-3 від 15.08.2023</t>
  </si>
  <si>
    <t>10.07.2024 08:40:50</t>
  </si>
  <si>
    <t>ІБ00-000232</t>
  </si>
  <si>
    <t>Акт № 8 ДУ № 13 від 20.09.2023, року ДОГОВІР 20230815-3 від 15.08.2023</t>
  </si>
  <si>
    <t>15.07.2024 00:00:00</t>
  </si>
  <si>
    <t>ІБ00-000198</t>
  </si>
  <si>
    <t>Акт № 1 ДУ № 15 ДОГОВІР ПІДРЯДУ № 20230815-3 від 15.08.2023</t>
  </si>
  <si>
    <t>ІБ00-000237</t>
  </si>
  <si>
    <t>Акт 2</t>
  </si>
  <si>
    <t>15.07.2024 13:26:31</t>
  </si>
  <si>
    <t>ІБ00-000240</t>
  </si>
  <si>
    <t>акт №2 ДУ № 7 ДОГОВІР ПІДРЯДУ № 20230815-3 від 15.08.2023</t>
  </si>
  <si>
    <t>15.07.2024 14:31:14</t>
  </si>
  <si>
    <t>ІБ00-000258</t>
  </si>
  <si>
    <t>Акт № 54</t>
  </si>
  <si>
    <t>15.07.2024 14:31:43</t>
  </si>
  <si>
    <t>ІБ00-000259</t>
  </si>
  <si>
    <t>Акт № 53</t>
  </si>
  <si>
    <t>15.07.2024 18:00:11</t>
  </si>
  <si>
    <t>ІБ00-000241</t>
  </si>
  <si>
    <t>Акт № 3 ДУ № 9 від 27.11.2023 року ДОГОВІР F-20231127-1</t>
  </si>
  <si>
    <t>16.07.2024 00:00:00</t>
  </si>
  <si>
    <t>ІБ00-000205</t>
  </si>
  <si>
    <t>акт №8 за червень 2024 ДУ № 2 ДОГОВІР ПІДРЯДУ № 20230815-3 від 15.08.2023</t>
  </si>
  <si>
    <t>22.07.2024 16:32:05</t>
  </si>
  <si>
    <t>ІБ00-000243</t>
  </si>
  <si>
    <t>акт №10 за липень 2024 ДУ № 14 ДОГОВІР ПІДРЯДУ № 20230815-3 від 15.08.2023</t>
  </si>
  <si>
    <t>22.07.2024 16:33:11</t>
  </si>
  <si>
    <t>ІБ00-000244</t>
  </si>
  <si>
    <t>акт №9 за липень 2024 ДУ № 14 ДОГОВІР ПІДРЯДУ № 20230815-3 від 15.08.2023</t>
  </si>
  <si>
    <t>22.07.2024 16:35:08</t>
  </si>
  <si>
    <t>ІБ00-000245</t>
  </si>
  <si>
    <t>акт №3 за липень 2024 ДУ № 8 ДОГОВІР ПІДРЯДУ № 20230815-3 від 07.03.2024</t>
  </si>
  <si>
    <t>22.07.2024 16:35:45</t>
  </si>
  <si>
    <t>ІБ00-000246</t>
  </si>
  <si>
    <t>акт №4 за липень 2024 ДУ № 8 ДОГОВІР ПІДРЯДУ № 20230815-3 від 07.03.2024</t>
  </si>
  <si>
    <t>23.07.2024 16:34:13</t>
  </si>
  <si>
    <t>ІБ00-000247</t>
  </si>
  <si>
    <t>Акт № 14 ДУ № 13 від 20.09.2023, року ДОГОВІР 20230815-3 від 15.08.2023</t>
  </si>
  <si>
    <t>24.07.2024 00:00:00</t>
  </si>
  <si>
    <t>ІБ00-000236</t>
  </si>
  <si>
    <t xml:space="preserve"> Акт 9 ДОГОВІР ПІДРЯДУ № 13/12/2023-3.4.5-АР-СтОЕЗ від 13</t>
  </si>
  <si>
    <t>ІБ00-000242</t>
  </si>
  <si>
    <t>Акт № 7 ДОГОВІР ПІДРЯДУ № 18/12/23-3.3.3-АР-СтОЕЗ від 18.1</t>
  </si>
  <si>
    <t>24.07.2024 09:16:07</t>
  </si>
  <si>
    <t>ІБ00-000248</t>
  </si>
  <si>
    <t>Акт № 9 ДУ № 13 від 20.09.2023, року ДОГОВІР 20230815-3 від 15.08.2023</t>
  </si>
  <si>
    <t>24.07.2024 09:17:01</t>
  </si>
  <si>
    <t>ІБ00-000249</t>
  </si>
  <si>
    <t>Акт № 10 ДУ № 13 від 20.09.2023, року ДОГОВІР 20230815-3 від 15.08.2023</t>
  </si>
  <si>
    <t>24.07.2024 10:47:06</t>
  </si>
  <si>
    <t>ІБ00-000250</t>
  </si>
  <si>
    <t>Акт № 11 ДУ № 13 від 20.09.2023, року ДОГОВІР 20230815-3 від 15.08.2023</t>
  </si>
  <si>
    <t>24.07.2024 10:47:54</t>
  </si>
  <si>
    <t>ІБ00-000251</t>
  </si>
  <si>
    <t>Акт № 12 ДУ № 13 від 20.09.2023, року ДОГОВІР 20230815-3 від 15.08.2023</t>
  </si>
  <si>
    <t>26.07.2024 14:02:09</t>
  </si>
  <si>
    <t>ІБ00-000252</t>
  </si>
  <si>
    <t>30.07.2024 08:29:01</t>
  </si>
  <si>
    <t>ІБ00-000262</t>
  </si>
  <si>
    <t>Акт № 13 ДУ № 13 від 20.09.2023, року ДОГОВІР 20230815-3 від 15.08.2023</t>
  </si>
  <si>
    <t>31.07.2024 00:00:00</t>
  </si>
  <si>
    <t>ІБ00-000272</t>
  </si>
  <si>
    <t>ЗАПОРІЗЬКИЙ ОЛІЙНОЕКСТРАКЦІЙНИЙ ЗАВОД  ПРАТ</t>
  </si>
  <si>
    <t>Виробничий (Запоріж_Турбіна 3)</t>
  </si>
  <si>
    <t>акт 4/1</t>
  </si>
  <si>
    <t>ІБ00-000273</t>
  </si>
  <si>
    <t>акт 4/2</t>
  </si>
  <si>
    <t>ІБ00-000274</t>
  </si>
  <si>
    <t>акт 4/3</t>
  </si>
  <si>
    <t>ІБ00-000275</t>
  </si>
  <si>
    <t>акт 4/4</t>
  </si>
  <si>
    <t>ІБ00-000276</t>
  </si>
  <si>
    <t>акт 4/5</t>
  </si>
  <si>
    <t>ІБ00-000277</t>
  </si>
  <si>
    <t>акт 4/6</t>
  </si>
  <si>
    <t>ІБ00-000278</t>
  </si>
  <si>
    <t>акт 4/7</t>
  </si>
  <si>
    <t>ІБ00-000279</t>
  </si>
  <si>
    <t>акт 4/8</t>
  </si>
  <si>
    <t>ІБ00-000280</t>
  </si>
  <si>
    <t>акт 4/9</t>
  </si>
  <si>
    <t>ІБ00-000281</t>
  </si>
  <si>
    <t>акт 4/10</t>
  </si>
  <si>
    <t>ІБ00-000282</t>
  </si>
  <si>
    <t>акт 4/11</t>
  </si>
  <si>
    <t>ІБ00-000283</t>
  </si>
  <si>
    <t>акт 4/12</t>
  </si>
  <si>
    <t>ІБ00-000284</t>
  </si>
  <si>
    <t>акт 4/13</t>
  </si>
  <si>
    <t>ІБ00-000285</t>
  </si>
  <si>
    <t>31.07.2024 18:48:03</t>
  </si>
  <si>
    <t>ІБ00-000286</t>
  </si>
  <si>
    <t>акт 3/1</t>
  </si>
  <si>
    <t>31.07.2024 18:48:04</t>
  </si>
  <si>
    <t>ІБ00-000287</t>
  </si>
  <si>
    <t>акт 3/2</t>
  </si>
  <si>
    <t>31.07.2024 18:48:05</t>
  </si>
  <si>
    <t>ІБ00-000288</t>
  </si>
  <si>
    <t>акт 3/3</t>
  </si>
  <si>
    <t>31.07.2024 18:48:06</t>
  </si>
  <si>
    <t>ІБ00-000289</t>
  </si>
  <si>
    <t>акт 3/4</t>
  </si>
  <si>
    <t>31.07.2024 18:48:07</t>
  </si>
  <si>
    <t>ІБ00-000290</t>
  </si>
  <si>
    <t>акт 3/5</t>
  </si>
  <si>
    <t>31.07.2024 18:48:08</t>
  </si>
  <si>
    <t>ІБ00-000291</t>
  </si>
  <si>
    <t>акт 3/6</t>
  </si>
  <si>
    <t>31.07.2024 18:48:10</t>
  </si>
  <si>
    <t>ІБ00-000292</t>
  </si>
  <si>
    <t>акт 3/7</t>
  </si>
  <si>
    <t>31.07.2024 18:48:11</t>
  </si>
  <si>
    <t>ІБ00-000293</t>
  </si>
  <si>
    <t>акт 3/8</t>
  </si>
  <si>
    <t>31.07.2024 18:48:12</t>
  </si>
  <si>
    <t>ІБ00-000294</t>
  </si>
  <si>
    <t>акт 3/9</t>
  </si>
  <si>
    <t>31.07.2024 18:48:13</t>
  </si>
  <si>
    <t>ІБ00-000295</t>
  </si>
  <si>
    <t>акт 3/10</t>
  </si>
  <si>
    <t>31.07.2024 18:48:14</t>
  </si>
  <si>
    <t>ІБ00-000296</t>
  </si>
  <si>
    <t>акт 3/11</t>
  </si>
  <si>
    <t>31.07.2024 18:48:15</t>
  </si>
  <si>
    <t>ІБ00-000297</t>
  </si>
  <si>
    <t>акт 3/12</t>
  </si>
  <si>
    <t>акт 4/14</t>
  </si>
  <si>
    <t>Глобино</t>
  </si>
  <si>
    <t>Турбина-3</t>
  </si>
  <si>
    <t>Крушинка</t>
  </si>
  <si>
    <t>Нежин-3</t>
  </si>
  <si>
    <t>Глобино (не проведено)</t>
  </si>
  <si>
    <t>Крушинка (не проведено)</t>
  </si>
  <si>
    <t>Староконстантинов</t>
  </si>
  <si>
    <t>Главный офис (старый акт по ЩЕДРО)</t>
  </si>
  <si>
    <t>ВСЕГО</t>
  </si>
  <si>
    <t>Склад</t>
  </si>
  <si>
    <t>Ніжин-3</t>
  </si>
  <si>
    <t>ІБ00-000309</t>
  </si>
  <si>
    <t>Старокостянтинів</t>
  </si>
  <si>
    <t>ІБ00-000310</t>
  </si>
  <si>
    <t>01.07.2024 17:03:22</t>
  </si>
  <si>
    <t>ІБ00-000358</t>
  </si>
  <si>
    <t>Цех_Староконстантинов</t>
  </si>
  <si>
    <t>досписання ВиготовленняМК Огорожа (пропущено присписанні)</t>
  </si>
  <si>
    <t>01.07.2024 17:03:23</t>
  </si>
  <si>
    <t>ІБ00-000368</t>
  </si>
  <si>
    <t>01.07.2024 20:00:01</t>
  </si>
  <si>
    <t>ІБ00-000369</t>
  </si>
  <si>
    <t>02.07.2024 23:11:55</t>
  </si>
  <si>
    <t>ІБ00-000314</t>
  </si>
  <si>
    <t>Запоріжжя_Турбіна 3</t>
  </si>
  <si>
    <t>05.07.2024 18:12:24</t>
  </si>
  <si>
    <t>ІБ00-000312</t>
  </si>
  <si>
    <t>ІБ00-000338</t>
  </si>
  <si>
    <t>ІБ00-000370</t>
  </si>
  <si>
    <t>08.07.2024 18:30:41</t>
  </si>
  <si>
    <t>ІБ00-000367</t>
  </si>
  <si>
    <t>10.07.2024 09:26:38</t>
  </si>
  <si>
    <t>ІБ00-000305</t>
  </si>
  <si>
    <t>Глобіне</t>
  </si>
  <si>
    <t>10.07.2024 18:08:56</t>
  </si>
  <si>
    <t>ІБ00-000337</t>
  </si>
  <si>
    <t>ІБ00-000336</t>
  </si>
  <si>
    <t>ІБ00-000372</t>
  </si>
  <si>
    <t>15.07.2024 18:02:26</t>
  </si>
  <si>
    <t>ІБ00-000371</t>
  </si>
  <si>
    <t>24.07.2024 23:43:39</t>
  </si>
  <si>
    <t>ІБ00-000333</t>
  </si>
  <si>
    <t>24.07.2024 23:43:41</t>
  </si>
  <si>
    <t>ІБ00-000334</t>
  </si>
  <si>
    <t>ІБ00-000345</t>
  </si>
  <si>
    <t>ІБ00-000355</t>
  </si>
  <si>
    <t>ІБ00-000363</t>
  </si>
  <si>
    <t>ІБ00-000365</t>
  </si>
  <si>
    <t>31.07.2024 18:48:58</t>
  </si>
  <si>
    <t>ІБ00-000340</t>
  </si>
  <si>
    <t>31.07.2024 18:48:59</t>
  </si>
  <si>
    <t>ІБ00-000341</t>
  </si>
  <si>
    <t>31.07.2024 18:49:03</t>
  </si>
  <si>
    <t>ІБ00-000342</t>
  </si>
  <si>
    <t>31.07.2024 18:49:04</t>
  </si>
  <si>
    <t>ІБ00-000343</t>
  </si>
  <si>
    <t>31.07.2024 18:49:07</t>
  </si>
  <si>
    <t>ІБ00-000344</t>
  </si>
  <si>
    <t>31.07.2024 18:49:11</t>
  </si>
  <si>
    <t>ІБ00-000347</t>
  </si>
  <si>
    <t>31.07.2024 18:49:12</t>
  </si>
  <si>
    <t>ІБ00-000348</t>
  </si>
  <si>
    <t>31.07.2024 18:49:13</t>
  </si>
  <si>
    <t>ІБ00-000349</t>
  </si>
  <si>
    <t>31.07.2024 18:49:14</t>
  </si>
  <si>
    <t>ІБ00-000350</t>
  </si>
  <si>
    <t>31.07.2024 18:49:15</t>
  </si>
  <si>
    <t>ІБ00-000351</t>
  </si>
  <si>
    <t>31.07.2024 18:49:16</t>
  </si>
  <si>
    <t>ІБ00-000352</t>
  </si>
  <si>
    <t>31.07.2024 18:49:17</t>
  </si>
  <si>
    <t>ІБ00-000354</t>
  </si>
  <si>
    <t>31.07.2024 18:49:19</t>
  </si>
  <si>
    <t>ІБ00-000357</t>
  </si>
  <si>
    <t>31.07.2024 18:49:20</t>
  </si>
  <si>
    <t>ІБ00-000359</t>
  </si>
  <si>
    <t>31.07.2024 18:49:21</t>
  </si>
  <si>
    <t>ІБ00-000360</t>
  </si>
  <si>
    <t>31.07.2024 18:49:23</t>
  </si>
  <si>
    <t>ІБ00-000361</t>
  </si>
  <si>
    <t>31.07.2024 18:49:24</t>
  </si>
  <si>
    <t>ІБ00-000362</t>
  </si>
  <si>
    <t>31.07.2024 18:49:25</t>
  </si>
  <si>
    <t>ІБ00-000364</t>
  </si>
  <si>
    <t>Сумма без НДС</t>
  </si>
  <si>
    <t>Сумма С НДС</t>
  </si>
  <si>
    <t>01.08.2024 17:00:30</t>
  </si>
  <si>
    <t>ІБ00-000356</t>
  </si>
  <si>
    <t>02.08.2024 18:00:38</t>
  </si>
  <si>
    <t>ІБ00-000366</t>
  </si>
  <si>
    <t>07.08.2024 20:00:27</t>
  </si>
  <si>
    <t>ІБ00-000353</t>
  </si>
  <si>
    <t>16.08.2024 12:12:29</t>
  </si>
  <si>
    <t>ІБ00-000346</t>
  </si>
  <si>
    <t>05.08.2024 00:00:00</t>
  </si>
  <si>
    <t>ІБ00-000263</t>
  </si>
  <si>
    <t>Акт № 61</t>
  </si>
  <si>
    <t>05.08.2024 20:00:55</t>
  </si>
  <si>
    <t>ІБ00-000308</t>
  </si>
  <si>
    <t>Акт № 44</t>
  </si>
  <si>
    <t>05.08.2024 20:00:56</t>
  </si>
  <si>
    <t>Акт № 45</t>
  </si>
  <si>
    <t>09.08.2024 11:45:48</t>
  </si>
  <si>
    <t>ІБ00-000299</t>
  </si>
  <si>
    <t>Акт № 60</t>
  </si>
  <si>
    <t>09.08.2024 11:46:21</t>
  </si>
  <si>
    <t>ІБ00-000300</t>
  </si>
  <si>
    <t>Акт № 58</t>
  </si>
  <si>
    <t>09.08.2024 11:46:39</t>
  </si>
  <si>
    <t>ІБ00-000301</t>
  </si>
  <si>
    <t>09.08.2024 11:48:31</t>
  </si>
  <si>
    <t>ІБ00-000302</t>
  </si>
  <si>
    <t>Акт № 56</t>
  </si>
  <si>
    <t>09.08.2024 11:49:01</t>
  </si>
  <si>
    <t>ІБ00-000303</t>
  </si>
  <si>
    <t>Акт № 55</t>
  </si>
  <si>
    <t>12.08.2024 11:52:00</t>
  </si>
  <si>
    <t>ІБ00-000304</t>
  </si>
  <si>
    <t>Акт №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</si>
</sst>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0" fontId="3" fillId="3" borderId="1" xfId="1" applyNumberFormat="1" applyFont="1" applyFill="1" applyBorder="1" applyAlignment="1">
      <alignment horizontal="left" vertical="top"/>
    </xf>
    <xf numFmtId="4" fontId="3" fillId="3" borderId="1" xfId="1" applyNumberFormat="1" applyFont="1" applyFill="1" applyBorder="1" applyAlignment="1">
      <alignment horizontal="right" vertical="top"/>
    </xf>
    <xf numFmtId="0" fontId="0" fillId="3" borderId="0" xfId="0" applyFill="1"/>
    <xf numFmtId="4" fontId="0" fillId="3" borderId="0" xfId="0" applyNumberFormat="1" applyFill="1"/>
    <xf numFmtId="0" fontId="4" fillId="0" borderId="0" xfId="0" applyFont="1"/>
    <xf numFmtId="4" fontId="4" fillId="0" borderId="0" xfId="0" applyNumberFormat="1" applyFont="1"/>
    <xf numFmtId="4" fontId="5" fillId="0" borderId="0" xfId="0" applyNumberFormat="1" applyFont="1"/>
    <xf numFmtId="4" fontId="0" fillId="4" borderId="0" xfId="0" applyNumberFormat="1" applyFill="1"/>
    <xf numFmtId="0" fontId="2" fillId="2" borderId="1" xfId="2" applyNumberFormat="1" applyFont="1" applyFill="1" applyBorder="1" applyAlignment="1">
      <alignment horizontal="left" vertical="top"/>
    </xf>
    <xf numFmtId="0" fontId="3" fillId="2" borderId="1" xfId="2" applyNumberFormat="1" applyFont="1" applyFill="1" applyBorder="1" applyAlignment="1">
      <alignment horizontal="left" vertical="top"/>
    </xf>
    <xf numFmtId="0" fontId="3" fillId="0" borderId="1" xfId="2" applyNumberFormat="1" applyFont="1" applyFill="1" applyBorder="1" applyAlignment="1">
      <alignment horizontal="left" vertical="top"/>
    </xf>
    <xf numFmtId="0" fontId="0" fillId="0" borderId="0" xfId="0" applyFill="1"/>
    <xf numFmtId="4" fontId="2" fillId="2" borderId="1" xfId="2" applyNumberFormat="1" applyFont="1" applyFill="1" applyBorder="1" applyAlignment="1">
      <alignment horizontal="center" vertical="center"/>
    </xf>
    <xf numFmtId="4" fontId="3" fillId="2" borderId="1" xfId="2" applyNumberFormat="1" applyFont="1" applyFill="1" applyBorder="1" applyAlignment="1">
      <alignment horizontal="center" vertical="center"/>
    </xf>
    <xf numFmtId="4" fontId="3" fillId="0" borderId="1" xfId="2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</cellXfs>
  <cellStyles count="3">
    <cellStyle name="Обычный" xfId="0" builtinId="0"/>
    <cellStyle name="Обычный_Акты заказчика" xfId="1"/>
    <cellStyle name="Обычный_Списание стройматериалов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topLeftCell="A82" workbookViewId="0">
      <selection activeCell="G101" sqref="G101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39.6640625" bestFit="1" customWidth="1"/>
    <col min="4" max="4" width="12.33203125" bestFit="1" customWidth="1"/>
    <col min="5" max="5" width="7.6640625" bestFit="1" customWidth="1"/>
    <col min="6" max="6" width="22.88671875" bestFit="1" customWidth="1"/>
    <col min="7" max="7" width="16.6640625" bestFit="1" customWidth="1"/>
    <col min="8" max="8" width="14.5546875" bestFit="1" customWidth="1"/>
    <col min="9" max="9" width="57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330648.58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9</v>
      </c>
      <c r="B3" s="2" t="s">
        <v>17</v>
      </c>
      <c r="C3" s="2" t="s">
        <v>18</v>
      </c>
      <c r="D3" s="3">
        <v>836019.12</v>
      </c>
      <c r="E3" s="2" t="s">
        <v>12</v>
      </c>
      <c r="F3" s="2" t="s">
        <v>19</v>
      </c>
      <c r="G3" s="2" t="s">
        <v>14</v>
      </c>
      <c r="H3" s="2" t="s">
        <v>15</v>
      </c>
      <c r="I3" s="2" t="s">
        <v>20</v>
      </c>
    </row>
    <row r="4" spans="1:9" x14ac:dyDescent="0.3">
      <c r="A4" s="2" t="s">
        <v>9</v>
      </c>
      <c r="B4" s="2" t="s">
        <v>21</v>
      </c>
      <c r="C4" s="2" t="s">
        <v>18</v>
      </c>
      <c r="D4" s="3">
        <v>23188.15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22</v>
      </c>
    </row>
    <row r="5" spans="1:9" x14ac:dyDescent="0.3">
      <c r="A5" s="2" t="s">
        <v>9</v>
      </c>
      <c r="B5" s="2" t="s">
        <v>23</v>
      </c>
      <c r="C5" s="2" t="s">
        <v>11</v>
      </c>
      <c r="D5" s="3">
        <v>70875</v>
      </c>
      <c r="E5" s="2" t="s">
        <v>12</v>
      </c>
      <c r="F5" s="2" t="s">
        <v>13</v>
      </c>
      <c r="G5" s="2" t="s">
        <v>14</v>
      </c>
      <c r="H5" s="2" t="s">
        <v>24</v>
      </c>
      <c r="I5" s="2" t="s">
        <v>25</v>
      </c>
    </row>
    <row r="6" spans="1:9" x14ac:dyDescent="0.3">
      <c r="A6" s="2" t="s">
        <v>9</v>
      </c>
      <c r="B6" s="2" t="s">
        <v>26</v>
      </c>
      <c r="C6" s="2" t="s">
        <v>11</v>
      </c>
      <c r="D6" s="3">
        <v>120418.53</v>
      </c>
      <c r="E6" s="2" t="s">
        <v>12</v>
      </c>
      <c r="F6" s="2" t="s">
        <v>13</v>
      </c>
      <c r="G6" s="2" t="s">
        <v>14</v>
      </c>
      <c r="H6" s="2" t="s">
        <v>24</v>
      </c>
      <c r="I6" s="2" t="s">
        <v>27</v>
      </c>
    </row>
    <row r="7" spans="1:9" x14ac:dyDescent="0.3">
      <c r="A7" s="2" t="s">
        <v>9</v>
      </c>
      <c r="B7" s="2" t="s">
        <v>28</v>
      </c>
      <c r="C7" s="2" t="s">
        <v>11</v>
      </c>
      <c r="D7" s="3">
        <v>73376.03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29</v>
      </c>
    </row>
    <row r="8" spans="1:9" x14ac:dyDescent="0.3">
      <c r="A8" s="2" t="s">
        <v>30</v>
      </c>
      <c r="B8" s="2" t="s">
        <v>31</v>
      </c>
      <c r="C8" s="2" t="s">
        <v>11</v>
      </c>
      <c r="D8" s="3">
        <v>908895.93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32</v>
      </c>
    </row>
    <row r="9" spans="1:9" x14ac:dyDescent="0.3">
      <c r="A9" s="2" t="s">
        <v>33</v>
      </c>
      <c r="B9" s="2" t="s">
        <v>34</v>
      </c>
      <c r="C9" s="2" t="s">
        <v>11</v>
      </c>
      <c r="D9" s="3">
        <v>255300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35</v>
      </c>
    </row>
    <row r="10" spans="1:9" x14ac:dyDescent="0.3">
      <c r="A10" s="2" t="s">
        <v>36</v>
      </c>
      <c r="B10" s="2" t="s">
        <v>37</v>
      </c>
      <c r="C10" s="2" t="s">
        <v>11</v>
      </c>
      <c r="D10" s="3">
        <v>426150.52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38</v>
      </c>
    </row>
    <row r="11" spans="1:9" x14ac:dyDescent="0.3">
      <c r="A11" s="2" t="s">
        <v>39</v>
      </c>
      <c r="B11" s="2" t="s">
        <v>40</v>
      </c>
      <c r="C11" s="2" t="s">
        <v>11</v>
      </c>
      <c r="D11" s="3">
        <v>359694.36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41</v>
      </c>
    </row>
    <row r="12" spans="1:9" s="7" customFormat="1" x14ac:dyDescent="0.3">
      <c r="A12" s="5" t="s">
        <v>42</v>
      </c>
      <c r="B12" s="5" t="s">
        <v>43</v>
      </c>
      <c r="C12" s="5" t="s">
        <v>44</v>
      </c>
      <c r="D12" s="6">
        <v>5519057.6900000004</v>
      </c>
      <c r="E12" s="5" t="s">
        <v>12</v>
      </c>
      <c r="F12" s="5" t="s">
        <v>45</v>
      </c>
      <c r="G12" s="5" t="s">
        <v>14</v>
      </c>
      <c r="H12" s="5" t="s">
        <v>15</v>
      </c>
      <c r="I12" s="5" t="s">
        <v>46</v>
      </c>
    </row>
    <row r="13" spans="1:9" x14ac:dyDescent="0.3">
      <c r="A13" s="2" t="s">
        <v>47</v>
      </c>
      <c r="B13" s="2" t="s">
        <v>48</v>
      </c>
      <c r="C13" s="2" t="s">
        <v>11</v>
      </c>
      <c r="D13" s="3">
        <v>27190.45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49</v>
      </c>
    </row>
    <row r="14" spans="1:9" x14ac:dyDescent="0.3">
      <c r="A14" s="2" t="s">
        <v>50</v>
      </c>
      <c r="B14" s="2" t="s">
        <v>51</v>
      </c>
      <c r="C14" s="2" t="s">
        <v>11</v>
      </c>
      <c r="D14" s="3">
        <v>320050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52</v>
      </c>
    </row>
    <row r="15" spans="1:9" x14ac:dyDescent="0.3">
      <c r="A15" s="2" t="s">
        <v>53</v>
      </c>
      <c r="B15" s="2" t="s">
        <v>54</v>
      </c>
      <c r="C15" s="2" t="s">
        <v>55</v>
      </c>
      <c r="D15" s="3">
        <v>100000</v>
      </c>
      <c r="E15" s="2" t="s">
        <v>12</v>
      </c>
      <c r="F15" s="2" t="s">
        <v>56</v>
      </c>
      <c r="G15" s="2" t="s">
        <v>14</v>
      </c>
      <c r="H15" s="2" t="s">
        <v>24</v>
      </c>
      <c r="I15" s="2"/>
    </row>
    <row r="16" spans="1:9" x14ac:dyDescent="0.3">
      <c r="A16" s="2" t="s">
        <v>53</v>
      </c>
      <c r="B16" s="2" t="s">
        <v>57</v>
      </c>
      <c r="C16" s="2" t="s">
        <v>44</v>
      </c>
      <c r="D16" s="3">
        <v>1546476.01</v>
      </c>
      <c r="E16" s="2" t="s">
        <v>12</v>
      </c>
      <c r="F16" s="2" t="s">
        <v>45</v>
      </c>
      <c r="G16" s="2" t="s">
        <v>14</v>
      </c>
      <c r="H16" s="2" t="s">
        <v>15</v>
      </c>
      <c r="I16" s="2" t="s">
        <v>58</v>
      </c>
    </row>
    <row r="17" spans="1:9" x14ac:dyDescent="0.3">
      <c r="A17" s="2" t="s">
        <v>59</v>
      </c>
      <c r="B17" s="2" t="s">
        <v>60</v>
      </c>
      <c r="C17" s="2" t="s">
        <v>11</v>
      </c>
      <c r="D17" s="3">
        <v>148135.12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61</v>
      </c>
    </row>
    <row r="18" spans="1:9" x14ac:dyDescent="0.3">
      <c r="A18" s="2" t="s">
        <v>62</v>
      </c>
      <c r="B18" s="2" t="s">
        <v>63</v>
      </c>
      <c r="C18" s="2" t="s">
        <v>11</v>
      </c>
      <c r="D18" s="3">
        <v>15568.8</v>
      </c>
      <c r="E18" s="2" t="s">
        <v>12</v>
      </c>
      <c r="F18" s="2" t="s">
        <v>13</v>
      </c>
      <c r="G18" s="2" t="s">
        <v>14</v>
      </c>
      <c r="H18" s="2" t="s">
        <v>15</v>
      </c>
      <c r="I18" s="2" t="s">
        <v>64</v>
      </c>
    </row>
    <row r="19" spans="1:9" x14ac:dyDescent="0.3">
      <c r="A19" s="2" t="s">
        <v>65</v>
      </c>
      <c r="B19" s="2" t="s">
        <v>66</v>
      </c>
      <c r="C19" s="2" t="s">
        <v>11</v>
      </c>
      <c r="D19" s="3">
        <v>5193.3999999999996</v>
      </c>
      <c r="E19" s="2" t="s">
        <v>12</v>
      </c>
      <c r="F19" s="2" t="s">
        <v>13</v>
      </c>
      <c r="G19" s="2" t="s">
        <v>14</v>
      </c>
      <c r="H19" s="2" t="s">
        <v>15</v>
      </c>
      <c r="I19" s="2" t="s">
        <v>67</v>
      </c>
    </row>
    <row r="20" spans="1:9" x14ac:dyDescent="0.3">
      <c r="A20" s="2" t="s">
        <v>68</v>
      </c>
      <c r="B20" s="2" t="s">
        <v>69</v>
      </c>
      <c r="C20" s="2" t="s">
        <v>11</v>
      </c>
      <c r="D20" s="3">
        <v>244644.62</v>
      </c>
      <c r="E20" s="2" t="s">
        <v>12</v>
      </c>
      <c r="F20" s="2" t="s">
        <v>13</v>
      </c>
      <c r="G20" s="2" t="s">
        <v>14</v>
      </c>
      <c r="H20" s="2" t="s">
        <v>15</v>
      </c>
      <c r="I20" s="2" t="s">
        <v>70</v>
      </c>
    </row>
    <row r="21" spans="1:9" x14ac:dyDescent="0.3">
      <c r="A21" s="2" t="s">
        <v>71</v>
      </c>
      <c r="B21" s="2" t="s">
        <v>72</v>
      </c>
      <c r="C21" s="2" t="s">
        <v>73</v>
      </c>
      <c r="D21" s="3">
        <v>728783.74</v>
      </c>
      <c r="E21" s="2" t="s">
        <v>12</v>
      </c>
      <c r="F21" s="2" t="s">
        <v>74</v>
      </c>
      <c r="G21" s="2" t="s">
        <v>14</v>
      </c>
      <c r="H21" s="2" t="s">
        <v>24</v>
      </c>
      <c r="I21" s="2" t="s">
        <v>75</v>
      </c>
    </row>
    <row r="22" spans="1:9" x14ac:dyDescent="0.3">
      <c r="A22" s="2" t="s">
        <v>76</v>
      </c>
      <c r="B22" s="2" t="s">
        <v>77</v>
      </c>
      <c r="C22" s="2" t="s">
        <v>44</v>
      </c>
      <c r="D22" s="3">
        <v>417492.3</v>
      </c>
      <c r="E22" s="2" t="s">
        <v>12</v>
      </c>
      <c r="F22" s="2" t="s">
        <v>45</v>
      </c>
      <c r="G22" s="2" t="s">
        <v>14</v>
      </c>
      <c r="H22" s="2" t="s">
        <v>15</v>
      </c>
      <c r="I22" s="2" t="s">
        <v>78</v>
      </c>
    </row>
    <row r="23" spans="1:9" s="7" customFormat="1" x14ac:dyDescent="0.3">
      <c r="A23" s="5" t="s">
        <v>79</v>
      </c>
      <c r="B23" s="5" t="s">
        <v>80</v>
      </c>
      <c r="C23" s="5" t="s">
        <v>44</v>
      </c>
      <c r="D23" s="6">
        <v>120551.08</v>
      </c>
      <c r="E23" s="5" t="s">
        <v>12</v>
      </c>
      <c r="F23" s="5" t="s">
        <v>45</v>
      </c>
      <c r="G23" s="5" t="s">
        <v>14</v>
      </c>
      <c r="H23" s="5" t="s">
        <v>15</v>
      </c>
      <c r="I23" s="5" t="s">
        <v>81</v>
      </c>
    </row>
    <row r="24" spans="1:9" s="7" customFormat="1" x14ac:dyDescent="0.3">
      <c r="A24" s="5" t="s">
        <v>82</v>
      </c>
      <c r="B24" s="5" t="s">
        <v>83</v>
      </c>
      <c r="C24" s="5" t="s">
        <v>44</v>
      </c>
      <c r="D24" s="6">
        <v>147281.76</v>
      </c>
      <c r="E24" s="5" t="s">
        <v>12</v>
      </c>
      <c r="F24" s="5" t="s">
        <v>45</v>
      </c>
      <c r="G24" s="5" t="s">
        <v>14</v>
      </c>
      <c r="H24" s="5" t="s">
        <v>15</v>
      </c>
      <c r="I24" s="5" t="s">
        <v>84</v>
      </c>
    </row>
    <row r="25" spans="1:9" x14ac:dyDescent="0.3">
      <c r="A25" s="2" t="s">
        <v>85</v>
      </c>
      <c r="B25" s="2" t="s">
        <v>86</v>
      </c>
      <c r="C25" s="2" t="s">
        <v>44</v>
      </c>
      <c r="D25" s="3">
        <v>174395.3</v>
      </c>
      <c r="E25" s="2" t="s">
        <v>12</v>
      </c>
      <c r="F25" s="2" t="s">
        <v>45</v>
      </c>
      <c r="G25" s="2" t="s">
        <v>14</v>
      </c>
      <c r="H25" s="2" t="s">
        <v>15</v>
      </c>
      <c r="I25" s="2" t="s">
        <v>87</v>
      </c>
    </row>
    <row r="26" spans="1:9" x14ac:dyDescent="0.3">
      <c r="A26" s="2" t="s">
        <v>85</v>
      </c>
      <c r="B26" s="2" t="s">
        <v>88</v>
      </c>
      <c r="C26" s="2" t="s">
        <v>73</v>
      </c>
      <c r="D26" s="3">
        <v>1941984</v>
      </c>
      <c r="E26" s="2" t="s">
        <v>12</v>
      </c>
      <c r="F26" s="2" t="s">
        <v>74</v>
      </c>
      <c r="G26" s="2" t="s">
        <v>14</v>
      </c>
      <c r="H26" s="2" t="s">
        <v>15</v>
      </c>
      <c r="I26" s="2" t="s">
        <v>89</v>
      </c>
    </row>
    <row r="27" spans="1:9" s="7" customFormat="1" x14ac:dyDescent="0.3">
      <c r="A27" s="5" t="s">
        <v>90</v>
      </c>
      <c r="B27" s="5" t="s">
        <v>91</v>
      </c>
      <c r="C27" s="5" t="s">
        <v>44</v>
      </c>
      <c r="D27" s="6">
        <v>224442.72</v>
      </c>
      <c r="E27" s="5" t="s">
        <v>12</v>
      </c>
      <c r="F27" s="5" t="s">
        <v>45</v>
      </c>
      <c r="G27" s="5" t="s">
        <v>14</v>
      </c>
      <c r="H27" s="5" t="s">
        <v>15</v>
      </c>
      <c r="I27" s="5" t="s">
        <v>92</v>
      </c>
    </row>
    <row r="28" spans="1:9" x14ac:dyDescent="0.3">
      <c r="A28" s="2" t="s">
        <v>93</v>
      </c>
      <c r="B28" s="2" t="s">
        <v>94</v>
      </c>
      <c r="C28" s="2" t="s">
        <v>11</v>
      </c>
      <c r="D28" s="3">
        <v>2738195.25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95</v>
      </c>
    </row>
    <row r="29" spans="1:9" x14ac:dyDescent="0.3">
      <c r="A29" s="2" t="s">
        <v>96</v>
      </c>
      <c r="B29" s="2" t="s">
        <v>97</v>
      </c>
      <c r="C29" s="2" t="s">
        <v>11</v>
      </c>
      <c r="D29" s="3">
        <v>1041800.07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98</v>
      </c>
    </row>
    <row r="30" spans="1:9" x14ac:dyDescent="0.3">
      <c r="A30" s="2" t="s">
        <v>99</v>
      </c>
      <c r="B30" s="2" t="s">
        <v>100</v>
      </c>
      <c r="C30" s="2" t="s">
        <v>44</v>
      </c>
      <c r="D30" s="3">
        <v>120872.34</v>
      </c>
      <c r="E30" s="2" t="s">
        <v>12</v>
      </c>
      <c r="F30" s="2" t="s">
        <v>45</v>
      </c>
      <c r="G30" s="2" t="s">
        <v>14</v>
      </c>
      <c r="H30" s="2" t="s">
        <v>15</v>
      </c>
      <c r="I30" s="2" t="s">
        <v>101</v>
      </c>
    </row>
    <row r="31" spans="1:9" x14ac:dyDescent="0.3">
      <c r="A31" s="2" t="s">
        <v>102</v>
      </c>
      <c r="B31" s="2" t="s">
        <v>103</v>
      </c>
      <c r="C31" s="2" t="s">
        <v>44</v>
      </c>
      <c r="D31" s="3">
        <v>56042.29</v>
      </c>
      <c r="E31" s="2" t="s">
        <v>12</v>
      </c>
      <c r="F31" s="2" t="s">
        <v>45</v>
      </c>
      <c r="G31" s="2" t="s">
        <v>14</v>
      </c>
      <c r="H31" s="2" t="s">
        <v>15</v>
      </c>
      <c r="I31" s="2" t="s">
        <v>104</v>
      </c>
    </row>
    <row r="32" spans="1:9" s="7" customFormat="1" x14ac:dyDescent="0.3">
      <c r="A32" s="5" t="s">
        <v>105</v>
      </c>
      <c r="B32" s="5" t="s">
        <v>106</v>
      </c>
      <c r="C32" s="5" t="s">
        <v>44</v>
      </c>
      <c r="D32" s="6">
        <v>230241.44</v>
      </c>
      <c r="E32" s="5" t="s">
        <v>12</v>
      </c>
      <c r="F32" s="5" t="s">
        <v>45</v>
      </c>
      <c r="G32" s="5" t="s">
        <v>14</v>
      </c>
      <c r="H32" s="5" t="s">
        <v>15</v>
      </c>
      <c r="I32" s="5" t="s">
        <v>107</v>
      </c>
    </row>
    <row r="33" spans="1:9" s="7" customFormat="1" x14ac:dyDescent="0.3">
      <c r="A33" s="5" t="s">
        <v>108</v>
      </c>
      <c r="B33" s="5" t="s">
        <v>109</v>
      </c>
      <c r="C33" s="5" t="s">
        <v>44</v>
      </c>
      <c r="D33" s="6">
        <v>144257.29</v>
      </c>
      <c r="E33" s="5" t="s">
        <v>12</v>
      </c>
      <c r="F33" s="5" t="s">
        <v>45</v>
      </c>
      <c r="G33" s="5" t="s">
        <v>14</v>
      </c>
      <c r="H33" s="5" t="s">
        <v>15</v>
      </c>
      <c r="I33" s="5" t="s">
        <v>110</v>
      </c>
    </row>
    <row r="34" spans="1:9" s="7" customFormat="1" x14ac:dyDescent="0.3">
      <c r="A34" s="5" t="s">
        <v>111</v>
      </c>
      <c r="B34" s="5" t="s">
        <v>112</v>
      </c>
      <c r="C34" s="5" t="s">
        <v>44</v>
      </c>
      <c r="D34" s="6">
        <v>112681.46</v>
      </c>
      <c r="E34" s="5" t="s">
        <v>12</v>
      </c>
      <c r="F34" s="5" t="s">
        <v>45</v>
      </c>
      <c r="G34" s="5" t="s">
        <v>14</v>
      </c>
      <c r="H34" s="5" t="s">
        <v>15</v>
      </c>
      <c r="I34" s="5" t="s">
        <v>113</v>
      </c>
    </row>
    <row r="35" spans="1:9" s="7" customFormat="1" x14ac:dyDescent="0.3">
      <c r="A35" s="5" t="s">
        <v>114</v>
      </c>
      <c r="B35" s="5" t="s">
        <v>115</v>
      </c>
      <c r="C35" s="5" t="s">
        <v>44</v>
      </c>
      <c r="D35" s="6">
        <v>17776.28</v>
      </c>
      <c r="E35" s="5" t="s">
        <v>12</v>
      </c>
      <c r="F35" s="5" t="s">
        <v>45</v>
      </c>
      <c r="G35" s="5" t="s">
        <v>14</v>
      </c>
      <c r="H35" s="5" t="s">
        <v>15</v>
      </c>
      <c r="I35" s="5" t="s">
        <v>116</v>
      </c>
    </row>
    <row r="36" spans="1:9" s="7" customFormat="1" x14ac:dyDescent="0.3">
      <c r="A36" s="5" t="s">
        <v>117</v>
      </c>
      <c r="B36" s="5" t="s">
        <v>118</v>
      </c>
      <c r="C36" s="5" t="s">
        <v>44</v>
      </c>
      <c r="D36" s="6">
        <v>146546.79999999999</v>
      </c>
      <c r="E36" s="5" t="s">
        <v>12</v>
      </c>
      <c r="F36" s="5" t="s">
        <v>45</v>
      </c>
      <c r="G36" s="5" t="s">
        <v>14</v>
      </c>
      <c r="H36" s="5" t="s">
        <v>15</v>
      </c>
      <c r="I36" s="5" t="s">
        <v>119</v>
      </c>
    </row>
    <row r="37" spans="1:9" x14ac:dyDescent="0.3">
      <c r="A37" s="2" t="s">
        <v>120</v>
      </c>
      <c r="B37" s="2" t="s">
        <v>121</v>
      </c>
      <c r="C37" s="2" t="s">
        <v>18</v>
      </c>
      <c r="D37" s="3">
        <v>168578.23</v>
      </c>
      <c r="E37" s="2" t="s">
        <v>12</v>
      </c>
      <c r="F37" s="2" t="s">
        <v>19</v>
      </c>
      <c r="G37" s="2" t="s">
        <v>14</v>
      </c>
      <c r="H37" s="2" t="s">
        <v>15</v>
      </c>
      <c r="I37" s="2" t="s">
        <v>122</v>
      </c>
    </row>
    <row r="38" spans="1:9" x14ac:dyDescent="0.3">
      <c r="A38" s="2" t="s">
        <v>120</v>
      </c>
      <c r="B38" s="2" t="s">
        <v>123</v>
      </c>
      <c r="C38" s="2" t="s">
        <v>18</v>
      </c>
      <c r="D38" s="3">
        <v>525827.56000000006</v>
      </c>
      <c r="E38" s="2" t="s">
        <v>12</v>
      </c>
      <c r="F38" s="2" t="s">
        <v>19</v>
      </c>
      <c r="G38" s="2" t="s">
        <v>14</v>
      </c>
      <c r="H38" s="2" t="s">
        <v>15</v>
      </c>
      <c r="I38" s="2" t="s">
        <v>124</v>
      </c>
    </row>
    <row r="39" spans="1:9" s="7" customFormat="1" x14ac:dyDescent="0.3">
      <c r="A39" s="5" t="s">
        <v>125</v>
      </c>
      <c r="B39" s="5" t="s">
        <v>126</v>
      </c>
      <c r="C39" s="5" t="s">
        <v>44</v>
      </c>
      <c r="D39" s="6">
        <v>2187971.4700000002</v>
      </c>
      <c r="E39" s="5" t="s">
        <v>12</v>
      </c>
      <c r="F39" s="5" t="s">
        <v>45</v>
      </c>
      <c r="G39" s="5" t="s">
        <v>14</v>
      </c>
      <c r="H39" s="5" t="s">
        <v>15</v>
      </c>
      <c r="I39" s="5" t="s">
        <v>127</v>
      </c>
    </row>
    <row r="40" spans="1:9" s="7" customFormat="1" x14ac:dyDescent="0.3">
      <c r="A40" s="5" t="s">
        <v>128</v>
      </c>
      <c r="B40" s="5" t="s">
        <v>129</v>
      </c>
      <c r="C40" s="5" t="s">
        <v>44</v>
      </c>
      <c r="D40" s="6">
        <v>989440.84</v>
      </c>
      <c r="E40" s="5" t="s">
        <v>12</v>
      </c>
      <c r="F40" s="5" t="s">
        <v>45</v>
      </c>
      <c r="G40" s="5" t="s">
        <v>14</v>
      </c>
      <c r="H40" s="5" t="s">
        <v>15</v>
      </c>
      <c r="I40" s="5" t="s">
        <v>130</v>
      </c>
    </row>
    <row r="41" spans="1:9" s="7" customFormat="1" x14ac:dyDescent="0.3">
      <c r="A41" s="5" t="s">
        <v>131</v>
      </c>
      <c r="B41" s="5" t="s">
        <v>132</v>
      </c>
      <c r="C41" s="5" t="s">
        <v>44</v>
      </c>
      <c r="D41" s="6">
        <v>823544.62</v>
      </c>
      <c r="E41" s="5" t="s">
        <v>12</v>
      </c>
      <c r="F41" s="5" t="s">
        <v>45</v>
      </c>
      <c r="G41" s="5" t="s">
        <v>14</v>
      </c>
      <c r="H41" s="5" t="s">
        <v>15</v>
      </c>
      <c r="I41" s="5" t="s">
        <v>133</v>
      </c>
    </row>
    <row r="42" spans="1:9" s="7" customFormat="1" x14ac:dyDescent="0.3">
      <c r="A42" s="5" t="s">
        <v>134</v>
      </c>
      <c r="B42" s="5" t="s">
        <v>135</v>
      </c>
      <c r="C42" s="5" t="s">
        <v>44</v>
      </c>
      <c r="D42" s="6">
        <v>685051.25</v>
      </c>
      <c r="E42" s="5" t="s">
        <v>12</v>
      </c>
      <c r="F42" s="5" t="s">
        <v>45</v>
      </c>
      <c r="G42" s="5" t="s">
        <v>14</v>
      </c>
      <c r="H42" s="5" t="s">
        <v>15</v>
      </c>
      <c r="I42" s="5" t="s">
        <v>136</v>
      </c>
    </row>
    <row r="43" spans="1:9" s="7" customFormat="1" x14ac:dyDescent="0.3">
      <c r="A43" s="5" t="s">
        <v>137</v>
      </c>
      <c r="B43" s="5" t="s">
        <v>138</v>
      </c>
      <c r="C43" s="5" t="s">
        <v>73</v>
      </c>
      <c r="D43" s="6">
        <v>500621.1</v>
      </c>
      <c r="E43" s="5" t="s">
        <v>12</v>
      </c>
      <c r="F43" s="5" t="s">
        <v>74</v>
      </c>
      <c r="G43" s="5" t="s">
        <v>14</v>
      </c>
      <c r="H43" s="5" t="s">
        <v>15</v>
      </c>
      <c r="I43" s="5" t="s">
        <v>75</v>
      </c>
    </row>
    <row r="44" spans="1:9" s="7" customFormat="1" x14ac:dyDescent="0.3">
      <c r="A44" s="5" t="s">
        <v>139</v>
      </c>
      <c r="B44" s="5" t="s">
        <v>140</v>
      </c>
      <c r="C44" s="5" t="s">
        <v>44</v>
      </c>
      <c r="D44" s="6">
        <v>77659.3</v>
      </c>
      <c r="E44" s="5" t="s">
        <v>12</v>
      </c>
      <c r="F44" s="5" t="s">
        <v>45</v>
      </c>
      <c r="G44" s="5" t="s">
        <v>14</v>
      </c>
      <c r="H44" s="5" t="s">
        <v>15</v>
      </c>
      <c r="I44" s="5" t="s">
        <v>141</v>
      </c>
    </row>
    <row r="45" spans="1:9" x14ac:dyDescent="0.3">
      <c r="A45" s="2" t="s">
        <v>142</v>
      </c>
      <c r="B45" s="2" t="s">
        <v>143</v>
      </c>
      <c r="C45" s="2" t="s">
        <v>144</v>
      </c>
      <c r="D45" s="3">
        <v>198934.63</v>
      </c>
      <c r="E45" s="2" t="s">
        <v>12</v>
      </c>
      <c r="F45" s="2" t="s">
        <v>145</v>
      </c>
      <c r="G45" s="2" t="s">
        <v>14</v>
      </c>
      <c r="H45" s="2" t="s">
        <v>15</v>
      </c>
      <c r="I45" s="2" t="s">
        <v>146</v>
      </c>
    </row>
    <row r="46" spans="1:9" x14ac:dyDescent="0.3">
      <c r="A46" s="2" t="s">
        <v>142</v>
      </c>
      <c r="B46" s="2" t="s">
        <v>147</v>
      </c>
      <c r="C46" s="2" t="s">
        <v>144</v>
      </c>
      <c r="D46" s="3">
        <v>2341190.92</v>
      </c>
      <c r="E46" s="2" t="s">
        <v>12</v>
      </c>
      <c r="F46" s="2" t="s">
        <v>145</v>
      </c>
      <c r="G46" s="2" t="s">
        <v>14</v>
      </c>
      <c r="H46" s="2" t="s">
        <v>15</v>
      </c>
      <c r="I46" s="2" t="s">
        <v>148</v>
      </c>
    </row>
    <row r="47" spans="1:9" x14ac:dyDescent="0.3">
      <c r="A47" s="2" t="s">
        <v>142</v>
      </c>
      <c r="B47" s="2" t="s">
        <v>149</v>
      </c>
      <c r="C47" s="2" t="s">
        <v>144</v>
      </c>
      <c r="D47" s="3">
        <v>14204.29</v>
      </c>
      <c r="E47" s="2" t="s">
        <v>12</v>
      </c>
      <c r="F47" s="2" t="s">
        <v>145</v>
      </c>
      <c r="G47" s="2" t="s">
        <v>14</v>
      </c>
      <c r="H47" s="2" t="s">
        <v>15</v>
      </c>
      <c r="I47" s="2" t="s">
        <v>150</v>
      </c>
    </row>
    <row r="48" spans="1:9" x14ac:dyDescent="0.3">
      <c r="A48" s="2" t="s">
        <v>142</v>
      </c>
      <c r="B48" s="2" t="s">
        <v>151</v>
      </c>
      <c r="C48" s="2" t="s">
        <v>144</v>
      </c>
      <c r="D48" s="3">
        <v>1108232.3400000001</v>
      </c>
      <c r="E48" s="2" t="s">
        <v>12</v>
      </c>
      <c r="F48" s="2" t="s">
        <v>145</v>
      </c>
      <c r="G48" s="2" t="s">
        <v>14</v>
      </c>
      <c r="H48" s="2" t="s">
        <v>15</v>
      </c>
      <c r="I48" s="2" t="s">
        <v>152</v>
      </c>
    </row>
    <row r="49" spans="1:9" x14ac:dyDescent="0.3">
      <c r="A49" s="2" t="s">
        <v>142</v>
      </c>
      <c r="B49" s="2" t="s">
        <v>153</v>
      </c>
      <c r="C49" s="2" t="s">
        <v>144</v>
      </c>
      <c r="D49" s="3">
        <v>290354.76</v>
      </c>
      <c r="E49" s="2" t="s">
        <v>12</v>
      </c>
      <c r="F49" s="2" t="s">
        <v>145</v>
      </c>
      <c r="G49" s="2" t="s">
        <v>14</v>
      </c>
      <c r="H49" s="2" t="s">
        <v>15</v>
      </c>
      <c r="I49" s="2" t="s">
        <v>154</v>
      </c>
    </row>
    <row r="50" spans="1:9" x14ac:dyDescent="0.3">
      <c r="A50" s="2" t="s">
        <v>142</v>
      </c>
      <c r="B50" s="2" t="s">
        <v>155</v>
      </c>
      <c r="C50" s="2" t="s">
        <v>144</v>
      </c>
      <c r="D50" s="3">
        <v>2259560.6</v>
      </c>
      <c r="E50" s="2" t="s">
        <v>12</v>
      </c>
      <c r="F50" s="2" t="s">
        <v>145</v>
      </c>
      <c r="G50" s="2" t="s">
        <v>14</v>
      </c>
      <c r="H50" s="2" t="s">
        <v>15</v>
      </c>
      <c r="I50" s="2" t="s">
        <v>156</v>
      </c>
    </row>
    <row r="51" spans="1:9" x14ac:dyDescent="0.3">
      <c r="A51" s="2" t="s">
        <v>142</v>
      </c>
      <c r="B51" s="2" t="s">
        <v>157</v>
      </c>
      <c r="C51" s="2" t="s">
        <v>144</v>
      </c>
      <c r="D51" s="3">
        <v>125679.28</v>
      </c>
      <c r="E51" s="2" t="s">
        <v>12</v>
      </c>
      <c r="F51" s="2" t="s">
        <v>145</v>
      </c>
      <c r="G51" s="2" t="s">
        <v>14</v>
      </c>
      <c r="H51" s="2" t="s">
        <v>15</v>
      </c>
      <c r="I51" s="2" t="s">
        <v>158</v>
      </c>
    </row>
    <row r="52" spans="1:9" x14ac:dyDescent="0.3">
      <c r="A52" s="2" t="s">
        <v>142</v>
      </c>
      <c r="B52" s="2" t="s">
        <v>159</v>
      </c>
      <c r="C52" s="2" t="s">
        <v>144</v>
      </c>
      <c r="D52" s="3">
        <v>4533614.66</v>
      </c>
      <c r="E52" s="2" t="s">
        <v>12</v>
      </c>
      <c r="F52" s="2" t="s">
        <v>145</v>
      </c>
      <c r="G52" s="2" t="s">
        <v>14</v>
      </c>
      <c r="H52" s="2" t="s">
        <v>15</v>
      </c>
      <c r="I52" s="2" t="s">
        <v>160</v>
      </c>
    </row>
    <row r="53" spans="1:9" x14ac:dyDescent="0.3">
      <c r="A53" s="2" t="s">
        <v>142</v>
      </c>
      <c r="B53" s="2" t="s">
        <v>161</v>
      </c>
      <c r="C53" s="2" t="s">
        <v>144</v>
      </c>
      <c r="D53" s="3">
        <v>417505.73</v>
      </c>
      <c r="E53" s="2" t="s">
        <v>12</v>
      </c>
      <c r="F53" s="2" t="s">
        <v>145</v>
      </c>
      <c r="G53" s="2" t="s">
        <v>14</v>
      </c>
      <c r="H53" s="2" t="s">
        <v>15</v>
      </c>
      <c r="I53" s="2" t="s">
        <v>162</v>
      </c>
    </row>
    <row r="54" spans="1:9" x14ac:dyDescent="0.3">
      <c r="A54" s="2" t="s">
        <v>142</v>
      </c>
      <c r="B54" s="2" t="s">
        <v>163</v>
      </c>
      <c r="C54" s="2" t="s">
        <v>144</v>
      </c>
      <c r="D54" s="3">
        <v>776112.92</v>
      </c>
      <c r="E54" s="2" t="s">
        <v>12</v>
      </c>
      <c r="F54" s="2" t="s">
        <v>145</v>
      </c>
      <c r="G54" s="2" t="s">
        <v>14</v>
      </c>
      <c r="H54" s="2" t="s">
        <v>15</v>
      </c>
      <c r="I54" s="2" t="s">
        <v>164</v>
      </c>
    </row>
    <row r="55" spans="1:9" x14ac:dyDescent="0.3">
      <c r="A55" s="2" t="s">
        <v>142</v>
      </c>
      <c r="B55" s="2" t="s">
        <v>165</v>
      </c>
      <c r="C55" s="2" t="s">
        <v>144</v>
      </c>
      <c r="D55" s="3">
        <v>26074.79</v>
      </c>
      <c r="E55" s="2" t="s">
        <v>12</v>
      </c>
      <c r="F55" s="2" t="s">
        <v>145</v>
      </c>
      <c r="G55" s="2" t="s">
        <v>14</v>
      </c>
      <c r="H55" s="2" t="s">
        <v>15</v>
      </c>
      <c r="I55" s="2" t="s">
        <v>166</v>
      </c>
    </row>
    <row r="56" spans="1:9" x14ac:dyDescent="0.3">
      <c r="A56" s="2" t="s">
        <v>142</v>
      </c>
      <c r="B56" s="2" t="s">
        <v>167</v>
      </c>
      <c r="C56" s="2" t="s">
        <v>144</v>
      </c>
      <c r="D56" s="3">
        <v>490884.73</v>
      </c>
      <c r="E56" s="2" t="s">
        <v>12</v>
      </c>
      <c r="F56" s="2" t="s">
        <v>145</v>
      </c>
      <c r="G56" s="2" t="s">
        <v>14</v>
      </c>
      <c r="H56" s="2" t="s">
        <v>15</v>
      </c>
      <c r="I56" s="2" t="s">
        <v>168</v>
      </c>
    </row>
    <row r="57" spans="1:9" x14ac:dyDescent="0.3">
      <c r="A57" s="2" t="s">
        <v>142</v>
      </c>
      <c r="B57" s="2" t="s">
        <v>169</v>
      </c>
      <c r="C57" s="2" t="s">
        <v>144</v>
      </c>
      <c r="D57" s="3">
        <v>309001.28000000003</v>
      </c>
      <c r="E57" s="2" t="s">
        <v>12</v>
      </c>
      <c r="F57" s="2" t="s">
        <v>145</v>
      </c>
      <c r="G57" s="2" t="s">
        <v>14</v>
      </c>
      <c r="H57" s="2" t="s">
        <v>15</v>
      </c>
      <c r="I57" s="2" t="s">
        <v>170</v>
      </c>
    </row>
    <row r="58" spans="1:9" x14ac:dyDescent="0.3">
      <c r="A58" s="2" t="s">
        <v>142</v>
      </c>
      <c r="B58" s="2" t="s">
        <v>171</v>
      </c>
      <c r="C58" s="2" t="s">
        <v>144</v>
      </c>
      <c r="D58" s="3">
        <v>250793.71</v>
      </c>
      <c r="E58" s="2" t="s">
        <v>12</v>
      </c>
      <c r="F58" s="2" t="s">
        <v>145</v>
      </c>
      <c r="G58" s="2" t="s">
        <v>14</v>
      </c>
      <c r="H58" s="2" t="s">
        <v>15</v>
      </c>
      <c r="I58" s="2" t="s">
        <v>208</v>
      </c>
    </row>
    <row r="59" spans="1:9" x14ac:dyDescent="0.3">
      <c r="A59" s="2" t="s">
        <v>172</v>
      </c>
      <c r="B59" s="2" t="s">
        <v>173</v>
      </c>
      <c r="C59" s="2" t="s">
        <v>144</v>
      </c>
      <c r="D59" s="3">
        <v>12324.5</v>
      </c>
      <c r="E59" s="2" t="s">
        <v>12</v>
      </c>
      <c r="F59" s="2" t="s">
        <v>145</v>
      </c>
      <c r="G59" s="2" t="s">
        <v>14</v>
      </c>
      <c r="H59" s="2" t="s">
        <v>15</v>
      </c>
      <c r="I59" s="2" t="s">
        <v>174</v>
      </c>
    </row>
    <row r="60" spans="1:9" x14ac:dyDescent="0.3">
      <c r="A60" s="2" t="s">
        <v>175</v>
      </c>
      <c r="B60" s="2" t="s">
        <v>176</v>
      </c>
      <c r="C60" s="2" t="s">
        <v>144</v>
      </c>
      <c r="D60" s="3">
        <v>878500.36</v>
      </c>
      <c r="E60" s="2" t="s">
        <v>12</v>
      </c>
      <c r="F60" s="2" t="s">
        <v>145</v>
      </c>
      <c r="G60" s="2" t="s">
        <v>14</v>
      </c>
      <c r="H60" s="2" t="s">
        <v>15</v>
      </c>
      <c r="I60" s="2" t="s">
        <v>177</v>
      </c>
    </row>
    <row r="61" spans="1:9" x14ac:dyDescent="0.3">
      <c r="A61" s="2" t="s">
        <v>178</v>
      </c>
      <c r="B61" s="2" t="s">
        <v>179</v>
      </c>
      <c r="C61" s="2" t="s">
        <v>144</v>
      </c>
      <c r="D61" s="3">
        <v>59678.64</v>
      </c>
      <c r="E61" s="2" t="s">
        <v>12</v>
      </c>
      <c r="F61" s="2" t="s">
        <v>145</v>
      </c>
      <c r="G61" s="2" t="s">
        <v>14</v>
      </c>
      <c r="H61" s="2" t="s">
        <v>15</v>
      </c>
      <c r="I61" s="2" t="s">
        <v>180</v>
      </c>
    </row>
    <row r="62" spans="1:9" x14ac:dyDescent="0.3">
      <c r="A62" s="2" t="s">
        <v>181</v>
      </c>
      <c r="B62" s="2" t="s">
        <v>182</v>
      </c>
      <c r="C62" s="2" t="s">
        <v>144</v>
      </c>
      <c r="D62" s="3">
        <v>34902.31</v>
      </c>
      <c r="E62" s="2" t="s">
        <v>12</v>
      </c>
      <c r="F62" s="2" t="s">
        <v>145</v>
      </c>
      <c r="G62" s="2" t="s">
        <v>14</v>
      </c>
      <c r="H62" s="2" t="s">
        <v>15</v>
      </c>
      <c r="I62" s="2" t="s">
        <v>183</v>
      </c>
    </row>
    <row r="63" spans="1:9" x14ac:dyDescent="0.3">
      <c r="A63" s="2" t="s">
        <v>184</v>
      </c>
      <c r="B63" s="2" t="s">
        <v>185</v>
      </c>
      <c r="C63" s="2" t="s">
        <v>144</v>
      </c>
      <c r="D63" s="3">
        <v>718425.36</v>
      </c>
      <c r="E63" s="2" t="s">
        <v>12</v>
      </c>
      <c r="F63" s="2" t="s">
        <v>145</v>
      </c>
      <c r="G63" s="2" t="s">
        <v>14</v>
      </c>
      <c r="H63" s="2" t="s">
        <v>15</v>
      </c>
      <c r="I63" s="2" t="s">
        <v>186</v>
      </c>
    </row>
    <row r="64" spans="1:9" x14ac:dyDescent="0.3">
      <c r="A64" s="2" t="s">
        <v>187</v>
      </c>
      <c r="B64" s="2" t="s">
        <v>188</v>
      </c>
      <c r="C64" s="2" t="s">
        <v>144</v>
      </c>
      <c r="D64" s="3">
        <v>383834.03</v>
      </c>
      <c r="E64" s="2" t="s">
        <v>12</v>
      </c>
      <c r="F64" s="2" t="s">
        <v>145</v>
      </c>
      <c r="G64" s="2" t="s">
        <v>14</v>
      </c>
      <c r="H64" s="2" t="s">
        <v>15</v>
      </c>
      <c r="I64" s="2" t="s">
        <v>189</v>
      </c>
    </row>
    <row r="65" spans="1:9" x14ac:dyDescent="0.3">
      <c r="A65" s="2" t="s">
        <v>190</v>
      </c>
      <c r="B65" s="2" t="s">
        <v>191</v>
      </c>
      <c r="C65" s="2" t="s">
        <v>144</v>
      </c>
      <c r="D65" s="3">
        <v>611563.93000000005</v>
      </c>
      <c r="E65" s="2" t="s">
        <v>12</v>
      </c>
      <c r="F65" s="2" t="s">
        <v>145</v>
      </c>
      <c r="G65" s="2" t="s">
        <v>14</v>
      </c>
      <c r="H65" s="2" t="s">
        <v>15</v>
      </c>
      <c r="I65" s="2" t="s">
        <v>192</v>
      </c>
    </row>
    <row r="66" spans="1:9" x14ac:dyDescent="0.3">
      <c r="A66" s="2" t="s">
        <v>193</v>
      </c>
      <c r="B66" s="2" t="s">
        <v>194</v>
      </c>
      <c r="C66" s="2" t="s">
        <v>144</v>
      </c>
      <c r="D66" s="3">
        <v>86531.94</v>
      </c>
      <c r="E66" s="2" t="s">
        <v>12</v>
      </c>
      <c r="F66" s="2" t="s">
        <v>145</v>
      </c>
      <c r="G66" s="2" t="s">
        <v>14</v>
      </c>
      <c r="H66" s="2" t="s">
        <v>15</v>
      </c>
      <c r="I66" s="2" t="s">
        <v>195</v>
      </c>
    </row>
    <row r="67" spans="1:9" x14ac:dyDescent="0.3">
      <c r="A67" s="2" t="s">
        <v>196</v>
      </c>
      <c r="B67" s="2" t="s">
        <v>197</v>
      </c>
      <c r="C67" s="2" t="s">
        <v>144</v>
      </c>
      <c r="D67" s="3">
        <v>37193</v>
      </c>
      <c r="E67" s="2" t="s">
        <v>12</v>
      </c>
      <c r="F67" s="2" t="s">
        <v>145</v>
      </c>
      <c r="G67" s="2" t="s">
        <v>14</v>
      </c>
      <c r="H67" s="2" t="s">
        <v>15</v>
      </c>
      <c r="I67" s="2" t="s">
        <v>198</v>
      </c>
    </row>
    <row r="68" spans="1:9" x14ac:dyDescent="0.3">
      <c r="A68" s="2" t="s">
        <v>199</v>
      </c>
      <c r="B68" s="2" t="s">
        <v>200</v>
      </c>
      <c r="C68" s="2" t="s">
        <v>144</v>
      </c>
      <c r="D68" s="3">
        <v>232005.55</v>
      </c>
      <c r="E68" s="2" t="s">
        <v>12</v>
      </c>
      <c r="F68" s="2" t="s">
        <v>145</v>
      </c>
      <c r="G68" s="2" t="s">
        <v>14</v>
      </c>
      <c r="H68" s="2" t="s">
        <v>15</v>
      </c>
      <c r="I68" s="2" t="s">
        <v>201</v>
      </c>
    </row>
    <row r="69" spans="1:9" x14ac:dyDescent="0.3">
      <c r="A69" s="2" t="s">
        <v>202</v>
      </c>
      <c r="B69" s="2" t="s">
        <v>203</v>
      </c>
      <c r="C69" s="2" t="s">
        <v>144</v>
      </c>
      <c r="D69" s="3">
        <v>7303.6</v>
      </c>
      <c r="E69" s="2" t="s">
        <v>12</v>
      </c>
      <c r="F69" s="2" t="s">
        <v>145</v>
      </c>
      <c r="G69" s="2" t="s">
        <v>14</v>
      </c>
      <c r="H69" s="2" t="s">
        <v>15</v>
      </c>
      <c r="I69" s="2" t="s">
        <v>204</v>
      </c>
    </row>
    <row r="70" spans="1:9" x14ac:dyDescent="0.3">
      <c r="A70" s="2" t="s">
        <v>205</v>
      </c>
      <c r="B70" s="2" t="s">
        <v>206</v>
      </c>
      <c r="C70" s="2" t="s">
        <v>144</v>
      </c>
      <c r="D70" s="3">
        <v>446264.9</v>
      </c>
      <c r="E70" s="2" t="s">
        <v>12</v>
      </c>
      <c r="F70" s="2" t="s">
        <v>145</v>
      </c>
      <c r="G70" s="2" t="s">
        <v>14</v>
      </c>
      <c r="H70" s="2" t="s">
        <v>15</v>
      </c>
      <c r="I70" s="2" t="s">
        <v>207</v>
      </c>
    </row>
    <row r="71" spans="1:9" x14ac:dyDescent="0.3">
      <c r="D71" s="10">
        <f>SUM(D2:D70)</f>
        <v>42303593.559999995</v>
      </c>
    </row>
    <row r="72" spans="1:9" x14ac:dyDescent="0.3">
      <c r="D72" s="11">
        <f>D71-D81</f>
        <v>0</v>
      </c>
    </row>
    <row r="73" spans="1:9" x14ac:dyDescent="0.3">
      <c r="C73" t="s">
        <v>209</v>
      </c>
      <c r="D73" s="12">
        <f>D21+D26</f>
        <v>2670767.7400000002</v>
      </c>
    </row>
    <row r="74" spans="1:9" x14ac:dyDescent="0.3">
      <c r="C74" s="7" t="s">
        <v>213</v>
      </c>
      <c r="D74" s="12">
        <f>D43</f>
        <v>500621.1</v>
      </c>
    </row>
    <row r="75" spans="1:9" x14ac:dyDescent="0.3">
      <c r="C75" t="s">
        <v>210</v>
      </c>
      <c r="D75" s="12">
        <f>D45+D46+D47+D48+D49+D50+D51+D52+D54+D53+D55+D56+D57+D58+D59+D60+D61+D62+D63+D64+D65+D66+D67+D68+D69+D70</f>
        <v>16650672.76</v>
      </c>
    </row>
    <row r="76" spans="1:9" x14ac:dyDescent="0.3">
      <c r="C76" t="s">
        <v>211</v>
      </c>
      <c r="D76" s="12">
        <f>D16+D22+D25+D30+D31</f>
        <v>2315278.2399999998</v>
      </c>
    </row>
    <row r="77" spans="1:9" x14ac:dyDescent="0.3">
      <c r="C77" s="7" t="s">
        <v>214</v>
      </c>
      <c r="D77" s="8">
        <f>D12+D23+D24+D27+D32+D33+D34+D35+D36+D39+D40+D41+D42+D44</f>
        <v>11426504</v>
      </c>
    </row>
    <row r="78" spans="1:9" x14ac:dyDescent="0.3">
      <c r="C78" t="s">
        <v>212</v>
      </c>
      <c r="D78" s="12">
        <f>D2+D5+D6+D7+D8+D9+D10+D11+D13+D14+D17+D18+D19+D20+D28+D29</f>
        <v>7086136.6600000001</v>
      </c>
    </row>
    <row r="79" spans="1:9" x14ac:dyDescent="0.3">
      <c r="C79" t="s">
        <v>215</v>
      </c>
      <c r="D79" s="12">
        <f>D3+D4+D37+D38</f>
        <v>1553613.06</v>
      </c>
    </row>
    <row r="80" spans="1:9" x14ac:dyDescent="0.3">
      <c r="C80" t="s">
        <v>216</v>
      </c>
      <c r="D80" s="12">
        <f>D15</f>
        <v>100000</v>
      </c>
      <c r="F80" s="4">
        <f>D80+D79+D78+D76+D75+D74+D73</f>
        <v>30877089.560000002</v>
      </c>
    </row>
    <row r="81" spans="1:9" x14ac:dyDescent="0.3">
      <c r="C81" s="9" t="s">
        <v>217</v>
      </c>
      <c r="D81" s="10">
        <f>SUM(D73:D80)</f>
        <v>42303593.560000002</v>
      </c>
    </row>
    <row r="84" spans="1:9" x14ac:dyDescent="0.3">
      <c r="A84" s="2" t="s">
        <v>303</v>
      </c>
      <c r="B84" s="2" t="s">
        <v>304</v>
      </c>
      <c r="C84" s="2" t="s">
        <v>11</v>
      </c>
      <c r="D84" s="3">
        <v>129839.32</v>
      </c>
      <c r="E84" s="2" t="s">
        <v>12</v>
      </c>
      <c r="F84" s="2" t="s">
        <v>13</v>
      </c>
      <c r="G84" s="2" t="s">
        <v>14</v>
      </c>
      <c r="H84" s="2" t="s">
        <v>24</v>
      </c>
      <c r="I84" s="2" t="s">
        <v>305</v>
      </c>
    </row>
    <row r="85" spans="1:9" x14ac:dyDescent="0.3">
      <c r="A85" s="2" t="s">
        <v>306</v>
      </c>
      <c r="B85" s="2" t="s">
        <v>307</v>
      </c>
      <c r="C85" s="2" t="s">
        <v>11</v>
      </c>
      <c r="D85" s="3">
        <v>33750</v>
      </c>
      <c r="E85" s="2" t="s">
        <v>12</v>
      </c>
      <c r="F85" s="2" t="s">
        <v>13</v>
      </c>
      <c r="G85" s="2" t="s">
        <v>14</v>
      </c>
      <c r="H85" s="2" t="s">
        <v>15</v>
      </c>
      <c r="I85" s="2" t="s">
        <v>308</v>
      </c>
    </row>
    <row r="86" spans="1:9" x14ac:dyDescent="0.3">
      <c r="A86" s="2" t="s">
        <v>309</v>
      </c>
      <c r="B86" s="2" t="s">
        <v>220</v>
      </c>
      <c r="C86" s="2" t="s">
        <v>11</v>
      </c>
      <c r="D86" s="3">
        <v>30375</v>
      </c>
      <c r="E86" s="2" t="s">
        <v>12</v>
      </c>
      <c r="F86" s="2" t="s">
        <v>13</v>
      </c>
      <c r="G86" s="2" t="s">
        <v>14</v>
      </c>
      <c r="H86" s="2" t="s">
        <v>15</v>
      </c>
      <c r="I86" s="2" t="s">
        <v>310</v>
      </c>
    </row>
    <row r="87" spans="1:9" x14ac:dyDescent="0.3">
      <c r="A87" s="2" t="s">
        <v>311</v>
      </c>
      <c r="B87" s="2" t="s">
        <v>312</v>
      </c>
      <c r="C87" s="2" t="s">
        <v>11</v>
      </c>
      <c r="D87" s="3">
        <v>21000</v>
      </c>
      <c r="E87" s="2" t="s">
        <v>12</v>
      </c>
      <c r="F87" s="2" t="s">
        <v>13</v>
      </c>
      <c r="G87" s="2" t="s">
        <v>14</v>
      </c>
      <c r="H87" s="2" t="s">
        <v>15</v>
      </c>
      <c r="I87" s="2" t="s">
        <v>313</v>
      </c>
    </row>
    <row r="88" spans="1:9" x14ac:dyDescent="0.3">
      <c r="A88" s="2" t="s">
        <v>314</v>
      </c>
      <c r="B88" s="2" t="s">
        <v>315</v>
      </c>
      <c r="C88" s="2" t="s">
        <v>11</v>
      </c>
      <c r="D88" s="3">
        <v>36750</v>
      </c>
      <c r="E88" s="2" t="s">
        <v>12</v>
      </c>
      <c r="F88" s="2" t="s">
        <v>13</v>
      </c>
      <c r="G88" s="2" t="s">
        <v>14</v>
      </c>
      <c r="H88" s="2" t="s">
        <v>15</v>
      </c>
      <c r="I88" s="2" t="s">
        <v>316</v>
      </c>
    </row>
    <row r="89" spans="1:9" x14ac:dyDescent="0.3">
      <c r="A89" s="2" t="s">
        <v>317</v>
      </c>
      <c r="B89" s="2" t="s">
        <v>318</v>
      </c>
      <c r="C89" s="2" t="s">
        <v>11</v>
      </c>
      <c r="D89" s="3">
        <v>21000</v>
      </c>
      <c r="E89" s="2" t="s">
        <v>12</v>
      </c>
      <c r="F89" s="2" t="s">
        <v>13</v>
      </c>
      <c r="G89" s="2" t="s">
        <v>14</v>
      </c>
      <c r="H89" s="2" t="s">
        <v>15</v>
      </c>
      <c r="I89" s="2" t="s">
        <v>316</v>
      </c>
    </row>
    <row r="90" spans="1:9" x14ac:dyDescent="0.3">
      <c r="A90" s="2" t="s">
        <v>319</v>
      </c>
      <c r="B90" s="2" t="s">
        <v>320</v>
      </c>
      <c r="C90" s="2" t="s">
        <v>11</v>
      </c>
      <c r="D90" s="3">
        <v>169875</v>
      </c>
      <c r="E90" s="2" t="s">
        <v>12</v>
      </c>
      <c r="F90" s="2" t="s">
        <v>13</v>
      </c>
      <c r="G90" s="2" t="s">
        <v>14</v>
      </c>
      <c r="H90" s="2" t="s">
        <v>15</v>
      </c>
      <c r="I90" s="2" t="s">
        <v>321</v>
      </c>
    </row>
    <row r="91" spans="1:9" x14ac:dyDescent="0.3">
      <c r="A91" s="2" t="s">
        <v>322</v>
      </c>
      <c r="B91" s="2" t="s">
        <v>323</v>
      </c>
      <c r="C91" s="2" t="s">
        <v>11</v>
      </c>
      <c r="D91" s="3">
        <v>76125</v>
      </c>
      <c r="E91" s="2" t="s">
        <v>12</v>
      </c>
      <c r="F91" s="2" t="s">
        <v>13</v>
      </c>
      <c r="G91" s="2" t="s">
        <v>14</v>
      </c>
      <c r="H91" s="2" t="s">
        <v>15</v>
      </c>
      <c r="I91" s="2" t="s">
        <v>324</v>
      </c>
    </row>
    <row r="92" spans="1:9" x14ac:dyDescent="0.3">
      <c r="A92" s="2" t="s">
        <v>325</v>
      </c>
      <c r="B92" s="2" t="s">
        <v>326</v>
      </c>
      <c r="C92" s="2" t="s">
        <v>11</v>
      </c>
      <c r="D92" s="3">
        <v>593014.26</v>
      </c>
      <c r="E92" s="2" t="s">
        <v>12</v>
      </c>
      <c r="F92" s="2" t="s">
        <v>13</v>
      </c>
      <c r="G92" s="2" t="s">
        <v>14</v>
      </c>
      <c r="H92" s="2" t="s">
        <v>24</v>
      </c>
      <c r="I92" s="2" t="s">
        <v>327</v>
      </c>
    </row>
    <row r="94" spans="1:9" x14ac:dyDescent="0.3">
      <c r="C94" s="2" t="s">
        <v>305</v>
      </c>
      <c r="D94" s="3">
        <v>129839.32</v>
      </c>
    </row>
    <row r="95" spans="1:9" x14ac:dyDescent="0.3">
      <c r="C95" s="2" t="s">
        <v>308</v>
      </c>
      <c r="D95" s="3">
        <v>33750</v>
      </c>
    </row>
    <row r="96" spans="1:9" x14ac:dyDescent="0.3">
      <c r="C96" s="2" t="s">
        <v>310</v>
      </c>
      <c r="D96" s="3">
        <v>30375</v>
      </c>
    </row>
    <row r="97" spans="3:4" x14ac:dyDescent="0.3">
      <c r="C97" s="2" t="s">
        <v>313</v>
      </c>
      <c r="D97" s="3">
        <v>21000</v>
      </c>
    </row>
    <row r="98" spans="3:4" x14ac:dyDescent="0.3">
      <c r="C98" s="2" t="s">
        <v>316</v>
      </c>
      <c r="D98" s="3">
        <v>36750</v>
      </c>
    </row>
    <row r="99" spans="3:4" x14ac:dyDescent="0.3">
      <c r="C99" s="2" t="s">
        <v>316</v>
      </c>
      <c r="D99" s="3">
        <v>21000</v>
      </c>
    </row>
    <row r="100" spans="3:4" x14ac:dyDescent="0.3">
      <c r="C100" s="2" t="s">
        <v>321</v>
      </c>
      <c r="D100" s="3">
        <v>169875</v>
      </c>
    </row>
    <row r="101" spans="3:4" x14ac:dyDescent="0.3">
      <c r="C101" s="2" t="s">
        <v>324</v>
      </c>
      <c r="D101" s="3">
        <v>76125</v>
      </c>
    </row>
    <row r="102" spans="3:4" x14ac:dyDescent="0.3">
      <c r="C102" s="2" t="s">
        <v>327</v>
      </c>
      <c r="D102" s="3">
        <v>593014.26</v>
      </c>
    </row>
    <row r="103" spans="3:4" x14ac:dyDescent="0.3">
      <c r="D103" s="4">
        <f>SUM(D94:D102)</f>
        <v>1111728.58</v>
      </c>
    </row>
  </sheetData>
  <autoFilter ref="A1:I8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opLeftCell="A52" workbookViewId="0">
      <selection activeCell="A78" sqref="A78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21.6640625" bestFit="1" customWidth="1"/>
    <col min="4" max="4" width="16.6640625" bestFit="1" customWidth="1"/>
    <col min="5" max="5" width="22.77734375" bestFit="1" customWidth="1"/>
    <col min="6" max="6" width="14.5546875" bestFit="1" customWidth="1"/>
    <col min="7" max="7" width="44.88671875" bestFit="1" customWidth="1"/>
    <col min="9" max="9" width="9.109375" bestFit="1" customWidth="1"/>
  </cols>
  <sheetData>
    <row r="1" spans="1:10" x14ac:dyDescent="0.3">
      <c r="A1" s="13" t="s">
        <v>0</v>
      </c>
      <c r="B1" s="13" t="s">
        <v>1</v>
      </c>
      <c r="C1" s="13" t="s">
        <v>218</v>
      </c>
      <c r="D1" s="17" t="s">
        <v>293</v>
      </c>
      <c r="E1" s="17" t="s">
        <v>294</v>
      </c>
      <c r="F1" s="13" t="s">
        <v>7</v>
      </c>
      <c r="G1" s="13" t="s">
        <v>8</v>
      </c>
    </row>
    <row r="2" spans="1:10" x14ac:dyDescent="0.3">
      <c r="A2" s="14" t="s">
        <v>9</v>
      </c>
      <c r="B2" s="14" t="s">
        <v>200</v>
      </c>
      <c r="C2" s="14" t="s">
        <v>219</v>
      </c>
      <c r="D2" s="18">
        <v>6308.66</v>
      </c>
      <c r="E2" s="18">
        <f>D2*1.2</f>
        <v>7570.3919999999998</v>
      </c>
      <c r="F2" s="14" t="s">
        <v>15</v>
      </c>
      <c r="G2" s="14"/>
    </row>
    <row r="3" spans="1:10" s="16" customFormat="1" x14ac:dyDescent="0.3">
      <c r="A3" s="15" t="s">
        <v>9</v>
      </c>
      <c r="B3" s="15" t="s">
        <v>206</v>
      </c>
      <c r="C3" s="15" t="s">
        <v>219</v>
      </c>
      <c r="D3" s="19">
        <v>248571.67</v>
      </c>
      <c r="E3" s="19">
        <f t="shared" ref="E3:E42" si="0">D3*1.2</f>
        <v>298286.00400000002</v>
      </c>
      <c r="F3" s="15" t="s">
        <v>15</v>
      </c>
      <c r="G3" s="15"/>
      <c r="I3"/>
      <c r="J3"/>
    </row>
    <row r="4" spans="1:10" s="16" customFormat="1" x14ac:dyDescent="0.3">
      <c r="A4" s="15" t="s">
        <v>9</v>
      </c>
      <c r="B4" s="15" t="s">
        <v>220</v>
      </c>
      <c r="C4" s="15" t="s">
        <v>221</v>
      </c>
      <c r="D4" s="19">
        <v>286318.92</v>
      </c>
      <c r="E4" s="19">
        <f t="shared" si="0"/>
        <v>343582.70399999997</v>
      </c>
      <c r="F4" s="15" t="s">
        <v>15</v>
      </c>
      <c r="G4" s="15"/>
      <c r="I4"/>
      <c r="J4"/>
    </row>
    <row r="5" spans="1:10" s="16" customFormat="1" x14ac:dyDescent="0.3">
      <c r="A5" s="15" t="s">
        <v>9</v>
      </c>
      <c r="B5" s="15" t="s">
        <v>222</v>
      </c>
      <c r="C5" s="15" t="s">
        <v>221</v>
      </c>
      <c r="D5" s="19">
        <v>8873.64</v>
      </c>
      <c r="E5" s="19">
        <f t="shared" si="0"/>
        <v>10648.367999999999</v>
      </c>
      <c r="F5" s="15" t="s">
        <v>15</v>
      </c>
      <c r="G5" s="15"/>
      <c r="I5"/>
      <c r="J5"/>
    </row>
    <row r="6" spans="1:10" s="16" customFormat="1" x14ac:dyDescent="0.3">
      <c r="A6" s="15" t="s">
        <v>223</v>
      </c>
      <c r="B6" s="15" t="s">
        <v>224</v>
      </c>
      <c r="C6" s="15" t="s">
        <v>221</v>
      </c>
      <c r="D6" s="19">
        <v>3090</v>
      </c>
      <c r="E6" s="19">
        <f t="shared" si="0"/>
        <v>3708</v>
      </c>
      <c r="F6" s="15" t="s">
        <v>24</v>
      </c>
      <c r="G6" s="15" t="s">
        <v>226</v>
      </c>
      <c r="H6" s="16" t="s">
        <v>225</v>
      </c>
      <c r="I6"/>
      <c r="J6"/>
    </row>
    <row r="7" spans="1:10" s="16" customFormat="1" x14ac:dyDescent="0.3">
      <c r="A7" s="15" t="s">
        <v>227</v>
      </c>
      <c r="B7" s="15" t="s">
        <v>228</v>
      </c>
      <c r="C7" s="15" t="s">
        <v>219</v>
      </c>
      <c r="D7" s="19">
        <v>1294.27</v>
      </c>
      <c r="E7" s="19">
        <f t="shared" si="0"/>
        <v>1553.124</v>
      </c>
      <c r="F7" s="15" t="s">
        <v>15</v>
      </c>
      <c r="G7" s="15"/>
      <c r="I7"/>
      <c r="J7"/>
    </row>
    <row r="8" spans="1:10" s="16" customFormat="1" x14ac:dyDescent="0.3">
      <c r="A8" s="15" t="s">
        <v>229</v>
      </c>
      <c r="B8" s="15" t="s">
        <v>230</v>
      </c>
      <c r="C8" s="15" t="s">
        <v>219</v>
      </c>
      <c r="D8" s="19">
        <v>950.13</v>
      </c>
      <c r="E8" s="19">
        <f t="shared" si="0"/>
        <v>1140.1559999999999</v>
      </c>
      <c r="F8" s="15" t="s">
        <v>15</v>
      </c>
      <c r="G8" s="15"/>
      <c r="I8"/>
      <c r="J8"/>
    </row>
    <row r="9" spans="1:10" s="16" customFormat="1" x14ac:dyDescent="0.3">
      <c r="A9" s="15" t="s">
        <v>231</v>
      </c>
      <c r="B9" s="15" t="s">
        <v>232</v>
      </c>
      <c r="C9" s="15" t="s">
        <v>233</v>
      </c>
      <c r="D9" s="19">
        <v>960500</v>
      </c>
      <c r="E9" s="19">
        <f t="shared" si="0"/>
        <v>1152600</v>
      </c>
      <c r="F9" s="15" t="s">
        <v>15</v>
      </c>
      <c r="G9" s="15"/>
      <c r="I9"/>
      <c r="J9"/>
    </row>
    <row r="10" spans="1:10" s="16" customFormat="1" x14ac:dyDescent="0.3">
      <c r="A10" s="15" t="s">
        <v>234</v>
      </c>
      <c r="B10" s="15" t="s">
        <v>235</v>
      </c>
      <c r="C10" s="15" t="s">
        <v>233</v>
      </c>
      <c r="D10" s="19">
        <v>737.03</v>
      </c>
      <c r="E10" s="19">
        <f t="shared" si="0"/>
        <v>884.43599999999992</v>
      </c>
      <c r="F10" s="15" t="s">
        <v>15</v>
      </c>
      <c r="G10" s="15"/>
      <c r="I10"/>
      <c r="J10"/>
    </row>
    <row r="11" spans="1:10" s="16" customFormat="1" x14ac:dyDescent="0.3">
      <c r="A11" s="15" t="s">
        <v>53</v>
      </c>
      <c r="B11" s="15" t="s">
        <v>236</v>
      </c>
      <c r="C11" s="15" t="s">
        <v>211</v>
      </c>
      <c r="D11" s="19">
        <v>644322.3899999999</v>
      </c>
      <c r="E11" s="19">
        <f t="shared" si="0"/>
        <v>773186.8679999999</v>
      </c>
      <c r="F11" s="15" t="s">
        <v>15</v>
      </c>
      <c r="G11" s="15"/>
      <c r="I11"/>
      <c r="J11"/>
    </row>
    <row r="12" spans="1:10" s="16" customFormat="1" x14ac:dyDescent="0.3">
      <c r="A12" s="15" t="s">
        <v>53</v>
      </c>
      <c r="B12" s="15" t="s">
        <v>237</v>
      </c>
      <c r="C12" s="15" t="s">
        <v>219</v>
      </c>
      <c r="D12" s="19">
        <v>95671.189999999988</v>
      </c>
      <c r="E12" s="19">
        <f t="shared" si="0"/>
        <v>114805.42799999999</v>
      </c>
      <c r="F12" s="15" t="s">
        <v>15</v>
      </c>
      <c r="G12" s="15"/>
      <c r="I12"/>
      <c r="J12"/>
    </row>
    <row r="13" spans="1:10" s="16" customFormat="1" x14ac:dyDescent="0.3">
      <c r="A13" s="15" t="s">
        <v>238</v>
      </c>
      <c r="B13" s="15" t="s">
        <v>239</v>
      </c>
      <c r="C13" s="15" t="s">
        <v>219</v>
      </c>
      <c r="D13" s="19">
        <v>93029.38</v>
      </c>
      <c r="E13" s="19">
        <f t="shared" si="0"/>
        <v>111635.25600000001</v>
      </c>
      <c r="F13" s="15" t="s">
        <v>15</v>
      </c>
      <c r="G13" s="15"/>
      <c r="I13"/>
      <c r="J13"/>
    </row>
    <row r="14" spans="1:10" s="16" customFormat="1" x14ac:dyDescent="0.3">
      <c r="A14" s="15" t="s">
        <v>240</v>
      </c>
      <c r="B14" s="15" t="s">
        <v>241</v>
      </c>
      <c r="C14" s="15" t="s">
        <v>242</v>
      </c>
      <c r="D14" s="19">
        <v>190000</v>
      </c>
      <c r="E14" s="19">
        <f t="shared" si="0"/>
        <v>228000</v>
      </c>
      <c r="F14" s="15" t="s">
        <v>15</v>
      </c>
      <c r="G14" s="15"/>
      <c r="I14"/>
      <c r="J14"/>
    </row>
    <row r="15" spans="1:10" s="16" customFormat="1" x14ac:dyDescent="0.3">
      <c r="A15" s="15" t="s">
        <v>243</v>
      </c>
      <c r="B15" s="15" t="s">
        <v>244</v>
      </c>
      <c r="C15" s="15" t="s">
        <v>211</v>
      </c>
      <c r="D15" s="19">
        <v>196381.33</v>
      </c>
      <c r="E15" s="19">
        <f t="shared" si="0"/>
        <v>235657.59599999999</v>
      </c>
      <c r="F15" s="15" t="s">
        <v>15</v>
      </c>
      <c r="G15" s="15"/>
      <c r="I15"/>
      <c r="J15"/>
    </row>
    <row r="16" spans="1:10" s="16" customFormat="1" x14ac:dyDescent="0.3">
      <c r="A16" s="15" t="s">
        <v>85</v>
      </c>
      <c r="B16" s="15" t="s">
        <v>245</v>
      </c>
      <c r="C16" s="15" t="s">
        <v>211</v>
      </c>
      <c r="D16" s="19">
        <v>67369.33</v>
      </c>
      <c r="E16" s="19">
        <f t="shared" si="0"/>
        <v>80843.195999999996</v>
      </c>
      <c r="F16" s="15" t="s">
        <v>15</v>
      </c>
      <c r="G16" s="15"/>
      <c r="I16"/>
      <c r="J16"/>
    </row>
    <row r="17" spans="1:10" s="16" customFormat="1" x14ac:dyDescent="0.3">
      <c r="A17" s="15" t="s">
        <v>85</v>
      </c>
      <c r="B17" s="15" t="s">
        <v>246</v>
      </c>
      <c r="C17" s="15" t="s">
        <v>219</v>
      </c>
      <c r="D17" s="19">
        <v>944634.28999999992</v>
      </c>
      <c r="E17" s="19">
        <f t="shared" si="0"/>
        <v>1133561.1479999998</v>
      </c>
      <c r="F17" s="15" t="s">
        <v>15</v>
      </c>
      <c r="G17" s="15"/>
      <c r="I17"/>
      <c r="J17"/>
    </row>
    <row r="18" spans="1:10" s="16" customFormat="1" x14ac:dyDescent="0.3">
      <c r="A18" s="15" t="s">
        <v>247</v>
      </c>
      <c r="B18" s="15" t="s">
        <v>248</v>
      </c>
      <c r="C18" s="15" t="s">
        <v>219</v>
      </c>
      <c r="D18" s="19">
        <v>289952.45999999996</v>
      </c>
      <c r="E18" s="19">
        <f t="shared" si="0"/>
        <v>347942.95199999993</v>
      </c>
      <c r="F18" s="15" t="s">
        <v>15</v>
      </c>
      <c r="G18" s="15"/>
      <c r="I18"/>
      <c r="J18"/>
    </row>
    <row r="19" spans="1:10" s="16" customFormat="1" x14ac:dyDescent="0.3">
      <c r="A19" s="15" t="s">
        <v>249</v>
      </c>
      <c r="B19" s="15" t="s">
        <v>250</v>
      </c>
      <c r="C19" s="15" t="s">
        <v>221</v>
      </c>
      <c r="D19" s="19">
        <v>174272.01</v>
      </c>
      <c r="E19" s="19">
        <f t="shared" si="0"/>
        <v>209126.41200000001</v>
      </c>
      <c r="F19" s="15" t="s">
        <v>15</v>
      </c>
      <c r="G19" s="15"/>
      <c r="I19"/>
      <c r="J19"/>
    </row>
    <row r="20" spans="1:10" s="16" customFormat="1" x14ac:dyDescent="0.3">
      <c r="A20" s="15" t="s">
        <v>251</v>
      </c>
      <c r="B20" s="15" t="s">
        <v>252</v>
      </c>
      <c r="C20" s="15" t="s">
        <v>221</v>
      </c>
      <c r="D20" s="19">
        <v>48980.939999999995</v>
      </c>
      <c r="E20" s="19">
        <f t="shared" si="0"/>
        <v>58777.12799999999</v>
      </c>
      <c r="F20" s="15" t="s">
        <v>15</v>
      </c>
      <c r="G20" s="15"/>
      <c r="I20"/>
      <c r="J20"/>
    </row>
    <row r="21" spans="1:10" s="16" customFormat="1" x14ac:dyDescent="0.3">
      <c r="A21" s="15" t="s">
        <v>142</v>
      </c>
      <c r="B21" s="15" t="s">
        <v>253</v>
      </c>
      <c r="C21" s="15" t="s">
        <v>233</v>
      </c>
      <c r="D21" s="19">
        <v>97844.26</v>
      </c>
      <c r="E21" s="19">
        <f t="shared" si="0"/>
        <v>117413.11199999999</v>
      </c>
      <c r="F21" s="15" t="s">
        <v>15</v>
      </c>
      <c r="G21" s="15"/>
      <c r="I21"/>
      <c r="J21"/>
    </row>
    <row r="22" spans="1:10" s="16" customFormat="1" x14ac:dyDescent="0.3">
      <c r="A22" s="15" t="s">
        <v>142</v>
      </c>
      <c r="B22" s="15" t="s">
        <v>254</v>
      </c>
      <c r="C22" s="15" t="s">
        <v>233</v>
      </c>
      <c r="D22" s="19">
        <v>363624.89999999997</v>
      </c>
      <c r="E22" s="19">
        <f t="shared" si="0"/>
        <v>436349.87999999995</v>
      </c>
      <c r="F22" s="15" t="s">
        <v>15</v>
      </c>
      <c r="G22" s="15"/>
      <c r="I22"/>
      <c r="J22"/>
    </row>
    <row r="23" spans="1:10" s="16" customFormat="1" x14ac:dyDescent="0.3">
      <c r="A23" s="15" t="s">
        <v>142</v>
      </c>
      <c r="B23" s="15" t="s">
        <v>255</v>
      </c>
      <c r="C23" s="15" t="s">
        <v>233</v>
      </c>
      <c r="D23" s="19">
        <v>378100.1</v>
      </c>
      <c r="E23" s="19">
        <f t="shared" si="0"/>
        <v>453720.11999999994</v>
      </c>
      <c r="F23" s="15" t="s">
        <v>15</v>
      </c>
      <c r="G23" s="15"/>
      <c r="I23"/>
      <c r="J23"/>
    </row>
    <row r="24" spans="1:10" s="16" customFormat="1" x14ac:dyDescent="0.3">
      <c r="A24" s="15" t="s">
        <v>142</v>
      </c>
      <c r="B24" s="15" t="s">
        <v>256</v>
      </c>
      <c r="C24" s="15" t="s">
        <v>233</v>
      </c>
      <c r="D24" s="19">
        <v>83513.37</v>
      </c>
      <c r="E24" s="19">
        <f t="shared" si="0"/>
        <v>100216.04399999999</v>
      </c>
      <c r="F24" s="15" t="s">
        <v>15</v>
      </c>
      <c r="G24" s="15"/>
      <c r="I24"/>
      <c r="J24"/>
    </row>
    <row r="25" spans="1:10" s="16" customFormat="1" x14ac:dyDescent="0.3">
      <c r="A25" s="15" t="s">
        <v>257</v>
      </c>
      <c r="B25" s="15" t="s">
        <v>258</v>
      </c>
      <c r="C25" s="15" t="s">
        <v>233</v>
      </c>
      <c r="D25" s="19">
        <v>4342.92</v>
      </c>
      <c r="E25" s="19">
        <f t="shared" si="0"/>
        <v>5211.5039999999999</v>
      </c>
      <c r="F25" s="15" t="s">
        <v>15</v>
      </c>
      <c r="G25" s="15"/>
      <c r="I25"/>
      <c r="J25"/>
    </row>
    <row r="26" spans="1:10" s="16" customFormat="1" x14ac:dyDescent="0.3">
      <c r="A26" s="15" t="s">
        <v>259</v>
      </c>
      <c r="B26" s="15" t="s">
        <v>260</v>
      </c>
      <c r="C26" s="15" t="s">
        <v>233</v>
      </c>
      <c r="D26" s="19">
        <v>162647.68000000002</v>
      </c>
      <c r="E26" s="19">
        <f t="shared" si="0"/>
        <v>195177.21600000001</v>
      </c>
      <c r="F26" s="15" t="s">
        <v>15</v>
      </c>
      <c r="G26" s="15"/>
      <c r="I26"/>
      <c r="J26"/>
    </row>
    <row r="27" spans="1:10" s="16" customFormat="1" x14ac:dyDescent="0.3">
      <c r="A27" s="15" t="s">
        <v>261</v>
      </c>
      <c r="B27" s="15" t="s">
        <v>262</v>
      </c>
      <c r="C27" s="15" t="s">
        <v>233</v>
      </c>
      <c r="D27" s="19">
        <v>9550.41</v>
      </c>
      <c r="E27" s="19">
        <f t="shared" si="0"/>
        <v>11460.492</v>
      </c>
      <c r="F27" s="15" t="s">
        <v>15</v>
      </c>
      <c r="G27" s="15"/>
      <c r="I27"/>
      <c r="J27"/>
    </row>
    <row r="28" spans="1:10" s="16" customFormat="1" x14ac:dyDescent="0.3">
      <c r="A28" s="15" t="s">
        <v>263</v>
      </c>
      <c r="B28" s="15" t="s">
        <v>264</v>
      </c>
      <c r="C28" s="15" t="s">
        <v>233</v>
      </c>
      <c r="D28" s="19">
        <v>194050.31</v>
      </c>
      <c r="E28" s="19">
        <f t="shared" si="0"/>
        <v>232860.372</v>
      </c>
      <c r="F28" s="15" t="s">
        <v>15</v>
      </c>
      <c r="G28" s="15"/>
      <c r="I28"/>
      <c r="J28"/>
    </row>
    <row r="29" spans="1:10" s="16" customFormat="1" x14ac:dyDescent="0.3">
      <c r="A29" s="15" t="s">
        <v>265</v>
      </c>
      <c r="B29" s="15" t="s">
        <v>266</v>
      </c>
      <c r="C29" s="15" t="s">
        <v>233</v>
      </c>
      <c r="D29" s="19">
        <v>4841.5</v>
      </c>
      <c r="E29" s="19">
        <f t="shared" si="0"/>
        <v>5809.8</v>
      </c>
      <c r="F29" s="15" t="s">
        <v>15</v>
      </c>
      <c r="G29" s="15"/>
      <c r="I29"/>
      <c r="J29"/>
    </row>
    <row r="30" spans="1:10" s="16" customFormat="1" x14ac:dyDescent="0.3">
      <c r="A30" s="15" t="s">
        <v>267</v>
      </c>
      <c r="B30" s="15" t="s">
        <v>268</v>
      </c>
      <c r="C30" s="15" t="s">
        <v>233</v>
      </c>
      <c r="D30" s="19">
        <v>142.19999999999999</v>
      </c>
      <c r="E30" s="19">
        <f t="shared" si="0"/>
        <v>170.64</v>
      </c>
      <c r="F30" s="15" t="s">
        <v>15</v>
      </c>
      <c r="G30" s="15"/>
      <c r="I30"/>
      <c r="J30"/>
    </row>
    <row r="31" spans="1:10" s="16" customFormat="1" x14ac:dyDescent="0.3">
      <c r="A31" s="15" t="s">
        <v>269</v>
      </c>
      <c r="B31" s="15" t="s">
        <v>270</v>
      </c>
      <c r="C31" s="15" t="s">
        <v>233</v>
      </c>
      <c r="D31" s="19">
        <v>15591.99</v>
      </c>
      <c r="E31" s="19">
        <f t="shared" si="0"/>
        <v>18710.387999999999</v>
      </c>
      <c r="F31" s="15" t="s">
        <v>15</v>
      </c>
      <c r="G31" s="15"/>
      <c r="I31"/>
      <c r="J31"/>
    </row>
    <row r="32" spans="1:10" s="16" customFormat="1" x14ac:dyDescent="0.3">
      <c r="A32" s="15" t="s">
        <v>271</v>
      </c>
      <c r="B32" s="15" t="s">
        <v>272</v>
      </c>
      <c r="C32" s="15" t="s">
        <v>233</v>
      </c>
      <c r="D32" s="19">
        <v>87.78</v>
      </c>
      <c r="E32" s="19">
        <f t="shared" si="0"/>
        <v>105.336</v>
      </c>
      <c r="F32" s="15" t="s">
        <v>15</v>
      </c>
      <c r="G32" s="15"/>
      <c r="I32"/>
      <c r="J32"/>
    </row>
    <row r="33" spans="1:13" s="16" customFormat="1" x14ac:dyDescent="0.3">
      <c r="A33" s="15" t="s">
        <v>273</v>
      </c>
      <c r="B33" s="15" t="s">
        <v>274</v>
      </c>
      <c r="C33" s="15" t="s">
        <v>233</v>
      </c>
      <c r="D33" s="19">
        <v>1799709.0099999995</v>
      </c>
      <c r="E33" s="19">
        <f t="shared" si="0"/>
        <v>2159650.8119999995</v>
      </c>
      <c r="F33" s="15" t="s">
        <v>15</v>
      </c>
      <c r="G33" s="15"/>
      <c r="I33"/>
      <c r="J33"/>
    </row>
    <row r="34" spans="1:13" s="16" customFormat="1" x14ac:dyDescent="0.3">
      <c r="A34" s="15" t="s">
        <v>275</v>
      </c>
      <c r="B34" s="15" t="s">
        <v>276</v>
      </c>
      <c r="C34" s="15" t="s">
        <v>233</v>
      </c>
      <c r="D34" s="19">
        <v>6470.4</v>
      </c>
      <c r="E34" s="19">
        <f t="shared" si="0"/>
        <v>7764.48</v>
      </c>
      <c r="F34" s="15" t="s">
        <v>15</v>
      </c>
      <c r="G34" s="15"/>
      <c r="I34"/>
      <c r="J34"/>
    </row>
    <row r="35" spans="1:13" s="16" customFormat="1" x14ac:dyDescent="0.3">
      <c r="A35" s="15" t="s">
        <v>277</v>
      </c>
      <c r="B35" s="15" t="s">
        <v>278</v>
      </c>
      <c r="C35" s="15" t="s">
        <v>233</v>
      </c>
      <c r="D35" s="19">
        <v>85790.1</v>
      </c>
      <c r="E35" s="19">
        <f t="shared" si="0"/>
        <v>102948.12000000001</v>
      </c>
      <c r="F35" s="15" t="s">
        <v>15</v>
      </c>
      <c r="G35" s="15"/>
      <c r="I35"/>
      <c r="J35"/>
    </row>
    <row r="36" spans="1:13" s="16" customFormat="1" x14ac:dyDescent="0.3">
      <c r="A36" s="15" t="s">
        <v>279</v>
      </c>
      <c r="B36" s="15" t="s">
        <v>280</v>
      </c>
      <c r="C36" s="15" t="s">
        <v>233</v>
      </c>
      <c r="D36" s="19">
        <v>122385.94</v>
      </c>
      <c r="E36" s="19">
        <f t="shared" si="0"/>
        <v>146863.128</v>
      </c>
      <c r="F36" s="15" t="s">
        <v>15</v>
      </c>
      <c r="G36" s="15"/>
      <c r="I36"/>
      <c r="J36"/>
    </row>
    <row r="37" spans="1:13" x14ac:dyDescent="0.3">
      <c r="A37" s="14" t="s">
        <v>281</v>
      </c>
      <c r="B37" s="14" t="s">
        <v>282</v>
      </c>
      <c r="C37" s="14" t="s">
        <v>233</v>
      </c>
      <c r="D37" s="18">
        <v>33611.5</v>
      </c>
      <c r="E37" s="18">
        <f t="shared" si="0"/>
        <v>40333.799999999996</v>
      </c>
      <c r="F37" s="14" t="s">
        <v>15</v>
      </c>
      <c r="G37" s="14"/>
      <c r="H37" s="16"/>
      <c r="K37" s="16"/>
      <c r="L37" s="16"/>
      <c r="M37" s="16"/>
    </row>
    <row r="38" spans="1:13" x14ac:dyDescent="0.3">
      <c r="A38" s="14" t="s">
        <v>283</v>
      </c>
      <c r="B38" s="14" t="s">
        <v>284</v>
      </c>
      <c r="C38" s="14" t="s">
        <v>233</v>
      </c>
      <c r="D38" s="18">
        <v>3493466.27</v>
      </c>
      <c r="E38" s="18">
        <f t="shared" si="0"/>
        <v>4192159.5239999997</v>
      </c>
      <c r="F38" s="14" t="s">
        <v>15</v>
      </c>
      <c r="G38" s="14"/>
      <c r="H38" s="16"/>
      <c r="K38" s="16"/>
      <c r="L38" s="16"/>
      <c r="M38" s="16"/>
    </row>
    <row r="39" spans="1:13" x14ac:dyDescent="0.3">
      <c r="A39" s="14" t="s">
        <v>285</v>
      </c>
      <c r="B39" s="14" t="s">
        <v>286</v>
      </c>
      <c r="C39" s="14" t="s">
        <v>233</v>
      </c>
      <c r="D39" s="18">
        <v>204638.7</v>
      </c>
      <c r="E39" s="18">
        <f t="shared" si="0"/>
        <v>245566.44</v>
      </c>
      <c r="F39" s="14" t="s">
        <v>15</v>
      </c>
      <c r="G39" s="14"/>
      <c r="H39" s="16"/>
      <c r="K39" s="16"/>
      <c r="L39" s="16"/>
      <c r="M39" s="16"/>
    </row>
    <row r="40" spans="1:13" x14ac:dyDescent="0.3">
      <c r="A40" s="14" t="s">
        <v>287</v>
      </c>
      <c r="B40" s="14" t="s">
        <v>288</v>
      </c>
      <c r="C40" s="14" t="s">
        <v>233</v>
      </c>
      <c r="D40" s="18">
        <v>403720.3600000001</v>
      </c>
      <c r="E40" s="18">
        <f t="shared" si="0"/>
        <v>484464.43200000009</v>
      </c>
      <c r="F40" s="14" t="s">
        <v>15</v>
      </c>
      <c r="G40" s="14"/>
      <c r="H40" s="16"/>
      <c r="K40" s="16"/>
      <c r="L40" s="16"/>
      <c r="M40" s="16"/>
    </row>
    <row r="41" spans="1:13" x14ac:dyDescent="0.3">
      <c r="A41" s="14" t="s">
        <v>289</v>
      </c>
      <c r="B41" s="14" t="s">
        <v>290</v>
      </c>
      <c r="C41" s="14" t="s">
        <v>233</v>
      </c>
      <c r="D41" s="18">
        <v>19753.46</v>
      </c>
      <c r="E41" s="18">
        <f t="shared" si="0"/>
        <v>23704.151999999998</v>
      </c>
      <c r="F41" s="14" t="s">
        <v>15</v>
      </c>
      <c r="G41" s="14"/>
      <c r="H41" s="16"/>
      <c r="K41" s="16"/>
      <c r="L41" s="16"/>
      <c r="M41" s="16"/>
    </row>
    <row r="42" spans="1:13" x14ac:dyDescent="0.3">
      <c r="A42" s="14" t="s">
        <v>291</v>
      </c>
      <c r="B42" s="14" t="s">
        <v>292</v>
      </c>
      <c r="C42" s="14" t="s">
        <v>233</v>
      </c>
      <c r="D42" s="18">
        <v>238010.1</v>
      </c>
      <c r="E42" s="18">
        <f t="shared" si="0"/>
        <v>285612.12</v>
      </c>
      <c r="F42" s="14" t="s">
        <v>15</v>
      </c>
      <c r="G42" s="14"/>
      <c r="H42" s="16"/>
      <c r="K42" s="16"/>
      <c r="L42" s="16"/>
      <c r="M42" s="16"/>
    </row>
    <row r="43" spans="1:13" x14ac:dyDescent="0.3">
      <c r="D43" s="21">
        <f>SUM(D2:D42)</f>
        <v>11983150.9</v>
      </c>
      <c r="E43" s="21">
        <f>SUM(E2:E42)</f>
        <v>14379781.079999998</v>
      </c>
      <c r="H43" s="16"/>
      <c r="K43" s="16"/>
      <c r="L43" s="16"/>
      <c r="M43" s="16"/>
    </row>
    <row r="44" spans="1:13" x14ac:dyDescent="0.3">
      <c r="D44" s="22">
        <f>D43-D51</f>
        <v>0</v>
      </c>
      <c r="E44" s="22">
        <f>E43-E51</f>
        <v>0</v>
      </c>
      <c r="H44" s="16"/>
      <c r="K44" s="16"/>
      <c r="L44" s="16"/>
      <c r="M44" s="16"/>
    </row>
    <row r="45" spans="1:13" x14ac:dyDescent="0.3">
      <c r="H45" s="16"/>
      <c r="K45" s="16"/>
      <c r="L45" s="16"/>
      <c r="M45" s="16"/>
    </row>
    <row r="46" spans="1:13" x14ac:dyDescent="0.3">
      <c r="C46" t="s">
        <v>219</v>
      </c>
      <c r="D46" s="20">
        <f>SUMIF($C$2:$C$42,C46,$D$2:$D$42)</f>
        <v>1680412.0499999998</v>
      </c>
      <c r="E46" s="20">
        <f>SUMIF($C$2:$C$42,C46,$E$2:$E$42)</f>
        <v>2016494.46</v>
      </c>
      <c r="H46" s="16"/>
      <c r="K46" s="16"/>
      <c r="L46" s="16"/>
      <c r="M46" s="16"/>
    </row>
    <row r="47" spans="1:13" x14ac:dyDescent="0.3">
      <c r="C47" t="s">
        <v>221</v>
      </c>
      <c r="D47" s="20">
        <f t="shared" ref="D47:D50" si="1">SUMIF($C$2:$C$42,C47,$D$2:$D$42)</f>
        <v>521535.51</v>
      </c>
      <c r="E47" s="20">
        <f t="shared" ref="E47:E50" si="2">SUMIF($C$2:$C$42,C47,$E$2:$E$42)</f>
        <v>625842.61199999996</v>
      </c>
      <c r="H47" s="16"/>
      <c r="K47" s="16"/>
      <c r="L47" s="16"/>
      <c r="M47" s="16"/>
    </row>
    <row r="48" spans="1:13" x14ac:dyDescent="0.3">
      <c r="C48" t="s">
        <v>233</v>
      </c>
      <c r="D48" s="20">
        <f t="shared" si="1"/>
        <v>8683130.290000001</v>
      </c>
      <c r="E48" s="20">
        <f t="shared" si="2"/>
        <v>10419756.347999999</v>
      </c>
      <c r="H48" s="16"/>
      <c r="K48" s="16"/>
      <c r="L48" s="16"/>
      <c r="M48" s="16"/>
    </row>
    <row r="49" spans="1:13" x14ac:dyDescent="0.3">
      <c r="C49" t="s">
        <v>211</v>
      </c>
      <c r="D49" s="20">
        <f t="shared" si="1"/>
        <v>908073.04999999981</v>
      </c>
      <c r="E49" s="20">
        <f t="shared" si="2"/>
        <v>1089687.6599999999</v>
      </c>
      <c r="H49" s="16"/>
      <c r="K49" s="16"/>
      <c r="L49" s="16"/>
      <c r="M49" s="16"/>
    </row>
    <row r="50" spans="1:13" x14ac:dyDescent="0.3">
      <c r="C50" t="s">
        <v>242</v>
      </c>
      <c r="D50" s="20">
        <f t="shared" si="1"/>
        <v>190000</v>
      </c>
      <c r="E50" s="20">
        <f t="shared" si="2"/>
        <v>228000</v>
      </c>
      <c r="H50" s="16"/>
      <c r="K50" s="16"/>
      <c r="L50" s="16"/>
      <c r="M50" s="16"/>
    </row>
    <row r="51" spans="1:13" x14ac:dyDescent="0.3">
      <c r="C51" s="9" t="s">
        <v>217</v>
      </c>
      <c r="D51" s="21">
        <f>SUM(D46:D50)</f>
        <v>11983150.900000002</v>
      </c>
      <c r="E51" s="21">
        <f>SUM(E46:E50)</f>
        <v>14379781.079999998</v>
      </c>
      <c r="H51" s="16"/>
      <c r="K51" s="16"/>
      <c r="L51" s="16"/>
      <c r="M51" s="16"/>
    </row>
    <row r="52" spans="1:13" x14ac:dyDescent="0.3">
      <c r="H52" s="16"/>
      <c r="K52" s="16"/>
      <c r="L52" s="16"/>
      <c r="M52" s="16"/>
    </row>
    <row r="53" spans="1:13" x14ac:dyDescent="0.3">
      <c r="H53" s="16"/>
      <c r="K53" s="16"/>
      <c r="L53" s="16"/>
      <c r="M53" s="16"/>
    </row>
    <row r="54" spans="1:13" ht="14.4" customHeight="1" x14ac:dyDescent="0.3">
      <c r="A54" s="13" t="s">
        <v>0</v>
      </c>
      <c r="B54" s="13" t="s">
        <v>1</v>
      </c>
      <c r="C54" s="13" t="s">
        <v>218</v>
      </c>
      <c r="D54" s="17" t="s">
        <v>293</v>
      </c>
      <c r="E54" s="17" t="s">
        <v>294</v>
      </c>
      <c r="F54" s="13" t="s">
        <v>7</v>
      </c>
      <c r="G54" s="13" t="s">
        <v>8</v>
      </c>
      <c r="H54" s="16"/>
      <c r="K54" s="16"/>
      <c r="L54" s="16"/>
      <c r="M54" s="16"/>
    </row>
    <row r="55" spans="1:13" x14ac:dyDescent="0.3">
      <c r="A55" s="14" t="s">
        <v>295</v>
      </c>
      <c r="B55" s="14" t="s">
        <v>296</v>
      </c>
      <c r="C55" s="14" t="s">
        <v>233</v>
      </c>
      <c r="D55" s="18">
        <v>1376775</v>
      </c>
      <c r="E55" s="18">
        <f t="shared" ref="E55:E58" si="3">D55*1.2</f>
        <v>1652130</v>
      </c>
      <c r="F55" s="14" t="s">
        <v>15</v>
      </c>
      <c r="G55" s="14"/>
      <c r="H55" s="16"/>
      <c r="J55" s="16"/>
      <c r="K55" s="16"/>
      <c r="L55" s="16"/>
      <c r="M55" s="16"/>
    </row>
    <row r="56" spans="1:13" x14ac:dyDescent="0.3">
      <c r="A56" s="14" t="s">
        <v>297</v>
      </c>
      <c r="B56" s="14" t="s">
        <v>298</v>
      </c>
      <c r="C56" s="14" t="s">
        <v>233</v>
      </c>
      <c r="D56" s="18">
        <v>7229.38</v>
      </c>
      <c r="E56" s="18">
        <f t="shared" si="3"/>
        <v>8675.2559999999994</v>
      </c>
      <c r="F56" s="14" t="s">
        <v>15</v>
      </c>
      <c r="G56" s="14"/>
      <c r="H56" s="16"/>
      <c r="K56" s="16"/>
      <c r="L56" s="16"/>
      <c r="M56" s="16"/>
    </row>
    <row r="57" spans="1:13" x14ac:dyDescent="0.3">
      <c r="A57" s="14" t="s">
        <v>299</v>
      </c>
      <c r="B57" s="14" t="s">
        <v>300</v>
      </c>
      <c r="C57" s="14" t="s">
        <v>233</v>
      </c>
      <c r="D57" s="18">
        <v>726202</v>
      </c>
      <c r="E57" s="18">
        <f t="shared" si="3"/>
        <v>871442.4</v>
      </c>
      <c r="F57" s="14" t="s">
        <v>15</v>
      </c>
      <c r="G57" s="14"/>
      <c r="H57" s="16"/>
      <c r="K57" s="16"/>
      <c r="L57" s="16"/>
      <c r="M57" s="16"/>
    </row>
    <row r="58" spans="1:13" x14ac:dyDescent="0.3">
      <c r="A58" s="14" t="s">
        <v>301</v>
      </c>
      <c r="B58" s="14" t="s">
        <v>302</v>
      </c>
      <c r="C58" s="14" t="s">
        <v>233</v>
      </c>
      <c r="D58" s="18">
        <v>90197.01</v>
      </c>
      <c r="E58" s="18">
        <f t="shared" si="3"/>
        <v>108236.412</v>
      </c>
      <c r="F58" s="14" t="s">
        <v>15</v>
      </c>
      <c r="G58" s="14"/>
    </row>
    <row r="59" spans="1:13" x14ac:dyDescent="0.3">
      <c r="D59" s="20">
        <f>SUM(D54:D58)</f>
        <v>2200403.3899999997</v>
      </c>
      <c r="E59" s="20">
        <f>SUM(E54:E58)</f>
        <v>2640484.068</v>
      </c>
    </row>
  </sheetData>
  <autoFilter ref="A1:G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Акты заказчика</vt:lpstr>
      <vt:lpstr>Списание стройматериалов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2024-08-20T13:37:39Z</dcterms:modified>
</cp:coreProperties>
</file>
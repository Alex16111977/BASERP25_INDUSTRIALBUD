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8" yWindow="-108" windowWidth="23256" windowHeight="12456"/>
  </bookViews>
  <sheets>
    <sheet name="Серпень" sheetId="9" r:id="rId1"/>
    <sheet name="Липень " sheetId="8" r:id="rId2"/>
    <sheet name="Червень" sheetId="7" r:id="rId3"/>
    <sheet name="Травень" sheetId="6" r:id="rId4"/>
    <sheet name="Квітень" sheetId="4" r:id="rId5"/>
    <sheet name="Березень" sheetId="3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Серпень!$A$1:$A$152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71" i="9" l="1"/>
  <c r="E107" i="9" l="1"/>
  <c r="D59" i="9"/>
  <c r="G146" i="9" l="1"/>
  <c r="G145" i="9"/>
  <c r="G142" i="9"/>
  <c r="G140" i="9"/>
  <c r="G138" i="9"/>
  <c r="G133" i="9"/>
  <c r="G132" i="9"/>
  <c r="H131" i="9"/>
  <c r="G131" i="9" s="1"/>
  <c r="G130" i="9"/>
  <c r="H123" i="9"/>
  <c r="G123" i="9" s="1"/>
  <c r="H116" i="9"/>
  <c r="G116" i="9" s="1"/>
  <c r="G112" i="9"/>
  <c r="G108" i="9"/>
  <c r="G107" i="9"/>
  <c r="H98" i="9"/>
  <c r="G98" i="9" s="1"/>
  <c r="G91" i="9"/>
  <c r="G90" i="9"/>
  <c r="G89" i="9"/>
  <c r="G88" i="9"/>
  <c r="G71" i="9"/>
  <c r="G52" i="9"/>
  <c r="G13" i="9" s="1"/>
  <c r="E131" i="9"/>
  <c r="D138" i="9"/>
  <c r="D140" i="9"/>
  <c r="G87" i="9" l="1"/>
  <c r="G92" i="9" s="1"/>
  <c r="G93" i="9" s="1"/>
  <c r="G95" i="9"/>
  <c r="E98" i="9"/>
  <c r="G144" i="9" l="1"/>
  <c r="G150" i="9" s="1"/>
  <c r="D142" i="9"/>
  <c r="D133" i="9"/>
  <c r="D132" i="9"/>
  <c r="E123" i="9"/>
  <c r="D123" i="9" s="1"/>
  <c r="D112" i="9"/>
  <c r="D131" i="9" l="1"/>
  <c r="D130" i="9"/>
  <c r="E117" i="9"/>
  <c r="E116" i="9"/>
  <c r="D116" i="9" s="1"/>
  <c r="D108" i="9"/>
  <c r="D107" i="9"/>
  <c r="D98" i="9"/>
  <c r="D91" i="9"/>
  <c r="D90" i="9"/>
  <c r="D89" i="9"/>
  <c r="D88" i="9"/>
  <c r="D52" i="9"/>
  <c r="D13" i="9" s="1"/>
  <c r="D95" i="9" l="1"/>
  <c r="D87" i="9"/>
  <c r="D92" i="9" s="1"/>
  <c r="D93" i="9" s="1"/>
  <c r="D144" i="9" l="1"/>
  <c r="D150" i="9" s="1"/>
  <c r="E105" i="8"/>
  <c r="D105" i="8" s="1"/>
  <c r="E86" i="8"/>
  <c r="D86" i="8" s="1"/>
  <c r="D11" i="8"/>
  <c r="D71" i="8" l="1"/>
  <c r="E87" i="8" l="1"/>
  <c r="E104" i="8" l="1"/>
  <c r="D96" i="8" l="1"/>
  <c r="D95" i="8" l="1"/>
  <c r="E127" i="8" l="1"/>
  <c r="E119" i="8" l="1"/>
  <c r="E109" i="8"/>
  <c r="D118" i="8" l="1"/>
  <c r="D116" i="8"/>
  <c r="E111" i="8"/>
  <c r="D111" i="8" s="1"/>
  <c r="D109" i="8"/>
  <c r="D90" i="8"/>
  <c r="D87" i="8"/>
  <c r="D79" i="8"/>
  <c r="D78" i="8"/>
  <c r="D77" i="8"/>
  <c r="D76" i="8"/>
  <c r="D52" i="8"/>
  <c r="D13" i="8" s="1"/>
  <c r="D83" i="8" l="1"/>
  <c r="D75" i="8"/>
  <c r="D80" i="8" s="1"/>
  <c r="D81" i="8" s="1"/>
  <c r="H15" i="7"/>
  <c r="D132" i="8" l="1"/>
  <c r="M58" i="7" l="1"/>
  <c r="M57" i="7"/>
  <c r="M56" i="7"/>
  <c r="M55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H122" i="7"/>
  <c r="D54" i="7" l="1"/>
  <c r="D13" i="7"/>
  <c r="M54" i="7" l="1"/>
  <c r="D15" i="7"/>
  <c r="G13" i="7"/>
  <c r="G12" i="7" s="1"/>
  <c r="G14" i="7" l="1"/>
  <c r="E109" i="7"/>
  <c r="D78" i="7" l="1"/>
  <c r="E102" i="7" l="1"/>
  <c r="E100" i="7"/>
  <c r="H70" i="7" l="1"/>
  <c r="H69" i="7"/>
  <c r="H68" i="7"/>
  <c r="H67" i="7"/>
  <c r="H61" i="7"/>
  <c r="D100" i="7"/>
  <c r="H66" i="7" l="1"/>
  <c r="H71" i="7" s="1"/>
  <c r="H72" i="7" s="1"/>
  <c r="H74" i="7"/>
  <c r="H121" i="7" l="1"/>
  <c r="H124" i="7" s="1"/>
  <c r="E89" i="7"/>
  <c r="D109" i="7" l="1"/>
  <c r="D104" i="7"/>
  <c r="D107" i="7" l="1"/>
  <c r="D105" i="7"/>
  <c r="D102" i="7"/>
  <c r="D96" i="7"/>
  <c r="D89" i="7"/>
  <c r="D81" i="7"/>
  <c r="D77" i="7"/>
  <c r="D70" i="7"/>
  <c r="D69" i="7"/>
  <c r="D68" i="7"/>
  <c r="D67" i="7"/>
  <c r="D13" i="6"/>
  <c r="D74" i="7" l="1"/>
  <c r="D66" i="7"/>
  <c r="I87" i="6" l="1"/>
  <c r="I86" i="6"/>
  <c r="I84" i="6"/>
  <c r="I81" i="6"/>
  <c r="I80" i="6"/>
  <c r="J79" i="6"/>
  <c r="I79" i="6" s="1"/>
  <c r="I75" i="6"/>
  <c r="J68" i="6"/>
  <c r="I68" i="6" s="1"/>
  <c r="I60" i="6"/>
  <c r="J57" i="6"/>
  <c r="I57" i="6" s="1"/>
  <c r="I50" i="6"/>
  <c r="I49" i="6"/>
  <c r="I48" i="6"/>
  <c r="I47" i="6"/>
  <c r="I15" i="6"/>
  <c r="I13" i="6"/>
  <c r="I46" i="6" l="1"/>
  <c r="I51" i="6" s="1"/>
  <c r="I52" i="6" s="1"/>
  <c r="I54" i="6"/>
  <c r="D15" i="6"/>
  <c r="I100" i="6" l="1"/>
  <c r="E57" i="6"/>
  <c r="E68" i="6" l="1"/>
  <c r="D84" i="6" l="1"/>
  <c r="D86" i="6"/>
  <c r="D87" i="6"/>
  <c r="D81" i="6"/>
  <c r="D60" i="6"/>
  <c r="E79" i="6" l="1"/>
  <c r="D79" i="6" s="1"/>
  <c r="D80" i="6"/>
  <c r="D75" i="6"/>
  <c r="D68" i="6"/>
  <c r="D57" i="6"/>
  <c r="D50" i="6"/>
  <c r="D49" i="6"/>
  <c r="D48" i="6"/>
  <c r="D47" i="6"/>
  <c r="D54" i="6" l="1"/>
  <c r="D46" i="6"/>
  <c r="D51" i="6" s="1"/>
  <c r="K31" i="4"/>
  <c r="H31" i="4"/>
  <c r="I40" i="4"/>
  <c r="H40" i="4" s="1"/>
  <c r="H52" i="4"/>
  <c r="H51" i="4"/>
  <c r="H48" i="4"/>
  <c r="H47" i="4"/>
  <c r="H46" i="4"/>
  <c r="H45" i="4"/>
  <c r="H44" i="4"/>
  <c r="H43" i="4"/>
  <c r="H42" i="4"/>
  <c r="H41" i="4"/>
  <c r="H39" i="4"/>
  <c r="H38" i="4"/>
  <c r="H37" i="4"/>
  <c r="H36" i="4"/>
  <c r="H35" i="4"/>
  <c r="H34" i="4"/>
  <c r="H33" i="4"/>
  <c r="H32" i="4"/>
  <c r="H26" i="4"/>
  <c r="H25" i="4"/>
  <c r="H24" i="4"/>
  <c r="H23" i="4"/>
  <c r="H17" i="4"/>
  <c r="H15" i="4"/>
  <c r="D51" i="4"/>
  <c r="D52" i="4"/>
  <c r="H53" i="4" l="1"/>
  <c r="D53" i="4"/>
  <c r="H22" i="4"/>
  <c r="H27" i="4" s="1"/>
  <c r="H28" i="4" s="1"/>
  <c r="H49" i="4"/>
  <c r="H50" i="4" l="1"/>
  <c r="H55" i="4" s="1"/>
  <c r="E36" i="4" l="1"/>
  <c r="D17" i="4"/>
  <c r="E31" i="4" l="1"/>
  <c r="E48" i="4" l="1"/>
  <c r="D48" i="4" s="1"/>
  <c r="D47" i="4" l="1"/>
  <c r="D46" i="4"/>
  <c r="D42" i="4"/>
  <c r="D41" i="4"/>
  <c r="D38" i="4"/>
  <c r="D43" i="4" l="1"/>
  <c r="D44" i="4"/>
  <c r="D45" i="4"/>
  <c r="D36" i="4"/>
  <c r="D35" i="4" l="1"/>
  <c r="D37" i="4"/>
  <c r="D39" i="4"/>
  <c r="D40" i="4"/>
  <c r="I31" i="3" l="1"/>
  <c r="D34" i="4" l="1"/>
  <c r="D33" i="4"/>
  <c r="D32" i="4"/>
  <c r="D31" i="4"/>
  <c r="D26" i="4"/>
  <c r="D25" i="4"/>
  <c r="D24" i="4"/>
  <c r="D23" i="4"/>
  <c r="D15" i="4"/>
  <c r="D22" i="4" l="1"/>
  <c r="D27" i="4" s="1"/>
  <c r="D28" i="4" s="1"/>
  <c r="D49" i="4"/>
  <c r="H25" i="3"/>
  <c r="H24" i="3"/>
  <c r="H23" i="3"/>
  <c r="H22" i="3"/>
  <c r="L31" i="3"/>
  <c r="L30" i="3"/>
  <c r="H38" i="3"/>
  <c r="H37" i="3"/>
  <c r="H36" i="3"/>
  <c r="H35" i="3"/>
  <c r="H34" i="3"/>
  <c r="H33" i="3"/>
  <c r="H32" i="3"/>
  <c r="H30" i="3"/>
  <c r="H20" i="3"/>
  <c r="H19" i="3" s="1"/>
  <c r="H18" i="3"/>
  <c r="H17" i="3" s="1"/>
  <c r="H16" i="3"/>
  <c r="H15" i="3" s="1"/>
  <c r="D50" i="4" l="1"/>
  <c r="H21" i="3"/>
  <c r="H26" i="3" s="1"/>
  <c r="H27" i="3" s="1"/>
  <c r="H41" i="3" s="1"/>
  <c r="H31" i="3"/>
  <c r="H29" i="3" s="1"/>
  <c r="H39" i="3" s="1"/>
  <c r="H40" i="3" l="1"/>
  <c r="H42" i="3" s="1"/>
  <c r="D30" i="3" l="1"/>
  <c r="D38" i="3" l="1"/>
  <c r="D35" i="3"/>
  <c r="D37" i="3"/>
  <c r="D36" i="3" l="1"/>
  <c r="D34" i="3" l="1"/>
  <c r="D33" i="3" l="1"/>
  <c r="D32" i="3" l="1"/>
  <c r="D31" i="3" l="1"/>
  <c r="D29" i="3" l="1"/>
  <c r="D39" i="3" s="1"/>
  <c r="D20" i="3" l="1"/>
  <c r="D19" i="3" s="1"/>
  <c r="D25" i="3" l="1"/>
  <c r="D24" i="3"/>
  <c r="D23" i="3"/>
  <c r="D22" i="3"/>
  <c r="D18" i="3"/>
  <c r="D17" i="3" s="1"/>
  <c r="D16" i="3"/>
  <c r="D15" i="3" s="1"/>
  <c r="D21" i="3" l="1"/>
  <c r="D26" i="3" s="1"/>
  <c r="D27" i="3" s="1"/>
  <c r="D40" i="3" s="1"/>
  <c r="D52" i="6"/>
  <c r="D100" i="6" s="1"/>
  <c r="D71" i="7"/>
  <c r="D72" i="7" s="1"/>
  <c r="D121" i="7" s="1"/>
</calcChain>
</file>

<file path=xl/sharedStrings.xml><?xml version="1.0" encoding="utf-8"?>
<sst xmlns="http://schemas.openxmlformats.org/spreadsheetml/2006/main" count="1417" uniqueCount="333">
  <si>
    <t xml:space="preserve">Підприємство, організація - ТОВ "ІНДАСТРІАЛБУД"                                           </t>
  </si>
  <si>
    <t xml:space="preserve">Ідентифікаційний код ЄДРПОУ - (40645273)                                </t>
  </si>
  <si>
    <t xml:space="preserve">Генпідрядник - ТОВ "ІНДАСТРІАЛБУД"                                                                              </t>
  </si>
  <si>
    <t xml:space="preserve">                                    </t>
  </si>
  <si>
    <t>№</t>
  </si>
  <si>
    <t>Найменування робіт</t>
  </si>
  <si>
    <t>Вартість, грн з ПДВ</t>
  </si>
  <si>
    <t>в тому числі:</t>
  </si>
  <si>
    <t>Прим.</t>
  </si>
  <si>
    <t>роботи</t>
  </si>
  <si>
    <t>матеріали</t>
  </si>
  <si>
    <t>Деф.акт-Ескіз фундаментної основи під ємність д.12500 та д.8500 мм</t>
  </si>
  <si>
    <t>Демонтаж маслобаку</t>
  </si>
  <si>
    <t>Найменування будови та її адреса -  Об'єкт:  Реконструкція олійноекстракційного заводу на території ПрАТ «Ніжинський жиркомбінат» за адресою: Чернігівська область м. Ніжин вул. Прилуцька, 2</t>
  </si>
  <si>
    <t xml:space="preserve">Договір №14/02/24-1ГП від 14.02.2024 року </t>
  </si>
  <si>
    <t xml:space="preserve">Замовник -  ПАТ "НІЖИНСЬКИЙ ЖИРКОМБІНАТ"                                                                                                                      </t>
  </si>
  <si>
    <t>Сплачено замовником з початку будівництва</t>
  </si>
  <si>
    <t>Закрито актами виконанних робіт</t>
  </si>
  <si>
    <t>Акти виконанних робіт на погодженні</t>
  </si>
  <si>
    <t xml:space="preserve">Роботи виконані та не закриті актами </t>
  </si>
  <si>
    <t>Сплачено за поставку матеріалів та субпідрядним організаціям</t>
  </si>
  <si>
    <t>Заборгованість перед ТОВ "ІНДАСТРІАЛБУД"</t>
  </si>
  <si>
    <t>Планові витрати на березень</t>
  </si>
  <si>
    <t>Шифр ДЦ (проекта)</t>
  </si>
  <si>
    <t>310-2020-5.1.5-КБ-Р                  310-2020-5.1.6-КБ-Р                310-2020-5.1.7-КБ-Р</t>
  </si>
  <si>
    <t>Аматура силоса металевого для зберігання насіння                       Аматура силоса металевого для зберігання насіння                 Аматура силоса металевого для зберігання насіння</t>
  </si>
  <si>
    <t>310-66-2-КБ-Р</t>
  </si>
  <si>
    <t>Арматура приямку норійної вежі</t>
  </si>
  <si>
    <t xml:space="preserve">310-2024-13-КБ </t>
  </si>
  <si>
    <t>Арматура градирні</t>
  </si>
  <si>
    <t>310-11.1-КБ-Р</t>
  </si>
  <si>
    <t>310-11.2-КБ-Р</t>
  </si>
  <si>
    <t>310-11.3-КБ-Р</t>
  </si>
  <si>
    <t>310-66.3-КМ</t>
  </si>
  <si>
    <t>Дріт в'язальний</t>
  </si>
  <si>
    <t>Планове виконання робіт</t>
  </si>
  <si>
    <t xml:space="preserve">Силос металевий для зберігання насіння
</t>
  </si>
  <si>
    <t>310-2020-5.1.6-КБ-Р                  310-2020-5.1.7-КБ-Р</t>
  </si>
  <si>
    <t>Земляні роботи, влаштування щебеневої основи, виготовлення закладних деталей</t>
  </si>
  <si>
    <t xml:space="preserve"> Градирня</t>
  </si>
  <si>
    <t>310-2024-13-КБ</t>
  </si>
  <si>
    <t>Повний комплекс робіт</t>
  </si>
  <si>
    <t>Виготовлення металоконструкцій</t>
  </si>
  <si>
    <t>Склад олії; V=4000м3</t>
  </si>
  <si>
    <t>Склад олії; V=2000м3</t>
  </si>
  <si>
    <t xml:space="preserve">Норія </t>
  </si>
  <si>
    <t>310-66-2-КМ</t>
  </si>
  <si>
    <t>Транспортна галерея</t>
  </si>
  <si>
    <t>Разом планові витрати</t>
  </si>
  <si>
    <t>РАЗОМ необхідне фінансування</t>
  </si>
  <si>
    <t>Стан взаєморозрахунків на 13.03.2024 р.</t>
  </si>
  <si>
    <t>Непередбачувані витрати</t>
  </si>
  <si>
    <t>Разом по Дебету</t>
  </si>
  <si>
    <t>Кредит</t>
  </si>
  <si>
    <t>Дебет</t>
  </si>
  <si>
    <t>Погоджую на оплату</t>
  </si>
  <si>
    <t>нет акта</t>
  </si>
  <si>
    <t>планування території в влаштуванні фундаментів не входить в обсяг робіт не входить99</t>
  </si>
  <si>
    <t>НДС не зарегистрировано, доплата после регистрации</t>
  </si>
  <si>
    <t>ДЦ6.1</t>
  </si>
  <si>
    <t>ДЦ6.2</t>
  </si>
  <si>
    <t>ДЦ3( п1-10;п12;п17)</t>
  </si>
  <si>
    <t>ДЦ4 (п1-6;п8)</t>
  </si>
  <si>
    <t>ДЦ8 п1</t>
  </si>
  <si>
    <t>нет</t>
  </si>
  <si>
    <t>дц нет</t>
  </si>
  <si>
    <t>ДЦ6.3</t>
  </si>
  <si>
    <t>ДЦ7</t>
  </si>
  <si>
    <t>ДЦ5</t>
  </si>
  <si>
    <t>дц нет по металлоконструкциям</t>
  </si>
  <si>
    <t>планування території в влаштуванні фундаментів не входить в обсяг робіт не входить</t>
  </si>
  <si>
    <t>нет регистрации НДС</t>
  </si>
  <si>
    <t>аванс</t>
  </si>
  <si>
    <t>АВР №1</t>
  </si>
  <si>
    <t>Деф.акт</t>
  </si>
  <si>
    <t>АВР №2</t>
  </si>
  <si>
    <t>АВР №3</t>
  </si>
  <si>
    <t>АВР №4</t>
  </si>
  <si>
    <t>Земляні роботи ( п1-10), влаштування щебеневої основи (п12), виготовлення закладних деталей (п17), бетоування силосу 5.1.7(п11,п13,п14,п15,п18,п23)</t>
  </si>
  <si>
    <t>Виготовлення металоконструкцій(п1)</t>
  </si>
  <si>
    <t>ДЦ №3</t>
  </si>
  <si>
    <t xml:space="preserve">ДЦ №4 </t>
  </si>
  <si>
    <t>ДЦ №6.1</t>
  </si>
  <si>
    <t xml:space="preserve">ДЦ №8 </t>
  </si>
  <si>
    <t>ДЦ №7</t>
  </si>
  <si>
    <t>ДЦ №1</t>
  </si>
  <si>
    <t>ДЦ №6.3</t>
  </si>
  <si>
    <t>ДЦ №6.2</t>
  </si>
  <si>
    <t>Градирня</t>
  </si>
  <si>
    <t>ДЦ №10</t>
  </si>
  <si>
    <t>Ділянка експондування</t>
  </si>
  <si>
    <t>310-10-КБ-Р</t>
  </si>
  <si>
    <t>ДЦ №12</t>
  </si>
  <si>
    <t>Почасові роботи</t>
  </si>
  <si>
    <t>Враховано роботи на силос 5.1.7</t>
  </si>
  <si>
    <t>ДЦ №11</t>
  </si>
  <si>
    <t>Влаштування додаткової основи з щебня</t>
  </si>
  <si>
    <t>ДЦ №14</t>
  </si>
  <si>
    <t>Дефектовка на демонтаж дорожнього покриття</t>
  </si>
  <si>
    <t>Дефектовка на тимчасові дороги</t>
  </si>
  <si>
    <t>ДЦ №15</t>
  </si>
  <si>
    <t>Дефектовка на демонтаж градирні</t>
  </si>
  <si>
    <t>ДЦ №18</t>
  </si>
  <si>
    <t>Дефектовка на розроблення та перевезення піску, демонтаж фундаментів</t>
  </si>
  <si>
    <t>ДЦ №19</t>
  </si>
  <si>
    <t>Дефектовка на влаштування основи під протипожежний резервуар</t>
  </si>
  <si>
    <t>ДЦ №20</t>
  </si>
  <si>
    <t>ДЦ №9</t>
  </si>
  <si>
    <t>ДЦ №13</t>
  </si>
  <si>
    <t>ДЦ №16</t>
  </si>
  <si>
    <t>ДЦ №17</t>
  </si>
  <si>
    <t>310-ЗВК-Р</t>
  </si>
  <si>
    <t>Зовнішні мережі</t>
  </si>
  <si>
    <t>310-3-ГП-П</t>
  </si>
  <si>
    <t xml:space="preserve">Норійна вежа </t>
  </si>
  <si>
    <t xml:space="preserve">310-66-2-КБ-Р </t>
  </si>
  <si>
    <t>ДЦ №21</t>
  </si>
  <si>
    <t>ДЦ №22</t>
  </si>
  <si>
    <t>ДЦ №23</t>
  </si>
  <si>
    <t>310-13-ТХ</t>
  </si>
  <si>
    <t>Градирня ТХ</t>
  </si>
  <si>
    <t>Благоустрій ГП</t>
  </si>
  <si>
    <t>Підпірна стінка (склад олії)</t>
  </si>
  <si>
    <t>310-11.4-КБ-Р</t>
  </si>
  <si>
    <t xml:space="preserve">Ділянка експандування макухи </t>
  </si>
  <si>
    <t>310-10-КМ-П</t>
  </si>
  <si>
    <t>Стан взаєморозрахунків на 31.03.2024 р.</t>
  </si>
  <si>
    <t>Планові витрати на квітень</t>
  </si>
  <si>
    <t xml:space="preserve">АВР №5 Норія </t>
  </si>
  <si>
    <t>ПДВ на наданий аванс</t>
  </si>
  <si>
    <t>Не зареєстрований ПДВ</t>
  </si>
  <si>
    <t>Варіант НЖК</t>
  </si>
  <si>
    <t>Реєстрація ПДВ</t>
  </si>
  <si>
    <t>немає</t>
  </si>
  <si>
    <t>не соотв ДЦ11</t>
  </si>
  <si>
    <t>нет подписанных ДЦ</t>
  </si>
  <si>
    <t>необходимо пояснение по образованию суммы 7609424,09. Прописанные позиции не соответствуют сумме ( п23 - нет вообще в ДЦ)</t>
  </si>
  <si>
    <t>ДЦ №4 .1</t>
  </si>
  <si>
    <t>ДЦ №2</t>
  </si>
  <si>
    <t>ДЦ №8</t>
  </si>
  <si>
    <t>ДЦ №15.1</t>
  </si>
  <si>
    <t>ДЦ №15.2</t>
  </si>
  <si>
    <t>ДЦ №25</t>
  </si>
  <si>
    <t>ДЦ №26</t>
  </si>
  <si>
    <t>ДЦ №27</t>
  </si>
  <si>
    <t>ДЦ №28</t>
  </si>
  <si>
    <t>АВР №4 Демонтаж маслобаку</t>
  </si>
  <si>
    <t>АВР №5 Дефектовка на демонтаж дорожнього покриття</t>
  </si>
  <si>
    <t>АВР №6 Дефектовка на тимчасові дороги (під наш кран РДК 250)</t>
  </si>
  <si>
    <t>ДЦ № 15.1</t>
  </si>
  <si>
    <t>АВР №10</t>
  </si>
  <si>
    <t>ДЦ № 18</t>
  </si>
  <si>
    <t>ДЦ № 19</t>
  </si>
  <si>
    <t>ДЦ № 20</t>
  </si>
  <si>
    <t>АВР №7 Дефектовка на демонтаж градирні</t>
  </si>
  <si>
    <t>АВР №8 Дефектовка на розроблення та перевезення піску, демонтаж фундаментів</t>
  </si>
  <si>
    <t>АВР №9 Дефектовка на влаштування основи під протипожежний резервуар</t>
  </si>
  <si>
    <t xml:space="preserve">ДЦ № 6.1 </t>
  </si>
  <si>
    <t>ДЦ № 12</t>
  </si>
  <si>
    <t>АВР № 11 Почасовка</t>
  </si>
  <si>
    <t xml:space="preserve">АВР №12 Норія </t>
  </si>
  <si>
    <t>Нарощення опор Градирні</t>
  </si>
  <si>
    <t>Деф. акт- Демонтажні робіти по пожводопровіду</t>
  </si>
  <si>
    <t>Виконано</t>
  </si>
  <si>
    <t>310-66.3- КБ-Р</t>
  </si>
  <si>
    <t xml:space="preserve">ДЦ №5 </t>
  </si>
  <si>
    <t xml:space="preserve">ДЦ №10 </t>
  </si>
  <si>
    <t>ДЦ № 15.2</t>
  </si>
  <si>
    <t>АВР № 19 Дефектовка на тимчасові дороги (кран замовника)</t>
  </si>
  <si>
    <t>Монтаж градирні</t>
  </si>
  <si>
    <t>ДЦ №24.1</t>
  </si>
  <si>
    <t xml:space="preserve">Гідроізоляція Градирні </t>
  </si>
  <si>
    <t>Гідроізоляція Силосу 5.1.5</t>
  </si>
  <si>
    <t>Гідроізоляція Силосу 5.1.6</t>
  </si>
  <si>
    <t>Гідроізоляція Силосу 5.1.7</t>
  </si>
  <si>
    <t>Гідроізоляція Норії</t>
  </si>
  <si>
    <t>ДЦ №24.2.1</t>
  </si>
  <si>
    <t>ДЦ №24.2.2</t>
  </si>
  <si>
    <t>ДЦ №24.2.3</t>
  </si>
  <si>
    <t>ДЦ №24.2.4</t>
  </si>
  <si>
    <t>ТХ Градирня</t>
  </si>
  <si>
    <t>ДЦ №29</t>
  </si>
  <si>
    <t>310-66.2-АР-Р</t>
  </si>
  <si>
    <t>310-10-АР-Р</t>
  </si>
  <si>
    <t>Норія АР</t>
  </si>
  <si>
    <t>Ділянка експандування макухи АР</t>
  </si>
  <si>
    <t>310-10-ТХ-Р</t>
  </si>
  <si>
    <t>ДЦ №30</t>
  </si>
  <si>
    <t>ДЦ №31</t>
  </si>
  <si>
    <t>ДЦ №32</t>
  </si>
  <si>
    <t>ДЦ №33</t>
  </si>
  <si>
    <t>310-2020-5.1.7-КБ</t>
  </si>
  <si>
    <t xml:space="preserve">Повний комплекс робіт по силосу 5.1.7 (за вийнятком закритого АВР), Повний комплекс земляних робіт пп. 1-10 силосів 5.1.6 та 5.1.5, Влаштування щебеневої основи пп. 11-12 силосів 5.1.5 та 5.1.6, Бетонні поботи пп. 13-14 силоса 5.1.6, Виготовлення закладних п. 17 силосів 5.1.5 та 5.1.6, </t>
  </si>
  <si>
    <t>АВР № 15 Силос металевий для зберігання насіння</t>
  </si>
  <si>
    <t>Повний комплекс робіт(за вийнятком закритого АВР)</t>
  </si>
  <si>
    <t>Монтаж транспортного обладнання</t>
  </si>
  <si>
    <t>АВР №13 Транспортна галерея</t>
  </si>
  <si>
    <t>АВР № 23 Ділянка експондування</t>
  </si>
  <si>
    <r>
      <t xml:space="preserve">АВР № </t>
    </r>
    <r>
      <rPr>
        <sz val="12"/>
        <rFont val="Times New Roman"/>
        <family val="1"/>
        <charset val="204"/>
      </rPr>
      <t xml:space="preserve">14 </t>
    </r>
    <r>
      <rPr>
        <sz val="12"/>
        <color theme="1"/>
        <rFont val="Times New Roman"/>
        <family val="1"/>
        <charset val="204"/>
      </rPr>
      <t>Влаштування додаткової основи з щебня</t>
    </r>
  </si>
  <si>
    <t>АВР № 22 Почасовка</t>
  </si>
  <si>
    <t>АВР № 16 Градирня</t>
  </si>
  <si>
    <t>АВР № 17 Нарощення опор Градирні</t>
  </si>
  <si>
    <t>АВР № 18 Деф. акт- Демонтажні робіти по пожводопровіду</t>
  </si>
  <si>
    <t xml:space="preserve">ДЦ № 30 </t>
  </si>
  <si>
    <t>АВР № 24 Фундаменти насосної станції олії</t>
  </si>
  <si>
    <t>ДЦ № 4.1</t>
  </si>
  <si>
    <t xml:space="preserve">ДЦ № 4 </t>
  </si>
  <si>
    <t xml:space="preserve">ДЦ № 2 </t>
  </si>
  <si>
    <t>ДЦ № 11</t>
  </si>
  <si>
    <t>ДЦ № 3</t>
  </si>
  <si>
    <t xml:space="preserve">ДЦ № 8 </t>
  </si>
  <si>
    <t>ДЦ № 9</t>
  </si>
  <si>
    <t>ДЦ № 14</t>
  </si>
  <si>
    <t>ДЦ № 7</t>
  </si>
  <si>
    <t>ДЦ № 6.3</t>
  </si>
  <si>
    <t>ДЦ № 6.2</t>
  </si>
  <si>
    <t>ДЦ № 1</t>
  </si>
  <si>
    <t>Арматура силоса металевого для зберігання насіння                       Арматура силоса металевого для зберігання насіння                 Арматура силоса металевого для зберігання насіння</t>
  </si>
  <si>
    <t xml:space="preserve">АВР № 20 Гідроізоляція Градирні </t>
  </si>
  <si>
    <t>АВР № 21Гідроізоляція Силосу 5.1.7</t>
  </si>
  <si>
    <t>Фундаменти насосної станції олії</t>
  </si>
  <si>
    <t>Стан взаєморозрахунків на 09.05.2024 р.</t>
  </si>
  <si>
    <t>Монтаж тимчасових опор олієпроводів</t>
  </si>
  <si>
    <t>ДЦ №34</t>
  </si>
  <si>
    <t>ДЦ №35</t>
  </si>
  <si>
    <t>ДЦ №36</t>
  </si>
  <si>
    <t>ДЦ №37</t>
  </si>
  <si>
    <t>НЖК</t>
  </si>
  <si>
    <t>На доплату</t>
  </si>
  <si>
    <t>планировалось 80% ???</t>
  </si>
  <si>
    <t>відсутній оригінал</t>
  </si>
  <si>
    <t>АВР №12.1 Норія доставка</t>
  </si>
  <si>
    <t>АВР № 25 Монтаж градирні</t>
  </si>
  <si>
    <t>310-10-КМ-Р</t>
  </si>
  <si>
    <t xml:space="preserve">АВР № 26 Ділянка експандування макухи </t>
  </si>
  <si>
    <t>Демонтаж фундаменту бака олії №10</t>
  </si>
  <si>
    <t>Майданчик для монтажних робіт корпусу Градірні</t>
  </si>
  <si>
    <t>310-2020-5.1.7-КБ-Р</t>
  </si>
  <si>
    <t xml:space="preserve">АВР № 27 Силос металевий для зберігання насіння </t>
  </si>
  <si>
    <t>310-2020-5.1.6-КБ-Р</t>
  </si>
  <si>
    <t xml:space="preserve">АВР № 28 Силос металевий для зберігання насіння </t>
  </si>
  <si>
    <r>
      <t>АВР № 30</t>
    </r>
    <r>
      <rPr>
        <sz val="12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Влаштування додаткової основи з щебня</t>
    </r>
  </si>
  <si>
    <t>Повний комплекс робіт силос 5.1.5</t>
  </si>
  <si>
    <t>310-11.5-АБ-Р</t>
  </si>
  <si>
    <t>Естакада</t>
  </si>
  <si>
    <t>Планові витрати на червень</t>
  </si>
  <si>
    <t>АВР № 31 Демонтаж фундаменту бака олії №10</t>
  </si>
  <si>
    <t>310-2020-5.1.5-КБ-Р</t>
  </si>
  <si>
    <r>
      <t>АВР № 33</t>
    </r>
    <r>
      <rPr>
        <sz val="12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Влаштування додаткової основи з щебня</t>
    </r>
  </si>
  <si>
    <t>АВР № 34 ТХ Градирня</t>
  </si>
  <si>
    <t>АВР № 32 Монтаж градирні</t>
  </si>
  <si>
    <t xml:space="preserve">АВР № 35 Ділянка експандування макухи </t>
  </si>
  <si>
    <t xml:space="preserve">АВР № 29 Силос металевий для зберігання насіння </t>
  </si>
  <si>
    <t>До оплати</t>
  </si>
  <si>
    <t>ПДВ</t>
  </si>
  <si>
    <t>регістрація ПДВ</t>
  </si>
  <si>
    <t>Стан взаєморозрахунків на 07.06.2024 р.</t>
  </si>
  <si>
    <t xml:space="preserve">не  відповідність </t>
  </si>
  <si>
    <t>не відповідність</t>
  </si>
  <si>
    <t>відсутні</t>
  </si>
  <si>
    <t>Гідроізоляція підсилосної галереї</t>
  </si>
  <si>
    <t>50% виконання</t>
  </si>
  <si>
    <t>ДЦ №3.5.1.5</t>
  </si>
  <si>
    <t>ДЦ №3.5.1.6</t>
  </si>
  <si>
    <t xml:space="preserve">310-2020-5.1.6-КБ-Р </t>
  </si>
  <si>
    <t xml:space="preserve"> Повний комплекс земляних робіт пп. 1-10 силоса 5.1.5, Влаштування щебеневої основи пп. 11-12 силосу 5.1.5, Бетонні роботи 700м3 13-16 силоса 5.1.5, Виготовлення закладних п. 17-18 силосу 5.1.5, Влаштування ізоляції п. 19.</t>
  </si>
  <si>
    <t>Влаштування підсилосної галереї. Влаштування щебеневої основи пп. 11-12 силосу 5.1.6, Бетонні роботи 100м3 13-16 силоса 5.1.6, Виготовлення закладних п. 17, Влаштування гідроізоляції, зворотня засипка</t>
  </si>
  <si>
    <t>Монтаж 100%</t>
  </si>
  <si>
    <t xml:space="preserve">АВР № 36 Силос металевий для зберігання насіння </t>
  </si>
  <si>
    <t>коригування Віканова Є.П</t>
  </si>
  <si>
    <t>ДЦ №3.5.1.7</t>
  </si>
  <si>
    <t xml:space="preserve">АВР № 37 Силос металевий для зберігання насіння </t>
  </si>
  <si>
    <t>АВР № 38 Почасовка</t>
  </si>
  <si>
    <t>АВР № 41 ТХ Градирня</t>
  </si>
  <si>
    <t xml:space="preserve">АВР № 39 Ділянка експандування макухи </t>
  </si>
  <si>
    <t>АВР № 40 Градирня</t>
  </si>
  <si>
    <t>АКТ №16 від 14.05.2024 аренда техніки</t>
  </si>
  <si>
    <t>АКТ №26 від 18.06.2024 аренда техніки</t>
  </si>
  <si>
    <t>добавила</t>
  </si>
  <si>
    <t xml:space="preserve">АВР № 42 Силос металевий для зберігання насіння </t>
  </si>
  <si>
    <t>АВР № 43  Почасовка</t>
  </si>
  <si>
    <t>ДЦ №38</t>
  </si>
  <si>
    <t>ДЦ №39</t>
  </si>
  <si>
    <t>Додаткові роботи ТХ градирня</t>
  </si>
  <si>
    <t>Вимощення градирні</t>
  </si>
  <si>
    <t>Перевезення щебеню</t>
  </si>
  <si>
    <t>АВР № 44  Почасовка</t>
  </si>
  <si>
    <t>АВР № 45  Почасовка</t>
  </si>
  <si>
    <t>АВР № 46 Гідроізоляція Силосу 5.1.6</t>
  </si>
  <si>
    <t>№ ДЦ</t>
  </si>
  <si>
    <t>Вартість робіт,              грн з ПДВ</t>
  </si>
  <si>
    <t>Планові витрати на липень</t>
  </si>
  <si>
    <t>АВР № 48 ТХ Градирня</t>
  </si>
  <si>
    <t xml:space="preserve">АВР № 50 Силос металевий для зберігання насіння </t>
  </si>
  <si>
    <r>
      <t>АВР № 51</t>
    </r>
    <r>
      <rPr>
        <sz val="12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Влаштування додаткової основи з щебня</t>
    </r>
  </si>
  <si>
    <t xml:space="preserve">АВР № 52 Норійна вежа </t>
  </si>
  <si>
    <t xml:space="preserve">АВР № 53 Силос металевий для зберігання насіння </t>
  </si>
  <si>
    <t xml:space="preserve">АВР № 54 Силос металевий для зберігання насіння </t>
  </si>
  <si>
    <t>ДЦ №4</t>
  </si>
  <si>
    <t>АВР №49 Градирня</t>
  </si>
  <si>
    <t>ДЦ № 35</t>
  </si>
  <si>
    <t>АВР № 61 техника</t>
  </si>
  <si>
    <t>АВР №55-60 почасовка</t>
  </si>
  <si>
    <t>Стан взаєморозрахунків на 25.07.2024 р.</t>
  </si>
  <si>
    <r>
      <t>АВР №</t>
    </r>
    <r>
      <rPr>
        <sz val="14"/>
        <rFont val="Times New Roman"/>
        <family val="1"/>
        <charset val="204"/>
      </rPr>
      <t xml:space="preserve"> 47</t>
    </r>
    <r>
      <rPr>
        <sz val="12"/>
        <rFont val="Times New Roman"/>
        <family val="1"/>
        <charset val="204"/>
      </rPr>
      <t xml:space="preserve"> Гідроізоляція Силосу 5.1.5</t>
    </r>
  </si>
  <si>
    <r>
      <t>АВР №</t>
    </r>
    <r>
      <rPr>
        <sz val="14"/>
        <rFont val="Times New Roman"/>
        <family val="1"/>
        <charset val="204"/>
      </rPr>
      <t>47</t>
    </r>
    <r>
      <rPr>
        <sz val="12"/>
        <rFont val="Times New Roman"/>
        <family val="1"/>
        <charset val="204"/>
      </rPr>
      <t xml:space="preserve"> Додаткові роботи по ТХ Градирні</t>
    </r>
  </si>
  <si>
    <t>АВР №55  Почасовка (Відкачка Норія)</t>
  </si>
  <si>
    <t>АВР №56  Почасовка (Забірка Норія)</t>
  </si>
  <si>
    <t>АВР №57 Почасовка (Шпунт Норія)</t>
  </si>
  <si>
    <t xml:space="preserve">ДЦ №12 </t>
  </si>
  <si>
    <t>АВР №58 Почасовка (Котлован Норія)</t>
  </si>
  <si>
    <t xml:space="preserve"> ДЦ №12</t>
  </si>
  <si>
    <t>АВР №60  Почасовка (Вантаж.-розвантаж Норія)</t>
  </si>
  <si>
    <t xml:space="preserve"> ДЦ №39</t>
  </si>
  <si>
    <t>АВР №61 Гідроізоляція Силосу 5.1.5</t>
  </si>
  <si>
    <t>АВР №59 Демонтаж бетона для влаштування фундамента ФМ-1 опори транспортної галереї</t>
  </si>
  <si>
    <t>310-2023-10-КМ- Виносна площадка</t>
  </si>
  <si>
    <t>Стан взаєморозрахунків на 06.08.2024 р.</t>
  </si>
  <si>
    <t>Вартість арматури в АВР</t>
  </si>
  <si>
    <t>РАЗОМ авансування</t>
  </si>
  <si>
    <t>РАЗОМ авансування за вирахуванням арматури</t>
  </si>
  <si>
    <t>не погоджений</t>
  </si>
  <si>
    <t>Примітка</t>
  </si>
  <si>
    <t>зареєстроване ПДВ</t>
  </si>
  <si>
    <t>АВР №62 КБ Норійної вежі</t>
  </si>
  <si>
    <t xml:space="preserve">АВР №65 КМ Ділянка експандування макухи </t>
  </si>
  <si>
    <t>АВР №64 КМ Норії</t>
  </si>
  <si>
    <t xml:space="preserve">АВР №63 Силос металевий для зберігання насіння </t>
  </si>
  <si>
    <t>АВР №67 Транспортна галерея</t>
  </si>
  <si>
    <t xml:space="preserve">АВР №68 Норійна вежа </t>
  </si>
  <si>
    <t>АВР №69 Гідроізоляція Норії</t>
  </si>
  <si>
    <r>
      <t xml:space="preserve">АВР №59 Демонтаж бетона для влаштування фундамента ФМ-1 опори транспортної галереї </t>
    </r>
    <r>
      <rPr>
        <sz val="12"/>
        <color rgb="FFFF0000"/>
        <rFont val="Times New Roman"/>
        <family val="1"/>
        <charset val="204"/>
      </rPr>
      <t>(стоїть віза Віканова, нема  печатки)</t>
    </r>
  </si>
  <si>
    <r>
      <rPr>
        <sz val="12"/>
        <rFont val="Times New Roman"/>
        <family val="1"/>
        <charset val="204"/>
      </rPr>
      <t xml:space="preserve">АВР №66 Робота техніки на норії </t>
    </r>
    <r>
      <rPr>
        <sz val="12"/>
        <color rgb="FFFF0000"/>
        <rFont val="Times New Roman"/>
        <family val="1"/>
        <charset val="204"/>
      </rPr>
      <t>(стоїть віза Віканова, нема  печатки)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</si>
</sst>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#,##0.00_ ;[Red]\-#,##0.00\ 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sz val="14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sz val="11"/>
      <color rgb="FF00B050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name val="Calibri"/>
      <family val="2"/>
      <charset val="204"/>
    </font>
    <font>
      <sz val="8"/>
      <name val="Arial"/>
      <family val="2"/>
    </font>
    <font>
      <sz val="11"/>
      <name val="Calibri"/>
      <family val="2"/>
      <charset val="204"/>
      <scheme val="minor"/>
    </font>
    <font>
      <sz val="12"/>
      <color rgb="FF00B05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5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17" fillId="0" borderId="0"/>
    <xf numFmtId="0" fontId="1" fillId="0" borderId="0"/>
  </cellStyleXfs>
  <cellXfs count="2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5" fillId="4" borderId="4" xfId="1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43" fontId="0" fillId="5" borderId="0" xfId="0" applyNumberFormat="1" applyFill="1"/>
    <xf numFmtId="0" fontId="0" fillId="5" borderId="0" xfId="0" applyFill="1"/>
    <xf numFmtId="0" fontId="7" fillId="0" borderId="4" xfId="0" applyFont="1" applyBorder="1" applyAlignment="1">
      <alignment horizontal="center" vertical="center"/>
    </xf>
    <xf numFmtId="40" fontId="7" fillId="0" borderId="4" xfId="0" applyNumberFormat="1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3" borderId="4" xfId="0" applyFont="1" applyFill="1" applyBorder="1" applyAlignment="1">
      <alignment horizontal="left" vertical="center" wrapText="1"/>
    </xf>
    <xf numFmtId="40" fontId="7" fillId="3" borderId="4" xfId="0" applyNumberFormat="1" applyFont="1" applyFill="1" applyBorder="1" applyAlignment="1">
      <alignment vertical="center"/>
    </xf>
    <xf numFmtId="164" fontId="7" fillId="3" borderId="4" xfId="0" applyNumberFormat="1" applyFont="1" applyFill="1" applyBorder="1" applyAlignment="1">
      <alignment horizontal="right" vertical="center"/>
    </xf>
    <xf numFmtId="4" fontId="6" fillId="3" borderId="4" xfId="0" applyNumberFormat="1" applyFont="1" applyFill="1" applyBorder="1" applyAlignment="1">
      <alignment horizontal="center" vertical="center"/>
    </xf>
    <xf numFmtId="4" fontId="7" fillId="0" borderId="4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164" fontId="6" fillId="0" borderId="4" xfId="0" applyNumberFormat="1" applyFont="1" applyBorder="1" applyAlignment="1">
      <alignment horizontal="right" vertical="center"/>
    </xf>
    <xf numFmtId="0" fontId="7" fillId="5" borderId="4" xfId="0" applyFont="1" applyFill="1" applyBorder="1" applyAlignment="1">
      <alignment horizontal="left" vertical="center" wrapText="1"/>
    </xf>
    <xf numFmtId="40" fontId="7" fillId="5" borderId="4" xfId="0" applyNumberFormat="1" applyFont="1" applyFill="1" applyBorder="1" applyAlignment="1">
      <alignment horizontal="center" vertical="center"/>
    </xf>
    <xf numFmtId="4" fontId="7" fillId="5" borderId="4" xfId="0" applyNumberFormat="1" applyFont="1" applyFill="1" applyBorder="1" applyAlignment="1">
      <alignment horizontal="left" vertical="center" wrapText="1"/>
    </xf>
    <xf numFmtId="4" fontId="7" fillId="0" borderId="4" xfId="0" applyNumberFormat="1" applyFont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 wrapText="1"/>
    </xf>
    <xf numFmtId="40" fontId="7" fillId="5" borderId="4" xfId="0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/>
    </xf>
    <xf numFmtId="4" fontId="6" fillId="5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40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wrapText="1"/>
    </xf>
    <xf numFmtId="40" fontId="7" fillId="6" borderId="4" xfId="0" applyNumberFormat="1" applyFont="1" applyFill="1" applyBorder="1" applyAlignment="1">
      <alignment horizontal="center" vertical="center"/>
    </xf>
    <xf numFmtId="40" fontId="7" fillId="6" borderId="4" xfId="0" applyNumberFormat="1" applyFont="1" applyFill="1" applyBorder="1" applyAlignment="1">
      <alignment vertical="center"/>
    </xf>
    <xf numFmtId="164" fontId="7" fillId="6" borderId="4" xfId="0" applyNumberFormat="1" applyFont="1" applyFill="1" applyBorder="1" applyAlignment="1">
      <alignment horizontal="right" vertical="center"/>
    </xf>
    <xf numFmtId="4" fontId="6" fillId="6" borderId="4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center" wrapText="1"/>
    </xf>
    <xf numFmtId="40" fontId="6" fillId="7" borderId="4" xfId="0" applyNumberFormat="1" applyFont="1" applyFill="1" applyBorder="1" applyAlignment="1">
      <alignment horizontal="center" vertical="center"/>
    </xf>
    <xf numFmtId="40" fontId="7" fillId="7" borderId="4" xfId="0" applyNumberFormat="1" applyFont="1" applyFill="1" applyBorder="1" applyAlignment="1">
      <alignment vertical="center"/>
    </xf>
    <xf numFmtId="164" fontId="7" fillId="7" borderId="4" xfId="0" applyNumberFormat="1" applyFont="1" applyFill="1" applyBorder="1" applyAlignment="1">
      <alignment horizontal="right" vertical="center"/>
    </xf>
    <xf numFmtId="4" fontId="6" fillId="7" borderId="4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40" fontId="4" fillId="6" borderId="4" xfId="0" applyNumberFormat="1" applyFont="1" applyFill="1" applyBorder="1" applyAlignment="1">
      <alignment horizontal="center" vertical="center"/>
    </xf>
    <xf numFmtId="40" fontId="5" fillId="6" borderId="4" xfId="0" applyNumberFormat="1" applyFont="1" applyFill="1" applyBorder="1" applyAlignment="1">
      <alignment vertical="center"/>
    </xf>
    <xf numFmtId="164" fontId="5" fillId="6" borderId="4" xfId="0" applyNumberFormat="1" applyFont="1" applyFill="1" applyBorder="1" applyAlignment="1">
      <alignment horizontal="right" vertical="center"/>
    </xf>
    <xf numFmtId="4" fontId="4" fillId="6" borderId="4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 wrapText="1"/>
    </xf>
    <xf numFmtId="40" fontId="7" fillId="8" borderId="4" xfId="0" applyNumberFormat="1" applyFont="1" applyFill="1" applyBorder="1" applyAlignment="1">
      <alignment horizontal="center" vertical="center"/>
    </xf>
    <xf numFmtId="40" fontId="7" fillId="8" borderId="4" xfId="0" applyNumberFormat="1" applyFont="1" applyFill="1" applyBorder="1" applyAlignment="1">
      <alignment vertical="center"/>
    </xf>
    <xf numFmtId="164" fontId="7" fillId="8" borderId="4" xfId="0" applyNumberFormat="1" applyFont="1" applyFill="1" applyBorder="1" applyAlignment="1">
      <alignment horizontal="right" vertical="center"/>
    </xf>
    <xf numFmtId="4" fontId="6" fillId="8" borderId="4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40" fontId="6" fillId="8" borderId="4" xfId="0" applyNumberFormat="1" applyFont="1" applyFill="1" applyBorder="1" applyAlignment="1">
      <alignment horizontal="center" vertical="center"/>
    </xf>
    <xf numFmtId="164" fontId="6" fillId="8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40" fontId="7" fillId="9" borderId="4" xfId="0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wrapText="1"/>
    </xf>
    <xf numFmtId="0" fontId="2" fillId="8" borderId="0" xfId="0" applyFont="1" applyFill="1"/>
    <xf numFmtId="166" fontId="0" fillId="0" borderId="0" xfId="0" applyNumberFormat="1"/>
    <xf numFmtId="4" fontId="6" fillId="8" borderId="11" xfId="0" applyNumberFormat="1" applyFont="1" applyFill="1" applyBorder="1" applyAlignment="1">
      <alignment horizontal="center" vertical="center"/>
    </xf>
    <xf numFmtId="164" fontId="7" fillId="8" borderId="12" xfId="0" applyNumberFormat="1" applyFont="1" applyFill="1" applyBorder="1" applyAlignment="1">
      <alignment horizontal="right" vertical="center"/>
    </xf>
    <xf numFmtId="40" fontId="2" fillId="8" borderId="4" xfId="0" applyNumberFormat="1" applyFont="1" applyFill="1" applyBorder="1" applyAlignment="1">
      <alignment horizontal="center"/>
    </xf>
    <xf numFmtId="43" fontId="2" fillId="8" borderId="4" xfId="0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40" fontId="5" fillId="0" borderId="4" xfId="0" applyNumberFormat="1" applyFont="1" applyBorder="1" applyAlignment="1">
      <alignment horizontal="center" vertical="center"/>
    </xf>
    <xf numFmtId="0" fontId="10" fillId="4" borderId="0" xfId="1" applyFont="1" applyFill="1" applyAlignment="1">
      <alignment horizontal="left" vertical="center" wrapText="1"/>
    </xf>
    <xf numFmtId="0" fontId="7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left" vertical="center" wrapText="1"/>
    </xf>
    <xf numFmtId="164" fontId="6" fillId="10" borderId="4" xfId="0" applyNumberFormat="1" applyFont="1" applyFill="1" applyBorder="1" applyAlignment="1">
      <alignment horizontal="center" vertical="center"/>
    </xf>
    <xf numFmtId="164" fontId="7" fillId="10" borderId="4" xfId="0" applyNumberFormat="1" applyFont="1" applyFill="1" applyBorder="1" applyAlignment="1">
      <alignment horizontal="right" vertical="center"/>
    </xf>
    <xf numFmtId="4" fontId="6" fillId="10" borderId="11" xfId="0" applyNumberFormat="1" applyFont="1" applyFill="1" applyBorder="1" applyAlignment="1">
      <alignment horizontal="center" vertical="center"/>
    </xf>
    <xf numFmtId="40" fontId="7" fillId="11" borderId="4" xfId="0" applyNumberFormat="1" applyFont="1" applyFill="1" applyBorder="1" applyAlignment="1">
      <alignment horizontal="center" vertical="center"/>
    </xf>
    <xf numFmtId="40" fontId="9" fillId="11" borderId="4" xfId="0" applyNumberFormat="1" applyFont="1" applyFill="1" applyBorder="1" applyAlignment="1">
      <alignment horizontal="center" vertical="center"/>
    </xf>
    <xf numFmtId="164" fontId="7" fillId="11" borderId="4" xfId="0" applyNumberFormat="1" applyFont="1" applyFill="1" applyBorder="1" applyAlignment="1">
      <alignment horizontal="center" vertical="center"/>
    </xf>
    <xf numFmtId="4" fontId="7" fillId="11" borderId="4" xfId="0" applyNumberFormat="1" applyFont="1" applyFill="1" applyBorder="1" applyAlignment="1">
      <alignment horizontal="left" vertical="center"/>
    </xf>
    <xf numFmtId="4" fontId="4" fillId="12" borderId="4" xfId="0" applyNumberFormat="1" applyFont="1" applyFill="1" applyBorder="1" applyAlignment="1">
      <alignment horizontal="center" vertical="center"/>
    </xf>
    <xf numFmtId="40" fontId="7" fillId="12" borderId="4" xfId="0" applyNumberFormat="1" applyFont="1" applyFill="1" applyBorder="1" applyAlignment="1">
      <alignment horizontal="center" vertical="center"/>
    </xf>
    <xf numFmtId="40" fontId="9" fillId="12" borderId="4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0" fillId="12" borderId="0" xfId="0" applyFill="1"/>
    <xf numFmtId="0" fontId="2" fillId="12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0" fillId="8" borderId="0" xfId="0" applyFill="1"/>
    <xf numFmtId="40" fontId="7" fillId="13" borderId="4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wrapText="1"/>
    </xf>
    <xf numFmtId="4" fontId="0" fillId="12" borderId="0" xfId="0" applyNumberFormat="1" applyFill="1"/>
    <xf numFmtId="4" fontId="0" fillId="14" borderId="0" xfId="0" applyNumberFormat="1" applyFill="1"/>
    <xf numFmtId="40" fontId="9" fillId="0" borderId="4" xfId="0" applyNumberFormat="1" applyFont="1" applyBorder="1" applyAlignment="1">
      <alignment horizontal="center" vertical="center"/>
    </xf>
    <xf numFmtId="0" fontId="8" fillId="8" borderId="0" xfId="0" applyFont="1" applyFill="1" applyAlignment="1">
      <alignment wrapText="1"/>
    </xf>
    <xf numFmtId="0" fontId="9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40" fontId="9" fillId="5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11" fillId="0" borderId="4" xfId="0" applyFont="1" applyBorder="1" applyAlignment="1">
      <alignment horizontal="center" vertical="center"/>
    </xf>
    <xf numFmtId="0" fontId="11" fillId="5" borderId="4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center" vertical="center" wrapText="1"/>
    </xf>
    <xf numFmtId="40" fontId="11" fillId="5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40" fontId="11" fillId="0" borderId="4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0" fontId="11" fillId="4" borderId="4" xfId="1" applyFont="1" applyFill="1" applyBorder="1" applyAlignment="1">
      <alignment vertical="center" wrapText="1"/>
    </xf>
    <xf numFmtId="0" fontId="12" fillId="0" borderId="0" xfId="0" applyFont="1"/>
    <xf numFmtId="0" fontId="5" fillId="5" borderId="4" xfId="0" applyFont="1" applyFill="1" applyBorder="1" applyAlignment="1">
      <alignment horizontal="center" vertical="center"/>
    </xf>
    <xf numFmtId="40" fontId="7" fillId="5" borderId="4" xfId="0" applyNumberFormat="1" applyFont="1" applyFill="1" applyBorder="1" applyAlignment="1">
      <alignment vertical="center"/>
    </xf>
    <xf numFmtId="164" fontId="7" fillId="5" borderId="4" xfId="0" applyNumberFormat="1" applyFont="1" applyFill="1" applyBorder="1" applyAlignment="1">
      <alignment horizontal="right" vertical="center"/>
    </xf>
    <xf numFmtId="0" fontId="5" fillId="8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center"/>
    </xf>
    <xf numFmtId="40" fontId="4" fillId="8" borderId="4" xfId="0" applyNumberFormat="1" applyFont="1" applyFill="1" applyBorder="1" applyAlignment="1">
      <alignment horizontal="center" vertical="center"/>
    </xf>
    <xf numFmtId="40" fontId="5" fillId="8" borderId="4" xfId="0" applyNumberFormat="1" applyFont="1" applyFill="1" applyBorder="1" applyAlignment="1">
      <alignment vertical="center"/>
    </xf>
    <xf numFmtId="164" fontId="5" fillId="8" borderId="4" xfId="0" applyNumberFormat="1" applyFont="1" applyFill="1" applyBorder="1" applyAlignment="1">
      <alignment horizontal="right" vertical="center"/>
    </xf>
    <xf numFmtId="4" fontId="4" fillId="8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wrapText="1"/>
    </xf>
    <xf numFmtId="4" fontId="0" fillId="5" borderId="0" xfId="0" applyNumberFormat="1" applyFill="1"/>
    <xf numFmtId="0" fontId="11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left" vertical="center" wrapText="1"/>
    </xf>
    <xf numFmtId="40" fontId="11" fillId="5" borderId="4" xfId="0" applyNumberFormat="1" applyFont="1" applyFill="1" applyBorder="1" applyAlignment="1">
      <alignment vertical="center"/>
    </xf>
    <xf numFmtId="164" fontId="11" fillId="5" borderId="4" xfId="0" applyNumberFormat="1" applyFont="1" applyFill="1" applyBorder="1" applyAlignment="1">
      <alignment horizontal="right" vertical="center"/>
    </xf>
    <xf numFmtId="0" fontId="12" fillId="5" borderId="0" xfId="0" applyFont="1" applyFill="1"/>
    <xf numFmtId="40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5" borderId="4" xfId="0" applyFill="1" applyBorder="1"/>
    <xf numFmtId="166" fontId="0" fillId="0" borderId="4" xfId="0" applyNumberFormat="1" applyBorder="1"/>
    <xf numFmtId="4" fontId="11" fillId="5" borderId="4" xfId="0" applyNumberFormat="1" applyFont="1" applyFill="1" applyBorder="1" applyAlignment="1">
      <alignment horizontal="left" vertical="center" wrapText="1"/>
    </xf>
    <xf numFmtId="4" fontId="11" fillId="0" borderId="4" xfId="0" applyNumberFormat="1" applyFont="1" applyBorder="1" applyAlignment="1">
      <alignment horizontal="left" vertical="center"/>
    </xf>
    <xf numFmtId="4" fontId="7" fillId="0" borderId="4" xfId="0" applyNumberFormat="1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/>
    </xf>
    <xf numFmtId="166" fontId="4" fillId="6" borderId="4" xfId="0" applyNumberFormat="1" applyFont="1" applyFill="1" applyBorder="1" applyAlignment="1">
      <alignment horizontal="center" vertical="center"/>
    </xf>
    <xf numFmtId="4" fontId="13" fillId="15" borderId="13" xfId="0" applyNumberFormat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left" vertical="center" wrapText="1"/>
    </xf>
    <xf numFmtId="40" fontId="5" fillId="8" borderId="4" xfId="0" applyNumberFormat="1" applyFont="1" applyFill="1" applyBorder="1" applyAlignment="1">
      <alignment horizontal="center" vertical="center"/>
    </xf>
    <xf numFmtId="40" fontId="5" fillId="13" borderId="4" xfId="0" applyNumberFormat="1" applyFont="1" applyFill="1" applyBorder="1" applyAlignment="1">
      <alignment horizontal="center" vertical="center"/>
    </xf>
    <xf numFmtId="40" fontId="11" fillId="8" borderId="4" xfId="0" applyNumberFormat="1" applyFont="1" applyFill="1" applyBorder="1" applyAlignment="1">
      <alignment horizontal="center" vertical="center"/>
    </xf>
    <xf numFmtId="4" fontId="0" fillId="0" borderId="4" xfId="0" applyNumberFormat="1" applyBorder="1"/>
    <xf numFmtId="9" fontId="7" fillId="5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7" fillId="0" borderId="4" xfId="0" applyFont="1" applyBorder="1" applyAlignment="1">
      <alignment wrapText="1"/>
    </xf>
    <xf numFmtId="0" fontId="5" fillId="5" borderId="4" xfId="1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40" fontId="5" fillId="5" borderId="15" xfId="0" applyNumberFormat="1" applyFont="1" applyFill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40" fontId="5" fillId="12" borderId="4" xfId="0" applyNumberFormat="1" applyFont="1" applyFill="1" applyBorder="1" applyAlignment="1">
      <alignment horizontal="center" vertical="center"/>
    </xf>
    <xf numFmtId="164" fontId="7" fillId="5" borderId="4" xfId="0" applyNumberFormat="1" applyFont="1" applyFill="1" applyBorder="1" applyAlignment="1">
      <alignment horizontal="center" vertical="center"/>
    </xf>
    <xf numFmtId="4" fontId="7" fillId="5" borderId="4" xfId="0" applyNumberFormat="1" applyFont="1" applyFill="1" applyBorder="1" applyAlignment="1">
      <alignment horizontal="left" vertical="center"/>
    </xf>
    <xf numFmtId="4" fontId="5" fillId="0" borderId="4" xfId="0" applyNumberFormat="1" applyFont="1" applyBorder="1" applyAlignment="1">
      <alignment horizontal="left" vertical="center"/>
    </xf>
    <xf numFmtId="0" fontId="7" fillId="8" borderId="4" xfId="0" applyFont="1" applyFill="1" applyBorder="1" applyAlignment="1">
      <alignment vertical="center" wrapText="1"/>
    </xf>
    <xf numFmtId="4" fontId="0" fillId="0" borderId="4" xfId="0" applyNumberFormat="1" applyBorder="1" applyAlignment="1">
      <alignment wrapText="1"/>
    </xf>
    <xf numFmtId="4" fontId="14" fillId="0" borderId="4" xfId="0" applyNumberFormat="1" applyFont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vertical="center" wrapText="1"/>
    </xf>
    <xf numFmtId="4" fontId="14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 wrapText="1"/>
    </xf>
    <xf numFmtId="4" fontId="5" fillId="8" borderId="4" xfId="0" applyNumberFormat="1" applyFont="1" applyFill="1" applyBorder="1" applyAlignment="1">
      <alignment horizontal="center" vertical="center"/>
    </xf>
    <xf numFmtId="4" fontId="15" fillId="8" borderId="4" xfId="0" applyNumberFormat="1" applyFont="1" applyFill="1" applyBorder="1" applyAlignment="1">
      <alignment horizontal="center" vertical="center"/>
    </xf>
    <xf numFmtId="4" fontId="2" fillId="5" borderId="0" xfId="0" applyNumberFormat="1" applyFont="1" applyFill="1" applyAlignment="1">
      <alignment vertical="center"/>
    </xf>
    <xf numFmtId="4" fontId="14" fillId="0" borderId="0" xfId="0" applyNumberFormat="1" applyFont="1" applyAlignment="1">
      <alignment horizontal="center" vertical="center"/>
    </xf>
    <xf numFmtId="0" fontId="7" fillId="16" borderId="4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vertical="center" wrapText="1"/>
    </xf>
    <xf numFmtId="0" fontId="0" fillId="16" borderId="4" xfId="0" applyFill="1" applyBorder="1" applyAlignment="1">
      <alignment wrapText="1"/>
    </xf>
    <xf numFmtId="40" fontId="5" fillId="16" borderId="4" xfId="0" applyNumberFormat="1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vertical="center" wrapText="1"/>
    </xf>
    <xf numFmtId="0" fontId="5" fillId="16" borderId="4" xfId="0" applyFont="1" applyFill="1" applyBorder="1" applyAlignment="1">
      <alignment horizontal="center" vertical="center" wrapText="1"/>
    </xf>
    <xf numFmtId="4" fontId="14" fillId="16" borderId="0" xfId="0" applyNumberFormat="1" applyFont="1" applyFill="1" applyAlignment="1">
      <alignment horizontal="center" vertical="center"/>
    </xf>
    <xf numFmtId="164" fontId="5" fillId="4" borderId="4" xfId="1" applyNumberFormat="1" applyFont="1" applyFill="1" applyBorder="1" applyAlignment="1">
      <alignment horizontal="center" vertical="center"/>
    </xf>
    <xf numFmtId="164" fontId="11" fillId="4" borderId="4" xfId="1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4" fontId="15" fillId="5" borderId="4" xfId="0" applyNumberFormat="1" applyFont="1" applyFill="1" applyBorder="1" applyAlignment="1">
      <alignment horizontal="center" vertical="center"/>
    </xf>
    <xf numFmtId="4" fontId="14" fillId="5" borderId="4" xfId="0" applyNumberFormat="1" applyFont="1" applyFill="1" applyBorder="1" applyAlignment="1">
      <alignment horizontal="center" vertical="center"/>
    </xf>
    <xf numFmtId="4" fontId="5" fillId="5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wrapText="1"/>
    </xf>
    <xf numFmtId="40" fontId="7" fillId="12" borderId="4" xfId="0" applyNumberFormat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0" fontId="5" fillId="6" borderId="4" xfId="0" applyNumberFormat="1" applyFont="1" applyFill="1" applyBorder="1" applyAlignment="1">
      <alignment horizontal="center" vertical="center"/>
    </xf>
    <xf numFmtId="0" fontId="14" fillId="0" borderId="0" xfId="0" applyFont="1"/>
    <xf numFmtId="0" fontId="5" fillId="17" borderId="4" xfId="0" applyFont="1" applyFill="1" applyBorder="1" applyAlignment="1">
      <alignment vertical="center" wrapText="1"/>
    </xf>
    <xf numFmtId="0" fontId="5" fillId="17" borderId="4" xfId="0" applyFont="1" applyFill="1" applyBorder="1" applyAlignment="1">
      <alignment horizontal="center" vertical="center" wrapText="1"/>
    </xf>
    <xf numFmtId="40" fontId="7" fillId="17" borderId="4" xfId="0" applyNumberFormat="1" applyFont="1" applyFill="1" applyBorder="1" applyAlignment="1">
      <alignment horizontal="center"/>
    </xf>
    <xf numFmtId="4" fontId="14" fillId="17" borderId="4" xfId="0" applyNumberFormat="1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left" vertical="center" wrapText="1"/>
    </xf>
    <xf numFmtId="0" fontId="7" fillId="17" borderId="4" xfId="0" applyFont="1" applyFill="1" applyBorder="1" applyAlignment="1">
      <alignment vertical="center" wrapText="1"/>
    </xf>
    <xf numFmtId="0" fontId="7" fillId="17" borderId="4" xfId="0" applyFont="1" applyFill="1" applyBorder="1" applyAlignment="1">
      <alignment horizontal="center" vertical="center" wrapText="1"/>
    </xf>
    <xf numFmtId="4" fontId="16" fillId="17" borderId="0" xfId="0" applyNumberFormat="1" applyFont="1" applyFill="1" applyAlignment="1">
      <alignment horizontal="center" vertical="center" wrapText="1"/>
    </xf>
    <xf numFmtId="0" fontId="2" fillId="5" borderId="0" xfId="0" applyFont="1" applyFill="1"/>
    <xf numFmtId="4" fontId="15" fillId="12" borderId="4" xfId="0" applyNumberFormat="1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4" fontId="17" fillId="0" borderId="16" xfId="3" applyNumberFormat="1" applyBorder="1" applyAlignment="1">
      <alignment horizontal="right" vertical="top"/>
    </xf>
    <xf numFmtId="4" fontId="15" fillId="17" borderId="4" xfId="0" applyNumberFormat="1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164" fontId="11" fillId="5" borderId="4" xfId="1" applyNumberFormat="1" applyFont="1" applyFill="1" applyBorder="1" applyAlignment="1">
      <alignment horizontal="center" vertical="center"/>
    </xf>
    <xf numFmtId="4" fontId="19" fillId="0" borderId="4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wrapText="1"/>
    </xf>
    <xf numFmtId="43" fontId="2" fillId="8" borderId="4" xfId="0" applyNumberFormat="1" applyFont="1" applyFill="1" applyBorder="1"/>
    <xf numFmtId="0" fontId="0" fillId="8" borderId="4" xfId="0" applyFill="1" applyBorder="1" applyAlignment="1">
      <alignment wrapText="1"/>
    </xf>
    <xf numFmtId="4" fontId="17" fillId="8" borderId="16" xfId="3" applyNumberFormat="1" applyFill="1" applyBorder="1" applyAlignment="1">
      <alignment horizontal="right" vertical="top"/>
    </xf>
    <xf numFmtId="4" fontId="2" fillId="8" borderId="0" xfId="0" applyNumberFormat="1" applyFont="1" applyFill="1" applyAlignment="1">
      <alignment vertical="center"/>
    </xf>
    <xf numFmtId="0" fontId="2" fillId="8" borderId="3" xfId="0" applyFont="1" applyFill="1" applyBorder="1" applyAlignment="1">
      <alignment horizontal="center" vertical="center" wrapText="1"/>
    </xf>
    <xf numFmtId="40" fontId="5" fillId="18" borderId="4" xfId="0" applyNumberFormat="1" applyFont="1" applyFill="1" applyBorder="1" applyAlignment="1">
      <alignment horizontal="center" vertical="center"/>
    </xf>
    <xf numFmtId="4" fontId="5" fillId="18" borderId="4" xfId="0" applyNumberFormat="1" applyFont="1" applyFill="1" applyBorder="1" applyAlignment="1">
      <alignment horizontal="center" vertical="center"/>
    </xf>
    <xf numFmtId="40" fontId="5" fillId="18" borderId="15" xfId="0" applyNumberFormat="1" applyFont="1" applyFill="1" applyBorder="1" applyAlignment="1">
      <alignment horizontal="center" vertical="center"/>
    </xf>
    <xf numFmtId="40" fontId="7" fillId="18" borderId="4" xfId="0" applyNumberFormat="1" applyFont="1" applyFill="1" applyBorder="1" applyAlignment="1">
      <alignment horizontal="center" vertical="center"/>
    </xf>
    <xf numFmtId="4" fontId="15" fillId="18" borderId="4" xfId="0" applyNumberFormat="1" applyFont="1" applyFill="1" applyBorder="1" applyAlignment="1">
      <alignment horizontal="center" vertical="center"/>
    </xf>
    <xf numFmtId="4" fontId="14" fillId="18" borderId="4" xfId="0" applyNumberFormat="1" applyFont="1" applyFill="1" applyBorder="1" applyAlignment="1">
      <alignment horizontal="center" vertical="center"/>
    </xf>
    <xf numFmtId="4" fontId="16" fillId="18" borderId="0" xfId="0" applyNumberFormat="1" applyFont="1" applyFill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5" xfId="0" applyBorder="1"/>
    <xf numFmtId="0" fontId="0" fillId="5" borderId="15" xfId="0" applyFill="1" applyBorder="1"/>
    <xf numFmtId="0" fontId="12" fillId="5" borderId="15" xfId="0" applyFont="1" applyFill="1" applyBorder="1"/>
    <xf numFmtId="0" fontId="12" fillId="0" borderId="15" xfId="0" applyFont="1" applyBorder="1"/>
    <xf numFmtId="0" fontId="0" fillId="0" borderId="5" xfId="0" applyBorder="1"/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40" fontId="11" fillId="12" borderId="4" xfId="0" applyNumberFormat="1" applyFont="1" applyFill="1" applyBorder="1" applyAlignment="1">
      <alignment horizontal="center" vertical="center"/>
    </xf>
    <xf numFmtId="0" fontId="12" fillId="12" borderId="0" xfId="0" applyFont="1" applyFill="1"/>
    <xf numFmtId="0" fontId="7" fillId="10" borderId="0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left" vertical="center" wrapText="1"/>
    </xf>
    <xf numFmtId="0" fontId="7" fillId="10" borderId="0" xfId="0" applyFont="1" applyFill="1" applyBorder="1" applyAlignment="1">
      <alignment horizontal="left" vertical="center" wrapText="1"/>
    </xf>
    <xf numFmtId="164" fontId="6" fillId="10" borderId="0" xfId="0" applyNumberFormat="1" applyFont="1" applyFill="1" applyBorder="1" applyAlignment="1">
      <alignment horizontal="center" vertical="center"/>
    </xf>
    <xf numFmtId="164" fontId="7" fillId="10" borderId="0" xfId="0" applyNumberFormat="1" applyFont="1" applyFill="1" applyBorder="1" applyAlignment="1">
      <alignment horizontal="right" vertical="center"/>
    </xf>
    <xf numFmtId="0" fontId="0" fillId="0" borderId="0" xfId="0" applyBorder="1"/>
    <xf numFmtId="0" fontId="18" fillId="18" borderId="15" xfId="0" applyFont="1" applyFill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/>
    </xf>
    <xf numFmtId="4" fontId="5" fillId="5" borderId="4" xfId="0" applyNumberFormat="1" applyFont="1" applyFill="1" applyBorder="1" applyAlignment="1">
      <alignment horizontal="center" vertical="center" wrapText="1"/>
    </xf>
    <xf numFmtId="4" fontId="7" fillId="5" borderId="4" xfId="0" applyNumberFormat="1" applyFont="1" applyFill="1" applyBorder="1" applyAlignment="1">
      <alignment horizontal="center" vertical="center"/>
    </xf>
    <xf numFmtId="4" fontId="5" fillId="5" borderId="0" xfId="0" applyNumberFormat="1" applyFont="1" applyFill="1" applyAlignment="1">
      <alignment horizontal="center" vertical="center" wrapText="1"/>
    </xf>
    <xf numFmtId="0" fontId="0" fillId="5" borderId="17" xfId="0" applyFill="1" applyBorder="1"/>
    <xf numFmtId="0" fontId="9" fillId="5" borderId="4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horizontal="center" vertical="center" wrapText="1"/>
    </xf>
    <xf numFmtId="4" fontId="20" fillId="5" borderId="4" xfId="0" applyNumberFormat="1" applyFont="1" applyFill="1" applyBorder="1" applyAlignment="1">
      <alignment horizontal="center" vertical="center"/>
    </xf>
    <xf numFmtId="4" fontId="9" fillId="5" borderId="4" xfId="0" applyNumberFormat="1" applyFont="1" applyFill="1" applyBorder="1" applyAlignment="1">
      <alignment horizontal="center" vertical="center"/>
    </xf>
    <xf numFmtId="40" fontId="5" fillId="19" borderId="4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wrapText="1"/>
    </xf>
    <xf numFmtId="0" fontId="2" fillId="8" borderId="14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5">
    <cellStyle name="Обычный" xfId="0" builtinId="0"/>
    <cellStyle name="Обычный 12" xfId="4"/>
    <cellStyle name="Обычный 13 3 2" xfId="1"/>
    <cellStyle name="Обычный_Лист1" xfId="3"/>
    <cellStyle name="Финансовый 2 3 2" xfId="2"/>
  </cellStyles>
  <dxfs count="0"/>
  <tableStyles count="0" defaultTableStyle="TableStyleMedium2" defaultPivotStyle="PivotStyleLight16"/>
  <colors>
    <mruColors>
      <color rgb="FFFF33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3;&#1077;&#1078;&#1080;&#1085;/&#1044;&#1086;&#1075;&#1086;&#1074;&#1086;&#1088;/&#1044;&#1062;/&#1044;&#1062;%20&#8470;16%20&#1041;&#1083;&#1072;&#1075;&#1086;&#1091;&#1089;&#1090;&#1088;&#1110;&#108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7;&#1057;&#1050;&#1055;%20&#1053;&#1077;&#1078;&#1080;&#1085;%20&#1074;%20&#1088;&#1072;&#1073;&#1086;&#1090;&#1077;/&#1044;&#1062;%20&#8470;35%20&#1044;&#1086;&#1087;%20&#1088;&#1086;&#1073;&#1086;&#1090;&#1080;%20&#1058;&#1061;%20&#1043;&#1088;&#1072;&#1076;&#1080;&#1088;&#1085;&#11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60;&#1080;&#1085;&#1072;&#1085;&#1089;&#1086;&#1074;&#1099;&#1081;_&#1086;&#1090;&#1095;&#1077;&#1090;_24061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3;&#1077;&#1078;&#1080;&#1085;/&#1044;&#1086;&#1075;&#1086;&#1074;&#1086;&#1088;/&#1044;&#1062;/&#1044;&#1062;%20&#8470;3%20&#1060;&#1091;&#1085;&#1076;&#1072;&#1084;&#1077;&#1085;&#1090;&#1080;%20&#1089;&#1080;&#1083;&#1086;&#1089;&#1110;&#1074;%20&#1085;&#1072;&#1089;&#1110;&#1085;&#1085;&#1103;%2011.03.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3;&#1077;&#1078;&#1080;&#1085;/&#1044;&#1086;&#1075;&#1086;&#1074;&#1086;&#1088;/&#1044;&#1062;/&#1044;&#1062;%20&#8470;11%20&#1044;&#1086;&#1076;.&#1086;&#1089;&#1085;.&#1110;&#1079;%20&#1097;&#1077;&#1073;&#1077;&#1085;&#11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Ц  благоустрій"/>
    </sheetNames>
    <sheetDataSet>
      <sheetData sheetId="0">
        <row r="32">
          <cell r="K32">
            <v>5868795.1899999995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Ц дод. градирня ТХ"/>
    </sheetNames>
    <sheetDataSet>
      <sheetData sheetId="0">
        <row r="30">
          <cell r="K30">
            <v>108026.29200000002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"/>
      <sheetName val="2022 перевірка"/>
      <sheetName val="10.06.2024"/>
      <sheetName val="03.06.2024"/>
      <sheetName val="27.05.2024"/>
      <sheetName val="20.05.2024"/>
      <sheetName val="13.05.2024"/>
      <sheetName val="07.05.2024"/>
      <sheetName val="26.04.2024"/>
      <sheetName val="22.04.2024"/>
      <sheetName val="12.04.2024"/>
      <sheetName val="08.04.2024"/>
      <sheetName val="01.04.2024"/>
      <sheetName val="25.03.2024"/>
      <sheetName val="15.03.2024"/>
      <sheetName val="08.03.2024"/>
      <sheetName val="01.03.2024"/>
      <sheetName val="23.02.2024"/>
      <sheetName val="19.02.2024"/>
      <sheetName val="09.02.2024"/>
      <sheetName val="02.02.2024"/>
      <sheetName val="29.01.2024"/>
      <sheetName val="19.01.2024"/>
      <sheetName val="12.01.2024"/>
      <sheetName val="09.01.2024"/>
      <sheetName val="29.12.2023"/>
      <sheetName val="22.12.2023"/>
      <sheetName val="18.12.2023"/>
      <sheetName val="11.12.2023"/>
      <sheetName val="04.12.2023"/>
      <sheetName val="24.11.2023"/>
      <sheetName val="17.11.2023"/>
      <sheetName val="13.11.2023"/>
      <sheetName val="06.11.2023"/>
      <sheetName val="02.11.2023"/>
      <sheetName val="10.10.2023"/>
      <sheetName val="02.10.2023"/>
      <sheetName val="25.09.2023"/>
      <sheetName val="11.09.2023"/>
      <sheetName val="04.09.2023"/>
      <sheetName val="28.08.2023"/>
      <sheetName val="15.08.2023"/>
      <sheetName val="07.08.2023"/>
      <sheetName val="31.07.2023"/>
      <sheetName val="17.07.2023"/>
      <sheetName val="10.07.2023"/>
      <sheetName val="03.07.2023"/>
      <sheetName val="28.06.2023"/>
      <sheetName val="26.06.2023"/>
      <sheetName val="19.06.2023"/>
      <sheetName val="16.06.2023"/>
      <sheetName val="12.06.2023"/>
      <sheetName val="05.06.2023"/>
      <sheetName val="29.05.2023"/>
      <sheetName val="23.05.2023"/>
      <sheetName val="15.05.2023"/>
    </sheetNames>
    <sheetDataSet>
      <sheetData sheetId="0"/>
      <sheetData sheetId="1"/>
      <sheetData sheetId="2">
        <row r="120">
          <cell r="G120">
            <v>23572406.640000001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Ц (насіння)"/>
    </sheetNames>
    <sheetDataSet>
      <sheetData sheetId="0">
        <row r="81">
          <cell r="L81">
            <v>5079523.8133333335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Ц (дод.щебень)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4"/>
  <sheetViews>
    <sheetView tabSelected="1" topLeftCell="A68" workbookViewId="0">
      <selection activeCell="D83" sqref="D72:D83"/>
    </sheetView>
  </sheetViews>
  <sheetFormatPr defaultRowHeight="14.4" x14ac:dyDescent="0.3"/>
  <cols>
    <col min="1" max="1" width="20.33203125" style="1" customWidth="1"/>
    <col min="2" max="2" width="59.88671875" style="2" customWidth="1"/>
    <col min="3" max="3" width="26.109375" style="2" customWidth="1"/>
    <col min="4" max="4" width="18.44140625" customWidth="1"/>
    <col min="5" max="5" width="18.5546875" customWidth="1"/>
    <col min="6" max="6" width="24.88671875" hidden="1" customWidth="1"/>
    <col min="7" max="7" width="18.44140625" customWidth="1"/>
    <col min="8" max="8" width="18.5546875" customWidth="1"/>
    <col min="9" max="9" width="24.88671875" customWidth="1"/>
    <col min="10" max="10" width="12.88671875" customWidth="1"/>
  </cols>
  <sheetData>
    <row r="1" spans="1:10" x14ac:dyDescent="0.3">
      <c r="A1" s="268" t="s">
        <v>0</v>
      </c>
      <c r="B1" s="268"/>
      <c r="C1" s="5"/>
      <c r="D1" s="4"/>
      <c r="G1" s="4"/>
    </row>
    <row r="2" spans="1:10" x14ac:dyDescent="0.3">
      <c r="A2" s="269" t="s">
        <v>1</v>
      </c>
      <c r="B2" s="269"/>
      <c r="C2" s="6"/>
      <c r="D2" s="4"/>
      <c r="G2" s="4"/>
    </row>
    <row r="3" spans="1:10" x14ac:dyDescent="0.3">
      <c r="A3" s="268" t="s">
        <v>15</v>
      </c>
      <c r="B3" s="268"/>
      <c r="C3" s="5"/>
      <c r="D3" s="4"/>
      <c r="G3" s="4"/>
    </row>
    <row r="4" spans="1:10" ht="15.6" x14ac:dyDescent="0.3">
      <c r="A4" s="270" t="s">
        <v>2</v>
      </c>
      <c r="B4" s="270"/>
      <c r="C4" s="270"/>
      <c r="D4" s="270"/>
      <c r="E4" s="200"/>
      <c r="H4" s="200"/>
    </row>
    <row r="5" spans="1:10" x14ac:dyDescent="0.3">
      <c r="A5" s="270" t="s">
        <v>14</v>
      </c>
      <c r="B5" s="270"/>
      <c r="C5" s="270"/>
      <c r="D5" s="270"/>
    </row>
    <row r="6" spans="1:10" ht="30.6" customHeight="1" x14ac:dyDescent="0.3">
      <c r="A6" s="267" t="s">
        <v>13</v>
      </c>
      <c r="B6" s="267"/>
      <c r="C6" s="267"/>
      <c r="D6" s="267"/>
      <c r="E6" s="267"/>
      <c r="F6" s="267"/>
      <c r="G6" s="100" t="s">
        <v>227</v>
      </c>
      <c r="H6" s="100"/>
      <c r="I6" s="100"/>
    </row>
    <row r="7" spans="1:10" s="11" customFormat="1" ht="24.6" customHeight="1" thickBot="1" x14ac:dyDescent="0.35">
      <c r="A7" s="108" t="s">
        <v>317</v>
      </c>
      <c r="B7" s="108"/>
      <c r="C7" s="108"/>
      <c r="D7" s="215"/>
      <c r="E7" s="178"/>
      <c r="F7" s="108"/>
      <c r="G7" s="225"/>
      <c r="H7" s="226"/>
      <c r="I7" s="99"/>
    </row>
    <row r="8" spans="1:10" s="2" customFormat="1" ht="15" customHeight="1" x14ac:dyDescent="0.3">
      <c r="A8" s="271" t="s">
        <v>289</v>
      </c>
      <c r="B8" s="273" t="s">
        <v>5</v>
      </c>
      <c r="C8" s="275" t="s">
        <v>23</v>
      </c>
      <c r="D8" s="273" t="s">
        <v>290</v>
      </c>
      <c r="E8" s="277" t="s">
        <v>7</v>
      </c>
      <c r="F8" s="277"/>
      <c r="G8" s="242" t="s">
        <v>290</v>
      </c>
      <c r="H8" s="266" t="s">
        <v>7</v>
      </c>
      <c r="I8" s="266"/>
      <c r="J8" s="235" t="s">
        <v>322</v>
      </c>
    </row>
    <row r="9" spans="1:10" s="2" customFormat="1" ht="15" thickBot="1" x14ac:dyDescent="0.35">
      <c r="A9" s="272"/>
      <c r="B9" s="274"/>
      <c r="C9" s="276"/>
      <c r="D9" s="274"/>
      <c r="E9" s="8" t="s">
        <v>9</v>
      </c>
      <c r="F9" s="8" t="s">
        <v>10</v>
      </c>
      <c r="G9" s="243"/>
      <c r="H9" s="227" t="s">
        <v>9</v>
      </c>
      <c r="I9" s="227" t="s">
        <v>10</v>
      </c>
      <c r="J9" s="236"/>
    </row>
    <row r="10" spans="1:10" s="2" customFormat="1" ht="15.6" x14ac:dyDescent="0.3">
      <c r="A10" s="39"/>
      <c r="B10" s="40" t="s">
        <v>53</v>
      </c>
      <c r="C10" s="40"/>
      <c r="D10" s="39"/>
      <c r="E10" s="39"/>
      <c r="F10" s="39"/>
      <c r="G10" s="39"/>
      <c r="H10" s="39"/>
      <c r="I10" s="39"/>
      <c r="J10" s="236"/>
    </row>
    <row r="11" spans="1:10" ht="15.6" x14ac:dyDescent="0.3">
      <c r="A11" s="23">
        <v>1</v>
      </c>
      <c r="B11" s="24" t="s">
        <v>16</v>
      </c>
      <c r="C11" s="24"/>
      <c r="D11" s="129">
        <v>33040347.960000001</v>
      </c>
      <c r="E11" s="25"/>
      <c r="F11" s="25"/>
      <c r="G11" s="25">
        <v>33281147.960000001</v>
      </c>
      <c r="H11" s="25"/>
      <c r="I11" s="25"/>
      <c r="J11" s="237"/>
    </row>
    <row r="12" spans="1:10" ht="15.6" x14ac:dyDescent="0.3">
      <c r="A12" s="41"/>
      <c r="B12" s="42" t="s">
        <v>54</v>
      </c>
      <c r="C12" s="42"/>
      <c r="D12" s="43"/>
      <c r="E12" s="44"/>
      <c r="F12" s="45"/>
      <c r="G12" s="43"/>
      <c r="H12" s="44"/>
      <c r="I12" s="45"/>
      <c r="J12" s="237"/>
    </row>
    <row r="13" spans="1:10" ht="15.6" x14ac:dyDescent="0.3">
      <c r="A13" s="47">
        <v>2</v>
      </c>
      <c r="B13" s="48" t="s">
        <v>17</v>
      </c>
      <c r="C13" s="48"/>
      <c r="D13" s="49">
        <f>SUM(D14:D70)</f>
        <v>23084899.402992707</v>
      </c>
      <c r="E13" s="50"/>
      <c r="F13" s="51"/>
      <c r="G13" s="49">
        <f>SUM(G14:G70)</f>
        <v>22962922.632992707</v>
      </c>
      <c r="H13" s="50"/>
      <c r="I13" s="51"/>
      <c r="J13" s="237"/>
    </row>
    <row r="14" spans="1:10" ht="15.6" x14ac:dyDescent="0.3">
      <c r="A14" s="80" t="s">
        <v>216</v>
      </c>
      <c r="B14" s="26" t="s">
        <v>73</v>
      </c>
      <c r="C14" s="30" t="s">
        <v>74</v>
      </c>
      <c r="D14" s="137">
        <v>74844.2</v>
      </c>
      <c r="E14" s="31"/>
      <c r="F14" s="31"/>
      <c r="G14" s="228">
        <v>74844.2</v>
      </c>
      <c r="H14" s="31"/>
      <c r="I14" s="31"/>
      <c r="J14" s="237"/>
    </row>
    <row r="15" spans="1:10" ht="15.6" x14ac:dyDescent="0.3">
      <c r="A15" s="80" t="s">
        <v>215</v>
      </c>
      <c r="B15" s="26" t="s">
        <v>75</v>
      </c>
      <c r="C15" s="30" t="s">
        <v>31</v>
      </c>
      <c r="D15" s="137">
        <v>585276.81999999995</v>
      </c>
      <c r="E15" s="31"/>
      <c r="F15" s="31"/>
      <c r="G15" s="228">
        <v>585276.81999999995</v>
      </c>
      <c r="H15" s="31"/>
      <c r="I15" s="31"/>
      <c r="J15" s="237"/>
    </row>
    <row r="16" spans="1:10" ht="15.6" x14ac:dyDescent="0.3">
      <c r="A16" s="80" t="s">
        <v>214</v>
      </c>
      <c r="B16" s="26" t="s">
        <v>76</v>
      </c>
      <c r="C16" s="30" t="s">
        <v>32</v>
      </c>
      <c r="D16" s="137">
        <v>585218.81999999995</v>
      </c>
      <c r="E16" s="31"/>
      <c r="F16" s="31"/>
      <c r="G16" s="252">
        <v>585218.81999999995</v>
      </c>
      <c r="H16" s="31"/>
      <c r="I16" s="31"/>
      <c r="J16" s="237"/>
    </row>
    <row r="17" spans="1:10" ht="15.6" x14ac:dyDescent="0.3">
      <c r="A17" s="80" t="s">
        <v>213</v>
      </c>
      <c r="B17" s="26" t="s">
        <v>146</v>
      </c>
      <c r="C17" s="30"/>
      <c r="D17" s="137">
        <v>70000</v>
      </c>
      <c r="E17" s="31"/>
      <c r="F17" s="31"/>
      <c r="G17" s="228">
        <v>70000</v>
      </c>
      <c r="H17" s="31"/>
      <c r="I17" s="31"/>
      <c r="J17" s="237"/>
    </row>
    <row r="18" spans="1:10" ht="15.6" x14ac:dyDescent="0.3">
      <c r="A18" s="80" t="s">
        <v>212</v>
      </c>
      <c r="B18" s="26" t="s">
        <v>147</v>
      </c>
      <c r="C18" s="30"/>
      <c r="D18" s="137">
        <v>92115.83</v>
      </c>
      <c r="E18" s="31"/>
      <c r="F18" s="31"/>
      <c r="G18" s="228">
        <v>92115.83</v>
      </c>
      <c r="H18" s="31"/>
      <c r="I18" s="31"/>
      <c r="J18" s="237"/>
    </row>
    <row r="19" spans="1:10" ht="31.2" x14ac:dyDescent="0.3">
      <c r="A19" s="80" t="s">
        <v>149</v>
      </c>
      <c r="B19" s="26" t="s">
        <v>148</v>
      </c>
      <c r="C19" s="30"/>
      <c r="D19" s="137">
        <v>69692.789999999994</v>
      </c>
      <c r="E19" s="31"/>
      <c r="F19" s="31"/>
      <c r="G19" s="228">
        <v>69692.789999999994</v>
      </c>
      <c r="H19" s="31"/>
      <c r="I19" s="31"/>
      <c r="J19" s="237"/>
    </row>
    <row r="20" spans="1:10" ht="15.6" x14ac:dyDescent="0.3">
      <c r="A20" s="80" t="s">
        <v>151</v>
      </c>
      <c r="B20" s="26" t="s">
        <v>154</v>
      </c>
      <c r="C20" s="30"/>
      <c r="D20" s="137">
        <v>220420.19</v>
      </c>
      <c r="E20" s="31"/>
      <c r="F20" s="31"/>
      <c r="G20" s="228">
        <v>220420.19</v>
      </c>
      <c r="H20" s="31"/>
      <c r="I20" s="31"/>
      <c r="J20" s="237"/>
    </row>
    <row r="21" spans="1:10" ht="31.2" x14ac:dyDescent="0.3">
      <c r="A21" s="80" t="s">
        <v>152</v>
      </c>
      <c r="B21" s="26" t="s">
        <v>155</v>
      </c>
      <c r="C21" s="30"/>
      <c r="D21" s="137">
        <v>19075.72</v>
      </c>
      <c r="E21" s="31"/>
      <c r="F21" s="31"/>
      <c r="G21" s="228">
        <v>19075.72</v>
      </c>
      <c r="H21" s="31"/>
      <c r="I21" s="31"/>
      <c r="J21" s="237"/>
    </row>
    <row r="22" spans="1:10" ht="31.2" x14ac:dyDescent="0.3">
      <c r="A22" s="80" t="s">
        <v>153</v>
      </c>
      <c r="B22" s="26" t="s">
        <v>156</v>
      </c>
      <c r="C22" s="30"/>
      <c r="D22" s="137">
        <v>8730</v>
      </c>
      <c r="E22" s="31"/>
      <c r="F22" s="31"/>
      <c r="G22" s="228">
        <v>8730</v>
      </c>
      <c r="H22" s="31"/>
      <c r="I22" s="31"/>
      <c r="J22" s="237"/>
    </row>
    <row r="23" spans="1:10" ht="15.6" x14ac:dyDescent="0.3">
      <c r="A23" s="80" t="s">
        <v>157</v>
      </c>
      <c r="B23" s="26" t="s">
        <v>150</v>
      </c>
      <c r="C23" s="30" t="s">
        <v>30</v>
      </c>
      <c r="D23" s="137">
        <v>1609186.51</v>
      </c>
      <c r="E23" s="31"/>
      <c r="F23" s="31"/>
      <c r="G23" s="228">
        <v>1609186.51</v>
      </c>
      <c r="H23" s="31"/>
      <c r="I23" s="31"/>
      <c r="J23" s="237"/>
    </row>
    <row r="24" spans="1:10" ht="15.6" x14ac:dyDescent="0.3">
      <c r="A24" s="80" t="s">
        <v>158</v>
      </c>
      <c r="B24" s="26" t="s">
        <v>159</v>
      </c>
      <c r="C24" s="26"/>
      <c r="D24" s="137">
        <v>231000</v>
      </c>
      <c r="E24" s="31"/>
      <c r="F24" s="31"/>
      <c r="G24" s="228">
        <v>231000</v>
      </c>
      <c r="H24" s="31"/>
      <c r="I24" s="31"/>
      <c r="J24" s="237"/>
    </row>
    <row r="25" spans="1:10" s="11" customFormat="1" ht="15.6" x14ac:dyDescent="0.3">
      <c r="A25" s="12" t="s">
        <v>210</v>
      </c>
      <c r="B25" s="17" t="s">
        <v>160</v>
      </c>
      <c r="C25" s="15" t="s">
        <v>46</v>
      </c>
      <c r="D25" s="137">
        <v>1027136</v>
      </c>
      <c r="E25" s="31"/>
      <c r="F25" s="31"/>
      <c r="G25" s="228">
        <v>1027136</v>
      </c>
      <c r="H25" s="31"/>
      <c r="I25" s="31"/>
      <c r="J25" s="238"/>
    </row>
    <row r="26" spans="1:10" s="11" customFormat="1" ht="15.6" x14ac:dyDescent="0.3">
      <c r="A26" s="12" t="s">
        <v>210</v>
      </c>
      <c r="B26" s="17" t="s">
        <v>231</v>
      </c>
      <c r="C26" s="15"/>
      <c r="D26" s="137">
        <v>33000</v>
      </c>
      <c r="E26" s="31"/>
      <c r="F26" s="31"/>
      <c r="G26" s="228">
        <v>33000</v>
      </c>
      <c r="H26" s="31"/>
      <c r="I26" s="31"/>
      <c r="J26" s="238"/>
    </row>
    <row r="27" spans="1:10" s="11" customFormat="1" ht="15.6" x14ac:dyDescent="0.3">
      <c r="A27" s="12" t="s">
        <v>211</v>
      </c>
      <c r="B27" s="26" t="s">
        <v>196</v>
      </c>
      <c r="C27" s="15" t="s">
        <v>33</v>
      </c>
      <c r="D27" s="137">
        <v>309258.40000000002</v>
      </c>
      <c r="E27" s="31"/>
      <c r="F27" s="31"/>
      <c r="G27" s="228">
        <v>309258.40000000002</v>
      </c>
      <c r="H27" s="31"/>
      <c r="I27" s="31"/>
      <c r="J27" s="238"/>
    </row>
    <row r="28" spans="1:10" ht="15.6" x14ac:dyDescent="0.3">
      <c r="A28" s="121" t="s">
        <v>208</v>
      </c>
      <c r="B28" s="17" t="s">
        <v>198</v>
      </c>
      <c r="C28" s="15"/>
      <c r="D28" s="137">
        <v>27868</v>
      </c>
      <c r="E28" s="31"/>
      <c r="F28" s="31"/>
      <c r="G28" s="228">
        <v>27868</v>
      </c>
      <c r="H28" s="31"/>
      <c r="I28" s="31"/>
      <c r="J28" s="237"/>
    </row>
    <row r="29" spans="1:10" ht="19.95" customHeight="1" x14ac:dyDescent="0.3">
      <c r="A29" s="12" t="s">
        <v>209</v>
      </c>
      <c r="B29" s="32" t="s">
        <v>193</v>
      </c>
      <c r="C29" s="30" t="s">
        <v>191</v>
      </c>
      <c r="D29" s="137">
        <v>554353</v>
      </c>
      <c r="E29" s="31"/>
      <c r="F29" s="31"/>
      <c r="G29" s="228">
        <v>554353</v>
      </c>
      <c r="H29" s="31"/>
      <c r="I29" s="31"/>
      <c r="J29" s="237"/>
    </row>
    <row r="30" spans="1:10" ht="15.6" x14ac:dyDescent="0.3">
      <c r="A30" s="12" t="s">
        <v>206</v>
      </c>
      <c r="B30" s="138" t="s">
        <v>200</v>
      </c>
      <c r="C30" s="15" t="s">
        <v>40</v>
      </c>
      <c r="D30" s="137">
        <v>446461.48</v>
      </c>
      <c r="E30" s="31"/>
      <c r="F30" s="31"/>
      <c r="G30" s="228">
        <v>446461.48</v>
      </c>
      <c r="H30" s="31"/>
      <c r="I30" s="31"/>
      <c r="J30" s="237"/>
    </row>
    <row r="31" spans="1:10" ht="15.6" x14ac:dyDescent="0.3">
      <c r="A31" s="12" t="s">
        <v>205</v>
      </c>
      <c r="B31" s="139" t="s">
        <v>201</v>
      </c>
      <c r="C31" s="15"/>
      <c r="D31" s="137">
        <v>47254.52</v>
      </c>
      <c r="E31" s="31"/>
      <c r="F31" s="31"/>
      <c r="G31" s="228">
        <v>47254.52</v>
      </c>
      <c r="H31" s="31"/>
      <c r="I31" s="31"/>
      <c r="J31" s="237"/>
    </row>
    <row r="32" spans="1:10" ht="22.2" customHeight="1" x14ac:dyDescent="0.3">
      <c r="A32" s="80" t="s">
        <v>207</v>
      </c>
      <c r="B32" s="138" t="s">
        <v>202</v>
      </c>
      <c r="C32" s="26"/>
      <c r="D32" s="137">
        <v>2044</v>
      </c>
      <c r="E32" s="31"/>
      <c r="F32" s="31"/>
      <c r="G32" s="228">
        <v>2044</v>
      </c>
      <c r="H32" s="31"/>
      <c r="I32" s="31"/>
      <c r="J32" s="237"/>
    </row>
    <row r="33" spans="1:10" s="11" customFormat="1" ht="22.95" customHeight="1" x14ac:dyDescent="0.3">
      <c r="A33" s="80" t="s">
        <v>167</v>
      </c>
      <c r="B33" s="26" t="s">
        <v>168</v>
      </c>
      <c r="C33" s="26"/>
      <c r="D33" s="137">
        <v>151220.25</v>
      </c>
      <c r="E33" s="31"/>
      <c r="F33" s="31"/>
      <c r="G33" s="228">
        <v>151220.25</v>
      </c>
      <c r="H33" s="31"/>
      <c r="I33" s="31"/>
      <c r="J33" s="238"/>
    </row>
    <row r="34" spans="1:10" ht="15.6" x14ac:dyDescent="0.3">
      <c r="A34" s="12" t="s">
        <v>170</v>
      </c>
      <c r="B34" s="17" t="s">
        <v>218</v>
      </c>
      <c r="C34" s="15"/>
      <c r="D34" s="137">
        <v>46960.61</v>
      </c>
      <c r="E34" s="81"/>
      <c r="F34" s="16"/>
      <c r="G34" s="228">
        <v>46960.61</v>
      </c>
      <c r="H34" s="81"/>
      <c r="I34" s="16"/>
      <c r="J34" s="237"/>
    </row>
    <row r="35" spans="1:10" ht="19.95" customHeight="1" x14ac:dyDescent="0.3">
      <c r="A35" s="159" t="s">
        <v>178</v>
      </c>
      <c r="B35" s="17" t="s">
        <v>219</v>
      </c>
      <c r="C35" s="15"/>
      <c r="D35" s="137">
        <v>148179.73000000001</v>
      </c>
      <c r="E35" s="81"/>
      <c r="F35" s="31"/>
      <c r="G35" s="228">
        <v>148179.73000000001</v>
      </c>
      <c r="H35" s="81"/>
      <c r="I35" s="31"/>
      <c r="J35" s="237"/>
    </row>
    <row r="36" spans="1:10" s="11" customFormat="1" ht="19.2" customHeight="1" x14ac:dyDescent="0.3">
      <c r="A36" s="80" t="s">
        <v>158</v>
      </c>
      <c r="B36" s="26" t="s">
        <v>199</v>
      </c>
      <c r="C36" s="26"/>
      <c r="D36" s="137">
        <v>111000</v>
      </c>
      <c r="E36" s="31"/>
      <c r="F36" s="31"/>
      <c r="G36" s="228">
        <v>111000</v>
      </c>
      <c r="H36" s="31"/>
      <c r="I36" s="31"/>
      <c r="J36" s="238"/>
    </row>
    <row r="37" spans="1:10" s="11" customFormat="1" ht="15.6" x14ac:dyDescent="0.3">
      <c r="A37" s="80" t="s">
        <v>166</v>
      </c>
      <c r="B37" s="26" t="s">
        <v>197</v>
      </c>
      <c r="C37" s="15" t="s">
        <v>91</v>
      </c>
      <c r="D37" s="137">
        <v>593059.22</v>
      </c>
      <c r="E37" s="31"/>
      <c r="F37" s="31"/>
      <c r="G37" s="228">
        <v>593059.22</v>
      </c>
      <c r="H37" s="31"/>
      <c r="I37" s="31"/>
      <c r="J37" s="238"/>
    </row>
    <row r="38" spans="1:10" ht="19.95" customHeight="1" x14ac:dyDescent="0.3">
      <c r="A38" s="80" t="s">
        <v>203</v>
      </c>
      <c r="B38" s="26" t="s">
        <v>204</v>
      </c>
      <c r="C38" s="26"/>
      <c r="D38" s="137">
        <v>40991.120000000003</v>
      </c>
      <c r="E38" s="31"/>
      <c r="F38" s="31"/>
      <c r="G38" s="228">
        <v>40991.120000000003</v>
      </c>
      <c r="H38" s="31"/>
      <c r="I38" s="31"/>
      <c r="J38" s="237"/>
    </row>
    <row r="39" spans="1:10" ht="19.95" customHeight="1" x14ac:dyDescent="0.3">
      <c r="A39" s="12" t="s">
        <v>117</v>
      </c>
      <c r="B39" s="26" t="s">
        <v>232</v>
      </c>
      <c r="C39" s="155">
        <v>0.6</v>
      </c>
      <c r="D39" s="137">
        <v>290457</v>
      </c>
      <c r="E39" s="31"/>
      <c r="F39" s="31"/>
      <c r="G39" s="228">
        <v>290457</v>
      </c>
      <c r="H39" s="31"/>
      <c r="I39" s="31"/>
      <c r="J39" s="237"/>
    </row>
    <row r="40" spans="1:10" ht="19.95" customHeight="1" x14ac:dyDescent="0.3">
      <c r="A40" s="12" t="s">
        <v>116</v>
      </c>
      <c r="B40" s="17" t="s">
        <v>234</v>
      </c>
      <c r="C40" s="15" t="s">
        <v>233</v>
      </c>
      <c r="D40" s="137">
        <v>954520.6</v>
      </c>
      <c r="E40" s="31"/>
      <c r="F40" s="31"/>
      <c r="G40" s="228">
        <v>954520.6</v>
      </c>
      <c r="H40" s="31"/>
      <c r="I40" s="31"/>
      <c r="J40" s="237"/>
    </row>
    <row r="41" spans="1:10" ht="19.95" customHeight="1" x14ac:dyDescent="0.3">
      <c r="A41" s="159" t="s">
        <v>80</v>
      </c>
      <c r="B41" s="160" t="s">
        <v>238</v>
      </c>
      <c r="C41" s="161" t="s">
        <v>239</v>
      </c>
      <c r="D41" s="137">
        <v>330648.57999999996</v>
      </c>
      <c r="E41" s="31"/>
      <c r="F41" s="31"/>
      <c r="G41" s="228">
        <v>330648.57999999996</v>
      </c>
      <c r="H41" s="31"/>
      <c r="I41" s="31"/>
      <c r="J41" s="237"/>
    </row>
    <row r="42" spans="1:10" ht="19.95" customHeight="1" x14ac:dyDescent="0.3">
      <c r="A42" s="12" t="s">
        <v>80</v>
      </c>
      <c r="B42" s="157" t="s">
        <v>240</v>
      </c>
      <c r="C42" s="15" t="s">
        <v>237</v>
      </c>
      <c r="D42" s="137">
        <v>5437399.7429927047</v>
      </c>
      <c r="E42" s="31"/>
      <c r="F42" s="31"/>
      <c r="G42" s="228">
        <v>5437399.7429927047</v>
      </c>
      <c r="H42" s="31"/>
      <c r="I42" s="31"/>
      <c r="J42" s="237"/>
    </row>
    <row r="43" spans="1:10" ht="19.95" customHeight="1" x14ac:dyDescent="0.3">
      <c r="A43" s="121" t="s">
        <v>262</v>
      </c>
      <c r="B43" s="192" t="s">
        <v>252</v>
      </c>
      <c r="C43" s="191" t="s">
        <v>247</v>
      </c>
      <c r="D43" s="195">
        <v>359694.36</v>
      </c>
      <c r="E43" s="31"/>
      <c r="F43" s="31"/>
      <c r="G43" s="229">
        <v>359694.36</v>
      </c>
      <c r="H43" s="31"/>
      <c r="I43" s="31"/>
      <c r="J43" s="237"/>
    </row>
    <row r="44" spans="1:10" ht="19.95" customHeight="1" x14ac:dyDescent="0.3">
      <c r="A44" s="121" t="s">
        <v>208</v>
      </c>
      <c r="B44" s="17" t="s">
        <v>241</v>
      </c>
      <c r="C44" s="15"/>
      <c r="D44" s="137">
        <v>27224</v>
      </c>
      <c r="E44" s="31"/>
      <c r="F44" s="31"/>
      <c r="G44" s="228">
        <v>27224</v>
      </c>
      <c r="H44" s="31"/>
      <c r="I44" s="31"/>
      <c r="J44" s="237"/>
    </row>
    <row r="45" spans="1:10" ht="19.95" customHeight="1" x14ac:dyDescent="0.3">
      <c r="A45" s="12" t="s">
        <v>189</v>
      </c>
      <c r="B45" s="17" t="s">
        <v>246</v>
      </c>
      <c r="C45" s="110"/>
      <c r="D45" s="81">
        <v>337206.36</v>
      </c>
      <c r="E45" s="31"/>
      <c r="F45" s="31"/>
      <c r="G45" s="228">
        <v>337206.36</v>
      </c>
      <c r="H45" s="31"/>
      <c r="I45" s="31"/>
      <c r="J45" s="237"/>
    </row>
    <row r="46" spans="1:10" ht="19.95" customHeight="1" x14ac:dyDescent="0.3">
      <c r="A46" s="12" t="s">
        <v>117</v>
      </c>
      <c r="B46" s="17" t="s">
        <v>250</v>
      </c>
      <c r="D46" s="137">
        <v>145228.5</v>
      </c>
      <c r="E46" s="31"/>
      <c r="F46" s="31"/>
      <c r="G46" s="228">
        <v>145228.5</v>
      </c>
      <c r="H46" s="31"/>
      <c r="I46" s="31"/>
      <c r="J46" s="237"/>
    </row>
    <row r="47" spans="1:10" ht="19.95" customHeight="1" x14ac:dyDescent="0.3">
      <c r="A47" s="121" t="s">
        <v>208</v>
      </c>
      <c r="B47" s="17" t="s">
        <v>248</v>
      </c>
      <c r="C47" s="15"/>
      <c r="D47" s="137">
        <v>28858</v>
      </c>
      <c r="E47" s="31"/>
      <c r="F47" s="31"/>
      <c r="G47" s="228">
        <v>28858</v>
      </c>
      <c r="H47" s="31"/>
      <c r="I47" s="31"/>
      <c r="J47" s="237"/>
    </row>
    <row r="48" spans="1:10" ht="19.95" customHeight="1" x14ac:dyDescent="0.3">
      <c r="A48" s="12" t="s">
        <v>142</v>
      </c>
      <c r="B48" s="17" t="s">
        <v>249</v>
      </c>
      <c r="C48" s="15" t="s">
        <v>119</v>
      </c>
      <c r="D48" s="162">
        <v>325313.90000000002</v>
      </c>
      <c r="E48" s="31"/>
      <c r="F48" s="31"/>
      <c r="G48" s="230">
        <v>325313.90000000002</v>
      </c>
      <c r="H48" s="31"/>
      <c r="I48" s="31"/>
      <c r="J48" s="237"/>
    </row>
    <row r="49" spans="1:10" ht="19.95" customHeight="1" x14ac:dyDescent="0.3">
      <c r="A49" s="80" t="s">
        <v>116</v>
      </c>
      <c r="B49" s="32" t="s">
        <v>251</v>
      </c>
      <c r="C49" s="30" t="s">
        <v>125</v>
      </c>
      <c r="D49" s="27">
        <v>320050</v>
      </c>
      <c r="E49" s="31"/>
      <c r="F49" s="31"/>
      <c r="G49" s="231">
        <v>320050</v>
      </c>
      <c r="H49" s="31"/>
      <c r="I49" s="31"/>
      <c r="J49" s="237"/>
    </row>
    <row r="50" spans="1:10" ht="19.95" customHeight="1" x14ac:dyDescent="0.3">
      <c r="A50" s="121" t="s">
        <v>80</v>
      </c>
      <c r="B50" s="190" t="s">
        <v>268</v>
      </c>
      <c r="C50" s="191" t="s">
        <v>237</v>
      </c>
      <c r="D50" s="137">
        <v>887716.17</v>
      </c>
      <c r="E50" s="31"/>
      <c r="F50" s="31"/>
      <c r="G50" s="228">
        <v>887716.17</v>
      </c>
      <c r="H50" s="31"/>
      <c r="I50" s="31"/>
      <c r="J50" s="237"/>
    </row>
    <row r="51" spans="1:10" ht="19.95" customHeight="1" x14ac:dyDescent="0.3">
      <c r="A51" s="121" t="s">
        <v>270</v>
      </c>
      <c r="B51" s="192" t="s">
        <v>271</v>
      </c>
      <c r="C51" s="191" t="s">
        <v>237</v>
      </c>
      <c r="D51" s="193">
        <v>426150.52</v>
      </c>
      <c r="E51" s="31"/>
      <c r="F51" s="31"/>
      <c r="G51" s="232">
        <v>426150.52</v>
      </c>
      <c r="H51" s="31"/>
      <c r="I51" s="31"/>
      <c r="J51" s="237"/>
    </row>
    <row r="52" spans="1:10" ht="19.95" customHeight="1" x14ac:dyDescent="0.3">
      <c r="A52" s="80" t="s">
        <v>158</v>
      </c>
      <c r="B52" s="192" t="s">
        <v>272</v>
      </c>
      <c r="C52" s="191"/>
      <c r="D52" s="194">
        <f>285*375</f>
        <v>106875</v>
      </c>
      <c r="E52" s="31"/>
      <c r="F52" s="31"/>
      <c r="G52" s="233">
        <f>285*375</f>
        <v>106875</v>
      </c>
      <c r="H52" s="31"/>
      <c r="I52" s="31"/>
      <c r="J52" s="237"/>
    </row>
    <row r="53" spans="1:10" ht="19.95" customHeight="1" x14ac:dyDescent="0.3">
      <c r="A53" s="80" t="s">
        <v>116</v>
      </c>
      <c r="B53" s="32" t="s">
        <v>274</v>
      </c>
      <c r="C53" s="30" t="s">
        <v>125</v>
      </c>
      <c r="D53" s="27">
        <v>255300</v>
      </c>
      <c r="E53" s="31"/>
      <c r="F53" s="31"/>
      <c r="G53" s="231">
        <v>255300</v>
      </c>
      <c r="H53" s="31"/>
      <c r="I53" s="31"/>
      <c r="J53" s="237"/>
    </row>
    <row r="54" spans="1:10" ht="19.95" customHeight="1" x14ac:dyDescent="0.3">
      <c r="A54" s="121" t="s">
        <v>206</v>
      </c>
      <c r="B54" s="138" t="s">
        <v>275</v>
      </c>
      <c r="C54" s="191" t="s">
        <v>40</v>
      </c>
      <c r="D54" s="137">
        <v>69314.5</v>
      </c>
      <c r="E54" s="31"/>
      <c r="F54" s="31"/>
      <c r="G54" s="228">
        <v>69314.5</v>
      </c>
      <c r="H54" s="31"/>
      <c r="I54" s="31"/>
      <c r="J54" s="237"/>
    </row>
    <row r="55" spans="1:10" ht="19.95" customHeight="1" x14ac:dyDescent="0.3">
      <c r="A55" s="80" t="s">
        <v>142</v>
      </c>
      <c r="B55" s="32" t="s">
        <v>273</v>
      </c>
      <c r="C55" s="30" t="s">
        <v>119</v>
      </c>
      <c r="D55" s="137">
        <v>121976.77</v>
      </c>
      <c r="E55" s="31"/>
      <c r="F55" s="31"/>
      <c r="G55" s="151"/>
      <c r="H55" s="31"/>
      <c r="I55" s="31"/>
      <c r="J55" s="237" t="s">
        <v>321</v>
      </c>
    </row>
    <row r="56" spans="1:10" s="11" customFormat="1" ht="19.95" customHeight="1" x14ac:dyDescent="0.3">
      <c r="A56" s="180"/>
      <c r="B56" s="181" t="s">
        <v>276</v>
      </c>
      <c r="C56" s="182"/>
      <c r="D56" s="183">
        <v>30200</v>
      </c>
      <c r="E56" s="31"/>
      <c r="F56" s="31"/>
      <c r="G56" s="228">
        <v>30200</v>
      </c>
      <c r="H56" s="31"/>
      <c r="I56" s="31"/>
      <c r="J56" s="238"/>
    </row>
    <row r="57" spans="1:10" s="11" customFormat="1" ht="19.95" customHeight="1" x14ac:dyDescent="0.3">
      <c r="A57" s="180"/>
      <c r="B57" s="181" t="s">
        <v>277</v>
      </c>
      <c r="C57" s="182"/>
      <c r="D57" s="183">
        <v>68000</v>
      </c>
      <c r="E57" s="31"/>
      <c r="F57" s="31"/>
      <c r="G57" s="228">
        <v>68000</v>
      </c>
      <c r="H57" s="31"/>
      <c r="I57" s="31"/>
      <c r="J57" s="238"/>
    </row>
    <row r="58" spans="1:10" s="11" customFormat="1" ht="19.95" customHeight="1" x14ac:dyDescent="0.3">
      <c r="A58" s="121" t="s">
        <v>263</v>
      </c>
      <c r="B58" s="192" t="s">
        <v>279</v>
      </c>
      <c r="C58" s="191" t="s">
        <v>239</v>
      </c>
      <c r="D58" s="194">
        <v>908895.92</v>
      </c>
      <c r="E58" s="31"/>
      <c r="F58" s="31"/>
      <c r="G58" s="233">
        <v>908895.92</v>
      </c>
      <c r="H58" s="31"/>
      <c r="I58" s="31"/>
      <c r="J58" s="238"/>
    </row>
    <row r="59" spans="1:10" s="11" customFormat="1" ht="19.95" customHeight="1" x14ac:dyDescent="0.3">
      <c r="A59" s="217" t="s">
        <v>158</v>
      </c>
      <c r="B59" s="201" t="s">
        <v>280</v>
      </c>
      <c r="C59" s="202"/>
      <c r="D59" s="216">
        <f>G59</f>
        <v>70875</v>
      </c>
      <c r="E59" s="203"/>
      <c r="F59" s="203"/>
      <c r="G59" s="252">
        <v>70875</v>
      </c>
      <c r="H59" s="203"/>
      <c r="I59" s="203"/>
      <c r="J59" s="238"/>
    </row>
    <row r="60" spans="1:10" s="11" customFormat="1" ht="19.95" customHeight="1" x14ac:dyDescent="0.3">
      <c r="A60" s="217" t="s">
        <v>158</v>
      </c>
      <c r="B60" s="201" t="s">
        <v>286</v>
      </c>
      <c r="C60" s="202"/>
      <c r="D60" s="204">
        <v>33750</v>
      </c>
      <c r="E60" s="203"/>
      <c r="F60" s="203"/>
      <c r="G60" s="233">
        <v>33750</v>
      </c>
      <c r="H60" s="203"/>
      <c r="I60" s="203"/>
      <c r="J60" s="238"/>
    </row>
    <row r="61" spans="1:10" s="11" customFormat="1" ht="19.95" customHeight="1" x14ac:dyDescent="0.3">
      <c r="A61" s="217" t="s">
        <v>158</v>
      </c>
      <c r="B61" s="201" t="s">
        <v>287</v>
      </c>
      <c r="C61" s="202"/>
      <c r="D61" s="204">
        <v>30375</v>
      </c>
      <c r="E61" s="203"/>
      <c r="F61" s="203"/>
      <c r="G61" s="233">
        <v>30375</v>
      </c>
      <c r="H61" s="203"/>
      <c r="I61" s="203"/>
      <c r="J61" s="238"/>
    </row>
    <row r="62" spans="1:10" s="11" customFormat="1" ht="19.95" customHeight="1" x14ac:dyDescent="0.3">
      <c r="A62" s="217" t="s">
        <v>177</v>
      </c>
      <c r="B62" s="205" t="s">
        <v>288</v>
      </c>
      <c r="C62" s="202"/>
      <c r="D62" s="204">
        <v>148135.12</v>
      </c>
      <c r="E62" s="203"/>
      <c r="F62" s="203"/>
      <c r="G62" s="233">
        <v>148135.12</v>
      </c>
      <c r="H62" s="203"/>
      <c r="I62" s="203"/>
      <c r="J62" s="238"/>
    </row>
    <row r="63" spans="1:10" s="11" customFormat="1" ht="19.95" customHeight="1" x14ac:dyDescent="0.3">
      <c r="A63" s="217" t="s">
        <v>300</v>
      </c>
      <c r="B63" s="205" t="s">
        <v>305</v>
      </c>
      <c r="C63" s="202"/>
      <c r="D63" s="204">
        <v>120418.53</v>
      </c>
      <c r="E63" s="203"/>
      <c r="F63" s="203"/>
      <c r="G63" s="233">
        <v>120418.53</v>
      </c>
      <c r="H63" s="203"/>
      <c r="I63" s="203"/>
      <c r="J63" s="238"/>
    </row>
    <row r="64" spans="1:10" s="11" customFormat="1" ht="19.95" customHeight="1" x14ac:dyDescent="0.3">
      <c r="A64" s="218" t="s">
        <v>142</v>
      </c>
      <c r="B64" s="206" t="s">
        <v>292</v>
      </c>
      <c r="C64" s="207" t="s">
        <v>119</v>
      </c>
      <c r="D64" s="204">
        <v>27190.45</v>
      </c>
      <c r="E64" s="203"/>
      <c r="F64" s="203"/>
      <c r="G64" s="233">
        <v>27190.45</v>
      </c>
      <c r="H64" s="203"/>
      <c r="I64" s="203"/>
      <c r="J64" s="238"/>
    </row>
    <row r="65" spans="1:10" s="11" customFormat="1" ht="19.95" customHeight="1" x14ac:dyDescent="0.3">
      <c r="A65" s="217" t="s">
        <v>298</v>
      </c>
      <c r="B65" s="201" t="s">
        <v>299</v>
      </c>
      <c r="C65" s="202"/>
      <c r="D65" s="208">
        <v>73376.03</v>
      </c>
      <c r="E65" s="203"/>
      <c r="F65" s="203"/>
      <c r="G65" s="234">
        <v>73376.03</v>
      </c>
      <c r="H65" s="203"/>
      <c r="I65" s="203"/>
      <c r="J65" s="238"/>
    </row>
    <row r="66" spans="1:10" s="11" customFormat="1" ht="19.95" customHeight="1" x14ac:dyDescent="0.3">
      <c r="A66" s="217" t="s">
        <v>263</v>
      </c>
      <c r="B66" s="201" t="s">
        <v>293</v>
      </c>
      <c r="C66" s="202" t="s">
        <v>239</v>
      </c>
      <c r="D66" s="204">
        <v>15568.8</v>
      </c>
      <c r="E66" s="203"/>
      <c r="F66" s="203"/>
      <c r="G66" s="233">
        <v>15568.8</v>
      </c>
      <c r="H66" s="203"/>
      <c r="I66" s="203"/>
      <c r="J66" s="238"/>
    </row>
    <row r="67" spans="1:10" s="11" customFormat="1" ht="19.95" customHeight="1" x14ac:dyDescent="0.3">
      <c r="A67" s="217" t="s">
        <v>208</v>
      </c>
      <c r="B67" s="206" t="s">
        <v>294</v>
      </c>
      <c r="C67" s="202"/>
      <c r="D67" s="204">
        <v>5193.3999999999996</v>
      </c>
      <c r="E67" s="203"/>
      <c r="F67" s="203"/>
      <c r="G67" s="233">
        <v>5193.3999999999996</v>
      </c>
      <c r="H67" s="203"/>
      <c r="I67" s="203"/>
      <c r="J67" s="238"/>
    </row>
    <row r="68" spans="1:10" s="11" customFormat="1" ht="19.95" customHeight="1" x14ac:dyDescent="0.3">
      <c r="A68" s="217" t="s">
        <v>110</v>
      </c>
      <c r="B68" s="206" t="s">
        <v>295</v>
      </c>
      <c r="C68" s="207" t="s">
        <v>115</v>
      </c>
      <c r="D68" s="204">
        <v>244644.62</v>
      </c>
      <c r="E68" s="203"/>
      <c r="F68" s="203"/>
      <c r="G68" s="233">
        <v>244644.62</v>
      </c>
      <c r="H68" s="203"/>
      <c r="I68" s="203"/>
      <c r="J68" s="238"/>
    </row>
    <row r="69" spans="1:10" s="11" customFormat="1" ht="19.95" customHeight="1" x14ac:dyDescent="0.3">
      <c r="A69" s="217" t="s">
        <v>262</v>
      </c>
      <c r="B69" s="201" t="s">
        <v>296</v>
      </c>
      <c r="C69" s="202" t="s">
        <v>247</v>
      </c>
      <c r="D69" s="204">
        <v>1041800.07</v>
      </c>
      <c r="E69" s="203"/>
      <c r="F69" s="203"/>
      <c r="G69" s="233">
        <v>1041800.07</v>
      </c>
      <c r="H69" s="203"/>
      <c r="I69" s="203"/>
      <c r="J69" s="238"/>
    </row>
    <row r="70" spans="1:10" s="11" customFormat="1" ht="19.95" customHeight="1" x14ac:dyDescent="0.3">
      <c r="A70" s="217" t="s">
        <v>263</v>
      </c>
      <c r="B70" s="201" t="s">
        <v>297</v>
      </c>
      <c r="C70" s="202" t="s">
        <v>239</v>
      </c>
      <c r="D70" s="204">
        <v>2738195.25</v>
      </c>
      <c r="E70" s="203"/>
      <c r="F70" s="203"/>
      <c r="G70" s="233">
        <v>2738195.25</v>
      </c>
      <c r="H70" s="203"/>
      <c r="I70" s="203"/>
      <c r="J70" s="238"/>
    </row>
    <row r="71" spans="1:10" ht="15.6" x14ac:dyDescent="0.3">
      <c r="A71" s="47">
        <v>3</v>
      </c>
      <c r="B71" s="48" t="s">
        <v>18</v>
      </c>
      <c r="C71" s="48"/>
      <c r="D71" s="49">
        <f>SUM(D72:D86)</f>
        <v>6156507.6880971882</v>
      </c>
      <c r="E71" s="50"/>
      <c r="F71" s="51"/>
      <c r="G71" s="49">
        <f>SUM(G72:G86)</f>
        <v>129839.31815199999</v>
      </c>
      <c r="H71" s="50"/>
      <c r="I71" s="51"/>
      <c r="J71" s="237"/>
    </row>
    <row r="72" spans="1:10" s="11" customFormat="1" ht="15.6" x14ac:dyDescent="0.3">
      <c r="A72" s="80" t="s">
        <v>92</v>
      </c>
      <c r="B72" s="192" t="s">
        <v>306</v>
      </c>
      <c r="C72" s="191"/>
      <c r="D72" s="257">
        <v>76125</v>
      </c>
      <c r="E72" s="142"/>
      <c r="F72" s="142"/>
      <c r="G72" s="257"/>
      <c r="H72" s="142"/>
      <c r="I72" s="142"/>
      <c r="J72" s="238" t="s">
        <v>259</v>
      </c>
    </row>
    <row r="73" spans="1:10" s="11" customFormat="1" ht="15.6" x14ac:dyDescent="0.3">
      <c r="A73" s="80" t="s">
        <v>92</v>
      </c>
      <c r="B73" s="192" t="s">
        <v>307</v>
      </c>
      <c r="C73" s="191"/>
      <c r="D73" s="257">
        <v>169875</v>
      </c>
      <c r="E73" s="142"/>
      <c r="F73" s="142"/>
      <c r="G73" s="257"/>
      <c r="H73" s="142"/>
      <c r="I73" s="142"/>
      <c r="J73" s="238" t="s">
        <v>259</v>
      </c>
    </row>
    <row r="74" spans="1:10" s="11" customFormat="1" ht="15.6" x14ac:dyDescent="0.3">
      <c r="A74" s="80" t="s">
        <v>309</v>
      </c>
      <c r="B74" s="192" t="s">
        <v>308</v>
      </c>
      <c r="C74" s="191"/>
      <c r="D74" s="258">
        <v>21000</v>
      </c>
      <c r="E74" s="142"/>
      <c r="F74" s="142"/>
      <c r="G74" s="258"/>
      <c r="H74" s="142"/>
      <c r="I74" s="142"/>
      <c r="J74" s="238" t="s">
        <v>259</v>
      </c>
    </row>
    <row r="75" spans="1:10" s="11" customFormat="1" ht="15.6" x14ac:dyDescent="0.3">
      <c r="A75" s="80" t="s">
        <v>311</v>
      </c>
      <c r="B75" s="192" t="s">
        <v>310</v>
      </c>
      <c r="C75" s="191"/>
      <c r="D75" s="258">
        <v>36750</v>
      </c>
      <c r="E75" s="142"/>
      <c r="F75" s="142"/>
      <c r="G75" s="258"/>
      <c r="H75" s="142"/>
      <c r="I75" s="142"/>
      <c r="J75" s="238" t="s">
        <v>259</v>
      </c>
    </row>
    <row r="76" spans="1:10" s="11" customFormat="1" ht="46.8" x14ac:dyDescent="0.3">
      <c r="A76" s="80" t="s">
        <v>313</v>
      </c>
      <c r="B76" s="192" t="s">
        <v>331</v>
      </c>
      <c r="C76" s="191"/>
      <c r="D76" s="258">
        <v>8258.1</v>
      </c>
      <c r="E76" s="142"/>
      <c r="F76" s="142"/>
      <c r="G76" s="258"/>
      <c r="H76" s="142"/>
      <c r="I76" s="142"/>
      <c r="J76" s="238" t="s">
        <v>259</v>
      </c>
    </row>
    <row r="77" spans="1:10" s="11" customFormat="1" ht="15.6" x14ac:dyDescent="0.3">
      <c r="A77" s="80" t="s">
        <v>92</v>
      </c>
      <c r="B77" s="192" t="s">
        <v>312</v>
      </c>
      <c r="C77" s="191"/>
      <c r="D77" s="258">
        <v>21000</v>
      </c>
      <c r="E77" s="142"/>
      <c r="F77" s="142"/>
      <c r="G77" s="258"/>
      <c r="H77" s="142"/>
      <c r="I77" s="142"/>
      <c r="J77" s="238" t="s">
        <v>259</v>
      </c>
    </row>
    <row r="78" spans="1:10" s="11" customFormat="1" ht="15.6" x14ac:dyDescent="0.3">
      <c r="A78" s="121" t="s">
        <v>176</v>
      </c>
      <c r="B78" s="138" t="s">
        <v>314</v>
      </c>
      <c r="C78" s="191"/>
      <c r="D78" s="259">
        <v>129839.31815199999</v>
      </c>
      <c r="E78" s="260"/>
      <c r="F78" s="260"/>
      <c r="G78" s="259">
        <v>129839.31815199999</v>
      </c>
      <c r="H78" s="142"/>
      <c r="I78" s="142"/>
      <c r="J78" s="238"/>
    </row>
    <row r="79" spans="1:10" s="11" customFormat="1" ht="15.6" x14ac:dyDescent="0.3">
      <c r="A79" s="121" t="s">
        <v>110</v>
      </c>
      <c r="B79" s="32" t="s">
        <v>324</v>
      </c>
      <c r="C79" s="191"/>
      <c r="D79" s="257">
        <v>593014.25678718765</v>
      </c>
      <c r="E79" s="142"/>
      <c r="F79" s="142"/>
      <c r="G79" s="257"/>
      <c r="H79" s="142"/>
      <c r="I79" s="142"/>
      <c r="J79" s="238"/>
    </row>
    <row r="80" spans="1:10" s="11" customFormat="1" ht="15.6" x14ac:dyDescent="0.3">
      <c r="A80" s="256" t="s">
        <v>263</v>
      </c>
      <c r="B80" s="261" t="s">
        <v>327</v>
      </c>
      <c r="C80" s="262" t="s">
        <v>239</v>
      </c>
      <c r="D80" s="263">
        <v>3149698.21</v>
      </c>
      <c r="E80" s="142"/>
      <c r="F80" s="142"/>
      <c r="G80" s="257"/>
      <c r="H80" s="142"/>
      <c r="I80" s="142"/>
      <c r="J80" s="238"/>
    </row>
    <row r="81" spans="1:10" s="11" customFormat="1" ht="15.6" x14ac:dyDescent="0.3">
      <c r="A81" s="256" t="s">
        <v>139</v>
      </c>
      <c r="B81" s="261" t="s">
        <v>326</v>
      </c>
      <c r="C81" s="262" t="s">
        <v>46</v>
      </c>
      <c r="D81" s="109">
        <v>488038.83880000003</v>
      </c>
      <c r="E81" s="142"/>
      <c r="F81" s="142"/>
      <c r="G81" s="257"/>
      <c r="H81" s="142"/>
      <c r="I81" s="142"/>
      <c r="J81" s="238"/>
    </row>
    <row r="82" spans="1:10" s="11" customFormat="1" ht="15.6" x14ac:dyDescent="0.3">
      <c r="A82" s="256" t="s">
        <v>116</v>
      </c>
      <c r="B82" s="261" t="s">
        <v>325</v>
      </c>
      <c r="C82" s="262" t="s">
        <v>125</v>
      </c>
      <c r="D82" s="264">
        <v>434306.53</v>
      </c>
      <c r="E82" s="142"/>
      <c r="F82" s="142"/>
      <c r="G82" s="258"/>
      <c r="H82" s="142"/>
      <c r="I82" s="142"/>
      <c r="J82" s="238" t="s">
        <v>259</v>
      </c>
    </row>
    <row r="83" spans="1:10" s="11" customFormat="1" ht="31.2" x14ac:dyDescent="0.3">
      <c r="A83" s="80"/>
      <c r="B83" s="261" t="s">
        <v>332</v>
      </c>
      <c r="C83" s="191"/>
      <c r="D83" s="195">
        <v>646774</v>
      </c>
      <c r="E83" s="142"/>
      <c r="F83" s="142"/>
      <c r="G83" s="258"/>
      <c r="H83" s="142"/>
      <c r="I83" s="142"/>
      <c r="J83" s="238" t="s">
        <v>259</v>
      </c>
    </row>
    <row r="84" spans="1:10" ht="15.6" x14ac:dyDescent="0.3">
      <c r="A84" s="253" t="s">
        <v>165</v>
      </c>
      <c r="B84" s="254" t="s">
        <v>328</v>
      </c>
      <c r="C84" s="255" t="s">
        <v>164</v>
      </c>
      <c r="D84" s="265">
        <v>83715.760000000009</v>
      </c>
      <c r="E84" s="141"/>
      <c r="F84" s="141"/>
      <c r="G84" s="27"/>
      <c r="H84" s="141"/>
      <c r="I84" s="141"/>
      <c r="J84" s="237" t="s">
        <v>259</v>
      </c>
    </row>
    <row r="85" spans="1:10" ht="15.6" x14ac:dyDescent="0.3">
      <c r="A85" s="256" t="s">
        <v>110</v>
      </c>
      <c r="B85" s="254" t="s">
        <v>329</v>
      </c>
      <c r="C85" s="255" t="s">
        <v>115</v>
      </c>
      <c r="D85" s="265">
        <v>180233.32395800002</v>
      </c>
      <c r="E85" s="141"/>
      <c r="F85" s="141"/>
      <c r="G85" s="146"/>
      <c r="H85" s="141"/>
      <c r="I85" s="141"/>
      <c r="J85" s="237" t="s">
        <v>259</v>
      </c>
    </row>
    <row r="86" spans="1:10" ht="15.6" x14ac:dyDescent="0.3">
      <c r="A86" s="253" t="s">
        <v>179</v>
      </c>
      <c r="B86" s="254" t="s">
        <v>330</v>
      </c>
      <c r="C86" s="255"/>
      <c r="D86" s="265">
        <v>117879.35040000001</v>
      </c>
      <c r="E86" s="141"/>
      <c r="F86" s="141"/>
      <c r="G86" s="146"/>
      <c r="H86" s="141"/>
      <c r="I86" s="141"/>
      <c r="J86" s="237" t="s">
        <v>259</v>
      </c>
    </row>
    <row r="87" spans="1:10" ht="36.6" customHeight="1" x14ac:dyDescent="0.3">
      <c r="A87" s="47">
        <v>4</v>
      </c>
      <c r="B87" s="48" t="s">
        <v>20</v>
      </c>
      <c r="C87" s="48"/>
      <c r="D87" s="49">
        <f>SUM(D88:D91)</f>
        <v>8955964.9499999993</v>
      </c>
      <c r="E87" s="50"/>
      <c r="F87" s="51"/>
      <c r="G87" s="49">
        <f>SUM(G88:G91)</f>
        <v>8955964.9499999993</v>
      </c>
      <c r="H87" s="50"/>
      <c r="I87" s="51"/>
      <c r="J87" s="237"/>
    </row>
    <row r="88" spans="1:10" ht="45.6" customHeight="1" x14ac:dyDescent="0.3">
      <c r="A88" s="33"/>
      <c r="B88" s="26" t="s">
        <v>217</v>
      </c>
      <c r="C88" s="30" t="s">
        <v>24</v>
      </c>
      <c r="D88" s="27">
        <f>E88+F88</f>
        <v>8465713.1899999995</v>
      </c>
      <c r="E88" s="27">
        <v>0</v>
      </c>
      <c r="F88" s="27">
        <v>8465713.1899999995</v>
      </c>
      <c r="G88" s="27">
        <f>H88+I88</f>
        <v>8465713.1899999995</v>
      </c>
      <c r="H88" s="27">
        <v>0</v>
      </c>
      <c r="I88" s="27">
        <v>8465713.1899999995</v>
      </c>
      <c r="J88" s="237"/>
    </row>
    <row r="89" spans="1:10" ht="15" customHeight="1" x14ac:dyDescent="0.3">
      <c r="A89" s="33"/>
      <c r="B89" s="26" t="s">
        <v>27</v>
      </c>
      <c r="C89" s="30" t="s">
        <v>26</v>
      </c>
      <c r="D89" s="27">
        <f>E89+F89</f>
        <v>307071.43</v>
      </c>
      <c r="E89" s="27">
        <v>0</v>
      </c>
      <c r="F89" s="27">
        <v>307071.43</v>
      </c>
      <c r="G89" s="27">
        <f>H89+I89</f>
        <v>307071.43</v>
      </c>
      <c r="H89" s="27">
        <v>0</v>
      </c>
      <c r="I89" s="27">
        <v>307071.43</v>
      </c>
      <c r="J89" s="237"/>
    </row>
    <row r="90" spans="1:10" ht="18" customHeight="1" x14ac:dyDescent="0.3">
      <c r="A90" s="33"/>
      <c r="B90" s="26" t="s">
        <v>29</v>
      </c>
      <c r="C90" s="30" t="s">
        <v>28</v>
      </c>
      <c r="D90" s="27">
        <f>E90+F90</f>
        <v>76319.399999999994</v>
      </c>
      <c r="E90" s="27">
        <v>0</v>
      </c>
      <c r="F90" s="27">
        <v>76319.399999999994</v>
      </c>
      <c r="G90" s="27">
        <f>H90+I90</f>
        <v>76319.399999999994</v>
      </c>
      <c r="H90" s="27">
        <v>0</v>
      </c>
      <c r="I90" s="27">
        <v>76319.399999999994</v>
      </c>
      <c r="J90" s="237"/>
    </row>
    <row r="91" spans="1:10" ht="18" customHeight="1" x14ac:dyDescent="0.3">
      <c r="A91" s="33"/>
      <c r="B91" s="26" t="s">
        <v>34</v>
      </c>
      <c r="C91" s="35"/>
      <c r="D91" s="27">
        <f>E91+F91</f>
        <v>106860.93</v>
      </c>
      <c r="E91" s="27">
        <v>0</v>
      </c>
      <c r="F91" s="27">
        <v>106860.93</v>
      </c>
      <c r="G91" s="27">
        <f>H91+I91</f>
        <v>106860.93</v>
      </c>
      <c r="H91" s="27">
        <v>0</v>
      </c>
      <c r="I91" s="27">
        <v>106860.93</v>
      </c>
      <c r="J91" s="237"/>
    </row>
    <row r="92" spans="1:10" ht="15.6" x14ac:dyDescent="0.3">
      <c r="A92" s="54"/>
      <c r="B92" s="55" t="s">
        <v>52</v>
      </c>
      <c r="C92" s="55"/>
      <c r="D92" s="148">
        <f>D87+D13+D71</f>
        <v>38197372.041089892</v>
      </c>
      <c r="E92" s="57"/>
      <c r="F92" s="58"/>
      <c r="G92" s="148">
        <f>G87+G13+G71</f>
        <v>32048726.901144706</v>
      </c>
      <c r="H92" s="57"/>
      <c r="I92" s="58"/>
      <c r="J92" s="237"/>
    </row>
    <row r="93" spans="1:10" ht="15.6" x14ac:dyDescent="0.3">
      <c r="A93" s="124"/>
      <c r="B93" s="125" t="s">
        <v>21</v>
      </c>
      <c r="C93" s="125"/>
      <c r="D93" s="126">
        <f>D92-D11</f>
        <v>5157024.0810898915</v>
      </c>
      <c r="E93" s="127"/>
      <c r="F93" s="128"/>
      <c r="G93" s="126">
        <f>G92-G11</f>
        <v>-1232421.0588552952</v>
      </c>
      <c r="H93" s="127"/>
      <c r="I93" s="128"/>
      <c r="J93" s="237"/>
    </row>
    <row r="94" spans="1:10" ht="15.6" x14ac:dyDescent="0.3">
      <c r="A94" s="80"/>
      <c r="B94" s="35" t="s">
        <v>291</v>
      </c>
      <c r="C94" s="35"/>
      <c r="D94" s="27"/>
      <c r="E94" s="122"/>
      <c r="F94" s="123"/>
      <c r="G94" s="27"/>
      <c r="H94" s="122"/>
      <c r="I94" s="123"/>
      <c r="J94" s="237"/>
    </row>
    <row r="95" spans="1:10" ht="15.6" x14ac:dyDescent="0.3">
      <c r="A95" s="37">
        <v>5</v>
      </c>
      <c r="B95" s="38" t="s">
        <v>35</v>
      </c>
      <c r="C95" s="18"/>
      <c r="D95" s="36">
        <f>SUM(D96:D143)</f>
        <v>6664129.1025999999</v>
      </c>
      <c r="E95" s="19"/>
      <c r="F95" s="20"/>
      <c r="G95" s="36">
        <f>SUM(G96:G143)</f>
        <v>6908148.5220000008</v>
      </c>
      <c r="H95" s="19"/>
      <c r="I95" s="20"/>
      <c r="J95" s="237"/>
    </row>
    <row r="96" spans="1:10" s="136" customFormat="1" ht="31.2" x14ac:dyDescent="0.3">
      <c r="A96" s="132" t="s">
        <v>85</v>
      </c>
      <c r="B96" s="133" t="s">
        <v>11</v>
      </c>
      <c r="C96" s="133"/>
      <c r="D96" s="114"/>
      <c r="E96" s="134"/>
      <c r="F96" s="135"/>
      <c r="G96" s="244"/>
      <c r="H96" s="134"/>
      <c r="I96" s="135"/>
      <c r="J96" s="239"/>
    </row>
    <row r="97" spans="1:10" ht="15.6" x14ac:dyDescent="0.3">
      <c r="A97" s="111" t="s">
        <v>138</v>
      </c>
      <c r="B97" s="112" t="s">
        <v>162</v>
      </c>
      <c r="C97" s="113"/>
      <c r="D97" s="114"/>
      <c r="E97" s="114"/>
      <c r="F97" s="114"/>
      <c r="G97" s="244"/>
      <c r="H97" s="114"/>
      <c r="I97" s="114"/>
      <c r="J97" s="237"/>
    </row>
    <row r="98" spans="1:10" ht="27.6" customHeight="1" x14ac:dyDescent="0.3">
      <c r="A98" s="12" t="s">
        <v>262</v>
      </c>
      <c r="B98" s="26" t="s">
        <v>36</v>
      </c>
      <c r="C98" s="30" t="s">
        <v>247</v>
      </c>
      <c r="D98" s="137">
        <f>E98*0.5</f>
        <v>1881000</v>
      </c>
      <c r="E98" s="27">
        <f>3482000+280000</f>
        <v>3762000</v>
      </c>
      <c r="F98" s="27"/>
      <c r="G98" s="164">
        <f>H98*0.5</f>
        <v>1881000</v>
      </c>
      <c r="H98" s="27">
        <f>3482000+280000</f>
        <v>3762000</v>
      </c>
      <c r="I98" s="27"/>
      <c r="J98" s="237"/>
    </row>
    <row r="99" spans="1:10" ht="28.95" customHeight="1" x14ac:dyDescent="0.3">
      <c r="A99" s="80" t="s">
        <v>263</v>
      </c>
      <c r="B99" s="26" t="s">
        <v>36</v>
      </c>
      <c r="C99" s="30" t="s">
        <v>264</v>
      </c>
      <c r="D99" s="137"/>
      <c r="E99" s="137"/>
      <c r="F99" s="27"/>
      <c r="G99" s="164"/>
      <c r="H99" s="137"/>
      <c r="I99" s="27"/>
      <c r="J99" s="237"/>
    </row>
    <row r="100" spans="1:10" ht="15.6" x14ac:dyDescent="0.3">
      <c r="A100" s="132" t="s">
        <v>81</v>
      </c>
      <c r="B100" s="115" t="s">
        <v>88</v>
      </c>
      <c r="C100" s="116" t="s">
        <v>40</v>
      </c>
      <c r="D100" s="114"/>
      <c r="E100" s="117"/>
      <c r="F100" s="118"/>
      <c r="G100" s="244"/>
      <c r="H100" s="117"/>
      <c r="I100" s="118"/>
      <c r="J100" s="237"/>
    </row>
    <row r="101" spans="1:10" ht="15.6" x14ac:dyDescent="0.3">
      <c r="A101" s="111" t="s">
        <v>137</v>
      </c>
      <c r="B101" s="115" t="s">
        <v>161</v>
      </c>
      <c r="C101" s="116"/>
      <c r="D101" s="114"/>
      <c r="E101" s="117"/>
      <c r="F101" s="118"/>
      <c r="G101" s="244"/>
      <c r="H101" s="117"/>
      <c r="I101" s="118"/>
      <c r="J101" s="237"/>
    </row>
    <row r="102" spans="1:10" ht="15.6" x14ac:dyDescent="0.3">
      <c r="A102" s="12" t="s">
        <v>165</v>
      </c>
      <c r="B102" s="17" t="s">
        <v>47</v>
      </c>
      <c r="C102" s="15" t="s">
        <v>164</v>
      </c>
      <c r="D102" s="27"/>
      <c r="E102" s="94">
        <v>37950.6</v>
      </c>
      <c r="F102" s="16"/>
      <c r="G102" s="94"/>
      <c r="H102" s="13"/>
      <c r="I102" s="16"/>
      <c r="J102" s="237"/>
    </row>
    <row r="103" spans="1:10" ht="18.600000000000001" customHeight="1" x14ac:dyDescent="0.3">
      <c r="A103" s="111" t="s">
        <v>82</v>
      </c>
      <c r="B103" s="119" t="s">
        <v>43</v>
      </c>
      <c r="C103" s="116" t="s">
        <v>30</v>
      </c>
      <c r="D103" s="114"/>
      <c r="E103" s="117"/>
      <c r="F103" s="118"/>
      <c r="G103" s="244"/>
      <c r="H103" s="117"/>
      <c r="I103" s="118"/>
      <c r="J103" s="237"/>
    </row>
    <row r="104" spans="1:10" ht="18.600000000000001" customHeight="1" x14ac:dyDescent="0.3">
      <c r="A104" s="111" t="s">
        <v>87</v>
      </c>
      <c r="B104" s="119" t="s">
        <v>44</v>
      </c>
      <c r="C104" s="113" t="s">
        <v>31</v>
      </c>
      <c r="D104" s="114"/>
      <c r="E104" s="117"/>
      <c r="F104" s="118"/>
      <c r="G104" s="244"/>
      <c r="H104" s="117"/>
      <c r="I104" s="118"/>
      <c r="J104" s="237"/>
    </row>
    <row r="105" spans="1:10" ht="18.600000000000001" customHeight="1" x14ac:dyDescent="0.3">
      <c r="A105" s="111" t="s">
        <v>86</v>
      </c>
      <c r="B105" s="119" t="s">
        <v>44</v>
      </c>
      <c r="C105" s="113" t="s">
        <v>32</v>
      </c>
      <c r="D105" s="114"/>
      <c r="E105" s="117"/>
      <c r="F105" s="118"/>
      <c r="G105" s="244"/>
      <c r="H105" s="117"/>
      <c r="I105" s="118"/>
      <c r="J105" s="237"/>
    </row>
    <row r="106" spans="1:10" s="120" customFormat="1" ht="18.600000000000001" customHeight="1" x14ac:dyDescent="0.3">
      <c r="A106" s="111" t="s">
        <v>84</v>
      </c>
      <c r="B106" s="119" t="s">
        <v>12</v>
      </c>
      <c r="C106" s="116"/>
      <c r="D106" s="114"/>
      <c r="E106" s="117"/>
      <c r="F106" s="118"/>
      <c r="G106" s="244"/>
      <c r="H106" s="117"/>
      <c r="I106" s="118"/>
      <c r="J106" s="240"/>
    </row>
    <row r="107" spans="1:10" ht="18.600000000000001" customHeight="1" x14ac:dyDescent="0.3">
      <c r="A107" s="12" t="s">
        <v>139</v>
      </c>
      <c r="B107" s="7" t="s">
        <v>45</v>
      </c>
      <c r="C107" s="15" t="s">
        <v>46</v>
      </c>
      <c r="D107" s="27">
        <f>E107*0.5</f>
        <v>282185.58059999999</v>
      </c>
      <c r="E107" s="13">
        <f>1052410-D81</f>
        <v>564371.16119999997</v>
      </c>
      <c r="F107" s="16"/>
      <c r="G107" s="94">
        <f>H107*0.5</f>
        <v>526205</v>
      </c>
      <c r="H107" s="13">
        <v>1052410</v>
      </c>
      <c r="I107" s="16"/>
      <c r="J107" s="237"/>
    </row>
    <row r="108" spans="1:10" ht="15.6" x14ac:dyDescent="0.3">
      <c r="A108" s="12" t="s">
        <v>107</v>
      </c>
      <c r="B108" s="17" t="s">
        <v>47</v>
      </c>
      <c r="C108" s="15" t="s">
        <v>33</v>
      </c>
      <c r="D108" s="27">
        <f>E108*0.5</f>
        <v>154441.5</v>
      </c>
      <c r="E108" s="13">
        <v>308883</v>
      </c>
      <c r="F108" s="16"/>
      <c r="G108" s="94">
        <f>H108*0.5</f>
        <v>154441.5</v>
      </c>
      <c r="H108" s="13">
        <v>308883</v>
      </c>
      <c r="I108" s="16"/>
      <c r="J108" s="237"/>
    </row>
    <row r="109" spans="1:10" ht="15.6" x14ac:dyDescent="0.3">
      <c r="A109" s="111" t="s">
        <v>89</v>
      </c>
      <c r="B109" s="115" t="s">
        <v>90</v>
      </c>
      <c r="C109" s="116" t="s">
        <v>91</v>
      </c>
      <c r="D109" s="114"/>
      <c r="E109" s="117"/>
      <c r="F109" s="118"/>
      <c r="G109" s="244"/>
      <c r="H109" s="117"/>
      <c r="I109" s="118"/>
      <c r="J109" s="237"/>
    </row>
    <row r="110" spans="1:10" ht="15.6" x14ac:dyDescent="0.3">
      <c r="A110" s="132" t="s">
        <v>95</v>
      </c>
      <c r="B110" s="115" t="s">
        <v>96</v>
      </c>
      <c r="C110" s="15"/>
      <c r="D110" s="27"/>
      <c r="E110" s="137"/>
      <c r="F110" s="16"/>
      <c r="G110" s="94"/>
      <c r="H110" s="137"/>
      <c r="I110" s="16"/>
      <c r="J110" s="237"/>
    </row>
    <row r="111" spans="1:10" s="120" customFormat="1" ht="15.6" x14ac:dyDescent="0.3">
      <c r="A111" s="132" t="s">
        <v>92</v>
      </c>
      <c r="B111" s="115" t="s">
        <v>93</v>
      </c>
      <c r="C111" s="116"/>
      <c r="D111" s="114"/>
      <c r="E111" s="117"/>
      <c r="F111" s="118"/>
      <c r="G111" s="244"/>
      <c r="H111" s="117"/>
      <c r="I111" s="118"/>
      <c r="J111" s="240"/>
    </row>
    <row r="112" spans="1:10" ht="15.6" x14ac:dyDescent="0.3">
      <c r="A112" s="12" t="s">
        <v>108</v>
      </c>
      <c r="B112" s="17" t="s">
        <v>112</v>
      </c>
      <c r="C112" s="15" t="s">
        <v>111</v>
      </c>
      <c r="D112" s="27">
        <f>E112*0.5</f>
        <v>404507.5</v>
      </c>
      <c r="E112" s="13">
        <v>809015</v>
      </c>
      <c r="F112" s="16"/>
      <c r="G112" s="94">
        <f>H112*0.5</f>
        <v>404507.5</v>
      </c>
      <c r="H112" s="13">
        <v>809015</v>
      </c>
      <c r="I112" s="16"/>
      <c r="J112" s="237"/>
    </row>
    <row r="113" spans="1:10" s="120" customFormat="1" ht="15.6" x14ac:dyDescent="0.3">
      <c r="A113" s="111" t="s">
        <v>97</v>
      </c>
      <c r="B113" s="115" t="s">
        <v>98</v>
      </c>
      <c r="C113" s="116"/>
      <c r="D113" s="114"/>
      <c r="E113" s="117"/>
      <c r="F113" s="118"/>
      <c r="G113" s="244"/>
      <c r="H113" s="117"/>
      <c r="I113" s="118"/>
      <c r="J113" s="240"/>
    </row>
    <row r="114" spans="1:10" s="120" customFormat="1" ht="15.6" x14ac:dyDescent="0.3">
      <c r="A114" s="111" t="s">
        <v>140</v>
      </c>
      <c r="B114" s="115" t="s">
        <v>99</v>
      </c>
      <c r="C114" s="116"/>
      <c r="D114" s="114"/>
      <c r="E114" s="117"/>
      <c r="F114" s="118"/>
      <c r="G114" s="244"/>
      <c r="H114" s="117"/>
      <c r="I114" s="118"/>
      <c r="J114" s="240"/>
    </row>
    <row r="115" spans="1:10" s="120" customFormat="1" ht="15.6" x14ac:dyDescent="0.3">
      <c r="A115" s="111" t="s">
        <v>141</v>
      </c>
      <c r="B115" s="115" t="s">
        <v>99</v>
      </c>
      <c r="C115" s="116"/>
      <c r="D115" s="114"/>
      <c r="E115" s="117"/>
      <c r="F115" s="118"/>
      <c r="G115" s="244"/>
      <c r="H115" s="117"/>
      <c r="I115" s="118"/>
      <c r="J115" s="240"/>
    </row>
    <row r="116" spans="1:10" ht="15.6" x14ac:dyDescent="0.3">
      <c r="A116" s="12" t="s">
        <v>109</v>
      </c>
      <c r="B116" s="17" t="s">
        <v>121</v>
      </c>
      <c r="C116" s="15" t="s">
        <v>113</v>
      </c>
      <c r="D116" s="27">
        <f>E116*0.3</f>
        <v>1760638.5569999998</v>
      </c>
      <c r="E116" s="81">
        <f>'[1]ДЦ  благоустрій'!$K$32</f>
        <v>5868795.1899999995</v>
      </c>
      <c r="F116" s="16"/>
      <c r="G116" s="94">
        <f>H116*0.3</f>
        <v>1760638.5569999998</v>
      </c>
      <c r="H116" s="81">
        <f>'[1]ДЦ  благоустрій'!$K$32</f>
        <v>5868795.1899999995</v>
      </c>
      <c r="I116" s="16"/>
      <c r="J116" s="237"/>
    </row>
    <row r="117" spans="1:10" ht="15.6" x14ac:dyDescent="0.3">
      <c r="A117" s="80" t="s">
        <v>110</v>
      </c>
      <c r="B117" s="17" t="s">
        <v>114</v>
      </c>
      <c r="C117" s="15" t="s">
        <v>115</v>
      </c>
      <c r="D117" s="27"/>
      <c r="E117" s="164">
        <f>1109034.97</f>
        <v>1109034.97</v>
      </c>
      <c r="F117" s="16"/>
      <c r="G117" s="94"/>
      <c r="H117" s="81"/>
      <c r="I117" s="16"/>
      <c r="J117" s="237"/>
    </row>
    <row r="118" spans="1:10" s="120" customFormat="1" ht="15.6" x14ac:dyDescent="0.3">
      <c r="A118" s="111" t="s">
        <v>102</v>
      </c>
      <c r="B118" s="115" t="s">
        <v>101</v>
      </c>
      <c r="C118" s="116"/>
      <c r="D118" s="114"/>
      <c r="E118" s="117"/>
      <c r="F118" s="118"/>
      <c r="G118" s="244"/>
      <c r="H118" s="117"/>
      <c r="I118" s="118"/>
      <c r="J118" s="240"/>
    </row>
    <row r="119" spans="1:10" s="120" customFormat="1" ht="31.2" x14ac:dyDescent="0.3">
      <c r="A119" s="111" t="s">
        <v>104</v>
      </c>
      <c r="B119" s="115" t="s">
        <v>103</v>
      </c>
      <c r="C119" s="116"/>
      <c r="D119" s="117"/>
      <c r="E119" s="117"/>
      <c r="F119" s="118"/>
      <c r="G119" s="244"/>
      <c r="H119" s="117"/>
      <c r="I119" s="118"/>
      <c r="J119" s="240"/>
    </row>
    <row r="120" spans="1:10" s="120" customFormat="1" ht="31.2" x14ac:dyDescent="0.3">
      <c r="A120" s="111" t="s">
        <v>106</v>
      </c>
      <c r="B120" s="115" t="s">
        <v>105</v>
      </c>
      <c r="C120" s="116"/>
      <c r="D120" s="114"/>
      <c r="E120" s="117"/>
      <c r="F120" s="118"/>
      <c r="G120" s="244"/>
      <c r="H120" s="117"/>
      <c r="I120" s="118"/>
      <c r="J120" s="240"/>
    </row>
    <row r="121" spans="1:10" s="120" customFormat="1" ht="15.6" x14ac:dyDescent="0.3">
      <c r="A121" s="111" t="s">
        <v>116</v>
      </c>
      <c r="B121" s="115" t="s">
        <v>124</v>
      </c>
      <c r="C121" s="116" t="s">
        <v>125</v>
      </c>
      <c r="D121" s="114"/>
      <c r="E121" s="117"/>
      <c r="F121" s="118"/>
      <c r="G121" s="244"/>
      <c r="H121" s="117"/>
      <c r="I121" s="118"/>
      <c r="J121" s="240"/>
    </row>
    <row r="122" spans="1:10" ht="15.6" x14ac:dyDescent="0.3">
      <c r="A122" s="111" t="s">
        <v>117</v>
      </c>
      <c r="B122" s="115" t="s">
        <v>169</v>
      </c>
      <c r="C122" s="156"/>
      <c r="D122" s="114"/>
      <c r="E122" s="117"/>
      <c r="F122" s="16"/>
      <c r="G122" s="244"/>
      <c r="H122" s="117"/>
      <c r="I122" s="16"/>
      <c r="J122" s="237"/>
    </row>
    <row r="123" spans="1:10" ht="15.6" x14ac:dyDescent="0.3">
      <c r="A123" s="12" t="s">
        <v>118</v>
      </c>
      <c r="B123" s="17" t="s">
        <v>122</v>
      </c>
      <c r="C123" s="15" t="s">
        <v>123</v>
      </c>
      <c r="D123" s="27">
        <f>E123*0.5</f>
        <v>479556.10499999998</v>
      </c>
      <c r="E123" s="81">
        <f>959112.21</f>
        <v>959112.21</v>
      </c>
      <c r="F123" s="16"/>
      <c r="G123" s="94">
        <f>H123*0.5</f>
        <v>479556.10499999998</v>
      </c>
      <c r="H123" s="81">
        <f>959112.21</f>
        <v>959112.21</v>
      </c>
      <c r="I123" s="16"/>
      <c r="J123" s="237"/>
    </row>
    <row r="124" spans="1:10" ht="15.6" x14ac:dyDescent="0.3">
      <c r="A124" s="111" t="s">
        <v>170</v>
      </c>
      <c r="B124" s="115" t="s">
        <v>171</v>
      </c>
      <c r="C124" s="116"/>
      <c r="D124" s="114"/>
      <c r="E124" s="117"/>
      <c r="F124" s="118"/>
      <c r="G124" s="244"/>
      <c r="H124" s="117"/>
      <c r="I124" s="118"/>
      <c r="J124" s="237"/>
    </row>
    <row r="125" spans="1:10" ht="15.6" x14ac:dyDescent="0.3">
      <c r="A125" s="111" t="s">
        <v>176</v>
      </c>
      <c r="B125" s="115" t="s">
        <v>172</v>
      </c>
      <c r="C125" s="196"/>
      <c r="D125" s="114"/>
      <c r="E125" s="114"/>
      <c r="F125" s="165"/>
      <c r="G125" s="244"/>
      <c r="H125" s="114"/>
      <c r="I125" s="165"/>
      <c r="J125" s="237"/>
    </row>
    <row r="126" spans="1:10" ht="15.6" x14ac:dyDescent="0.3">
      <c r="A126" s="132" t="s">
        <v>177</v>
      </c>
      <c r="B126" s="115" t="s">
        <v>173</v>
      </c>
      <c r="C126" s="116"/>
      <c r="D126" s="114"/>
      <c r="E126" s="114"/>
      <c r="F126" s="165"/>
      <c r="G126" s="244"/>
      <c r="H126" s="114"/>
      <c r="I126" s="165"/>
      <c r="J126" s="237"/>
    </row>
    <row r="127" spans="1:10" s="120" customFormat="1" ht="15.6" x14ac:dyDescent="0.3">
      <c r="A127" s="111" t="s">
        <v>178</v>
      </c>
      <c r="B127" s="115" t="s">
        <v>174</v>
      </c>
      <c r="C127" s="116"/>
      <c r="D127" s="114"/>
      <c r="E127" s="117"/>
      <c r="F127" s="118"/>
      <c r="G127" s="244"/>
      <c r="H127" s="117"/>
      <c r="I127" s="118"/>
      <c r="J127" s="240"/>
    </row>
    <row r="128" spans="1:10" ht="15.6" x14ac:dyDescent="0.3">
      <c r="A128" s="12" t="s">
        <v>179</v>
      </c>
      <c r="B128" s="17" t="s">
        <v>175</v>
      </c>
      <c r="C128" s="15"/>
      <c r="D128" s="137"/>
      <c r="E128" s="164">
        <v>30402.5</v>
      </c>
      <c r="F128" s="16"/>
      <c r="G128" s="164"/>
      <c r="H128" s="81"/>
      <c r="I128" s="16"/>
      <c r="J128" s="237"/>
    </row>
    <row r="129" spans="1:10" ht="15.6" x14ac:dyDescent="0.3">
      <c r="A129" s="132" t="s">
        <v>142</v>
      </c>
      <c r="B129" s="115" t="s">
        <v>180</v>
      </c>
      <c r="C129" s="116" t="s">
        <v>119</v>
      </c>
      <c r="D129" s="114"/>
      <c r="E129" s="117"/>
      <c r="F129" s="118"/>
      <c r="G129" s="244"/>
      <c r="H129" s="117"/>
      <c r="I129" s="118"/>
      <c r="J129" s="237"/>
    </row>
    <row r="130" spans="1:10" ht="15.6" x14ac:dyDescent="0.3">
      <c r="A130" s="12" t="s">
        <v>143</v>
      </c>
      <c r="B130" s="17" t="s">
        <v>185</v>
      </c>
      <c r="C130" s="15" t="s">
        <v>183</v>
      </c>
      <c r="D130" s="137">
        <f>E130*0.5</f>
        <v>377574</v>
      </c>
      <c r="E130" s="81">
        <v>755148</v>
      </c>
      <c r="F130" s="16"/>
      <c r="G130" s="164">
        <f>H130*0.5</f>
        <v>377574</v>
      </c>
      <c r="H130" s="81">
        <v>755148</v>
      </c>
      <c r="I130" s="16"/>
      <c r="J130" s="237"/>
    </row>
    <row r="131" spans="1:10" ht="15.6" x14ac:dyDescent="0.3">
      <c r="A131" s="12" t="s">
        <v>144</v>
      </c>
      <c r="B131" s="17" t="s">
        <v>184</v>
      </c>
      <c r="C131" s="15" t="s">
        <v>182</v>
      </c>
      <c r="D131" s="137">
        <f>E131*0.5</f>
        <v>24481.63</v>
      </c>
      <c r="E131" s="81">
        <f>48963.26</f>
        <v>48963.26</v>
      </c>
      <c r="F131" s="16"/>
      <c r="G131" s="164">
        <f>H131*0.5</f>
        <v>24481.63</v>
      </c>
      <c r="H131" s="81">
        <f>48963.26</f>
        <v>48963.26</v>
      </c>
      <c r="I131" s="16"/>
      <c r="J131" s="237"/>
    </row>
    <row r="132" spans="1:10" ht="18.600000000000001" customHeight="1" x14ac:dyDescent="0.3">
      <c r="A132" s="12" t="s">
        <v>145</v>
      </c>
      <c r="B132" s="17" t="s">
        <v>195</v>
      </c>
      <c r="C132" s="15" t="s">
        <v>186</v>
      </c>
      <c r="D132" s="137">
        <f>E132*0.5</f>
        <v>950000</v>
      </c>
      <c r="E132" s="149">
        <v>1900000</v>
      </c>
      <c r="F132" s="16"/>
      <c r="G132" s="164">
        <f>H132*0.5</f>
        <v>950000</v>
      </c>
      <c r="H132" s="149">
        <v>1900000</v>
      </c>
      <c r="I132" s="16"/>
      <c r="J132" s="237"/>
    </row>
    <row r="133" spans="1:10" ht="15.6" x14ac:dyDescent="0.3">
      <c r="A133" s="12" t="s">
        <v>181</v>
      </c>
      <c r="B133" s="158" t="s">
        <v>124</v>
      </c>
      <c r="C133" s="15" t="s">
        <v>186</v>
      </c>
      <c r="D133" s="137">
        <f>E133*0.5</f>
        <v>255000</v>
      </c>
      <c r="E133" s="81">
        <v>510000</v>
      </c>
      <c r="F133" s="16"/>
      <c r="G133" s="164">
        <f>H133*0.5</f>
        <v>255000</v>
      </c>
      <c r="H133" s="81">
        <v>510000</v>
      </c>
      <c r="I133" s="16"/>
      <c r="J133" s="237"/>
    </row>
    <row r="134" spans="1:10" s="120" customFormat="1" ht="15.6" x14ac:dyDescent="0.3">
      <c r="A134" s="111" t="s">
        <v>187</v>
      </c>
      <c r="B134" s="115" t="s">
        <v>220</v>
      </c>
      <c r="C134" s="116"/>
      <c r="D134" s="114"/>
      <c r="E134" s="117"/>
      <c r="F134" s="118"/>
      <c r="G134" s="244"/>
      <c r="H134" s="117"/>
      <c r="I134" s="118"/>
      <c r="J134" s="240"/>
    </row>
    <row r="135" spans="1:10" ht="15.6" x14ac:dyDescent="0.3">
      <c r="A135" s="12" t="s">
        <v>188</v>
      </c>
      <c r="B135" s="17" t="s">
        <v>222</v>
      </c>
      <c r="C135" s="15"/>
      <c r="D135" s="27"/>
      <c r="E135" s="81">
        <v>31058.936000000002</v>
      </c>
      <c r="F135" s="16"/>
      <c r="G135" s="94"/>
      <c r="H135" s="81"/>
      <c r="I135" s="16"/>
      <c r="J135" s="237"/>
    </row>
    <row r="136" spans="1:10" ht="15.6" x14ac:dyDescent="0.3">
      <c r="A136" s="111" t="s">
        <v>189</v>
      </c>
      <c r="B136" s="115" t="s">
        <v>235</v>
      </c>
      <c r="C136" s="116"/>
      <c r="D136" s="114"/>
      <c r="E136" s="117"/>
      <c r="F136" s="118"/>
      <c r="G136" s="244"/>
      <c r="H136" s="117"/>
      <c r="I136" s="118"/>
      <c r="J136" s="237"/>
    </row>
    <row r="137" spans="1:10" ht="15.6" x14ac:dyDescent="0.3">
      <c r="A137" s="12" t="s">
        <v>190</v>
      </c>
      <c r="B137" s="17" t="s">
        <v>236</v>
      </c>
      <c r="C137" s="15"/>
      <c r="D137" s="27"/>
      <c r="E137" s="137">
        <v>5040</v>
      </c>
      <c r="F137" s="16"/>
      <c r="G137" s="94"/>
      <c r="H137" s="137"/>
      <c r="I137" s="16"/>
      <c r="J137" s="237"/>
    </row>
    <row r="138" spans="1:10" ht="15.6" x14ac:dyDescent="0.3">
      <c r="A138" s="12" t="s">
        <v>223</v>
      </c>
      <c r="B138" s="17" t="s">
        <v>244</v>
      </c>
      <c r="C138" s="15" t="s">
        <v>243</v>
      </c>
      <c r="D138" s="27">
        <f>E138*0.5</f>
        <v>20460.035</v>
      </c>
      <c r="E138" s="81">
        <v>40920.07</v>
      </c>
      <c r="F138" s="16"/>
      <c r="G138" s="94">
        <f>H138*0.5</f>
        <v>20460.035</v>
      </c>
      <c r="H138" s="81">
        <v>40920.07</v>
      </c>
      <c r="I138" s="16"/>
      <c r="J138" s="237"/>
    </row>
    <row r="139" spans="1:10" ht="15.6" x14ac:dyDescent="0.3">
      <c r="A139" s="132" t="s">
        <v>224</v>
      </c>
      <c r="B139" s="115" t="s">
        <v>283</v>
      </c>
      <c r="C139" s="116"/>
      <c r="D139" s="114"/>
      <c r="E139" s="117"/>
      <c r="F139" s="16"/>
      <c r="G139" s="244"/>
      <c r="H139" s="117"/>
      <c r="I139" s="16"/>
      <c r="J139" s="237"/>
    </row>
    <row r="140" spans="1:10" ht="15.6" x14ac:dyDescent="0.3">
      <c r="A140" s="12" t="s">
        <v>225</v>
      </c>
      <c r="B140" s="17" t="s">
        <v>284</v>
      </c>
      <c r="C140" s="15"/>
      <c r="D140" s="27">
        <f>E140*0.5</f>
        <v>3058.13</v>
      </c>
      <c r="E140" s="81">
        <v>6116.26</v>
      </c>
      <c r="F140" s="16"/>
      <c r="G140" s="94">
        <f>H140*0.5</f>
        <v>3058.13</v>
      </c>
      <c r="H140" s="81">
        <v>6116.26</v>
      </c>
      <c r="I140" s="16"/>
      <c r="J140" s="237"/>
    </row>
    <row r="141" spans="1:10" ht="15.6" x14ac:dyDescent="0.3">
      <c r="A141" s="111" t="s">
        <v>226</v>
      </c>
      <c r="B141" s="115" t="s">
        <v>285</v>
      </c>
      <c r="C141" s="116"/>
      <c r="D141" s="114"/>
      <c r="E141" s="219"/>
      <c r="F141" s="16"/>
      <c r="G141" s="244"/>
      <c r="H141" s="219"/>
      <c r="I141" s="16"/>
      <c r="J141" s="237"/>
    </row>
    <row r="142" spans="1:10" ht="15.6" x14ac:dyDescent="0.3">
      <c r="A142" s="12" t="s">
        <v>281</v>
      </c>
      <c r="B142" s="17" t="s">
        <v>316</v>
      </c>
      <c r="C142" s="15"/>
      <c r="D142" s="137">
        <f>E142*0.5</f>
        <v>71226.065000000002</v>
      </c>
      <c r="E142" s="81">
        <v>142452.13</v>
      </c>
      <c r="F142" s="16"/>
      <c r="G142" s="164">
        <f>H142*0.5</f>
        <v>71226.065000000002</v>
      </c>
      <c r="H142" s="81">
        <v>142452.13</v>
      </c>
      <c r="I142" s="16"/>
      <c r="J142" s="237"/>
    </row>
    <row r="143" spans="1:10" ht="31.2" x14ac:dyDescent="0.3">
      <c r="A143" s="132" t="s">
        <v>313</v>
      </c>
      <c r="B143" s="115" t="s">
        <v>315</v>
      </c>
      <c r="C143" s="116"/>
      <c r="D143" s="120"/>
      <c r="E143" s="220">
        <v>8258.1</v>
      </c>
      <c r="F143" s="16"/>
      <c r="G143" s="245"/>
      <c r="H143" s="220">
        <v>8258.1</v>
      </c>
      <c r="I143" s="16"/>
      <c r="J143" s="237"/>
    </row>
    <row r="144" spans="1:10" ht="15.6" x14ac:dyDescent="0.3">
      <c r="A144" s="83"/>
      <c r="B144" s="84" t="s">
        <v>319</v>
      </c>
      <c r="C144" s="85"/>
      <c r="D144" s="86">
        <f>D93+D95</f>
        <v>11821153.183689892</v>
      </c>
      <c r="E144" s="87"/>
      <c r="F144" s="87"/>
      <c r="G144" s="86">
        <f>G93+G95</f>
        <v>5675727.4631447056</v>
      </c>
      <c r="H144" s="87"/>
      <c r="I144" s="87"/>
      <c r="J144" s="241"/>
    </row>
    <row r="145" spans="1:10" ht="15.6" x14ac:dyDescent="0.3">
      <c r="A145" s="246"/>
      <c r="B145" s="247"/>
      <c r="C145" s="248"/>
      <c r="D145" s="249"/>
      <c r="E145" s="250" t="s">
        <v>254</v>
      </c>
      <c r="F145" s="250"/>
      <c r="G145" s="249">
        <f>G11/1.2*0.2</f>
        <v>5546857.9933333341</v>
      </c>
      <c r="H145" s="250"/>
      <c r="I145" s="250"/>
      <c r="J145" s="251"/>
    </row>
    <row r="146" spans="1:10" ht="15.6" x14ac:dyDescent="0.3">
      <c r="A146" s="246"/>
      <c r="B146" s="247"/>
      <c r="C146" s="248"/>
      <c r="D146" s="249"/>
      <c r="E146" s="250" t="s">
        <v>323</v>
      </c>
      <c r="F146" s="250"/>
      <c r="G146" s="249">
        <f>5377818.06</f>
        <v>5377818.0599999996</v>
      </c>
      <c r="H146" s="250"/>
      <c r="I146" s="250"/>
      <c r="J146" s="251"/>
    </row>
    <row r="147" spans="1:10" x14ac:dyDescent="0.3">
      <c r="D147" s="96"/>
      <c r="F147" s="11"/>
      <c r="G147" s="96"/>
      <c r="I147" s="11"/>
    </row>
    <row r="148" spans="1:10" x14ac:dyDescent="0.3">
      <c r="C148" s="2" t="s">
        <v>318</v>
      </c>
      <c r="D148" s="221">
        <v>7754608.9459151402</v>
      </c>
      <c r="F148" s="11"/>
      <c r="G148" s="221">
        <v>7754608.9459151383</v>
      </c>
      <c r="I148" s="11"/>
    </row>
    <row r="149" spans="1:10" x14ac:dyDescent="0.3">
      <c r="F149" s="209"/>
      <c r="I149" s="209"/>
    </row>
    <row r="150" spans="1:10" ht="15.6" x14ac:dyDescent="0.3">
      <c r="B150" s="67" t="s">
        <v>320</v>
      </c>
      <c r="C150" s="224"/>
      <c r="D150" s="223">
        <f>D144-D148</f>
        <v>4066544.2377747521</v>
      </c>
      <c r="G150" s="223">
        <f>G144-G148+G145-G146</f>
        <v>-1909841.5494370982</v>
      </c>
    </row>
    <row r="152" spans="1:10" x14ac:dyDescent="0.3">
      <c r="D152" s="96"/>
      <c r="G152" s="96"/>
    </row>
    <row r="154" spans="1:10" x14ac:dyDescent="0.3">
      <c r="C154" s="222"/>
    </row>
  </sheetData>
  <autoFilter ref="A1:A152"/>
  <mergeCells count="12">
    <mergeCell ref="H8:I8"/>
    <mergeCell ref="A6:F6"/>
    <mergeCell ref="A1:B1"/>
    <mergeCell ref="A2:B2"/>
    <mergeCell ref="A3:B3"/>
    <mergeCell ref="A4:D4"/>
    <mergeCell ref="A5:D5"/>
    <mergeCell ref="A8:A9"/>
    <mergeCell ref="B8:B9"/>
    <mergeCell ref="C8:C9"/>
    <mergeCell ref="D8:D9"/>
    <mergeCell ref="E8:F8"/>
  </mergeCells>
  <phoneticPr fontId="3" type="noConversion"/>
  <pageMargins left="0.11811023622047245" right="0.11811023622047245" top="0.15748031496062992" bottom="0.15748031496062992" header="0.31496062992125984" footer="0.31496062992125984"/>
  <pageSetup paperSize="9" scale="42" fitToHeight="2" orientation="landscape" verticalDpi="300" r:id="rId1"/>
  <rowBreaks count="1" manualBreakCount="1"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8"/>
  <sheetViews>
    <sheetView topLeftCell="A55" workbookViewId="0">
      <selection activeCell="B63" sqref="B63"/>
    </sheetView>
  </sheetViews>
  <sheetFormatPr defaultRowHeight="14.4" x14ac:dyDescent="0.3"/>
  <cols>
    <col min="1" max="1" width="20.33203125" style="1" customWidth="1"/>
    <col min="2" max="2" width="59.88671875" style="2" customWidth="1"/>
    <col min="3" max="3" width="26.109375" style="2" customWidth="1"/>
    <col min="4" max="4" width="18.44140625" customWidth="1"/>
    <col min="5" max="5" width="18.5546875" customWidth="1"/>
    <col min="6" max="6" width="24.88671875" customWidth="1"/>
  </cols>
  <sheetData>
    <row r="1" spans="1:6" x14ac:dyDescent="0.3">
      <c r="A1" s="268" t="s">
        <v>0</v>
      </c>
      <c r="B1" s="268"/>
      <c r="C1" s="5"/>
      <c r="D1" s="4"/>
    </row>
    <row r="2" spans="1:6" x14ac:dyDescent="0.3">
      <c r="A2" s="269" t="s">
        <v>1</v>
      </c>
      <c r="B2" s="269"/>
      <c r="C2" s="6"/>
      <c r="D2" s="4"/>
    </row>
    <row r="3" spans="1:6" x14ac:dyDescent="0.3">
      <c r="A3" s="268" t="s">
        <v>15</v>
      </c>
      <c r="B3" s="268"/>
      <c r="C3" s="5"/>
      <c r="D3" s="4"/>
    </row>
    <row r="4" spans="1:6" ht="15.6" x14ac:dyDescent="0.3">
      <c r="A4" s="270" t="s">
        <v>2</v>
      </c>
      <c r="B4" s="270"/>
      <c r="C4" s="270"/>
      <c r="D4" s="270"/>
      <c r="E4" s="200"/>
    </row>
    <row r="5" spans="1:6" x14ac:dyDescent="0.3">
      <c r="A5" s="270" t="s">
        <v>14</v>
      </c>
      <c r="B5" s="270"/>
      <c r="C5" s="270"/>
      <c r="D5" s="270"/>
      <c r="E5">
        <v>664360.55000000005</v>
      </c>
    </row>
    <row r="6" spans="1:6" ht="30.6" customHeight="1" x14ac:dyDescent="0.3">
      <c r="A6" s="267" t="s">
        <v>13</v>
      </c>
      <c r="B6" s="267"/>
      <c r="C6" s="267"/>
      <c r="D6" s="267"/>
      <c r="E6" s="267"/>
      <c r="F6" s="267"/>
    </row>
    <row r="7" spans="1:6" s="11" customFormat="1" ht="24.6" customHeight="1" thickBot="1" x14ac:dyDescent="0.35">
      <c r="A7" s="108" t="s">
        <v>303</v>
      </c>
      <c r="B7" s="108"/>
      <c r="C7" s="108"/>
      <c r="D7" s="215"/>
      <c r="E7" s="178"/>
      <c r="F7" s="108"/>
    </row>
    <row r="8" spans="1:6" s="2" customFormat="1" x14ac:dyDescent="0.3">
      <c r="A8" s="271" t="s">
        <v>289</v>
      </c>
      <c r="B8" s="273" t="s">
        <v>5</v>
      </c>
      <c r="C8" s="275" t="s">
        <v>23</v>
      </c>
      <c r="D8" s="273" t="s">
        <v>290</v>
      </c>
      <c r="E8" s="277" t="s">
        <v>7</v>
      </c>
      <c r="F8" s="277"/>
    </row>
    <row r="9" spans="1:6" s="2" customFormat="1" ht="15" thickBot="1" x14ac:dyDescent="0.35">
      <c r="A9" s="272"/>
      <c r="B9" s="274"/>
      <c r="C9" s="276"/>
      <c r="D9" s="274"/>
      <c r="E9" s="8" t="s">
        <v>9</v>
      </c>
      <c r="F9" s="8" t="s">
        <v>10</v>
      </c>
    </row>
    <row r="10" spans="1:6" s="2" customFormat="1" ht="15.6" x14ac:dyDescent="0.3">
      <c r="A10" s="39"/>
      <c r="B10" s="40" t="s">
        <v>53</v>
      </c>
      <c r="C10" s="40"/>
      <c r="D10" s="39"/>
      <c r="E10" s="39"/>
      <c r="F10" s="39"/>
    </row>
    <row r="11" spans="1:6" ht="15.6" x14ac:dyDescent="0.3">
      <c r="A11" s="23">
        <v>1</v>
      </c>
      <c r="B11" s="24" t="s">
        <v>16</v>
      </c>
      <c r="C11" s="24"/>
      <c r="D11" s="129">
        <f>23572406.64+4189780+30200+141717.6+991264.48+696227.69+55440+1561040+949831</f>
        <v>32187907.410000004</v>
      </c>
      <c r="E11" s="25"/>
      <c r="F11" s="25"/>
    </row>
    <row r="12" spans="1:6" ht="15.6" x14ac:dyDescent="0.3">
      <c r="A12" s="41"/>
      <c r="B12" s="42" t="s">
        <v>54</v>
      </c>
      <c r="C12" s="42"/>
      <c r="D12" s="43"/>
      <c r="E12" s="44"/>
      <c r="F12" s="45"/>
    </row>
    <row r="13" spans="1:6" ht="15.6" x14ac:dyDescent="0.3">
      <c r="A13" s="47">
        <v>2</v>
      </c>
      <c r="B13" s="48" t="s">
        <v>17</v>
      </c>
      <c r="C13" s="48"/>
      <c r="D13" s="49">
        <f>SUM(D14:D70)</f>
        <v>23097332.402992707</v>
      </c>
      <c r="E13" s="50"/>
      <c r="F13" s="51"/>
    </row>
    <row r="14" spans="1:6" ht="15.6" x14ac:dyDescent="0.3">
      <c r="A14" s="80" t="s">
        <v>216</v>
      </c>
      <c r="B14" s="26" t="s">
        <v>73</v>
      </c>
      <c r="C14" s="30" t="s">
        <v>74</v>
      </c>
      <c r="D14" s="137">
        <v>74844.2</v>
      </c>
      <c r="E14" s="31"/>
      <c r="F14" s="31"/>
    </row>
    <row r="15" spans="1:6" ht="15.6" x14ac:dyDescent="0.3">
      <c r="A15" s="80" t="s">
        <v>215</v>
      </c>
      <c r="B15" s="26" t="s">
        <v>75</v>
      </c>
      <c r="C15" s="30" t="s">
        <v>31</v>
      </c>
      <c r="D15" s="137">
        <v>585276.81999999995</v>
      </c>
      <c r="E15" s="31"/>
      <c r="F15" s="31"/>
    </row>
    <row r="16" spans="1:6" ht="15.6" x14ac:dyDescent="0.3">
      <c r="A16" s="80" t="s">
        <v>214</v>
      </c>
      <c r="B16" s="26" t="s">
        <v>76</v>
      </c>
      <c r="C16" s="30" t="s">
        <v>32</v>
      </c>
      <c r="D16" s="164">
        <v>585276.81999999995</v>
      </c>
      <c r="E16" s="197"/>
      <c r="F16" s="197"/>
    </row>
    <row r="17" spans="1:6" ht="15.6" x14ac:dyDescent="0.3">
      <c r="A17" s="80" t="s">
        <v>213</v>
      </c>
      <c r="B17" s="26" t="s">
        <v>146</v>
      </c>
      <c r="C17" s="30"/>
      <c r="D17" s="137">
        <v>70000</v>
      </c>
      <c r="E17" s="31"/>
      <c r="F17" s="31"/>
    </row>
    <row r="18" spans="1:6" ht="15.6" x14ac:dyDescent="0.3">
      <c r="A18" s="80" t="s">
        <v>212</v>
      </c>
      <c r="B18" s="26" t="s">
        <v>147</v>
      </c>
      <c r="C18" s="30"/>
      <c r="D18" s="137">
        <v>92115.83</v>
      </c>
      <c r="E18" s="31"/>
      <c r="F18" s="31"/>
    </row>
    <row r="19" spans="1:6" ht="31.2" x14ac:dyDescent="0.3">
      <c r="A19" s="80" t="s">
        <v>149</v>
      </c>
      <c r="B19" s="26" t="s">
        <v>148</v>
      </c>
      <c r="C19" s="30"/>
      <c r="D19" s="137">
        <v>69692.789999999994</v>
      </c>
      <c r="E19" s="31"/>
      <c r="F19" s="31"/>
    </row>
    <row r="20" spans="1:6" ht="15.6" x14ac:dyDescent="0.3">
      <c r="A20" s="80" t="s">
        <v>151</v>
      </c>
      <c r="B20" s="26" t="s">
        <v>154</v>
      </c>
      <c r="C20" s="30"/>
      <c r="D20" s="137">
        <v>220420.19</v>
      </c>
      <c r="E20" s="31"/>
      <c r="F20" s="31"/>
    </row>
    <row r="21" spans="1:6" ht="31.2" x14ac:dyDescent="0.3">
      <c r="A21" s="80" t="s">
        <v>152</v>
      </c>
      <c r="B21" s="26" t="s">
        <v>155</v>
      </c>
      <c r="C21" s="30"/>
      <c r="D21" s="137">
        <v>19075.72</v>
      </c>
      <c r="E21" s="31"/>
      <c r="F21" s="31"/>
    </row>
    <row r="22" spans="1:6" ht="31.2" x14ac:dyDescent="0.3">
      <c r="A22" s="80" t="s">
        <v>153</v>
      </c>
      <c r="B22" s="26" t="s">
        <v>156</v>
      </c>
      <c r="C22" s="30"/>
      <c r="D22" s="137">
        <v>8730</v>
      </c>
      <c r="E22" s="31"/>
      <c r="F22" s="31"/>
    </row>
    <row r="23" spans="1:6" ht="15.6" x14ac:dyDescent="0.3">
      <c r="A23" s="80" t="s">
        <v>157</v>
      </c>
      <c r="B23" s="26" t="s">
        <v>150</v>
      </c>
      <c r="C23" s="30" t="s">
        <v>30</v>
      </c>
      <c r="D23" s="137">
        <v>1609186.51</v>
      </c>
      <c r="E23" s="31"/>
      <c r="F23" s="31"/>
    </row>
    <row r="24" spans="1:6" ht="15.6" x14ac:dyDescent="0.3">
      <c r="A24" s="80" t="s">
        <v>158</v>
      </c>
      <c r="B24" s="26" t="s">
        <v>159</v>
      </c>
      <c r="C24" s="26"/>
      <c r="D24" s="137">
        <v>231000</v>
      </c>
      <c r="E24" s="31"/>
      <c r="F24" s="31"/>
    </row>
    <row r="25" spans="1:6" s="11" customFormat="1" ht="15.6" x14ac:dyDescent="0.3">
      <c r="A25" s="12" t="s">
        <v>210</v>
      </c>
      <c r="B25" s="17" t="s">
        <v>160</v>
      </c>
      <c r="C25" s="15" t="s">
        <v>46</v>
      </c>
      <c r="D25" s="137">
        <v>1027136</v>
      </c>
      <c r="E25" s="31"/>
      <c r="F25" s="31"/>
    </row>
    <row r="26" spans="1:6" s="11" customFormat="1" ht="15.6" x14ac:dyDescent="0.3">
      <c r="A26" s="12" t="s">
        <v>210</v>
      </c>
      <c r="B26" s="17" t="s">
        <v>231</v>
      </c>
      <c r="C26" s="15"/>
      <c r="D26" s="137">
        <v>33000</v>
      </c>
      <c r="E26" s="31"/>
      <c r="F26" s="31"/>
    </row>
    <row r="27" spans="1:6" s="11" customFormat="1" ht="15.6" x14ac:dyDescent="0.3">
      <c r="A27" s="12" t="s">
        <v>211</v>
      </c>
      <c r="B27" s="26" t="s">
        <v>196</v>
      </c>
      <c r="C27" s="15" t="s">
        <v>33</v>
      </c>
      <c r="D27" s="137">
        <v>309258.40000000002</v>
      </c>
      <c r="E27" s="31"/>
      <c r="F27" s="31"/>
    </row>
    <row r="28" spans="1:6" ht="15.6" x14ac:dyDescent="0.3">
      <c r="A28" s="121" t="s">
        <v>208</v>
      </c>
      <c r="B28" s="17" t="s">
        <v>198</v>
      </c>
      <c r="C28" s="15"/>
      <c r="D28" s="137">
        <v>27868</v>
      </c>
      <c r="E28" s="31"/>
      <c r="F28" s="31"/>
    </row>
    <row r="29" spans="1:6" ht="19.95" customHeight="1" x14ac:dyDescent="0.3">
      <c r="A29" s="12" t="s">
        <v>209</v>
      </c>
      <c r="B29" s="32" t="s">
        <v>193</v>
      </c>
      <c r="C29" s="30" t="s">
        <v>191</v>
      </c>
      <c r="D29" s="137">
        <v>554353</v>
      </c>
      <c r="E29" s="31"/>
      <c r="F29" s="31"/>
    </row>
    <row r="30" spans="1:6" ht="15.6" x14ac:dyDescent="0.3">
      <c r="A30" s="12" t="s">
        <v>206</v>
      </c>
      <c r="B30" s="138" t="s">
        <v>200</v>
      </c>
      <c r="C30" s="15" t="s">
        <v>40</v>
      </c>
      <c r="D30" s="137">
        <v>446461.48</v>
      </c>
      <c r="E30" s="31"/>
      <c r="F30" s="31"/>
    </row>
    <row r="31" spans="1:6" ht="15.6" x14ac:dyDescent="0.3">
      <c r="A31" s="12" t="s">
        <v>205</v>
      </c>
      <c r="B31" s="139" t="s">
        <v>201</v>
      </c>
      <c r="C31" s="15"/>
      <c r="D31" s="137">
        <v>47254.52</v>
      </c>
      <c r="E31" s="31"/>
      <c r="F31" s="31"/>
    </row>
    <row r="32" spans="1:6" ht="22.2" customHeight="1" x14ac:dyDescent="0.3">
      <c r="A32" s="80" t="s">
        <v>207</v>
      </c>
      <c r="B32" s="138" t="s">
        <v>202</v>
      </c>
      <c r="C32" s="26"/>
      <c r="D32" s="137">
        <v>2044</v>
      </c>
      <c r="E32" s="31"/>
      <c r="F32" s="31"/>
    </row>
    <row r="33" spans="1:6" s="11" customFormat="1" ht="22.95" customHeight="1" x14ac:dyDescent="0.3">
      <c r="A33" s="80" t="s">
        <v>167</v>
      </c>
      <c r="B33" s="26" t="s">
        <v>168</v>
      </c>
      <c r="C33" s="26"/>
      <c r="D33" s="137">
        <v>151220.25</v>
      </c>
      <c r="E33" s="31"/>
      <c r="F33" s="31"/>
    </row>
    <row r="34" spans="1:6" ht="15.6" x14ac:dyDescent="0.3">
      <c r="A34" s="12" t="s">
        <v>170</v>
      </c>
      <c r="B34" s="17" t="s">
        <v>218</v>
      </c>
      <c r="C34" s="15"/>
      <c r="D34" s="137">
        <v>46960.61</v>
      </c>
      <c r="E34" s="81"/>
      <c r="F34" s="16"/>
    </row>
    <row r="35" spans="1:6" ht="19.95" customHeight="1" x14ac:dyDescent="0.3">
      <c r="A35" s="159" t="s">
        <v>178</v>
      </c>
      <c r="B35" s="17" t="s">
        <v>219</v>
      </c>
      <c r="C35" s="15"/>
      <c r="D35" s="137">
        <v>148179.73000000001</v>
      </c>
      <c r="E35" s="81"/>
      <c r="F35" s="31"/>
    </row>
    <row r="36" spans="1:6" s="11" customFormat="1" ht="19.2" customHeight="1" x14ac:dyDescent="0.3">
      <c r="A36" s="80" t="s">
        <v>158</v>
      </c>
      <c r="B36" s="26" t="s">
        <v>199</v>
      </c>
      <c r="C36" s="26"/>
      <c r="D36" s="137">
        <v>111000</v>
      </c>
      <c r="E36" s="31"/>
      <c r="F36" s="31"/>
    </row>
    <row r="37" spans="1:6" s="11" customFormat="1" ht="15.6" x14ac:dyDescent="0.3">
      <c r="A37" s="80" t="s">
        <v>166</v>
      </c>
      <c r="B37" s="26" t="s">
        <v>197</v>
      </c>
      <c r="C37" s="15" t="s">
        <v>91</v>
      </c>
      <c r="D37" s="137">
        <v>593059.22</v>
      </c>
      <c r="E37" s="31"/>
      <c r="F37" s="31"/>
    </row>
    <row r="38" spans="1:6" ht="19.95" customHeight="1" x14ac:dyDescent="0.3">
      <c r="A38" s="80" t="s">
        <v>203</v>
      </c>
      <c r="B38" s="26" t="s">
        <v>204</v>
      </c>
      <c r="C38" s="26"/>
      <c r="D38" s="137">
        <v>40991.120000000003</v>
      </c>
      <c r="E38" s="31"/>
      <c r="F38" s="31"/>
    </row>
    <row r="39" spans="1:6" ht="19.95" customHeight="1" x14ac:dyDescent="0.3">
      <c r="A39" s="12" t="s">
        <v>117</v>
      </c>
      <c r="B39" s="26" t="s">
        <v>232</v>
      </c>
      <c r="C39" s="155">
        <v>0.6</v>
      </c>
      <c r="D39" s="137">
        <v>290457</v>
      </c>
      <c r="E39" s="31"/>
      <c r="F39" s="31"/>
    </row>
    <row r="40" spans="1:6" ht="19.95" customHeight="1" x14ac:dyDescent="0.3">
      <c r="A40" s="12" t="s">
        <v>116</v>
      </c>
      <c r="B40" s="17" t="s">
        <v>234</v>
      </c>
      <c r="C40" s="15" t="s">
        <v>233</v>
      </c>
      <c r="D40" s="137">
        <v>954520.6</v>
      </c>
      <c r="E40" s="31"/>
      <c r="F40" s="31"/>
    </row>
    <row r="41" spans="1:6" ht="19.95" customHeight="1" x14ac:dyDescent="0.3">
      <c r="A41" s="159" t="s">
        <v>80</v>
      </c>
      <c r="B41" s="160" t="s">
        <v>238</v>
      </c>
      <c r="C41" s="161" t="s">
        <v>239</v>
      </c>
      <c r="D41" s="137">
        <v>330648.57999999996</v>
      </c>
      <c r="E41" s="31"/>
      <c r="F41" s="31"/>
    </row>
    <row r="42" spans="1:6" ht="19.95" customHeight="1" x14ac:dyDescent="0.3">
      <c r="A42" s="12" t="s">
        <v>80</v>
      </c>
      <c r="B42" s="157" t="s">
        <v>240</v>
      </c>
      <c r="C42" s="15" t="s">
        <v>237</v>
      </c>
      <c r="D42" s="137">
        <v>5437399.7429927047</v>
      </c>
      <c r="E42" s="31"/>
      <c r="F42" s="31"/>
    </row>
    <row r="43" spans="1:6" ht="19.95" customHeight="1" x14ac:dyDescent="0.3">
      <c r="A43" s="121" t="s">
        <v>262</v>
      </c>
      <c r="B43" s="192" t="s">
        <v>252</v>
      </c>
      <c r="C43" s="191" t="s">
        <v>247</v>
      </c>
      <c r="D43" s="195">
        <v>359694.36</v>
      </c>
      <c r="E43" s="31"/>
      <c r="F43" s="31"/>
    </row>
    <row r="44" spans="1:6" ht="19.95" customHeight="1" x14ac:dyDescent="0.3">
      <c r="A44" s="121" t="s">
        <v>208</v>
      </c>
      <c r="B44" s="17" t="s">
        <v>241</v>
      </c>
      <c r="C44" s="15"/>
      <c r="D44" s="137">
        <v>27224</v>
      </c>
      <c r="E44" s="31"/>
      <c r="F44" s="31"/>
    </row>
    <row r="45" spans="1:6" ht="19.95" customHeight="1" x14ac:dyDescent="0.3">
      <c r="A45" s="12" t="s">
        <v>189</v>
      </c>
      <c r="B45" s="17" t="s">
        <v>246</v>
      </c>
      <c r="C45" s="110"/>
      <c r="D45" s="81">
        <v>337206.36</v>
      </c>
      <c r="E45" s="31"/>
      <c r="F45" s="31"/>
    </row>
    <row r="46" spans="1:6" ht="19.95" customHeight="1" x14ac:dyDescent="0.3">
      <c r="A46" s="12" t="s">
        <v>117</v>
      </c>
      <c r="B46" s="17" t="s">
        <v>250</v>
      </c>
      <c r="D46" s="137">
        <v>145228.5</v>
      </c>
      <c r="E46" s="31"/>
      <c r="F46" s="31"/>
    </row>
    <row r="47" spans="1:6" ht="19.95" customHeight="1" x14ac:dyDescent="0.3">
      <c r="A47" s="121" t="s">
        <v>208</v>
      </c>
      <c r="B47" s="17" t="s">
        <v>248</v>
      </c>
      <c r="C47" s="15"/>
      <c r="D47" s="137">
        <v>28858</v>
      </c>
      <c r="E47" s="31"/>
      <c r="F47" s="31"/>
    </row>
    <row r="48" spans="1:6" ht="19.95" customHeight="1" x14ac:dyDescent="0.3">
      <c r="A48" s="12" t="s">
        <v>142</v>
      </c>
      <c r="B48" s="17" t="s">
        <v>249</v>
      </c>
      <c r="C48" s="15" t="s">
        <v>119</v>
      </c>
      <c r="D48" s="162">
        <v>325313.90000000002</v>
      </c>
      <c r="E48" s="31"/>
      <c r="F48" s="31"/>
    </row>
    <row r="49" spans="1:6" ht="19.95" customHeight="1" x14ac:dyDescent="0.3">
      <c r="A49" s="80" t="s">
        <v>116</v>
      </c>
      <c r="B49" s="32" t="s">
        <v>251</v>
      </c>
      <c r="C49" s="30" t="s">
        <v>125</v>
      </c>
      <c r="D49" s="27">
        <v>320050</v>
      </c>
      <c r="E49" s="31"/>
      <c r="F49" s="31"/>
    </row>
    <row r="50" spans="1:6" ht="19.95" customHeight="1" x14ac:dyDescent="0.3">
      <c r="A50" s="121" t="s">
        <v>80</v>
      </c>
      <c r="B50" s="190" t="s">
        <v>268</v>
      </c>
      <c r="C50" s="191" t="s">
        <v>237</v>
      </c>
      <c r="D50" s="137">
        <v>887716.17</v>
      </c>
      <c r="E50" s="31"/>
      <c r="F50" s="31"/>
    </row>
    <row r="51" spans="1:6" ht="19.95" customHeight="1" x14ac:dyDescent="0.3">
      <c r="A51" s="121" t="s">
        <v>270</v>
      </c>
      <c r="B51" s="192" t="s">
        <v>271</v>
      </c>
      <c r="C51" s="191" t="s">
        <v>237</v>
      </c>
      <c r="D51" s="193">
        <v>426150.52</v>
      </c>
      <c r="E51" s="31"/>
      <c r="F51" s="31"/>
    </row>
    <row r="52" spans="1:6" ht="19.95" customHeight="1" x14ac:dyDescent="0.3">
      <c r="A52" s="80" t="s">
        <v>158</v>
      </c>
      <c r="B52" s="192" t="s">
        <v>272</v>
      </c>
      <c r="C52" s="191"/>
      <c r="D52" s="194">
        <f>285*375</f>
        <v>106875</v>
      </c>
      <c r="E52" s="31"/>
      <c r="F52" s="31"/>
    </row>
    <row r="53" spans="1:6" ht="19.95" customHeight="1" x14ac:dyDescent="0.3">
      <c r="A53" s="80" t="s">
        <v>116</v>
      </c>
      <c r="B53" s="32" t="s">
        <v>274</v>
      </c>
      <c r="C53" s="30" t="s">
        <v>125</v>
      </c>
      <c r="D53" s="27">
        <v>255300</v>
      </c>
      <c r="E53" s="31"/>
      <c r="F53" s="31"/>
    </row>
    <row r="54" spans="1:6" ht="19.95" customHeight="1" x14ac:dyDescent="0.3">
      <c r="A54" s="121" t="s">
        <v>206</v>
      </c>
      <c r="B54" s="138" t="s">
        <v>275</v>
      </c>
      <c r="C54" s="191" t="s">
        <v>40</v>
      </c>
      <c r="D54" s="137">
        <v>69314.5</v>
      </c>
      <c r="E54" s="31"/>
      <c r="F54" s="31"/>
    </row>
    <row r="55" spans="1:6" ht="19.95" customHeight="1" x14ac:dyDescent="0.3">
      <c r="A55" s="80" t="s">
        <v>142</v>
      </c>
      <c r="B55" s="32" t="s">
        <v>273</v>
      </c>
      <c r="C55" s="30" t="s">
        <v>119</v>
      </c>
      <c r="D55" s="137">
        <v>121976.77</v>
      </c>
      <c r="E55" s="31"/>
      <c r="F55" s="31"/>
    </row>
    <row r="56" spans="1:6" s="11" customFormat="1" ht="19.95" customHeight="1" x14ac:dyDescent="0.3">
      <c r="A56" s="180"/>
      <c r="B56" s="181" t="s">
        <v>276</v>
      </c>
      <c r="C56" s="182"/>
      <c r="D56" s="183">
        <v>30200</v>
      </c>
      <c r="E56" s="31"/>
      <c r="F56" s="31"/>
    </row>
    <row r="57" spans="1:6" s="11" customFormat="1" ht="19.95" customHeight="1" x14ac:dyDescent="0.3">
      <c r="A57" s="180"/>
      <c r="B57" s="181" t="s">
        <v>277</v>
      </c>
      <c r="C57" s="182"/>
      <c r="D57" s="183">
        <v>68000</v>
      </c>
      <c r="E57" s="31"/>
      <c r="F57" s="31"/>
    </row>
    <row r="58" spans="1:6" s="11" customFormat="1" ht="19.95" customHeight="1" x14ac:dyDescent="0.3">
      <c r="A58" s="121" t="s">
        <v>263</v>
      </c>
      <c r="B58" s="192" t="s">
        <v>279</v>
      </c>
      <c r="C58" s="191" t="s">
        <v>239</v>
      </c>
      <c r="D58" s="194">
        <v>908895.92</v>
      </c>
      <c r="E58" s="31"/>
      <c r="F58" s="31"/>
    </row>
    <row r="59" spans="1:6" s="11" customFormat="1" ht="19.95" customHeight="1" x14ac:dyDescent="0.3">
      <c r="A59" s="213" t="s">
        <v>158</v>
      </c>
      <c r="B59" s="201" t="s">
        <v>280</v>
      </c>
      <c r="C59" s="202"/>
      <c r="D59" s="210">
        <v>83250</v>
      </c>
      <c r="E59" s="203"/>
      <c r="F59" s="203"/>
    </row>
    <row r="60" spans="1:6" s="11" customFormat="1" ht="19.95" customHeight="1" x14ac:dyDescent="0.3">
      <c r="A60" s="213" t="s">
        <v>158</v>
      </c>
      <c r="B60" s="201" t="s">
        <v>286</v>
      </c>
      <c r="C60" s="202"/>
      <c r="D60" s="204">
        <v>33750</v>
      </c>
      <c r="E60" s="203"/>
      <c r="F60" s="203"/>
    </row>
    <row r="61" spans="1:6" s="11" customFormat="1" ht="19.95" customHeight="1" x14ac:dyDescent="0.3">
      <c r="A61" s="213" t="s">
        <v>158</v>
      </c>
      <c r="B61" s="201" t="s">
        <v>287</v>
      </c>
      <c r="C61" s="202"/>
      <c r="D61" s="204">
        <v>30375</v>
      </c>
      <c r="E61" s="203"/>
      <c r="F61" s="203"/>
    </row>
    <row r="62" spans="1:6" s="11" customFormat="1" ht="19.95" customHeight="1" x14ac:dyDescent="0.3">
      <c r="A62" s="213" t="s">
        <v>177</v>
      </c>
      <c r="B62" s="205" t="s">
        <v>288</v>
      </c>
      <c r="C62" s="202"/>
      <c r="D62" s="204">
        <v>148135.12</v>
      </c>
      <c r="E62" s="203"/>
      <c r="F62" s="203"/>
    </row>
    <row r="63" spans="1:6" s="11" customFormat="1" ht="19.95" customHeight="1" x14ac:dyDescent="0.3">
      <c r="A63" s="213" t="s">
        <v>300</v>
      </c>
      <c r="B63" s="211" t="s">
        <v>305</v>
      </c>
      <c r="C63" s="202"/>
      <c r="D63" s="204">
        <v>120418.53</v>
      </c>
      <c r="E63" s="203"/>
      <c r="F63" s="203"/>
    </row>
    <row r="64" spans="1:6" s="11" customFormat="1" ht="19.95" customHeight="1" x14ac:dyDescent="0.3">
      <c r="A64" s="214" t="s">
        <v>142</v>
      </c>
      <c r="B64" s="206" t="s">
        <v>292</v>
      </c>
      <c r="C64" s="207" t="s">
        <v>119</v>
      </c>
      <c r="D64" s="204">
        <v>27190.45</v>
      </c>
      <c r="E64" s="203"/>
      <c r="F64" s="203"/>
    </row>
    <row r="65" spans="1:6" s="11" customFormat="1" ht="19.95" customHeight="1" x14ac:dyDescent="0.3">
      <c r="A65" s="213" t="s">
        <v>298</v>
      </c>
      <c r="B65" s="201" t="s">
        <v>299</v>
      </c>
      <c r="C65" s="202"/>
      <c r="D65" s="208">
        <v>73376.03</v>
      </c>
      <c r="E65" s="203"/>
      <c r="F65" s="203"/>
    </row>
    <row r="66" spans="1:6" s="11" customFormat="1" ht="19.95" customHeight="1" x14ac:dyDescent="0.3">
      <c r="A66" s="213" t="s">
        <v>263</v>
      </c>
      <c r="B66" s="201" t="s">
        <v>293</v>
      </c>
      <c r="C66" s="202" t="s">
        <v>239</v>
      </c>
      <c r="D66" s="204">
        <v>15568.8</v>
      </c>
      <c r="E66" s="203"/>
      <c r="F66" s="203"/>
    </row>
    <row r="67" spans="1:6" s="11" customFormat="1" ht="19.95" customHeight="1" x14ac:dyDescent="0.3">
      <c r="A67" s="213" t="s">
        <v>208</v>
      </c>
      <c r="B67" s="206" t="s">
        <v>294</v>
      </c>
      <c r="C67" s="202"/>
      <c r="D67" s="204">
        <v>5193.3999999999996</v>
      </c>
      <c r="E67" s="203"/>
      <c r="F67" s="203"/>
    </row>
    <row r="68" spans="1:6" s="11" customFormat="1" ht="19.95" customHeight="1" x14ac:dyDescent="0.3">
      <c r="A68" s="213" t="s">
        <v>110</v>
      </c>
      <c r="B68" s="206" t="s">
        <v>295</v>
      </c>
      <c r="C68" s="207" t="s">
        <v>115</v>
      </c>
      <c r="D68" s="204">
        <v>244644.62</v>
      </c>
      <c r="E68" s="203"/>
      <c r="F68" s="203"/>
    </row>
    <row r="69" spans="1:6" s="11" customFormat="1" ht="19.95" customHeight="1" x14ac:dyDescent="0.3">
      <c r="A69" s="213" t="s">
        <v>262</v>
      </c>
      <c r="B69" s="201" t="s">
        <v>296</v>
      </c>
      <c r="C69" s="202" t="s">
        <v>247</v>
      </c>
      <c r="D69" s="204">
        <v>1041800.07</v>
      </c>
      <c r="E69" s="203"/>
      <c r="F69" s="203"/>
    </row>
    <row r="70" spans="1:6" s="11" customFormat="1" ht="19.95" customHeight="1" x14ac:dyDescent="0.3">
      <c r="A70" s="213" t="s">
        <v>263</v>
      </c>
      <c r="B70" s="201" t="s">
        <v>297</v>
      </c>
      <c r="C70" s="202" t="s">
        <v>239</v>
      </c>
      <c r="D70" s="204">
        <v>2738195.25</v>
      </c>
      <c r="E70" s="203"/>
      <c r="F70" s="203"/>
    </row>
    <row r="71" spans="1:6" ht="15.6" x14ac:dyDescent="0.3">
      <c r="A71" s="47">
        <v>3</v>
      </c>
      <c r="B71" s="48" t="s">
        <v>18</v>
      </c>
      <c r="C71" s="48"/>
      <c r="D71" s="49">
        <f>SUM(D72:D74)*0</f>
        <v>0</v>
      </c>
      <c r="E71" s="50"/>
      <c r="F71" s="51"/>
    </row>
    <row r="72" spans="1:6" ht="18" x14ac:dyDescent="0.3">
      <c r="A72" s="159" t="s">
        <v>178</v>
      </c>
      <c r="B72" s="211" t="s">
        <v>304</v>
      </c>
      <c r="C72" s="138"/>
      <c r="D72" s="137">
        <v>157165.7996</v>
      </c>
      <c r="E72" s="122"/>
      <c r="F72" s="123"/>
    </row>
    <row r="73" spans="1:6" ht="15.6" x14ac:dyDescent="0.3">
      <c r="A73" s="80"/>
      <c r="B73" s="139" t="s">
        <v>302</v>
      </c>
      <c r="C73" s="161"/>
      <c r="D73" s="170">
        <v>335250</v>
      </c>
      <c r="E73" s="141"/>
      <c r="F73" s="141"/>
    </row>
    <row r="74" spans="1:6" x14ac:dyDescent="0.3">
      <c r="A74" s="140"/>
      <c r="B74" s="110" t="s">
        <v>301</v>
      </c>
      <c r="C74" s="110"/>
      <c r="D74" s="198">
        <v>782504</v>
      </c>
      <c r="E74" s="141"/>
      <c r="F74" s="141"/>
    </row>
    <row r="75" spans="1:6" ht="36.6" customHeight="1" x14ac:dyDescent="0.3">
      <c r="A75" s="47">
        <v>4</v>
      </c>
      <c r="B75" s="48" t="s">
        <v>20</v>
      </c>
      <c r="C75" s="48"/>
      <c r="D75" s="49">
        <f>SUM(D76:D79)</f>
        <v>8955964.9499999993</v>
      </c>
      <c r="E75" s="50"/>
      <c r="F75" s="51"/>
    </row>
    <row r="76" spans="1:6" ht="45.6" customHeight="1" x14ac:dyDescent="0.3">
      <c r="A76" s="33"/>
      <c r="B76" s="26" t="s">
        <v>217</v>
      </c>
      <c r="C76" s="30" t="s">
        <v>24</v>
      </c>
      <c r="D76" s="27">
        <f>E76+F76</f>
        <v>8465713.1899999995</v>
      </c>
      <c r="E76" s="27">
        <v>0</v>
      </c>
      <c r="F76" s="27">
        <v>8465713.1899999995</v>
      </c>
    </row>
    <row r="77" spans="1:6" ht="15" customHeight="1" x14ac:dyDescent="0.3">
      <c r="A77" s="33"/>
      <c r="B77" s="26" t="s">
        <v>27</v>
      </c>
      <c r="C77" s="30" t="s">
        <v>26</v>
      </c>
      <c r="D77" s="27">
        <f>E77+F77</f>
        <v>307071.43</v>
      </c>
      <c r="E77" s="27">
        <v>0</v>
      </c>
      <c r="F77" s="27">
        <v>307071.43</v>
      </c>
    </row>
    <row r="78" spans="1:6" ht="18" customHeight="1" x14ac:dyDescent="0.3">
      <c r="A78" s="33"/>
      <c r="B78" s="26" t="s">
        <v>29</v>
      </c>
      <c r="C78" s="30" t="s">
        <v>28</v>
      </c>
      <c r="D78" s="27">
        <f>E78+F78</f>
        <v>76319.399999999994</v>
      </c>
      <c r="E78" s="27">
        <v>0</v>
      </c>
      <c r="F78" s="27">
        <v>76319.399999999994</v>
      </c>
    </row>
    <row r="79" spans="1:6" ht="18" customHeight="1" x14ac:dyDescent="0.3">
      <c r="A79" s="33"/>
      <c r="B79" s="26" t="s">
        <v>34</v>
      </c>
      <c r="C79" s="35"/>
      <c r="D79" s="27">
        <f>E79+F79</f>
        <v>106860.93</v>
      </c>
      <c r="E79" s="27">
        <v>0</v>
      </c>
      <c r="F79" s="27">
        <v>106860.93</v>
      </c>
    </row>
    <row r="80" spans="1:6" ht="15.6" x14ac:dyDescent="0.3">
      <c r="A80" s="54"/>
      <c r="B80" s="55" t="s">
        <v>52</v>
      </c>
      <c r="C80" s="55"/>
      <c r="D80" s="148">
        <f>D75+D13+D71</f>
        <v>32053297.352992706</v>
      </c>
      <c r="E80" s="57"/>
      <c r="F80" s="58"/>
    </row>
    <row r="81" spans="1:6" ht="15.6" x14ac:dyDescent="0.3">
      <c r="A81" s="124"/>
      <c r="B81" s="125" t="s">
        <v>21</v>
      </c>
      <c r="C81" s="125"/>
      <c r="D81" s="126">
        <f>D80-D11</f>
        <v>-134610.05700729787</v>
      </c>
      <c r="E81" s="127"/>
      <c r="F81" s="128"/>
    </row>
    <row r="82" spans="1:6" ht="15.6" x14ac:dyDescent="0.3">
      <c r="A82" s="80"/>
      <c r="B82" s="35" t="s">
        <v>291</v>
      </c>
      <c r="C82" s="35"/>
      <c r="D82" s="27"/>
      <c r="E82" s="122"/>
      <c r="F82" s="123"/>
    </row>
    <row r="83" spans="1:6" ht="15.6" x14ac:dyDescent="0.3">
      <c r="A83" s="37">
        <v>5</v>
      </c>
      <c r="B83" s="38" t="s">
        <v>35</v>
      </c>
      <c r="C83" s="18"/>
      <c r="D83" s="36">
        <f>SUM(D84:D131)</f>
        <v>2519719.5439766208</v>
      </c>
      <c r="E83" s="19"/>
      <c r="F83" s="20"/>
    </row>
    <row r="84" spans="1:6" s="136" customFormat="1" ht="31.2" x14ac:dyDescent="0.3">
      <c r="A84" s="132" t="s">
        <v>85</v>
      </c>
      <c r="B84" s="133" t="s">
        <v>11</v>
      </c>
      <c r="C84" s="133"/>
      <c r="D84" s="114"/>
      <c r="E84" s="134"/>
      <c r="F84" s="135"/>
    </row>
    <row r="85" spans="1:6" ht="15.6" x14ac:dyDescent="0.3">
      <c r="A85" s="111" t="s">
        <v>138</v>
      </c>
      <c r="B85" s="112" t="s">
        <v>162</v>
      </c>
      <c r="C85" s="113"/>
      <c r="D85" s="114"/>
      <c r="E85" s="114"/>
      <c r="F85" s="114"/>
    </row>
    <row r="86" spans="1:6" ht="27.6" customHeight="1" x14ac:dyDescent="0.3">
      <c r="A86" s="12" t="s">
        <v>262</v>
      </c>
      <c r="B86" s="26" t="s">
        <v>36</v>
      </c>
      <c r="C86" s="30" t="s">
        <v>247</v>
      </c>
      <c r="D86" s="199">
        <f>E86*0.5+F86*0.8-D69</f>
        <v>1009045.5764766202</v>
      </c>
      <c r="E86" s="27">
        <f>4101691.29295324</f>
        <v>4101691.2929532402</v>
      </c>
      <c r="F86" s="27"/>
    </row>
    <row r="87" spans="1:6" ht="28.95" customHeight="1" x14ac:dyDescent="0.3">
      <c r="A87" s="214" t="s">
        <v>263</v>
      </c>
      <c r="B87" s="26" t="s">
        <v>36</v>
      </c>
      <c r="C87" s="30" t="s">
        <v>264</v>
      </c>
      <c r="D87" s="199">
        <f t="shared" ref="D87" si="0">E87*0.5+F87*0.8</f>
        <v>0</v>
      </c>
      <c r="E87" s="27">
        <f>1827923.90998463*0</f>
        <v>0</v>
      </c>
      <c r="F87" s="27"/>
    </row>
    <row r="88" spans="1:6" ht="15.6" x14ac:dyDescent="0.3">
      <c r="A88" s="212" t="s">
        <v>81</v>
      </c>
      <c r="B88" s="115" t="s">
        <v>88</v>
      </c>
      <c r="C88" s="116" t="s">
        <v>40</v>
      </c>
      <c r="D88" s="114"/>
      <c r="E88" s="117"/>
      <c r="F88" s="118"/>
    </row>
    <row r="89" spans="1:6" ht="15.6" x14ac:dyDescent="0.3">
      <c r="A89" s="111" t="s">
        <v>137</v>
      </c>
      <c r="B89" s="115" t="s">
        <v>161</v>
      </c>
      <c r="C89" s="116"/>
      <c r="D89" s="114"/>
      <c r="E89" s="117"/>
      <c r="F89" s="118"/>
    </row>
    <row r="90" spans="1:6" ht="15.6" x14ac:dyDescent="0.3">
      <c r="A90" s="12" t="s">
        <v>165</v>
      </c>
      <c r="B90" s="17" t="s">
        <v>47</v>
      </c>
      <c r="C90" s="15" t="s">
        <v>164</v>
      </c>
      <c r="D90" s="27">
        <f t="shared" ref="D90" si="1">E90*0.5+F90*0.8</f>
        <v>18975.3</v>
      </c>
      <c r="E90" s="13">
        <v>37950.6</v>
      </c>
      <c r="F90" s="16"/>
    </row>
    <row r="91" spans="1:6" ht="18.600000000000001" customHeight="1" x14ac:dyDescent="0.3">
      <c r="A91" s="111" t="s">
        <v>82</v>
      </c>
      <c r="B91" s="119" t="s">
        <v>43</v>
      </c>
      <c r="C91" s="116" t="s">
        <v>30</v>
      </c>
      <c r="D91" s="114"/>
      <c r="E91" s="117"/>
      <c r="F91" s="118"/>
    </row>
    <row r="92" spans="1:6" ht="18.600000000000001" customHeight="1" x14ac:dyDescent="0.3">
      <c r="A92" s="111" t="s">
        <v>87</v>
      </c>
      <c r="B92" s="119" t="s">
        <v>44</v>
      </c>
      <c r="C92" s="113" t="s">
        <v>31</v>
      </c>
      <c r="D92" s="114"/>
      <c r="E92" s="117"/>
      <c r="F92" s="118"/>
    </row>
    <row r="93" spans="1:6" ht="18.600000000000001" customHeight="1" x14ac:dyDescent="0.3">
      <c r="A93" s="111" t="s">
        <v>86</v>
      </c>
      <c r="B93" s="119" t="s">
        <v>44</v>
      </c>
      <c r="C93" s="113" t="s">
        <v>32</v>
      </c>
      <c r="D93" s="114"/>
      <c r="E93" s="117"/>
      <c r="F93" s="118"/>
    </row>
    <row r="94" spans="1:6" s="120" customFormat="1" ht="18.600000000000001" customHeight="1" x14ac:dyDescent="0.3">
      <c r="A94" s="111" t="s">
        <v>84</v>
      </c>
      <c r="B94" s="119" t="s">
        <v>12</v>
      </c>
      <c r="C94" s="116"/>
      <c r="D94" s="114"/>
      <c r="E94" s="117"/>
      <c r="F94" s="118"/>
    </row>
    <row r="95" spans="1:6" ht="18.600000000000001" customHeight="1" x14ac:dyDescent="0.3">
      <c r="A95" s="12" t="s">
        <v>139</v>
      </c>
      <c r="B95" s="7" t="s">
        <v>45</v>
      </c>
      <c r="C95" s="15" t="s">
        <v>46</v>
      </c>
      <c r="D95" s="27">
        <f>E95*0.5</f>
        <v>526205</v>
      </c>
      <c r="E95" s="13">
        <v>1052410</v>
      </c>
      <c r="F95" s="16"/>
    </row>
    <row r="96" spans="1:6" ht="15.6" x14ac:dyDescent="0.3">
      <c r="A96" s="12" t="s">
        <v>107</v>
      </c>
      <c r="B96" s="17" t="s">
        <v>47</v>
      </c>
      <c r="C96" s="15" t="s">
        <v>33</v>
      </c>
      <c r="D96" s="27">
        <f>E96*0.5</f>
        <v>154441.5</v>
      </c>
      <c r="E96" s="13">
        <v>308883</v>
      </c>
      <c r="F96" s="16"/>
    </row>
    <row r="97" spans="1:6" ht="15.6" x14ac:dyDescent="0.3">
      <c r="A97" s="111" t="s">
        <v>89</v>
      </c>
      <c r="B97" s="115" t="s">
        <v>90</v>
      </c>
      <c r="C97" s="116" t="s">
        <v>91</v>
      </c>
      <c r="D97" s="114"/>
      <c r="E97" s="117"/>
      <c r="F97" s="118"/>
    </row>
    <row r="98" spans="1:6" ht="15.6" x14ac:dyDescent="0.3">
      <c r="A98" s="212" t="s">
        <v>95</v>
      </c>
      <c r="B98" s="115" t="s">
        <v>96</v>
      </c>
      <c r="C98" s="15"/>
      <c r="D98" s="27"/>
      <c r="E98" s="137"/>
      <c r="F98" s="16"/>
    </row>
    <row r="99" spans="1:6" s="120" customFormat="1" ht="15.6" x14ac:dyDescent="0.3">
      <c r="A99" s="212" t="s">
        <v>92</v>
      </c>
      <c r="B99" s="115" t="s">
        <v>93</v>
      </c>
      <c r="C99" s="116"/>
      <c r="D99" s="114"/>
      <c r="E99" s="117"/>
      <c r="F99" s="118"/>
    </row>
    <row r="100" spans="1:6" ht="15.6" x14ac:dyDescent="0.3">
      <c r="A100" s="12" t="s">
        <v>108</v>
      </c>
      <c r="B100" s="17" t="s">
        <v>112</v>
      </c>
      <c r="C100" s="15" t="s">
        <v>111</v>
      </c>
      <c r="D100" s="27"/>
      <c r="E100" s="13">
        <v>809015</v>
      </c>
      <c r="F100" s="16"/>
    </row>
    <row r="101" spans="1:6" s="120" customFormat="1" ht="15.6" x14ac:dyDescent="0.3">
      <c r="A101" s="111" t="s">
        <v>97</v>
      </c>
      <c r="B101" s="115" t="s">
        <v>98</v>
      </c>
      <c r="C101" s="116"/>
      <c r="D101" s="114"/>
      <c r="E101" s="117"/>
      <c r="F101" s="118"/>
    </row>
    <row r="102" spans="1:6" s="120" customFormat="1" ht="15.6" x14ac:dyDescent="0.3">
      <c r="A102" s="111" t="s">
        <v>140</v>
      </c>
      <c r="B102" s="115" t="s">
        <v>99</v>
      </c>
      <c r="C102" s="116"/>
      <c r="D102" s="114"/>
      <c r="E102" s="117"/>
      <c r="F102" s="118"/>
    </row>
    <row r="103" spans="1:6" s="120" customFormat="1" ht="15.6" x14ac:dyDescent="0.3">
      <c r="A103" s="111" t="s">
        <v>141</v>
      </c>
      <c r="B103" s="115" t="s">
        <v>99</v>
      </c>
      <c r="C103" s="116"/>
      <c r="D103" s="114"/>
      <c r="E103" s="117"/>
      <c r="F103" s="118"/>
    </row>
    <row r="104" spans="1:6" ht="15.6" x14ac:dyDescent="0.3">
      <c r="A104" s="12" t="s">
        <v>109</v>
      </c>
      <c r="B104" s="17" t="s">
        <v>121</v>
      </c>
      <c r="C104" s="15" t="s">
        <v>113</v>
      </c>
      <c r="D104" s="27"/>
      <c r="E104" s="81">
        <f>'[1]ДЦ  благоустрій'!$K$32</f>
        <v>5868795.1899999995</v>
      </c>
      <c r="F104" s="16"/>
    </row>
    <row r="105" spans="1:6" ht="15.6" x14ac:dyDescent="0.3">
      <c r="A105" s="214" t="s">
        <v>110</v>
      </c>
      <c r="B105" s="17" t="s">
        <v>114</v>
      </c>
      <c r="C105" s="15" t="s">
        <v>115</v>
      </c>
      <c r="D105" s="43">
        <f>E105*0.5+F105*0.8-D68</f>
        <v>309872.86499999999</v>
      </c>
      <c r="E105" s="81">
        <f>1109034.97</f>
        <v>1109034.97</v>
      </c>
      <c r="F105" s="16"/>
    </row>
    <row r="106" spans="1:6" s="120" customFormat="1" ht="15.6" x14ac:dyDescent="0.3">
      <c r="A106" s="111" t="s">
        <v>102</v>
      </c>
      <c r="B106" s="115" t="s">
        <v>101</v>
      </c>
      <c r="C106" s="116"/>
      <c r="D106" s="114"/>
      <c r="E106" s="117"/>
      <c r="F106" s="118"/>
    </row>
    <row r="107" spans="1:6" s="120" customFormat="1" ht="31.2" x14ac:dyDescent="0.3">
      <c r="A107" s="111" t="s">
        <v>104</v>
      </c>
      <c r="B107" s="115" t="s">
        <v>103</v>
      </c>
      <c r="C107" s="116"/>
      <c r="D107" s="117"/>
      <c r="E107" s="117"/>
      <c r="F107" s="118"/>
    </row>
    <row r="108" spans="1:6" s="120" customFormat="1" ht="31.2" x14ac:dyDescent="0.3">
      <c r="A108" s="111" t="s">
        <v>106</v>
      </c>
      <c r="B108" s="115" t="s">
        <v>105</v>
      </c>
      <c r="C108" s="116"/>
      <c r="D108" s="114"/>
      <c r="E108" s="117"/>
      <c r="F108" s="118"/>
    </row>
    <row r="109" spans="1:6" ht="15.6" x14ac:dyDescent="0.3">
      <c r="A109" s="159" t="s">
        <v>116</v>
      </c>
      <c r="B109" s="139" t="s">
        <v>124</v>
      </c>
      <c r="C109" s="161" t="s">
        <v>125</v>
      </c>
      <c r="D109" s="27">
        <f t="shared" ref="D109" si="2">E109*0.5+F109*0.8</f>
        <v>96200</v>
      </c>
      <c r="E109" s="81">
        <f>41.5*18500-D49-D53</f>
        <v>192400</v>
      </c>
      <c r="F109" s="163"/>
    </row>
    <row r="110" spans="1:6" ht="15.6" x14ac:dyDescent="0.3">
      <c r="A110" s="111" t="s">
        <v>117</v>
      </c>
      <c r="B110" s="115" t="s">
        <v>169</v>
      </c>
      <c r="C110" s="156"/>
      <c r="D110" s="114"/>
      <c r="E110" s="117"/>
      <c r="F110" s="16"/>
    </row>
    <row r="111" spans="1:6" ht="15.6" x14ac:dyDescent="0.3">
      <c r="A111" s="12" t="s">
        <v>118</v>
      </c>
      <c r="B111" s="17" t="s">
        <v>122</v>
      </c>
      <c r="C111" s="15" t="s">
        <v>123</v>
      </c>
      <c r="D111" s="27">
        <f>E111*0.5+F111*0.8</f>
        <v>239778.05249999999</v>
      </c>
      <c r="E111" s="81">
        <f>959112.21*0.5</f>
        <v>479556.10499999998</v>
      </c>
      <c r="F111" s="16"/>
    </row>
    <row r="112" spans="1:6" ht="15.6" x14ac:dyDescent="0.3">
      <c r="A112" s="111" t="s">
        <v>170</v>
      </c>
      <c r="B112" s="115" t="s">
        <v>171</v>
      </c>
      <c r="C112" s="116"/>
      <c r="D112" s="114"/>
      <c r="E112" s="117"/>
      <c r="F112" s="118"/>
    </row>
    <row r="113" spans="1:6" ht="15.6" x14ac:dyDescent="0.3">
      <c r="A113" s="111" t="s">
        <v>176</v>
      </c>
      <c r="B113" s="115" t="s">
        <v>172</v>
      </c>
      <c r="C113" s="196"/>
      <c r="D113" s="114"/>
      <c r="E113" s="114"/>
      <c r="F113" s="165"/>
    </row>
    <row r="114" spans="1:6" ht="15.6" x14ac:dyDescent="0.3">
      <c r="A114" s="212" t="s">
        <v>177</v>
      </c>
      <c r="B114" s="115" t="s">
        <v>173</v>
      </c>
      <c r="C114" s="116"/>
      <c r="D114" s="114"/>
      <c r="E114" s="114"/>
      <c r="F114" s="165"/>
    </row>
    <row r="115" spans="1:6" s="120" customFormat="1" ht="15.6" x14ac:dyDescent="0.3">
      <c r="A115" s="111" t="s">
        <v>178</v>
      </c>
      <c r="B115" s="115" t="s">
        <v>174</v>
      </c>
      <c r="C115" s="116"/>
      <c r="D115" s="114"/>
      <c r="E115" s="117"/>
      <c r="F115" s="118"/>
    </row>
    <row r="116" spans="1:6" ht="15.6" x14ac:dyDescent="0.3">
      <c r="A116" s="12" t="s">
        <v>179</v>
      </c>
      <c r="B116" s="17" t="s">
        <v>175</v>
      </c>
      <c r="C116" s="15"/>
      <c r="D116" s="137">
        <f t="shared" ref="D116" si="3">E116*0.5+F116*0.8</f>
        <v>15201.25</v>
      </c>
      <c r="E116" s="81">
        <v>30402.5</v>
      </c>
      <c r="F116" s="16"/>
    </row>
    <row r="117" spans="1:6" ht="15.6" x14ac:dyDescent="0.3">
      <c r="A117" s="212" t="s">
        <v>142</v>
      </c>
      <c r="B117" s="115" t="s">
        <v>180</v>
      </c>
      <c r="C117" s="116" t="s">
        <v>119</v>
      </c>
      <c r="D117" s="114"/>
      <c r="E117" s="117"/>
      <c r="F117" s="118"/>
    </row>
    <row r="118" spans="1:6" ht="15.6" x14ac:dyDescent="0.3">
      <c r="A118" s="12" t="s">
        <v>143</v>
      </c>
      <c r="B118" s="17" t="s">
        <v>185</v>
      </c>
      <c r="C118" s="15" t="s">
        <v>183</v>
      </c>
      <c r="D118" s="137">
        <f>E118*0.5</f>
        <v>150000</v>
      </c>
      <c r="E118" s="81">
        <v>300000</v>
      </c>
      <c r="F118" s="16"/>
    </row>
    <row r="119" spans="1:6" ht="15.6" x14ac:dyDescent="0.3">
      <c r="A119" s="12" t="s">
        <v>144</v>
      </c>
      <c r="B119" s="17" t="s">
        <v>184</v>
      </c>
      <c r="C119" s="15" t="s">
        <v>182</v>
      </c>
      <c r="D119" s="137"/>
      <c r="E119" s="81">
        <f>48963.26*0.5</f>
        <v>24481.63</v>
      </c>
      <c r="F119" s="16"/>
    </row>
    <row r="120" spans="1:6" ht="18.600000000000001" customHeight="1" x14ac:dyDescent="0.3">
      <c r="A120" s="12" t="s">
        <v>145</v>
      </c>
      <c r="B120" s="17" t="s">
        <v>195</v>
      </c>
      <c r="C120" s="15" t="s">
        <v>186</v>
      </c>
      <c r="D120" s="27"/>
      <c r="E120" s="149">
        <v>1900000</v>
      </c>
      <c r="F120" s="16"/>
    </row>
    <row r="121" spans="1:6" ht="15.6" x14ac:dyDescent="0.3">
      <c r="A121" s="12" t="s">
        <v>181</v>
      </c>
      <c r="B121" s="158" t="s">
        <v>124</v>
      </c>
      <c r="C121" s="15" t="s">
        <v>186</v>
      </c>
      <c r="D121" s="27"/>
      <c r="E121" s="81"/>
      <c r="F121" s="16"/>
    </row>
    <row r="122" spans="1:6" s="120" customFormat="1" ht="15.6" x14ac:dyDescent="0.3">
      <c r="A122" s="111" t="s">
        <v>187</v>
      </c>
      <c r="B122" s="115" t="s">
        <v>220</v>
      </c>
      <c r="C122" s="116"/>
      <c r="D122" s="114"/>
      <c r="E122" s="117"/>
      <c r="F122" s="118"/>
    </row>
    <row r="123" spans="1:6" ht="15.6" x14ac:dyDescent="0.3">
      <c r="A123" s="12" t="s">
        <v>188</v>
      </c>
      <c r="B123" s="17" t="s">
        <v>222</v>
      </c>
      <c r="C123" s="15"/>
      <c r="D123" s="27"/>
      <c r="E123" s="81">
        <v>31058.936000000002</v>
      </c>
      <c r="F123" s="16"/>
    </row>
    <row r="124" spans="1:6" ht="15.6" x14ac:dyDescent="0.3">
      <c r="A124" s="111" t="s">
        <v>189</v>
      </c>
      <c r="B124" s="115" t="s">
        <v>235</v>
      </c>
      <c r="C124" s="116"/>
      <c r="D124" s="114"/>
      <c r="E124" s="117"/>
      <c r="F124" s="118"/>
    </row>
    <row r="125" spans="1:6" ht="15.6" x14ac:dyDescent="0.3">
      <c r="A125" s="12" t="s">
        <v>190</v>
      </c>
      <c r="B125" s="17" t="s">
        <v>236</v>
      </c>
      <c r="C125" s="15"/>
      <c r="D125" s="27"/>
      <c r="E125" s="137">
        <v>5040</v>
      </c>
      <c r="F125" s="16"/>
    </row>
    <row r="126" spans="1:6" ht="15.6" x14ac:dyDescent="0.3">
      <c r="A126" s="12" t="s">
        <v>223</v>
      </c>
      <c r="B126" s="17" t="s">
        <v>244</v>
      </c>
      <c r="C126" s="15" t="s">
        <v>243</v>
      </c>
      <c r="D126" s="27"/>
      <c r="E126" s="81">
        <v>40920.07</v>
      </c>
      <c r="F126" s="16"/>
    </row>
    <row r="127" spans="1:6" ht="15.6" x14ac:dyDescent="0.3">
      <c r="A127" s="212" t="s">
        <v>224</v>
      </c>
      <c r="B127" s="115" t="s">
        <v>283</v>
      </c>
      <c r="C127" s="116"/>
      <c r="D127" s="114"/>
      <c r="E127" s="117">
        <f>'[2]ДЦ дод. градирня ТХ'!$K$30</f>
        <v>108026.29200000002</v>
      </c>
      <c r="F127" s="16"/>
    </row>
    <row r="128" spans="1:6" ht="15.6" x14ac:dyDescent="0.3">
      <c r="A128" s="12" t="s">
        <v>225</v>
      </c>
      <c r="B128" s="17" t="s">
        <v>284</v>
      </c>
      <c r="C128" s="15"/>
      <c r="D128" s="27"/>
      <c r="E128" s="188">
        <v>4441.6160500000005</v>
      </c>
      <c r="F128" s="16"/>
    </row>
    <row r="129" spans="1:6" ht="15.6" x14ac:dyDescent="0.3">
      <c r="A129" s="111" t="s">
        <v>226</v>
      </c>
      <c r="B129" s="115" t="s">
        <v>285</v>
      </c>
      <c r="C129" s="116"/>
      <c r="D129" s="114"/>
      <c r="E129" s="189">
        <v>15568.8</v>
      </c>
      <c r="F129" s="16"/>
    </row>
    <row r="130" spans="1:6" ht="15.6" x14ac:dyDescent="0.3">
      <c r="A130" s="12" t="s">
        <v>281</v>
      </c>
      <c r="B130" s="17"/>
      <c r="C130" s="15"/>
      <c r="D130" s="27"/>
      <c r="E130" s="81"/>
      <c r="F130" s="16"/>
    </row>
    <row r="131" spans="1:6" ht="15.6" x14ac:dyDescent="0.3">
      <c r="A131" s="12" t="s">
        <v>282</v>
      </c>
      <c r="B131" s="17"/>
      <c r="C131" s="15"/>
      <c r="D131" s="27"/>
      <c r="E131" s="81"/>
      <c r="F131" s="16"/>
    </row>
    <row r="132" spans="1:6" ht="15.6" x14ac:dyDescent="0.3">
      <c r="A132" s="83"/>
      <c r="B132" s="84" t="s">
        <v>49</v>
      </c>
      <c r="C132" s="85"/>
      <c r="D132" s="86">
        <f>D81+D83</f>
        <v>2385109.4869693229</v>
      </c>
      <c r="E132" s="87"/>
      <c r="F132" s="87"/>
    </row>
    <row r="133" spans="1:6" x14ac:dyDescent="0.3">
      <c r="D133" s="96"/>
      <c r="F133" s="11"/>
    </row>
    <row r="134" spans="1:6" x14ac:dyDescent="0.3">
      <c r="D134" s="3"/>
      <c r="F134" s="11"/>
    </row>
    <row r="135" spans="1:6" x14ac:dyDescent="0.3">
      <c r="F135" s="209"/>
    </row>
    <row r="138" spans="1:6" x14ac:dyDescent="0.3">
      <c r="D138" s="96"/>
    </row>
  </sheetData>
  <mergeCells count="11">
    <mergeCell ref="A6:F6"/>
    <mergeCell ref="A1:B1"/>
    <mergeCell ref="A2:B2"/>
    <mergeCell ref="A3:B3"/>
    <mergeCell ref="A4:D4"/>
    <mergeCell ref="A5:D5"/>
    <mergeCell ref="A8:A9"/>
    <mergeCell ref="B8:B9"/>
    <mergeCell ref="C8:C9"/>
    <mergeCell ref="D8:D9"/>
    <mergeCell ref="E8:F8"/>
  </mergeCells>
  <phoneticPr fontId="3" type="noConversion"/>
  <pageMargins left="0.11811023622047245" right="0.11811023622047245" top="0.15748031496062992" bottom="0.15748031496062992" header="0.31496062992125984" footer="0.31496062992125984"/>
  <pageSetup paperSize="9" scale="49" fitToHeight="2" orientation="landscape" verticalDpi="300" r:id="rId1"/>
  <rowBreaks count="1" manualBreakCount="1">
    <brk id="8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2"/>
  <sheetViews>
    <sheetView topLeftCell="C103" workbookViewId="0">
      <selection activeCell="H127" sqref="H127"/>
    </sheetView>
  </sheetViews>
  <sheetFormatPr defaultRowHeight="14.4" x14ac:dyDescent="0.3"/>
  <cols>
    <col min="1" max="1" width="21.33203125" style="1" customWidth="1"/>
    <col min="2" max="2" width="59.88671875" style="2" customWidth="1"/>
    <col min="3" max="3" width="26.109375" style="2" customWidth="1"/>
    <col min="4" max="4" width="18.44140625" customWidth="1"/>
    <col min="5" max="5" width="16" customWidth="1"/>
    <col min="6" max="6" width="17.6640625" customWidth="1"/>
    <col min="7" max="7" width="51" customWidth="1"/>
    <col min="8" max="8" width="18.44140625" customWidth="1"/>
    <col min="9" max="9" width="16" customWidth="1"/>
    <col min="10" max="10" width="17.6640625" customWidth="1"/>
  </cols>
  <sheetData>
    <row r="1" spans="1:13" x14ac:dyDescent="0.3">
      <c r="A1" s="268" t="s">
        <v>0</v>
      </c>
      <c r="B1" s="268"/>
      <c r="C1" s="5"/>
      <c r="D1" s="4"/>
      <c r="H1" s="4"/>
    </row>
    <row r="2" spans="1:13" x14ac:dyDescent="0.3">
      <c r="A2" s="269" t="s">
        <v>1</v>
      </c>
      <c r="B2" s="269"/>
      <c r="C2" s="6"/>
      <c r="D2" s="4"/>
      <c r="H2" s="4"/>
    </row>
    <row r="3" spans="1:13" x14ac:dyDescent="0.3">
      <c r="A3" s="268" t="s">
        <v>15</v>
      </c>
      <c r="B3" s="268"/>
      <c r="C3" s="5"/>
      <c r="D3" s="4"/>
      <c r="H3" s="4"/>
    </row>
    <row r="4" spans="1:13" x14ac:dyDescent="0.3">
      <c r="A4" s="270" t="s">
        <v>2</v>
      </c>
      <c r="B4" s="270"/>
      <c r="C4" s="270"/>
      <c r="D4" s="270"/>
    </row>
    <row r="5" spans="1:13" x14ac:dyDescent="0.3">
      <c r="A5" s="270" t="s">
        <v>14</v>
      </c>
      <c r="B5" s="270"/>
      <c r="C5" s="270"/>
      <c r="D5" s="270"/>
    </row>
    <row r="6" spans="1:13" ht="30.6" customHeight="1" x14ac:dyDescent="0.3">
      <c r="A6" s="267" t="s">
        <v>13</v>
      </c>
      <c r="B6" s="267"/>
      <c r="C6" s="267"/>
      <c r="D6" s="267"/>
      <c r="E6" s="267"/>
      <c r="F6" s="267"/>
    </row>
    <row r="7" spans="1:13" x14ac:dyDescent="0.3">
      <c r="A7" s="1" t="s">
        <v>3</v>
      </c>
    </row>
    <row r="9" spans="1:13" s="11" customFormat="1" ht="24.6" customHeight="1" thickBot="1" x14ac:dyDescent="0.35">
      <c r="A9" s="108" t="s">
        <v>256</v>
      </c>
      <c r="B9" s="108"/>
      <c r="C9" s="108"/>
      <c r="D9" s="178"/>
      <c r="E9" s="108"/>
      <c r="F9" s="108"/>
      <c r="H9" s="278" t="s">
        <v>227</v>
      </c>
      <c r="I9" s="278"/>
      <c r="J9" s="278"/>
    </row>
    <row r="10" spans="1:13" s="2" customFormat="1" x14ac:dyDescent="0.3">
      <c r="A10" s="271" t="s">
        <v>4</v>
      </c>
      <c r="B10" s="273" t="s">
        <v>5</v>
      </c>
      <c r="C10" s="275" t="s">
        <v>23</v>
      </c>
      <c r="D10" s="273" t="s">
        <v>6</v>
      </c>
      <c r="E10" s="277" t="s">
        <v>7</v>
      </c>
      <c r="F10" s="277"/>
      <c r="G10" s="110"/>
      <c r="H10" s="273" t="s">
        <v>6</v>
      </c>
      <c r="I10" s="277" t="s">
        <v>7</v>
      </c>
      <c r="J10" s="277"/>
    </row>
    <row r="11" spans="1:13" s="2" customFormat="1" ht="15" thickBot="1" x14ac:dyDescent="0.35">
      <c r="A11" s="272"/>
      <c r="B11" s="274"/>
      <c r="C11" s="276"/>
      <c r="D11" s="274"/>
      <c r="E11" s="8" t="s">
        <v>9</v>
      </c>
      <c r="F11" s="8" t="s">
        <v>10</v>
      </c>
      <c r="G11" s="110"/>
      <c r="H11" s="274"/>
      <c r="I11" s="8" t="s">
        <v>9</v>
      </c>
      <c r="J11" s="8" t="s">
        <v>10</v>
      </c>
    </row>
    <row r="12" spans="1:13" s="2" customFormat="1" ht="15.6" x14ac:dyDescent="0.3">
      <c r="A12" s="39"/>
      <c r="B12" s="40" t="s">
        <v>53</v>
      </c>
      <c r="C12" s="40"/>
      <c r="D12" s="39"/>
      <c r="E12" s="39"/>
      <c r="F12" s="39"/>
      <c r="G12" s="169">
        <f>H13-G13</f>
        <v>4219980</v>
      </c>
      <c r="H12" s="39"/>
      <c r="I12" s="39"/>
      <c r="J12" s="39"/>
    </row>
    <row r="13" spans="1:13" ht="15.6" x14ac:dyDescent="0.3">
      <c r="A13" s="23">
        <v>1</v>
      </c>
      <c r="B13" s="24" t="s">
        <v>16</v>
      </c>
      <c r="C13" s="24"/>
      <c r="D13" s="129">
        <f>23572406.64+4189780+30200</f>
        <v>27792386.640000001</v>
      </c>
      <c r="E13" s="25"/>
      <c r="F13" s="25"/>
      <c r="G13" s="141">
        <f>'[3]10.06.2024'!$G$120</f>
        <v>23572406.640000001</v>
      </c>
      <c r="H13" s="129">
        <v>27792386.640000001</v>
      </c>
      <c r="I13" s="25"/>
      <c r="J13" s="25"/>
    </row>
    <row r="14" spans="1:13" ht="15.6" x14ac:dyDescent="0.3">
      <c r="A14" s="41"/>
      <c r="B14" s="42" t="s">
        <v>54</v>
      </c>
      <c r="C14" s="42"/>
      <c r="D14" s="43"/>
      <c r="E14" s="44"/>
      <c r="F14" s="45"/>
      <c r="G14" s="154">
        <f>G13-D13</f>
        <v>-4219980</v>
      </c>
      <c r="H14" s="43"/>
      <c r="I14" s="44"/>
      <c r="J14" s="45"/>
    </row>
    <row r="15" spans="1:13" ht="15.6" x14ac:dyDescent="0.3">
      <c r="A15" s="47">
        <v>2</v>
      </c>
      <c r="B15" s="48" t="s">
        <v>17</v>
      </c>
      <c r="C15" s="48"/>
      <c r="D15" s="49">
        <f>SUM(D16:D60)</f>
        <v>18535377.132992703</v>
      </c>
      <c r="E15" s="50"/>
      <c r="F15" s="51"/>
      <c r="G15" s="154"/>
      <c r="H15" s="49">
        <f>SUM(H16:H60)</f>
        <v>18535377.132992703</v>
      </c>
      <c r="I15" s="50"/>
      <c r="J15" s="51"/>
    </row>
    <row r="16" spans="1:13" ht="15.6" x14ac:dyDescent="0.3">
      <c r="A16" s="80" t="s">
        <v>216</v>
      </c>
      <c r="B16" s="26" t="s">
        <v>73</v>
      </c>
      <c r="C16" s="30" t="s">
        <v>74</v>
      </c>
      <c r="D16" s="137">
        <v>74844.2</v>
      </c>
      <c r="E16" s="31">
        <v>0</v>
      </c>
      <c r="F16" s="31">
        <v>0</v>
      </c>
      <c r="G16" s="141"/>
      <c r="H16" s="137">
        <v>74844.2</v>
      </c>
      <c r="I16" s="31">
        <v>0</v>
      </c>
      <c r="J16" s="31">
        <v>0</v>
      </c>
      <c r="M16" s="75">
        <f>H16-D16</f>
        <v>0</v>
      </c>
    </row>
    <row r="17" spans="1:13" ht="15.6" x14ac:dyDescent="0.3">
      <c r="A17" s="80" t="s">
        <v>215</v>
      </c>
      <c r="B17" s="26" t="s">
        <v>75</v>
      </c>
      <c r="C17" s="30" t="s">
        <v>31</v>
      </c>
      <c r="D17" s="164">
        <v>585218.81999999995</v>
      </c>
      <c r="E17" s="31"/>
      <c r="F17" s="31"/>
      <c r="G17" s="141"/>
      <c r="H17" s="164">
        <v>585218.81999999995</v>
      </c>
      <c r="I17" s="31"/>
      <c r="J17" s="31"/>
      <c r="K17" t="s">
        <v>257</v>
      </c>
      <c r="M17" s="75">
        <f t="shared" ref="M17:M58" si="0">H17-D17</f>
        <v>0</v>
      </c>
    </row>
    <row r="18" spans="1:13" ht="15.6" x14ac:dyDescent="0.3">
      <c r="A18" s="80" t="s">
        <v>214</v>
      </c>
      <c r="B18" s="26" t="s">
        <v>76</v>
      </c>
      <c r="C18" s="30" t="s">
        <v>32</v>
      </c>
      <c r="D18" s="137">
        <v>585276.81999999995</v>
      </c>
      <c r="E18" s="31"/>
      <c r="F18" s="31"/>
      <c r="G18" s="141"/>
      <c r="H18" s="137">
        <v>585276.81999999995</v>
      </c>
      <c r="I18" s="31"/>
      <c r="J18" s="31"/>
      <c r="M18" s="75">
        <f t="shared" si="0"/>
        <v>0</v>
      </c>
    </row>
    <row r="19" spans="1:13" ht="15.6" x14ac:dyDescent="0.3">
      <c r="A19" s="80" t="s">
        <v>213</v>
      </c>
      <c r="B19" s="26" t="s">
        <v>146</v>
      </c>
      <c r="C19" s="30"/>
      <c r="D19" s="137">
        <v>70000</v>
      </c>
      <c r="E19" s="31"/>
      <c r="F19" s="31"/>
      <c r="G19" s="141"/>
      <c r="H19" s="137">
        <v>70000</v>
      </c>
      <c r="I19" s="31"/>
      <c r="J19" s="31"/>
      <c r="M19" s="75">
        <f t="shared" si="0"/>
        <v>0</v>
      </c>
    </row>
    <row r="20" spans="1:13" ht="15.6" x14ac:dyDescent="0.3">
      <c r="A20" s="80" t="s">
        <v>212</v>
      </c>
      <c r="B20" s="26" t="s">
        <v>147</v>
      </c>
      <c r="C20" s="30"/>
      <c r="D20" s="137">
        <v>92115.83</v>
      </c>
      <c r="E20" s="31"/>
      <c r="F20" s="31"/>
      <c r="G20" s="141"/>
      <c r="H20" s="137">
        <v>92115.83</v>
      </c>
      <c r="I20" s="31"/>
      <c r="J20" s="31"/>
      <c r="M20" s="75">
        <f t="shared" si="0"/>
        <v>0</v>
      </c>
    </row>
    <row r="21" spans="1:13" ht="31.2" x14ac:dyDescent="0.3">
      <c r="A21" s="80" t="s">
        <v>149</v>
      </c>
      <c r="B21" s="26" t="s">
        <v>148</v>
      </c>
      <c r="C21" s="30"/>
      <c r="D21" s="137">
        <v>69692.789999999994</v>
      </c>
      <c r="E21" s="31"/>
      <c r="F21" s="31"/>
      <c r="G21" s="141"/>
      <c r="H21" s="137">
        <v>69692.789999999994</v>
      </c>
      <c r="I21" s="31"/>
      <c r="J21" s="31"/>
      <c r="M21" s="75">
        <f t="shared" si="0"/>
        <v>0</v>
      </c>
    </row>
    <row r="22" spans="1:13" ht="15.6" x14ac:dyDescent="0.3">
      <c r="A22" s="80" t="s">
        <v>151</v>
      </c>
      <c r="B22" s="26" t="s">
        <v>154</v>
      </c>
      <c r="C22" s="30"/>
      <c r="D22" s="137">
        <v>220420.19</v>
      </c>
      <c r="E22" s="31"/>
      <c r="F22" s="31"/>
      <c r="G22" s="141"/>
      <c r="H22" s="137">
        <v>220420.19</v>
      </c>
      <c r="I22" s="31"/>
      <c r="J22" s="31"/>
      <c r="M22" s="75">
        <f t="shared" si="0"/>
        <v>0</v>
      </c>
    </row>
    <row r="23" spans="1:13" ht="31.2" x14ac:dyDescent="0.3">
      <c r="A23" s="80" t="s">
        <v>152</v>
      </c>
      <c r="B23" s="26" t="s">
        <v>155</v>
      </c>
      <c r="C23" s="30"/>
      <c r="D23" s="137">
        <v>19075.72</v>
      </c>
      <c r="E23" s="31"/>
      <c r="F23" s="31"/>
      <c r="G23" s="141"/>
      <c r="H23" s="137">
        <v>19075.72</v>
      </c>
      <c r="I23" s="31"/>
      <c r="J23" s="31"/>
      <c r="M23" s="75">
        <f t="shared" si="0"/>
        <v>0</v>
      </c>
    </row>
    <row r="24" spans="1:13" ht="31.2" x14ac:dyDescent="0.3">
      <c r="A24" s="80" t="s">
        <v>153</v>
      </c>
      <c r="B24" s="26" t="s">
        <v>156</v>
      </c>
      <c r="C24" s="30"/>
      <c r="D24" s="137">
        <v>8730</v>
      </c>
      <c r="E24" s="31"/>
      <c r="F24" s="31"/>
      <c r="G24" s="141"/>
      <c r="H24" s="137">
        <v>8730</v>
      </c>
      <c r="I24" s="31"/>
      <c r="J24" s="31"/>
      <c r="M24" s="75">
        <f t="shared" si="0"/>
        <v>0</v>
      </c>
    </row>
    <row r="25" spans="1:13" ht="15.6" x14ac:dyDescent="0.3">
      <c r="A25" s="80" t="s">
        <v>157</v>
      </c>
      <c r="B25" s="26" t="s">
        <v>150</v>
      </c>
      <c r="C25" s="30" t="s">
        <v>30</v>
      </c>
      <c r="D25" s="137">
        <v>1609186.51</v>
      </c>
      <c r="E25" s="31"/>
      <c r="F25" s="31"/>
      <c r="G25" s="141"/>
      <c r="H25" s="137">
        <v>1609186.51</v>
      </c>
      <c r="I25" s="31"/>
      <c r="J25" s="31"/>
      <c r="M25" s="75">
        <f t="shared" si="0"/>
        <v>0</v>
      </c>
    </row>
    <row r="26" spans="1:13" ht="15.6" x14ac:dyDescent="0.3">
      <c r="A26" s="80" t="s">
        <v>158</v>
      </c>
      <c r="B26" s="26" t="s">
        <v>159</v>
      </c>
      <c r="C26" s="26"/>
      <c r="D26" s="137">
        <v>231000</v>
      </c>
      <c r="E26" s="31"/>
      <c r="F26" s="31"/>
      <c r="G26" s="141"/>
      <c r="H26" s="137">
        <v>231000</v>
      </c>
      <c r="I26" s="31"/>
      <c r="J26" s="31"/>
      <c r="M26" s="75">
        <f t="shared" si="0"/>
        <v>0</v>
      </c>
    </row>
    <row r="27" spans="1:13" s="11" customFormat="1" ht="15.6" x14ac:dyDescent="0.3">
      <c r="A27" s="12" t="s">
        <v>210</v>
      </c>
      <c r="B27" s="17" t="s">
        <v>160</v>
      </c>
      <c r="C27" s="15" t="s">
        <v>46</v>
      </c>
      <c r="D27" s="137">
        <v>1027136</v>
      </c>
      <c r="E27" s="31"/>
      <c r="F27" s="31"/>
      <c r="G27" s="142"/>
      <c r="H27" s="137">
        <v>1027136</v>
      </c>
      <c r="I27" s="31"/>
      <c r="J27" s="31"/>
      <c r="M27" s="75">
        <f t="shared" si="0"/>
        <v>0</v>
      </c>
    </row>
    <row r="28" spans="1:13" s="11" customFormat="1" ht="15.6" x14ac:dyDescent="0.3">
      <c r="A28" s="12" t="s">
        <v>210</v>
      </c>
      <c r="B28" s="17" t="s">
        <v>231</v>
      </c>
      <c r="C28" s="15"/>
      <c r="D28" s="137">
        <v>33000</v>
      </c>
      <c r="E28" s="31"/>
      <c r="F28" s="31"/>
      <c r="G28" s="142"/>
      <c r="H28" s="137">
        <v>33000</v>
      </c>
      <c r="I28" s="31"/>
      <c r="J28" s="31"/>
      <c r="M28" s="75">
        <f t="shared" si="0"/>
        <v>0</v>
      </c>
    </row>
    <row r="29" spans="1:13" s="11" customFormat="1" ht="15.6" x14ac:dyDescent="0.3">
      <c r="A29" s="12" t="s">
        <v>211</v>
      </c>
      <c r="B29" s="26" t="s">
        <v>196</v>
      </c>
      <c r="C29" s="15" t="s">
        <v>33</v>
      </c>
      <c r="D29" s="137">
        <v>309258.40000000002</v>
      </c>
      <c r="E29" s="31"/>
      <c r="F29" s="31"/>
      <c r="G29" s="142"/>
      <c r="H29" s="137">
        <v>309258.40000000002</v>
      </c>
      <c r="I29" s="31"/>
      <c r="J29" s="31"/>
      <c r="M29" s="75">
        <f t="shared" si="0"/>
        <v>0</v>
      </c>
    </row>
    <row r="30" spans="1:13" ht="15.6" x14ac:dyDescent="0.3">
      <c r="A30" s="121" t="s">
        <v>208</v>
      </c>
      <c r="B30" s="17" t="s">
        <v>198</v>
      </c>
      <c r="C30" s="15"/>
      <c r="D30" s="137">
        <v>27868</v>
      </c>
      <c r="E30" s="31"/>
      <c r="F30" s="31"/>
      <c r="G30" s="141"/>
      <c r="H30" s="137">
        <v>27868</v>
      </c>
      <c r="I30" s="31"/>
      <c r="J30" s="31"/>
      <c r="M30" s="75">
        <f t="shared" si="0"/>
        <v>0</v>
      </c>
    </row>
    <row r="31" spans="1:13" ht="19.95" customHeight="1" x14ac:dyDescent="0.3">
      <c r="A31" s="12" t="s">
        <v>209</v>
      </c>
      <c r="B31" s="32" t="s">
        <v>193</v>
      </c>
      <c r="C31" s="30" t="s">
        <v>191</v>
      </c>
      <c r="D31" s="137">
        <v>554353</v>
      </c>
      <c r="E31" s="31"/>
      <c r="F31" s="31"/>
      <c r="G31" s="141"/>
      <c r="H31" s="137">
        <v>554353</v>
      </c>
      <c r="I31" s="31"/>
      <c r="J31" s="31"/>
      <c r="M31" s="75">
        <f t="shared" si="0"/>
        <v>0</v>
      </c>
    </row>
    <row r="32" spans="1:13" ht="15.6" x14ac:dyDescent="0.3">
      <c r="A32" s="12" t="s">
        <v>206</v>
      </c>
      <c r="B32" s="138" t="s">
        <v>200</v>
      </c>
      <c r="C32" s="15" t="s">
        <v>40</v>
      </c>
      <c r="D32" s="137">
        <v>446461.48</v>
      </c>
      <c r="E32" s="31"/>
      <c r="F32" s="31"/>
      <c r="G32" s="141"/>
      <c r="H32" s="137">
        <v>446461.48</v>
      </c>
      <c r="I32" s="31"/>
      <c r="J32" s="31"/>
      <c r="M32" s="75">
        <f t="shared" si="0"/>
        <v>0</v>
      </c>
    </row>
    <row r="33" spans="1:13" ht="15.6" x14ac:dyDescent="0.3">
      <c r="A33" s="12" t="s">
        <v>205</v>
      </c>
      <c r="B33" s="139" t="s">
        <v>201</v>
      </c>
      <c r="C33" s="15"/>
      <c r="D33" s="137">
        <v>47254.52</v>
      </c>
      <c r="E33" s="31"/>
      <c r="F33" s="31"/>
      <c r="G33" s="141"/>
      <c r="H33" s="137">
        <v>47254.52</v>
      </c>
      <c r="I33" s="31"/>
      <c r="J33" s="31"/>
      <c r="M33" s="75">
        <f t="shared" si="0"/>
        <v>0</v>
      </c>
    </row>
    <row r="34" spans="1:13" ht="22.2" customHeight="1" x14ac:dyDescent="0.3">
      <c r="A34" s="80" t="s">
        <v>207</v>
      </c>
      <c r="B34" s="138" t="s">
        <v>202</v>
      </c>
      <c r="C34" s="26"/>
      <c r="D34" s="137">
        <v>2044</v>
      </c>
      <c r="E34" s="31"/>
      <c r="F34" s="31"/>
      <c r="G34" s="141"/>
      <c r="H34" s="137">
        <v>2044</v>
      </c>
      <c r="I34" s="31"/>
      <c r="J34" s="31"/>
      <c r="M34" s="75">
        <f t="shared" si="0"/>
        <v>0</v>
      </c>
    </row>
    <row r="35" spans="1:13" s="11" customFormat="1" ht="22.95" customHeight="1" x14ac:dyDescent="0.3">
      <c r="A35" s="80" t="s">
        <v>167</v>
      </c>
      <c r="B35" s="26" t="s">
        <v>168</v>
      </c>
      <c r="C35" s="26"/>
      <c r="D35" s="137">
        <v>151220.25</v>
      </c>
      <c r="E35" s="31"/>
      <c r="F35" s="31"/>
      <c r="G35" s="142"/>
      <c r="H35" s="137">
        <v>151220.25</v>
      </c>
      <c r="I35" s="31"/>
      <c r="J35" s="31"/>
      <c r="M35" s="75">
        <f t="shared" si="0"/>
        <v>0</v>
      </c>
    </row>
    <row r="36" spans="1:13" ht="15.6" x14ac:dyDescent="0.3">
      <c r="A36" s="12" t="s">
        <v>170</v>
      </c>
      <c r="B36" s="17" t="s">
        <v>218</v>
      </c>
      <c r="C36" s="15"/>
      <c r="D36" s="137">
        <v>46960.61</v>
      </c>
      <c r="E36" s="81"/>
      <c r="F36" s="16"/>
      <c r="G36" s="141"/>
      <c r="H36" s="137">
        <v>46960.61</v>
      </c>
      <c r="I36" s="81"/>
      <c r="J36" s="16"/>
      <c r="M36" s="75">
        <f t="shared" si="0"/>
        <v>0</v>
      </c>
    </row>
    <row r="37" spans="1:13" ht="19.95" customHeight="1" x14ac:dyDescent="0.3">
      <c r="A37" s="159" t="s">
        <v>178</v>
      </c>
      <c r="B37" s="17" t="s">
        <v>219</v>
      </c>
      <c r="C37" s="15"/>
      <c r="D37" s="137">
        <v>148179.73000000001</v>
      </c>
      <c r="E37" s="81"/>
      <c r="F37" s="31"/>
      <c r="G37" s="141"/>
      <c r="H37" s="137">
        <v>148179.73000000001</v>
      </c>
      <c r="I37" s="81"/>
      <c r="J37" s="31"/>
      <c r="M37" s="75">
        <f t="shared" si="0"/>
        <v>0</v>
      </c>
    </row>
    <row r="38" spans="1:13" s="11" customFormat="1" ht="19.2" customHeight="1" x14ac:dyDescent="0.3">
      <c r="A38" s="80" t="s">
        <v>158</v>
      </c>
      <c r="B38" s="26" t="s">
        <v>199</v>
      </c>
      <c r="C38" s="26"/>
      <c r="D38" s="137">
        <v>111000</v>
      </c>
      <c r="E38" s="31"/>
      <c r="F38" s="31"/>
      <c r="G38" s="142"/>
      <c r="H38" s="137">
        <v>111000</v>
      </c>
      <c r="I38" s="31"/>
      <c r="J38" s="31"/>
      <c r="M38" s="75">
        <f t="shared" si="0"/>
        <v>0</v>
      </c>
    </row>
    <row r="39" spans="1:13" s="11" customFormat="1" ht="15.6" x14ac:dyDescent="0.3">
      <c r="A39" s="80" t="s">
        <v>166</v>
      </c>
      <c r="B39" s="26" t="s">
        <v>197</v>
      </c>
      <c r="C39" s="15" t="s">
        <v>91</v>
      </c>
      <c r="D39" s="137">
        <v>593059.22</v>
      </c>
      <c r="E39" s="31"/>
      <c r="F39" s="31"/>
      <c r="G39" s="142"/>
      <c r="H39" s="137">
        <v>593059.22</v>
      </c>
      <c r="I39" s="31"/>
      <c r="J39" s="31"/>
      <c r="M39" s="75">
        <f t="shared" si="0"/>
        <v>0</v>
      </c>
    </row>
    <row r="40" spans="1:13" ht="19.95" customHeight="1" x14ac:dyDescent="0.3">
      <c r="A40" s="80" t="s">
        <v>203</v>
      </c>
      <c r="B40" s="26" t="s">
        <v>204</v>
      </c>
      <c r="C40" s="26"/>
      <c r="D40" s="137">
        <v>40991.120000000003</v>
      </c>
      <c r="E40" s="31"/>
      <c r="F40" s="31"/>
      <c r="G40" s="141"/>
      <c r="H40" s="137">
        <v>40991.120000000003</v>
      </c>
      <c r="I40" s="31"/>
      <c r="J40" s="31"/>
      <c r="M40" s="75">
        <f t="shared" si="0"/>
        <v>0</v>
      </c>
    </row>
    <row r="41" spans="1:13" ht="19.95" customHeight="1" x14ac:dyDescent="0.3">
      <c r="A41" s="12" t="s">
        <v>117</v>
      </c>
      <c r="B41" s="26" t="s">
        <v>232</v>
      </c>
      <c r="C41" s="155">
        <v>0.6</v>
      </c>
      <c r="D41" s="137">
        <v>290457</v>
      </c>
      <c r="E41" s="31"/>
      <c r="F41" s="31"/>
      <c r="G41" s="141"/>
      <c r="H41" s="137">
        <v>290457</v>
      </c>
      <c r="I41" s="31"/>
      <c r="J41" s="31"/>
      <c r="M41" s="75">
        <f t="shared" si="0"/>
        <v>0</v>
      </c>
    </row>
    <row r="42" spans="1:13" ht="19.95" customHeight="1" x14ac:dyDescent="0.3">
      <c r="A42" s="12" t="s">
        <v>116</v>
      </c>
      <c r="B42" s="17" t="s">
        <v>234</v>
      </c>
      <c r="C42" s="15" t="s">
        <v>233</v>
      </c>
      <c r="D42" s="164">
        <v>954520.6</v>
      </c>
      <c r="E42" s="31"/>
      <c r="F42" s="31"/>
      <c r="G42" s="141"/>
      <c r="H42" s="164">
        <v>954520.6</v>
      </c>
      <c r="I42" s="31"/>
      <c r="J42" s="31"/>
      <c r="K42" t="s">
        <v>258</v>
      </c>
      <c r="M42" s="75">
        <f t="shared" si="0"/>
        <v>0</v>
      </c>
    </row>
    <row r="43" spans="1:13" ht="19.95" customHeight="1" x14ac:dyDescent="0.3">
      <c r="A43" s="159" t="s">
        <v>80</v>
      </c>
      <c r="B43" s="160" t="s">
        <v>238</v>
      </c>
      <c r="C43" s="161" t="s">
        <v>239</v>
      </c>
      <c r="D43" s="137">
        <v>330648.57999999996</v>
      </c>
      <c r="E43" s="31"/>
      <c r="F43" s="31"/>
      <c r="G43" s="141"/>
      <c r="H43" s="137">
        <v>330648.57999999996</v>
      </c>
      <c r="I43" s="31"/>
      <c r="J43" s="31"/>
      <c r="M43" s="75">
        <f t="shared" si="0"/>
        <v>0</v>
      </c>
    </row>
    <row r="44" spans="1:13" ht="19.95" customHeight="1" x14ac:dyDescent="0.3">
      <c r="A44" s="12" t="s">
        <v>80</v>
      </c>
      <c r="B44" s="157" t="s">
        <v>240</v>
      </c>
      <c r="C44" s="15" t="s">
        <v>237</v>
      </c>
      <c r="D44" s="137">
        <v>5437399.7429927047</v>
      </c>
      <c r="E44" s="31"/>
      <c r="F44" s="31"/>
      <c r="G44" s="141"/>
      <c r="H44" s="137">
        <v>5437399.7429927047</v>
      </c>
      <c r="I44" s="31"/>
      <c r="J44" s="31"/>
      <c r="M44" s="75">
        <f t="shared" si="0"/>
        <v>0</v>
      </c>
    </row>
    <row r="45" spans="1:13" ht="19.95" customHeight="1" x14ac:dyDescent="0.3">
      <c r="A45" s="124" t="s">
        <v>262</v>
      </c>
      <c r="B45" s="173" t="s">
        <v>252</v>
      </c>
      <c r="C45" s="172" t="s">
        <v>247</v>
      </c>
      <c r="D45" s="176">
        <v>359694.36</v>
      </c>
      <c r="E45" s="31"/>
      <c r="F45" s="31"/>
      <c r="G45" s="141"/>
      <c r="H45" s="151">
        <v>359694.36</v>
      </c>
      <c r="I45" s="31"/>
      <c r="J45" s="31"/>
      <c r="M45" s="75">
        <f t="shared" si="0"/>
        <v>0</v>
      </c>
    </row>
    <row r="46" spans="1:13" ht="19.95" customHeight="1" x14ac:dyDescent="0.3">
      <c r="A46" s="121" t="s">
        <v>208</v>
      </c>
      <c r="B46" s="17" t="s">
        <v>241</v>
      </c>
      <c r="C46" s="15"/>
      <c r="D46" s="137">
        <v>27224</v>
      </c>
      <c r="E46" s="31"/>
      <c r="F46" s="31"/>
      <c r="G46" s="141"/>
      <c r="H46" s="137">
        <v>27224</v>
      </c>
      <c r="I46" s="31"/>
      <c r="J46" s="31"/>
      <c r="M46" s="75">
        <f t="shared" si="0"/>
        <v>0</v>
      </c>
    </row>
    <row r="47" spans="1:13" ht="19.95" customHeight="1" x14ac:dyDescent="0.3">
      <c r="A47" s="12" t="s">
        <v>189</v>
      </c>
      <c r="B47" s="17" t="s">
        <v>246</v>
      </c>
      <c r="C47" s="110"/>
      <c r="D47" s="81">
        <v>337206.36</v>
      </c>
      <c r="E47" s="31"/>
      <c r="F47" s="31"/>
      <c r="G47" s="141"/>
      <c r="H47" s="81">
        <v>337206.36</v>
      </c>
      <c r="I47" s="31"/>
      <c r="J47" s="31"/>
      <c r="M47" s="75">
        <f t="shared" si="0"/>
        <v>0</v>
      </c>
    </row>
    <row r="48" spans="1:13" ht="19.95" customHeight="1" x14ac:dyDescent="0.3">
      <c r="A48" s="12" t="s">
        <v>117</v>
      </c>
      <c r="B48" s="17" t="s">
        <v>250</v>
      </c>
      <c r="D48" s="137">
        <v>145228.5</v>
      </c>
      <c r="E48" s="31"/>
      <c r="F48" s="31"/>
      <c r="G48" s="141"/>
      <c r="H48" s="137">
        <v>145228.5</v>
      </c>
      <c r="I48" s="31"/>
      <c r="J48" s="31"/>
      <c r="M48" s="75">
        <f t="shared" si="0"/>
        <v>0</v>
      </c>
    </row>
    <row r="49" spans="1:13" ht="19.95" customHeight="1" x14ac:dyDescent="0.3">
      <c r="A49" s="121" t="s">
        <v>208</v>
      </c>
      <c r="B49" s="17" t="s">
        <v>248</v>
      </c>
      <c r="C49" s="15"/>
      <c r="D49" s="137">
        <v>28858</v>
      </c>
      <c r="E49" s="31"/>
      <c r="F49" s="31"/>
      <c r="G49" s="141"/>
      <c r="H49" s="137">
        <v>28858</v>
      </c>
      <c r="I49" s="31"/>
      <c r="J49" s="31"/>
      <c r="M49" s="75">
        <f t="shared" si="0"/>
        <v>0</v>
      </c>
    </row>
    <row r="50" spans="1:13" ht="19.95" customHeight="1" x14ac:dyDescent="0.3">
      <c r="A50" s="12" t="s">
        <v>142</v>
      </c>
      <c r="B50" s="17" t="s">
        <v>249</v>
      </c>
      <c r="C50" s="15" t="s">
        <v>119</v>
      </c>
      <c r="D50" s="162">
        <v>325313.90000000002</v>
      </c>
      <c r="E50" s="31"/>
      <c r="F50" s="31"/>
      <c r="G50" s="141"/>
      <c r="H50" s="162">
        <v>325313.90000000002</v>
      </c>
      <c r="I50" s="31"/>
      <c r="J50" s="31"/>
      <c r="M50" s="75">
        <f t="shared" si="0"/>
        <v>0</v>
      </c>
    </row>
    <row r="51" spans="1:13" ht="19.95" customHeight="1" x14ac:dyDescent="0.3">
      <c r="A51" s="60" t="s">
        <v>116</v>
      </c>
      <c r="B51" s="168" t="s">
        <v>251</v>
      </c>
      <c r="C51" s="171" t="s">
        <v>125</v>
      </c>
      <c r="D51" s="62">
        <v>320050</v>
      </c>
      <c r="E51" s="31"/>
      <c r="F51" s="31"/>
      <c r="G51" s="141"/>
      <c r="H51" s="151">
        <v>320050</v>
      </c>
      <c r="I51" s="31"/>
      <c r="J51" s="31"/>
      <c r="K51" t="s">
        <v>278</v>
      </c>
      <c r="M51" s="75">
        <f t="shared" si="0"/>
        <v>0</v>
      </c>
    </row>
    <row r="52" spans="1:13" ht="19.95" customHeight="1" x14ac:dyDescent="0.3">
      <c r="A52" s="159" t="s">
        <v>80</v>
      </c>
      <c r="B52" s="160" t="s">
        <v>268</v>
      </c>
      <c r="C52" s="161" t="s">
        <v>237</v>
      </c>
      <c r="D52" s="137">
        <v>887716.17</v>
      </c>
      <c r="E52" s="31"/>
      <c r="F52" s="31"/>
      <c r="G52" s="141"/>
      <c r="H52" s="137">
        <v>887716.17</v>
      </c>
      <c r="I52" s="31"/>
      <c r="J52" s="31"/>
      <c r="M52" s="75">
        <f t="shared" si="0"/>
        <v>0</v>
      </c>
    </row>
    <row r="53" spans="1:13" ht="19.95" customHeight="1" x14ac:dyDescent="0.3">
      <c r="A53" s="124" t="s">
        <v>270</v>
      </c>
      <c r="B53" s="173" t="s">
        <v>271</v>
      </c>
      <c r="C53" s="172" t="s">
        <v>237</v>
      </c>
      <c r="D53" s="177">
        <v>426150.52</v>
      </c>
      <c r="E53" s="31"/>
      <c r="F53" s="31"/>
      <c r="G53" s="141"/>
      <c r="H53" s="151">
        <v>426150.52</v>
      </c>
      <c r="I53" s="31"/>
      <c r="J53" s="31"/>
      <c r="K53" t="s">
        <v>278</v>
      </c>
      <c r="M53" s="75">
        <f t="shared" si="0"/>
        <v>0</v>
      </c>
    </row>
    <row r="54" spans="1:13" ht="19.95" customHeight="1" x14ac:dyDescent="0.3">
      <c r="A54" s="60" t="s">
        <v>158</v>
      </c>
      <c r="B54" s="173" t="s">
        <v>272</v>
      </c>
      <c r="C54" s="172"/>
      <c r="D54" s="174">
        <f>285*375</f>
        <v>106875</v>
      </c>
      <c r="E54" s="31"/>
      <c r="F54" s="31"/>
      <c r="G54" s="141"/>
      <c r="H54" s="151">
        <v>106875</v>
      </c>
      <c r="I54" s="31"/>
      <c r="J54" s="31"/>
      <c r="K54" t="s">
        <v>278</v>
      </c>
      <c r="M54" s="75">
        <f t="shared" si="0"/>
        <v>0</v>
      </c>
    </row>
    <row r="55" spans="1:13" ht="19.95" customHeight="1" x14ac:dyDescent="0.3">
      <c r="A55" s="60" t="s">
        <v>116</v>
      </c>
      <c r="B55" s="168" t="s">
        <v>274</v>
      </c>
      <c r="C55" s="171" t="s">
        <v>125</v>
      </c>
      <c r="D55" s="62">
        <v>255300</v>
      </c>
      <c r="E55" s="31"/>
      <c r="F55" s="31"/>
      <c r="G55" s="141"/>
      <c r="H55" s="151">
        <v>255300</v>
      </c>
      <c r="I55" s="31"/>
      <c r="J55" s="31"/>
      <c r="K55" t="s">
        <v>278</v>
      </c>
      <c r="M55" s="75">
        <f t="shared" si="0"/>
        <v>0</v>
      </c>
    </row>
    <row r="56" spans="1:13" ht="19.95" customHeight="1" x14ac:dyDescent="0.3">
      <c r="A56" s="124" t="s">
        <v>206</v>
      </c>
      <c r="B56" s="175" t="s">
        <v>275</v>
      </c>
      <c r="C56" s="172" t="s">
        <v>40</v>
      </c>
      <c r="D56" s="151">
        <v>69314.5</v>
      </c>
      <c r="E56" s="31"/>
      <c r="F56" s="31"/>
      <c r="G56" s="141"/>
      <c r="H56" s="151">
        <v>69314.5</v>
      </c>
      <c r="I56" s="31"/>
      <c r="J56" s="31"/>
      <c r="K56" t="s">
        <v>278</v>
      </c>
      <c r="M56" s="75">
        <f t="shared" si="0"/>
        <v>0</v>
      </c>
    </row>
    <row r="57" spans="1:13" ht="19.95" customHeight="1" x14ac:dyDescent="0.3">
      <c r="A57" s="60" t="s">
        <v>142</v>
      </c>
      <c r="B57" s="168" t="s">
        <v>273</v>
      </c>
      <c r="C57" s="171" t="s">
        <v>119</v>
      </c>
      <c r="D57" s="151">
        <v>121976.77</v>
      </c>
      <c r="E57" s="31"/>
      <c r="F57" s="31"/>
      <c r="G57" s="141"/>
      <c r="H57" s="151">
        <v>121976.77</v>
      </c>
      <c r="I57" s="31"/>
      <c r="J57" s="31"/>
      <c r="K57" t="s">
        <v>278</v>
      </c>
      <c r="M57" s="75">
        <f t="shared" si="0"/>
        <v>0</v>
      </c>
    </row>
    <row r="58" spans="1:13" s="11" customFormat="1" ht="19.95" customHeight="1" x14ac:dyDescent="0.3">
      <c r="A58" s="180"/>
      <c r="B58" s="181" t="s">
        <v>276</v>
      </c>
      <c r="C58" s="182"/>
      <c r="D58" s="183">
        <v>30200</v>
      </c>
      <c r="E58" s="31"/>
      <c r="F58" s="31"/>
      <c r="G58" s="142"/>
      <c r="H58" s="137">
        <v>30200</v>
      </c>
      <c r="I58" s="31"/>
      <c r="J58" s="31"/>
      <c r="K58" s="11" t="s">
        <v>64</v>
      </c>
      <c r="M58" s="11">
        <f t="shared" si="0"/>
        <v>0</v>
      </c>
    </row>
    <row r="59" spans="1:13" s="11" customFormat="1" ht="19.95" customHeight="1" x14ac:dyDescent="0.3">
      <c r="A59" s="180"/>
      <c r="B59" s="181" t="s">
        <v>277</v>
      </c>
      <c r="C59" s="182"/>
      <c r="D59" s="183">
        <v>68000</v>
      </c>
      <c r="E59" s="31"/>
      <c r="F59" s="31"/>
      <c r="G59" s="142"/>
      <c r="H59" s="137">
        <v>68000</v>
      </c>
      <c r="I59" s="31"/>
      <c r="J59" s="31"/>
      <c r="K59" s="11" t="s">
        <v>64</v>
      </c>
    </row>
    <row r="60" spans="1:13" s="11" customFormat="1" ht="19.95" customHeight="1" x14ac:dyDescent="0.3">
      <c r="A60" s="184" t="s">
        <v>263</v>
      </c>
      <c r="B60" s="185" t="s">
        <v>279</v>
      </c>
      <c r="C60" s="186" t="s">
        <v>239</v>
      </c>
      <c r="D60" s="187">
        <v>908895.92</v>
      </c>
      <c r="E60" s="31"/>
      <c r="F60" s="31"/>
      <c r="G60" s="142"/>
      <c r="H60" s="179">
        <v>908895.92</v>
      </c>
      <c r="I60" s="31"/>
      <c r="J60" s="31"/>
    </row>
    <row r="61" spans="1:13" ht="15.6" x14ac:dyDescent="0.3">
      <c r="A61" s="47">
        <v>3</v>
      </c>
      <c r="B61" s="48" t="s">
        <v>18</v>
      </c>
      <c r="C61" s="48"/>
      <c r="D61" s="49"/>
      <c r="E61" s="50"/>
      <c r="F61" s="51"/>
      <c r="G61" s="143"/>
      <c r="H61" s="49">
        <f>SUM(H62:H65)</f>
        <v>0</v>
      </c>
      <c r="I61" s="50"/>
      <c r="J61" s="51"/>
    </row>
    <row r="62" spans="1:13" ht="21.6" customHeight="1" x14ac:dyDescent="0.3">
      <c r="A62" s="140"/>
      <c r="B62" s="110"/>
      <c r="C62" s="110"/>
      <c r="D62" s="141"/>
      <c r="E62" s="141"/>
      <c r="F62" s="141"/>
      <c r="G62" s="141"/>
      <c r="H62" s="147"/>
      <c r="I62" s="141"/>
      <c r="J62" s="141"/>
      <c r="K62" t="s">
        <v>259</v>
      </c>
    </row>
    <row r="63" spans="1:13" x14ac:dyDescent="0.3">
      <c r="A63" s="140"/>
      <c r="B63" s="110"/>
      <c r="C63" s="110"/>
      <c r="D63" s="141"/>
      <c r="E63" s="141"/>
      <c r="F63" s="141"/>
      <c r="G63" s="141"/>
      <c r="H63" s="141"/>
      <c r="I63" s="141"/>
      <c r="J63" s="141"/>
    </row>
    <row r="64" spans="1:13" ht="15.6" x14ac:dyDescent="0.3">
      <c r="A64" s="80"/>
      <c r="B64" s="139"/>
      <c r="C64" s="161"/>
      <c r="D64" s="170"/>
      <c r="E64" s="141"/>
      <c r="F64" s="141"/>
      <c r="G64" s="141"/>
      <c r="H64" s="141"/>
      <c r="I64" s="141"/>
      <c r="J64" s="141"/>
    </row>
    <row r="65" spans="1:10" x14ac:dyDescent="0.3">
      <c r="A65" s="140"/>
      <c r="B65" s="110"/>
      <c r="C65" s="110"/>
      <c r="D65" s="141"/>
      <c r="E65" s="141"/>
      <c r="F65" s="141"/>
      <c r="G65" s="141"/>
      <c r="H65" s="141"/>
      <c r="I65" s="141"/>
      <c r="J65" s="141"/>
    </row>
    <row r="66" spans="1:10" ht="36.6" customHeight="1" x14ac:dyDescent="0.3">
      <c r="A66" s="47">
        <v>4</v>
      </c>
      <c r="B66" s="48" t="s">
        <v>20</v>
      </c>
      <c r="C66" s="48"/>
      <c r="D66" s="49">
        <f>SUM(D67:D70)</f>
        <v>8955964.9499999993</v>
      </c>
      <c r="E66" s="50"/>
      <c r="F66" s="51"/>
      <c r="G66" s="141"/>
      <c r="H66" s="49">
        <f>SUM(H67:H70)</f>
        <v>8955964.9499999993</v>
      </c>
      <c r="I66" s="50"/>
      <c r="J66" s="51"/>
    </row>
    <row r="67" spans="1:10" ht="45.6" customHeight="1" x14ac:dyDescent="0.3">
      <c r="A67" s="33"/>
      <c r="B67" s="26" t="s">
        <v>217</v>
      </c>
      <c r="C67" s="30" t="s">
        <v>24</v>
      </c>
      <c r="D67" s="27">
        <f>E67+F67</f>
        <v>8465713.1899999995</v>
      </c>
      <c r="E67" s="27">
        <v>0</v>
      </c>
      <c r="F67" s="27">
        <v>8465713.1899999995</v>
      </c>
      <c r="G67" s="141"/>
      <c r="H67" s="27">
        <f>I67+J67</f>
        <v>8465713.1899999995</v>
      </c>
      <c r="I67" s="27">
        <v>0</v>
      </c>
      <c r="J67" s="27">
        <v>8465713.1899999995</v>
      </c>
    </row>
    <row r="68" spans="1:10" ht="15" customHeight="1" x14ac:dyDescent="0.3">
      <c r="A68" s="33"/>
      <c r="B68" s="26" t="s">
        <v>27</v>
      </c>
      <c r="C68" s="30" t="s">
        <v>26</v>
      </c>
      <c r="D68" s="27">
        <f>E68+F68</f>
        <v>307071.43</v>
      </c>
      <c r="E68" s="27">
        <v>0</v>
      </c>
      <c r="F68" s="27">
        <v>307071.43</v>
      </c>
      <c r="G68" s="141"/>
      <c r="H68" s="27">
        <f>I68+J68</f>
        <v>307071.43</v>
      </c>
      <c r="I68" s="27">
        <v>0</v>
      </c>
      <c r="J68" s="27">
        <v>307071.43</v>
      </c>
    </row>
    <row r="69" spans="1:10" ht="18" customHeight="1" x14ac:dyDescent="0.3">
      <c r="A69" s="33"/>
      <c r="B69" s="26" t="s">
        <v>29</v>
      </c>
      <c r="C69" s="30" t="s">
        <v>28</v>
      </c>
      <c r="D69" s="27">
        <f>E69+F69</f>
        <v>76319.399999999994</v>
      </c>
      <c r="E69" s="27">
        <v>0</v>
      </c>
      <c r="F69" s="27">
        <v>76319.399999999994</v>
      </c>
      <c r="G69" s="141"/>
      <c r="H69" s="27">
        <f>I69+J69</f>
        <v>76319.399999999994</v>
      </c>
      <c r="I69" s="27">
        <v>0</v>
      </c>
      <c r="J69" s="27">
        <v>76319.399999999994</v>
      </c>
    </row>
    <row r="70" spans="1:10" ht="18" customHeight="1" x14ac:dyDescent="0.3">
      <c r="A70" s="33"/>
      <c r="B70" s="26" t="s">
        <v>34</v>
      </c>
      <c r="C70" s="35"/>
      <c r="D70" s="27">
        <f>E70+F70</f>
        <v>106860.93</v>
      </c>
      <c r="E70" s="27">
        <v>0</v>
      </c>
      <c r="F70" s="27">
        <v>106860.93</v>
      </c>
      <c r="G70" s="141"/>
      <c r="H70" s="27">
        <f>I70+J70</f>
        <v>106860.93</v>
      </c>
      <c r="I70" s="27">
        <v>0</v>
      </c>
      <c r="J70" s="27">
        <v>106860.93</v>
      </c>
    </row>
    <row r="71" spans="1:10" ht="15.6" x14ac:dyDescent="0.3">
      <c r="A71" s="54"/>
      <c r="B71" s="55" t="s">
        <v>52</v>
      </c>
      <c r="C71" s="55"/>
      <c r="D71" s="148">
        <f>D66+D15+D61</f>
        <v>27491342.082992703</v>
      </c>
      <c r="E71" s="57"/>
      <c r="F71" s="58"/>
      <c r="G71" s="143"/>
      <c r="H71" s="148">
        <f>H66+H15+H61</f>
        <v>27491342.082992703</v>
      </c>
      <c r="I71" s="57"/>
      <c r="J71" s="58"/>
    </row>
    <row r="72" spans="1:10" ht="15.6" x14ac:dyDescent="0.3">
      <c r="A72" s="124"/>
      <c r="B72" s="125" t="s">
        <v>21</v>
      </c>
      <c r="C72" s="125"/>
      <c r="D72" s="126">
        <f>D71-D13</f>
        <v>-301044.55700729787</v>
      </c>
      <c r="E72" s="127"/>
      <c r="F72" s="128"/>
      <c r="G72" s="141"/>
      <c r="H72" s="126">
        <f>H71-H13</f>
        <v>-301044.55700729787</v>
      </c>
      <c r="I72" s="127"/>
      <c r="J72" s="128"/>
    </row>
    <row r="73" spans="1:10" ht="15.6" x14ac:dyDescent="0.3">
      <c r="A73" s="80"/>
      <c r="B73" s="35" t="s">
        <v>245</v>
      </c>
      <c r="C73" s="35"/>
      <c r="D73" s="27"/>
      <c r="E73" s="122"/>
      <c r="F73" s="123"/>
      <c r="G73" s="141"/>
      <c r="H73" s="27"/>
      <c r="I73" s="122"/>
      <c r="J73" s="123"/>
    </row>
    <row r="74" spans="1:10" ht="15.6" x14ac:dyDescent="0.3">
      <c r="A74" s="37">
        <v>5</v>
      </c>
      <c r="B74" s="38" t="s">
        <v>35</v>
      </c>
      <c r="C74" s="18"/>
      <c r="D74" s="36">
        <f>SUM(D75:D120)</f>
        <v>3614746.7892030948</v>
      </c>
      <c r="E74" s="19"/>
      <c r="F74" s="20"/>
      <c r="G74" s="141"/>
      <c r="H74" s="36">
        <f>SUM(H75:H120)</f>
        <v>3127456.3292030948</v>
      </c>
      <c r="I74" s="19"/>
      <c r="J74" s="20"/>
    </row>
    <row r="75" spans="1:10" s="136" customFormat="1" ht="31.2" x14ac:dyDescent="0.3">
      <c r="A75" s="132" t="s">
        <v>85</v>
      </c>
      <c r="B75" s="133" t="s">
        <v>11</v>
      </c>
      <c r="C75" s="133"/>
      <c r="D75" s="114"/>
      <c r="E75" s="134"/>
      <c r="F75" s="135"/>
      <c r="G75" s="144" t="s">
        <v>163</v>
      </c>
      <c r="H75" s="114"/>
      <c r="I75" s="134"/>
      <c r="J75" s="135"/>
    </row>
    <row r="76" spans="1:10" ht="15.6" x14ac:dyDescent="0.3">
      <c r="A76" s="111" t="s">
        <v>138</v>
      </c>
      <c r="B76" s="112" t="s">
        <v>162</v>
      </c>
      <c r="C76" s="113"/>
      <c r="D76" s="114"/>
      <c r="E76" s="114"/>
      <c r="F76" s="114"/>
      <c r="G76" s="144" t="s">
        <v>163</v>
      </c>
      <c r="H76" s="114"/>
      <c r="I76" s="114"/>
      <c r="J76" s="114"/>
    </row>
    <row r="77" spans="1:10" ht="88.95" customHeight="1" x14ac:dyDescent="0.3">
      <c r="A77" s="12" t="s">
        <v>262</v>
      </c>
      <c r="B77" s="32" t="s">
        <v>36</v>
      </c>
      <c r="C77" s="30" t="s">
        <v>247</v>
      </c>
      <c r="D77" s="27">
        <f>E77*0.5+F77*0.8</f>
        <v>1831935.0954816667</v>
      </c>
      <c r="E77" s="27">
        <v>3663870.1909633335</v>
      </c>
      <c r="F77" s="27"/>
      <c r="G77" s="28" t="s">
        <v>265</v>
      </c>
      <c r="H77" s="27">
        <v>1831935.0954816667</v>
      </c>
      <c r="I77" s="27">
        <v>3663870.1909633335</v>
      </c>
      <c r="J77" s="27"/>
    </row>
    <row r="78" spans="1:10" ht="85.95" customHeight="1" x14ac:dyDescent="0.3">
      <c r="A78" s="12" t="s">
        <v>263</v>
      </c>
      <c r="B78" s="32" t="s">
        <v>36</v>
      </c>
      <c r="C78" s="30" t="s">
        <v>264</v>
      </c>
      <c r="D78" s="27">
        <f t="shared" ref="D78" si="1">E78*0.5+F78*0.8</f>
        <v>493284.61122142855</v>
      </c>
      <c r="E78" s="27">
        <v>986569.22244285711</v>
      </c>
      <c r="F78" s="27"/>
      <c r="G78" s="28" t="s">
        <v>266</v>
      </c>
      <c r="H78" s="27">
        <v>493284.61122142855</v>
      </c>
      <c r="I78" s="27">
        <v>986569.22244285711</v>
      </c>
      <c r="J78" s="27"/>
    </row>
    <row r="79" spans="1:10" ht="15.6" x14ac:dyDescent="0.3">
      <c r="A79" s="111" t="s">
        <v>81</v>
      </c>
      <c r="B79" s="115" t="s">
        <v>88</v>
      </c>
      <c r="C79" s="116" t="s">
        <v>40</v>
      </c>
      <c r="D79" s="114"/>
      <c r="E79" s="117"/>
      <c r="F79" s="118"/>
      <c r="G79" s="145" t="s">
        <v>163</v>
      </c>
      <c r="H79" s="114"/>
      <c r="I79" s="117"/>
      <c r="J79" s="118"/>
    </row>
    <row r="80" spans="1:10" ht="15.6" x14ac:dyDescent="0.3">
      <c r="A80" s="111" t="s">
        <v>137</v>
      </c>
      <c r="B80" s="115" t="s">
        <v>161</v>
      </c>
      <c r="C80" s="116"/>
      <c r="D80" s="114"/>
      <c r="E80" s="117"/>
      <c r="F80" s="118"/>
      <c r="G80" s="145" t="s">
        <v>163</v>
      </c>
      <c r="H80" s="114"/>
      <c r="I80" s="117"/>
      <c r="J80" s="118"/>
    </row>
    <row r="81" spans="1:10" ht="15.6" x14ac:dyDescent="0.3">
      <c r="A81" s="12" t="s">
        <v>165</v>
      </c>
      <c r="B81" s="17" t="s">
        <v>47</v>
      </c>
      <c r="C81" s="15" t="s">
        <v>164</v>
      </c>
      <c r="D81" s="27">
        <f t="shared" ref="D81:D96" si="2">E81*0.5+F81*0.8</f>
        <v>18975.3</v>
      </c>
      <c r="E81" s="13">
        <v>37950.6</v>
      </c>
      <c r="F81" s="16"/>
      <c r="G81" s="29"/>
      <c r="H81" s="27">
        <v>18975.3</v>
      </c>
      <c r="I81" s="13">
        <v>37950.6</v>
      </c>
      <c r="J81" s="16"/>
    </row>
    <row r="82" spans="1:10" ht="18.600000000000001" customHeight="1" x14ac:dyDescent="0.3">
      <c r="A82" s="111" t="s">
        <v>82</v>
      </c>
      <c r="B82" s="119" t="s">
        <v>43</v>
      </c>
      <c r="C82" s="116" t="s">
        <v>30</v>
      </c>
      <c r="D82" s="114"/>
      <c r="E82" s="117"/>
      <c r="F82" s="118"/>
      <c r="G82" s="145" t="s">
        <v>163</v>
      </c>
      <c r="H82" s="114"/>
      <c r="I82" s="117"/>
      <c r="J82" s="118"/>
    </row>
    <row r="83" spans="1:10" ht="18.600000000000001" customHeight="1" x14ac:dyDescent="0.3">
      <c r="A83" s="111" t="s">
        <v>87</v>
      </c>
      <c r="B83" s="119" t="s">
        <v>44</v>
      </c>
      <c r="C83" s="113" t="s">
        <v>31</v>
      </c>
      <c r="D83" s="114"/>
      <c r="E83" s="117"/>
      <c r="F83" s="118"/>
      <c r="G83" s="145" t="s">
        <v>163</v>
      </c>
      <c r="H83" s="114"/>
      <c r="I83" s="117"/>
      <c r="J83" s="118"/>
    </row>
    <row r="84" spans="1:10" ht="18.600000000000001" customHeight="1" x14ac:dyDescent="0.3">
      <c r="A84" s="111" t="s">
        <v>86</v>
      </c>
      <c r="B84" s="119" t="s">
        <v>44</v>
      </c>
      <c r="C84" s="113" t="s">
        <v>32</v>
      </c>
      <c r="D84" s="114"/>
      <c r="E84" s="117"/>
      <c r="F84" s="118"/>
      <c r="G84" s="145" t="s">
        <v>163</v>
      </c>
      <c r="H84" s="114"/>
      <c r="I84" s="117"/>
      <c r="J84" s="118"/>
    </row>
    <row r="85" spans="1:10" s="120" customFormat="1" ht="18.600000000000001" customHeight="1" x14ac:dyDescent="0.3">
      <c r="A85" s="111" t="s">
        <v>84</v>
      </c>
      <c r="B85" s="119" t="s">
        <v>12</v>
      </c>
      <c r="C85" s="116"/>
      <c r="D85" s="114"/>
      <c r="E85" s="117"/>
      <c r="F85" s="118"/>
      <c r="G85" s="145" t="s">
        <v>163</v>
      </c>
      <c r="H85" s="114"/>
      <c r="I85" s="117"/>
      <c r="J85" s="118"/>
    </row>
    <row r="86" spans="1:10" ht="18.600000000000001" customHeight="1" x14ac:dyDescent="0.3">
      <c r="A86" s="12" t="s">
        <v>139</v>
      </c>
      <c r="B86" s="7" t="s">
        <v>45</v>
      </c>
      <c r="C86" s="15" t="s">
        <v>46</v>
      </c>
      <c r="D86" s="27"/>
      <c r="E86" s="13"/>
      <c r="F86" s="16"/>
      <c r="G86" s="13">
        <v>2183910</v>
      </c>
      <c r="H86" s="27"/>
      <c r="I86" s="13"/>
      <c r="J86" s="16"/>
    </row>
    <row r="87" spans="1:10" ht="15.6" x14ac:dyDescent="0.3">
      <c r="A87" s="12" t="s">
        <v>107</v>
      </c>
      <c r="B87" s="17" t="s">
        <v>47</v>
      </c>
      <c r="C87" s="15" t="s">
        <v>33</v>
      </c>
      <c r="D87" s="27"/>
      <c r="E87" s="13"/>
      <c r="F87" s="16"/>
      <c r="G87" s="146">
        <v>644106.1</v>
      </c>
      <c r="H87" s="27"/>
      <c r="I87" s="13"/>
      <c r="J87" s="16"/>
    </row>
    <row r="88" spans="1:10" ht="15.6" x14ac:dyDescent="0.3">
      <c r="A88" s="111" t="s">
        <v>89</v>
      </c>
      <c r="B88" s="115" t="s">
        <v>90</v>
      </c>
      <c r="C88" s="116" t="s">
        <v>91</v>
      </c>
      <c r="D88" s="114"/>
      <c r="E88" s="117"/>
      <c r="F88" s="118"/>
      <c r="G88" s="145" t="s">
        <v>163</v>
      </c>
      <c r="H88" s="114"/>
      <c r="I88" s="117"/>
      <c r="J88" s="118"/>
    </row>
    <row r="89" spans="1:10" ht="15.6" x14ac:dyDescent="0.3">
      <c r="A89" s="121" t="s">
        <v>95</v>
      </c>
      <c r="B89" s="17" t="s">
        <v>96</v>
      </c>
      <c r="C89" s="15"/>
      <c r="D89" s="27">
        <f t="shared" si="2"/>
        <v>10922.925000000003</v>
      </c>
      <c r="E89" s="137">
        <f>76937.85-D30-D46</f>
        <v>21845.850000000006</v>
      </c>
      <c r="F89" s="16"/>
      <c r="G89" s="22" t="s">
        <v>242</v>
      </c>
      <c r="H89" s="27">
        <v>10922.925000000003</v>
      </c>
      <c r="I89" s="137">
        <v>21845.850000000006</v>
      </c>
      <c r="J89" s="16"/>
    </row>
    <row r="90" spans="1:10" s="120" customFormat="1" ht="15.6" x14ac:dyDescent="0.3">
      <c r="A90" s="111" t="s">
        <v>92</v>
      </c>
      <c r="B90" s="115" t="s">
        <v>93</v>
      </c>
      <c r="C90" s="116"/>
      <c r="D90" s="114"/>
      <c r="E90" s="117"/>
      <c r="F90" s="118"/>
      <c r="G90" s="145" t="s">
        <v>163</v>
      </c>
      <c r="H90" s="114"/>
      <c r="I90" s="117"/>
      <c r="J90" s="118"/>
    </row>
    <row r="91" spans="1:10" ht="15.6" x14ac:dyDescent="0.3">
      <c r="A91" s="12" t="s">
        <v>108</v>
      </c>
      <c r="B91" s="17" t="s">
        <v>112</v>
      </c>
      <c r="C91" s="15" t="s">
        <v>111</v>
      </c>
      <c r="D91" s="27"/>
      <c r="E91" s="13"/>
      <c r="F91" s="16"/>
      <c r="G91" s="29"/>
      <c r="H91" s="27"/>
      <c r="I91" s="13"/>
      <c r="J91" s="16"/>
    </row>
    <row r="92" spans="1:10" s="120" customFormat="1" ht="15.6" x14ac:dyDescent="0.3">
      <c r="A92" s="111" t="s">
        <v>97</v>
      </c>
      <c r="B92" s="115" t="s">
        <v>98</v>
      </c>
      <c r="C92" s="116"/>
      <c r="D92" s="114"/>
      <c r="E92" s="117"/>
      <c r="F92" s="118"/>
      <c r="G92" s="145" t="s">
        <v>163</v>
      </c>
      <c r="H92" s="114"/>
      <c r="I92" s="117"/>
      <c r="J92" s="118"/>
    </row>
    <row r="93" spans="1:10" s="120" customFormat="1" ht="15.6" x14ac:dyDescent="0.3">
      <c r="A93" s="111" t="s">
        <v>140</v>
      </c>
      <c r="B93" s="115" t="s">
        <v>99</v>
      </c>
      <c r="C93" s="116"/>
      <c r="D93" s="114"/>
      <c r="E93" s="117"/>
      <c r="F93" s="118"/>
      <c r="G93" s="145" t="s">
        <v>163</v>
      </c>
      <c r="H93" s="114"/>
      <c r="I93" s="117"/>
      <c r="J93" s="118"/>
    </row>
    <row r="94" spans="1:10" s="120" customFormat="1" ht="15.6" x14ac:dyDescent="0.3">
      <c r="A94" s="111" t="s">
        <v>141</v>
      </c>
      <c r="B94" s="115" t="s">
        <v>99</v>
      </c>
      <c r="C94" s="116"/>
      <c r="D94" s="114"/>
      <c r="E94" s="117"/>
      <c r="F94" s="118"/>
      <c r="G94" s="145" t="s">
        <v>163</v>
      </c>
      <c r="H94" s="114"/>
      <c r="I94" s="117"/>
      <c r="J94" s="118"/>
    </row>
    <row r="95" spans="1:10" ht="15.6" x14ac:dyDescent="0.3">
      <c r="A95" s="12" t="s">
        <v>109</v>
      </c>
      <c r="B95" s="17" t="s">
        <v>121</v>
      </c>
      <c r="C95" s="15" t="s">
        <v>113</v>
      </c>
      <c r="D95" s="27"/>
      <c r="E95" s="81"/>
      <c r="F95" s="16"/>
      <c r="G95" s="147">
        <v>5868795.1900000004</v>
      </c>
      <c r="H95" s="27"/>
      <c r="I95" s="81"/>
      <c r="J95" s="16"/>
    </row>
    <row r="96" spans="1:10" ht="15.6" x14ac:dyDescent="0.3">
      <c r="A96" s="12" t="s">
        <v>110</v>
      </c>
      <c r="B96" s="17" t="s">
        <v>114</v>
      </c>
      <c r="C96" s="15" t="s">
        <v>115</v>
      </c>
      <c r="D96" s="27">
        <f t="shared" si="2"/>
        <v>554517.48499999999</v>
      </c>
      <c r="E96" s="81">
        <v>1109034.97</v>
      </c>
      <c r="F96" s="16"/>
      <c r="G96" s="29" t="s">
        <v>41</v>
      </c>
      <c r="H96" s="27">
        <v>554517.48499999999</v>
      </c>
      <c r="I96" s="81">
        <v>1109034.97</v>
      </c>
      <c r="J96" s="16"/>
    </row>
    <row r="97" spans="1:10" s="120" customFormat="1" ht="15.6" x14ac:dyDescent="0.3">
      <c r="A97" s="111" t="s">
        <v>102</v>
      </c>
      <c r="B97" s="115" t="s">
        <v>101</v>
      </c>
      <c r="C97" s="116"/>
      <c r="D97" s="114"/>
      <c r="E97" s="117"/>
      <c r="F97" s="118"/>
      <c r="G97" s="145" t="s">
        <v>163</v>
      </c>
      <c r="H97" s="114"/>
      <c r="I97" s="117"/>
      <c r="J97" s="118"/>
    </row>
    <row r="98" spans="1:10" s="120" customFormat="1" ht="31.2" x14ac:dyDescent="0.3">
      <c r="A98" s="111" t="s">
        <v>104</v>
      </c>
      <c r="B98" s="115" t="s">
        <v>103</v>
      </c>
      <c r="C98" s="116"/>
      <c r="D98" s="117"/>
      <c r="E98" s="117"/>
      <c r="F98" s="118"/>
      <c r="G98" s="145" t="s">
        <v>163</v>
      </c>
      <c r="H98" s="117"/>
      <c r="I98" s="117"/>
      <c r="J98" s="118"/>
    </row>
    <row r="99" spans="1:10" s="120" customFormat="1" ht="31.2" x14ac:dyDescent="0.3">
      <c r="A99" s="111" t="s">
        <v>106</v>
      </c>
      <c r="B99" s="115" t="s">
        <v>105</v>
      </c>
      <c r="C99" s="116"/>
      <c r="D99" s="114"/>
      <c r="E99" s="117"/>
      <c r="F99" s="118"/>
      <c r="G99" s="145" t="s">
        <v>163</v>
      </c>
      <c r="H99" s="114"/>
      <c r="I99" s="117"/>
      <c r="J99" s="118"/>
    </row>
    <row r="100" spans="1:10" ht="15.6" x14ac:dyDescent="0.3">
      <c r="A100" s="159" t="s">
        <v>116</v>
      </c>
      <c r="B100" s="139" t="s">
        <v>124</v>
      </c>
      <c r="C100" s="161" t="s">
        <v>125</v>
      </c>
      <c r="D100" s="27">
        <f t="shared" ref="D100" si="3">E100*0.5+F100*0.8</f>
        <v>223850</v>
      </c>
      <c r="E100" s="81">
        <f>41.5*18500-D51</f>
        <v>447700</v>
      </c>
      <c r="F100" s="163"/>
      <c r="G100" s="167" t="s">
        <v>267</v>
      </c>
      <c r="H100" s="27">
        <v>223850</v>
      </c>
      <c r="I100" s="81">
        <v>447700</v>
      </c>
      <c r="J100" s="163"/>
    </row>
    <row r="101" spans="1:10" ht="15.6" x14ac:dyDescent="0.3">
      <c r="A101" s="111" t="s">
        <v>117</v>
      </c>
      <c r="B101" s="115" t="s">
        <v>169</v>
      </c>
      <c r="C101" s="156"/>
      <c r="D101" s="114"/>
      <c r="E101" s="117"/>
      <c r="F101" s="16"/>
      <c r="G101" s="145" t="s">
        <v>163</v>
      </c>
      <c r="H101" s="114"/>
      <c r="I101" s="117"/>
      <c r="J101" s="16"/>
    </row>
    <row r="102" spans="1:10" ht="15.6" x14ac:dyDescent="0.3">
      <c r="A102" s="12" t="s">
        <v>118</v>
      </c>
      <c r="B102" s="17" t="s">
        <v>122</v>
      </c>
      <c r="C102" s="15" t="s">
        <v>123</v>
      </c>
      <c r="D102" s="27">
        <f>E102*0.5+F102*0.8</f>
        <v>239778.05249999999</v>
      </c>
      <c r="E102" s="81">
        <f>959112.21*0.5</f>
        <v>479556.10499999998</v>
      </c>
      <c r="F102" s="16"/>
      <c r="G102" s="29" t="s">
        <v>261</v>
      </c>
      <c r="H102" s="27">
        <v>239778.05249999999</v>
      </c>
      <c r="I102" s="81">
        <v>479556.10499999998</v>
      </c>
      <c r="J102" s="16"/>
    </row>
    <row r="103" spans="1:10" ht="15.6" x14ac:dyDescent="0.3">
      <c r="A103" s="111" t="s">
        <v>170</v>
      </c>
      <c r="B103" s="115" t="s">
        <v>171</v>
      </c>
      <c r="C103" s="116"/>
      <c r="D103" s="114"/>
      <c r="E103" s="117"/>
      <c r="F103" s="118"/>
      <c r="G103" s="145" t="s">
        <v>163</v>
      </c>
      <c r="H103" s="114"/>
      <c r="I103" s="117"/>
      <c r="J103" s="118"/>
    </row>
    <row r="104" spans="1:10" ht="15.6" x14ac:dyDescent="0.3">
      <c r="A104" s="12" t="s">
        <v>176</v>
      </c>
      <c r="B104" s="17" t="s">
        <v>172</v>
      </c>
      <c r="C104" s="110"/>
      <c r="D104" s="137">
        <f>E104*0.5</f>
        <v>17672.5</v>
      </c>
      <c r="E104" s="137">
        <v>35345</v>
      </c>
      <c r="F104" s="165"/>
      <c r="G104" s="166" t="s">
        <v>260</v>
      </c>
      <c r="H104" s="137">
        <v>17672.5</v>
      </c>
      <c r="I104" s="137">
        <v>35345</v>
      </c>
      <c r="J104" s="16"/>
    </row>
    <row r="105" spans="1:10" ht="15.6" x14ac:dyDescent="0.3">
      <c r="A105" s="12" t="s">
        <v>177</v>
      </c>
      <c r="B105" s="17" t="s">
        <v>173</v>
      </c>
      <c r="C105" s="15"/>
      <c r="D105" s="137">
        <f t="shared" ref="D105:D107" si="4">E105*0.5+F105*0.8</f>
        <v>17682.625</v>
      </c>
      <c r="E105" s="137">
        <v>35365.25</v>
      </c>
      <c r="F105" s="165"/>
      <c r="G105" s="166" t="s">
        <v>260</v>
      </c>
      <c r="H105" s="137">
        <v>17682.625</v>
      </c>
      <c r="I105" s="137">
        <v>35365.25</v>
      </c>
      <c r="J105" s="16"/>
    </row>
    <row r="106" spans="1:10" s="120" customFormat="1" ht="15.6" x14ac:dyDescent="0.3">
      <c r="A106" s="111" t="s">
        <v>178</v>
      </c>
      <c r="B106" s="115" t="s">
        <v>174</v>
      </c>
      <c r="C106" s="116"/>
      <c r="D106" s="114"/>
      <c r="E106" s="117"/>
      <c r="F106" s="118"/>
      <c r="G106" s="145" t="s">
        <v>163</v>
      </c>
      <c r="H106" s="114"/>
      <c r="I106" s="117"/>
      <c r="J106" s="118"/>
    </row>
    <row r="107" spans="1:10" ht="15.6" x14ac:dyDescent="0.3">
      <c r="A107" s="12" t="s">
        <v>179</v>
      </c>
      <c r="B107" s="17" t="s">
        <v>175</v>
      </c>
      <c r="C107" s="15"/>
      <c r="D107" s="137">
        <f t="shared" si="4"/>
        <v>15201.25</v>
      </c>
      <c r="E107" s="81">
        <v>30402.5</v>
      </c>
      <c r="F107" s="16"/>
      <c r="G107" s="29" t="s">
        <v>41</v>
      </c>
      <c r="H107" s="137">
        <v>15201.25</v>
      </c>
      <c r="I107" s="81">
        <v>30402.5</v>
      </c>
      <c r="J107" s="16"/>
    </row>
    <row r="108" spans="1:10" ht="15.6" x14ac:dyDescent="0.3">
      <c r="A108" s="111" t="s">
        <v>142</v>
      </c>
      <c r="B108" s="115" t="s">
        <v>180</v>
      </c>
      <c r="C108" s="116" t="s">
        <v>119</v>
      </c>
      <c r="D108" s="114"/>
      <c r="E108" s="117"/>
      <c r="F108" s="118"/>
      <c r="G108" s="145" t="s">
        <v>163</v>
      </c>
      <c r="H108" s="114"/>
      <c r="I108" s="117"/>
      <c r="J108" s="118"/>
    </row>
    <row r="109" spans="1:10" ht="15.6" x14ac:dyDescent="0.3">
      <c r="A109" s="12" t="s">
        <v>143</v>
      </c>
      <c r="B109" s="17" t="s">
        <v>185</v>
      </c>
      <c r="C109" s="15" t="s">
        <v>183</v>
      </c>
      <c r="D109" s="137">
        <f>E109*0.5</f>
        <v>190926.94500000001</v>
      </c>
      <c r="E109" s="81">
        <f>763707.78*0.5</f>
        <v>381853.89</v>
      </c>
      <c r="F109" s="16"/>
      <c r="G109" s="29" t="s">
        <v>261</v>
      </c>
      <c r="H109" s="137">
        <v>190926.94500000001</v>
      </c>
      <c r="I109" s="81">
        <v>381853.89</v>
      </c>
      <c r="J109" s="16"/>
    </row>
    <row r="110" spans="1:10" ht="15.6" x14ac:dyDescent="0.3">
      <c r="A110" s="12" t="s">
        <v>144</v>
      </c>
      <c r="B110" s="17" t="s">
        <v>184</v>
      </c>
      <c r="C110" s="15" t="s">
        <v>182</v>
      </c>
      <c r="D110" s="109"/>
      <c r="E110" s="81">
        <v>48963.26</v>
      </c>
      <c r="F110" s="16"/>
      <c r="G110" s="29"/>
      <c r="H110" s="109"/>
      <c r="I110" s="81"/>
      <c r="J110" s="16"/>
    </row>
    <row r="111" spans="1:10" ht="18.600000000000001" customHeight="1" x14ac:dyDescent="0.3">
      <c r="A111" s="12" t="s">
        <v>145</v>
      </c>
      <c r="B111" s="17" t="s">
        <v>195</v>
      </c>
      <c r="C111" s="15" t="s">
        <v>186</v>
      </c>
      <c r="D111" s="27"/>
      <c r="E111" s="149">
        <v>1900000</v>
      </c>
      <c r="F111" s="16"/>
      <c r="G111" s="29"/>
      <c r="H111" s="27"/>
      <c r="I111" s="149"/>
      <c r="J111" s="16"/>
    </row>
    <row r="112" spans="1:10" ht="15.6" x14ac:dyDescent="0.3">
      <c r="A112" s="12" t="s">
        <v>181</v>
      </c>
      <c r="B112" s="158" t="s">
        <v>124</v>
      </c>
      <c r="C112" s="15" t="s">
        <v>186</v>
      </c>
      <c r="D112" s="27"/>
      <c r="E112" s="81"/>
      <c r="F112" s="16"/>
      <c r="G112" s="141"/>
      <c r="H112" s="27"/>
      <c r="I112" s="81"/>
      <c r="J112" s="16"/>
    </row>
    <row r="113" spans="1:10" s="120" customFormat="1" ht="15.6" x14ac:dyDescent="0.3">
      <c r="A113" s="111" t="s">
        <v>187</v>
      </c>
      <c r="B113" s="115" t="s">
        <v>220</v>
      </c>
      <c r="C113" s="116"/>
      <c r="D113" s="114"/>
      <c r="E113" s="117"/>
      <c r="F113" s="118"/>
      <c r="G113" s="145" t="s">
        <v>163</v>
      </c>
      <c r="H113" s="114"/>
      <c r="I113" s="117"/>
      <c r="J113" s="118"/>
    </row>
    <row r="114" spans="1:10" ht="15.6" x14ac:dyDescent="0.3">
      <c r="A114" s="12" t="s">
        <v>188</v>
      </c>
      <c r="B114" s="17" t="s">
        <v>222</v>
      </c>
      <c r="C114" s="15"/>
      <c r="D114" s="27"/>
      <c r="E114" s="81">
        <v>31058.936000000002</v>
      </c>
      <c r="F114" s="16"/>
      <c r="G114" s="141"/>
      <c r="H114" s="27"/>
      <c r="I114" s="81"/>
      <c r="J114" s="16"/>
    </row>
    <row r="115" spans="1:10" ht="15.6" x14ac:dyDescent="0.3">
      <c r="A115" s="111" t="s">
        <v>189</v>
      </c>
      <c r="B115" s="115" t="s">
        <v>235</v>
      </c>
      <c r="C115" s="116"/>
      <c r="D115" s="114"/>
      <c r="E115" s="117"/>
      <c r="F115" s="118"/>
      <c r="G115" s="145" t="s">
        <v>163</v>
      </c>
      <c r="H115" s="114"/>
      <c r="I115" s="117"/>
      <c r="J115" s="118"/>
    </row>
    <row r="116" spans="1:10" ht="15.6" x14ac:dyDescent="0.3">
      <c r="A116" s="12" t="s">
        <v>190</v>
      </c>
      <c r="B116" s="17" t="s">
        <v>236</v>
      </c>
      <c r="C116" s="15"/>
      <c r="D116" s="27"/>
      <c r="E116" s="137">
        <v>5040</v>
      </c>
      <c r="F116" s="16"/>
      <c r="G116" s="141"/>
      <c r="H116" s="27"/>
      <c r="I116" s="137"/>
      <c r="J116" s="16"/>
    </row>
    <row r="117" spans="1:10" ht="15.6" x14ac:dyDescent="0.3">
      <c r="A117" s="12" t="s">
        <v>223</v>
      </c>
      <c r="B117" s="17" t="s">
        <v>244</v>
      </c>
      <c r="C117" s="15" t="s">
        <v>243</v>
      </c>
      <c r="D117" s="27"/>
      <c r="E117" s="81">
        <v>40920.07</v>
      </c>
      <c r="F117" s="16"/>
      <c r="G117" s="141"/>
      <c r="H117" s="27"/>
      <c r="I117" s="81"/>
      <c r="J117" s="16"/>
    </row>
    <row r="118" spans="1:10" ht="15.6" x14ac:dyDescent="0.3">
      <c r="A118" s="12" t="s">
        <v>224</v>
      </c>
      <c r="B118" s="17"/>
      <c r="C118" s="15"/>
      <c r="D118" s="27"/>
      <c r="E118" s="81"/>
      <c r="F118" s="16"/>
      <c r="G118" s="141"/>
      <c r="H118" s="27"/>
      <c r="I118" s="81"/>
      <c r="J118" s="16"/>
    </row>
    <row r="119" spans="1:10" ht="15.6" x14ac:dyDescent="0.3">
      <c r="A119" s="12" t="s">
        <v>225</v>
      </c>
      <c r="B119" s="17"/>
      <c r="C119" s="15"/>
      <c r="D119" s="27"/>
      <c r="E119" s="81"/>
      <c r="F119" s="16"/>
      <c r="G119" s="141"/>
      <c r="H119" s="27"/>
      <c r="I119" s="81"/>
      <c r="J119" s="16"/>
    </row>
    <row r="120" spans="1:10" ht="15.6" x14ac:dyDescent="0.3">
      <c r="A120" s="12"/>
      <c r="B120" s="17" t="s">
        <v>269</v>
      </c>
      <c r="C120" s="15"/>
      <c r="D120" s="27"/>
      <c r="E120" s="81"/>
      <c r="F120" s="16"/>
      <c r="G120" s="141"/>
      <c r="H120" s="27">
        <v>-487290.46</v>
      </c>
      <c r="I120" s="81"/>
      <c r="J120" s="16"/>
    </row>
    <row r="121" spans="1:10" ht="15.6" x14ac:dyDescent="0.3">
      <c r="A121" s="83"/>
      <c r="B121" s="84" t="s">
        <v>49</v>
      </c>
      <c r="C121" s="85"/>
      <c r="D121" s="86">
        <f>D72+D74</f>
        <v>3313702.2321957969</v>
      </c>
      <c r="E121" s="87"/>
      <c r="F121" s="87"/>
      <c r="G121" s="141"/>
      <c r="H121" s="86">
        <f>H72+H74</f>
        <v>2826411.7721957969</v>
      </c>
      <c r="I121" s="87"/>
      <c r="J121" s="87"/>
    </row>
    <row r="122" spans="1:10" x14ac:dyDescent="0.3">
      <c r="C122" s="130"/>
      <c r="D122" s="131"/>
      <c r="E122" s="11"/>
      <c r="F122" s="11"/>
      <c r="G122" t="s">
        <v>254</v>
      </c>
      <c r="H122" s="131">
        <f>H13/1.2*0.2</f>
        <v>4632064.4400000004</v>
      </c>
      <c r="I122" s="11"/>
      <c r="J122" s="11"/>
    </row>
    <row r="123" spans="1:10" x14ac:dyDescent="0.3">
      <c r="C123" s="130"/>
      <c r="D123" s="131"/>
      <c r="E123" s="11"/>
      <c r="F123" s="11"/>
      <c r="G123" t="s">
        <v>255</v>
      </c>
      <c r="H123" s="131">
        <v>3773813.07</v>
      </c>
      <c r="I123" s="11"/>
      <c r="J123" s="11"/>
    </row>
    <row r="124" spans="1:10" x14ac:dyDescent="0.3">
      <c r="C124" s="130"/>
      <c r="D124" s="131"/>
      <c r="E124" s="11"/>
      <c r="F124" s="11"/>
      <c r="G124" t="s">
        <v>253</v>
      </c>
      <c r="H124" s="131">
        <f>H121-H122+H123</f>
        <v>1968160.4021957964</v>
      </c>
      <c r="I124" s="11"/>
      <c r="J124" s="11"/>
    </row>
    <row r="125" spans="1:10" x14ac:dyDescent="0.3">
      <c r="C125" s="130"/>
      <c r="D125" s="131"/>
      <c r="E125" s="11"/>
      <c r="F125" s="11"/>
      <c r="H125" s="131"/>
      <c r="I125" s="11"/>
      <c r="J125" s="11"/>
    </row>
    <row r="126" spans="1:10" ht="18" x14ac:dyDescent="0.3">
      <c r="B126" s="82"/>
      <c r="D126" s="96"/>
      <c r="H126" s="96"/>
    </row>
    <row r="127" spans="1:10" x14ac:dyDescent="0.3">
      <c r="D127" s="96"/>
      <c r="H127" s="96"/>
    </row>
    <row r="128" spans="1:10" x14ac:dyDescent="0.3">
      <c r="D128" s="3"/>
    </row>
    <row r="131" spans="4:8" x14ac:dyDescent="0.3">
      <c r="H131" s="3"/>
    </row>
    <row r="132" spans="4:8" x14ac:dyDescent="0.3">
      <c r="D132" s="96">
        <v>908895.92</v>
      </c>
    </row>
  </sheetData>
  <mergeCells count="14">
    <mergeCell ref="A6:F6"/>
    <mergeCell ref="A1:B1"/>
    <mergeCell ref="A2:B2"/>
    <mergeCell ref="A3:B3"/>
    <mergeCell ref="A4:D4"/>
    <mergeCell ref="A5:D5"/>
    <mergeCell ref="H10:H11"/>
    <mergeCell ref="I10:J10"/>
    <mergeCell ref="H9:J9"/>
    <mergeCell ref="A10:A11"/>
    <mergeCell ref="B10:B11"/>
    <mergeCell ref="C10:C11"/>
    <mergeCell ref="D10:D11"/>
    <mergeCell ref="E10:F10"/>
  </mergeCells>
  <phoneticPr fontId="3" type="noConversion"/>
  <pageMargins left="0.11811023622047245" right="0.11811023622047245" top="0.15748031496062992" bottom="0.15748031496062992" header="0.31496062992125984" footer="0.31496062992125984"/>
  <pageSetup paperSize="9" scale="47" fitToHeight="2" orientation="landscape" verticalDpi="300" r:id="rId1"/>
  <rowBreaks count="1" manualBreakCount="1">
    <brk id="7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6"/>
  <sheetViews>
    <sheetView topLeftCell="A88" workbookViewId="0">
      <selection activeCell="G13" sqref="G13"/>
    </sheetView>
  </sheetViews>
  <sheetFormatPr defaultRowHeight="14.4" x14ac:dyDescent="0.3"/>
  <cols>
    <col min="1" max="1" width="21.33203125" style="1" customWidth="1"/>
    <col min="2" max="2" width="50.88671875" style="2" customWidth="1"/>
    <col min="3" max="3" width="20.6640625" style="2" customWidth="1"/>
    <col min="4" max="4" width="18.44140625" customWidth="1"/>
    <col min="5" max="5" width="16" customWidth="1"/>
    <col min="6" max="6" width="17.6640625" customWidth="1"/>
    <col min="7" max="7" width="45.44140625" customWidth="1"/>
    <col min="8" max="8" width="20.6640625" style="2" customWidth="1"/>
    <col min="9" max="9" width="18.44140625" customWidth="1"/>
    <col min="10" max="10" width="16" customWidth="1"/>
    <col min="11" max="11" width="17.6640625" customWidth="1"/>
  </cols>
  <sheetData>
    <row r="1" spans="1:11" x14ac:dyDescent="0.3">
      <c r="A1" s="268" t="s">
        <v>0</v>
      </c>
      <c r="B1" s="268"/>
      <c r="C1" s="5"/>
      <c r="D1" s="4"/>
      <c r="H1" s="5"/>
      <c r="I1" s="4"/>
    </row>
    <row r="2" spans="1:11" x14ac:dyDescent="0.3">
      <c r="A2" s="269" t="s">
        <v>1</v>
      </c>
      <c r="B2" s="269"/>
      <c r="C2" s="6"/>
      <c r="D2" s="4"/>
      <c r="H2" s="6"/>
      <c r="I2" s="4"/>
    </row>
    <row r="3" spans="1:11" x14ac:dyDescent="0.3">
      <c r="A3" s="268" t="s">
        <v>15</v>
      </c>
      <c r="B3" s="268"/>
      <c r="C3" s="5"/>
      <c r="D3" s="4"/>
      <c r="H3" s="5"/>
      <c r="I3" s="4"/>
    </row>
    <row r="4" spans="1:11" x14ac:dyDescent="0.3">
      <c r="A4" s="270" t="s">
        <v>2</v>
      </c>
      <c r="B4" s="270"/>
      <c r="C4" s="270"/>
      <c r="D4" s="270"/>
      <c r="H4"/>
    </row>
    <row r="5" spans="1:11" x14ac:dyDescent="0.3">
      <c r="A5" s="270" t="s">
        <v>14</v>
      </c>
      <c r="B5" s="270"/>
      <c r="C5" s="270"/>
      <c r="D5" s="270"/>
      <c r="H5"/>
    </row>
    <row r="6" spans="1:11" ht="30.6" customHeight="1" x14ac:dyDescent="0.3">
      <c r="A6" s="267" t="s">
        <v>13</v>
      </c>
      <c r="B6" s="267"/>
      <c r="C6" s="267"/>
      <c r="D6" s="267"/>
      <c r="E6" s="267"/>
      <c r="F6" s="267"/>
      <c r="H6"/>
    </row>
    <row r="7" spans="1:11" x14ac:dyDescent="0.3">
      <c r="A7" s="1" t="s">
        <v>3</v>
      </c>
    </row>
    <row r="9" spans="1:11" s="11" customFormat="1" ht="24.6" customHeight="1" thickBot="1" x14ac:dyDescent="0.35">
      <c r="A9" s="108" t="s">
        <v>221</v>
      </c>
      <c r="B9" s="108"/>
      <c r="C9" s="108"/>
      <c r="D9" s="108"/>
      <c r="E9" s="108"/>
      <c r="F9" s="108"/>
      <c r="H9" s="279" t="s">
        <v>227</v>
      </c>
      <c r="I9" s="279"/>
      <c r="J9" s="279"/>
      <c r="K9" s="279"/>
    </row>
    <row r="10" spans="1:11" s="2" customFormat="1" x14ac:dyDescent="0.3">
      <c r="A10" s="271" t="s">
        <v>4</v>
      </c>
      <c r="B10" s="273" t="s">
        <v>5</v>
      </c>
      <c r="C10" s="275" t="s">
        <v>23</v>
      </c>
      <c r="D10" s="273" t="s">
        <v>6</v>
      </c>
      <c r="E10" s="277" t="s">
        <v>7</v>
      </c>
      <c r="F10" s="277"/>
      <c r="G10" s="110"/>
      <c r="H10" s="275" t="s">
        <v>23</v>
      </c>
      <c r="I10" s="273" t="s">
        <v>6</v>
      </c>
      <c r="J10" s="277" t="s">
        <v>7</v>
      </c>
      <c r="K10" s="277"/>
    </row>
    <row r="11" spans="1:11" s="2" customFormat="1" ht="15" thickBot="1" x14ac:dyDescent="0.35">
      <c r="A11" s="272"/>
      <c r="B11" s="274"/>
      <c r="C11" s="276"/>
      <c r="D11" s="274"/>
      <c r="E11" s="8" t="s">
        <v>9</v>
      </c>
      <c r="F11" s="8" t="s">
        <v>10</v>
      </c>
      <c r="G11" s="110"/>
      <c r="H11" s="276"/>
      <c r="I11" s="274"/>
      <c r="J11" s="8" t="s">
        <v>9</v>
      </c>
      <c r="K11" s="8" t="s">
        <v>10</v>
      </c>
    </row>
    <row r="12" spans="1:11" s="2" customFormat="1" ht="15.6" x14ac:dyDescent="0.3">
      <c r="A12" s="39"/>
      <c r="B12" s="40" t="s">
        <v>53</v>
      </c>
      <c r="C12" s="40"/>
      <c r="D12" s="39"/>
      <c r="E12" s="39"/>
      <c r="F12" s="39"/>
      <c r="G12" s="110"/>
      <c r="H12" s="40"/>
      <c r="I12" s="39"/>
      <c r="J12" s="39"/>
      <c r="K12" s="39"/>
    </row>
    <row r="13" spans="1:11" ht="15.6" x14ac:dyDescent="0.3">
      <c r="A13" s="23">
        <v>1</v>
      </c>
      <c r="B13" s="24" t="s">
        <v>16</v>
      </c>
      <c r="C13" s="24"/>
      <c r="D13" s="129">
        <f>16638048.3+484823.86+5129777.38+959728.24</f>
        <v>23212377.779999997</v>
      </c>
      <c r="E13" s="25"/>
      <c r="F13" s="25"/>
      <c r="G13" s="141"/>
      <c r="H13" s="24"/>
      <c r="I13" s="129">
        <f>16638048.3+484823.86+5129777.38</f>
        <v>22252649.539999999</v>
      </c>
      <c r="J13" s="25"/>
      <c r="K13" s="25"/>
    </row>
    <row r="14" spans="1:11" ht="15.6" x14ac:dyDescent="0.3">
      <c r="A14" s="41"/>
      <c r="B14" s="42" t="s">
        <v>54</v>
      </c>
      <c r="C14" s="42"/>
      <c r="D14" s="43"/>
      <c r="E14" s="44"/>
      <c r="F14" s="45"/>
      <c r="G14" s="141"/>
      <c r="H14" s="42"/>
      <c r="I14" s="43"/>
      <c r="J14" s="44"/>
      <c r="K14" s="45"/>
    </row>
    <row r="15" spans="1:11" ht="15.6" x14ac:dyDescent="0.3">
      <c r="A15" s="47">
        <v>2</v>
      </c>
      <c r="B15" s="48" t="s">
        <v>17</v>
      </c>
      <c r="C15" s="48"/>
      <c r="D15" s="49">
        <f>SUM(D16:D39)</f>
        <v>7099421.1499999994</v>
      </c>
      <c r="E15" s="50"/>
      <c r="F15" s="51"/>
      <c r="G15" s="154"/>
      <c r="H15" s="48"/>
      <c r="I15" s="49">
        <f>SUM(I16:I39)</f>
        <v>7099363.1499999994</v>
      </c>
      <c r="J15" s="50"/>
      <c r="K15" s="51"/>
    </row>
    <row r="16" spans="1:11" ht="15.6" x14ac:dyDescent="0.3">
      <c r="A16" s="80" t="s">
        <v>216</v>
      </c>
      <c r="B16" s="26" t="s">
        <v>73</v>
      </c>
      <c r="C16" s="30" t="s">
        <v>74</v>
      </c>
      <c r="D16" s="137">
        <v>74844.2</v>
      </c>
      <c r="E16" s="31">
        <v>0</v>
      </c>
      <c r="F16" s="31">
        <v>0</v>
      </c>
      <c r="G16" s="141"/>
      <c r="H16" s="30" t="s">
        <v>74</v>
      </c>
      <c r="I16" s="151">
        <v>74844.2</v>
      </c>
      <c r="J16" s="31">
        <v>0</v>
      </c>
      <c r="K16" s="31">
        <v>0</v>
      </c>
    </row>
    <row r="17" spans="1:11" ht="15.6" x14ac:dyDescent="0.3">
      <c r="A17" s="80" t="s">
        <v>215</v>
      </c>
      <c r="B17" s="26" t="s">
        <v>75</v>
      </c>
      <c r="C17" s="30" t="s">
        <v>31</v>
      </c>
      <c r="D17" s="137">
        <v>585276.81999999995</v>
      </c>
      <c r="E17" s="31"/>
      <c r="F17" s="31"/>
      <c r="G17" s="141"/>
      <c r="H17" s="30" t="s">
        <v>31</v>
      </c>
      <c r="I17" s="151">
        <v>585276.81999999995</v>
      </c>
      <c r="J17" s="31"/>
      <c r="K17" s="31"/>
    </row>
    <row r="18" spans="1:11" ht="15.6" x14ac:dyDescent="0.3">
      <c r="A18" s="80" t="s">
        <v>214</v>
      </c>
      <c r="B18" s="26" t="s">
        <v>76</v>
      </c>
      <c r="C18" s="30" t="s">
        <v>32</v>
      </c>
      <c r="D18" s="152">
        <v>585276.81999999995</v>
      </c>
      <c r="E18" s="31"/>
      <c r="F18" s="31"/>
      <c r="G18" s="141"/>
      <c r="H18" s="30" t="s">
        <v>32</v>
      </c>
      <c r="I18" s="152">
        <v>585218.81999999995</v>
      </c>
      <c r="J18" s="31"/>
      <c r="K18" s="31"/>
    </row>
    <row r="19" spans="1:11" ht="15.6" x14ac:dyDescent="0.3">
      <c r="A19" s="80" t="s">
        <v>213</v>
      </c>
      <c r="B19" s="26" t="s">
        <v>146</v>
      </c>
      <c r="C19" s="30"/>
      <c r="D19" s="137">
        <v>70000</v>
      </c>
      <c r="E19" s="31"/>
      <c r="F19" s="31"/>
      <c r="G19" s="141"/>
      <c r="H19" s="30"/>
      <c r="I19" s="151">
        <v>70000</v>
      </c>
      <c r="J19" s="31"/>
      <c r="K19" s="31"/>
    </row>
    <row r="20" spans="1:11" ht="31.2" x14ac:dyDescent="0.3">
      <c r="A20" s="80" t="s">
        <v>212</v>
      </c>
      <c r="B20" s="26" t="s">
        <v>147</v>
      </c>
      <c r="C20" s="30"/>
      <c r="D20" s="137">
        <v>92115.83</v>
      </c>
      <c r="E20" s="31"/>
      <c r="F20" s="31"/>
      <c r="G20" s="141"/>
      <c r="H20" s="30"/>
      <c r="I20" s="151">
        <v>92115.83</v>
      </c>
      <c r="J20" s="31"/>
      <c r="K20" s="31"/>
    </row>
    <row r="21" spans="1:11" ht="31.2" x14ac:dyDescent="0.3">
      <c r="A21" s="80" t="s">
        <v>149</v>
      </c>
      <c r="B21" s="26" t="s">
        <v>148</v>
      </c>
      <c r="C21" s="30"/>
      <c r="D21" s="137">
        <v>69692.789999999994</v>
      </c>
      <c r="E21" s="31"/>
      <c r="F21" s="31"/>
      <c r="G21" s="141"/>
      <c r="H21" s="30"/>
      <c r="I21" s="151">
        <v>69692.789999999994</v>
      </c>
      <c r="J21" s="31"/>
      <c r="K21" s="31"/>
    </row>
    <row r="22" spans="1:11" ht="15.6" x14ac:dyDescent="0.3">
      <c r="A22" s="80" t="s">
        <v>151</v>
      </c>
      <c r="B22" s="26" t="s">
        <v>154</v>
      </c>
      <c r="C22" s="30"/>
      <c r="D22" s="137">
        <v>220420.19</v>
      </c>
      <c r="E22" s="31"/>
      <c r="F22" s="31"/>
      <c r="G22" s="141"/>
      <c r="H22" s="30"/>
      <c r="I22" s="151">
        <v>220420.19</v>
      </c>
      <c r="J22" s="31"/>
      <c r="K22" s="31"/>
    </row>
    <row r="23" spans="1:11" ht="31.2" x14ac:dyDescent="0.3">
      <c r="A23" s="80" t="s">
        <v>152</v>
      </c>
      <c r="B23" s="26" t="s">
        <v>155</v>
      </c>
      <c r="C23" s="30"/>
      <c r="D23" s="137">
        <v>19075.72</v>
      </c>
      <c r="E23" s="31"/>
      <c r="F23" s="31"/>
      <c r="G23" s="141"/>
      <c r="H23" s="30"/>
      <c r="I23" s="151">
        <v>19075.72</v>
      </c>
      <c r="J23" s="31"/>
      <c r="K23" s="31"/>
    </row>
    <row r="24" spans="1:11" ht="31.2" x14ac:dyDescent="0.3">
      <c r="A24" s="80" t="s">
        <v>153</v>
      </c>
      <c r="B24" s="26" t="s">
        <v>156</v>
      </c>
      <c r="C24" s="30"/>
      <c r="D24" s="137">
        <v>8730</v>
      </c>
      <c r="E24" s="31"/>
      <c r="F24" s="31"/>
      <c r="G24" s="141"/>
      <c r="H24" s="30"/>
      <c r="I24" s="151">
        <v>8730</v>
      </c>
      <c r="J24" s="31"/>
      <c r="K24" s="31"/>
    </row>
    <row r="25" spans="1:11" ht="15.6" x14ac:dyDescent="0.3">
      <c r="A25" s="80" t="s">
        <v>157</v>
      </c>
      <c r="B25" s="26" t="s">
        <v>150</v>
      </c>
      <c r="C25" s="30" t="s">
        <v>30</v>
      </c>
      <c r="D25" s="137">
        <v>1609186.51</v>
      </c>
      <c r="E25" s="31"/>
      <c r="F25" s="31"/>
      <c r="G25" s="141"/>
      <c r="H25" s="30" t="s">
        <v>30</v>
      </c>
      <c r="I25" s="151">
        <v>1609186.51</v>
      </c>
      <c r="J25" s="31"/>
      <c r="K25" s="31"/>
    </row>
    <row r="26" spans="1:11" ht="15.6" x14ac:dyDescent="0.3">
      <c r="A26" s="80" t="s">
        <v>158</v>
      </c>
      <c r="B26" s="26" t="s">
        <v>159</v>
      </c>
      <c r="C26" s="26"/>
      <c r="D26" s="137">
        <v>231000</v>
      </c>
      <c r="E26" s="31"/>
      <c r="F26" s="31"/>
      <c r="G26" s="141"/>
      <c r="H26" s="26"/>
      <c r="I26" s="151">
        <v>231000</v>
      </c>
      <c r="J26" s="31"/>
      <c r="K26" s="31"/>
    </row>
    <row r="27" spans="1:11" s="11" customFormat="1" ht="15.6" x14ac:dyDescent="0.3">
      <c r="A27" s="12" t="s">
        <v>210</v>
      </c>
      <c r="B27" s="17" t="s">
        <v>160</v>
      </c>
      <c r="C27" s="15" t="s">
        <v>46</v>
      </c>
      <c r="D27" s="114">
        <v>1027136</v>
      </c>
      <c r="E27" s="31"/>
      <c r="F27" s="31"/>
      <c r="G27" s="142"/>
      <c r="H27" s="15" t="s">
        <v>46</v>
      </c>
      <c r="I27" s="153">
        <v>1027136</v>
      </c>
      <c r="J27" s="31"/>
      <c r="K27" s="31"/>
    </row>
    <row r="28" spans="1:11" s="11" customFormat="1" ht="15.6" x14ac:dyDescent="0.3">
      <c r="A28" s="12" t="s">
        <v>211</v>
      </c>
      <c r="B28" s="26" t="s">
        <v>196</v>
      </c>
      <c r="C28" s="15" t="s">
        <v>33</v>
      </c>
      <c r="D28" s="114">
        <v>309258.40000000002</v>
      </c>
      <c r="E28" s="31"/>
      <c r="F28" s="31"/>
      <c r="G28" s="142"/>
      <c r="H28" s="15" t="s">
        <v>33</v>
      </c>
      <c r="I28" s="153">
        <v>309258.40000000002</v>
      </c>
      <c r="J28" s="31"/>
      <c r="K28" s="31"/>
    </row>
    <row r="29" spans="1:11" ht="15.6" x14ac:dyDescent="0.3">
      <c r="A29" s="121" t="s">
        <v>208</v>
      </c>
      <c r="B29" s="17" t="s">
        <v>198</v>
      </c>
      <c r="C29" s="15"/>
      <c r="D29" s="137">
        <v>27868</v>
      </c>
      <c r="E29" s="31"/>
      <c r="F29" s="31"/>
      <c r="G29" s="141"/>
      <c r="H29" s="15"/>
      <c r="I29" s="151">
        <v>27868</v>
      </c>
      <c r="J29" s="31"/>
      <c r="K29" s="31"/>
    </row>
    <row r="30" spans="1:11" ht="19.95" customHeight="1" x14ac:dyDescent="0.3">
      <c r="A30" s="12" t="s">
        <v>209</v>
      </c>
      <c r="B30" s="32" t="s">
        <v>193</v>
      </c>
      <c r="C30" s="30" t="s">
        <v>191</v>
      </c>
      <c r="D30" s="137">
        <v>554353</v>
      </c>
      <c r="E30" s="31"/>
      <c r="F30" s="31"/>
      <c r="G30" s="141"/>
      <c r="H30" s="30" t="s">
        <v>191</v>
      </c>
      <c r="I30" s="151">
        <v>554353</v>
      </c>
      <c r="J30" s="31"/>
      <c r="K30" s="31"/>
    </row>
    <row r="31" spans="1:11" ht="15.6" x14ac:dyDescent="0.3">
      <c r="A31" s="12" t="s">
        <v>206</v>
      </c>
      <c r="B31" s="138" t="s">
        <v>200</v>
      </c>
      <c r="C31" s="15" t="s">
        <v>40</v>
      </c>
      <c r="D31" s="137">
        <v>446461.48</v>
      </c>
      <c r="E31" s="31"/>
      <c r="F31" s="31"/>
      <c r="G31" s="141"/>
      <c r="H31" s="15" t="s">
        <v>40</v>
      </c>
      <c r="I31" s="151">
        <v>446461.48</v>
      </c>
      <c r="J31" s="31"/>
      <c r="K31" s="31"/>
    </row>
    <row r="32" spans="1:11" ht="15.6" x14ac:dyDescent="0.3">
      <c r="A32" s="12" t="s">
        <v>205</v>
      </c>
      <c r="B32" s="139" t="s">
        <v>201</v>
      </c>
      <c r="C32" s="15"/>
      <c r="D32" s="137">
        <v>47254.52</v>
      </c>
      <c r="E32" s="31"/>
      <c r="F32" s="31"/>
      <c r="G32" s="141"/>
      <c r="H32" s="15"/>
      <c r="I32" s="151">
        <v>47254.52</v>
      </c>
      <c r="J32" s="31"/>
      <c r="K32" s="31"/>
    </row>
    <row r="33" spans="1:12" ht="31.2" x14ac:dyDescent="0.3">
      <c r="A33" s="80" t="s">
        <v>207</v>
      </c>
      <c r="B33" s="138" t="s">
        <v>202</v>
      </c>
      <c r="C33" s="26"/>
      <c r="D33" s="137">
        <v>2044</v>
      </c>
      <c r="E33" s="31"/>
      <c r="F33" s="31"/>
      <c r="G33" s="141"/>
      <c r="H33" s="26"/>
      <c r="I33" s="151">
        <v>2044</v>
      </c>
      <c r="J33" s="31"/>
      <c r="K33" s="31"/>
    </row>
    <row r="34" spans="1:12" s="11" customFormat="1" ht="31.2" x14ac:dyDescent="0.3">
      <c r="A34" s="80" t="s">
        <v>167</v>
      </c>
      <c r="B34" s="26" t="s">
        <v>168</v>
      </c>
      <c r="C34" s="26"/>
      <c r="D34" s="114">
        <v>151220.25</v>
      </c>
      <c r="E34" s="31"/>
      <c r="F34" s="31"/>
      <c r="G34" s="142"/>
      <c r="H34" s="26"/>
      <c r="I34" s="153">
        <v>151220.25</v>
      </c>
      <c r="J34" s="31"/>
      <c r="K34" s="31"/>
    </row>
    <row r="35" spans="1:12" ht="15.6" x14ac:dyDescent="0.3">
      <c r="A35" s="12" t="s">
        <v>170</v>
      </c>
      <c r="B35" s="17" t="s">
        <v>218</v>
      </c>
      <c r="C35" s="15"/>
      <c r="D35" s="114">
        <v>46960.61</v>
      </c>
      <c r="E35" s="81"/>
      <c r="F35" s="16"/>
      <c r="G35" s="141"/>
      <c r="H35" s="15"/>
      <c r="I35" s="114">
        <v>46960.61</v>
      </c>
      <c r="J35" s="81"/>
      <c r="K35" s="16"/>
      <c r="L35" t="s">
        <v>64</v>
      </c>
    </row>
    <row r="36" spans="1:12" ht="19.95" customHeight="1" x14ac:dyDescent="0.3">
      <c r="A36" s="12" t="s">
        <v>178</v>
      </c>
      <c r="B36" s="17" t="s">
        <v>219</v>
      </c>
      <c r="C36" s="15"/>
      <c r="D36" s="114">
        <v>176195.67</v>
      </c>
      <c r="E36" s="81"/>
      <c r="F36" s="31"/>
      <c r="G36" s="141"/>
      <c r="H36" s="15"/>
      <c r="I36" s="114">
        <v>176195.67</v>
      </c>
      <c r="J36" s="81"/>
      <c r="K36" s="31"/>
      <c r="L36" t="s">
        <v>64</v>
      </c>
    </row>
    <row r="37" spans="1:12" s="11" customFormat="1" ht="19.2" customHeight="1" x14ac:dyDescent="0.3">
      <c r="A37" s="80" t="s">
        <v>158</v>
      </c>
      <c r="B37" s="26" t="s">
        <v>199</v>
      </c>
      <c r="C37" s="26"/>
      <c r="D37" s="114">
        <v>111000</v>
      </c>
      <c r="E37" s="31"/>
      <c r="F37" s="31"/>
      <c r="G37" s="142"/>
      <c r="H37" s="26"/>
      <c r="I37" s="114">
        <v>111000</v>
      </c>
      <c r="J37" s="31"/>
      <c r="K37" s="31"/>
      <c r="L37" t="s">
        <v>64</v>
      </c>
    </row>
    <row r="38" spans="1:12" s="11" customFormat="1" ht="15.6" x14ac:dyDescent="0.3">
      <c r="A38" s="80" t="s">
        <v>166</v>
      </c>
      <c r="B38" s="26" t="s">
        <v>197</v>
      </c>
      <c r="C38" s="15" t="s">
        <v>91</v>
      </c>
      <c r="D38" s="114">
        <v>593059.22</v>
      </c>
      <c r="E38" s="31"/>
      <c r="F38" s="31"/>
      <c r="G38" s="142"/>
      <c r="H38" s="15" t="s">
        <v>91</v>
      </c>
      <c r="I38" s="114">
        <v>593059.22</v>
      </c>
      <c r="J38" s="31"/>
      <c r="K38" s="31"/>
      <c r="L38" t="s">
        <v>64</v>
      </c>
    </row>
    <row r="39" spans="1:12" ht="19.95" customHeight="1" x14ac:dyDescent="0.3">
      <c r="A39" s="80" t="s">
        <v>203</v>
      </c>
      <c r="B39" s="26" t="s">
        <v>204</v>
      </c>
      <c r="C39" s="26"/>
      <c r="D39" s="114">
        <v>40991.120000000003</v>
      </c>
      <c r="E39" s="31"/>
      <c r="F39" s="31"/>
      <c r="G39" s="141"/>
      <c r="H39" s="26"/>
      <c r="I39" s="114">
        <v>40991.120000000003</v>
      </c>
      <c r="J39" s="31"/>
      <c r="K39" s="31"/>
      <c r="L39" t="s">
        <v>230</v>
      </c>
    </row>
    <row r="40" spans="1:12" ht="15.6" x14ac:dyDescent="0.3">
      <c r="A40" s="47">
        <v>3</v>
      </c>
      <c r="B40" s="48" t="s">
        <v>18</v>
      </c>
      <c r="C40" s="48"/>
      <c r="D40" s="49">
        <v>0</v>
      </c>
      <c r="E40" s="50"/>
      <c r="F40" s="51"/>
      <c r="G40" s="141"/>
      <c r="H40" s="48"/>
      <c r="I40" s="49">
        <v>0</v>
      </c>
      <c r="J40" s="50"/>
      <c r="K40" s="51"/>
    </row>
    <row r="41" spans="1:12" x14ac:dyDescent="0.3">
      <c r="A41" s="140"/>
      <c r="B41" s="110"/>
      <c r="C41" s="110"/>
      <c r="D41" s="141"/>
      <c r="E41" s="141"/>
      <c r="F41" s="141"/>
      <c r="G41" s="141"/>
      <c r="H41" s="110"/>
      <c r="I41" s="141"/>
      <c r="J41" s="141"/>
      <c r="K41" s="141"/>
    </row>
    <row r="42" spans="1:12" x14ac:dyDescent="0.3">
      <c r="A42" s="140"/>
      <c r="B42" s="110"/>
      <c r="C42" s="110"/>
      <c r="D42" s="141"/>
      <c r="E42" s="141"/>
      <c r="F42" s="141"/>
      <c r="G42" s="141"/>
      <c r="H42" s="110"/>
      <c r="I42" s="141"/>
      <c r="J42" s="141"/>
      <c r="K42" s="141"/>
    </row>
    <row r="43" spans="1:12" x14ac:dyDescent="0.3">
      <c r="A43" s="140"/>
      <c r="B43" s="110"/>
      <c r="C43" s="110"/>
      <c r="D43" s="141"/>
      <c r="E43" s="141"/>
      <c r="F43" s="141"/>
      <c r="G43" s="141"/>
      <c r="H43" s="110"/>
      <c r="I43" s="141"/>
      <c r="J43" s="141"/>
      <c r="K43" s="141"/>
    </row>
    <row r="44" spans="1:12" x14ac:dyDescent="0.3">
      <c r="A44" s="140"/>
      <c r="B44" s="110"/>
      <c r="C44" s="110"/>
      <c r="D44" s="141"/>
      <c r="E44" s="141"/>
      <c r="F44" s="141"/>
      <c r="G44" s="141"/>
      <c r="H44" s="110"/>
      <c r="I44" s="141"/>
      <c r="J44" s="141"/>
      <c r="K44" s="141"/>
    </row>
    <row r="45" spans="1:12" x14ac:dyDescent="0.3">
      <c r="A45" s="140"/>
      <c r="B45" s="110"/>
      <c r="C45" s="110"/>
      <c r="D45" s="141"/>
      <c r="E45" s="141"/>
      <c r="F45" s="141"/>
      <c r="G45" s="141"/>
      <c r="H45" s="110"/>
      <c r="I45" s="141"/>
      <c r="J45" s="141"/>
      <c r="K45" s="141"/>
    </row>
    <row r="46" spans="1:12" ht="36.6" customHeight="1" x14ac:dyDescent="0.3">
      <c r="A46" s="47">
        <v>4</v>
      </c>
      <c r="B46" s="48" t="s">
        <v>20</v>
      </c>
      <c r="C46" s="48"/>
      <c r="D46" s="49">
        <f>SUM(D47:D50)</f>
        <v>8955964.9499999993</v>
      </c>
      <c r="E46" s="50"/>
      <c r="F46" s="51"/>
      <c r="G46" s="141"/>
      <c r="H46" s="48"/>
      <c r="I46" s="49">
        <f>SUM(I47:I50)</f>
        <v>8955964.9499999993</v>
      </c>
      <c r="J46" s="50"/>
      <c r="K46" s="51"/>
    </row>
    <row r="47" spans="1:12" ht="45.6" customHeight="1" x14ac:dyDescent="0.3">
      <c r="A47" s="33"/>
      <c r="B47" s="26" t="s">
        <v>217</v>
      </c>
      <c r="C47" s="30" t="s">
        <v>24</v>
      </c>
      <c r="D47" s="27">
        <f>E47+F47</f>
        <v>8465713.1899999995</v>
      </c>
      <c r="E47" s="27">
        <v>0</v>
      </c>
      <c r="F47" s="27">
        <v>8465713.1899999995</v>
      </c>
      <c r="G47" s="141"/>
      <c r="H47" s="30" t="s">
        <v>24</v>
      </c>
      <c r="I47" s="27">
        <f>J47+K47</f>
        <v>8465713.1899999995</v>
      </c>
      <c r="J47" s="27">
        <v>0</v>
      </c>
      <c r="K47" s="27">
        <v>8465713.1899999995</v>
      </c>
    </row>
    <row r="48" spans="1:12" ht="15" customHeight="1" x14ac:dyDescent="0.3">
      <c r="A48" s="33"/>
      <c r="B48" s="26" t="s">
        <v>27</v>
      </c>
      <c r="C48" s="30" t="s">
        <v>26</v>
      </c>
      <c r="D48" s="27">
        <f>E48+F48</f>
        <v>307071.43</v>
      </c>
      <c r="E48" s="27">
        <v>0</v>
      </c>
      <c r="F48" s="27">
        <v>307071.43</v>
      </c>
      <c r="G48" s="141"/>
      <c r="H48" s="30" t="s">
        <v>26</v>
      </c>
      <c r="I48" s="27">
        <f>J48+K48</f>
        <v>307071.43</v>
      </c>
      <c r="J48" s="27">
        <v>0</v>
      </c>
      <c r="K48" s="27">
        <v>307071.43</v>
      </c>
    </row>
    <row r="49" spans="1:11" ht="18" customHeight="1" x14ac:dyDescent="0.3">
      <c r="A49" s="33"/>
      <c r="B49" s="26" t="s">
        <v>29</v>
      </c>
      <c r="C49" s="30" t="s">
        <v>28</v>
      </c>
      <c r="D49" s="27">
        <f>E49+F49</f>
        <v>76319.399999999994</v>
      </c>
      <c r="E49" s="27">
        <v>0</v>
      </c>
      <c r="F49" s="27">
        <v>76319.399999999994</v>
      </c>
      <c r="G49" s="141"/>
      <c r="H49" s="30" t="s">
        <v>28</v>
      </c>
      <c r="I49" s="27">
        <f>J49+K49</f>
        <v>76319.399999999994</v>
      </c>
      <c r="J49" s="27">
        <v>0</v>
      </c>
      <c r="K49" s="27">
        <v>76319.399999999994</v>
      </c>
    </row>
    <row r="50" spans="1:11" ht="18" customHeight="1" x14ac:dyDescent="0.3">
      <c r="A50" s="33"/>
      <c r="B50" s="26" t="s">
        <v>34</v>
      </c>
      <c r="C50" s="35"/>
      <c r="D50" s="27">
        <f>E50+F50</f>
        <v>106860.93</v>
      </c>
      <c r="E50" s="27">
        <v>0</v>
      </c>
      <c r="F50" s="27">
        <v>106860.93</v>
      </c>
      <c r="G50" s="141"/>
      <c r="H50" s="35"/>
      <c r="I50" s="27">
        <f>J50+K50</f>
        <v>106860.93</v>
      </c>
      <c r="J50" s="27">
        <v>0</v>
      </c>
      <c r="K50" s="27">
        <v>106860.93</v>
      </c>
    </row>
    <row r="51" spans="1:11" ht="15.6" x14ac:dyDescent="0.3">
      <c r="A51" s="54"/>
      <c r="B51" s="55" t="s">
        <v>52</v>
      </c>
      <c r="C51" s="55"/>
      <c r="D51" s="148">
        <f>D46+D15+D40</f>
        <v>16055386.099999998</v>
      </c>
      <c r="E51" s="57"/>
      <c r="F51" s="58"/>
      <c r="G51" s="143"/>
      <c r="H51" s="55"/>
      <c r="I51" s="148">
        <f>I46+I15+I40</f>
        <v>16055328.099999998</v>
      </c>
      <c r="J51" s="57"/>
      <c r="K51" s="58"/>
    </row>
    <row r="52" spans="1:11" ht="15.6" x14ac:dyDescent="0.3">
      <c r="A52" s="124"/>
      <c r="B52" s="125" t="s">
        <v>21</v>
      </c>
      <c r="C52" s="125"/>
      <c r="D52" s="126">
        <f>D51-D13</f>
        <v>-7156991.6799999997</v>
      </c>
      <c r="E52" s="127"/>
      <c r="F52" s="128"/>
      <c r="G52" s="141"/>
      <c r="H52" s="125"/>
      <c r="I52" s="126">
        <f>I51-I13</f>
        <v>-6197321.4400000013</v>
      </c>
      <c r="J52" s="127"/>
      <c r="K52" s="128"/>
    </row>
    <row r="53" spans="1:11" ht="15.6" x14ac:dyDescent="0.3">
      <c r="A53" s="80"/>
      <c r="B53" s="35" t="s">
        <v>127</v>
      </c>
      <c r="C53" s="35"/>
      <c r="D53" s="27"/>
      <c r="E53" s="122"/>
      <c r="F53" s="123"/>
      <c r="G53" s="141"/>
      <c r="H53" s="35"/>
      <c r="I53" s="27"/>
      <c r="J53" s="122"/>
      <c r="K53" s="123"/>
    </row>
    <row r="54" spans="1:11" ht="15.6" x14ac:dyDescent="0.3">
      <c r="A54" s="37">
        <v>5</v>
      </c>
      <c r="B54" s="38" t="s">
        <v>35</v>
      </c>
      <c r="C54" s="18"/>
      <c r="D54" s="36">
        <f>SUM(D55:D99)</f>
        <v>4201206.9666666659</v>
      </c>
      <c r="E54" s="19"/>
      <c r="F54" s="20"/>
      <c r="G54" s="141"/>
      <c r="H54" s="18"/>
      <c r="I54" s="36">
        <f>SUM(I55:I99)</f>
        <v>4201206.9666666659</v>
      </c>
      <c r="J54" s="19"/>
      <c r="K54" s="20"/>
    </row>
    <row r="55" spans="1:11" s="136" customFormat="1" ht="31.2" x14ac:dyDescent="0.3">
      <c r="A55" s="132" t="s">
        <v>85</v>
      </c>
      <c r="B55" s="133" t="s">
        <v>11</v>
      </c>
      <c r="C55" s="133"/>
      <c r="D55" s="114"/>
      <c r="E55" s="134"/>
      <c r="F55" s="135"/>
      <c r="G55" s="144" t="s">
        <v>163</v>
      </c>
      <c r="H55" s="133"/>
      <c r="I55" s="114"/>
      <c r="J55" s="134"/>
      <c r="K55" s="135"/>
    </row>
    <row r="56" spans="1:11" ht="15.6" x14ac:dyDescent="0.3">
      <c r="A56" s="111" t="s">
        <v>138</v>
      </c>
      <c r="B56" s="112" t="s">
        <v>162</v>
      </c>
      <c r="C56" s="113"/>
      <c r="D56" s="114"/>
      <c r="E56" s="114"/>
      <c r="F56" s="114"/>
      <c r="G56" s="144" t="s">
        <v>163</v>
      </c>
      <c r="H56" s="113"/>
      <c r="I56" s="114"/>
      <c r="J56" s="114"/>
      <c r="K56" s="114"/>
    </row>
    <row r="57" spans="1:11" ht="115.2" customHeight="1" x14ac:dyDescent="0.3">
      <c r="A57" s="12" t="s">
        <v>80</v>
      </c>
      <c r="B57" s="32" t="s">
        <v>36</v>
      </c>
      <c r="C57" s="30" t="s">
        <v>37</v>
      </c>
      <c r="D57" s="27">
        <f>E57*0.5+F57*0.8</f>
        <v>2262585.4066666667</v>
      </c>
      <c r="E57" s="27">
        <f>'[4]ДЦ (насіння)'!$L$81-554353</f>
        <v>4525170.8133333335</v>
      </c>
      <c r="F57" s="27"/>
      <c r="G57" s="28" t="s">
        <v>192</v>
      </c>
      <c r="H57" s="30" t="s">
        <v>37</v>
      </c>
      <c r="I57" s="27">
        <f>J57*0.5+K57*0.8</f>
        <v>2262585.4066666667</v>
      </c>
      <c r="J57" s="27">
        <f>'[4]ДЦ (насіння)'!$L$81-554353</f>
        <v>4525170.8133333335</v>
      </c>
      <c r="K57" s="27"/>
    </row>
    <row r="58" spans="1:11" ht="15.6" x14ac:dyDescent="0.3">
      <c r="A58" s="111" t="s">
        <v>81</v>
      </c>
      <c r="B58" s="115" t="s">
        <v>88</v>
      </c>
      <c r="C58" s="116" t="s">
        <v>40</v>
      </c>
      <c r="D58" s="114"/>
      <c r="E58" s="117"/>
      <c r="F58" s="118"/>
      <c r="G58" s="145" t="s">
        <v>163</v>
      </c>
      <c r="H58" s="116" t="s">
        <v>40</v>
      </c>
      <c r="I58" s="114"/>
      <c r="J58" s="117"/>
      <c r="K58" s="118"/>
    </row>
    <row r="59" spans="1:11" ht="15.6" x14ac:dyDescent="0.3">
      <c r="A59" s="111" t="s">
        <v>137</v>
      </c>
      <c r="B59" s="115" t="s">
        <v>161</v>
      </c>
      <c r="C59" s="116"/>
      <c r="D59" s="114"/>
      <c r="E59" s="117"/>
      <c r="F59" s="118"/>
      <c r="G59" s="145" t="s">
        <v>163</v>
      </c>
      <c r="H59" s="116"/>
      <c r="I59" s="114"/>
      <c r="J59" s="117"/>
      <c r="K59" s="118"/>
    </row>
    <row r="60" spans="1:11" ht="15.6" x14ac:dyDescent="0.3">
      <c r="A60" s="12" t="s">
        <v>165</v>
      </c>
      <c r="B60" s="17" t="s">
        <v>47</v>
      </c>
      <c r="C60" s="15" t="s">
        <v>164</v>
      </c>
      <c r="D60" s="27">
        <f t="shared" ref="D60:D75" si="0">E60*0.5+F60*0.8</f>
        <v>18975.3</v>
      </c>
      <c r="E60" s="13">
        <v>37950.6</v>
      </c>
      <c r="F60" s="16"/>
      <c r="G60" s="29"/>
      <c r="H60" s="15" t="s">
        <v>164</v>
      </c>
      <c r="I60" s="27">
        <f t="shared" ref="I60" si="1">J60*0.5+K60*0.8</f>
        <v>18975.3</v>
      </c>
      <c r="J60" s="13">
        <v>37950.6</v>
      </c>
      <c r="K60" s="16"/>
    </row>
    <row r="61" spans="1:11" ht="18.600000000000001" customHeight="1" x14ac:dyDescent="0.3">
      <c r="A61" s="111" t="s">
        <v>82</v>
      </c>
      <c r="B61" s="119" t="s">
        <v>43</v>
      </c>
      <c r="C61" s="116" t="s">
        <v>30</v>
      </c>
      <c r="D61" s="114"/>
      <c r="E61" s="117"/>
      <c r="F61" s="118"/>
      <c r="G61" s="145" t="s">
        <v>163</v>
      </c>
      <c r="H61" s="116" t="s">
        <v>30</v>
      </c>
      <c r="I61" s="114"/>
      <c r="J61" s="117"/>
      <c r="K61" s="118"/>
    </row>
    <row r="62" spans="1:11" ht="18.600000000000001" customHeight="1" x14ac:dyDescent="0.3">
      <c r="A62" s="111" t="s">
        <v>87</v>
      </c>
      <c r="B62" s="119" t="s">
        <v>44</v>
      </c>
      <c r="C62" s="113" t="s">
        <v>31</v>
      </c>
      <c r="D62" s="114"/>
      <c r="E62" s="117"/>
      <c r="F62" s="118"/>
      <c r="G62" s="145" t="s">
        <v>163</v>
      </c>
      <c r="H62" s="113" t="s">
        <v>31</v>
      </c>
      <c r="I62" s="114"/>
      <c r="J62" s="117"/>
      <c r="K62" s="118"/>
    </row>
    <row r="63" spans="1:11" ht="18.600000000000001" customHeight="1" x14ac:dyDescent="0.3">
      <c r="A63" s="111" t="s">
        <v>86</v>
      </c>
      <c r="B63" s="119" t="s">
        <v>44</v>
      </c>
      <c r="C63" s="113" t="s">
        <v>32</v>
      </c>
      <c r="D63" s="114"/>
      <c r="E63" s="117"/>
      <c r="F63" s="118"/>
      <c r="G63" s="145" t="s">
        <v>163</v>
      </c>
      <c r="H63" s="113" t="s">
        <v>32</v>
      </c>
      <c r="I63" s="114"/>
      <c r="J63" s="117"/>
      <c r="K63" s="118"/>
    </row>
    <row r="64" spans="1:11" s="120" customFormat="1" ht="18.600000000000001" customHeight="1" x14ac:dyDescent="0.3">
      <c r="A64" s="111" t="s">
        <v>84</v>
      </c>
      <c r="B64" s="119" t="s">
        <v>12</v>
      </c>
      <c r="C64" s="116"/>
      <c r="D64" s="114"/>
      <c r="E64" s="117"/>
      <c r="F64" s="118"/>
      <c r="G64" s="145" t="s">
        <v>163</v>
      </c>
      <c r="H64" s="116"/>
      <c r="I64" s="114"/>
      <c r="J64" s="117"/>
      <c r="K64" s="118"/>
    </row>
    <row r="65" spans="1:12" ht="18.600000000000001" customHeight="1" x14ac:dyDescent="0.3">
      <c r="A65" s="12" t="s">
        <v>139</v>
      </c>
      <c r="B65" s="7" t="s">
        <v>45</v>
      </c>
      <c r="C65" s="15" t="s">
        <v>46</v>
      </c>
      <c r="D65" s="27"/>
      <c r="E65" s="13"/>
      <c r="F65" s="16"/>
      <c r="G65" s="13">
        <v>2183910</v>
      </c>
      <c r="H65" s="15" t="s">
        <v>46</v>
      </c>
      <c r="I65" s="27"/>
      <c r="J65" s="13"/>
      <c r="K65" s="16"/>
    </row>
    <row r="66" spans="1:12" ht="15.6" x14ac:dyDescent="0.3">
      <c r="A66" s="12" t="s">
        <v>107</v>
      </c>
      <c r="B66" s="17" t="s">
        <v>47</v>
      </c>
      <c r="C66" s="15" t="s">
        <v>33</v>
      </c>
      <c r="D66" s="27"/>
      <c r="E66" s="13"/>
      <c r="F66" s="16"/>
      <c r="G66" s="146">
        <v>644106.1</v>
      </c>
      <c r="H66" s="15" t="s">
        <v>33</v>
      </c>
      <c r="I66" s="27"/>
      <c r="J66" s="13"/>
      <c r="K66" s="16"/>
    </row>
    <row r="67" spans="1:12" ht="15.6" x14ac:dyDescent="0.3">
      <c r="A67" s="111" t="s">
        <v>89</v>
      </c>
      <c r="B67" s="115" t="s">
        <v>90</v>
      </c>
      <c r="C67" s="116" t="s">
        <v>91</v>
      </c>
      <c r="D67" s="114"/>
      <c r="E67" s="117"/>
      <c r="F67" s="118"/>
      <c r="G67" s="145" t="s">
        <v>163</v>
      </c>
      <c r="H67" s="116" t="s">
        <v>91</v>
      </c>
      <c r="I67" s="114"/>
      <c r="J67" s="117"/>
      <c r="K67" s="118"/>
    </row>
    <row r="68" spans="1:12" ht="31.2" x14ac:dyDescent="0.3">
      <c r="A68" s="121" t="s">
        <v>95</v>
      </c>
      <c r="B68" s="17" t="s">
        <v>96</v>
      </c>
      <c r="C68" s="15"/>
      <c r="D68" s="27">
        <f t="shared" si="0"/>
        <v>24534.925000000003</v>
      </c>
      <c r="E68" s="137">
        <f>76937.85-D29</f>
        <v>49069.850000000006</v>
      </c>
      <c r="F68" s="16"/>
      <c r="G68" s="22" t="s">
        <v>194</v>
      </c>
      <c r="H68" s="15"/>
      <c r="I68" s="27">
        <f t="shared" ref="I68" si="2">J68*0.5+K68*0.8</f>
        <v>24534.925000000003</v>
      </c>
      <c r="J68" s="137">
        <f>76937.85-I29</f>
        <v>49069.850000000006</v>
      </c>
      <c r="K68" s="16"/>
    </row>
    <row r="69" spans="1:12" s="120" customFormat="1" ht="15.6" x14ac:dyDescent="0.3">
      <c r="A69" s="111" t="s">
        <v>92</v>
      </c>
      <c r="B69" s="115" t="s">
        <v>93</v>
      </c>
      <c r="C69" s="116"/>
      <c r="D69" s="114"/>
      <c r="E69" s="117"/>
      <c r="F69" s="118"/>
      <c r="G69" s="145" t="s">
        <v>163</v>
      </c>
      <c r="H69" s="116"/>
      <c r="I69" s="114"/>
      <c r="J69" s="117"/>
      <c r="K69" s="118"/>
    </row>
    <row r="70" spans="1:12" ht="15.6" x14ac:dyDescent="0.3">
      <c r="A70" s="12" t="s">
        <v>108</v>
      </c>
      <c r="B70" s="17" t="s">
        <v>112</v>
      </c>
      <c r="C70" s="15" t="s">
        <v>111</v>
      </c>
      <c r="D70" s="27"/>
      <c r="E70" s="13"/>
      <c r="F70" s="16"/>
      <c r="G70" s="29"/>
      <c r="H70" s="15" t="s">
        <v>111</v>
      </c>
      <c r="I70" s="27"/>
      <c r="J70" s="13"/>
      <c r="K70" s="16"/>
    </row>
    <row r="71" spans="1:12" s="120" customFormat="1" ht="15.6" x14ac:dyDescent="0.3">
      <c r="A71" s="111" t="s">
        <v>97</v>
      </c>
      <c r="B71" s="115" t="s">
        <v>98</v>
      </c>
      <c r="C71" s="116"/>
      <c r="D71" s="114"/>
      <c r="E71" s="117"/>
      <c r="F71" s="118"/>
      <c r="G71" s="145" t="s">
        <v>163</v>
      </c>
      <c r="H71" s="116"/>
      <c r="I71" s="114"/>
      <c r="J71" s="117"/>
      <c r="K71" s="118"/>
    </row>
    <row r="72" spans="1:12" s="120" customFormat="1" ht="15.6" x14ac:dyDescent="0.3">
      <c r="A72" s="111" t="s">
        <v>140</v>
      </c>
      <c r="B72" s="115" t="s">
        <v>99</v>
      </c>
      <c r="C72" s="116"/>
      <c r="D72" s="114"/>
      <c r="E72" s="117"/>
      <c r="F72" s="118"/>
      <c r="G72" s="145" t="s">
        <v>163</v>
      </c>
      <c r="H72" s="116"/>
      <c r="I72" s="114"/>
      <c r="J72" s="117"/>
      <c r="K72" s="118"/>
    </row>
    <row r="73" spans="1:12" s="120" customFormat="1" ht="15.6" x14ac:dyDescent="0.3">
      <c r="A73" s="111" t="s">
        <v>141</v>
      </c>
      <c r="B73" s="115" t="s">
        <v>99</v>
      </c>
      <c r="C73" s="116"/>
      <c r="D73" s="114"/>
      <c r="E73" s="117"/>
      <c r="F73" s="118"/>
      <c r="G73" s="145" t="s">
        <v>163</v>
      </c>
      <c r="H73" s="116"/>
      <c r="I73" s="114"/>
      <c r="J73" s="117"/>
      <c r="K73" s="118"/>
    </row>
    <row r="74" spans="1:12" ht="15.6" x14ac:dyDescent="0.3">
      <c r="A74" s="12" t="s">
        <v>109</v>
      </c>
      <c r="B74" s="17" t="s">
        <v>121</v>
      </c>
      <c r="C74" s="15" t="s">
        <v>113</v>
      </c>
      <c r="D74" s="27"/>
      <c r="E74" s="81"/>
      <c r="F74" s="16"/>
      <c r="G74" s="147">
        <v>5868795.1900000004</v>
      </c>
      <c r="H74" s="15" t="s">
        <v>113</v>
      </c>
      <c r="I74" s="27"/>
      <c r="J74" s="81"/>
      <c r="K74" s="16"/>
    </row>
    <row r="75" spans="1:12" ht="15.6" x14ac:dyDescent="0.3">
      <c r="A75" s="12" t="s">
        <v>110</v>
      </c>
      <c r="B75" s="17" t="s">
        <v>114</v>
      </c>
      <c r="C75" s="15" t="s">
        <v>115</v>
      </c>
      <c r="D75" s="27">
        <f t="shared" si="0"/>
        <v>554517.48499999999</v>
      </c>
      <c r="E75" s="81">
        <v>1109034.97</v>
      </c>
      <c r="F75" s="16"/>
      <c r="G75" s="29" t="s">
        <v>41</v>
      </c>
      <c r="H75" s="15" t="s">
        <v>115</v>
      </c>
      <c r="I75" s="62">
        <f t="shared" ref="I75" si="3">J75*0.5+K75*0.8</f>
        <v>554517.48499999999</v>
      </c>
      <c r="J75" s="81">
        <v>1109034.97</v>
      </c>
      <c r="K75" s="16"/>
      <c r="L75" t="s">
        <v>229</v>
      </c>
    </row>
    <row r="76" spans="1:12" s="120" customFormat="1" ht="15.6" x14ac:dyDescent="0.3">
      <c r="A76" s="111" t="s">
        <v>102</v>
      </c>
      <c r="B76" s="115" t="s">
        <v>101</v>
      </c>
      <c r="C76" s="116"/>
      <c r="D76" s="114"/>
      <c r="E76" s="117"/>
      <c r="F76" s="118"/>
      <c r="G76" s="145" t="s">
        <v>163</v>
      </c>
      <c r="H76" s="116"/>
      <c r="I76" s="114"/>
      <c r="J76" s="117"/>
      <c r="K76" s="118"/>
    </row>
    <row r="77" spans="1:12" s="120" customFormat="1" ht="31.2" x14ac:dyDescent="0.3">
      <c r="A77" s="111" t="s">
        <v>104</v>
      </c>
      <c r="B77" s="115" t="s">
        <v>103</v>
      </c>
      <c r="C77" s="116"/>
      <c r="D77" s="117"/>
      <c r="E77" s="117"/>
      <c r="F77" s="118"/>
      <c r="G77" s="145" t="s">
        <v>163</v>
      </c>
      <c r="H77" s="116"/>
      <c r="I77" s="117"/>
      <c r="J77" s="117"/>
      <c r="K77" s="118"/>
    </row>
    <row r="78" spans="1:12" s="120" customFormat="1" ht="31.2" x14ac:dyDescent="0.3">
      <c r="A78" s="111" t="s">
        <v>106</v>
      </c>
      <c r="B78" s="115" t="s">
        <v>105</v>
      </c>
      <c r="C78" s="116"/>
      <c r="D78" s="114"/>
      <c r="E78" s="117"/>
      <c r="F78" s="118"/>
      <c r="G78" s="145" t="s">
        <v>163</v>
      </c>
      <c r="H78" s="116"/>
      <c r="I78" s="114"/>
      <c r="J78" s="117"/>
      <c r="K78" s="118"/>
    </row>
    <row r="79" spans="1:12" ht="15.6" x14ac:dyDescent="0.3">
      <c r="A79" s="12" t="s">
        <v>116</v>
      </c>
      <c r="B79" s="17" t="s">
        <v>124</v>
      </c>
      <c r="C79" s="15" t="s">
        <v>125</v>
      </c>
      <c r="D79" s="27">
        <f>E79*0.5+F81*0.8</f>
        <v>452177</v>
      </c>
      <c r="E79" s="81">
        <f>41.107*22000</f>
        <v>904354</v>
      </c>
      <c r="F79" s="16"/>
      <c r="G79" s="29" t="s">
        <v>79</v>
      </c>
      <c r="H79" s="15" t="s">
        <v>125</v>
      </c>
      <c r="I79" s="62">
        <f>J79*0.5+K81*0.8</f>
        <v>452177</v>
      </c>
      <c r="J79" s="81">
        <f>41.107*22000</f>
        <v>904354</v>
      </c>
      <c r="K79" s="16"/>
      <c r="L79" t="s">
        <v>229</v>
      </c>
    </row>
    <row r="80" spans="1:12" ht="15.6" x14ac:dyDescent="0.3">
      <c r="A80" s="12" t="s">
        <v>117</v>
      </c>
      <c r="B80" s="17" t="s">
        <v>169</v>
      </c>
      <c r="D80" s="27">
        <f>E80*0.5+F80*0.8</f>
        <v>252500</v>
      </c>
      <c r="E80" s="81">
        <v>505000</v>
      </c>
      <c r="F80" s="16"/>
      <c r="G80" s="29" t="s">
        <v>41</v>
      </c>
      <c r="I80" s="27">
        <f>J80*0.5+K80*0.8</f>
        <v>252500</v>
      </c>
      <c r="J80" s="81">
        <v>505000</v>
      </c>
      <c r="K80" s="16"/>
    </row>
    <row r="81" spans="1:11" ht="15.6" x14ac:dyDescent="0.3">
      <c r="A81" s="12" t="s">
        <v>118</v>
      </c>
      <c r="B81" s="17" t="s">
        <v>122</v>
      </c>
      <c r="C81" s="15" t="s">
        <v>123</v>
      </c>
      <c r="D81" s="27">
        <f>E81*0.5+F81*0.8</f>
        <v>479556.10499999998</v>
      </c>
      <c r="E81" s="81">
        <v>959112.21</v>
      </c>
      <c r="F81" s="16"/>
      <c r="G81" s="29" t="s">
        <v>41</v>
      </c>
      <c r="H81" s="15" t="s">
        <v>123</v>
      </c>
      <c r="I81" s="27">
        <f>J81*0.5+K81*0.8</f>
        <v>479556.10499999998</v>
      </c>
      <c r="J81" s="81">
        <v>959112.21</v>
      </c>
      <c r="K81" s="16"/>
    </row>
    <row r="82" spans="1:11" ht="15.6" x14ac:dyDescent="0.3">
      <c r="A82" s="111" t="s">
        <v>170</v>
      </c>
      <c r="B82" s="115" t="s">
        <v>171</v>
      </c>
      <c r="C82" s="116"/>
      <c r="D82" s="114"/>
      <c r="E82" s="117"/>
      <c r="F82" s="118"/>
      <c r="G82" s="145" t="s">
        <v>163</v>
      </c>
      <c r="H82" s="116"/>
      <c r="I82" s="114"/>
      <c r="J82" s="117"/>
      <c r="K82" s="118"/>
    </row>
    <row r="83" spans="1:11" ht="15.6" x14ac:dyDescent="0.3">
      <c r="A83" s="12" t="s">
        <v>176</v>
      </c>
      <c r="B83" s="17" t="s">
        <v>172</v>
      </c>
      <c r="C83" s="110"/>
      <c r="D83" s="137"/>
      <c r="E83" s="81">
        <v>35345</v>
      </c>
      <c r="F83" s="16"/>
      <c r="G83" s="29" t="s">
        <v>41</v>
      </c>
      <c r="H83" s="110"/>
      <c r="I83" s="137"/>
      <c r="J83" s="81">
        <v>35345</v>
      </c>
      <c r="K83" s="16"/>
    </row>
    <row r="84" spans="1:11" ht="15.6" x14ac:dyDescent="0.3">
      <c r="A84" s="12" t="s">
        <v>177</v>
      </c>
      <c r="B84" s="17" t="s">
        <v>173</v>
      </c>
      <c r="C84" s="15"/>
      <c r="D84" s="137">
        <f t="shared" ref="D84:D87" si="4">E84*0.5+F84*0.8</f>
        <v>17682.625</v>
      </c>
      <c r="E84" s="81">
        <v>35365.25</v>
      </c>
      <c r="F84" s="16"/>
      <c r="G84" s="29" t="s">
        <v>41</v>
      </c>
      <c r="H84" s="15"/>
      <c r="I84" s="137">
        <f t="shared" ref="I84" si="5">J84*0.5+K84*0.8</f>
        <v>17682.625</v>
      </c>
      <c r="J84" s="81">
        <v>35365.25</v>
      </c>
      <c r="K84" s="16"/>
    </row>
    <row r="85" spans="1:11" s="120" customFormat="1" ht="15.6" x14ac:dyDescent="0.3">
      <c r="A85" s="111" t="s">
        <v>178</v>
      </c>
      <c r="B85" s="115" t="s">
        <v>174</v>
      </c>
      <c r="C85" s="116"/>
      <c r="D85" s="114"/>
      <c r="E85" s="117"/>
      <c r="F85" s="118"/>
      <c r="G85" s="145" t="s">
        <v>163</v>
      </c>
      <c r="H85" s="116"/>
      <c r="I85" s="114"/>
      <c r="J85" s="117"/>
      <c r="K85" s="118"/>
    </row>
    <row r="86" spans="1:11" ht="15.6" x14ac:dyDescent="0.3">
      <c r="A86" s="12" t="s">
        <v>179</v>
      </c>
      <c r="B86" s="17" t="s">
        <v>175</v>
      </c>
      <c r="C86" s="15"/>
      <c r="D86" s="137">
        <f t="shared" si="4"/>
        <v>15201.25</v>
      </c>
      <c r="E86" s="81">
        <v>30402.5</v>
      </c>
      <c r="F86" s="16"/>
      <c r="G86" s="29" t="s">
        <v>41</v>
      </c>
      <c r="H86" s="15"/>
      <c r="I86" s="137">
        <f t="shared" ref="I86:I87" si="6">J86*0.5+K86*0.8</f>
        <v>15201.25</v>
      </c>
      <c r="J86" s="81">
        <v>30402.5</v>
      </c>
      <c r="K86" s="16"/>
    </row>
    <row r="87" spans="1:11" ht="15.6" x14ac:dyDescent="0.3">
      <c r="A87" s="12" t="s">
        <v>142</v>
      </c>
      <c r="B87" s="17" t="s">
        <v>180</v>
      </c>
      <c r="C87" s="15" t="s">
        <v>119</v>
      </c>
      <c r="D87" s="137">
        <f t="shared" si="4"/>
        <v>123476.87</v>
      </c>
      <c r="E87" s="81">
        <v>246953.74</v>
      </c>
      <c r="F87" s="16"/>
      <c r="G87" s="29" t="s">
        <v>41</v>
      </c>
      <c r="H87" s="15" t="s">
        <v>119</v>
      </c>
      <c r="I87" s="137">
        <f t="shared" si="6"/>
        <v>123476.87</v>
      </c>
      <c r="J87" s="81">
        <v>246953.74</v>
      </c>
      <c r="K87" s="16"/>
    </row>
    <row r="88" spans="1:11" ht="15.6" x14ac:dyDescent="0.3">
      <c r="A88" s="12" t="s">
        <v>143</v>
      </c>
      <c r="B88" s="17" t="s">
        <v>185</v>
      </c>
      <c r="C88" s="15" t="s">
        <v>183</v>
      </c>
      <c r="D88" s="109"/>
      <c r="E88" s="105">
        <v>763707.78</v>
      </c>
      <c r="F88" s="16"/>
      <c r="G88" s="29"/>
      <c r="H88" s="15" t="s">
        <v>183</v>
      </c>
      <c r="I88" s="109"/>
      <c r="J88" s="105">
        <v>763707.78</v>
      </c>
      <c r="K88" s="16"/>
    </row>
    <row r="89" spans="1:11" ht="15.6" x14ac:dyDescent="0.3">
      <c r="A89" s="12" t="s">
        <v>144</v>
      </c>
      <c r="B89" s="17" t="s">
        <v>184</v>
      </c>
      <c r="C89" s="15" t="s">
        <v>182</v>
      </c>
      <c r="D89" s="109"/>
      <c r="E89" s="81">
        <v>48963.26</v>
      </c>
      <c r="F89" s="16"/>
      <c r="G89" s="29"/>
      <c r="H89" s="15" t="s">
        <v>182</v>
      </c>
      <c r="I89" s="109"/>
      <c r="J89" s="81">
        <v>48963.26</v>
      </c>
      <c r="K89" s="16"/>
    </row>
    <row r="90" spans="1:11" ht="18.600000000000001" customHeight="1" x14ac:dyDescent="0.3">
      <c r="A90" s="12" t="s">
        <v>145</v>
      </c>
      <c r="B90" s="17" t="s">
        <v>195</v>
      </c>
      <c r="C90" s="15" t="s">
        <v>186</v>
      </c>
      <c r="D90" s="27"/>
      <c r="E90" s="149">
        <v>1900644.76</v>
      </c>
      <c r="F90" s="16"/>
      <c r="G90" s="29"/>
      <c r="H90" s="15" t="s">
        <v>186</v>
      </c>
      <c r="I90" s="27"/>
      <c r="J90" s="149">
        <v>1900644.76</v>
      </c>
      <c r="K90" s="16"/>
    </row>
    <row r="91" spans="1:11" ht="18" x14ac:dyDescent="0.3">
      <c r="A91" s="12" t="s">
        <v>181</v>
      </c>
      <c r="B91" s="150" t="s">
        <v>124</v>
      </c>
      <c r="C91" s="15" t="s">
        <v>186</v>
      </c>
      <c r="D91" s="27"/>
      <c r="E91" s="81"/>
      <c r="F91" s="16"/>
      <c r="G91" s="141"/>
      <c r="H91" s="15" t="s">
        <v>186</v>
      </c>
      <c r="I91" s="27"/>
      <c r="J91" s="81"/>
      <c r="K91" s="16"/>
    </row>
    <row r="92" spans="1:11" s="120" customFormat="1" ht="15.6" x14ac:dyDescent="0.3">
      <c r="A92" s="111" t="s">
        <v>187</v>
      </c>
      <c r="B92" s="115" t="s">
        <v>220</v>
      </c>
      <c r="C92" s="116"/>
      <c r="D92" s="114"/>
      <c r="E92" s="117"/>
      <c r="F92" s="118"/>
      <c r="G92" s="145" t="s">
        <v>163</v>
      </c>
      <c r="H92" s="116"/>
      <c r="I92" s="114"/>
      <c r="J92" s="117"/>
      <c r="K92" s="118"/>
    </row>
    <row r="93" spans="1:11" ht="15.6" x14ac:dyDescent="0.3">
      <c r="A93" s="12" t="s">
        <v>188</v>
      </c>
      <c r="B93" s="17" t="s">
        <v>222</v>
      </c>
      <c r="C93" s="15"/>
      <c r="D93" s="27"/>
      <c r="E93" s="81">
        <v>25935.46</v>
      </c>
      <c r="F93" s="16"/>
      <c r="G93" s="141"/>
      <c r="H93" s="15"/>
      <c r="I93" s="27"/>
      <c r="J93" s="81">
        <v>25935.46</v>
      </c>
      <c r="K93" s="16"/>
    </row>
    <row r="94" spans="1:11" ht="15.6" x14ac:dyDescent="0.3">
      <c r="A94" s="12" t="s">
        <v>189</v>
      </c>
      <c r="B94" s="17"/>
      <c r="C94" s="15"/>
      <c r="D94" s="27"/>
      <c r="E94" s="81"/>
      <c r="F94" s="16"/>
      <c r="G94" s="141"/>
      <c r="H94" s="15"/>
      <c r="I94" s="27"/>
      <c r="J94" s="81"/>
      <c r="K94" s="16"/>
    </row>
    <row r="95" spans="1:11" ht="15.6" x14ac:dyDescent="0.3">
      <c r="A95" s="12" t="s">
        <v>190</v>
      </c>
      <c r="B95" s="17"/>
      <c r="C95" s="15"/>
      <c r="D95" s="27"/>
      <c r="E95" s="81"/>
      <c r="F95" s="16"/>
      <c r="G95" s="141"/>
      <c r="H95" s="15"/>
      <c r="I95" s="27"/>
      <c r="J95" s="81"/>
      <c r="K95" s="16"/>
    </row>
    <row r="96" spans="1:11" ht="15.6" x14ac:dyDescent="0.3">
      <c r="A96" s="12" t="s">
        <v>223</v>
      </c>
      <c r="B96" s="17"/>
      <c r="C96" s="15"/>
      <c r="D96" s="27"/>
      <c r="E96" s="81"/>
      <c r="F96" s="16"/>
      <c r="G96" s="141"/>
      <c r="H96" s="15"/>
      <c r="I96" s="27"/>
      <c r="J96" s="81"/>
      <c r="K96" s="16"/>
    </row>
    <row r="97" spans="1:11" ht="15.6" x14ac:dyDescent="0.3">
      <c r="A97" s="12" t="s">
        <v>224</v>
      </c>
      <c r="B97" s="17"/>
      <c r="C97" s="15"/>
      <c r="D97" s="27"/>
      <c r="E97" s="81"/>
      <c r="F97" s="16"/>
      <c r="G97" s="141"/>
      <c r="H97" s="15"/>
      <c r="I97" s="27"/>
      <c r="J97" s="81"/>
      <c r="K97" s="16"/>
    </row>
    <row r="98" spans="1:11" ht="15.6" x14ac:dyDescent="0.3">
      <c r="A98" s="12" t="s">
        <v>225</v>
      </c>
      <c r="B98" s="17"/>
      <c r="C98" s="15"/>
      <c r="D98" s="27"/>
      <c r="E98" s="81"/>
      <c r="F98" s="16"/>
      <c r="G98" s="141"/>
      <c r="H98" s="15"/>
      <c r="I98" s="27"/>
      <c r="J98" s="81"/>
      <c r="K98" s="16"/>
    </row>
    <row r="99" spans="1:11" ht="15.6" x14ac:dyDescent="0.3">
      <c r="A99" s="12" t="s">
        <v>226</v>
      </c>
      <c r="B99" s="17"/>
      <c r="C99" s="15"/>
      <c r="D99" s="27"/>
      <c r="E99" s="81"/>
      <c r="F99" s="16"/>
      <c r="G99" s="141"/>
      <c r="H99" s="15"/>
      <c r="I99" s="27"/>
      <c r="J99" s="81"/>
      <c r="K99" s="16"/>
    </row>
    <row r="100" spans="1:11" ht="15.6" x14ac:dyDescent="0.3">
      <c r="A100" s="83"/>
      <c r="B100" s="84" t="s">
        <v>49</v>
      </c>
      <c r="C100" s="85"/>
      <c r="D100" s="86">
        <f>D52+D54</f>
        <v>-2955784.7133333338</v>
      </c>
      <c r="E100" s="87"/>
      <c r="F100" s="87"/>
      <c r="G100" s="141"/>
      <c r="H100" s="85" t="s">
        <v>228</v>
      </c>
      <c r="I100" s="86">
        <f>I52+I54</f>
        <v>-1996114.4733333355</v>
      </c>
      <c r="J100" s="87"/>
      <c r="K100" s="87"/>
    </row>
    <row r="101" spans="1:11" x14ac:dyDescent="0.3">
      <c r="C101" s="130"/>
      <c r="D101" s="131"/>
      <c r="E101" s="11"/>
      <c r="F101" s="11"/>
      <c r="H101" s="130"/>
      <c r="I101" s="131"/>
      <c r="J101" s="11"/>
      <c r="K101" s="11"/>
    </row>
    <row r="102" spans="1:11" x14ac:dyDescent="0.3">
      <c r="C102" s="130"/>
      <c r="D102" s="131"/>
      <c r="E102" s="11"/>
      <c r="F102" s="11"/>
      <c r="H102" s="130"/>
      <c r="I102" s="131"/>
      <c r="J102" s="11"/>
      <c r="K102" s="11"/>
    </row>
    <row r="103" spans="1:11" x14ac:dyDescent="0.3">
      <c r="C103" s="130"/>
      <c r="D103" s="131"/>
      <c r="E103" s="11"/>
      <c r="F103" s="11"/>
      <c r="H103" s="130"/>
      <c r="I103" s="131"/>
      <c r="J103" s="11"/>
      <c r="K103" s="11"/>
    </row>
    <row r="104" spans="1:11" x14ac:dyDescent="0.3">
      <c r="C104" s="130"/>
      <c r="D104" s="131"/>
      <c r="E104" s="11"/>
      <c r="F104" s="11"/>
      <c r="H104" s="130"/>
      <c r="I104" s="131"/>
      <c r="J104" s="11"/>
      <c r="K104" s="11"/>
    </row>
    <row r="105" spans="1:11" ht="18" x14ac:dyDescent="0.3">
      <c r="B105" s="82"/>
      <c r="D105" s="96"/>
      <c r="I105" s="96"/>
    </row>
    <row r="106" spans="1:11" x14ac:dyDescent="0.3">
      <c r="D106" s="96"/>
      <c r="I106" s="96"/>
    </row>
  </sheetData>
  <mergeCells count="15">
    <mergeCell ref="A6:F6"/>
    <mergeCell ref="A1:B1"/>
    <mergeCell ref="A2:B2"/>
    <mergeCell ref="A3:B3"/>
    <mergeCell ref="A4:D4"/>
    <mergeCell ref="A5:D5"/>
    <mergeCell ref="H10:H11"/>
    <mergeCell ref="I10:I11"/>
    <mergeCell ref="J10:K10"/>
    <mergeCell ref="H9:K9"/>
    <mergeCell ref="A10:A11"/>
    <mergeCell ref="B10:B11"/>
    <mergeCell ref="C10:C11"/>
    <mergeCell ref="D10:D11"/>
    <mergeCell ref="E10:F10"/>
  </mergeCells>
  <phoneticPr fontId="3" type="noConversion"/>
  <pageMargins left="0.11811023622047245" right="0.11811023622047245" top="0.15748031496062992" bottom="0.15748031496062992" header="0.31496062992125984" footer="0.31496062992125984"/>
  <pageSetup paperSize="9" scale="51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6"/>
  <sheetViews>
    <sheetView workbookViewId="0">
      <selection activeCell="D13" sqref="D13"/>
    </sheetView>
  </sheetViews>
  <sheetFormatPr defaultRowHeight="14.4" x14ac:dyDescent="0.3"/>
  <cols>
    <col min="1" max="1" width="21.33203125" style="1" customWidth="1"/>
    <col min="2" max="2" width="50.88671875" style="2" customWidth="1"/>
    <col min="3" max="3" width="25.88671875" style="2" customWidth="1"/>
    <col min="4" max="4" width="18.44140625" customWidth="1"/>
    <col min="5" max="5" width="18.109375" customWidth="1"/>
    <col min="6" max="6" width="17.109375" customWidth="1"/>
    <col min="7" max="7" width="39.5546875" customWidth="1"/>
    <col min="8" max="8" width="18.44140625" customWidth="1"/>
    <col min="9" max="9" width="18.109375" customWidth="1"/>
    <col min="10" max="10" width="17.109375" customWidth="1"/>
    <col min="11" max="11" width="16.44140625" customWidth="1"/>
    <col min="12" max="12" width="27.33203125" customWidth="1"/>
  </cols>
  <sheetData>
    <row r="1" spans="1:10" x14ac:dyDescent="0.3">
      <c r="A1" s="268" t="s">
        <v>0</v>
      </c>
      <c r="B1" s="268"/>
      <c r="C1" s="5"/>
      <c r="D1" s="4"/>
      <c r="H1" s="4"/>
    </row>
    <row r="2" spans="1:10" x14ac:dyDescent="0.3">
      <c r="A2" s="269" t="s">
        <v>1</v>
      </c>
      <c r="B2" s="269"/>
      <c r="C2" s="6"/>
      <c r="D2" s="4"/>
      <c r="H2" s="4"/>
    </row>
    <row r="3" spans="1:10" x14ac:dyDescent="0.3">
      <c r="A3" s="268" t="s">
        <v>15</v>
      </c>
      <c r="B3" s="268"/>
      <c r="C3" s="5"/>
      <c r="D3" s="4"/>
      <c r="H3" s="4"/>
    </row>
    <row r="4" spans="1:10" x14ac:dyDescent="0.3">
      <c r="A4" s="270" t="s">
        <v>2</v>
      </c>
      <c r="B4" s="270"/>
      <c r="C4" s="270"/>
      <c r="D4" s="270"/>
    </row>
    <row r="5" spans="1:10" x14ac:dyDescent="0.3">
      <c r="A5" s="270" t="s">
        <v>14</v>
      </c>
      <c r="B5" s="270"/>
      <c r="C5" s="270"/>
      <c r="D5" s="270"/>
    </row>
    <row r="6" spans="1:10" ht="30.6" customHeight="1" x14ac:dyDescent="0.3">
      <c r="A6" s="267" t="s">
        <v>13</v>
      </c>
      <c r="B6" s="267"/>
      <c r="C6" s="267"/>
      <c r="D6" s="267"/>
      <c r="E6" s="267"/>
      <c r="F6" s="267"/>
      <c r="G6" s="267"/>
    </row>
    <row r="7" spans="1:10" x14ac:dyDescent="0.3">
      <c r="A7" s="1" t="s">
        <v>3</v>
      </c>
    </row>
    <row r="9" spans="1:10" ht="24.6" customHeight="1" thickBot="1" x14ac:dyDescent="0.35">
      <c r="A9" s="98" t="s">
        <v>126</v>
      </c>
      <c r="B9" s="98"/>
      <c r="C9" s="98"/>
      <c r="D9" s="98"/>
      <c r="E9" s="98"/>
      <c r="F9" s="98"/>
      <c r="G9" s="99" t="s">
        <v>131</v>
      </c>
      <c r="H9" s="100"/>
      <c r="I9" s="100"/>
      <c r="J9" s="100"/>
    </row>
    <row r="10" spans="1:10" s="2" customFormat="1" x14ac:dyDescent="0.3">
      <c r="A10" s="271" t="s">
        <v>4</v>
      </c>
      <c r="B10" s="273" t="s">
        <v>5</v>
      </c>
      <c r="C10" s="275" t="s">
        <v>23</v>
      </c>
      <c r="D10" s="273" t="s">
        <v>6</v>
      </c>
      <c r="E10" s="277" t="s">
        <v>7</v>
      </c>
      <c r="F10" s="277"/>
      <c r="G10" s="280" t="s">
        <v>8</v>
      </c>
      <c r="H10" s="273" t="s">
        <v>6</v>
      </c>
    </row>
    <row r="11" spans="1:10" s="2" customFormat="1" ht="15" thickBot="1" x14ac:dyDescent="0.35">
      <c r="A11" s="272"/>
      <c r="B11" s="274"/>
      <c r="C11" s="276"/>
      <c r="D11" s="274"/>
      <c r="E11" s="8" t="s">
        <v>9</v>
      </c>
      <c r="F11" s="8" t="s">
        <v>10</v>
      </c>
      <c r="G11" s="281"/>
      <c r="H11" s="274"/>
      <c r="I11" s="8" t="s">
        <v>9</v>
      </c>
      <c r="J11" s="8" t="s">
        <v>10</v>
      </c>
    </row>
    <row r="12" spans="1:10" s="2" customFormat="1" ht="15.6" x14ac:dyDescent="0.3">
      <c r="A12" s="39"/>
      <c r="B12" s="40" t="s">
        <v>53</v>
      </c>
      <c r="C12" s="40"/>
      <c r="D12" s="39"/>
      <c r="E12" s="39"/>
      <c r="F12" s="39"/>
      <c r="G12" s="39"/>
      <c r="H12" s="39"/>
      <c r="I12" s="39"/>
      <c r="J12" s="39"/>
    </row>
    <row r="13" spans="1:10" ht="15.6" x14ac:dyDescent="0.3">
      <c r="A13" s="23">
        <v>1</v>
      </c>
      <c r="B13" s="24" t="s">
        <v>16</v>
      </c>
      <c r="C13" s="24"/>
      <c r="D13" s="93">
        <v>12568952.220000001</v>
      </c>
      <c r="E13" s="25"/>
      <c r="F13" s="25"/>
      <c r="G13" s="14"/>
      <c r="H13" s="93">
        <v>12568952.220000001</v>
      </c>
      <c r="I13" s="25"/>
      <c r="J13" s="25"/>
    </row>
    <row r="14" spans="1:10" ht="15.6" x14ac:dyDescent="0.3">
      <c r="A14" s="41"/>
      <c r="B14" s="42" t="s">
        <v>54</v>
      </c>
      <c r="C14" s="42"/>
      <c r="D14" s="43"/>
      <c r="E14" s="44"/>
      <c r="F14" s="45"/>
      <c r="G14" s="46"/>
      <c r="H14" s="43"/>
      <c r="I14" s="44"/>
      <c r="J14" s="45"/>
    </row>
    <row r="15" spans="1:10" ht="15.6" x14ac:dyDescent="0.3">
      <c r="A15" s="47">
        <v>2</v>
      </c>
      <c r="B15" s="48" t="s">
        <v>17</v>
      </c>
      <c r="C15" s="48"/>
      <c r="D15" s="49">
        <f>SUM(D16:D16)</f>
        <v>74844.2</v>
      </c>
      <c r="E15" s="50"/>
      <c r="F15" s="51"/>
      <c r="G15" s="52"/>
      <c r="H15" s="49">
        <f>SUM(H16:H16)</f>
        <v>74844.2</v>
      </c>
      <c r="I15" s="50"/>
      <c r="J15" s="51"/>
    </row>
    <row r="16" spans="1:10" ht="15.6" x14ac:dyDescent="0.3">
      <c r="A16" s="80" t="s">
        <v>85</v>
      </c>
      <c r="B16" s="26" t="s">
        <v>73</v>
      </c>
      <c r="C16" s="26" t="s">
        <v>74</v>
      </c>
      <c r="D16" s="94">
        <v>74844.2</v>
      </c>
      <c r="E16" s="31">
        <v>0</v>
      </c>
      <c r="F16" s="31">
        <v>0</v>
      </c>
      <c r="G16" s="34"/>
      <c r="H16" s="94">
        <v>74844.2</v>
      </c>
      <c r="I16" s="31">
        <v>0</v>
      </c>
      <c r="J16" s="31">
        <v>0</v>
      </c>
    </row>
    <row r="17" spans="1:12" ht="15.6" x14ac:dyDescent="0.3">
      <c r="A17" s="47">
        <v>3</v>
      </c>
      <c r="B17" s="48" t="s">
        <v>18</v>
      </c>
      <c r="C17" s="48"/>
      <c r="D17" s="49">
        <f>SUM(D18:D21)</f>
        <v>2290995.6399999997</v>
      </c>
      <c r="E17" s="50"/>
      <c r="F17" s="51"/>
      <c r="G17" s="52"/>
      <c r="H17" s="49">
        <f>SUM(H18:H21)</f>
        <v>2290995.6399999997</v>
      </c>
      <c r="I17" s="50"/>
      <c r="J17" s="51"/>
    </row>
    <row r="18" spans="1:12" s="11" customFormat="1" ht="15.6" x14ac:dyDescent="0.3">
      <c r="A18" s="80" t="s">
        <v>87</v>
      </c>
      <c r="B18" s="26" t="s">
        <v>75</v>
      </c>
      <c r="C18" s="26" t="s">
        <v>31</v>
      </c>
      <c r="D18" s="95">
        <v>585276.81999999995</v>
      </c>
      <c r="E18" s="31">
        <v>0</v>
      </c>
      <c r="F18" s="31">
        <v>0</v>
      </c>
      <c r="G18" s="34"/>
      <c r="H18" s="95">
        <v>585276.81999999995</v>
      </c>
      <c r="I18" s="31">
        <v>0</v>
      </c>
      <c r="J18" s="31">
        <v>0</v>
      </c>
    </row>
    <row r="19" spans="1:12" s="11" customFormat="1" ht="15.6" x14ac:dyDescent="0.3">
      <c r="A19" s="80" t="s">
        <v>86</v>
      </c>
      <c r="B19" s="26" t="s">
        <v>76</v>
      </c>
      <c r="C19" s="26" t="s">
        <v>32</v>
      </c>
      <c r="D19" s="95">
        <v>585218.81999999995</v>
      </c>
      <c r="E19" s="31">
        <v>0</v>
      </c>
      <c r="F19" s="31">
        <v>0</v>
      </c>
      <c r="G19" s="34"/>
      <c r="H19" s="95">
        <v>585218.81999999995</v>
      </c>
      <c r="I19" s="31">
        <v>0</v>
      </c>
      <c r="J19" s="31">
        <v>0</v>
      </c>
    </row>
    <row r="20" spans="1:12" s="11" customFormat="1" ht="19.2" customHeight="1" x14ac:dyDescent="0.3">
      <c r="A20" s="80" t="s">
        <v>84</v>
      </c>
      <c r="B20" s="26" t="s">
        <v>77</v>
      </c>
      <c r="C20" s="26" t="s">
        <v>12</v>
      </c>
      <c r="D20" s="94">
        <v>70000</v>
      </c>
      <c r="E20" s="31">
        <v>0</v>
      </c>
      <c r="F20" s="31">
        <v>0</v>
      </c>
      <c r="G20" s="34"/>
      <c r="H20" s="94">
        <v>70000</v>
      </c>
      <c r="I20" s="31">
        <v>0</v>
      </c>
      <c r="J20" s="31">
        <v>0</v>
      </c>
    </row>
    <row r="21" spans="1:12" ht="15.6" x14ac:dyDescent="0.3">
      <c r="A21" s="12" t="s">
        <v>83</v>
      </c>
      <c r="B21" s="17" t="s">
        <v>128</v>
      </c>
      <c r="C21" s="15" t="s">
        <v>46</v>
      </c>
      <c r="D21" s="27">
        <v>1050500</v>
      </c>
      <c r="E21" s="31">
        <v>0</v>
      </c>
      <c r="F21" s="31">
        <v>0</v>
      </c>
      <c r="G21" s="29" t="s">
        <v>79</v>
      </c>
      <c r="H21" s="27">
        <v>1050500</v>
      </c>
      <c r="I21" s="31">
        <v>0</v>
      </c>
      <c r="J21" s="31">
        <v>0</v>
      </c>
    </row>
    <row r="22" spans="1:12" ht="36.6" customHeight="1" x14ac:dyDescent="0.3">
      <c r="A22" s="47">
        <v>4</v>
      </c>
      <c r="B22" s="48" t="s">
        <v>20</v>
      </c>
      <c r="C22" s="48"/>
      <c r="D22" s="49">
        <f>SUM(D23:D26)</f>
        <v>8955964.9499999993</v>
      </c>
      <c r="E22" s="50"/>
      <c r="F22" s="51"/>
      <c r="G22" s="52"/>
      <c r="H22" s="49">
        <f>SUM(H23:H26)</f>
        <v>8955964.9499999993</v>
      </c>
      <c r="I22" s="50"/>
      <c r="J22" s="51"/>
    </row>
    <row r="23" spans="1:12" ht="45.6" customHeight="1" x14ac:dyDescent="0.3">
      <c r="A23" s="33"/>
      <c r="B23" s="26" t="s">
        <v>25</v>
      </c>
      <c r="C23" s="30" t="s">
        <v>24</v>
      </c>
      <c r="D23" s="27">
        <f>E23+F23</f>
        <v>8465713.1899999995</v>
      </c>
      <c r="E23" s="27">
        <v>0</v>
      </c>
      <c r="F23" s="27">
        <v>8465713.1899999995</v>
      </c>
      <c r="G23" s="34"/>
      <c r="H23" s="27">
        <f>I23+J23</f>
        <v>8465713.1899999995</v>
      </c>
      <c r="I23" s="27">
        <v>0</v>
      </c>
      <c r="J23" s="27">
        <v>8465713.1899999995</v>
      </c>
    </row>
    <row r="24" spans="1:12" ht="15" customHeight="1" x14ac:dyDescent="0.3">
      <c r="A24" s="33"/>
      <c r="B24" s="26" t="s">
        <v>27</v>
      </c>
      <c r="C24" s="30" t="s">
        <v>26</v>
      </c>
      <c r="D24" s="27">
        <f>E24+F24</f>
        <v>307071.43</v>
      </c>
      <c r="E24" s="27">
        <v>0</v>
      </c>
      <c r="F24" s="27">
        <v>307071.43</v>
      </c>
      <c r="G24" s="34"/>
      <c r="H24" s="27">
        <f>I24+J24</f>
        <v>307071.43</v>
      </c>
      <c r="I24" s="27">
        <v>0</v>
      </c>
      <c r="J24" s="27">
        <v>307071.43</v>
      </c>
    </row>
    <row r="25" spans="1:12" ht="18" customHeight="1" x14ac:dyDescent="0.3">
      <c r="A25" s="33"/>
      <c r="B25" s="26" t="s">
        <v>29</v>
      </c>
      <c r="C25" s="30" t="s">
        <v>28</v>
      </c>
      <c r="D25" s="27">
        <f>E25+F25</f>
        <v>76319.399999999994</v>
      </c>
      <c r="E25" s="27">
        <v>0</v>
      </c>
      <c r="F25" s="27">
        <v>76319.399999999994</v>
      </c>
      <c r="G25" s="34"/>
      <c r="H25" s="27">
        <f>I25+J25</f>
        <v>76319.399999999994</v>
      </c>
      <c r="I25" s="27">
        <v>0</v>
      </c>
      <c r="J25" s="27">
        <v>76319.399999999994</v>
      </c>
    </row>
    <row r="26" spans="1:12" ht="18" customHeight="1" x14ac:dyDescent="0.3">
      <c r="A26" s="33"/>
      <c r="B26" s="26" t="s">
        <v>34</v>
      </c>
      <c r="C26" s="35"/>
      <c r="D26" s="27">
        <f>E26+F26</f>
        <v>106860.93</v>
      </c>
      <c r="E26" s="27">
        <v>0</v>
      </c>
      <c r="F26" s="27">
        <v>106860.93</v>
      </c>
      <c r="G26" s="34"/>
      <c r="H26" s="27">
        <f>I26+J26</f>
        <v>106860.93</v>
      </c>
      <c r="I26" s="27">
        <v>0</v>
      </c>
      <c r="J26" s="27">
        <v>106860.93</v>
      </c>
    </row>
    <row r="27" spans="1:12" ht="15.6" x14ac:dyDescent="0.3">
      <c r="A27" s="54"/>
      <c r="B27" s="55" t="s">
        <v>52</v>
      </c>
      <c r="C27" s="55"/>
      <c r="D27" s="56">
        <f>D22+D17+D15</f>
        <v>11321804.789999999</v>
      </c>
      <c r="E27" s="57"/>
      <c r="F27" s="58"/>
      <c r="G27" s="59"/>
      <c r="H27" s="56">
        <f>H22+H17+H15</f>
        <v>11321804.789999999</v>
      </c>
      <c r="I27" s="57"/>
      <c r="J27" s="58"/>
    </row>
    <row r="28" spans="1:12" ht="15.6" x14ac:dyDescent="0.3">
      <c r="A28" s="54"/>
      <c r="B28" s="55" t="s">
        <v>21</v>
      </c>
      <c r="C28" s="55"/>
      <c r="D28" s="56">
        <f>D27-D13</f>
        <v>-1247147.4300000016</v>
      </c>
      <c r="E28" s="57"/>
      <c r="F28" s="58"/>
      <c r="G28" s="59"/>
      <c r="H28" s="56">
        <f>H27-H13</f>
        <v>-1247147.4300000016</v>
      </c>
      <c r="I28" s="57"/>
      <c r="J28" s="58"/>
    </row>
    <row r="29" spans="1:12" ht="15.6" x14ac:dyDescent="0.3">
      <c r="A29" s="60"/>
      <c r="B29" s="61" t="s">
        <v>127</v>
      </c>
      <c r="C29" s="61"/>
      <c r="D29" s="62"/>
      <c r="E29" s="63"/>
      <c r="F29" s="64"/>
      <c r="G29" s="65"/>
      <c r="H29" s="62"/>
      <c r="I29" s="63"/>
      <c r="J29" s="64"/>
    </row>
    <row r="30" spans="1:12" ht="15.6" x14ac:dyDescent="0.3">
      <c r="A30" s="37">
        <v>5</v>
      </c>
      <c r="B30" s="38" t="s">
        <v>35</v>
      </c>
      <c r="C30" s="18"/>
      <c r="D30" s="36"/>
      <c r="E30" s="19"/>
      <c r="F30" s="20"/>
      <c r="G30" s="21"/>
      <c r="H30" s="36"/>
      <c r="I30" s="19"/>
      <c r="J30" s="20"/>
    </row>
    <row r="31" spans="1:12" ht="115.5" customHeight="1" x14ac:dyDescent="0.3">
      <c r="A31" s="12" t="s">
        <v>80</v>
      </c>
      <c r="B31" s="32" t="s">
        <v>36</v>
      </c>
      <c r="C31" s="30" t="s">
        <v>37</v>
      </c>
      <c r="D31" s="27">
        <f>E31*0.5+F31*0.8</f>
        <v>3804712.0433333348</v>
      </c>
      <c r="E31" s="27">
        <f>Березень!I30+3823221.41666667</f>
        <v>7609424.0866666697</v>
      </c>
      <c r="F31" s="27"/>
      <c r="G31" s="28" t="s">
        <v>78</v>
      </c>
      <c r="H31" s="27">
        <f>I31*0.5+J31*0.8</f>
        <v>0</v>
      </c>
      <c r="I31" s="101"/>
      <c r="J31" s="27"/>
      <c r="K31" s="101">
        <f>2728796.06+686686+370720.61+(392535+13086105+46106.82+284219.13)/3</f>
        <v>8389191.3200000003</v>
      </c>
      <c r="L31" s="2" t="s">
        <v>136</v>
      </c>
    </row>
    <row r="32" spans="1:12" ht="15.6" x14ac:dyDescent="0.3">
      <c r="A32" s="12" t="s">
        <v>81</v>
      </c>
      <c r="B32" s="17" t="s">
        <v>88</v>
      </c>
      <c r="C32" s="15" t="s">
        <v>40</v>
      </c>
      <c r="D32" s="27">
        <f t="shared" ref="D32:D46" si="0">E32*0.5+F32*0.8</f>
        <v>201964.535</v>
      </c>
      <c r="E32" s="13">
        <v>403929.07</v>
      </c>
      <c r="F32" s="16"/>
      <c r="G32" s="29" t="s">
        <v>41</v>
      </c>
      <c r="H32" s="94">
        <f t="shared" ref="H32:H46" si="1">I32*0.5+J32*0.8</f>
        <v>201964.535</v>
      </c>
      <c r="I32" s="13">
        <v>403929.07</v>
      </c>
      <c r="J32" s="16"/>
    </row>
    <row r="33" spans="1:12" ht="18.600000000000001" customHeight="1" x14ac:dyDescent="0.3">
      <c r="A33" s="12" t="s">
        <v>82</v>
      </c>
      <c r="B33" s="7" t="s">
        <v>43</v>
      </c>
      <c r="C33" s="15" t="s">
        <v>30</v>
      </c>
      <c r="D33" s="27">
        <f t="shared" si="0"/>
        <v>497461</v>
      </c>
      <c r="E33" s="13">
        <v>994922</v>
      </c>
      <c r="F33" s="16"/>
      <c r="G33" s="29" t="s">
        <v>41</v>
      </c>
      <c r="H33" s="94">
        <f t="shared" si="1"/>
        <v>497461</v>
      </c>
      <c r="I33" s="13">
        <v>994922</v>
      </c>
      <c r="J33" s="16"/>
    </row>
    <row r="34" spans="1:12" ht="15.6" x14ac:dyDescent="0.3">
      <c r="A34" s="12" t="s">
        <v>107</v>
      </c>
      <c r="B34" s="17" t="s">
        <v>47</v>
      </c>
      <c r="C34" s="15" t="s">
        <v>33</v>
      </c>
      <c r="D34" s="27">
        <f t="shared" si="0"/>
        <v>154136.4</v>
      </c>
      <c r="E34" s="13">
        <v>308272.8</v>
      </c>
      <c r="F34" s="16"/>
      <c r="G34" s="29" t="s">
        <v>79</v>
      </c>
      <c r="H34" s="94">
        <f t="shared" si="1"/>
        <v>154136.4</v>
      </c>
      <c r="I34" s="13">
        <v>308272.8</v>
      </c>
      <c r="J34" s="16"/>
    </row>
    <row r="35" spans="1:12" ht="15.6" x14ac:dyDescent="0.3">
      <c r="A35" s="12" t="s">
        <v>89</v>
      </c>
      <c r="B35" s="17" t="s">
        <v>90</v>
      </c>
      <c r="C35" s="15" t="s">
        <v>91</v>
      </c>
      <c r="D35" s="27">
        <f t="shared" si="0"/>
        <v>263351.89</v>
      </c>
      <c r="E35" s="13">
        <v>526703.78</v>
      </c>
      <c r="F35" s="16"/>
      <c r="G35" s="29" t="s">
        <v>41</v>
      </c>
      <c r="H35" s="94">
        <f t="shared" si="1"/>
        <v>263351.89</v>
      </c>
      <c r="I35" s="13">
        <v>526703.78</v>
      </c>
      <c r="J35" s="16"/>
      <c r="K35" t="s">
        <v>135</v>
      </c>
    </row>
    <row r="36" spans="1:12" ht="15.6" x14ac:dyDescent="0.3">
      <c r="A36" s="107" t="s">
        <v>95</v>
      </c>
      <c r="B36" s="17" t="s">
        <v>96</v>
      </c>
      <c r="C36" s="15"/>
      <c r="D36" s="27">
        <f t="shared" si="0"/>
        <v>0</v>
      </c>
      <c r="E36" s="62">
        <f>'[5]ДЦ (дод.щебень)'!$L$14*2</f>
        <v>0</v>
      </c>
      <c r="F36" s="16"/>
      <c r="G36" s="29" t="s">
        <v>94</v>
      </c>
      <c r="H36" s="94">
        <f t="shared" si="1"/>
        <v>38468.925000000003</v>
      </c>
      <c r="I36" s="62">
        <v>76937.850000000006</v>
      </c>
      <c r="J36" s="16"/>
      <c r="K36" t="s">
        <v>135</v>
      </c>
      <c r="L36" t="s">
        <v>134</v>
      </c>
    </row>
    <row r="37" spans="1:12" ht="15.6" x14ac:dyDescent="0.3">
      <c r="A37" s="12" t="s">
        <v>92</v>
      </c>
      <c r="B37" s="17" t="s">
        <v>93</v>
      </c>
      <c r="C37" s="15"/>
      <c r="D37" s="27">
        <f t="shared" si="0"/>
        <v>150000</v>
      </c>
      <c r="E37" s="13">
        <v>300000</v>
      </c>
      <c r="F37" s="16"/>
      <c r="G37" s="29" t="s">
        <v>41</v>
      </c>
      <c r="H37" s="94">
        <f t="shared" si="1"/>
        <v>150000</v>
      </c>
      <c r="I37" s="13">
        <v>300000</v>
      </c>
      <c r="J37" s="16"/>
      <c r="K37" t="s">
        <v>135</v>
      </c>
    </row>
    <row r="38" spans="1:12" ht="15.6" x14ac:dyDescent="0.3">
      <c r="A38" s="12" t="s">
        <v>108</v>
      </c>
      <c r="B38" s="17" t="s">
        <v>112</v>
      </c>
      <c r="C38" s="15" t="s">
        <v>111</v>
      </c>
      <c r="D38" s="27">
        <f t="shared" si="0"/>
        <v>0</v>
      </c>
      <c r="E38" s="13">
        <v>0</v>
      </c>
      <c r="F38" s="16"/>
      <c r="G38" s="29"/>
      <c r="H38" s="27">
        <f t="shared" si="1"/>
        <v>0</v>
      </c>
      <c r="I38" s="13">
        <v>0</v>
      </c>
      <c r="J38" s="16"/>
      <c r="K38" t="s">
        <v>135</v>
      </c>
    </row>
    <row r="39" spans="1:12" ht="15.6" x14ac:dyDescent="0.3">
      <c r="A39" s="12" t="s">
        <v>97</v>
      </c>
      <c r="B39" s="17" t="s">
        <v>98</v>
      </c>
      <c r="C39" s="15"/>
      <c r="D39" s="27">
        <f t="shared" si="0"/>
        <v>46060.959999999999</v>
      </c>
      <c r="E39" s="81">
        <v>92121.919999999998</v>
      </c>
      <c r="F39" s="16"/>
      <c r="G39" s="29" t="s">
        <v>41</v>
      </c>
      <c r="H39" s="94">
        <f t="shared" si="1"/>
        <v>46057.915000000001</v>
      </c>
      <c r="I39" s="81">
        <v>92115.83</v>
      </c>
      <c r="J39" s="16"/>
    </row>
    <row r="40" spans="1:12" ht="15.6" x14ac:dyDescent="0.3">
      <c r="A40" s="12" t="s">
        <v>100</v>
      </c>
      <c r="B40" s="17" t="s">
        <v>99</v>
      </c>
      <c r="C40" s="15"/>
      <c r="D40" s="27">
        <f t="shared" si="0"/>
        <v>100262.395</v>
      </c>
      <c r="E40" s="81">
        <v>200524.79</v>
      </c>
      <c r="F40" s="16"/>
      <c r="G40" s="29" t="s">
        <v>41</v>
      </c>
      <c r="H40" s="94">
        <f t="shared" si="1"/>
        <v>100262.39499999999</v>
      </c>
      <c r="I40" s="81">
        <f>69692.79+130832</f>
        <v>200524.78999999998</v>
      </c>
      <c r="J40" s="16"/>
    </row>
    <row r="41" spans="1:12" ht="15.6" x14ac:dyDescent="0.3">
      <c r="A41" s="12" t="s">
        <v>109</v>
      </c>
      <c r="B41" s="17" t="s">
        <v>121</v>
      </c>
      <c r="C41" s="15" t="s">
        <v>113</v>
      </c>
      <c r="D41" s="27">
        <f t="shared" si="0"/>
        <v>0</v>
      </c>
      <c r="E41" s="81">
        <v>0</v>
      </c>
      <c r="F41" s="16"/>
      <c r="G41" s="29"/>
      <c r="H41" s="27">
        <f t="shared" si="1"/>
        <v>0</v>
      </c>
      <c r="I41" s="81">
        <v>0</v>
      </c>
      <c r="J41" s="16"/>
    </row>
    <row r="42" spans="1:12" ht="15.6" x14ac:dyDescent="0.3">
      <c r="A42" s="12" t="s">
        <v>110</v>
      </c>
      <c r="B42" s="17" t="s">
        <v>114</v>
      </c>
      <c r="C42" s="15" t="s">
        <v>115</v>
      </c>
      <c r="D42" s="27">
        <f t="shared" si="0"/>
        <v>0</v>
      </c>
      <c r="E42" s="81">
        <v>0</v>
      </c>
      <c r="F42" s="16"/>
      <c r="G42" s="29"/>
      <c r="H42" s="27">
        <f t="shared" si="1"/>
        <v>0</v>
      </c>
      <c r="I42" s="81">
        <v>0</v>
      </c>
      <c r="J42" s="16"/>
    </row>
    <row r="43" spans="1:12" ht="15.6" x14ac:dyDescent="0.3">
      <c r="A43" s="12" t="s">
        <v>102</v>
      </c>
      <c r="B43" s="17" t="s">
        <v>101</v>
      </c>
      <c r="C43" s="15"/>
      <c r="D43" s="27">
        <f t="shared" si="0"/>
        <v>110210.095</v>
      </c>
      <c r="E43" s="81">
        <v>220420.19</v>
      </c>
      <c r="F43" s="16"/>
      <c r="G43" s="29" t="s">
        <v>41</v>
      </c>
      <c r="H43" s="94">
        <f t="shared" si="1"/>
        <v>110210.095</v>
      </c>
      <c r="I43" s="81">
        <v>220420.19</v>
      </c>
      <c r="J43" s="16"/>
    </row>
    <row r="44" spans="1:12" ht="31.2" x14ac:dyDescent="0.3">
      <c r="A44" s="12" t="s">
        <v>104</v>
      </c>
      <c r="B44" s="17" t="s">
        <v>103</v>
      </c>
      <c r="C44" s="15"/>
      <c r="D44" s="13">
        <f t="shared" si="0"/>
        <v>9750</v>
      </c>
      <c r="E44" s="105">
        <v>19500</v>
      </c>
      <c r="F44" s="16"/>
      <c r="G44" s="92" t="s">
        <v>41</v>
      </c>
      <c r="H44" s="89">
        <f t="shared" si="1"/>
        <v>0</v>
      </c>
      <c r="I44" s="90"/>
      <c r="J44" s="91"/>
      <c r="K44" t="s">
        <v>133</v>
      </c>
    </row>
    <row r="45" spans="1:12" ht="31.2" x14ac:dyDescent="0.3">
      <c r="A45" s="12" t="s">
        <v>106</v>
      </c>
      <c r="B45" s="17" t="s">
        <v>105</v>
      </c>
      <c r="C45" s="15"/>
      <c r="D45" s="27">
        <f t="shared" si="0"/>
        <v>4365</v>
      </c>
      <c r="E45" s="81">
        <v>8730</v>
      </c>
      <c r="F45" s="16"/>
      <c r="G45" s="29" t="s">
        <v>41</v>
      </c>
      <c r="H45" s="94">
        <f t="shared" si="1"/>
        <v>4365</v>
      </c>
      <c r="I45" s="81">
        <v>8730</v>
      </c>
      <c r="J45" s="16"/>
    </row>
    <row r="46" spans="1:12" ht="15.6" x14ac:dyDescent="0.3">
      <c r="A46" s="12" t="s">
        <v>116</v>
      </c>
      <c r="B46" s="17" t="s">
        <v>120</v>
      </c>
      <c r="C46" s="15" t="s">
        <v>119</v>
      </c>
      <c r="D46" s="27">
        <f t="shared" si="0"/>
        <v>0</v>
      </c>
      <c r="E46" s="81">
        <v>0</v>
      </c>
      <c r="F46" s="16"/>
      <c r="G46" s="29"/>
      <c r="H46" s="27">
        <f t="shared" si="1"/>
        <v>0</v>
      </c>
      <c r="I46" s="81">
        <v>0</v>
      </c>
      <c r="J46" s="16"/>
    </row>
    <row r="47" spans="1:12" ht="15.6" x14ac:dyDescent="0.3">
      <c r="A47" s="12" t="s">
        <v>117</v>
      </c>
      <c r="B47" s="17" t="s">
        <v>122</v>
      </c>
      <c r="C47" s="15" t="s">
        <v>123</v>
      </c>
      <c r="D47" s="27">
        <f>E47*0.5+F47*0.8</f>
        <v>0</v>
      </c>
      <c r="E47" s="81">
        <v>0</v>
      </c>
      <c r="F47" s="16"/>
      <c r="G47" s="29"/>
      <c r="H47" s="27">
        <f>I47*0.5+J47*0.8</f>
        <v>0</v>
      </c>
      <c r="I47" s="81">
        <v>0</v>
      </c>
      <c r="J47" s="16"/>
    </row>
    <row r="48" spans="1:12" ht="15.6" x14ac:dyDescent="0.3">
      <c r="A48" s="12" t="s">
        <v>118</v>
      </c>
      <c r="B48" s="17" t="s">
        <v>124</v>
      </c>
      <c r="C48" s="15" t="s">
        <v>125</v>
      </c>
      <c r="D48" s="27">
        <f>E48*0.5+F48*0.8</f>
        <v>452177</v>
      </c>
      <c r="E48" s="81">
        <f>41.107*22000</f>
        <v>904354</v>
      </c>
      <c r="F48" s="16"/>
      <c r="G48" s="29" t="s">
        <v>79</v>
      </c>
      <c r="H48" s="27">
        <f>I48*0.5+J48*0.8</f>
        <v>0</v>
      </c>
      <c r="I48" s="81"/>
      <c r="J48" s="16"/>
      <c r="K48" t="s">
        <v>133</v>
      </c>
    </row>
    <row r="49" spans="1:10" ht="15.6" x14ac:dyDescent="0.3">
      <c r="A49" s="60"/>
      <c r="B49" s="67" t="s">
        <v>48</v>
      </c>
      <c r="C49" s="66"/>
      <c r="D49" s="68">
        <f>SUM(D31:D48)</f>
        <v>5794451.3183333343</v>
      </c>
      <c r="E49" s="63"/>
      <c r="F49" s="64"/>
      <c r="G49" s="65"/>
      <c r="H49" s="68">
        <f>SUM(H31:H48)</f>
        <v>1566278.1550000003</v>
      </c>
      <c r="I49" s="63"/>
      <c r="J49" s="64"/>
    </row>
    <row r="50" spans="1:10" ht="15.6" x14ac:dyDescent="0.3">
      <c r="A50" s="83"/>
      <c r="B50" s="84" t="s">
        <v>49</v>
      </c>
      <c r="C50" s="85"/>
      <c r="D50" s="86">
        <f>D49+D28</f>
        <v>4547303.8883333327</v>
      </c>
      <c r="E50" s="87"/>
      <c r="F50" s="87"/>
      <c r="G50" s="88"/>
      <c r="H50" s="86">
        <f>H49+H28</f>
        <v>319130.7249999987</v>
      </c>
      <c r="I50" s="87"/>
      <c r="J50" s="87"/>
    </row>
    <row r="51" spans="1:10" x14ac:dyDescent="0.3">
      <c r="C51" s="2" t="s">
        <v>129</v>
      </c>
      <c r="D51" s="96">
        <f>D13*0.2</f>
        <v>2513790.4440000001</v>
      </c>
      <c r="G51" s="2" t="s">
        <v>129</v>
      </c>
      <c r="H51" s="96">
        <f>H13*0.2</f>
        <v>2513790.4440000001</v>
      </c>
    </row>
    <row r="52" spans="1:10" x14ac:dyDescent="0.3">
      <c r="C52" s="106" t="s">
        <v>132</v>
      </c>
      <c r="D52" s="96">
        <f>1202666.89+83333.33</f>
        <v>1286000.22</v>
      </c>
      <c r="G52" s="2" t="s">
        <v>132</v>
      </c>
      <c r="H52" s="96">
        <f>1202666.89+83333.33</f>
        <v>1286000.22</v>
      </c>
    </row>
    <row r="53" spans="1:10" x14ac:dyDescent="0.3">
      <c r="C53" s="102" t="s">
        <v>130</v>
      </c>
      <c r="D53" s="103">
        <f>D52-D51</f>
        <v>-1227790.2240000002</v>
      </c>
      <c r="E53" s="97"/>
      <c r="F53" s="97"/>
      <c r="G53" s="102" t="s">
        <v>130</v>
      </c>
      <c r="H53" s="103">
        <f>H52-H51</f>
        <v>-1227790.2240000002</v>
      </c>
    </row>
    <row r="54" spans="1:10" x14ac:dyDescent="0.3">
      <c r="D54" s="96"/>
      <c r="H54" s="96"/>
    </row>
    <row r="55" spans="1:10" ht="18" x14ac:dyDescent="0.3">
      <c r="B55" s="82"/>
      <c r="D55" s="96"/>
      <c r="H55" s="104">
        <f>H50+H53</f>
        <v>-908659.49900000147</v>
      </c>
    </row>
    <row r="56" spans="1:10" x14ac:dyDescent="0.3">
      <c r="D56" s="96"/>
      <c r="H56" s="96"/>
    </row>
  </sheetData>
  <mergeCells count="13">
    <mergeCell ref="H10:H11"/>
    <mergeCell ref="A6:G6"/>
    <mergeCell ref="A1:B1"/>
    <mergeCell ref="A2:B2"/>
    <mergeCell ref="A3:B3"/>
    <mergeCell ref="A4:D4"/>
    <mergeCell ref="A5:D5"/>
    <mergeCell ref="A10:A11"/>
    <mergeCell ref="B10:B11"/>
    <mergeCell ref="C10:C11"/>
    <mergeCell ref="D10:D11"/>
    <mergeCell ref="E10:F10"/>
    <mergeCell ref="G10:G11"/>
  </mergeCells>
  <phoneticPr fontId="3" type="noConversion"/>
  <pageMargins left="0.11811023622047245" right="0.11811023622047245" top="0.15748031496062992" bottom="0.15748031496062992" header="0.31496062992125984" footer="0.31496062992125984"/>
  <pageSetup paperSize="9" scale="51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opLeftCell="A34" workbookViewId="0">
      <selection activeCell="E30" sqref="E30"/>
    </sheetView>
  </sheetViews>
  <sheetFormatPr defaultRowHeight="14.4" x14ac:dyDescent="0.3"/>
  <cols>
    <col min="1" max="1" width="21.33203125" style="1" customWidth="1"/>
    <col min="2" max="2" width="43.44140625" style="2" customWidth="1"/>
    <col min="3" max="3" width="20.5546875" style="2" customWidth="1"/>
    <col min="4" max="4" width="18.44140625" customWidth="1"/>
    <col min="5" max="5" width="18.109375" customWidth="1"/>
    <col min="6" max="6" width="17.109375" customWidth="1"/>
    <col min="7" max="7" width="33.33203125" customWidth="1"/>
    <col min="8" max="8" width="18.44140625" customWidth="1"/>
    <col min="9" max="9" width="18.109375" customWidth="1"/>
    <col min="10" max="10" width="11.5546875" customWidth="1"/>
    <col min="11" max="11" width="27" customWidth="1"/>
    <col min="12" max="12" width="17.44140625" customWidth="1"/>
    <col min="13" max="13" width="18.44140625" customWidth="1"/>
  </cols>
  <sheetData>
    <row r="1" spans="1:11" x14ac:dyDescent="0.3">
      <c r="A1" s="268" t="s">
        <v>0</v>
      </c>
      <c r="B1" s="268"/>
      <c r="C1" s="5"/>
      <c r="D1" s="4"/>
      <c r="H1" s="4"/>
    </row>
    <row r="2" spans="1:11" x14ac:dyDescent="0.3">
      <c r="A2" s="269" t="s">
        <v>1</v>
      </c>
      <c r="B2" s="269"/>
      <c r="C2" s="6"/>
      <c r="D2" s="4"/>
      <c r="H2" s="4"/>
    </row>
    <row r="3" spans="1:11" x14ac:dyDescent="0.3">
      <c r="A3" s="268" t="s">
        <v>15</v>
      </c>
      <c r="B3" s="268"/>
      <c r="C3" s="5"/>
      <c r="D3" s="4"/>
      <c r="H3" s="4"/>
    </row>
    <row r="4" spans="1:11" x14ac:dyDescent="0.3">
      <c r="A4" s="270" t="s">
        <v>2</v>
      </c>
      <c r="B4" s="270"/>
      <c r="C4" s="270"/>
      <c r="D4" s="270"/>
    </row>
    <row r="5" spans="1:11" x14ac:dyDescent="0.3">
      <c r="A5" s="270" t="s">
        <v>14</v>
      </c>
      <c r="B5" s="270"/>
      <c r="C5" s="270"/>
      <c r="D5" s="270"/>
    </row>
    <row r="6" spans="1:11" ht="30.6" customHeight="1" x14ac:dyDescent="0.3">
      <c r="A6" s="267" t="s">
        <v>13</v>
      </c>
      <c r="B6" s="267"/>
      <c r="C6" s="267"/>
      <c r="D6" s="267"/>
      <c r="E6" s="267"/>
      <c r="F6" s="267"/>
      <c r="G6" s="267"/>
      <c r="H6" s="70"/>
      <c r="I6" s="70"/>
      <c r="J6" s="70"/>
    </row>
    <row r="7" spans="1:11" x14ac:dyDescent="0.3">
      <c r="A7" s="1" t="s">
        <v>3</v>
      </c>
      <c r="H7" s="74" t="s">
        <v>55</v>
      </c>
    </row>
    <row r="9" spans="1:11" ht="24.6" customHeight="1" thickBot="1" x14ac:dyDescent="0.35">
      <c r="A9" s="282" t="s">
        <v>50</v>
      </c>
      <c r="B9" s="282"/>
      <c r="C9" s="282"/>
      <c r="D9" s="282"/>
      <c r="E9" s="282"/>
      <c r="F9" s="282"/>
      <c r="G9" s="282"/>
      <c r="H9" s="71"/>
      <c r="I9" s="71"/>
      <c r="J9" s="71"/>
    </row>
    <row r="10" spans="1:11" s="2" customFormat="1" x14ac:dyDescent="0.3">
      <c r="A10" s="271" t="s">
        <v>4</v>
      </c>
      <c r="B10" s="273" t="s">
        <v>5</v>
      </c>
      <c r="C10" s="275" t="s">
        <v>23</v>
      </c>
      <c r="D10" s="273" t="s">
        <v>6</v>
      </c>
      <c r="E10" s="277" t="s">
        <v>7</v>
      </c>
      <c r="F10" s="277"/>
      <c r="G10" s="280" t="s">
        <v>8</v>
      </c>
      <c r="H10" s="273" t="s">
        <v>6</v>
      </c>
      <c r="I10" s="277" t="s">
        <v>7</v>
      </c>
      <c r="J10" s="277"/>
    </row>
    <row r="11" spans="1:11" s="2" customFormat="1" ht="15" thickBot="1" x14ac:dyDescent="0.35">
      <c r="A11" s="272"/>
      <c r="B11" s="274"/>
      <c r="C11" s="276"/>
      <c r="D11" s="274"/>
      <c r="E11" s="8" t="s">
        <v>9</v>
      </c>
      <c r="F11" s="8" t="s">
        <v>10</v>
      </c>
      <c r="G11" s="281"/>
      <c r="H11" s="274"/>
      <c r="I11" s="8" t="s">
        <v>9</v>
      </c>
      <c r="J11" s="8" t="s">
        <v>10</v>
      </c>
    </row>
    <row r="12" spans="1:11" s="2" customFormat="1" ht="15.6" x14ac:dyDescent="0.3">
      <c r="A12" s="39"/>
      <c r="B12" s="40" t="s">
        <v>53</v>
      </c>
      <c r="C12" s="40"/>
      <c r="D12" s="39"/>
      <c r="E12" s="39"/>
      <c r="F12" s="39"/>
      <c r="G12" s="39"/>
      <c r="H12" s="39"/>
      <c r="I12" s="39"/>
      <c r="J12" s="39"/>
    </row>
    <row r="13" spans="1:11" ht="31.2" x14ac:dyDescent="0.3">
      <c r="A13" s="23">
        <v>1</v>
      </c>
      <c r="B13" s="24" t="s">
        <v>16</v>
      </c>
      <c r="C13" s="24"/>
      <c r="D13" s="65">
        <v>7716001.3399999999</v>
      </c>
      <c r="E13" s="25"/>
      <c r="F13" s="25"/>
      <c r="G13" s="14"/>
      <c r="H13" s="65">
        <v>7716001.3399999999</v>
      </c>
      <c r="I13" s="25"/>
      <c r="J13" s="25"/>
    </row>
    <row r="14" spans="1:11" ht="15.6" x14ac:dyDescent="0.3">
      <c r="A14" s="41"/>
      <c r="B14" s="42" t="s">
        <v>54</v>
      </c>
      <c r="C14" s="42"/>
      <c r="D14" s="43"/>
      <c r="E14" s="44"/>
      <c r="F14" s="45"/>
      <c r="G14" s="46"/>
      <c r="H14" s="43"/>
      <c r="I14" s="44"/>
      <c r="J14" s="45"/>
      <c r="K14" s="3"/>
    </row>
    <row r="15" spans="1:11" ht="15.6" x14ac:dyDescent="0.3">
      <c r="A15" s="47">
        <v>2</v>
      </c>
      <c r="B15" s="48" t="s">
        <v>17</v>
      </c>
      <c r="C15" s="48"/>
      <c r="D15" s="49">
        <f>SUM(D16)</f>
        <v>0</v>
      </c>
      <c r="E15" s="50"/>
      <c r="F15" s="51"/>
      <c r="G15" s="52"/>
      <c r="H15" s="49">
        <f>SUM(H16)</f>
        <v>0</v>
      </c>
      <c r="I15" s="50"/>
      <c r="J15" s="51"/>
      <c r="K15" s="3"/>
    </row>
    <row r="16" spans="1:11" ht="15.6" x14ac:dyDescent="0.3">
      <c r="A16" s="33"/>
      <c r="B16" s="9"/>
      <c r="C16" s="9"/>
      <c r="D16" s="27">
        <f>E16+F16</f>
        <v>0</v>
      </c>
      <c r="E16" s="31">
        <v>0</v>
      </c>
      <c r="F16" s="31">
        <v>0</v>
      </c>
      <c r="G16" s="34"/>
      <c r="H16" s="27">
        <f>I16+J16</f>
        <v>0</v>
      </c>
      <c r="I16" s="31">
        <v>0</v>
      </c>
      <c r="J16" s="31">
        <v>0</v>
      </c>
      <c r="K16" s="3"/>
    </row>
    <row r="17" spans="1:12" ht="15.6" x14ac:dyDescent="0.3">
      <c r="A17" s="47">
        <v>3</v>
      </c>
      <c r="B17" s="48" t="s">
        <v>18</v>
      </c>
      <c r="C17" s="48"/>
      <c r="D17" s="49">
        <f>SUM(D18)</f>
        <v>0</v>
      </c>
      <c r="E17" s="50"/>
      <c r="F17" s="51"/>
      <c r="G17" s="52"/>
      <c r="H17" s="49">
        <f>SUM(H18)</f>
        <v>0</v>
      </c>
      <c r="I17" s="50"/>
      <c r="J17" s="51"/>
      <c r="K17" s="3"/>
    </row>
    <row r="18" spans="1:12" s="11" customFormat="1" ht="15.6" x14ac:dyDescent="0.3">
      <c r="A18" s="33"/>
      <c r="B18" s="9"/>
      <c r="C18" s="9"/>
      <c r="D18" s="27">
        <f>E18+F18</f>
        <v>0</v>
      </c>
      <c r="E18" s="31">
        <v>0</v>
      </c>
      <c r="F18" s="31">
        <v>0</v>
      </c>
      <c r="G18" s="34"/>
      <c r="H18" s="27">
        <f>I18+J18</f>
        <v>0</v>
      </c>
      <c r="I18" s="31">
        <v>0</v>
      </c>
      <c r="J18" s="31">
        <v>0</v>
      </c>
      <c r="K18" s="10"/>
    </row>
    <row r="19" spans="1:12" ht="15.6" x14ac:dyDescent="0.3">
      <c r="A19" s="47">
        <v>4</v>
      </c>
      <c r="B19" s="53" t="s">
        <v>19</v>
      </c>
      <c r="C19" s="53"/>
      <c r="D19" s="49">
        <f>SUM(D20:D20)</f>
        <v>69779.8</v>
      </c>
      <c r="E19" s="50"/>
      <c r="F19" s="51"/>
      <c r="G19" s="52"/>
      <c r="H19" s="49">
        <f>SUM(H20:H20)</f>
        <v>0</v>
      </c>
      <c r="I19" s="50"/>
      <c r="J19" s="51"/>
      <c r="K19" s="3"/>
    </row>
    <row r="20" spans="1:12" ht="31.2" x14ac:dyDescent="0.3">
      <c r="A20" s="33"/>
      <c r="B20" s="26" t="s">
        <v>11</v>
      </c>
      <c r="C20" s="9"/>
      <c r="D20" s="27">
        <f>E20+F20</f>
        <v>69779.8</v>
      </c>
      <c r="E20" s="27">
        <v>69779.8</v>
      </c>
      <c r="F20" s="27">
        <v>0</v>
      </c>
      <c r="G20" s="34"/>
      <c r="H20" s="72">
        <f>I20+J20</f>
        <v>0</v>
      </c>
      <c r="I20" s="72"/>
      <c r="J20" s="27">
        <v>0</v>
      </c>
      <c r="K20" s="3" t="s">
        <v>56</v>
      </c>
    </row>
    <row r="21" spans="1:12" ht="36.6" customHeight="1" x14ac:dyDescent="0.3">
      <c r="A21" s="47">
        <v>5</v>
      </c>
      <c r="B21" s="48" t="s">
        <v>20</v>
      </c>
      <c r="C21" s="48"/>
      <c r="D21" s="49">
        <f>SUM(D22:D25)</f>
        <v>8955964.9499999993</v>
      </c>
      <c r="E21" s="50"/>
      <c r="F21" s="51"/>
      <c r="G21" s="52"/>
      <c r="H21" s="49">
        <f>SUM(H22:H25)</f>
        <v>8955964.9499999993</v>
      </c>
      <c r="I21" s="50"/>
      <c r="J21" s="51"/>
      <c r="K21" s="3"/>
    </row>
    <row r="22" spans="1:12" ht="45.6" customHeight="1" x14ac:dyDescent="0.3">
      <c r="A22" s="33"/>
      <c r="B22" s="26" t="s">
        <v>25</v>
      </c>
      <c r="C22" s="30" t="s">
        <v>24</v>
      </c>
      <c r="D22" s="27">
        <f>E22+F22</f>
        <v>8465713.1899999995</v>
      </c>
      <c r="E22" s="27">
        <v>0</v>
      </c>
      <c r="F22" s="27">
        <v>8465713.1899999995</v>
      </c>
      <c r="G22" s="34"/>
      <c r="H22" s="27">
        <f>I22+J22</f>
        <v>8465713.1899999995</v>
      </c>
      <c r="I22" s="27">
        <v>8465713.1899999995</v>
      </c>
      <c r="J22" s="27"/>
      <c r="K22" s="3" t="s">
        <v>58</v>
      </c>
    </row>
    <row r="23" spans="1:12" ht="15" customHeight="1" x14ac:dyDescent="0.3">
      <c r="A23" s="33"/>
      <c r="B23" s="26" t="s">
        <v>27</v>
      </c>
      <c r="C23" s="30" t="s">
        <v>26</v>
      </c>
      <c r="D23" s="27">
        <f>E23+F23</f>
        <v>307071.43</v>
      </c>
      <c r="E23" s="27">
        <v>0</v>
      </c>
      <c r="F23" s="27">
        <v>307071.43</v>
      </c>
      <c r="G23" s="34"/>
      <c r="H23" s="27">
        <f>I23+J23</f>
        <v>307071.43</v>
      </c>
      <c r="I23" s="27">
        <v>307071.43</v>
      </c>
      <c r="J23" s="27"/>
      <c r="K23" s="3" t="s">
        <v>58</v>
      </c>
    </row>
    <row r="24" spans="1:12" ht="18" customHeight="1" x14ac:dyDescent="0.3">
      <c r="A24" s="33"/>
      <c r="B24" s="26" t="s">
        <v>29</v>
      </c>
      <c r="C24" s="30" t="s">
        <v>28</v>
      </c>
      <c r="D24" s="27">
        <f>E24+F24</f>
        <v>76319.399999999994</v>
      </c>
      <c r="E24" s="27">
        <v>0</v>
      </c>
      <c r="F24" s="27">
        <v>76319.399999999994</v>
      </c>
      <c r="G24" s="34"/>
      <c r="H24" s="27">
        <f>I24+J24</f>
        <v>76319.399999999994</v>
      </c>
      <c r="I24" s="27">
        <v>76319.399999999994</v>
      </c>
      <c r="J24" s="27"/>
      <c r="K24" s="3" t="s">
        <v>58</v>
      </c>
    </row>
    <row r="25" spans="1:12" ht="18" customHeight="1" x14ac:dyDescent="0.3">
      <c r="A25" s="33"/>
      <c r="B25" s="26" t="s">
        <v>34</v>
      </c>
      <c r="C25" s="35"/>
      <c r="D25" s="27">
        <f>E25+F25</f>
        <v>106860.93</v>
      </c>
      <c r="E25" s="27">
        <v>0</v>
      </c>
      <c r="F25" s="27">
        <v>106860.93</v>
      </c>
      <c r="G25" s="34"/>
      <c r="H25" s="27">
        <f>I25+J25</f>
        <v>106860.93</v>
      </c>
      <c r="I25" s="27">
        <v>106860.93</v>
      </c>
      <c r="J25" s="27"/>
      <c r="K25" s="3" t="s">
        <v>58</v>
      </c>
    </row>
    <row r="26" spans="1:12" ht="15.6" x14ac:dyDescent="0.3">
      <c r="A26" s="54"/>
      <c r="B26" s="55" t="s">
        <v>52</v>
      </c>
      <c r="C26" s="55"/>
      <c r="D26" s="56">
        <f>D21+D19+D17+D15</f>
        <v>9025744.75</v>
      </c>
      <c r="E26" s="57"/>
      <c r="F26" s="58"/>
      <c r="G26" s="59"/>
      <c r="H26" s="56">
        <f>H21+H19+H17+H15</f>
        <v>8955964.9499999993</v>
      </c>
      <c r="I26" s="57"/>
      <c r="J26" s="58"/>
      <c r="K26" s="3"/>
    </row>
    <row r="27" spans="1:12" ht="15.6" x14ac:dyDescent="0.3">
      <c r="A27" s="54"/>
      <c r="B27" s="55" t="s">
        <v>21</v>
      </c>
      <c r="C27" s="55"/>
      <c r="D27" s="56">
        <f>D26-D13</f>
        <v>1309743.4100000001</v>
      </c>
      <c r="E27" s="57"/>
      <c r="F27" s="58"/>
      <c r="G27" s="59"/>
      <c r="H27" s="56">
        <f>H26-H13</f>
        <v>1239963.6099999994</v>
      </c>
      <c r="I27" s="57"/>
      <c r="J27" s="58"/>
      <c r="K27" s="3"/>
    </row>
    <row r="28" spans="1:12" ht="15.6" x14ac:dyDescent="0.3">
      <c r="A28" s="60"/>
      <c r="B28" s="61" t="s">
        <v>22</v>
      </c>
      <c r="C28" s="61"/>
      <c r="D28" s="62"/>
      <c r="E28" s="63"/>
      <c r="F28" s="64"/>
      <c r="G28" s="65"/>
      <c r="H28" s="62"/>
      <c r="I28" s="63"/>
      <c r="J28" s="64"/>
      <c r="K28" s="3"/>
    </row>
    <row r="29" spans="1:12" ht="15.6" x14ac:dyDescent="0.3">
      <c r="A29" s="37">
        <v>6</v>
      </c>
      <c r="B29" s="38" t="s">
        <v>35</v>
      </c>
      <c r="C29" s="18"/>
      <c r="D29" s="36">
        <f>SUM(D30:D38)</f>
        <v>3943779.64</v>
      </c>
      <c r="E29" s="19"/>
      <c r="F29" s="20"/>
      <c r="G29" s="21"/>
      <c r="H29" s="36">
        <f>SUM(H30:H38)</f>
        <v>3612987.27</v>
      </c>
      <c r="I29" s="19"/>
      <c r="J29" s="20"/>
      <c r="K29" s="3"/>
    </row>
    <row r="30" spans="1:12" ht="45.6" customHeight="1" x14ac:dyDescent="0.3">
      <c r="A30" s="12" t="s">
        <v>61</v>
      </c>
      <c r="B30" s="32" t="s">
        <v>36</v>
      </c>
      <c r="C30" s="30" t="s">
        <v>37</v>
      </c>
      <c r="D30" s="27">
        <f>E30*0.5+F30*0.8</f>
        <v>1971579.7350000001</v>
      </c>
      <c r="E30" s="27">
        <v>3943159.47</v>
      </c>
      <c r="F30" s="27"/>
      <c r="G30" s="28" t="s">
        <v>38</v>
      </c>
      <c r="H30" s="72">
        <f>I30*0.5+J30*0.8</f>
        <v>1893101.335</v>
      </c>
      <c r="I30" s="72">
        <v>3786202.67</v>
      </c>
      <c r="J30" s="27"/>
      <c r="K30" s="73" t="s">
        <v>57</v>
      </c>
      <c r="L30" s="3">
        <f>E30-I30</f>
        <v>156956.80000000028</v>
      </c>
    </row>
    <row r="31" spans="1:12" ht="57.6" x14ac:dyDescent="0.3">
      <c r="A31" s="12" t="s">
        <v>62</v>
      </c>
      <c r="B31" s="17" t="s">
        <v>39</v>
      </c>
      <c r="C31" s="15" t="s">
        <v>40</v>
      </c>
      <c r="D31" s="27">
        <f t="shared" ref="D31:D38" si="0">E31*0.5+F31*0.8</f>
        <v>108864.435</v>
      </c>
      <c r="E31" s="13">
        <v>217728.87</v>
      </c>
      <c r="F31" s="16"/>
      <c r="G31" s="22" t="s">
        <v>38</v>
      </c>
      <c r="H31" s="72">
        <f>I31*0.5+J31*0.8</f>
        <v>106550.465</v>
      </c>
      <c r="I31" s="72">
        <f>83819.93+19212+36242.05+41436.75+27785.57+1184.63+3420</f>
        <v>213100.93</v>
      </c>
      <c r="J31" s="16"/>
      <c r="K31" s="73" t="s">
        <v>70</v>
      </c>
      <c r="L31" s="3">
        <f>E31-I31</f>
        <v>4627.9400000000023</v>
      </c>
    </row>
    <row r="32" spans="1:12" ht="18.600000000000001" customHeight="1" x14ac:dyDescent="0.3">
      <c r="A32" s="12" t="s">
        <v>59</v>
      </c>
      <c r="B32" s="7" t="s">
        <v>43</v>
      </c>
      <c r="C32" s="15" t="s">
        <v>30</v>
      </c>
      <c r="D32" s="27">
        <f t="shared" si="0"/>
        <v>497461</v>
      </c>
      <c r="E32" s="13">
        <v>994922</v>
      </c>
      <c r="F32" s="16"/>
      <c r="G32" s="29" t="s">
        <v>41</v>
      </c>
      <c r="H32" s="27">
        <f t="shared" ref="H32:H38" si="1">I32*0.5+J32*0.8</f>
        <v>497461</v>
      </c>
      <c r="I32" s="13">
        <v>994922</v>
      </c>
      <c r="J32" s="16"/>
      <c r="K32" s="3"/>
    </row>
    <row r="33" spans="1:11" ht="15.6" x14ac:dyDescent="0.3">
      <c r="A33" s="12" t="s">
        <v>60</v>
      </c>
      <c r="B33" s="7" t="s">
        <v>44</v>
      </c>
      <c r="C33" s="15" t="s">
        <v>31</v>
      </c>
      <c r="D33" s="27">
        <f t="shared" si="0"/>
        <v>200744.035</v>
      </c>
      <c r="E33" s="13">
        <v>401488.07</v>
      </c>
      <c r="F33" s="16"/>
      <c r="G33" s="29" t="s">
        <v>41</v>
      </c>
      <c r="H33" s="27">
        <f t="shared" si="1"/>
        <v>200744.035</v>
      </c>
      <c r="I33" s="13">
        <v>401488.07</v>
      </c>
      <c r="J33" s="16"/>
      <c r="K33" s="3"/>
    </row>
    <row r="34" spans="1:11" ht="15.6" x14ac:dyDescent="0.3">
      <c r="A34" s="12" t="s">
        <v>66</v>
      </c>
      <c r="B34" s="7" t="s">
        <v>44</v>
      </c>
      <c r="C34" s="15" t="s">
        <v>32</v>
      </c>
      <c r="D34" s="27">
        <f t="shared" si="0"/>
        <v>200744.035</v>
      </c>
      <c r="E34" s="13">
        <v>401488.07</v>
      </c>
      <c r="F34" s="16"/>
      <c r="G34" s="29" t="s">
        <v>41</v>
      </c>
      <c r="H34" s="27">
        <f t="shared" si="1"/>
        <v>200744.035</v>
      </c>
      <c r="I34" s="13">
        <v>401488.07</v>
      </c>
      <c r="J34" s="16"/>
      <c r="K34" s="12"/>
    </row>
    <row r="35" spans="1:11" ht="15.6" x14ac:dyDescent="0.3">
      <c r="A35" s="12" t="s">
        <v>67</v>
      </c>
      <c r="B35" s="17" t="s">
        <v>12</v>
      </c>
      <c r="C35" s="15"/>
      <c r="D35" s="27">
        <f t="shared" si="0"/>
        <v>35000</v>
      </c>
      <c r="E35" s="13">
        <v>70000</v>
      </c>
      <c r="F35" s="16"/>
      <c r="G35" s="29" t="s">
        <v>41</v>
      </c>
      <c r="H35" s="27">
        <f t="shared" si="1"/>
        <v>35000</v>
      </c>
      <c r="I35" s="13">
        <v>70000</v>
      </c>
      <c r="J35" s="16"/>
      <c r="K35" s="3"/>
    </row>
    <row r="36" spans="1:11" ht="15.6" x14ac:dyDescent="0.3">
      <c r="A36" s="12" t="s">
        <v>63</v>
      </c>
      <c r="B36" s="17" t="s">
        <v>45</v>
      </c>
      <c r="C36" s="15" t="s">
        <v>46</v>
      </c>
      <c r="D36" s="27">
        <f t="shared" si="0"/>
        <v>525250</v>
      </c>
      <c r="E36" s="13">
        <v>1050500</v>
      </c>
      <c r="F36" s="16"/>
      <c r="G36" s="29" t="s">
        <v>42</v>
      </c>
      <c r="H36" s="27">
        <f t="shared" si="1"/>
        <v>525250</v>
      </c>
      <c r="I36" s="13">
        <v>1050500</v>
      </c>
      <c r="J36" s="16"/>
      <c r="K36" s="3"/>
    </row>
    <row r="37" spans="1:11" ht="15.6" x14ac:dyDescent="0.3">
      <c r="A37" s="12" t="s">
        <v>68</v>
      </c>
      <c r="B37" s="17" t="s">
        <v>47</v>
      </c>
      <c r="C37" s="15" t="s">
        <v>33</v>
      </c>
      <c r="D37" s="27">
        <f t="shared" si="0"/>
        <v>154136.4</v>
      </c>
      <c r="E37" s="13">
        <v>308272.8</v>
      </c>
      <c r="F37" s="16"/>
      <c r="G37" s="29" t="s">
        <v>42</v>
      </c>
      <c r="H37" s="27">
        <f t="shared" si="1"/>
        <v>154136.4</v>
      </c>
      <c r="I37" s="13">
        <v>308272.8</v>
      </c>
      <c r="J37" s="16"/>
      <c r="K37" s="3" t="s">
        <v>69</v>
      </c>
    </row>
    <row r="38" spans="1:11" ht="15.6" x14ac:dyDescent="0.3">
      <c r="A38" s="12" t="s">
        <v>64</v>
      </c>
      <c r="B38" s="17" t="s">
        <v>51</v>
      </c>
      <c r="C38" s="15"/>
      <c r="D38" s="27">
        <f t="shared" si="0"/>
        <v>250000</v>
      </c>
      <c r="E38" s="13">
        <v>500000</v>
      </c>
      <c r="F38" s="16"/>
      <c r="G38" s="29"/>
      <c r="H38" s="27">
        <f t="shared" si="1"/>
        <v>0</v>
      </c>
      <c r="I38" s="13"/>
      <c r="J38" s="16"/>
      <c r="K38" s="3" t="s">
        <v>65</v>
      </c>
    </row>
    <row r="39" spans="1:11" ht="15.6" x14ac:dyDescent="0.3">
      <c r="A39" s="60"/>
      <c r="B39" s="67" t="s">
        <v>48</v>
      </c>
      <c r="C39" s="66"/>
      <c r="D39" s="68">
        <f>D29</f>
        <v>3943779.64</v>
      </c>
      <c r="E39" s="63"/>
      <c r="F39" s="64"/>
      <c r="G39" s="65"/>
      <c r="H39" s="68">
        <f>H29</f>
        <v>3612987.27</v>
      </c>
      <c r="I39" s="63"/>
      <c r="J39" s="64"/>
      <c r="K39" s="3"/>
    </row>
    <row r="40" spans="1:11" ht="15.6" x14ac:dyDescent="0.3">
      <c r="A40" s="60"/>
      <c r="B40" s="67" t="s">
        <v>49</v>
      </c>
      <c r="C40" s="66"/>
      <c r="D40" s="69">
        <f>D39+D27</f>
        <v>5253523.0500000007</v>
      </c>
      <c r="E40" s="64"/>
      <c r="F40" s="64"/>
      <c r="G40" s="76"/>
      <c r="H40" s="69">
        <f>H39+H27</f>
        <v>4852950.879999999</v>
      </c>
      <c r="I40" s="77"/>
      <c r="J40" s="64"/>
    </row>
    <row r="41" spans="1:11" x14ac:dyDescent="0.3">
      <c r="G41" t="s">
        <v>71</v>
      </c>
      <c r="H41" s="78">
        <f>-H27</f>
        <v>-1239963.6099999994</v>
      </c>
    </row>
    <row r="42" spans="1:11" x14ac:dyDescent="0.3">
      <c r="G42" t="s">
        <v>72</v>
      </c>
      <c r="H42" s="79">
        <f>H40+H41</f>
        <v>3612987.2699999996</v>
      </c>
    </row>
    <row r="44" spans="1:11" x14ac:dyDescent="0.3">
      <c r="H44" s="75"/>
    </row>
  </sheetData>
  <mergeCells count="15">
    <mergeCell ref="H10:H11"/>
    <mergeCell ref="I10:J10"/>
    <mergeCell ref="C10:C11"/>
    <mergeCell ref="A1:B1"/>
    <mergeCell ref="A2:B2"/>
    <mergeCell ref="A3:B3"/>
    <mergeCell ref="A4:D4"/>
    <mergeCell ref="A5:D5"/>
    <mergeCell ref="A6:G6"/>
    <mergeCell ref="A9:G9"/>
    <mergeCell ref="A10:A11"/>
    <mergeCell ref="B10:B11"/>
    <mergeCell ref="D10:D11"/>
    <mergeCell ref="E10:F10"/>
    <mergeCell ref="G10:G11"/>
  </mergeCells>
  <phoneticPr fontId="3" type="noConversion"/>
  <pageMargins left="0.11811023622047245" right="0.11811023622047245" top="0.15748031496062992" bottom="0.15748031496062992" header="0.31496062992125984" footer="0.31496062992125984"/>
  <pageSetup paperSize="9" scale="51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Серпень</vt:lpstr>
      <vt:lpstr>Липень </vt:lpstr>
      <vt:lpstr>Червень</vt:lpstr>
      <vt:lpstr>Травень</vt:lpstr>
      <vt:lpstr>Квітень</vt:lpstr>
      <vt:lpstr>Березень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2024-08-12T08:12:21Z</cp:lastPrinted>
  <dcterms:created xsi:type="dcterms:W3CDTF">2020-08-31T06:33:08Z</dcterms:created>
  <dcterms:modified xsi:type="dcterms:W3CDTF">2024-08-20T14:59:15Z</dcterms:modified>
</cp:coreProperties>
</file>
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28680" yWindow="-120" windowWidth="23256" windowHeight="13176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10 акт переносится" sheetId="25" state="hidden" r:id="rId6"/>
    <sheet name="материал Ладижин" sheetId="26" state="hidden" r:id="rId7"/>
    <sheet name="Пожарка подрядчик" sheetId="17" state="hidden" r:id="rId8"/>
    <sheet name="Лист1" sheetId="15" state="hidden" r:id="rId9"/>
  </sheets>
  <definedNames>
    <definedName name="_xlnm._FilterDatabase" localSheetId="5" hidden="1">'10 акт переносится'!$A$7:$AD$31</definedName>
    <definedName name="_xlnm._FilterDatabase" localSheetId="6" hidden="1">'материал Ладижин'!$A$5:$E$24</definedName>
    <definedName name="_xlnm._FilterDatabase" localSheetId="0" hidden="1">ноябрь!$A$15:$N$19</definedName>
    <definedName name="_xlnm._FilterDatabase" localSheetId="7" hidden="1">'Пожарка подрядчик'!$A$4:$H$17</definedName>
    <definedName name="_xlnm._FilterDatabase" localSheetId="3" hidden="1">'Реєстр ДЦ '!$A$7:$I$7</definedName>
    <definedName name="_xlnm._FilterDatabase" localSheetId="4" hidden="1">РеєстрАВР!$A$5:$AL$89</definedName>
    <definedName name="_xlnm.Print_Area" localSheetId="5">'10 акт переносится'!$A$2:$Y$72</definedName>
    <definedName name="_xlnm.Print_Area" localSheetId="6">'материал Ладижин'!$A$2:$C$59</definedName>
    <definedName name="_xlnm.Print_Area" localSheetId="0">ноябрь!$A$1:$I$27</definedName>
    <definedName name="_xlnm.Print_Area" localSheetId="7">'Пожарка подрядчик'!$A$1:$F$23</definedName>
    <definedName name="_xlnm.Print_Area" localSheetId="2">'Реєстр АВР'!$A$1:$P$18</definedName>
    <definedName name="_xlnm.Print_Area" localSheetId="3">'Реєстр ДЦ '!$A$2:$I$58</definedName>
    <definedName name="_xlnm.Print_Area" localSheetId="4">РеєстрАВР!$A$1:$K$89</definedName>
  </definedNames>
  <calcPr calcId="145621"/>
</workbook>
</file>

<file path=xl/calcChain.xml><?xml version="1.0" encoding="utf-8"?>
<calcChain xmlns="http://schemas.openxmlformats.org/spreadsheetml/2006/main">
  <c r="C86" i="27" l="1"/>
  <c r="H89" i="27" l="1"/>
  <c r="G89" i="27"/>
  <c r="F89" i="27"/>
  <c r="F90" i="27" l="1"/>
  <c r="C89" i="27"/>
  <c r="C58" i="22"/>
  <c r="E58" i="22" l="1"/>
  <c r="E66" i="27" l="1"/>
  <c r="E11" i="27" l="1"/>
  <c r="E18" i="27"/>
  <c r="E39" i="27"/>
  <c r="E40" i="27"/>
  <c r="E70" i="27"/>
  <c r="E38" i="27" l="1"/>
  <c r="E61" i="27" l="1"/>
  <c r="E58" i="27" l="1"/>
  <c r="E36" i="27" l="1"/>
  <c r="C90" i="27" l="1"/>
  <c r="H90" i="27"/>
  <c r="G90" i="27"/>
  <c r="E85" i="27"/>
  <c r="E84" i="27"/>
  <c r="E78" i="27"/>
  <c r="E77" i="27"/>
  <c r="E76" i="27"/>
  <c r="E75" i="27"/>
  <c r="E74" i="27"/>
  <c r="E73" i="27"/>
  <c r="E72" i="27"/>
  <c r="E69" i="27"/>
  <c r="E68" i="27"/>
  <c r="E67" i="27"/>
  <c r="E65" i="27"/>
  <c r="E64" i="27"/>
  <c r="E63" i="27"/>
  <c r="E62" i="27"/>
  <c r="E60" i="27"/>
  <c r="E59" i="27"/>
  <c r="E57" i="27"/>
  <c r="E56" i="27"/>
  <c r="E55" i="27"/>
  <c r="E54" i="27"/>
  <c r="E52" i="27"/>
  <c r="E51" i="27"/>
  <c r="E50" i="27"/>
  <c r="E49" i="27"/>
  <c r="E48" i="27"/>
  <c r="E47" i="27"/>
  <c r="E46" i="27"/>
  <c r="E37" i="27"/>
  <c r="E35" i="27"/>
  <c r="E33" i="27"/>
  <c r="E32" i="27"/>
  <c r="E31" i="27"/>
  <c r="E30" i="27"/>
  <c r="E29" i="27"/>
  <c r="E27" i="27"/>
  <c r="E26" i="27"/>
  <c r="E25" i="27"/>
  <c r="E24" i="27"/>
  <c r="E23" i="27"/>
  <c r="E22" i="27"/>
  <c r="E21" i="27"/>
  <c r="E19" i="27"/>
  <c r="E17" i="27"/>
  <c r="E16" i="27"/>
  <c r="E15" i="27"/>
  <c r="E10" i="27"/>
  <c r="E8" i="27"/>
  <c r="E7" i="27"/>
  <c r="E6" i="27"/>
  <c r="F58" i="22" l="1"/>
  <c r="C12" i="22" l="1"/>
  <c r="C20" i="22" l="1"/>
  <c r="C21" i="22"/>
  <c r="C22" i="22"/>
  <c r="D58" i="22" l="1"/>
  <c r="C19" i="22" l="1"/>
  <c r="C16" i="22" l="1"/>
  <c r="C15" i="22"/>
  <c r="C18" i="22" l="1"/>
  <c r="C14" i="22" l="1"/>
  <c r="C13" i="22" l="1"/>
  <c r="C11" i="22" l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<sst xmlns="http://schemas.openxmlformats.org/spreadsheetml/2006/main" count="998" uniqueCount="366">
  <si>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</si>
  <si>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</si>
  <si>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</si>
  <si>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</si>
  <si>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</si>
  <si>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</si>
  <si>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</si>
  <si>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</si>
  <si>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</si>
  <si>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</si>
  <si>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</si>
  <si>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</si>
  <si>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</si>
  <si>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</si>
  <si>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</si>
  <si>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</si>
  <si>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</si>
  <si>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</si>
  <si>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</si>
  <si>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</si>
  <si>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</si>
  <si>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</si>
  <si>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</si>
  <si>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</si>
  <si>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</si>
  <si>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</si>
  <si>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</si>
  <si>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</si>
  <si>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</si>
  <si>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</si>
  <si>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</si>
  <si>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</si>
  <si>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</si>
  <si>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</si>
  <si>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</si>
  <si>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</si>
  <si>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</si>
  <si>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</si>
  <si>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</si>
  <si>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</si>
  <si>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</si>
  <si>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</si>
  <si>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</si>
  <si>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</si>
  <si>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</si>
  <si>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</si>
  <si>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</si>
  <si>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</si>
  <si>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</si>
  <si>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</si>
  <si>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</si>
  <si>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</si>
  <si>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</si>
  <si>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</si>
  <si>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</si>
  <si>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</si>
  <si>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</si>
  <si>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</si>
  <si>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</si>
  <si>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</si>
  <si>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</si>
  <si>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</si>
  <si>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</si>
  <si>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</si>
  <si>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</si>
  <si>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</si>
  <si>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</si>
  <si>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</si>
  <si>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</si>
  <si>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</si>
  <si>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</si>
  <si>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</si>
  <si>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</si>
  <si>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</si>
  <si>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</si>
  <si>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</si>
  <si>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</si>
  <si>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</si>
  <si>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</si>
  <si>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</si>
  <si>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</si>
  <si>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</si>
  <si>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</si>
  <si>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</si>
  <si>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</si>
  <si>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</si>
  <si>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</si>
  <si>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</si>
  <si>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</si>
  <si>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</si>
  <si>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</si>
  <si>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</si>
  <si>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</si>
  <si>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</si>
  <si>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</si>
  <si>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</si>
  <si>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</si>
  <si>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</si>
  <si>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</si>
  <si>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</si>
  <si>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</si>
  <si>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</si>
  <si>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</si>
  <si>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</si>
  <si>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</si>
  <si>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</si>
  <si>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</si>
  <si>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</si>
  <si>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</si>
  <si>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</si>
  <si>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</si>
  <si>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</si>
  <si>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</si>
  <si>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</si>
  <si>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</si>
  <si>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</si>
  <si>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</si>
  <si>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</si>
  <si>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</si>
  <si>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</si>
  <si>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</si>
  <si>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</si>
  <si>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</si>
  <si>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</si>
  <si>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</si>
  <si>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</si>
  <si>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</si>
  <si>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</si>
  <si>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</si>
  <si>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</si>
  <si>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</si>
  <si>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</si>
  <si>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</si>
  <si>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</si>
  <si>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</si>
  <si>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</si>
  <si>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</si>
  <si>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</si>
  <si>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</si>
  <si>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</si>
  <si>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</si>
  <si>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</si>
  <si>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</si>
  <si>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</si>
  <si>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</si>
  <si>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</si>
  <si>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</si>
  <si>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</si>
  <si>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</si>
  <si>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</si>
  <si>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</si>
  <si>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</si>
  <si>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</si>
  <si>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</si>
  <si>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</si>
  <si>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</si>
  <si>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</si>
  <si>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</si>
  <si>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</si>
  <si>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</si>
  <si>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</si>
  <si>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</si>
  <si>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</si>
  <si>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</si>
  <si>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</si>
  <si>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</si>
  <si>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</si>
  <si>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</si>
  <si>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</si>
  <si>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</si>
  <si>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</si>
  <si>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</si>
  <si>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</si>
  <si>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</si>
  <si>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</si>
  <si>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</si>
  <si>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</si>
  <si>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</si>
  <si>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</si>
  <si>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</si>
  <si>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</si>
  <si>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</si>
  <si>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</si>
  <si>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</si>
  <si>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</si>
  <si>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</si>
  <si>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Демонтаж маслобаку</t>
  </si>
  <si>
    <t>Собівартість, грн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</si>
  <si>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</si>
  <si>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</si>
  <si>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</si>
  <si>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</si>
  <si>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</si>
  <si>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</si>
  <si>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310-2024-13-КБ Градирня</t>
  </si>
  <si>
    <t>310-66.3- КБ-Р-Транспортна галерея</t>
  </si>
  <si>
    <t xml:space="preserve">310-66-2-КМ-Норія </t>
  </si>
  <si>
    <t>310-66.3-КМ-Транспортна галерея</t>
  </si>
  <si>
    <t xml:space="preserve">310-66-2-КБ-Р Норійна вежа </t>
  </si>
  <si>
    <t>Деф.акт-Ескіз фундаментної основи під ємність д.12500 та д.8500 мм</t>
  </si>
  <si>
    <t>Деф. акт- Демонтажні робіти по пожводопровіду</t>
  </si>
  <si>
    <t>07 03 2024</t>
  </si>
  <si>
    <t>Орігінал в офісі</t>
  </si>
  <si>
    <t>Подано на Замовника</t>
  </si>
  <si>
    <t>Всього по ДЦ  з ПДВ, грн</t>
  </si>
  <si>
    <t xml:space="preserve"> Реєстр актів виконаних робіт по об'єкту "Реконструкція олійноекстракційного заводу на території ПрАТ «Ніжинський жиркомбінат» за адресою: Чернігівська область м. Ніжин вул. Прилуцька, 2"</t>
  </si>
  <si>
    <t>310-11.2-КБ-Р-Склад олії; V=2000м3</t>
  </si>
  <si>
    <t>310-11.3-КБ-Р-Склад олії; V=2000м3</t>
  </si>
  <si>
    <t>№6.1</t>
  </si>
  <si>
    <t>№6.2</t>
  </si>
  <si>
    <t>№6.3</t>
  </si>
  <si>
    <t xml:space="preserve">310-11.1-КБ-Р-Склад олії; V=4000м3
</t>
  </si>
  <si>
    <t>13 03 2024</t>
  </si>
  <si>
    <t>Влаштування додаткової основи з щебня</t>
  </si>
  <si>
    <t>Почасовка</t>
  </si>
  <si>
    <t>310-10-КБ-Р-Ділянка експандування</t>
  </si>
  <si>
    <t xml:space="preserve">310-10-ТХ-П-Ділянка експандування макухи </t>
  </si>
  <si>
    <t>310-ЗВК-Р</t>
  </si>
  <si>
    <t>АКТИ</t>
  </si>
  <si>
    <t>18 03 2024</t>
  </si>
  <si>
    <t>21 03 2024</t>
  </si>
  <si>
    <t>№20</t>
  </si>
  <si>
    <t>№21</t>
  </si>
  <si>
    <t>№22</t>
  </si>
  <si>
    <t>№25</t>
  </si>
  <si>
    <t>№26</t>
  </si>
  <si>
    <t>Дефектовка на демонтаж градирні</t>
  </si>
  <si>
    <t>Дефектовка на демонтаж дорожнього покриття</t>
  </si>
  <si>
    <t>Дефектовка на розроблення та перевезення піску, демонтаж фундаментів</t>
  </si>
  <si>
    <t xml:space="preserve">310-10-АР-П- Ділянка експандування макухи </t>
  </si>
  <si>
    <t>№29</t>
  </si>
  <si>
    <t>Дефектовка на влаштування основи під протипожежний резервуар</t>
  </si>
  <si>
    <t>310-11.4-КБ-Р-Підпірна стінка (склад олії)</t>
  </si>
  <si>
    <t>ГП310-3-ГП-П- Ніжин Model Благоустрій</t>
  </si>
  <si>
    <t>310-13-ТХ-Ніжин Градирня</t>
  </si>
  <si>
    <t>№27</t>
  </si>
  <si>
    <t>№30</t>
  </si>
  <si>
    <t>№31</t>
  </si>
  <si>
    <t>№32</t>
  </si>
  <si>
    <t>№33</t>
  </si>
  <si>
    <t>№34</t>
  </si>
  <si>
    <t>310-10-КМ-Р- Ділянка експандування</t>
  </si>
  <si>
    <t>05 04 2024</t>
  </si>
  <si>
    <t>№15.1</t>
  </si>
  <si>
    <t>№15.2</t>
  </si>
  <si>
    <t>№23</t>
  </si>
  <si>
    <t>Монтаж Градирні</t>
  </si>
  <si>
    <t>Дефектовка на тимчасові дороги (під наш кран РДК 250)</t>
  </si>
  <si>
    <t>Дефектовка на тимчасові дороги (кран замовника)</t>
  </si>
  <si>
    <t>Оригінал в офісі</t>
  </si>
  <si>
    <t xml:space="preserve">№9 </t>
  </si>
  <si>
    <t>10 04 2024</t>
  </si>
  <si>
    <t>№24.1</t>
  </si>
  <si>
    <t>№24.2.1</t>
  </si>
  <si>
    <t xml:space="preserve">Гідроізоляція Градирні </t>
  </si>
  <si>
    <t>Гідроізоляція Силосу 5.1.5</t>
  </si>
  <si>
    <t>Гідроізоляція Силосу 5.1.6</t>
  </si>
  <si>
    <t>Гідроізоляція Силосу 5.1.7</t>
  </si>
  <si>
    <t>№24.2.2</t>
  </si>
  <si>
    <t>№24.2.3</t>
  </si>
  <si>
    <t>№24.2.4</t>
  </si>
  <si>
    <t>Гідроізоляція Норії</t>
  </si>
  <si>
    <t>№28</t>
  </si>
  <si>
    <t>12 04 2024</t>
  </si>
  <si>
    <t>№4.1</t>
  </si>
  <si>
    <t>Нарощення опор Градирні</t>
  </si>
  <si>
    <t>310-66.2-АР-Р  Норія</t>
  </si>
  <si>
    <t>Всього, грн з ПДВ</t>
  </si>
  <si>
    <t xml:space="preserve"> Реєстр ДЦ  по об'єкту "Реконструкція олійноекстракційного заводу на території ПрАТ «Ніжинський жиркомбінат» за адресою: Чернігівська область м. Ніжин вул. Прилуцька, 2"</t>
  </si>
  <si>
    <t>26 04 2024</t>
  </si>
  <si>
    <t xml:space="preserve">ТХ Монтаж транспортоного обладнання </t>
  </si>
  <si>
    <t>Влаштування фундаметнів та насоси в насосній станції олії</t>
  </si>
  <si>
    <t>№24.3</t>
  </si>
  <si>
    <t>310-66.2-АР-Р  Норія (автоприйом)</t>
  </si>
  <si>
    <t>01 05 2024</t>
  </si>
  <si>
    <t>310-11.5-АБ-Р-Естакада</t>
  </si>
  <si>
    <t>Тимчасові опори під олієпровід</t>
  </si>
  <si>
    <t>№24</t>
  </si>
  <si>
    <t>03 05 2024</t>
  </si>
  <si>
    <t>Майданчик для монтажних робіт корпусу Градірні</t>
  </si>
  <si>
    <t xml:space="preserve"> Монтаж транспортоного обладнання </t>
  </si>
  <si>
    <t>10 05 2024</t>
  </si>
  <si>
    <t>Демонтаж фундаменту бака олії №10</t>
  </si>
  <si>
    <t xml:space="preserve">№12.1 </t>
  </si>
  <si>
    <t>20 05 2024</t>
  </si>
  <si>
    <t>№35</t>
  </si>
  <si>
    <t>№15.3</t>
  </si>
  <si>
    <t>Демонтаж тимчасові дороги 15.2</t>
  </si>
  <si>
    <t>24 05 2024</t>
  </si>
  <si>
    <t>№36</t>
  </si>
  <si>
    <t>310-2020-5.1.7-КБ-Р-Силос металевий для зберігання насіння</t>
  </si>
  <si>
    <t>310-2020-5.1.6-КБ-Р-Силос металевий для зберігання насіння</t>
  </si>
  <si>
    <t>310-2020-5.1.5-КБ-Р-Силос металевий для зберігання насіння</t>
  </si>
  <si>
    <t>№3.5.1.5</t>
  </si>
  <si>
    <t>№3.5.1.6</t>
  </si>
  <si>
    <t>№3.5.1.7</t>
  </si>
  <si>
    <t>04 06 2024</t>
  </si>
  <si>
    <t>Додаткові роботи по ТХ Градирні</t>
  </si>
  <si>
    <t>07 06 2024</t>
  </si>
  <si>
    <t>12 06 2024</t>
  </si>
  <si>
    <t>Вимощення Градирні</t>
  </si>
  <si>
    <t>№37</t>
  </si>
  <si>
    <t>№38</t>
  </si>
  <si>
    <t>№39</t>
  </si>
  <si>
    <t>болти ?</t>
  </si>
  <si>
    <t>№40</t>
  </si>
  <si>
    <t>№41</t>
  </si>
  <si>
    <t>Перевезення щебеня на 1 км</t>
  </si>
  <si>
    <t>№42</t>
  </si>
  <si>
    <t>21 06 2024</t>
  </si>
  <si>
    <t>№43</t>
  </si>
  <si>
    <t>24 06 2024</t>
  </si>
  <si>
    <t>ДЦ у відділі ВТВ</t>
  </si>
  <si>
    <t>АВР у відділі ВТВ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</si>
  <si>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</si>
  <si>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</si>
  <si>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>заповнюємо колонку коментарі з датою коли буде оригінал</t>
  </si>
  <si>
    <t>списання так/ні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</si>
  <si>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</si>
  <si>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зауваження до ССДЦ якщо є і на кому затримка в погодженні</t>
  </si>
  <si>
    <t>заповнюємо колонку коли замовник обіцяє погодити, зауваження якщо є</t>
  </si>
  <si>
    <t>не заповнюємо колонку коментарі</t>
  </si>
  <si>
    <t>так</t>
  </si>
  <si>
    <t xml:space="preserve">5 1 6  - </t>
  </si>
  <si>
    <t>5 1 7  -</t>
  </si>
  <si>
    <t>5 1 5  -</t>
  </si>
  <si>
    <t>не буде?,наші витрати, відпр в бум</t>
  </si>
  <si>
    <t>27 06 2024</t>
  </si>
  <si>
    <t>№44</t>
  </si>
  <si>
    <t>№45</t>
  </si>
  <si>
    <t>Аренда техніки від 14.05.2024</t>
  </si>
  <si>
    <t>Аренда техніки від 14.05.2025</t>
  </si>
  <si>
    <t>№46</t>
  </si>
  <si>
    <t>№47</t>
  </si>
  <si>
    <t>№48</t>
  </si>
  <si>
    <t>№49</t>
  </si>
  <si>
    <t>310-2023-10-КМ- Виносна площадка</t>
  </si>
  <si>
    <t>15 07 2024</t>
  </si>
  <si>
    <t>№50</t>
  </si>
  <si>
    <t>№51</t>
  </si>
  <si>
    <t>№52</t>
  </si>
  <si>
    <t>№53</t>
  </si>
  <si>
    <t>№54</t>
  </si>
  <si>
    <t>№55</t>
  </si>
  <si>
    <t>№56</t>
  </si>
  <si>
    <t>№57</t>
  </si>
  <si>
    <t>№58</t>
  </si>
  <si>
    <t>№59</t>
  </si>
  <si>
    <t>№60</t>
  </si>
  <si>
    <t>№61</t>
  </si>
  <si>
    <t>26 07 2024</t>
  </si>
  <si>
    <t>ні</t>
  </si>
  <si>
    <t>Не буде, Віканов попросив відразу вкл до АВР, закрит</t>
  </si>
  <si>
    <t>Демонтаж бетона для влаштування фундамента ФМ-1 опори транспортної галереї</t>
  </si>
  <si>
    <t>2 08 2024</t>
  </si>
  <si>
    <t>№62</t>
  </si>
  <si>
    <t>07 08 2024</t>
  </si>
  <si>
    <t>у Діми для погодж об'ємів</t>
  </si>
  <si>
    <t>Вимощення на залізничних коліях</t>
  </si>
  <si>
    <t>№63</t>
  </si>
  <si>
    <t>Надання послуг спецтехніки</t>
  </si>
  <si>
    <t>№66</t>
  </si>
  <si>
    <t>03 08 2024</t>
  </si>
  <si>
    <t>09 08 2024</t>
  </si>
  <si>
    <t>Норія</t>
  </si>
  <si>
    <t>12 08 2024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</si>
</sst>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-* #,##0.00_₴_-;\-* #,##0.00_₴_-;_-* &quot;-&quot;??_₴_-;_-@_-"/>
    <numFmt numFmtId="164" formatCode="_-* #,##0.00\ _₽_-;\-* #,##0.00\ _₽_-;_-* &quot;-&quot;??\ _₽_-;_-@_-"/>
    <numFmt numFmtId="165" formatCode="_-* #,##0.00\ _₴_-;\-* #,##0.00\ _₴_-;_-* &quot;-&quot;??\ 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  <numFmt numFmtId="176" formatCode="\№0"/>
    <numFmt numFmtId="177" formatCode="\№0.0"/>
  </numFmts>
  <fonts count="55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9"/>
      <color rgb="FFFF0000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5">
    <xf numFmtId="0" fontId="0" fillId="0" borderId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</cellStyleXfs>
  <cellXfs count="900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43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43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43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43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43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43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43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43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43" fontId="9" fillId="0" borderId="0" xfId="10" applyFont="1" applyFill="1" applyBorder="1" applyAlignment="1">
      <alignment horizontal="center" vertical="center"/>
    </xf>
    <xf numFmtId="43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43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5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43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5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43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5" fontId="37" fillId="10" borderId="2" xfId="20" applyNumberFormat="1" applyFont="1" applyFill="1" applyBorder="1" applyAlignment="1">
      <alignment horizontal="left" vertical="center"/>
    </xf>
    <xf numFmtId="165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5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43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5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43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164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43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43" fontId="37" fillId="0" borderId="0" xfId="20" applyNumberFormat="1" applyFont="1" applyAlignment="1">
      <alignment horizontal="center" vertical="center"/>
    </xf>
    <xf numFmtId="43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5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5" fontId="37" fillId="0" borderId="2" xfId="20" applyNumberFormat="1" applyFont="1" applyBorder="1" applyAlignment="1">
      <alignment horizontal="left" vertical="center"/>
    </xf>
    <xf numFmtId="165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5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5" fontId="37" fillId="0" borderId="1" xfId="20" applyNumberFormat="1" applyFont="1" applyBorder="1" applyAlignment="1">
      <alignment horizontal="left" vertical="center"/>
    </xf>
    <xf numFmtId="43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43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5" fontId="38" fillId="0" borderId="0" xfId="21" applyNumberFormat="1" applyFont="1" applyFill="1" applyBorder="1" applyAlignment="1">
      <alignment vertical="center"/>
    </xf>
    <xf numFmtId="165" fontId="37" fillId="10" borderId="1" xfId="20" applyNumberFormat="1" applyFont="1" applyFill="1" applyBorder="1" applyAlignment="1">
      <alignment horizontal="left" vertical="center"/>
    </xf>
    <xf numFmtId="165" fontId="37" fillId="0" borderId="12" xfId="20" applyNumberFormat="1" applyFont="1" applyBorder="1" applyAlignment="1">
      <alignment horizontal="center" vertical="center"/>
    </xf>
    <xf numFmtId="165" fontId="37" fillId="0" borderId="56" xfId="20" applyNumberFormat="1" applyFont="1" applyBorder="1" applyAlignment="1">
      <alignment horizontal="center" vertical="center"/>
    </xf>
    <xf numFmtId="165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5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5" fontId="38" fillId="0" borderId="47" xfId="20" applyNumberFormat="1" applyFont="1" applyBorder="1" applyAlignment="1">
      <alignment horizontal="center" vertical="center"/>
    </xf>
    <xf numFmtId="165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5" fontId="43" fillId="0" borderId="1" xfId="20" applyNumberFormat="1" applyFont="1" applyBorder="1" applyAlignment="1">
      <alignment horizontal="center" vertical="center"/>
    </xf>
    <xf numFmtId="165" fontId="43" fillId="0" borderId="12" xfId="20" applyNumberFormat="1" applyFont="1" applyBorder="1" applyAlignment="1">
      <alignment horizontal="center" vertical="center"/>
    </xf>
    <xf numFmtId="165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5" fontId="37" fillId="0" borderId="0" xfId="20" applyNumberFormat="1" applyFont="1" applyAlignment="1">
      <alignment horizontal="center" vertical="center"/>
    </xf>
    <xf numFmtId="165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5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43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43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5" fontId="38" fillId="10" borderId="64" xfId="20" applyNumberFormat="1" applyFont="1" applyFill="1" applyBorder="1" applyAlignment="1">
      <alignment horizontal="center" vertical="center"/>
    </xf>
    <xf numFmtId="165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5" fontId="38" fillId="10" borderId="29" xfId="20" applyNumberFormat="1" applyFont="1" applyFill="1" applyBorder="1" applyAlignment="1">
      <alignment horizontal="center" vertical="center"/>
    </xf>
    <xf numFmtId="165" fontId="37" fillId="10" borderId="34" xfId="20" applyNumberFormat="1" applyFont="1" applyFill="1" applyBorder="1" applyAlignment="1">
      <alignment horizontal="left" vertical="center"/>
    </xf>
    <xf numFmtId="165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5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5" fontId="37" fillId="10" borderId="22" xfId="20" applyNumberFormat="1" applyFont="1" applyFill="1" applyBorder="1" applyAlignment="1">
      <alignment horizontal="left" vertical="center"/>
    </xf>
    <xf numFmtId="165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5" fontId="37" fillId="10" borderId="39" xfId="20" applyNumberFormat="1" applyFont="1" applyFill="1" applyBorder="1" applyAlignment="1">
      <alignment horizontal="center" vertical="center"/>
    </xf>
    <xf numFmtId="165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5" fontId="38" fillId="0" borderId="4" xfId="20" applyNumberFormat="1" applyFont="1" applyBorder="1" applyAlignment="1">
      <alignment horizontal="center" vertical="center"/>
    </xf>
    <xf numFmtId="165" fontId="38" fillId="0" borderId="4" xfId="20" applyNumberFormat="1" applyFont="1" applyBorder="1" applyAlignment="1">
      <alignment horizontal="left" vertical="center"/>
    </xf>
    <xf numFmtId="165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5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5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5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5" fontId="44" fillId="0" borderId="41" xfId="20" applyNumberFormat="1" applyFont="1" applyBorder="1" applyAlignment="1">
      <alignment horizontal="center" vertical="center"/>
    </xf>
    <xf numFmtId="165" fontId="44" fillId="0" borderId="32" xfId="20" applyNumberFormat="1" applyFont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5" fontId="37" fillId="0" borderId="58" xfId="20" applyNumberFormat="1" applyFont="1" applyBorder="1" applyAlignment="1">
      <alignment horizontal="center" vertical="center"/>
    </xf>
    <xf numFmtId="165" fontId="37" fillId="0" borderId="41" xfId="20" applyNumberFormat="1" applyFont="1" applyBorder="1" applyAlignment="1">
      <alignment horizontal="center" vertical="center"/>
    </xf>
    <xf numFmtId="165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5" fontId="37" fillId="0" borderId="34" xfId="20" applyNumberFormat="1" applyFont="1" applyBorder="1" applyAlignment="1">
      <alignment horizontal="left" vertical="center"/>
    </xf>
    <xf numFmtId="165" fontId="37" fillId="0" borderId="35" xfId="20" applyNumberFormat="1" applyFont="1" applyBorder="1" applyAlignment="1">
      <alignment horizontal="center" vertical="center"/>
    </xf>
    <xf numFmtId="165" fontId="37" fillId="0" borderId="37" xfId="20" applyNumberFormat="1" applyFont="1" applyBorder="1" applyAlignment="1">
      <alignment horizontal="center" vertical="center"/>
    </xf>
    <xf numFmtId="165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5" fontId="39" fillId="4" borderId="15" xfId="20" applyNumberFormat="1" applyFont="1" applyFill="1" applyBorder="1" applyAlignment="1">
      <alignment horizontal="center" vertical="center"/>
    </xf>
    <xf numFmtId="165" fontId="37" fillId="4" borderId="15" xfId="20" applyNumberFormat="1" applyFont="1" applyFill="1" applyBorder="1" applyAlignment="1">
      <alignment horizontal="left" vertical="center"/>
    </xf>
    <xf numFmtId="165" fontId="37" fillId="4" borderId="15" xfId="20" applyNumberFormat="1" applyFont="1" applyFill="1" applyBorder="1" applyAlignment="1">
      <alignment horizontal="center" vertical="center"/>
    </xf>
    <xf numFmtId="165" fontId="37" fillId="0" borderId="26" xfId="20" applyNumberFormat="1" applyFont="1" applyBorder="1" applyAlignment="1">
      <alignment horizontal="left" vertical="center"/>
    </xf>
    <xf numFmtId="165" fontId="42" fillId="0" borderId="26" xfId="20" applyNumberFormat="1" applyFont="1" applyBorder="1" applyAlignment="1">
      <alignment horizontal="center" vertical="center"/>
    </xf>
    <xf numFmtId="165" fontId="43" fillId="0" borderId="26" xfId="20" applyNumberFormat="1" applyFont="1" applyBorder="1" applyAlignment="1">
      <alignment horizontal="center" vertical="center"/>
    </xf>
    <xf numFmtId="165" fontId="43" fillId="0" borderId="34" xfId="20" applyNumberFormat="1" applyFont="1" applyBorder="1" applyAlignment="1">
      <alignment horizontal="center" vertical="center"/>
    </xf>
    <xf numFmtId="165" fontId="43" fillId="0" borderId="35" xfId="20" applyNumberFormat="1" applyFont="1" applyBorder="1" applyAlignment="1">
      <alignment horizontal="center" vertical="center"/>
    </xf>
    <xf numFmtId="165" fontId="44" fillId="0" borderId="37" xfId="20" applyNumberFormat="1" applyFont="1" applyBorder="1" applyAlignment="1">
      <alignment horizontal="center" vertical="center"/>
    </xf>
    <xf numFmtId="165" fontId="44" fillId="0" borderId="43" xfId="20" applyNumberFormat="1" applyFont="1" applyBorder="1" applyAlignment="1">
      <alignment horizontal="center" vertical="center"/>
    </xf>
    <xf numFmtId="165" fontId="43" fillId="0" borderId="37" xfId="20" applyNumberFormat="1" applyFont="1" applyBorder="1" applyAlignment="1">
      <alignment horizontal="center" vertical="center"/>
    </xf>
    <xf numFmtId="165" fontId="43" fillId="0" borderId="43" xfId="20" applyNumberFormat="1" applyFont="1" applyBorder="1" applyAlignment="1">
      <alignment horizontal="center" vertical="center"/>
    </xf>
    <xf numFmtId="165" fontId="37" fillId="10" borderId="38" xfId="20" applyNumberFormat="1" applyFont="1" applyFill="1" applyBorder="1" applyAlignment="1">
      <alignment horizontal="left" vertical="center"/>
    </xf>
    <xf numFmtId="165" fontId="37" fillId="10" borderId="26" xfId="20" applyNumberFormat="1" applyFont="1" applyFill="1" applyBorder="1" applyAlignment="1">
      <alignment horizontal="left" vertical="center"/>
    </xf>
    <xf numFmtId="165" fontId="37" fillId="0" borderId="66" xfId="20" applyNumberFormat="1" applyFont="1" applyBorder="1" applyAlignment="1">
      <alignment horizontal="center" vertical="center"/>
    </xf>
    <xf numFmtId="165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5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5" fontId="38" fillId="0" borderId="29" xfId="20" applyNumberFormat="1" applyFont="1" applyBorder="1" applyAlignment="1">
      <alignment horizontal="center" vertical="center"/>
    </xf>
    <xf numFmtId="165" fontId="38" fillId="0" borderId="62" xfId="20" applyNumberFormat="1" applyFont="1" applyBorder="1" applyAlignment="1">
      <alignment horizontal="center" vertical="center"/>
    </xf>
    <xf numFmtId="165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5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5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5" fontId="37" fillId="10" borderId="34" xfId="20" applyNumberFormat="1" applyFont="1" applyFill="1" applyBorder="1" applyAlignment="1">
      <alignment horizontal="center" vertical="center"/>
    </xf>
    <xf numFmtId="165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5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5" fontId="43" fillId="10" borderId="22" xfId="20" applyNumberFormat="1" applyFont="1" applyFill="1" applyBorder="1" applyAlignment="1">
      <alignment horizontal="center" vertical="center"/>
    </xf>
    <xf numFmtId="165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5" fontId="38" fillId="0" borderId="19" xfId="20" applyNumberFormat="1" applyFont="1" applyBorder="1" applyAlignment="1">
      <alignment horizontal="left" vertical="center"/>
    </xf>
    <xf numFmtId="165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5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5" fontId="44" fillId="0" borderId="14" xfId="20" applyNumberFormat="1" applyFont="1" applyBorder="1" applyAlignment="1">
      <alignment horizontal="center" vertical="center"/>
    </xf>
    <xf numFmtId="165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5" fontId="38" fillId="10" borderId="25" xfId="20" applyNumberFormat="1" applyFont="1" applyFill="1" applyBorder="1" applyAlignment="1">
      <alignment horizontal="center" vertical="center"/>
    </xf>
    <xf numFmtId="165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5" fontId="38" fillId="4" borderId="4" xfId="20" applyNumberFormat="1" applyFont="1" applyFill="1" applyBorder="1" applyAlignment="1">
      <alignment horizontal="center" vertical="center"/>
    </xf>
    <xf numFmtId="165" fontId="38" fillId="4" borderId="4" xfId="20" applyNumberFormat="1" applyFont="1" applyFill="1" applyBorder="1" applyAlignment="1">
      <alignment horizontal="left" vertical="center"/>
    </xf>
    <xf numFmtId="165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5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5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5" fontId="42" fillId="0" borderId="2" xfId="20" applyNumberFormat="1" applyFont="1" applyBorder="1" applyAlignment="1">
      <alignment horizontal="center" vertical="center"/>
    </xf>
    <xf numFmtId="165" fontId="42" fillId="0" borderId="37" xfId="20" applyNumberFormat="1" applyFont="1" applyBorder="1" applyAlignment="1">
      <alignment horizontal="center" vertical="center"/>
    </xf>
    <xf numFmtId="165" fontId="42" fillId="0" borderId="1" xfId="20" applyNumberFormat="1" applyFont="1" applyBorder="1" applyAlignment="1">
      <alignment horizontal="center" vertical="center"/>
    </xf>
    <xf numFmtId="165" fontId="43" fillId="0" borderId="14" xfId="20" applyNumberFormat="1" applyFont="1" applyBorder="1" applyAlignment="1">
      <alignment horizontal="center" vertical="center"/>
    </xf>
    <xf numFmtId="165" fontId="43" fillId="0" borderId="2" xfId="20" applyNumberFormat="1" applyFont="1" applyBorder="1" applyAlignment="1">
      <alignment horizontal="center" vertical="center"/>
    </xf>
    <xf numFmtId="164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43" fontId="38" fillId="2" borderId="17" xfId="21" applyFont="1" applyFill="1" applyBorder="1" applyAlignment="1">
      <alignment horizontal="center" vertical="center" wrapText="1"/>
    </xf>
    <xf numFmtId="43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5" fontId="37" fillId="10" borderId="6" xfId="20" applyNumberFormat="1" applyFont="1" applyFill="1" applyBorder="1" applyAlignment="1">
      <alignment horizontal="center" vertical="center"/>
    </xf>
    <xf numFmtId="165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43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5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5" fontId="38" fillId="6" borderId="47" xfId="20" applyNumberFormat="1" applyFont="1" applyFill="1" applyBorder="1" applyAlignment="1">
      <alignment horizontal="center" vertical="center"/>
    </xf>
    <xf numFmtId="14" fontId="37" fillId="0" borderId="0" xfId="20" applyNumberFormat="1" applyFont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0" fontId="42" fillId="0" borderId="0" xfId="20" applyFont="1" applyAlignment="1">
      <alignment horizontal="center" vertical="center"/>
    </xf>
    <xf numFmtId="0" fontId="42" fillId="0" borderId="0" xfId="20" applyFont="1" applyBorder="1" applyAlignment="1">
      <alignment horizontal="center" vertical="center"/>
    </xf>
    <xf numFmtId="0" fontId="37" fillId="0" borderId="0" xfId="20" applyFont="1" applyBorder="1" applyAlignment="1">
      <alignment horizontal="center" vertical="center"/>
    </xf>
    <xf numFmtId="0" fontId="42" fillId="2" borderId="0" xfId="20" applyFont="1" applyFill="1" applyBorder="1" applyAlignment="1">
      <alignment horizontal="center" vertical="center"/>
    </xf>
    <xf numFmtId="0" fontId="37" fillId="2" borderId="0" xfId="20" applyFont="1" applyFill="1" applyBorder="1" applyAlignment="1">
      <alignment horizontal="center" vertical="center"/>
    </xf>
    <xf numFmtId="164" fontId="37" fillId="2" borderId="0" xfId="20" applyNumberFormat="1" applyFont="1" applyFill="1" applyBorder="1" applyAlignment="1">
      <alignment horizontal="center" vertical="center"/>
    </xf>
    <xf numFmtId="165" fontId="40" fillId="2" borderId="0" xfId="20" applyNumberFormat="1" applyFont="1" applyFill="1" applyBorder="1" applyAlignment="1">
      <alignment horizontal="center" vertical="center"/>
    </xf>
    <xf numFmtId="165" fontId="39" fillId="2" borderId="0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165" fontId="48" fillId="10" borderId="2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vertical="center"/>
    </xf>
    <xf numFmtId="0" fontId="49" fillId="10" borderId="2" xfId="20" applyNumberFormat="1" applyFont="1" applyFill="1" applyBorder="1" applyAlignment="1">
      <alignment horizontal="center" vertical="center" wrapText="1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165" fontId="49" fillId="10" borderId="6" xfId="20" applyNumberFormat="1" applyFont="1" applyFill="1" applyBorder="1" applyAlignment="1">
      <alignment vertical="center"/>
    </xf>
    <xf numFmtId="165" fontId="49" fillId="10" borderId="20" xfId="20" applyNumberFormat="1" applyFont="1" applyFill="1" applyBorder="1" applyAlignment="1">
      <alignment vertical="center"/>
    </xf>
    <xf numFmtId="165" fontId="49" fillId="10" borderId="2" xfId="20" applyNumberFormat="1" applyFont="1" applyFill="1" applyBorder="1" applyAlignment="1">
      <alignment horizontal="center" vertical="center" wrapText="1"/>
    </xf>
    <xf numFmtId="165" fontId="48" fillId="10" borderId="2" xfId="20" applyNumberFormat="1" applyFont="1" applyFill="1" applyBorder="1" applyAlignment="1">
      <alignment vertical="center"/>
    </xf>
    <xf numFmtId="0" fontId="49" fillId="10" borderId="2" xfId="20" applyFont="1" applyFill="1" applyBorder="1" applyAlignment="1">
      <alignment vertical="center" wrapText="1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2" borderId="2" xfId="20" applyFont="1" applyFill="1" applyBorder="1" applyAlignment="1">
      <alignment horizontal="center" vertical="center"/>
    </xf>
    <xf numFmtId="0" fontId="49" fillId="12" borderId="2" xfId="20" applyFont="1" applyFill="1" applyBorder="1" applyAlignment="1">
      <alignment horizontal="left" vertical="center" wrapText="1"/>
    </xf>
    <xf numFmtId="165" fontId="49" fillId="12" borderId="2" xfId="20" applyNumberFormat="1" applyFont="1" applyFill="1" applyBorder="1" applyAlignment="1">
      <alignment horizontal="center" vertical="center"/>
    </xf>
    <xf numFmtId="175" fontId="49" fillId="12" borderId="2" xfId="20" applyNumberFormat="1" applyFont="1" applyFill="1" applyBorder="1" applyAlignment="1">
      <alignment horizontal="center" vertical="center"/>
    </xf>
    <xf numFmtId="165" fontId="48" fillId="12" borderId="2" xfId="20" applyNumberFormat="1" applyFont="1" applyFill="1" applyBorder="1" applyAlignment="1">
      <alignment horizontal="center" vertical="center"/>
    </xf>
    <xf numFmtId="165" fontId="49" fillId="12" borderId="2" xfId="20" applyNumberFormat="1" applyFont="1" applyFill="1" applyBorder="1" applyAlignment="1">
      <alignment vertical="center"/>
    </xf>
    <xf numFmtId="165" fontId="48" fillId="12" borderId="2" xfId="20" applyNumberFormat="1" applyFont="1" applyFill="1" applyBorder="1" applyAlignment="1">
      <alignment vertical="center"/>
    </xf>
    <xf numFmtId="165" fontId="49" fillId="12" borderId="2" xfId="20" applyNumberFormat="1" applyFont="1" applyFill="1" applyBorder="1" applyAlignment="1">
      <alignment horizontal="center" vertical="center" wrapText="1"/>
    </xf>
    <xf numFmtId="165" fontId="48" fillId="12" borderId="6" xfId="20" applyNumberFormat="1" applyFont="1" applyFill="1" applyBorder="1" applyAlignment="1">
      <alignment horizontal="center" vertical="center"/>
    </xf>
    <xf numFmtId="165" fontId="49" fillId="12" borderId="6" xfId="20" applyNumberFormat="1" applyFont="1" applyFill="1" applyBorder="1" applyAlignment="1">
      <alignment horizontal="center" vertical="center"/>
    </xf>
    <xf numFmtId="0" fontId="49" fillId="12" borderId="6" xfId="20" applyNumberFormat="1" applyFont="1" applyFill="1" applyBorder="1" applyAlignment="1">
      <alignment horizontal="center" vertical="center" wrapText="1"/>
    </xf>
    <xf numFmtId="0" fontId="49" fillId="12" borderId="6" xfId="20" applyFont="1" applyFill="1" applyBorder="1" applyAlignment="1">
      <alignment horizontal="center" vertical="center"/>
    </xf>
    <xf numFmtId="0" fontId="49" fillId="12" borderId="6" xfId="20" applyFont="1" applyFill="1" applyBorder="1" applyAlignment="1">
      <alignment horizontal="left" vertical="center" wrapText="1"/>
    </xf>
    <xf numFmtId="0" fontId="49" fillId="12" borderId="2" xfId="20" applyNumberFormat="1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165" fontId="48" fillId="12" borderId="2" xfId="20" applyNumberFormat="1" applyFont="1" applyFill="1" applyBorder="1" applyAlignment="1">
      <alignment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51" fillId="10" borderId="2" xfId="20" applyNumberFormat="1" applyFont="1" applyFill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vertical="center"/>
    </xf>
    <xf numFmtId="0" fontId="49" fillId="10" borderId="2" xfId="20" applyFont="1" applyFill="1" applyBorder="1" applyAlignment="1">
      <alignment horizontal="center" vertical="center"/>
    </xf>
    <xf numFmtId="0" fontId="49" fillId="12" borderId="19" xfId="20" applyFont="1" applyFill="1" applyBorder="1" applyAlignment="1">
      <alignment horizontal="center" vertical="center"/>
    </xf>
    <xf numFmtId="0" fontId="49" fillId="12" borderId="19" xfId="20" applyFont="1" applyFill="1" applyBorder="1" applyAlignment="1">
      <alignment horizontal="left" vertical="center" wrapText="1"/>
    </xf>
    <xf numFmtId="165" fontId="49" fillId="12" borderId="19" xfId="20" applyNumberFormat="1" applyFont="1" applyFill="1" applyBorder="1" applyAlignment="1">
      <alignment horizontal="center" vertical="center"/>
    </xf>
    <xf numFmtId="176" fontId="49" fillId="12" borderId="2" xfId="20" applyNumberFormat="1" applyFont="1" applyFill="1" applyBorder="1" applyAlignment="1">
      <alignment vertical="center"/>
    </xf>
    <xf numFmtId="175" fontId="49" fillId="12" borderId="19" xfId="20" applyNumberFormat="1" applyFont="1" applyFill="1" applyBorder="1" applyAlignment="1">
      <alignment horizontal="center" vertical="center"/>
    </xf>
    <xf numFmtId="165" fontId="48" fillId="12" borderId="19" xfId="20" applyNumberFormat="1" applyFont="1" applyFill="1" applyBorder="1" applyAlignment="1">
      <alignment horizontal="center" vertical="center"/>
    </xf>
    <xf numFmtId="165" fontId="49" fillId="12" borderId="19" xfId="20" applyNumberFormat="1" applyFont="1" applyFill="1" applyBorder="1" applyAlignment="1">
      <alignment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43" fontId="48" fillId="4" borderId="22" xfId="21" applyFont="1" applyFill="1" applyBorder="1" applyAlignment="1">
      <alignment horizontal="center" vertical="center" wrapText="1"/>
    </xf>
    <xf numFmtId="0" fontId="39" fillId="0" borderId="2" xfId="20" applyFont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vertical="center" wrapText="1"/>
    </xf>
    <xf numFmtId="165" fontId="53" fillId="10" borderId="2" xfId="20" applyNumberFormat="1" applyFont="1" applyFill="1" applyBorder="1" applyAlignment="1">
      <alignment horizontal="center" vertical="center"/>
    </xf>
    <xf numFmtId="0" fontId="54" fillId="0" borderId="0" xfId="20" applyFont="1" applyBorder="1" applyAlignment="1">
      <alignment horizontal="center" vertical="center"/>
    </xf>
    <xf numFmtId="0" fontId="49" fillId="11" borderId="19" xfId="20" applyFont="1" applyFill="1" applyBorder="1" applyAlignment="1">
      <alignment horizontal="center" vertical="center"/>
    </xf>
    <xf numFmtId="0" fontId="49" fillId="11" borderId="19" xfId="20" applyFont="1" applyFill="1" applyBorder="1" applyAlignment="1">
      <alignment horizontal="left" vertical="center" wrapText="1"/>
    </xf>
    <xf numFmtId="165" fontId="49" fillId="11" borderId="19" xfId="20" applyNumberFormat="1" applyFont="1" applyFill="1" applyBorder="1" applyAlignment="1">
      <alignment horizontal="center" vertical="center"/>
    </xf>
    <xf numFmtId="1" fontId="49" fillId="11" borderId="19" xfId="20" applyNumberFormat="1" applyFont="1" applyFill="1" applyBorder="1" applyAlignment="1">
      <alignment horizontal="center" vertical="center"/>
    </xf>
    <xf numFmtId="176" fontId="49" fillId="11" borderId="19" xfId="20" applyNumberFormat="1" applyFont="1" applyFill="1" applyBorder="1" applyAlignment="1">
      <alignment horizontal="center" vertical="center"/>
    </xf>
    <xf numFmtId="165" fontId="48" fillId="11" borderId="19" xfId="20" applyNumberFormat="1" applyFont="1" applyFill="1" applyBorder="1" applyAlignment="1">
      <alignment horizontal="center" vertical="center"/>
    </xf>
    <xf numFmtId="165" fontId="49" fillId="11" borderId="20" xfId="20" applyNumberFormat="1" applyFont="1" applyFill="1" applyBorder="1" applyAlignment="1">
      <alignment horizontal="center" vertical="center"/>
    </xf>
    <xf numFmtId="14" fontId="37" fillId="11" borderId="0" xfId="20" applyNumberFormat="1" applyFont="1" applyFill="1" applyAlignment="1">
      <alignment horizontal="center" vertical="center"/>
    </xf>
    <xf numFmtId="0" fontId="39" fillId="11" borderId="2" xfId="20" applyFont="1" applyFill="1" applyBorder="1" applyAlignment="1">
      <alignment horizontal="center" vertical="center" wrapText="1"/>
    </xf>
    <xf numFmtId="0" fontId="37" fillId="11" borderId="0" xfId="20" applyFont="1" applyFill="1" applyAlignment="1">
      <alignment horizontal="center" vertical="center"/>
    </xf>
    <xf numFmtId="0" fontId="49" fillId="0" borderId="2" xfId="20" applyFont="1" applyFill="1" applyBorder="1" applyAlignment="1">
      <alignment horizontal="center" vertical="center"/>
    </xf>
    <xf numFmtId="0" fontId="49" fillId="0" borderId="2" xfId="20" applyFont="1" applyFill="1" applyBorder="1" applyAlignment="1">
      <alignment horizontal="left" vertical="center" wrapText="1"/>
    </xf>
    <xf numFmtId="165" fontId="49" fillId="0" borderId="6" xfId="20" applyNumberFormat="1" applyFont="1" applyFill="1" applyBorder="1" applyAlignment="1">
      <alignment horizontal="center" vertical="center"/>
    </xf>
    <xf numFmtId="176" fontId="49" fillId="0" borderId="2" xfId="20" applyNumberFormat="1" applyFont="1" applyFill="1" applyBorder="1" applyAlignment="1">
      <alignment horizontal="center" vertical="center"/>
    </xf>
    <xf numFmtId="165" fontId="49" fillId="0" borderId="2" xfId="20" applyNumberFormat="1" applyFont="1" applyFill="1" applyBorder="1" applyAlignment="1">
      <alignment horizontal="center" vertical="center"/>
    </xf>
    <xf numFmtId="0" fontId="49" fillId="0" borderId="2" xfId="20" applyNumberFormat="1" applyFont="1" applyFill="1" applyBorder="1" applyAlignment="1">
      <alignment horizontal="center" vertical="center" wrapText="1"/>
    </xf>
    <xf numFmtId="0" fontId="37" fillId="0" borderId="0" xfId="20" applyFont="1" applyFill="1" applyAlignment="1">
      <alignment horizontal="center" vertical="center"/>
    </xf>
    <xf numFmtId="1" fontId="49" fillId="0" borderId="2" xfId="20" applyNumberFormat="1" applyFont="1" applyFill="1" applyBorder="1" applyAlignment="1">
      <alignment horizontal="center" vertical="center"/>
    </xf>
    <xf numFmtId="165" fontId="48" fillId="0" borderId="2" xfId="20" applyNumberFormat="1" applyFont="1" applyFill="1" applyBorder="1" applyAlignment="1">
      <alignment horizontal="center" vertical="center"/>
    </xf>
    <xf numFmtId="165" fontId="49" fillId="0" borderId="2" xfId="20" applyNumberFormat="1" applyFont="1" applyFill="1" applyBorder="1" applyAlignment="1">
      <alignment horizontal="center" vertical="center" wrapText="1"/>
    </xf>
    <xf numFmtId="165" fontId="49" fillId="0" borderId="2" xfId="20" applyNumberFormat="1" applyFont="1" applyFill="1" applyBorder="1" applyAlignment="1">
      <alignment vertical="center"/>
    </xf>
    <xf numFmtId="164" fontId="37" fillId="0" borderId="0" xfId="20" applyNumberFormat="1" applyFont="1" applyFill="1" applyAlignment="1">
      <alignment horizontal="center" vertical="center"/>
    </xf>
    <xf numFmtId="0" fontId="49" fillId="0" borderId="6" xfId="20" applyFont="1" applyFill="1" applyBorder="1" applyAlignment="1">
      <alignment horizontal="left" vertical="center" wrapText="1"/>
    </xf>
    <xf numFmtId="0" fontId="37" fillId="0" borderId="0" xfId="20" applyFont="1" applyFill="1" applyBorder="1" applyAlignment="1">
      <alignment horizontal="center" vertical="center"/>
    </xf>
    <xf numFmtId="164" fontId="37" fillId="0" borderId="0" xfId="20" applyNumberFormat="1" applyFont="1" applyFill="1" applyBorder="1" applyAlignment="1">
      <alignment horizontal="center" vertical="center"/>
    </xf>
    <xf numFmtId="165" fontId="48" fillId="0" borderId="2" xfId="20" applyNumberFormat="1" applyFont="1" applyFill="1" applyBorder="1" applyAlignment="1">
      <alignment vertical="center"/>
    </xf>
    <xf numFmtId="176" fontId="49" fillId="0" borderId="2" xfId="20" applyNumberFormat="1" applyFont="1" applyFill="1" applyBorder="1" applyAlignment="1">
      <alignment horizontal="center" vertical="center" wrapText="1"/>
    </xf>
    <xf numFmtId="177" fontId="49" fillId="0" borderId="2" xfId="20" applyNumberFormat="1" applyFont="1" applyFill="1" applyBorder="1" applyAlignment="1">
      <alignment horizontal="center" vertical="center" wrapText="1"/>
    </xf>
    <xf numFmtId="176" fontId="49" fillId="0" borderId="2" xfId="20" applyNumberFormat="1" applyFont="1" applyFill="1" applyBorder="1" applyAlignment="1">
      <alignment vertical="center"/>
    </xf>
    <xf numFmtId="0" fontId="49" fillId="0" borderId="2" xfId="20" applyNumberFormat="1" applyFont="1" applyFill="1" applyBorder="1" applyAlignment="1">
      <alignment vertical="center" wrapText="1"/>
    </xf>
    <xf numFmtId="0" fontId="51" fillId="0" borderId="2" xfId="20" applyNumberFormat="1" applyFont="1" applyFill="1" applyBorder="1" applyAlignment="1">
      <alignment horizontal="center" vertical="center" wrapText="1"/>
    </xf>
    <xf numFmtId="0" fontId="49" fillId="0" borderId="2" xfId="20" applyNumberFormat="1" applyFont="1" applyFill="1" applyBorder="1" applyAlignment="1">
      <alignment horizontal="left" vertical="center" wrapText="1"/>
    </xf>
    <xf numFmtId="0" fontId="52" fillId="0" borderId="2" xfId="20" applyNumberFormat="1" applyFont="1" applyFill="1" applyBorder="1" applyAlignment="1">
      <alignment horizontal="center" vertical="center" wrapText="1"/>
    </xf>
    <xf numFmtId="0" fontId="49" fillId="11" borderId="2" xfId="20" applyFont="1" applyFill="1" applyBorder="1" applyAlignment="1">
      <alignment horizontal="center" vertical="center"/>
    </xf>
    <xf numFmtId="0" fontId="49" fillId="11" borderId="2" xfId="20" applyFont="1" applyFill="1" applyBorder="1" applyAlignment="1">
      <alignment horizontal="left" vertical="center" wrapText="1"/>
    </xf>
    <xf numFmtId="165" fontId="49" fillId="11" borderId="2" xfId="20" applyNumberFormat="1" applyFont="1" applyFill="1" applyBorder="1" applyAlignment="1">
      <alignment horizontal="center" vertical="center"/>
    </xf>
    <xf numFmtId="1" fontId="49" fillId="11" borderId="2" xfId="20" applyNumberFormat="1" applyFont="1" applyFill="1" applyBorder="1" applyAlignment="1">
      <alignment horizontal="center" vertical="center"/>
    </xf>
    <xf numFmtId="176" fontId="49" fillId="11" borderId="2" xfId="20" applyNumberFormat="1" applyFont="1" applyFill="1" applyBorder="1" applyAlignment="1">
      <alignment horizontal="center" vertical="center"/>
    </xf>
    <xf numFmtId="165" fontId="48" fillId="11" borderId="2" xfId="20" applyNumberFormat="1" applyFont="1" applyFill="1" applyBorder="1" applyAlignment="1">
      <alignment horizontal="center" vertical="center"/>
    </xf>
    <xf numFmtId="165" fontId="49" fillId="11" borderId="2" xfId="20" applyNumberFormat="1" applyFont="1" applyFill="1" applyBorder="1" applyAlignment="1">
      <alignment horizontal="center" vertical="center" wrapText="1"/>
    </xf>
    <xf numFmtId="0" fontId="42" fillId="11" borderId="0" xfId="20" applyFont="1" applyFill="1" applyBorder="1" applyAlignment="1">
      <alignment horizontal="center" vertical="center"/>
    </xf>
    <xf numFmtId="0" fontId="37" fillId="11" borderId="0" xfId="20" applyFont="1" applyFill="1" applyBorder="1" applyAlignment="1">
      <alignment horizontal="center" vertical="center"/>
    </xf>
    <xf numFmtId="165" fontId="49" fillId="11" borderId="2" xfId="20" applyNumberFormat="1" applyFont="1" applyFill="1" applyBorder="1" applyAlignment="1">
      <alignment vertical="center"/>
    </xf>
    <xf numFmtId="176" fontId="49" fillId="11" borderId="2" xfId="20" applyNumberFormat="1" applyFont="1" applyFill="1" applyBorder="1" applyAlignment="1">
      <alignment vertical="center"/>
    </xf>
    <xf numFmtId="165" fontId="48" fillId="11" borderId="2" xfId="20" applyNumberFormat="1" applyFont="1" applyFill="1" applyBorder="1" applyAlignment="1">
      <alignment vertical="center"/>
    </xf>
    <xf numFmtId="165" fontId="49" fillId="11" borderId="6" xfId="20" applyNumberFormat="1" applyFont="1" applyFill="1" applyBorder="1" applyAlignment="1">
      <alignment horizontal="center" vertical="center"/>
    </xf>
    <xf numFmtId="164" fontId="37" fillId="11" borderId="0" xfId="20" applyNumberFormat="1" applyFont="1" applyFill="1" applyAlignment="1">
      <alignment horizontal="center" vertical="center"/>
    </xf>
    <xf numFmtId="165" fontId="48" fillId="11" borderId="2" xfId="20" applyNumberFormat="1" applyFont="1" applyFill="1" applyBorder="1" applyAlignment="1">
      <alignment vertical="center" wrapText="1"/>
    </xf>
    <xf numFmtId="165" fontId="49" fillId="11" borderId="2" xfId="20" applyNumberFormat="1" applyFont="1" applyFill="1" applyBorder="1" applyAlignment="1">
      <alignment vertical="center" wrapText="1"/>
    </xf>
    <xf numFmtId="165" fontId="49" fillId="11" borderId="6" xfId="20" applyNumberFormat="1" applyFont="1" applyFill="1" applyBorder="1" applyAlignment="1">
      <alignment horizontal="center" vertical="center"/>
    </xf>
    <xf numFmtId="1" fontId="49" fillId="11" borderId="2" xfId="20" applyNumberFormat="1" applyFont="1" applyFill="1" applyBorder="1" applyAlignment="1">
      <alignment horizontal="center" vertical="center" wrapText="1"/>
    </xf>
    <xf numFmtId="165" fontId="48" fillId="11" borderId="6" xfId="20" applyNumberFormat="1" applyFont="1" applyFill="1" applyBorder="1" applyAlignment="1">
      <alignment horizontal="center" vertical="center"/>
    </xf>
    <xf numFmtId="0" fontId="49" fillId="11" borderId="2" xfId="20" applyNumberFormat="1" applyFont="1" applyFill="1" applyBorder="1" applyAlignment="1">
      <alignment horizontal="center" vertical="center" wrapText="1"/>
    </xf>
    <xf numFmtId="0" fontId="42" fillId="11" borderId="0" xfId="20" applyFont="1" applyFill="1" applyAlignment="1">
      <alignment horizontal="center" vertical="center"/>
    </xf>
    <xf numFmtId="165" fontId="48" fillId="11" borderId="2" xfId="20" applyNumberFormat="1" applyFont="1" applyFill="1" applyBorder="1" applyAlignment="1">
      <alignment horizontal="center" vertical="center" wrapText="1"/>
    </xf>
    <xf numFmtId="0" fontId="49" fillId="11" borderId="6" xfId="20" applyFont="1" applyFill="1" applyBorder="1" applyAlignment="1">
      <alignment horizontal="center" vertical="center"/>
    </xf>
    <xf numFmtId="0" fontId="49" fillId="11" borderId="6" xfId="20" applyFont="1" applyFill="1" applyBorder="1" applyAlignment="1">
      <alignment horizontal="left" vertical="center" wrapText="1"/>
    </xf>
    <xf numFmtId="165" fontId="40" fillId="11" borderId="0" xfId="20" applyNumberFormat="1" applyFont="1" applyFill="1" applyBorder="1" applyAlignment="1">
      <alignment horizontal="center" vertical="center"/>
    </xf>
    <xf numFmtId="165" fontId="39" fillId="11" borderId="0" xfId="20" applyNumberFormat="1" applyFont="1" applyFill="1" applyBorder="1" applyAlignment="1">
      <alignment horizontal="center" vertical="center"/>
    </xf>
    <xf numFmtId="165" fontId="49" fillId="11" borderId="6" xfId="20" applyNumberFormat="1" applyFont="1" applyFill="1" applyBorder="1" applyAlignment="1">
      <alignment vertical="center"/>
    </xf>
    <xf numFmtId="165" fontId="49" fillId="13" borderId="2" xfId="20" applyNumberFormat="1" applyFont="1" applyFill="1" applyBorder="1" applyAlignment="1">
      <alignment vertical="center"/>
    </xf>
    <xf numFmtId="176" fontId="49" fillId="13" borderId="2" xfId="20" applyNumberFormat="1" applyFont="1" applyFill="1" applyBorder="1" applyAlignment="1">
      <alignment vertical="center"/>
    </xf>
    <xf numFmtId="165" fontId="48" fillId="13" borderId="2" xfId="20" applyNumberFormat="1" applyFont="1" applyFill="1" applyBorder="1" applyAlignment="1">
      <alignment vertical="center"/>
    </xf>
    <xf numFmtId="0" fontId="49" fillId="13" borderId="2" xfId="20" applyNumberFormat="1" applyFont="1" applyFill="1" applyBorder="1" applyAlignment="1">
      <alignment horizontal="center" vertical="center" wrapText="1"/>
    </xf>
    <xf numFmtId="165" fontId="49" fillId="13" borderId="2" xfId="20" applyNumberFormat="1" applyFont="1" applyFill="1" applyBorder="1" applyAlignment="1">
      <alignment horizontal="center" vertical="center" wrapText="1"/>
    </xf>
    <xf numFmtId="165" fontId="49" fillId="13" borderId="6" xfId="20" applyNumberFormat="1" applyFont="1" applyFill="1" applyBorder="1" applyAlignment="1">
      <alignment horizontal="center" vertical="center"/>
    </xf>
    <xf numFmtId="0" fontId="37" fillId="13" borderId="0" xfId="20" applyFont="1" applyFill="1" applyAlignment="1">
      <alignment horizontal="center" vertical="center"/>
    </xf>
    <xf numFmtId="164" fontId="37" fillId="13" borderId="0" xfId="20" applyNumberFormat="1" applyFont="1" applyFill="1" applyAlignment="1">
      <alignment horizontal="center" vertical="center"/>
    </xf>
    <xf numFmtId="0" fontId="49" fillId="13" borderId="2" xfId="20" applyNumberFormat="1" applyFont="1" applyFill="1" applyBorder="1" applyAlignment="1">
      <alignment vertical="center" wrapText="1"/>
    </xf>
    <xf numFmtId="165" fontId="52" fillId="11" borderId="2" xfId="20" applyNumberFormat="1" applyFont="1" applyFill="1" applyBorder="1" applyAlignment="1">
      <alignment vertical="center"/>
    </xf>
    <xf numFmtId="176" fontId="52" fillId="11" borderId="2" xfId="20" applyNumberFormat="1" applyFont="1" applyFill="1" applyBorder="1" applyAlignment="1">
      <alignment vertical="center"/>
    </xf>
    <xf numFmtId="0" fontId="52" fillId="11" borderId="2" xfId="20" applyNumberFormat="1" applyFont="1" applyFill="1" applyBorder="1" applyAlignment="1">
      <alignment horizontal="center" vertical="center" wrapText="1"/>
    </xf>
    <xf numFmtId="165" fontId="52" fillId="11" borderId="2" xfId="20" applyNumberFormat="1" applyFont="1" applyFill="1" applyBorder="1" applyAlignment="1">
      <alignment horizontal="center" vertical="center" wrapText="1"/>
    </xf>
    <xf numFmtId="165" fontId="52" fillId="13" borderId="2" xfId="20" applyNumberFormat="1" applyFont="1" applyFill="1" applyBorder="1" applyAlignment="1">
      <alignment vertical="center"/>
    </xf>
    <xf numFmtId="0" fontId="52" fillId="13" borderId="2" xfId="20" applyNumberFormat="1" applyFont="1" applyFill="1" applyBorder="1" applyAlignment="1">
      <alignment horizontal="center" vertical="center" wrapText="1"/>
    </xf>
    <xf numFmtId="165" fontId="52" fillId="13" borderId="2" xfId="20" applyNumberFormat="1" applyFont="1" applyFill="1" applyBorder="1" applyAlignment="1">
      <alignment horizontal="center" vertical="center" wrapText="1"/>
    </xf>
    <xf numFmtId="176" fontId="49" fillId="9" borderId="2" xfId="20" applyNumberFormat="1" applyFont="1" applyFill="1" applyBorder="1" applyAlignment="1">
      <alignment vertical="center"/>
    </xf>
    <xf numFmtId="0" fontId="49" fillId="13" borderId="2" xfId="20" applyFont="1" applyFill="1" applyBorder="1" applyAlignment="1">
      <alignment horizontal="center" vertical="center"/>
    </xf>
    <xf numFmtId="0" fontId="49" fillId="13" borderId="6" xfId="20" applyFont="1" applyFill="1" applyBorder="1" applyAlignment="1">
      <alignment horizontal="left" vertical="center" wrapText="1"/>
    </xf>
    <xf numFmtId="165" fontId="49" fillId="13" borderId="2" xfId="20" applyNumberFormat="1" applyFont="1" applyFill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/>
    </xf>
    <xf numFmtId="43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43" fontId="16" fillId="2" borderId="0" xfId="2" applyFont="1" applyFill="1" applyBorder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43" fontId="25" fillId="4" borderId="27" xfId="10" applyFont="1" applyFill="1" applyBorder="1" applyAlignment="1">
      <alignment horizontal="center" vertical="center" wrapText="1"/>
    </xf>
    <xf numFmtId="43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43" fontId="48" fillId="4" borderId="24" xfId="21" applyFont="1" applyFill="1" applyBorder="1" applyAlignment="1">
      <alignment horizontal="center" vertical="center" wrapText="1"/>
    </xf>
    <xf numFmtId="43" fontId="48" fillId="4" borderId="36" xfId="21" applyFont="1" applyFill="1" applyBorder="1" applyAlignment="1">
      <alignment horizontal="center" vertical="center" wrapText="1"/>
    </xf>
    <xf numFmtId="43" fontId="48" fillId="4" borderId="31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7" fontId="48" fillId="4" borderId="4" xfId="21" applyNumberFormat="1" applyFont="1" applyFill="1" applyBorder="1" applyAlignment="1">
      <alignment horizontal="center" vertical="center" wrapText="1"/>
    </xf>
    <xf numFmtId="43" fontId="48" fillId="4" borderId="26" xfId="21" applyFont="1" applyFill="1" applyBorder="1" applyAlignment="1">
      <alignment horizontal="center" vertical="center" wrapText="1"/>
    </xf>
    <xf numFmtId="43" fontId="48" fillId="4" borderId="28" xfId="21" applyFont="1" applyFill="1" applyBorder="1" applyAlignment="1">
      <alignment horizontal="center" vertical="center" wrapText="1"/>
    </xf>
    <xf numFmtId="43" fontId="48" fillId="4" borderId="6" xfId="21" applyFont="1" applyFill="1" applyBorder="1" applyAlignment="1">
      <alignment horizontal="center" vertical="center" wrapText="1"/>
    </xf>
    <xf numFmtId="43" fontId="48" fillId="4" borderId="4" xfId="21" applyFont="1" applyFill="1" applyBorder="1" applyAlignment="1">
      <alignment horizontal="center" vertical="center" wrapText="1"/>
    </xf>
    <xf numFmtId="43" fontId="48" fillId="4" borderId="29" xfId="21" applyFont="1" applyFill="1" applyBorder="1" applyAlignment="1">
      <alignment horizontal="center" vertical="center" wrapText="1"/>
    </xf>
    <xf numFmtId="43" fontId="48" fillId="4" borderId="62" xfId="21" applyFont="1" applyFill="1" applyBorder="1" applyAlignment="1">
      <alignment horizontal="center" vertical="center" wrapText="1"/>
    </xf>
    <xf numFmtId="43" fontId="48" fillId="4" borderId="32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2" xfId="20" applyFont="1" applyFill="1" applyBorder="1" applyAlignment="1">
      <alignment horizontal="center" vertical="center"/>
    </xf>
    <xf numFmtId="0" fontId="48" fillId="4" borderId="22" xfId="20" applyFont="1" applyFill="1" applyBorder="1" applyAlignment="1">
      <alignment horizontal="center" vertical="center"/>
    </xf>
    <xf numFmtId="0" fontId="52" fillId="0" borderId="6" xfId="20" applyFont="1" applyFill="1" applyBorder="1" applyAlignment="1">
      <alignment horizontal="center" vertical="center"/>
    </xf>
    <xf numFmtId="0" fontId="52" fillId="0" borderId="19" xfId="20" applyFont="1" applyFill="1" applyBorder="1" applyAlignment="1">
      <alignment horizontal="center" vertical="center"/>
    </xf>
    <xf numFmtId="0" fontId="52" fillId="0" borderId="6" xfId="20" applyFont="1" applyFill="1" applyBorder="1" applyAlignment="1">
      <alignment horizontal="left" vertical="center" wrapText="1"/>
    </xf>
    <xf numFmtId="0" fontId="52" fillId="0" borderId="19" xfId="20" applyFont="1" applyFill="1" applyBorder="1" applyAlignment="1">
      <alignment horizontal="left" vertical="center" wrapText="1"/>
    </xf>
    <xf numFmtId="165" fontId="52" fillId="0" borderId="6" xfId="20" applyNumberFormat="1" applyFont="1" applyFill="1" applyBorder="1" applyAlignment="1">
      <alignment horizontal="center" vertical="center"/>
    </xf>
    <xf numFmtId="165" fontId="52" fillId="0" borderId="19" xfId="20" applyNumberFormat="1" applyFont="1" applyFill="1" applyBorder="1" applyAlignment="1">
      <alignment horizontal="center" vertical="center"/>
    </xf>
    <xf numFmtId="0" fontId="49" fillId="11" borderId="6" xfId="20" applyFont="1" applyFill="1" applyBorder="1" applyAlignment="1">
      <alignment horizontal="center" vertical="center"/>
    </xf>
    <xf numFmtId="0" fontId="49" fillId="11" borderId="20" xfId="20" applyFont="1" applyFill="1" applyBorder="1" applyAlignment="1">
      <alignment horizontal="center" vertical="center"/>
    </xf>
    <xf numFmtId="0" fontId="49" fillId="0" borderId="19" xfId="20" applyFont="1" applyFill="1" applyBorder="1" applyAlignment="1">
      <alignment horizontal="center" vertical="center"/>
    </xf>
    <xf numFmtId="0" fontId="49" fillId="11" borderId="6" xfId="20" applyFont="1" applyFill="1" applyBorder="1" applyAlignment="1">
      <alignment horizontal="left" vertical="center" wrapText="1"/>
    </xf>
    <xf numFmtId="0" fontId="49" fillId="11" borderId="20" xfId="20" applyFont="1" applyFill="1" applyBorder="1" applyAlignment="1">
      <alignment horizontal="left" vertical="center" wrapText="1"/>
    </xf>
    <xf numFmtId="0" fontId="49" fillId="0" borderId="19" xfId="20" applyFont="1" applyFill="1" applyBorder="1" applyAlignment="1">
      <alignment horizontal="left" vertical="center" wrapText="1"/>
    </xf>
    <xf numFmtId="0" fontId="49" fillId="0" borderId="20" xfId="20" applyFont="1" applyFill="1" applyBorder="1" applyAlignment="1">
      <alignment horizontal="center" vertical="center"/>
    </xf>
    <xf numFmtId="0" fontId="49" fillId="0" borderId="20" xfId="20" applyFont="1" applyFill="1" applyBorder="1" applyAlignment="1">
      <alignment horizontal="left" vertical="center" wrapText="1"/>
    </xf>
    <xf numFmtId="165" fontId="49" fillId="11" borderId="6" xfId="20" applyNumberFormat="1" applyFont="1" applyFill="1" applyBorder="1" applyAlignment="1">
      <alignment horizontal="center" vertical="center"/>
    </xf>
    <xf numFmtId="165" fontId="49" fillId="0" borderId="20" xfId="20" applyNumberFormat="1" applyFont="1" applyFill="1" applyBorder="1" applyAlignment="1">
      <alignment horizontal="center" vertical="center"/>
    </xf>
    <xf numFmtId="165" fontId="49" fillId="11" borderId="20" xfId="20" applyNumberFormat="1" applyFont="1" applyFill="1" applyBorder="1" applyAlignment="1">
      <alignment horizontal="center" vertical="center"/>
    </xf>
    <xf numFmtId="165" fontId="49" fillId="0" borderId="19" xfId="20" applyNumberFormat="1" applyFont="1" applyFill="1" applyBorder="1" applyAlignment="1">
      <alignment horizontal="center" vertical="center"/>
    </xf>
    <xf numFmtId="0" fontId="50" fillId="0" borderId="0" xfId="20" applyFont="1" applyBorder="1" applyAlignment="1">
      <alignment horizontal="center" vertical="center" wrapText="1"/>
    </xf>
    <xf numFmtId="43" fontId="48" fillId="4" borderId="40" xfId="21" applyFont="1" applyFill="1" applyBorder="1" applyAlignment="1">
      <alignment horizontal="center" vertical="center" wrapText="1"/>
    </xf>
    <xf numFmtId="43" fontId="48" fillId="4" borderId="66" xfId="21" applyFont="1" applyFill="1" applyBorder="1" applyAlignment="1">
      <alignment horizontal="center" vertical="center" wrapText="1"/>
    </xf>
    <xf numFmtId="43" fontId="48" fillId="4" borderId="67" xfId="21" applyFont="1" applyFill="1" applyBorder="1" applyAlignment="1">
      <alignment horizontal="center" vertical="center" wrapText="1"/>
    </xf>
    <xf numFmtId="43" fontId="48" fillId="4" borderId="14" xfId="21" applyFont="1" applyFill="1" applyBorder="1" applyAlignment="1">
      <alignment horizontal="center" vertical="center" wrapText="1"/>
    </xf>
    <xf numFmtId="43" fontId="48" fillId="4" borderId="16" xfId="21" applyFont="1" applyFill="1" applyBorder="1" applyAlignment="1">
      <alignment horizontal="center" vertical="center" wrapText="1"/>
    </xf>
    <xf numFmtId="43" fontId="48" fillId="4" borderId="10" xfId="21" applyFont="1" applyFill="1" applyBorder="1" applyAlignment="1">
      <alignment horizontal="center" vertical="center" wrapText="1"/>
    </xf>
    <xf numFmtId="0" fontId="49" fillId="11" borderId="19" xfId="20" applyFont="1" applyFill="1" applyBorder="1" applyAlignment="1">
      <alignment horizontal="center" vertical="center"/>
    </xf>
    <xf numFmtId="0" fontId="49" fillId="11" borderId="19" xfId="20" applyFont="1" applyFill="1" applyBorder="1" applyAlignment="1">
      <alignment horizontal="left" vertical="center" wrapText="1"/>
    </xf>
    <xf numFmtId="165" fontId="49" fillId="11" borderId="19" xfId="20" applyNumberFormat="1" applyFont="1" applyFill="1" applyBorder="1" applyAlignment="1">
      <alignment horizontal="center" vertical="center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20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43" fontId="38" fillId="2" borderId="12" xfId="21" applyFont="1" applyFill="1" applyBorder="1" applyAlignment="1">
      <alignment horizontal="center" vertical="center" wrapText="1"/>
    </xf>
    <xf numFmtId="43" fontId="38" fillId="2" borderId="11" xfId="21" applyFont="1" applyFill="1" applyBorder="1" applyAlignment="1">
      <alignment horizontal="center" vertical="center" wrapText="1"/>
    </xf>
    <xf numFmtId="43" fontId="38" fillId="2" borderId="14" xfId="21" applyFont="1" applyFill="1" applyBorder="1" applyAlignment="1">
      <alignment horizontal="center" vertical="center" wrapText="1"/>
    </xf>
    <xf numFmtId="43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43" fontId="38" fillId="2" borderId="1" xfId="21" applyFont="1" applyFill="1" applyBorder="1" applyAlignment="1">
      <alignment horizontal="center" vertical="center" wrapText="1"/>
    </xf>
    <xf numFmtId="43" fontId="38" fillId="2" borderId="63" xfId="21" applyFont="1" applyFill="1" applyBorder="1" applyAlignment="1">
      <alignment horizontal="center" vertical="center" wrapText="1"/>
    </xf>
    <xf numFmtId="43" fontId="38" fillId="2" borderId="3" xfId="21" applyFont="1" applyFill="1" applyBorder="1" applyAlignment="1">
      <alignment horizontal="center" vertical="center" wrapText="1"/>
    </xf>
    <xf numFmtId="43" fontId="38" fillId="2" borderId="17" xfId="21" applyFont="1" applyFill="1" applyBorder="1" applyAlignment="1">
      <alignment horizontal="center" vertical="center" wrapText="1"/>
    </xf>
    <xf numFmtId="43" fontId="38" fillId="2" borderId="16" xfId="21" applyFont="1" applyFill="1" applyBorder="1" applyAlignment="1">
      <alignment horizontal="center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39" fillId="10" borderId="25" xfId="20" applyNumberFormat="1" applyFont="1" applyFill="1" applyBorder="1" applyAlignment="1">
      <alignment horizontal="center" vertical="center"/>
    </xf>
    <xf numFmtId="165" fontId="39" fillId="10" borderId="20" xfId="20" applyNumberFormat="1" applyFont="1" applyFill="1" applyBorder="1" applyAlignment="1">
      <alignment horizontal="center" vertical="center"/>
    </xf>
    <xf numFmtId="165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5" fontId="39" fillId="10" borderId="25" xfId="20" applyNumberFormat="1" applyFont="1" applyFill="1" applyBorder="1" applyAlignment="1">
      <alignment horizontal="left" vertical="center"/>
    </xf>
    <xf numFmtId="165" fontId="39" fillId="10" borderId="20" xfId="20" applyNumberFormat="1" applyFont="1" applyFill="1" applyBorder="1" applyAlignment="1">
      <alignment horizontal="left" vertical="center"/>
    </xf>
    <xf numFmtId="165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7" fillId="0" borderId="24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0" borderId="25" xfId="20" applyFont="1" applyBorder="1" applyAlignment="1">
      <alignment horizontal="center" vertical="center"/>
    </xf>
    <xf numFmtId="165" fontId="39" fillId="0" borderId="25" xfId="20" applyNumberFormat="1" applyFont="1" applyBorder="1" applyAlignment="1">
      <alignment horizontal="center" vertical="center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5" fontId="39" fillId="0" borderId="20" xfId="20" applyNumberFormat="1" applyFont="1" applyBorder="1" applyAlignment="1">
      <alignment horizontal="center" vertical="center"/>
    </xf>
    <xf numFmtId="165" fontId="39" fillId="0" borderId="4" xfId="20" applyNumberFormat="1" applyFont="1" applyBorder="1" applyAlignment="1">
      <alignment horizontal="center" vertical="center"/>
    </xf>
    <xf numFmtId="165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5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722" t="s">
        <v>37</v>
      </c>
      <c r="B5" s="722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722" t="s">
        <v>24</v>
      </c>
      <c r="B6" s="722"/>
      <c r="C6" s="82"/>
      <c r="D6" s="723"/>
      <c r="E6" s="723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722" t="s">
        <v>38</v>
      </c>
      <c r="B7" s="722"/>
      <c r="C7" s="722"/>
      <c r="D7" s="722"/>
      <c r="E7" s="722"/>
      <c r="F7" s="722"/>
      <c r="G7" s="722"/>
      <c r="H7" s="722"/>
      <c r="I7" s="722"/>
      <c r="J7" s="82"/>
      <c r="L7" s="61"/>
      <c r="V7" s="62"/>
      <c r="W7" s="63"/>
    </row>
    <row r="8" spans="1:23" s="60" customFormat="1" ht="12.75" customHeight="1" x14ac:dyDescent="0.25">
      <c r="A8" s="722" t="s">
        <v>39</v>
      </c>
      <c r="B8" s="722"/>
      <c r="C8" s="722"/>
      <c r="D8" s="722"/>
      <c r="E8" s="722"/>
      <c r="F8" s="722"/>
      <c r="G8" s="722"/>
      <c r="H8" s="722"/>
      <c r="I8" s="722"/>
      <c r="J8" s="82"/>
      <c r="L8" s="61"/>
      <c r="V8" s="62"/>
      <c r="W8" s="63"/>
    </row>
    <row r="9" spans="1:23" s="60" customFormat="1" ht="12.75" customHeight="1" x14ac:dyDescent="0.25">
      <c r="A9" s="721" t="s">
        <v>40</v>
      </c>
      <c r="B9" s="721"/>
      <c r="C9" s="721"/>
      <c r="D9" s="721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715" t="s">
        <v>0</v>
      </c>
      <c r="B11" s="715"/>
      <c r="C11" s="715"/>
      <c r="D11" s="715"/>
      <c r="E11" s="715"/>
      <c r="F11" s="715"/>
      <c r="G11" s="715"/>
      <c r="H11" s="715"/>
      <c r="I11" s="715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716" t="s">
        <v>1</v>
      </c>
      <c r="B13" s="717" t="s">
        <v>2</v>
      </c>
      <c r="C13" s="716" t="s">
        <v>13</v>
      </c>
      <c r="D13" s="718" t="s">
        <v>3</v>
      </c>
      <c r="E13" s="719" t="s">
        <v>14</v>
      </c>
      <c r="F13" s="720" t="s">
        <v>27</v>
      </c>
      <c r="G13" s="720"/>
      <c r="H13" s="718" t="s">
        <v>17</v>
      </c>
      <c r="I13" s="718"/>
      <c r="J13" s="725" t="s">
        <v>30</v>
      </c>
      <c r="K13" s="726"/>
      <c r="L13" s="727"/>
      <c r="M13" s="717" t="s">
        <v>26</v>
      </c>
      <c r="N13" s="717"/>
      <c r="O13" s="717"/>
      <c r="P13" s="717"/>
      <c r="Q13" s="717" t="s">
        <v>29</v>
      </c>
      <c r="R13" s="717"/>
      <c r="S13" s="717"/>
      <c r="T13" s="717"/>
      <c r="U13" s="717"/>
      <c r="V13" s="731" t="s">
        <v>34</v>
      </c>
      <c r="W13" s="732"/>
    </row>
    <row r="14" spans="1:23" s="3" customFormat="1" ht="20.25" customHeight="1" x14ac:dyDescent="0.25">
      <c r="A14" s="716"/>
      <c r="B14" s="717"/>
      <c r="C14" s="716"/>
      <c r="D14" s="718"/>
      <c r="E14" s="719"/>
      <c r="F14" s="718" t="s">
        <v>41</v>
      </c>
      <c r="G14" s="718"/>
      <c r="H14" s="718"/>
      <c r="I14" s="718"/>
      <c r="J14" s="728"/>
      <c r="K14" s="729"/>
      <c r="L14" s="730"/>
      <c r="M14" s="717"/>
      <c r="N14" s="717"/>
      <c r="O14" s="717"/>
      <c r="P14" s="717"/>
      <c r="Q14" s="717"/>
      <c r="R14" s="717"/>
      <c r="S14" s="717"/>
      <c r="T14" s="717"/>
      <c r="U14" s="717"/>
      <c r="V14" s="733"/>
      <c r="W14" s="734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733"/>
      <c r="W15" s="734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724" t="s">
        <v>32</v>
      </c>
      <c r="U16" s="724"/>
      <c r="V16" s="735"/>
      <c r="W16" s="736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T16:U16"/>
    <mergeCell ref="Q13:U14"/>
    <mergeCell ref="J13:L14"/>
    <mergeCell ref="V13:W16"/>
    <mergeCell ref="M13:P14"/>
    <mergeCell ref="A9:D9"/>
    <mergeCell ref="A5:B5"/>
    <mergeCell ref="A6:B6"/>
    <mergeCell ref="D6:E6"/>
    <mergeCell ref="A7:I7"/>
    <mergeCell ref="A8:I8"/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746" t="s">
        <v>93</v>
      </c>
      <c r="B1" s="746"/>
      <c r="C1" s="746"/>
      <c r="D1" s="746"/>
      <c r="E1" s="746"/>
      <c r="F1" s="746"/>
      <c r="G1" s="746"/>
      <c r="H1" s="746"/>
      <c r="I1" s="746"/>
      <c r="J1" s="746"/>
      <c r="K1" s="746"/>
      <c r="L1" s="746"/>
      <c r="M1" s="746"/>
    </row>
    <row r="2" spans="1:13" ht="16.2" thickBot="1" x14ac:dyDescent="0.3">
      <c r="M2" s="216"/>
    </row>
    <row r="3" spans="1:13" ht="31.5" customHeight="1" x14ac:dyDescent="0.25">
      <c r="A3" s="756" t="s">
        <v>84</v>
      </c>
      <c r="B3" s="758" t="s">
        <v>82</v>
      </c>
      <c r="C3" s="758" t="s">
        <v>86</v>
      </c>
      <c r="D3" s="758" t="s">
        <v>85</v>
      </c>
      <c r="E3" s="747" t="s">
        <v>83</v>
      </c>
      <c r="F3" s="751" t="s">
        <v>90</v>
      </c>
      <c r="G3" s="752"/>
      <c r="H3" s="753"/>
      <c r="I3" s="749" t="s">
        <v>9</v>
      </c>
      <c r="J3" s="754" t="s">
        <v>91</v>
      </c>
      <c r="K3" s="754"/>
      <c r="L3" s="755"/>
      <c r="M3" s="749" t="s">
        <v>50</v>
      </c>
    </row>
    <row r="4" spans="1:13" x14ac:dyDescent="0.25">
      <c r="A4" s="757"/>
      <c r="B4" s="759"/>
      <c r="C4" s="759"/>
      <c r="D4" s="759"/>
      <c r="E4" s="748"/>
      <c r="F4" s="145" t="s">
        <v>87</v>
      </c>
      <c r="G4" s="135" t="s">
        <v>88</v>
      </c>
      <c r="H4" s="135" t="s">
        <v>89</v>
      </c>
      <c r="I4" s="750"/>
      <c r="J4" s="143" t="s">
        <v>87</v>
      </c>
      <c r="K4" s="135" t="s">
        <v>88</v>
      </c>
      <c r="L4" s="135" t="s">
        <v>89</v>
      </c>
      <c r="M4" s="750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740">
        <v>4</v>
      </c>
      <c r="B6" s="737" t="s">
        <v>97</v>
      </c>
      <c r="C6" s="743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741"/>
      <c r="B7" s="738"/>
      <c r="C7" s="744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741"/>
      <c r="B8" s="738"/>
      <c r="C8" s="744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742"/>
      <c r="B9" s="739"/>
      <c r="C9" s="745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775" t="s">
        <v>84</v>
      </c>
      <c r="B2" s="775" t="s">
        <v>99</v>
      </c>
      <c r="C2" s="775" t="s">
        <v>86</v>
      </c>
      <c r="D2" s="775" t="s">
        <v>51</v>
      </c>
      <c r="E2" s="769" t="s">
        <v>100</v>
      </c>
      <c r="F2" s="770"/>
      <c r="G2" s="771"/>
      <c r="H2" s="772" t="s">
        <v>101</v>
      </c>
      <c r="I2" s="773"/>
      <c r="J2" s="773"/>
      <c r="K2" s="773"/>
      <c r="L2" s="773"/>
      <c r="M2" s="774"/>
      <c r="N2" s="769" t="s">
        <v>102</v>
      </c>
      <c r="O2" s="770"/>
      <c r="P2" s="771"/>
    </row>
    <row r="3" spans="1:16" ht="16.2" thickBot="1" x14ac:dyDescent="0.3">
      <c r="A3" s="776"/>
      <c r="B3" s="776"/>
      <c r="C3" s="776"/>
      <c r="D3" s="776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760">
        <v>4</v>
      </c>
      <c r="B4" s="763" t="s">
        <v>109</v>
      </c>
      <c r="C4" s="763" t="s">
        <v>94</v>
      </c>
      <c r="D4" s="763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761"/>
      <c r="B5" s="764"/>
      <c r="C5" s="764"/>
      <c r="D5" s="764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761"/>
      <c r="B6" s="764"/>
      <c r="C6" s="764"/>
      <c r="D6" s="764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761"/>
      <c r="B7" s="764"/>
      <c r="C7" s="764"/>
      <c r="D7" s="764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761"/>
      <c r="B8" s="764"/>
      <c r="C8" s="764"/>
      <c r="D8" s="765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761"/>
      <c r="B9" s="764"/>
      <c r="C9" s="764"/>
      <c r="D9" s="766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761"/>
      <c r="B10" s="764"/>
      <c r="C10" s="764"/>
      <c r="D10" s="767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761"/>
      <c r="B11" s="764"/>
      <c r="C11" s="764"/>
      <c r="D11" s="768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761"/>
      <c r="B12" s="764"/>
      <c r="C12" s="764"/>
      <c r="D12" s="763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761"/>
      <c r="B13" s="764"/>
      <c r="C13" s="764"/>
      <c r="D13" s="764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761"/>
      <c r="B14" s="764"/>
      <c r="C14" s="764"/>
      <c r="D14" s="765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761"/>
      <c r="B15" s="764"/>
      <c r="C15" s="764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762"/>
      <c r="B16" s="765"/>
      <c r="C16" s="765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E2:G2"/>
    <mergeCell ref="H2:M2"/>
    <mergeCell ref="N2:P2"/>
    <mergeCell ref="A2:A3"/>
    <mergeCell ref="B2:B3"/>
    <mergeCell ref="C2:C3"/>
    <mergeCell ref="D2:D3"/>
    <mergeCell ref="A4:A16"/>
    <mergeCell ref="B4:B16"/>
    <mergeCell ref="C4:C16"/>
    <mergeCell ref="D9:D11"/>
    <mergeCell ref="D4:D8"/>
    <mergeCell ref="D12:D1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4"/>
  <sheetViews>
    <sheetView showWhiteSpace="0" zoomScale="81" zoomScaleNormal="81" zoomScaleSheetLayoutView="76" workbookViewId="0">
      <pane ySplit="5" topLeftCell="A6" activePane="bottomLeft" state="frozen"/>
      <selection pane="bottomLeft" activeCell="H58" sqref="H58"/>
    </sheetView>
  </sheetViews>
  <sheetFormatPr defaultColWidth="9.109375" defaultRowHeight="12" x14ac:dyDescent="0.25"/>
  <cols>
    <col min="1" max="1" width="10.44140625" style="308" customWidth="1"/>
    <col min="2" max="2" width="59.33203125" style="308" customWidth="1"/>
    <col min="3" max="4" width="20.6640625" style="342" customWidth="1"/>
    <col min="5" max="5" width="24.6640625" style="342" customWidth="1"/>
    <col min="6" max="6" width="20.6640625" style="342" customWidth="1"/>
    <col min="7" max="7" width="23.44140625" style="342" customWidth="1"/>
    <col min="8" max="8" width="21.33203125" style="342" customWidth="1"/>
    <col min="9" max="9" width="32.109375" style="342" customWidth="1"/>
    <col min="10" max="10" width="24.33203125" style="308" customWidth="1"/>
    <col min="11" max="11" width="51" style="308" customWidth="1"/>
    <col min="12" max="12" width="16.44140625" style="308" customWidth="1"/>
    <col min="13" max="16384" width="9.109375" style="308"/>
  </cols>
  <sheetData>
    <row r="1" spans="1:36" ht="16.95" customHeight="1" x14ac:dyDescent="0.25">
      <c r="A1" s="777" t="s">
        <v>268</v>
      </c>
      <c r="B1" s="777"/>
      <c r="C1" s="777"/>
      <c r="D1" s="777"/>
      <c r="E1" s="777"/>
      <c r="F1" s="777"/>
      <c r="G1" s="777"/>
      <c r="H1" s="777"/>
      <c r="I1" s="777"/>
    </row>
    <row r="2" spans="1:36" ht="59.4" customHeight="1" thickBot="1" x14ac:dyDescent="0.3">
      <c r="A2" s="777"/>
      <c r="B2" s="777"/>
      <c r="C2" s="777"/>
      <c r="D2" s="777"/>
      <c r="E2" s="777"/>
      <c r="F2" s="777"/>
      <c r="G2" s="777"/>
      <c r="H2" s="777"/>
      <c r="I2" s="777"/>
    </row>
    <row r="3" spans="1:36" ht="17.399999999999999" customHeight="1" x14ac:dyDescent="0.25">
      <c r="A3" s="778" t="s">
        <v>124</v>
      </c>
      <c r="B3" s="791" t="s">
        <v>185</v>
      </c>
      <c r="C3" s="781" t="s">
        <v>192</v>
      </c>
      <c r="D3" s="781" t="s">
        <v>193</v>
      </c>
      <c r="E3" s="781" t="s">
        <v>204</v>
      </c>
      <c r="F3" s="781" t="s">
        <v>187</v>
      </c>
      <c r="G3" s="784" t="s">
        <v>9</v>
      </c>
      <c r="H3" s="785"/>
      <c r="I3" s="788" t="s">
        <v>191</v>
      </c>
    </row>
    <row r="4" spans="1:36" ht="21" customHeight="1" x14ac:dyDescent="0.25">
      <c r="A4" s="779"/>
      <c r="B4" s="792"/>
      <c r="C4" s="782"/>
      <c r="D4" s="782"/>
      <c r="E4" s="782"/>
      <c r="F4" s="782"/>
      <c r="G4" s="786"/>
      <c r="H4" s="786" t="s">
        <v>190</v>
      </c>
      <c r="I4" s="789"/>
    </row>
    <row r="5" spans="1:36" ht="30" customHeight="1" thickBot="1" x14ac:dyDescent="0.3">
      <c r="A5" s="780"/>
      <c r="B5" s="793"/>
      <c r="C5" s="783"/>
      <c r="D5" s="783"/>
      <c r="E5" s="783"/>
      <c r="F5" s="783"/>
      <c r="G5" s="787"/>
      <c r="H5" s="787"/>
      <c r="I5" s="790"/>
    </row>
    <row r="6" spans="1:36" s="323" customFormat="1" ht="49.2" customHeight="1" x14ac:dyDescent="0.25">
      <c r="A6" s="621" t="s">
        <v>53</v>
      </c>
      <c r="B6" s="622" t="s">
        <v>199</v>
      </c>
      <c r="C6" s="623">
        <v>69779.8</v>
      </c>
      <c r="D6" s="625">
        <v>0</v>
      </c>
      <c r="E6" s="626">
        <v>69779.8</v>
      </c>
      <c r="F6" s="627">
        <v>53555.703999999998</v>
      </c>
      <c r="G6" s="623" t="s">
        <v>249</v>
      </c>
      <c r="H6" s="623" t="s">
        <v>201</v>
      </c>
      <c r="I6" s="623"/>
      <c r="J6" s="533" t="s">
        <v>312</v>
      </c>
      <c r="K6" s="631" t="s">
        <v>318</v>
      </c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</row>
    <row r="7" spans="1:36" s="323" customFormat="1" ht="52.95" customHeight="1" x14ac:dyDescent="0.25">
      <c r="A7" s="592" t="s">
        <v>69</v>
      </c>
      <c r="B7" s="593" t="s">
        <v>200</v>
      </c>
      <c r="C7" s="594">
        <v>2044</v>
      </c>
      <c r="D7" s="595">
        <v>0</v>
      </c>
      <c r="E7" s="600">
        <v>2044</v>
      </c>
      <c r="F7" s="601">
        <v>1470.91625</v>
      </c>
      <c r="G7" s="594" t="s">
        <v>249</v>
      </c>
      <c r="H7" s="601" t="s">
        <v>251</v>
      </c>
      <c r="I7" s="602"/>
      <c r="J7" s="307" t="s">
        <v>189</v>
      </c>
      <c r="K7" s="631" t="s">
        <v>319</v>
      </c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</row>
    <row r="8" spans="1:36" s="323" customFormat="1" ht="42.6" customHeight="1" x14ac:dyDescent="0.25">
      <c r="A8" s="619" t="s">
        <v>293</v>
      </c>
      <c r="B8" s="556" t="s">
        <v>292</v>
      </c>
      <c r="C8" s="547">
        <v>5179518.46</v>
      </c>
      <c r="D8" s="616">
        <v>2703844.6878399146</v>
      </c>
      <c r="E8" s="546">
        <v>7883363.147839915</v>
      </c>
      <c r="F8" s="547">
        <v>4754646.7705159308</v>
      </c>
      <c r="G8" s="548" t="s">
        <v>203</v>
      </c>
      <c r="H8" s="616" t="s">
        <v>296</v>
      </c>
      <c r="I8" s="552"/>
      <c r="J8" s="533" t="s">
        <v>203</v>
      </c>
      <c r="K8" s="631" t="s">
        <v>320</v>
      </c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</row>
    <row r="9" spans="1:36" s="323" customFormat="1" ht="33" customHeight="1" x14ac:dyDescent="0.25">
      <c r="A9" s="619" t="s">
        <v>294</v>
      </c>
      <c r="B9" s="556" t="s">
        <v>291</v>
      </c>
      <c r="C9" s="547">
        <v>5158551.46</v>
      </c>
      <c r="D9" s="616">
        <v>1893049.3518639102</v>
      </c>
      <c r="E9" s="546">
        <v>7051600.8118639104</v>
      </c>
      <c r="F9" s="547">
        <v>3860347.5408726884</v>
      </c>
      <c r="G9" s="548" t="s">
        <v>203</v>
      </c>
      <c r="H9" s="616" t="s">
        <v>296</v>
      </c>
      <c r="I9" s="553"/>
      <c r="J9" s="307" t="s">
        <v>188</v>
      </c>
      <c r="K9" s="631" t="s">
        <v>316</v>
      </c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</row>
    <row r="10" spans="1:36" s="323" customFormat="1" ht="39" customHeight="1" x14ac:dyDescent="0.25">
      <c r="A10" s="619" t="s">
        <v>295</v>
      </c>
      <c r="B10" s="556" t="s">
        <v>290</v>
      </c>
      <c r="C10" s="547">
        <v>5110301.6399999997</v>
      </c>
      <c r="D10" s="616">
        <v>2656005.817839914</v>
      </c>
      <c r="E10" s="546">
        <v>7766307.4578399099</v>
      </c>
      <c r="F10" s="547">
        <v>4730790.0551202716</v>
      </c>
      <c r="G10" s="548" t="s">
        <v>203</v>
      </c>
      <c r="H10" s="616" t="s">
        <v>296</v>
      </c>
      <c r="I10" s="553"/>
      <c r="J10" s="534" t="s">
        <v>249</v>
      </c>
      <c r="K10" s="631" t="s">
        <v>321</v>
      </c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</row>
    <row r="11" spans="1:36" s="323" customFormat="1" ht="56.4" customHeight="1" x14ac:dyDescent="0.25">
      <c r="A11" s="576" t="s">
        <v>71</v>
      </c>
      <c r="B11" s="577" t="s">
        <v>194</v>
      </c>
      <c r="C11" s="545">
        <f t="shared" ref="C11:C16" si="0">E11-D11</f>
        <v>350360.21997806279</v>
      </c>
      <c r="D11" s="545">
        <v>53568.850021937236</v>
      </c>
      <c r="E11" s="546">
        <v>403929.07</v>
      </c>
      <c r="F11" s="545">
        <v>302771.48427855258</v>
      </c>
      <c r="G11" s="545" t="s">
        <v>249</v>
      </c>
      <c r="H11" s="554" t="s">
        <v>212</v>
      </c>
      <c r="I11" s="554"/>
      <c r="J11" s="318"/>
      <c r="K11" s="535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</row>
    <row r="12" spans="1:36" s="323" customFormat="1" ht="56.4" customHeight="1" x14ac:dyDescent="0.25">
      <c r="A12" s="603" t="s">
        <v>264</v>
      </c>
      <c r="B12" s="604" t="s">
        <v>265</v>
      </c>
      <c r="C12" s="594">
        <f>E12-D12</f>
        <v>37400</v>
      </c>
      <c r="D12" s="594">
        <v>9854.52</v>
      </c>
      <c r="E12" s="596">
        <v>47254.520000000004</v>
      </c>
      <c r="F12" s="594">
        <v>29668.175600000002</v>
      </c>
      <c r="G12" s="594" t="s">
        <v>249</v>
      </c>
      <c r="H12" s="599" t="s">
        <v>269</v>
      </c>
      <c r="I12" s="599"/>
      <c r="J12" s="318"/>
      <c r="K12" s="535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</row>
    <row r="13" spans="1:36" s="323" customFormat="1" ht="41.4" customHeight="1" x14ac:dyDescent="0.25">
      <c r="A13" s="543" t="s">
        <v>72</v>
      </c>
      <c r="B13" s="544" t="s">
        <v>195</v>
      </c>
      <c r="C13" s="547">
        <f t="shared" si="0"/>
        <v>37087.250000000007</v>
      </c>
      <c r="D13" s="547">
        <v>863.35</v>
      </c>
      <c r="E13" s="555">
        <v>37950.600000000006</v>
      </c>
      <c r="F13" s="547">
        <v>19776.593000000001</v>
      </c>
      <c r="G13" s="575" t="s">
        <v>249</v>
      </c>
      <c r="H13" s="554" t="s">
        <v>212</v>
      </c>
      <c r="I13" s="545"/>
      <c r="J13" s="539"/>
      <c r="K13" s="540"/>
      <c r="L13" s="537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</row>
    <row r="14" spans="1:36" s="323" customFormat="1" ht="55.2" customHeight="1" x14ac:dyDescent="0.25">
      <c r="A14" s="543" t="s">
        <v>208</v>
      </c>
      <c r="B14" s="544" t="s">
        <v>211</v>
      </c>
      <c r="C14" s="545">
        <f t="shared" si="0"/>
        <v>973903.16</v>
      </c>
      <c r="D14" s="545">
        <v>21018.84</v>
      </c>
      <c r="E14" s="546">
        <v>994922</v>
      </c>
      <c r="F14" s="545">
        <v>401728.42000000004</v>
      </c>
      <c r="G14" s="575" t="s">
        <v>249</v>
      </c>
      <c r="H14" s="554" t="s">
        <v>212</v>
      </c>
      <c r="I14" s="545"/>
      <c r="J14" s="541"/>
      <c r="K14" s="542"/>
      <c r="L14" s="537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</row>
    <row r="15" spans="1:36" s="323" customFormat="1" ht="46.95" customHeight="1" x14ac:dyDescent="0.25">
      <c r="A15" s="543" t="s">
        <v>209</v>
      </c>
      <c r="B15" s="544" t="s">
        <v>206</v>
      </c>
      <c r="C15" s="545">
        <f t="shared" si="0"/>
        <v>392335.15</v>
      </c>
      <c r="D15" s="545">
        <v>9152.92</v>
      </c>
      <c r="E15" s="546">
        <v>401488.07</v>
      </c>
      <c r="F15" s="545">
        <v>172537.44209999999</v>
      </c>
      <c r="G15" s="575" t="s">
        <v>249</v>
      </c>
      <c r="H15" s="554" t="s">
        <v>212</v>
      </c>
      <c r="I15" s="545"/>
      <c r="J15" s="538"/>
      <c r="K15" s="538"/>
      <c r="L15" s="537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</row>
    <row r="16" spans="1:36" s="323" customFormat="1" ht="48.6" customHeight="1" x14ac:dyDescent="0.25">
      <c r="A16" s="543" t="s">
        <v>210</v>
      </c>
      <c r="B16" s="544" t="s">
        <v>207</v>
      </c>
      <c r="C16" s="545">
        <f t="shared" si="0"/>
        <v>392335.15</v>
      </c>
      <c r="D16" s="545">
        <v>9152.92</v>
      </c>
      <c r="E16" s="546">
        <v>401488.07</v>
      </c>
      <c r="F16" s="545">
        <v>172537.44209999999</v>
      </c>
      <c r="G16" s="575" t="s">
        <v>249</v>
      </c>
      <c r="H16" s="554" t="s">
        <v>212</v>
      </c>
      <c r="I16" s="545"/>
      <c r="J16" s="536"/>
      <c r="K16" s="535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</row>
    <row r="17" spans="1:36" s="323" customFormat="1" ht="41.4" customHeight="1" x14ac:dyDescent="0.25">
      <c r="A17" s="592" t="s">
        <v>74</v>
      </c>
      <c r="B17" s="593" t="s">
        <v>186</v>
      </c>
      <c r="C17" s="597">
        <v>70000</v>
      </c>
      <c r="D17" s="597">
        <v>0</v>
      </c>
      <c r="E17" s="598">
        <v>70000</v>
      </c>
      <c r="F17" s="594">
        <v>45779.08</v>
      </c>
      <c r="G17" s="594" t="s">
        <v>249</v>
      </c>
      <c r="H17" s="599" t="s">
        <v>212</v>
      </c>
      <c r="I17" s="599"/>
      <c r="J17" s="318"/>
      <c r="K17" s="534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</row>
    <row r="18" spans="1:36" s="323" customFormat="1" ht="33.6" customHeight="1" x14ac:dyDescent="0.25">
      <c r="A18" s="543" t="s">
        <v>77</v>
      </c>
      <c r="B18" s="544" t="s">
        <v>196</v>
      </c>
      <c r="C18" s="545">
        <f>E18-D18</f>
        <v>2107510</v>
      </c>
      <c r="D18" s="545">
        <v>76400.000000000015</v>
      </c>
      <c r="E18" s="546">
        <v>2183910</v>
      </c>
      <c r="F18" s="545">
        <v>1772377.9</v>
      </c>
      <c r="G18" s="575" t="s">
        <v>249</v>
      </c>
      <c r="H18" s="554" t="s">
        <v>212</v>
      </c>
      <c r="I18" s="548"/>
      <c r="J18" s="536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</row>
    <row r="19" spans="1:36" s="323" customFormat="1" ht="37.200000000000003" customHeight="1" x14ac:dyDescent="0.25">
      <c r="A19" s="543" t="s">
        <v>78</v>
      </c>
      <c r="B19" s="544" t="s">
        <v>197</v>
      </c>
      <c r="C19" s="545">
        <f>E19-D19</f>
        <v>621686.26</v>
      </c>
      <c r="D19" s="545">
        <v>22419.839999999997</v>
      </c>
      <c r="E19" s="546">
        <v>644106.1</v>
      </c>
      <c r="F19" s="545">
        <v>457768.99099999992</v>
      </c>
      <c r="G19" s="575" t="s">
        <v>249</v>
      </c>
      <c r="H19" s="554" t="s">
        <v>219</v>
      </c>
      <c r="I19" s="545"/>
      <c r="J19" s="536"/>
      <c r="K19" s="535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</row>
    <row r="20" spans="1:36" s="323" customFormat="1" ht="41.4" customHeight="1" x14ac:dyDescent="0.25">
      <c r="A20" s="543" t="s">
        <v>76</v>
      </c>
      <c r="B20" s="544" t="s">
        <v>215</v>
      </c>
      <c r="C20" s="545">
        <f t="shared" ref="C20:C22" si="1">E20-D20</f>
        <v>518718.58640000003</v>
      </c>
      <c r="D20" s="547">
        <v>7985.1935999999996</v>
      </c>
      <c r="E20" s="546">
        <v>526703.78</v>
      </c>
      <c r="F20" s="547">
        <v>170608.85100000002</v>
      </c>
      <c r="G20" s="575" t="s">
        <v>249</v>
      </c>
      <c r="H20" s="554" t="s">
        <v>220</v>
      </c>
      <c r="I20" s="547"/>
      <c r="J20" s="318"/>
      <c r="K20" s="534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</row>
    <row r="21" spans="1:36" s="323" customFormat="1" ht="36" customHeight="1" x14ac:dyDescent="0.25">
      <c r="A21" s="592" t="s">
        <v>79</v>
      </c>
      <c r="B21" s="593" t="s">
        <v>213</v>
      </c>
      <c r="C21" s="594">
        <f t="shared" si="1"/>
        <v>76937.850000000006</v>
      </c>
      <c r="D21" s="597">
        <v>0</v>
      </c>
      <c r="E21" s="596">
        <v>76937.850000000006</v>
      </c>
      <c r="F21" s="597">
        <v>17455.175500000001</v>
      </c>
      <c r="G21" s="594" t="s">
        <v>249</v>
      </c>
      <c r="H21" s="601" t="s">
        <v>251</v>
      </c>
      <c r="I21" s="597"/>
      <c r="J21" s="318"/>
      <c r="K21" s="534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</row>
    <row r="22" spans="1:36" s="323" customFormat="1" ht="35.4" customHeight="1" x14ac:dyDescent="0.25">
      <c r="A22" s="592" t="s">
        <v>75</v>
      </c>
      <c r="B22" s="593" t="s">
        <v>214</v>
      </c>
      <c r="C22" s="594">
        <f t="shared" si="1"/>
        <v>300000</v>
      </c>
      <c r="D22" s="597">
        <v>0</v>
      </c>
      <c r="E22" s="596">
        <v>300000</v>
      </c>
      <c r="F22" s="597">
        <v>164500</v>
      </c>
      <c r="G22" s="594" t="s">
        <v>249</v>
      </c>
      <c r="H22" s="601" t="s">
        <v>251</v>
      </c>
      <c r="I22" s="597"/>
      <c r="J22" s="318"/>
      <c r="K22" s="534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</row>
    <row r="23" spans="1:36" s="323" customFormat="1" ht="32.4" customHeight="1" x14ac:dyDescent="0.25">
      <c r="A23" s="543" t="s">
        <v>80</v>
      </c>
      <c r="B23" s="544" t="s">
        <v>217</v>
      </c>
      <c r="C23" s="545">
        <v>658888.21000000008</v>
      </c>
      <c r="D23" s="547">
        <v>0</v>
      </c>
      <c r="E23" s="546">
        <v>658888.21000000008</v>
      </c>
      <c r="F23" s="547">
        <v>300153.67330000002</v>
      </c>
      <c r="G23" s="616" t="s">
        <v>249</v>
      </c>
      <c r="H23" s="554" t="s">
        <v>350</v>
      </c>
      <c r="I23" s="632"/>
      <c r="J23" s="318"/>
      <c r="K23" s="534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</row>
    <row r="24" spans="1:36" s="323" customFormat="1" ht="32.4" customHeight="1" x14ac:dyDescent="0.25">
      <c r="A24" s="592" t="s">
        <v>81</v>
      </c>
      <c r="B24" s="593" t="s">
        <v>227</v>
      </c>
      <c r="C24" s="594">
        <v>92115.83</v>
      </c>
      <c r="D24" s="597">
        <v>0</v>
      </c>
      <c r="E24" s="596">
        <v>92115.83</v>
      </c>
      <c r="F24" s="597">
        <v>44816.32</v>
      </c>
      <c r="G24" s="594" t="s">
        <v>249</v>
      </c>
      <c r="H24" s="599" t="s">
        <v>242</v>
      </c>
      <c r="I24" s="597"/>
      <c r="J24" s="318"/>
      <c r="K24" s="534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</row>
    <row r="25" spans="1:36" s="323" customFormat="1" ht="40.200000000000003" customHeight="1" x14ac:dyDescent="0.25">
      <c r="A25" s="592" t="s">
        <v>243</v>
      </c>
      <c r="B25" s="593" t="s">
        <v>247</v>
      </c>
      <c r="C25" s="594">
        <v>69692.789999999994</v>
      </c>
      <c r="D25" s="597">
        <v>0</v>
      </c>
      <c r="E25" s="596">
        <v>69692.789999999994</v>
      </c>
      <c r="F25" s="597">
        <v>44109.519699999997</v>
      </c>
      <c r="G25" s="594" t="s">
        <v>249</v>
      </c>
      <c r="H25" s="599" t="s">
        <v>242</v>
      </c>
      <c r="I25" s="605"/>
      <c r="J25" s="318"/>
      <c r="K25" s="534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</row>
    <row r="26" spans="1:36" s="323" customFormat="1" ht="43.2" customHeight="1" x14ac:dyDescent="0.25">
      <c r="A26" s="592" t="s">
        <v>244</v>
      </c>
      <c r="B26" s="593" t="s">
        <v>248</v>
      </c>
      <c r="C26" s="594">
        <v>130832</v>
      </c>
      <c r="D26" s="597">
        <v>0</v>
      </c>
      <c r="E26" s="596">
        <v>130832</v>
      </c>
      <c r="F26" s="597">
        <v>48252.100000000006</v>
      </c>
      <c r="G26" s="594" t="s">
        <v>249</v>
      </c>
      <c r="H26" s="599" t="s">
        <v>242</v>
      </c>
      <c r="I26" s="605"/>
      <c r="J26" s="318"/>
      <c r="K26" s="534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</row>
    <row r="27" spans="1:36" s="323" customFormat="1" ht="43.2" customHeight="1" x14ac:dyDescent="0.25">
      <c r="A27" s="617" t="s">
        <v>286</v>
      </c>
      <c r="B27" s="618" t="s">
        <v>287</v>
      </c>
      <c r="C27" s="616">
        <v>61643.270000000004</v>
      </c>
      <c r="D27" s="547">
        <v>0</v>
      </c>
      <c r="E27" s="546">
        <v>61643.270000000004</v>
      </c>
      <c r="F27" s="547">
        <v>22365.6181</v>
      </c>
      <c r="G27" s="616" t="s">
        <v>249</v>
      </c>
      <c r="H27" s="554" t="s">
        <v>298</v>
      </c>
      <c r="I27" s="615"/>
      <c r="J27" s="318"/>
      <c r="K27" s="534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</row>
    <row r="28" spans="1:36" s="323" customFormat="1" ht="40.950000000000003" customHeight="1" x14ac:dyDescent="0.25">
      <c r="A28" s="549" t="s">
        <v>169</v>
      </c>
      <c r="B28" s="550" t="s">
        <v>233</v>
      </c>
      <c r="C28" s="551">
        <v>5868795.1899999995</v>
      </c>
      <c r="D28" s="547">
        <v>0</v>
      </c>
      <c r="E28" s="546">
        <v>5868795.1899999995</v>
      </c>
      <c r="F28" s="547">
        <v>2423899.2856999999</v>
      </c>
      <c r="G28" s="580" t="s">
        <v>249</v>
      </c>
      <c r="H28" s="580" t="s">
        <v>263</v>
      </c>
      <c r="I28" s="547"/>
      <c r="J28" s="318"/>
      <c r="K28" s="534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</row>
    <row r="29" spans="1:36" s="323" customFormat="1" ht="37.950000000000003" customHeight="1" x14ac:dyDescent="0.25">
      <c r="A29" s="563" t="s">
        <v>170</v>
      </c>
      <c r="B29" s="564" t="s">
        <v>198</v>
      </c>
      <c r="C29" s="561">
        <v>1109034.9700000002</v>
      </c>
      <c r="D29" s="547"/>
      <c r="E29" s="546">
        <v>1109034.9700000002</v>
      </c>
      <c r="F29" s="547">
        <v>656317.54006999708</v>
      </c>
      <c r="G29" s="587" t="s">
        <v>249</v>
      </c>
      <c r="H29" s="554" t="s">
        <v>269</v>
      </c>
      <c r="I29" s="547"/>
      <c r="J29" s="318"/>
      <c r="K29" s="534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</row>
    <row r="30" spans="1:36" s="323" customFormat="1" ht="32.4" customHeight="1" x14ac:dyDescent="0.25">
      <c r="A30" s="592" t="s">
        <v>171</v>
      </c>
      <c r="B30" s="593" t="s">
        <v>226</v>
      </c>
      <c r="C30" s="594">
        <v>220420.19</v>
      </c>
      <c r="D30" s="597">
        <v>0</v>
      </c>
      <c r="E30" s="596">
        <v>220420.19</v>
      </c>
      <c r="F30" s="597">
        <v>172065.92569999999</v>
      </c>
      <c r="G30" s="594" t="s">
        <v>249</v>
      </c>
      <c r="H30" s="599" t="s">
        <v>242</v>
      </c>
      <c r="I30" s="597"/>
      <c r="J30" s="318"/>
      <c r="K30" s="534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</row>
    <row r="31" spans="1:36" s="323" customFormat="1" ht="34.200000000000003" customHeight="1" x14ac:dyDescent="0.25">
      <c r="A31" s="592" t="s">
        <v>172</v>
      </c>
      <c r="B31" s="593" t="s">
        <v>228</v>
      </c>
      <c r="C31" s="594">
        <v>19075.719999999998</v>
      </c>
      <c r="D31" s="597">
        <v>0</v>
      </c>
      <c r="E31" s="596">
        <v>19075.719999999998</v>
      </c>
      <c r="F31" s="597">
        <v>10869.5216</v>
      </c>
      <c r="G31" s="594" t="s">
        <v>249</v>
      </c>
      <c r="H31" s="599" t="s">
        <v>269</v>
      </c>
      <c r="I31" s="597"/>
      <c r="J31" s="318"/>
      <c r="K31" s="534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</row>
    <row r="32" spans="1:36" s="323" customFormat="1" ht="37.200000000000003" customHeight="1" x14ac:dyDescent="0.25">
      <c r="A32" s="592" t="s">
        <v>221</v>
      </c>
      <c r="B32" s="593" t="s">
        <v>231</v>
      </c>
      <c r="C32" s="594">
        <v>8730</v>
      </c>
      <c r="D32" s="597">
        <v>0</v>
      </c>
      <c r="E32" s="596">
        <v>8730</v>
      </c>
      <c r="F32" s="597">
        <v>4643.8600000000006</v>
      </c>
      <c r="G32" s="594" t="s">
        <v>249</v>
      </c>
      <c r="H32" s="599" t="s">
        <v>242</v>
      </c>
      <c r="I32" s="597"/>
      <c r="J32" s="318"/>
      <c r="K32" s="534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</row>
    <row r="33" spans="1:36" s="323" customFormat="1" ht="39.6" customHeight="1" x14ac:dyDescent="0.25">
      <c r="A33" s="567" t="s">
        <v>222</v>
      </c>
      <c r="B33" s="568" t="s">
        <v>241</v>
      </c>
      <c r="C33" s="566">
        <v>1821725.04</v>
      </c>
      <c r="D33" s="547">
        <v>0</v>
      </c>
      <c r="E33" s="546">
        <v>1821725.04</v>
      </c>
      <c r="F33" s="547">
        <v>1331254.8872</v>
      </c>
      <c r="G33" s="580" t="s">
        <v>249</v>
      </c>
      <c r="H33" s="580" t="s">
        <v>263</v>
      </c>
      <c r="I33" s="547"/>
      <c r="J33" s="318"/>
      <c r="K33" s="534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</row>
    <row r="34" spans="1:36" s="323" customFormat="1" ht="39.6" customHeight="1" x14ac:dyDescent="0.25">
      <c r="A34" s="574" t="s">
        <v>223</v>
      </c>
      <c r="B34" s="573" t="s">
        <v>246</v>
      </c>
      <c r="C34" s="572">
        <v>505000</v>
      </c>
      <c r="D34" s="547">
        <v>0</v>
      </c>
      <c r="E34" s="546">
        <v>505000</v>
      </c>
      <c r="F34" s="547">
        <v>298585.15000000002</v>
      </c>
      <c r="G34" s="580" t="s">
        <v>249</v>
      </c>
      <c r="H34" s="580" t="s">
        <v>263</v>
      </c>
      <c r="I34" s="547"/>
      <c r="J34" s="318"/>
      <c r="K34" s="534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</row>
    <row r="35" spans="1:36" s="323" customFormat="1" ht="41.4" customHeight="1" x14ac:dyDescent="0.25">
      <c r="A35" s="571" t="s">
        <v>245</v>
      </c>
      <c r="B35" s="570" t="s">
        <v>232</v>
      </c>
      <c r="C35" s="569">
        <v>959112.20788461529</v>
      </c>
      <c r="D35" s="547">
        <v>0</v>
      </c>
      <c r="E35" s="546">
        <v>959112.20788461529</v>
      </c>
      <c r="F35" s="547">
        <v>664712.82491923077</v>
      </c>
      <c r="G35" s="580" t="s">
        <v>249</v>
      </c>
      <c r="H35" s="580" t="s">
        <v>263</v>
      </c>
      <c r="I35" s="547"/>
      <c r="J35" s="318"/>
      <c r="K35" s="534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</row>
    <row r="36" spans="1:36" s="323" customFormat="1" ht="43.2" customHeight="1" x14ac:dyDescent="0.25">
      <c r="A36" s="592" t="s">
        <v>252</v>
      </c>
      <c r="B36" s="604" t="s">
        <v>254</v>
      </c>
      <c r="C36" s="594">
        <v>16887.37</v>
      </c>
      <c r="D36" s="597">
        <v>0</v>
      </c>
      <c r="E36" s="596">
        <v>16887.37</v>
      </c>
      <c r="F36" s="597">
        <v>9606.6483500000013</v>
      </c>
      <c r="G36" s="594" t="s">
        <v>249</v>
      </c>
      <c r="H36" s="599" t="s">
        <v>274</v>
      </c>
      <c r="I36" s="597"/>
      <c r="J36" s="318"/>
      <c r="K36" s="534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</row>
    <row r="37" spans="1:36" s="323" customFormat="1" ht="32.4" customHeight="1" x14ac:dyDescent="0.25">
      <c r="A37" s="579" t="s">
        <v>253</v>
      </c>
      <c r="B37" s="577" t="s">
        <v>255</v>
      </c>
      <c r="C37" s="578">
        <v>35345</v>
      </c>
      <c r="D37" s="547">
        <v>0</v>
      </c>
      <c r="E37" s="546">
        <v>35345</v>
      </c>
      <c r="F37" s="547">
        <v>18769.95</v>
      </c>
      <c r="G37" s="588" t="s">
        <v>249</v>
      </c>
      <c r="H37" s="554" t="s">
        <v>274</v>
      </c>
      <c r="I37" s="547"/>
      <c r="J37" s="318"/>
      <c r="K37" s="534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</row>
    <row r="38" spans="1:36" s="323" customFormat="1" ht="32.4" customHeight="1" x14ac:dyDescent="0.25">
      <c r="A38" s="579" t="s">
        <v>258</v>
      </c>
      <c r="B38" s="577" t="s">
        <v>256</v>
      </c>
      <c r="C38" s="578">
        <v>35365.25</v>
      </c>
      <c r="D38" s="547">
        <v>0</v>
      </c>
      <c r="E38" s="546">
        <v>35365.25</v>
      </c>
      <c r="F38" s="547">
        <v>18744.2775</v>
      </c>
      <c r="G38" s="588" t="s">
        <v>249</v>
      </c>
      <c r="H38" s="554" t="s">
        <v>274</v>
      </c>
      <c r="I38" s="547"/>
      <c r="J38" s="318"/>
      <c r="K38" s="534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</row>
    <row r="39" spans="1:36" s="323" customFormat="1" ht="32.4" customHeight="1" x14ac:dyDescent="0.25">
      <c r="A39" s="592" t="s">
        <v>259</v>
      </c>
      <c r="B39" s="604" t="s">
        <v>257</v>
      </c>
      <c r="C39" s="594">
        <v>35433.65</v>
      </c>
      <c r="D39" s="597">
        <v>0</v>
      </c>
      <c r="E39" s="596">
        <v>35433.65</v>
      </c>
      <c r="F39" s="597">
        <v>18743.161499999998</v>
      </c>
      <c r="G39" s="594" t="s">
        <v>249</v>
      </c>
      <c r="H39" s="599" t="s">
        <v>274</v>
      </c>
      <c r="I39" s="597"/>
      <c r="J39" s="318"/>
      <c r="K39" s="534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</row>
    <row r="40" spans="1:36" s="323" customFormat="1" ht="32.4" customHeight="1" x14ac:dyDescent="0.25">
      <c r="A40" s="579" t="s">
        <v>272</v>
      </c>
      <c r="B40" s="577" t="s">
        <v>261</v>
      </c>
      <c r="C40" s="578">
        <v>30402.5</v>
      </c>
      <c r="D40" s="547">
        <v>0</v>
      </c>
      <c r="E40" s="546">
        <v>30402.5</v>
      </c>
      <c r="F40" s="547">
        <v>15491.275</v>
      </c>
      <c r="G40" s="588" t="s">
        <v>249</v>
      </c>
      <c r="H40" s="554" t="s">
        <v>274</v>
      </c>
      <c r="I40" s="547"/>
      <c r="J40" s="318"/>
      <c r="K40" s="534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</row>
    <row r="41" spans="1:36" s="323" customFormat="1" ht="39.6" customHeight="1" x14ac:dyDescent="0.25">
      <c r="A41" s="563" t="s">
        <v>224</v>
      </c>
      <c r="B41" s="562" t="s">
        <v>234</v>
      </c>
      <c r="C41" s="561">
        <v>246953.74</v>
      </c>
      <c r="D41" s="547">
        <v>0</v>
      </c>
      <c r="E41" s="546">
        <v>246953.74</v>
      </c>
      <c r="F41" s="547">
        <v>102324.3898102552</v>
      </c>
      <c r="G41" s="588" t="s">
        <v>249</v>
      </c>
      <c r="H41" s="554" t="s">
        <v>274</v>
      </c>
      <c r="I41" s="547"/>
      <c r="J41" s="318"/>
      <c r="K41" s="534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</row>
    <row r="42" spans="1:36" s="323" customFormat="1" ht="32.4" customHeight="1" x14ac:dyDescent="0.25">
      <c r="A42" s="565" t="s">
        <v>225</v>
      </c>
      <c r="B42" s="560" t="s">
        <v>229</v>
      </c>
      <c r="C42" s="559">
        <v>799305.07999999984</v>
      </c>
      <c r="D42" s="547">
        <v>0</v>
      </c>
      <c r="E42" s="546">
        <v>799305.07999999984</v>
      </c>
      <c r="F42" s="547">
        <v>460219.92040000006</v>
      </c>
      <c r="G42" s="616" t="s">
        <v>249</v>
      </c>
      <c r="H42" s="554" t="s">
        <v>327</v>
      </c>
      <c r="I42" s="632"/>
      <c r="J42" s="318"/>
      <c r="K42" s="534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</row>
    <row r="43" spans="1:36" s="323" customFormat="1" ht="40.950000000000003" customHeight="1" x14ac:dyDescent="0.25">
      <c r="A43" s="582" t="s">
        <v>235</v>
      </c>
      <c r="B43" s="583" t="s">
        <v>273</v>
      </c>
      <c r="C43" s="581">
        <v>48963.26</v>
      </c>
      <c r="D43" s="547">
        <v>0</v>
      </c>
      <c r="E43" s="546">
        <v>48963.26</v>
      </c>
      <c r="F43" s="547">
        <v>31782.817800000001</v>
      </c>
      <c r="G43" s="609" t="s">
        <v>249</v>
      </c>
      <c r="H43" s="554" t="s">
        <v>281</v>
      </c>
      <c r="I43" s="547"/>
      <c r="J43" s="318"/>
      <c r="K43" s="534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</row>
    <row r="44" spans="1:36" s="323" customFormat="1" ht="32.4" customHeight="1" x14ac:dyDescent="0.25">
      <c r="A44" s="585" t="s">
        <v>262</v>
      </c>
      <c r="B44" s="586" t="s">
        <v>280</v>
      </c>
      <c r="C44" s="584">
        <v>1900000</v>
      </c>
      <c r="D44" s="547">
        <v>0</v>
      </c>
      <c r="E44" s="546">
        <v>1900000</v>
      </c>
      <c r="F44" s="547">
        <v>798121.95360000001</v>
      </c>
      <c r="G44" s="548" t="s">
        <v>249</v>
      </c>
      <c r="H44" s="554" t="s">
        <v>284</v>
      </c>
      <c r="I44" s="547"/>
      <c r="J44" s="318"/>
      <c r="K44" s="534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</row>
    <row r="45" spans="1:36" s="323" customFormat="1" ht="32.4" customHeight="1" x14ac:dyDescent="0.25">
      <c r="A45" s="629" t="s">
        <v>230</v>
      </c>
      <c r="B45" s="628" t="s">
        <v>216</v>
      </c>
      <c r="C45" s="616">
        <v>510000</v>
      </c>
      <c r="D45" s="555"/>
      <c r="E45" s="546">
        <v>510000</v>
      </c>
      <c r="F45" s="555">
        <v>269907.19</v>
      </c>
      <c r="G45" s="548" t="s">
        <v>249</v>
      </c>
      <c r="H45" s="554" t="s">
        <v>354</v>
      </c>
      <c r="I45" s="547"/>
      <c r="J45" s="318"/>
      <c r="K45" s="534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</row>
    <row r="46" spans="1:36" s="323" customFormat="1" ht="44.4" customHeight="1" x14ac:dyDescent="0.25">
      <c r="A46" s="592" t="s">
        <v>236</v>
      </c>
      <c r="B46" s="593" t="s">
        <v>271</v>
      </c>
      <c r="C46" s="594">
        <v>44103.59</v>
      </c>
      <c r="D46" s="597">
        <v>0</v>
      </c>
      <c r="E46" s="596">
        <v>44103.59</v>
      </c>
      <c r="F46" s="597">
        <v>25357.502700000005</v>
      </c>
      <c r="G46" s="594" t="s">
        <v>202</v>
      </c>
      <c r="H46" s="594" t="s">
        <v>288</v>
      </c>
      <c r="I46" s="597"/>
      <c r="J46" s="318"/>
      <c r="K46" s="534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</row>
    <row r="47" spans="1:36" s="323" customFormat="1" ht="44.4" customHeight="1" x14ac:dyDescent="0.25">
      <c r="A47" s="590" t="s">
        <v>237</v>
      </c>
      <c r="B47" s="591" t="s">
        <v>276</v>
      </c>
      <c r="C47" s="589">
        <v>25935.460399999996</v>
      </c>
      <c r="D47" s="547">
        <v>0</v>
      </c>
      <c r="E47" s="546">
        <v>25935.460399999996</v>
      </c>
      <c r="F47" s="547">
        <v>10860.509212000001</v>
      </c>
      <c r="G47" s="609" t="s">
        <v>249</v>
      </c>
      <c r="H47" s="554" t="s">
        <v>281</v>
      </c>
      <c r="I47" s="547"/>
      <c r="J47" s="318"/>
      <c r="K47" s="534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</row>
    <row r="48" spans="1:36" s="323" customFormat="1" ht="44.4" customHeight="1" x14ac:dyDescent="0.25">
      <c r="A48" s="612" t="s">
        <v>238</v>
      </c>
      <c r="B48" s="613" t="s">
        <v>282</v>
      </c>
      <c r="C48" s="611">
        <v>337206.36</v>
      </c>
      <c r="D48" s="547">
        <v>0</v>
      </c>
      <c r="E48" s="546">
        <v>337206.36</v>
      </c>
      <c r="F48" s="547">
        <v>186007.31080000001</v>
      </c>
      <c r="G48" s="548" t="s">
        <v>249</v>
      </c>
      <c r="H48" s="554" t="s">
        <v>284</v>
      </c>
      <c r="I48" s="547"/>
      <c r="J48" s="318"/>
      <c r="K48" s="534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</row>
    <row r="49" spans="1:36" s="323" customFormat="1" ht="44.4" customHeight="1" x14ac:dyDescent="0.25">
      <c r="A49" s="607" t="s">
        <v>239</v>
      </c>
      <c r="B49" s="608" t="s">
        <v>279</v>
      </c>
      <c r="C49" s="606">
        <v>5040</v>
      </c>
      <c r="D49" s="547">
        <v>0</v>
      </c>
      <c r="E49" s="546">
        <v>5040</v>
      </c>
      <c r="F49" s="547">
        <v>1252.905</v>
      </c>
      <c r="G49" s="548" t="s">
        <v>203</v>
      </c>
      <c r="H49" s="554" t="s">
        <v>278</v>
      </c>
      <c r="I49" s="632" t="s">
        <v>326</v>
      </c>
      <c r="J49" s="318"/>
      <c r="K49" s="534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</row>
    <row r="50" spans="1:36" s="323" customFormat="1" ht="44.4" customHeight="1" x14ac:dyDescent="0.25">
      <c r="A50" s="590" t="s">
        <v>240</v>
      </c>
      <c r="B50" s="591" t="s">
        <v>275</v>
      </c>
      <c r="C50" s="589">
        <v>40920.067115384612</v>
      </c>
      <c r="D50" s="547">
        <v>0</v>
      </c>
      <c r="E50" s="546">
        <v>40920.067115384612</v>
      </c>
      <c r="F50" s="547">
        <v>25790.699383039995</v>
      </c>
      <c r="G50" s="548" t="s">
        <v>249</v>
      </c>
      <c r="H50" s="554" t="s">
        <v>284</v>
      </c>
      <c r="I50" s="547"/>
      <c r="J50" s="318"/>
      <c r="K50" s="534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</row>
    <row r="51" spans="1:36" s="323" customFormat="1" ht="44.4" customHeight="1" x14ac:dyDescent="0.25">
      <c r="A51" s="617" t="s">
        <v>285</v>
      </c>
      <c r="B51" s="618" t="s">
        <v>297</v>
      </c>
      <c r="C51" s="616">
        <v>108026.29200000002</v>
      </c>
      <c r="D51" s="547">
        <v>0</v>
      </c>
      <c r="E51" s="546">
        <v>108026.29200000002</v>
      </c>
      <c r="F51" s="547">
        <v>38936.968760000003</v>
      </c>
      <c r="G51" s="548" t="s">
        <v>249</v>
      </c>
      <c r="H51" s="554" t="s">
        <v>337</v>
      </c>
      <c r="I51" s="632"/>
      <c r="J51" s="318"/>
      <c r="K51" s="534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</row>
    <row r="52" spans="1:36" s="323" customFormat="1" ht="32.4" customHeight="1" x14ac:dyDescent="0.25">
      <c r="A52" s="620" t="s">
        <v>289</v>
      </c>
      <c r="B52" s="544" t="s">
        <v>300</v>
      </c>
      <c r="C52" s="559">
        <v>6116.26</v>
      </c>
      <c r="D52" s="547">
        <v>0</v>
      </c>
      <c r="E52" s="546">
        <v>6116.26</v>
      </c>
      <c r="F52" s="547">
        <v>4441.6160500000005</v>
      </c>
      <c r="G52" s="548" t="s">
        <v>249</v>
      </c>
      <c r="H52" s="554" t="s">
        <v>309</v>
      </c>
      <c r="I52" s="547"/>
      <c r="J52" s="318"/>
      <c r="K52" s="534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</row>
    <row r="53" spans="1:36" s="323" customFormat="1" ht="55.8" customHeight="1" x14ac:dyDescent="0.25">
      <c r="A53" s="629" t="s">
        <v>301</v>
      </c>
      <c r="B53" s="544" t="s">
        <v>307</v>
      </c>
      <c r="C53" s="559">
        <v>15568.8</v>
      </c>
      <c r="D53" s="547">
        <v>0</v>
      </c>
      <c r="E53" s="546">
        <v>15568.8</v>
      </c>
      <c r="F53" s="547">
        <v>12830.784</v>
      </c>
      <c r="G53" s="548" t="s">
        <v>203</v>
      </c>
      <c r="H53" s="554" t="s">
        <v>311</v>
      </c>
      <c r="I53" s="632" t="s">
        <v>352</v>
      </c>
      <c r="J53" s="318"/>
      <c r="K53" s="534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</row>
    <row r="54" spans="1:36" s="323" customFormat="1" ht="51.6" customHeight="1" x14ac:dyDescent="0.25">
      <c r="A54" s="629" t="s">
        <v>302</v>
      </c>
      <c r="B54" s="544" t="s">
        <v>336</v>
      </c>
      <c r="C54" s="547">
        <v>142452.13</v>
      </c>
      <c r="D54" s="547">
        <v>0</v>
      </c>
      <c r="E54" s="546">
        <v>142452.13</v>
      </c>
      <c r="F54" s="547">
        <v>76606.931400000001</v>
      </c>
      <c r="G54" s="548" t="s">
        <v>249</v>
      </c>
      <c r="H54" s="554" t="s">
        <v>350</v>
      </c>
      <c r="I54" s="632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</row>
    <row r="55" spans="1:36" s="323" customFormat="1" ht="42.6" customHeight="1" x14ac:dyDescent="0.25">
      <c r="A55" s="629" t="s">
        <v>303</v>
      </c>
      <c r="B55" s="628" t="s">
        <v>353</v>
      </c>
      <c r="C55" s="616">
        <v>8258.1</v>
      </c>
      <c r="D55" s="616"/>
      <c r="E55" s="616">
        <v>8258.1</v>
      </c>
      <c r="F55" s="616">
        <v>4982.9030000000002</v>
      </c>
      <c r="G55" s="548" t="s">
        <v>249</v>
      </c>
      <c r="H55" s="554" t="s">
        <v>362</v>
      </c>
      <c r="I55" s="633"/>
      <c r="J55" s="634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</row>
    <row r="56" spans="1:36" s="323" customFormat="1" ht="42.6" customHeight="1" x14ac:dyDescent="0.25">
      <c r="A56" s="629" t="s">
        <v>305</v>
      </c>
      <c r="B56" s="628" t="s">
        <v>360</v>
      </c>
      <c r="C56" s="616">
        <v>646774</v>
      </c>
      <c r="D56" s="616"/>
      <c r="E56" s="616">
        <v>646774</v>
      </c>
      <c r="F56" s="616">
        <v>280415.69999999995</v>
      </c>
      <c r="G56" s="614" t="s">
        <v>188</v>
      </c>
      <c r="H56" s="554" t="s">
        <v>362</v>
      </c>
      <c r="I56" s="633"/>
      <c r="J56" s="634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</row>
    <row r="57" spans="1:36" s="323" customFormat="1" ht="42.6" customHeight="1" x14ac:dyDescent="0.25">
      <c r="A57" s="629" t="s">
        <v>306</v>
      </c>
      <c r="B57" s="628" t="s">
        <v>358</v>
      </c>
      <c r="C57" s="616"/>
      <c r="D57" s="616"/>
      <c r="E57" s="616"/>
      <c r="F57" s="616"/>
      <c r="G57" s="614" t="s">
        <v>203</v>
      </c>
      <c r="H57" s="554" t="s">
        <v>363</v>
      </c>
      <c r="I57" s="633"/>
      <c r="J57" s="634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</row>
    <row r="58" spans="1:36" s="324" customFormat="1" ht="22.95" customHeight="1" x14ac:dyDescent="0.25">
      <c r="A58" s="557"/>
      <c r="B58" s="557" t="s">
        <v>47</v>
      </c>
      <c r="C58" s="558">
        <f>SUM(C6:C55)</f>
        <v>37315817.31377805</v>
      </c>
      <c r="D58" s="558">
        <f>SUM(D6:D55)</f>
        <v>7463316.2911656741</v>
      </c>
      <c r="E58" s="558">
        <f>SUM(E6:E55)</f>
        <v>44779133.60494373</v>
      </c>
      <c r="F58" s="558">
        <f>SUM(F6:F55)</f>
        <v>25281146.481891979</v>
      </c>
      <c r="G58" s="558"/>
      <c r="H58" s="558"/>
      <c r="I58" s="558"/>
    </row>
    <row r="59" spans="1:36" x14ac:dyDescent="0.25">
      <c r="C59" s="339"/>
      <c r="D59" s="339"/>
      <c r="E59" s="339"/>
      <c r="F59" s="339"/>
      <c r="G59" s="339"/>
      <c r="H59" s="339"/>
      <c r="I59" s="339"/>
    </row>
    <row r="60" spans="1:36" x14ac:dyDescent="0.25">
      <c r="C60" s="339"/>
      <c r="D60" s="339"/>
      <c r="E60" s="339"/>
      <c r="F60" s="339"/>
      <c r="G60" s="339"/>
      <c r="H60" s="339"/>
      <c r="I60" s="339"/>
    </row>
    <row r="61" spans="1:36" x14ac:dyDescent="0.25">
      <c r="C61" s="339"/>
      <c r="D61" s="339"/>
      <c r="E61" s="339"/>
      <c r="F61" s="339"/>
      <c r="G61" s="339"/>
      <c r="H61" s="339"/>
      <c r="I61" s="339"/>
    </row>
    <row r="62" spans="1:36" x14ac:dyDescent="0.25">
      <c r="C62" s="339"/>
      <c r="D62" s="339"/>
      <c r="E62" s="339"/>
      <c r="F62" s="339"/>
      <c r="G62" s="339"/>
      <c r="H62" s="339"/>
      <c r="I62" s="339"/>
    </row>
    <row r="63" spans="1:36" x14ac:dyDescent="0.25">
      <c r="C63" s="339"/>
      <c r="D63" s="339"/>
      <c r="E63" s="339"/>
      <c r="F63" s="339"/>
      <c r="G63" s="339"/>
      <c r="H63" s="339"/>
      <c r="I63" s="339"/>
    </row>
    <row r="64" spans="1:36" x14ac:dyDescent="0.25">
      <c r="C64" s="339"/>
      <c r="D64" s="339"/>
      <c r="E64" s="339"/>
      <c r="F64" s="339"/>
      <c r="G64" s="339"/>
      <c r="H64" s="339"/>
      <c r="I64" s="339"/>
    </row>
  </sheetData>
  <mergeCells count="11">
    <mergeCell ref="A1:I2"/>
    <mergeCell ref="A3:A5"/>
    <mergeCell ref="C3:C5"/>
    <mergeCell ref="F3:F5"/>
    <mergeCell ref="G3:H3"/>
    <mergeCell ref="G4:G5"/>
    <mergeCell ref="H4:H5"/>
    <mergeCell ref="I3:I5"/>
    <mergeCell ref="B3:B5"/>
    <mergeCell ref="E3:E5"/>
    <mergeCell ref="D3:D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62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AL95"/>
  <sheetViews>
    <sheetView tabSelected="1" showWhiteSpace="0" zoomScale="73" zoomScaleNormal="73" zoomScaleSheetLayoutView="36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F38" sqref="F38"/>
    </sheetView>
  </sheetViews>
  <sheetFormatPr defaultColWidth="9.109375" defaultRowHeight="12" outlineLevelRow="1" outlineLevelCol="1" x14ac:dyDescent="0.25"/>
  <cols>
    <col min="1" max="1" width="10.44140625" style="308" customWidth="1"/>
    <col min="2" max="2" width="56.33203125" style="308" customWidth="1"/>
    <col min="3" max="3" width="20.6640625" style="342" customWidth="1"/>
    <col min="4" max="4" width="8.33203125" style="342" customWidth="1"/>
    <col min="5" max="5" width="12.33203125" style="342" hidden="1" customWidth="1" outlineLevel="1"/>
    <col min="6" max="6" width="21.6640625" style="342" customWidth="1" collapsed="1"/>
    <col min="7" max="8" width="19.88671875" style="342" customWidth="1"/>
    <col min="9" max="9" width="24.109375" style="342" customWidth="1"/>
    <col min="10" max="10" width="18.5546875" style="342" customWidth="1"/>
    <col min="11" max="11" width="39.109375" style="342" customWidth="1"/>
    <col min="12" max="12" width="21.5546875" style="308" customWidth="1"/>
    <col min="13" max="13" width="36.77734375" style="308" customWidth="1"/>
    <col min="14" max="14" width="16.44140625" style="308" customWidth="1"/>
    <col min="15" max="16384" width="9.109375" style="308"/>
  </cols>
  <sheetData>
    <row r="1" spans="1:13" ht="16.95" customHeight="1" x14ac:dyDescent="0.25">
      <c r="A1" s="777" t="s">
        <v>205</v>
      </c>
      <c r="B1" s="777"/>
      <c r="C1" s="777"/>
      <c r="D1" s="777"/>
      <c r="E1" s="777"/>
      <c r="F1" s="777"/>
      <c r="G1" s="777"/>
      <c r="H1" s="777"/>
      <c r="I1" s="777"/>
      <c r="J1" s="777"/>
      <c r="K1" s="777"/>
    </row>
    <row r="2" spans="1:13" ht="59.4" customHeight="1" thickBot="1" x14ac:dyDescent="0.3">
      <c r="A2" s="812"/>
      <c r="B2" s="812"/>
      <c r="C2" s="812"/>
      <c r="D2" s="812"/>
      <c r="E2" s="812"/>
      <c r="F2" s="812"/>
      <c r="G2" s="812"/>
      <c r="H2" s="812"/>
      <c r="I2" s="812"/>
      <c r="J2" s="812"/>
      <c r="K2" s="812"/>
    </row>
    <row r="3" spans="1:13" ht="17.399999999999999" customHeight="1" x14ac:dyDescent="0.25">
      <c r="A3" s="778" t="s">
        <v>124</v>
      </c>
      <c r="B3" s="791" t="s">
        <v>185</v>
      </c>
      <c r="C3" s="781" t="s">
        <v>204</v>
      </c>
      <c r="D3" s="813" t="s">
        <v>218</v>
      </c>
      <c r="E3" s="814"/>
      <c r="F3" s="814"/>
      <c r="G3" s="814"/>
      <c r="H3" s="814"/>
      <c r="I3" s="814"/>
      <c r="J3" s="815"/>
      <c r="K3" s="788" t="s">
        <v>191</v>
      </c>
    </row>
    <row r="4" spans="1:13" ht="12.6" customHeight="1" x14ac:dyDescent="0.25">
      <c r="A4" s="779"/>
      <c r="B4" s="792"/>
      <c r="C4" s="782"/>
      <c r="D4" s="816"/>
      <c r="E4" s="817"/>
      <c r="F4" s="817"/>
      <c r="G4" s="817"/>
      <c r="H4" s="817"/>
      <c r="I4" s="817"/>
      <c r="J4" s="818"/>
      <c r="K4" s="789"/>
    </row>
    <row r="5" spans="1:13" ht="40.950000000000003" customHeight="1" thickBot="1" x14ac:dyDescent="0.3">
      <c r="A5" s="780"/>
      <c r="B5" s="793"/>
      <c r="C5" s="783"/>
      <c r="D5" s="630" t="s">
        <v>126</v>
      </c>
      <c r="E5" s="630"/>
      <c r="F5" s="630" t="s">
        <v>267</v>
      </c>
      <c r="G5" s="630" t="s">
        <v>193</v>
      </c>
      <c r="H5" s="630" t="s">
        <v>192</v>
      </c>
      <c r="I5" s="630" t="s">
        <v>9</v>
      </c>
      <c r="J5" s="630" t="s">
        <v>190</v>
      </c>
      <c r="K5" s="790"/>
    </row>
    <row r="6" spans="1:13" s="644" customFormat="1" ht="49.2" customHeight="1" x14ac:dyDescent="0.25">
      <c r="A6" s="635" t="s">
        <v>53</v>
      </c>
      <c r="B6" s="636" t="s">
        <v>199</v>
      </c>
      <c r="C6" s="637">
        <v>69779.8</v>
      </c>
      <c r="D6" s="638" t="s">
        <v>53</v>
      </c>
      <c r="E6" s="639">
        <f>IFERROR(VALUE(MID(D6,2,LEN(D6)-1)),"")</f>
        <v>1</v>
      </c>
      <c r="F6" s="640">
        <v>74844.200000000012</v>
      </c>
      <c r="G6" s="637">
        <v>0</v>
      </c>
      <c r="H6" s="637">
        <v>74844.200000000012</v>
      </c>
      <c r="I6" s="637" t="s">
        <v>249</v>
      </c>
      <c r="J6" s="641" t="s">
        <v>251</v>
      </c>
      <c r="K6" s="641" t="s">
        <v>153</v>
      </c>
      <c r="L6" s="642" t="s">
        <v>313</v>
      </c>
      <c r="M6" s="643" t="s">
        <v>314</v>
      </c>
    </row>
    <row r="7" spans="1:13" s="644" customFormat="1" ht="52.95" customHeight="1" x14ac:dyDescent="0.25">
      <c r="A7" s="668" t="s">
        <v>69</v>
      </c>
      <c r="B7" s="669" t="s">
        <v>200</v>
      </c>
      <c r="C7" s="680">
        <v>2044</v>
      </c>
      <c r="D7" s="685" t="s">
        <v>171</v>
      </c>
      <c r="E7" s="648">
        <f t="shared" ref="E7:E85" si="0">IFERROR(VALUE(MID(D7,2,LEN(D7)-1)),"")</f>
        <v>18</v>
      </c>
      <c r="F7" s="686">
        <v>2044</v>
      </c>
      <c r="G7" s="670">
        <v>0</v>
      </c>
      <c r="H7" s="680">
        <v>2044</v>
      </c>
      <c r="I7" s="670" t="s">
        <v>202</v>
      </c>
      <c r="J7" s="680" t="s">
        <v>269</v>
      </c>
      <c r="K7" s="687" t="s">
        <v>153</v>
      </c>
    </row>
    <row r="8" spans="1:13" s="644" customFormat="1" ht="39.75" customHeight="1" x14ac:dyDescent="0.25">
      <c r="A8" s="800" t="s">
        <v>293</v>
      </c>
      <c r="B8" s="803" t="s">
        <v>292</v>
      </c>
      <c r="C8" s="808">
        <v>7883363.147839915</v>
      </c>
      <c r="D8" s="671" t="s">
        <v>230</v>
      </c>
      <c r="E8" s="672">
        <f t="shared" si="0"/>
        <v>29</v>
      </c>
      <c r="F8" s="673">
        <v>359694.36</v>
      </c>
      <c r="G8" s="670" t="s">
        <v>153</v>
      </c>
      <c r="H8" s="670">
        <v>359694.36</v>
      </c>
      <c r="I8" s="670" t="s">
        <v>202</v>
      </c>
      <c r="J8" s="680" t="s">
        <v>309</v>
      </c>
      <c r="K8" s="674" t="s">
        <v>153</v>
      </c>
      <c r="L8" s="642" t="s">
        <v>203</v>
      </c>
      <c r="M8" s="643" t="s">
        <v>315</v>
      </c>
    </row>
    <row r="9" spans="1:13" s="644" customFormat="1" ht="39.75" customHeight="1" x14ac:dyDescent="0.25">
      <c r="A9" s="819"/>
      <c r="B9" s="820"/>
      <c r="C9" s="821"/>
      <c r="D9" s="671" t="s">
        <v>341</v>
      </c>
      <c r="E9" s="672"/>
      <c r="F9" s="673">
        <v>1041800.0712068096</v>
      </c>
      <c r="G9" s="670">
        <v>358436.37120680953</v>
      </c>
      <c r="H9" s="670">
        <v>683363.70000000007</v>
      </c>
      <c r="I9" s="670" t="s">
        <v>202</v>
      </c>
      <c r="J9" s="680" t="s">
        <v>350</v>
      </c>
      <c r="K9" s="687" t="s">
        <v>351</v>
      </c>
      <c r="L9" s="642"/>
      <c r="M9" s="643"/>
    </row>
    <row r="10" spans="1:13" s="644" customFormat="1" ht="38.25" customHeight="1" x14ac:dyDescent="0.25">
      <c r="A10" s="800" t="s">
        <v>294</v>
      </c>
      <c r="B10" s="803" t="s">
        <v>291</v>
      </c>
      <c r="C10" s="808">
        <v>7051600.8118639104</v>
      </c>
      <c r="D10" s="671" t="s">
        <v>235</v>
      </c>
      <c r="E10" s="648">
        <f t="shared" si="0"/>
        <v>27</v>
      </c>
      <c r="F10" s="673">
        <v>330648.57999999996</v>
      </c>
      <c r="G10" s="670">
        <v>0</v>
      </c>
      <c r="H10" s="670">
        <v>330648.57999999996</v>
      </c>
      <c r="I10" s="670" t="s">
        <v>202</v>
      </c>
      <c r="J10" s="670" t="s">
        <v>288</v>
      </c>
      <c r="K10" s="674" t="s">
        <v>153</v>
      </c>
      <c r="L10" s="644" t="s">
        <v>188</v>
      </c>
      <c r="M10" s="643" t="s">
        <v>316</v>
      </c>
    </row>
    <row r="11" spans="1:13" s="644" customFormat="1" ht="38.25" customHeight="1" x14ac:dyDescent="0.25">
      <c r="A11" s="806"/>
      <c r="B11" s="807"/>
      <c r="C11" s="809"/>
      <c r="D11" s="671" t="s">
        <v>308</v>
      </c>
      <c r="E11" s="672">
        <f t="shared" si="0"/>
        <v>42</v>
      </c>
      <c r="F11" s="673">
        <v>908895.93</v>
      </c>
      <c r="G11" s="670">
        <v>307721.33</v>
      </c>
      <c r="H11" s="670">
        <v>601174.6</v>
      </c>
      <c r="I11" s="670" t="s">
        <v>202</v>
      </c>
      <c r="J11" s="680" t="s">
        <v>309</v>
      </c>
      <c r="K11" s="674" t="s">
        <v>322</v>
      </c>
    </row>
    <row r="12" spans="1:13" s="644" customFormat="1" ht="38.25" customHeight="1" x14ac:dyDescent="0.25">
      <c r="A12" s="806"/>
      <c r="B12" s="807"/>
      <c r="C12" s="809"/>
      <c r="D12" s="671" t="s">
        <v>338</v>
      </c>
      <c r="E12" s="672"/>
      <c r="F12" s="673">
        <v>15568.8</v>
      </c>
      <c r="G12" s="670"/>
      <c r="H12" s="670">
        <v>15568.8</v>
      </c>
      <c r="I12" s="670" t="s">
        <v>202</v>
      </c>
      <c r="J12" s="680" t="s">
        <v>350</v>
      </c>
      <c r="K12" s="674" t="s">
        <v>153</v>
      </c>
    </row>
    <row r="13" spans="1:13" s="644" customFormat="1" ht="38.25" customHeight="1" x14ac:dyDescent="0.25">
      <c r="A13" s="806"/>
      <c r="B13" s="807"/>
      <c r="C13" s="809"/>
      <c r="D13" s="671" t="s">
        <v>342</v>
      </c>
      <c r="E13" s="672"/>
      <c r="F13" s="673">
        <v>2738195.2531138035</v>
      </c>
      <c r="G13" s="670">
        <v>1165791.7731138035</v>
      </c>
      <c r="H13" s="670">
        <v>1572403.4799999997</v>
      </c>
      <c r="I13" s="670" t="s">
        <v>202</v>
      </c>
      <c r="J13" s="680" t="s">
        <v>350</v>
      </c>
      <c r="K13" s="687" t="s">
        <v>351</v>
      </c>
    </row>
    <row r="14" spans="1:13" s="651" customFormat="1" ht="38.25" hidden="1" customHeight="1" x14ac:dyDescent="0.25">
      <c r="A14" s="802"/>
      <c r="B14" s="805"/>
      <c r="C14" s="811"/>
      <c r="D14" s="652" t="s">
        <v>359</v>
      </c>
      <c r="E14" s="648"/>
      <c r="F14" s="653"/>
      <c r="G14" s="649"/>
      <c r="H14" s="649"/>
      <c r="I14" s="649"/>
      <c r="J14" s="647" t="s">
        <v>356</v>
      </c>
      <c r="K14" s="655" t="s">
        <v>357</v>
      </c>
    </row>
    <row r="15" spans="1:13" s="644" customFormat="1" ht="36" customHeight="1" x14ac:dyDescent="0.25">
      <c r="A15" s="800" t="s">
        <v>295</v>
      </c>
      <c r="B15" s="803" t="s">
        <v>290</v>
      </c>
      <c r="C15" s="808">
        <v>7766307.4578399099</v>
      </c>
      <c r="D15" s="671" t="s">
        <v>158</v>
      </c>
      <c r="E15" s="648">
        <f t="shared" si="0"/>
        <v>15</v>
      </c>
      <c r="F15" s="673">
        <v>554353</v>
      </c>
      <c r="G15" s="670">
        <v>0</v>
      </c>
      <c r="H15" s="670">
        <v>554353</v>
      </c>
      <c r="I15" s="670" t="s">
        <v>202</v>
      </c>
      <c r="J15" s="680" t="s">
        <v>269</v>
      </c>
      <c r="K15" s="674" t="s">
        <v>153</v>
      </c>
      <c r="L15" s="681" t="s">
        <v>249</v>
      </c>
      <c r="M15" s="643" t="s">
        <v>317</v>
      </c>
    </row>
    <row r="16" spans="1:13" s="644" customFormat="1" ht="33" customHeight="1" x14ac:dyDescent="0.25">
      <c r="A16" s="801"/>
      <c r="B16" s="804"/>
      <c r="C16" s="810"/>
      <c r="D16" s="671" t="s">
        <v>262</v>
      </c>
      <c r="E16" s="648">
        <f t="shared" si="0"/>
        <v>28</v>
      </c>
      <c r="F16" s="673">
        <v>5437399.7429927047</v>
      </c>
      <c r="G16" s="670">
        <v>2649255.2429927043</v>
      </c>
      <c r="H16" s="670">
        <v>2788144.5</v>
      </c>
      <c r="I16" s="670" t="s">
        <v>202</v>
      </c>
      <c r="J16" s="670" t="s">
        <v>288</v>
      </c>
      <c r="K16" s="674" t="s">
        <v>322</v>
      </c>
    </row>
    <row r="17" spans="1:14" s="644" customFormat="1" ht="32.4" customHeight="1" x14ac:dyDescent="0.25">
      <c r="A17" s="801"/>
      <c r="B17" s="804"/>
      <c r="C17" s="810"/>
      <c r="D17" s="671" t="s">
        <v>289</v>
      </c>
      <c r="E17" s="648">
        <f t="shared" si="0"/>
        <v>36</v>
      </c>
      <c r="F17" s="673">
        <v>887716.17086603516</v>
      </c>
      <c r="G17" s="670">
        <v>122464.17086603522</v>
      </c>
      <c r="H17" s="670">
        <v>765252</v>
      </c>
      <c r="I17" s="687" t="s">
        <v>249</v>
      </c>
      <c r="J17" s="670" t="s">
        <v>298</v>
      </c>
      <c r="K17" s="674" t="s">
        <v>322</v>
      </c>
      <c r="M17" s="688"/>
    </row>
    <row r="18" spans="1:14" s="644" customFormat="1" ht="32.4" customHeight="1" x14ac:dyDescent="0.25">
      <c r="A18" s="802"/>
      <c r="B18" s="805"/>
      <c r="C18" s="811"/>
      <c r="D18" s="671" t="s">
        <v>301</v>
      </c>
      <c r="E18" s="672">
        <f t="shared" si="0"/>
        <v>37</v>
      </c>
      <c r="F18" s="673">
        <v>426150.51662977174</v>
      </c>
      <c r="G18" s="670">
        <v>7992.5166297717396</v>
      </c>
      <c r="H18" s="670">
        <v>418158</v>
      </c>
      <c r="I18" s="670" t="s">
        <v>202</v>
      </c>
      <c r="J18" s="680" t="s">
        <v>309</v>
      </c>
      <c r="K18" s="674" t="s">
        <v>322</v>
      </c>
      <c r="M18" s="688"/>
    </row>
    <row r="19" spans="1:14" s="644" customFormat="1" ht="56.4" customHeight="1" x14ac:dyDescent="0.25">
      <c r="A19" s="800" t="s">
        <v>71</v>
      </c>
      <c r="B19" s="803" t="s">
        <v>194</v>
      </c>
      <c r="C19" s="808">
        <v>403929.07</v>
      </c>
      <c r="D19" s="685" t="s">
        <v>169</v>
      </c>
      <c r="E19" s="648">
        <f t="shared" si="0"/>
        <v>16</v>
      </c>
      <c r="F19" s="689">
        <v>446461.48</v>
      </c>
      <c r="G19" s="674">
        <v>95684.599359999993</v>
      </c>
      <c r="H19" s="674">
        <v>350776.88</v>
      </c>
      <c r="I19" s="670" t="s">
        <v>202</v>
      </c>
      <c r="J19" s="680" t="s">
        <v>269</v>
      </c>
      <c r="K19" s="674" t="s">
        <v>322</v>
      </c>
      <c r="M19" s="688"/>
    </row>
    <row r="20" spans="1:14" s="644" customFormat="1" ht="56.4" customHeight="1" x14ac:dyDescent="0.25">
      <c r="A20" s="802"/>
      <c r="B20" s="805"/>
      <c r="C20" s="811"/>
      <c r="D20" s="685" t="s">
        <v>335</v>
      </c>
      <c r="E20" s="672"/>
      <c r="F20" s="689">
        <v>73376.032399999996</v>
      </c>
      <c r="G20" s="674">
        <v>45590.462399999997</v>
      </c>
      <c r="H20" s="674">
        <v>27785.57</v>
      </c>
      <c r="I20" s="670" t="s">
        <v>202</v>
      </c>
      <c r="J20" s="680" t="s">
        <v>350</v>
      </c>
      <c r="K20" s="687" t="s">
        <v>351</v>
      </c>
      <c r="M20" s="688"/>
    </row>
    <row r="21" spans="1:14" s="644" customFormat="1" ht="56.4" customHeight="1" x14ac:dyDescent="0.25">
      <c r="A21" s="690" t="s">
        <v>264</v>
      </c>
      <c r="B21" s="691" t="s">
        <v>265</v>
      </c>
      <c r="C21" s="670">
        <v>47254.520000000004</v>
      </c>
      <c r="D21" s="685" t="s">
        <v>170</v>
      </c>
      <c r="E21" s="648">
        <f t="shared" si="0"/>
        <v>17</v>
      </c>
      <c r="F21" s="689">
        <v>47254.520000000004</v>
      </c>
      <c r="G21" s="674">
        <v>9854.52</v>
      </c>
      <c r="H21" s="674">
        <v>37400</v>
      </c>
      <c r="I21" s="670" t="s">
        <v>202</v>
      </c>
      <c r="J21" s="680" t="s">
        <v>269</v>
      </c>
      <c r="K21" s="687" t="s">
        <v>322</v>
      </c>
      <c r="M21" s="688"/>
    </row>
    <row r="22" spans="1:14" s="651" customFormat="1" ht="41.4" hidden="1" customHeight="1" x14ac:dyDescent="0.25">
      <c r="A22" s="645" t="s">
        <v>72</v>
      </c>
      <c r="B22" s="646" t="s">
        <v>195</v>
      </c>
      <c r="C22" s="655">
        <v>37950.600000000006</v>
      </c>
      <c r="D22" s="649"/>
      <c r="E22" s="648" t="str">
        <f t="shared" si="0"/>
        <v/>
      </c>
      <c r="F22" s="653"/>
      <c r="G22" s="649"/>
      <c r="H22" s="654"/>
      <c r="I22" s="649"/>
      <c r="J22" s="649"/>
      <c r="K22" s="649"/>
      <c r="L22" s="658"/>
      <c r="M22" s="659"/>
      <c r="N22" s="658"/>
    </row>
    <row r="23" spans="1:14" s="644" customFormat="1" ht="55.2" customHeight="1" x14ac:dyDescent="0.25">
      <c r="A23" s="668" t="s">
        <v>208</v>
      </c>
      <c r="B23" s="669" t="s">
        <v>211</v>
      </c>
      <c r="C23" s="670">
        <v>994922</v>
      </c>
      <c r="D23" s="670" t="s">
        <v>76</v>
      </c>
      <c r="E23" s="648">
        <f t="shared" si="0"/>
        <v>10</v>
      </c>
      <c r="F23" s="673">
        <v>1609186.51</v>
      </c>
      <c r="G23" s="670">
        <v>680569.72</v>
      </c>
      <c r="H23" s="670">
        <v>928616.79</v>
      </c>
      <c r="I23" s="670" t="s">
        <v>202</v>
      </c>
      <c r="J23" s="680" t="s">
        <v>269</v>
      </c>
      <c r="K23" s="670" t="s">
        <v>322</v>
      </c>
      <c r="L23" s="692"/>
      <c r="M23" s="693"/>
      <c r="N23" s="676"/>
    </row>
    <row r="24" spans="1:14" s="644" customFormat="1" ht="46.95" customHeight="1" x14ac:dyDescent="0.25">
      <c r="A24" s="668" t="s">
        <v>209</v>
      </c>
      <c r="B24" s="669" t="s">
        <v>206</v>
      </c>
      <c r="C24" s="670">
        <v>401488.07</v>
      </c>
      <c r="D24" s="671" t="s">
        <v>69</v>
      </c>
      <c r="E24" s="672">
        <f t="shared" si="0"/>
        <v>2</v>
      </c>
      <c r="F24" s="673">
        <v>585276.81999999995</v>
      </c>
      <c r="G24" s="670">
        <v>236280.52</v>
      </c>
      <c r="H24" s="670">
        <v>348996.3</v>
      </c>
      <c r="I24" s="670" t="s">
        <v>202</v>
      </c>
      <c r="J24" s="674" t="s">
        <v>242</v>
      </c>
      <c r="K24" s="670" t="s">
        <v>322</v>
      </c>
      <c r="L24" s="675"/>
      <c r="M24" s="675"/>
      <c r="N24" s="676"/>
    </row>
    <row r="25" spans="1:14" s="644" customFormat="1" ht="48.6" customHeight="1" x14ac:dyDescent="0.25">
      <c r="A25" s="668" t="s">
        <v>210</v>
      </c>
      <c r="B25" s="669" t="s">
        <v>207</v>
      </c>
      <c r="C25" s="670">
        <v>401488.07</v>
      </c>
      <c r="D25" s="671" t="s">
        <v>70</v>
      </c>
      <c r="E25" s="648">
        <f t="shared" si="0"/>
        <v>3</v>
      </c>
      <c r="F25" s="679">
        <v>585218.81999999995</v>
      </c>
      <c r="G25" s="670">
        <v>236280.52</v>
      </c>
      <c r="H25" s="677">
        <v>348938.3</v>
      </c>
      <c r="I25" s="670" t="s">
        <v>202</v>
      </c>
      <c r="J25" s="674" t="s">
        <v>242</v>
      </c>
      <c r="K25" s="670" t="s">
        <v>322</v>
      </c>
      <c r="L25" s="675"/>
      <c r="M25" s="688"/>
    </row>
    <row r="26" spans="1:14" s="644" customFormat="1" ht="41.4" customHeight="1" x14ac:dyDescent="0.25">
      <c r="A26" s="668" t="s">
        <v>74</v>
      </c>
      <c r="B26" s="669" t="s">
        <v>186</v>
      </c>
      <c r="C26" s="677">
        <v>70000</v>
      </c>
      <c r="D26" s="671" t="s">
        <v>71</v>
      </c>
      <c r="E26" s="648">
        <f t="shared" si="0"/>
        <v>4</v>
      </c>
      <c r="F26" s="682">
        <v>70000</v>
      </c>
      <c r="G26" s="683">
        <v>0</v>
      </c>
      <c r="H26" s="683">
        <v>70000</v>
      </c>
      <c r="I26" s="670" t="s">
        <v>249</v>
      </c>
      <c r="J26" s="680" t="s">
        <v>251</v>
      </c>
      <c r="K26" s="680" t="s">
        <v>153</v>
      </c>
      <c r="M26" s="681"/>
    </row>
    <row r="27" spans="1:14" s="644" customFormat="1" ht="32.4" customHeight="1" x14ac:dyDescent="0.25">
      <c r="A27" s="800" t="s">
        <v>77</v>
      </c>
      <c r="B27" s="803" t="s">
        <v>196</v>
      </c>
      <c r="C27" s="808">
        <v>2183910</v>
      </c>
      <c r="D27" s="687" t="s">
        <v>75</v>
      </c>
      <c r="E27" s="661">
        <f t="shared" si="0"/>
        <v>12</v>
      </c>
      <c r="F27" s="682">
        <v>1027136</v>
      </c>
      <c r="G27" s="687"/>
      <c r="H27" s="683">
        <v>1027136</v>
      </c>
      <c r="I27" s="670" t="s">
        <v>249</v>
      </c>
      <c r="J27" s="674" t="s">
        <v>281</v>
      </c>
      <c r="K27" s="670" t="s">
        <v>153</v>
      </c>
      <c r="L27" s="675"/>
    </row>
    <row r="28" spans="1:14" s="644" customFormat="1" ht="38.4" customHeight="1" x14ac:dyDescent="0.25">
      <c r="A28" s="819"/>
      <c r="B28" s="820"/>
      <c r="C28" s="821"/>
      <c r="D28" s="687" t="s">
        <v>283</v>
      </c>
      <c r="E28" s="662">
        <v>12.1</v>
      </c>
      <c r="F28" s="682">
        <v>33000</v>
      </c>
      <c r="G28" s="687"/>
      <c r="H28" s="683">
        <v>33000</v>
      </c>
      <c r="I28" s="687" t="s">
        <v>249</v>
      </c>
      <c r="J28" s="674" t="s">
        <v>284</v>
      </c>
      <c r="K28" s="670" t="s">
        <v>153</v>
      </c>
      <c r="L28" s="675"/>
    </row>
    <row r="29" spans="1:14" s="644" customFormat="1" ht="55.2" customHeight="1" x14ac:dyDescent="0.25">
      <c r="A29" s="668" t="s">
        <v>78</v>
      </c>
      <c r="B29" s="669" t="s">
        <v>197</v>
      </c>
      <c r="C29" s="670">
        <v>644106.1</v>
      </c>
      <c r="D29" s="687" t="s">
        <v>80</v>
      </c>
      <c r="E29" s="661">
        <f t="shared" si="0"/>
        <v>13</v>
      </c>
      <c r="F29" s="673">
        <v>309258.40000000002</v>
      </c>
      <c r="G29" s="670"/>
      <c r="H29" s="683">
        <v>309258.40000000002</v>
      </c>
      <c r="I29" s="670" t="s">
        <v>249</v>
      </c>
      <c r="J29" s="674" t="s">
        <v>281</v>
      </c>
      <c r="K29" s="670" t="s">
        <v>153</v>
      </c>
      <c r="L29" s="675"/>
      <c r="M29" s="688"/>
    </row>
    <row r="30" spans="1:14" s="644" customFormat="1" ht="41.4" customHeight="1" x14ac:dyDescent="0.25">
      <c r="A30" s="668" t="s">
        <v>76</v>
      </c>
      <c r="B30" s="669" t="s">
        <v>215</v>
      </c>
      <c r="C30" s="670">
        <v>526703.78</v>
      </c>
      <c r="D30" s="677" t="s">
        <v>245</v>
      </c>
      <c r="E30" s="663">
        <f t="shared" si="0"/>
        <v>23</v>
      </c>
      <c r="F30" s="679">
        <v>593059.22000000009</v>
      </c>
      <c r="G30" s="677">
        <v>150765.30000000002</v>
      </c>
      <c r="H30" s="677">
        <v>442293.92000000004</v>
      </c>
      <c r="I30" s="670" t="s">
        <v>249</v>
      </c>
      <c r="J30" s="674" t="s">
        <v>281</v>
      </c>
      <c r="K30" s="670" t="s">
        <v>153</v>
      </c>
      <c r="M30" s="681"/>
    </row>
    <row r="31" spans="1:14" s="644" customFormat="1" ht="28.95" customHeight="1" x14ac:dyDescent="0.25">
      <c r="A31" s="800" t="s">
        <v>79</v>
      </c>
      <c r="B31" s="803" t="s">
        <v>213</v>
      </c>
      <c r="C31" s="808">
        <v>76937.850000000006</v>
      </c>
      <c r="D31" s="677" t="s">
        <v>167</v>
      </c>
      <c r="E31" s="663">
        <f t="shared" si="0"/>
        <v>14</v>
      </c>
      <c r="F31" s="679">
        <v>27868</v>
      </c>
      <c r="G31" s="677">
        <v>0</v>
      </c>
      <c r="H31" s="677">
        <v>27868</v>
      </c>
      <c r="I31" s="670" t="s">
        <v>202</v>
      </c>
      <c r="J31" s="680" t="s">
        <v>269</v>
      </c>
      <c r="K31" s="677" t="s">
        <v>324</v>
      </c>
      <c r="M31" s="681"/>
    </row>
    <row r="32" spans="1:14" s="644" customFormat="1" ht="36" customHeight="1" x14ac:dyDescent="0.25">
      <c r="A32" s="801"/>
      <c r="B32" s="804"/>
      <c r="C32" s="810"/>
      <c r="D32" s="677" t="s">
        <v>236</v>
      </c>
      <c r="E32" s="663">
        <f t="shared" si="0"/>
        <v>30</v>
      </c>
      <c r="F32" s="679">
        <v>27224</v>
      </c>
      <c r="G32" s="677">
        <v>0</v>
      </c>
      <c r="H32" s="677">
        <v>27224</v>
      </c>
      <c r="I32" s="670" t="s">
        <v>202</v>
      </c>
      <c r="J32" s="670" t="s">
        <v>288</v>
      </c>
      <c r="K32" s="694" t="s">
        <v>323</v>
      </c>
      <c r="M32" s="681"/>
    </row>
    <row r="33" spans="1:13" s="644" customFormat="1" ht="36" customHeight="1" x14ac:dyDescent="0.25">
      <c r="A33" s="801"/>
      <c r="B33" s="804"/>
      <c r="C33" s="810"/>
      <c r="D33" s="677" t="s">
        <v>239</v>
      </c>
      <c r="E33" s="663">
        <f t="shared" si="0"/>
        <v>33</v>
      </c>
      <c r="F33" s="679">
        <v>28858</v>
      </c>
      <c r="G33" s="677">
        <v>0</v>
      </c>
      <c r="H33" s="677">
        <v>28858</v>
      </c>
      <c r="I33" s="687" t="s">
        <v>249</v>
      </c>
      <c r="J33" s="670" t="s">
        <v>298</v>
      </c>
      <c r="K33" s="694" t="s">
        <v>325</v>
      </c>
      <c r="M33" s="681"/>
    </row>
    <row r="34" spans="1:13" s="644" customFormat="1" ht="36" customHeight="1" x14ac:dyDescent="0.25">
      <c r="A34" s="802"/>
      <c r="B34" s="805"/>
      <c r="C34" s="811"/>
      <c r="D34" s="677" t="s">
        <v>339</v>
      </c>
      <c r="E34" s="678"/>
      <c r="F34" s="679">
        <v>5193.3999999999996</v>
      </c>
      <c r="G34" s="677">
        <v>0</v>
      </c>
      <c r="H34" s="677">
        <v>5193.3999999999996</v>
      </c>
      <c r="I34" s="687" t="s">
        <v>249</v>
      </c>
      <c r="J34" s="674" t="s">
        <v>350</v>
      </c>
      <c r="K34" s="680" t="s">
        <v>153</v>
      </c>
      <c r="M34" s="681"/>
    </row>
    <row r="35" spans="1:13" s="644" customFormat="1" ht="35.4" customHeight="1" x14ac:dyDescent="0.25">
      <c r="A35" s="800" t="s">
        <v>75</v>
      </c>
      <c r="B35" s="803" t="s">
        <v>214</v>
      </c>
      <c r="C35" s="808">
        <v>300000</v>
      </c>
      <c r="D35" s="677" t="s">
        <v>79</v>
      </c>
      <c r="E35" s="663">
        <f t="shared" si="0"/>
        <v>11</v>
      </c>
      <c r="F35" s="679">
        <v>231000</v>
      </c>
      <c r="G35" s="677">
        <v>0</v>
      </c>
      <c r="H35" s="677">
        <v>231000</v>
      </c>
      <c r="I35" s="670" t="s">
        <v>202</v>
      </c>
      <c r="J35" s="680" t="s">
        <v>269</v>
      </c>
      <c r="K35" s="680" t="s">
        <v>153</v>
      </c>
      <c r="M35" s="681"/>
    </row>
    <row r="36" spans="1:13" s="644" customFormat="1" ht="35.4" customHeight="1" x14ac:dyDescent="0.25">
      <c r="A36" s="806"/>
      <c r="B36" s="807"/>
      <c r="C36" s="809"/>
      <c r="D36" s="677" t="s">
        <v>223</v>
      </c>
      <c r="E36" s="678">
        <f t="shared" ref="E36" si="1">IFERROR(VALUE(MID(D36,2,LEN(D36)-1)),"")</f>
        <v>22</v>
      </c>
      <c r="F36" s="679">
        <v>111000</v>
      </c>
      <c r="G36" s="677">
        <v>0</v>
      </c>
      <c r="H36" s="677">
        <v>111000</v>
      </c>
      <c r="I36" s="670" t="s">
        <v>249</v>
      </c>
      <c r="J36" s="674" t="s">
        <v>281</v>
      </c>
      <c r="K36" s="680" t="s">
        <v>153</v>
      </c>
      <c r="M36" s="681"/>
    </row>
    <row r="37" spans="1:13" s="644" customFormat="1" ht="35.4" customHeight="1" x14ac:dyDescent="0.25">
      <c r="A37" s="801"/>
      <c r="B37" s="804"/>
      <c r="C37" s="810"/>
      <c r="D37" s="677" t="s">
        <v>302</v>
      </c>
      <c r="E37" s="663">
        <f t="shared" si="0"/>
        <v>38</v>
      </c>
      <c r="F37" s="679">
        <v>106875</v>
      </c>
      <c r="G37" s="677">
        <v>0</v>
      </c>
      <c r="H37" s="677">
        <v>106875</v>
      </c>
      <c r="I37" s="670" t="s">
        <v>202</v>
      </c>
      <c r="J37" s="680" t="s">
        <v>309</v>
      </c>
      <c r="K37" s="680" t="s">
        <v>153</v>
      </c>
      <c r="M37" s="681"/>
    </row>
    <row r="38" spans="1:13" s="644" customFormat="1" ht="43.8" customHeight="1" x14ac:dyDescent="0.25">
      <c r="A38" s="801"/>
      <c r="B38" s="804"/>
      <c r="C38" s="810"/>
      <c r="D38" s="677" t="s">
        <v>310</v>
      </c>
      <c r="E38" s="711">
        <f t="shared" ref="E38:E40" si="2">IFERROR(VALUE(MID(D38,2,LEN(D38)-1)),"")</f>
        <v>43</v>
      </c>
      <c r="F38" s="679">
        <v>70857</v>
      </c>
      <c r="G38" s="677">
        <v>0</v>
      </c>
      <c r="H38" s="677">
        <v>83250</v>
      </c>
      <c r="I38" s="670" t="s">
        <v>202</v>
      </c>
      <c r="J38" s="684" t="s">
        <v>337</v>
      </c>
      <c r="K38" s="684">
        <v>70875</v>
      </c>
      <c r="M38" s="681"/>
    </row>
    <row r="39" spans="1:13" s="701" customFormat="1" ht="49.2" customHeight="1" x14ac:dyDescent="0.25">
      <c r="A39" s="806"/>
      <c r="B39" s="807"/>
      <c r="C39" s="809"/>
      <c r="D39" s="695" t="s">
        <v>328</v>
      </c>
      <c r="E39" s="696">
        <f t="shared" si="2"/>
        <v>44</v>
      </c>
      <c r="F39" s="697">
        <v>33750</v>
      </c>
      <c r="G39" s="695">
        <v>0</v>
      </c>
      <c r="H39" s="695">
        <v>33750</v>
      </c>
      <c r="I39" s="698" t="s">
        <v>249</v>
      </c>
      <c r="J39" s="699" t="s">
        <v>350</v>
      </c>
      <c r="K39" s="700" t="s">
        <v>153</v>
      </c>
      <c r="M39" s="702"/>
    </row>
    <row r="40" spans="1:13" s="701" customFormat="1" ht="34.799999999999997" customHeight="1" x14ac:dyDescent="0.25">
      <c r="A40" s="806"/>
      <c r="B40" s="807"/>
      <c r="C40" s="809"/>
      <c r="D40" s="695" t="s">
        <v>329</v>
      </c>
      <c r="E40" s="696">
        <f t="shared" si="2"/>
        <v>45</v>
      </c>
      <c r="F40" s="697">
        <v>30375</v>
      </c>
      <c r="G40" s="695">
        <v>0</v>
      </c>
      <c r="H40" s="695">
        <v>30375</v>
      </c>
      <c r="I40" s="698" t="s">
        <v>249</v>
      </c>
      <c r="J40" s="699" t="s">
        <v>350</v>
      </c>
      <c r="K40" s="700" t="s">
        <v>153</v>
      </c>
      <c r="M40" s="702"/>
    </row>
    <row r="41" spans="1:13" s="701" customFormat="1" ht="40.200000000000003" customHeight="1" x14ac:dyDescent="0.25">
      <c r="A41" s="806"/>
      <c r="B41" s="807"/>
      <c r="C41" s="809"/>
      <c r="D41" s="695" t="s">
        <v>343</v>
      </c>
      <c r="E41" s="696"/>
      <c r="F41" s="697">
        <v>76125</v>
      </c>
      <c r="G41" s="695">
        <v>0</v>
      </c>
      <c r="H41" s="695">
        <v>76125</v>
      </c>
      <c r="I41" s="698" t="s">
        <v>249</v>
      </c>
      <c r="J41" s="700" t="s">
        <v>363</v>
      </c>
      <c r="K41" s="703" t="s">
        <v>364</v>
      </c>
      <c r="M41" s="702"/>
    </row>
    <row r="42" spans="1:13" s="701" customFormat="1" ht="40.200000000000003" customHeight="1" x14ac:dyDescent="0.25">
      <c r="A42" s="806"/>
      <c r="B42" s="807"/>
      <c r="C42" s="809"/>
      <c r="D42" s="695" t="s">
        <v>344</v>
      </c>
      <c r="E42" s="696"/>
      <c r="F42" s="697">
        <v>169875</v>
      </c>
      <c r="G42" s="695">
        <v>0</v>
      </c>
      <c r="H42" s="695">
        <v>169875</v>
      </c>
      <c r="I42" s="698" t="s">
        <v>249</v>
      </c>
      <c r="J42" s="700" t="s">
        <v>363</v>
      </c>
      <c r="K42" s="703" t="s">
        <v>364</v>
      </c>
      <c r="M42" s="702"/>
    </row>
    <row r="43" spans="1:13" s="701" customFormat="1" ht="40.200000000000003" customHeight="1" x14ac:dyDescent="0.25">
      <c r="A43" s="806"/>
      <c r="B43" s="807"/>
      <c r="C43" s="809"/>
      <c r="D43" s="695" t="s">
        <v>345</v>
      </c>
      <c r="E43" s="696"/>
      <c r="F43" s="697">
        <v>21000</v>
      </c>
      <c r="G43" s="695">
        <v>0</v>
      </c>
      <c r="H43" s="695">
        <v>21000</v>
      </c>
      <c r="I43" s="698" t="s">
        <v>249</v>
      </c>
      <c r="J43" s="700" t="s">
        <v>363</v>
      </c>
      <c r="K43" s="703" t="s">
        <v>364</v>
      </c>
      <c r="M43" s="702"/>
    </row>
    <row r="44" spans="1:13" s="701" customFormat="1" ht="40.200000000000003" customHeight="1" x14ac:dyDescent="0.25">
      <c r="A44" s="806"/>
      <c r="B44" s="807"/>
      <c r="C44" s="809"/>
      <c r="D44" s="695" t="s">
        <v>346</v>
      </c>
      <c r="E44" s="696"/>
      <c r="F44" s="697">
        <v>36750</v>
      </c>
      <c r="G44" s="695">
        <v>0</v>
      </c>
      <c r="H44" s="695">
        <v>36750</v>
      </c>
      <c r="I44" s="698" t="s">
        <v>249</v>
      </c>
      <c r="J44" s="700" t="s">
        <v>363</v>
      </c>
      <c r="K44" s="703" t="s">
        <v>364</v>
      </c>
      <c r="M44" s="702"/>
    </row>
    <row r="45" spans="1:13" s="701" customFormat="1" ht="40.200000000000003" customHeight="1" x14ac:dyDescent="0.25">
      <c r="A45" s="802"/>
      <c r="B45" s="805"/>
      <c r="C45" s="811"/>
      <c r="D45" s="695" t="s">
        <v>348</v>
      </c>
      <c r="E45" s="696"/>
      <c r="F45" s="697">
        <v>21000</v>
      </c>
      <c r="G45" s="695">
        <v>0</v>
      </c>
      <c r="H45" s="695">
        <v>21000</v>
      </c>
      <c r="I45" s="698" t="s">
        <v>249</v>
      </c>
      <c r="J45" s="700" t="s">
        <v>363</v>
      </c>
      <c r="K45" s="703" t="s">
        <v>364</v>
      </c>
      <c r="M45" s="702"/>
    </row>
    <row r="46" spans="1:13" s="651" customFormat="1" ht="32.4" hidden="1" customHeight="1" x14ac:dyDescent="0.25">
      <c r="A46" s="645" t="s">
        <v>80</v>
      </c>
      <c r="B46" s="646" t="s">
        <v>217</v>
      </c>
      <c r="C46" s="649">
        <v>658888.21000000008</v>
      </c>
      <c r="D46" s="655"/>
      <c r="E46" s="663" t="str">
        <f t="shared" si="0"/>
        <v/>
      </c>
      <c r="F46" s="660"/>
      <c r="G46" s="655"/>
      <c r="H46" s="655"/>
      <c r="I46" s="665"/>
      <c r="J46" s="647"/>
      <c r="K46" s="664"/>
      <c r="M46" s="656"/>
    </row>
    <row r="47" spans="1:13" s="644" customFormat="1" ht="32.4" customHeight="1" x14ac:dyDescent="0.25">
      <c r="A47" s="668" t="s">
        <v>81</v>
      </c>
      <c r="B47" s="669" t="s">
        <v>227</v>
      </c>
      <c r="C47" s="670">
        <v>92115.83</v>
      </c>
      <c r="D47" s="677" t="s">
        <v>72</v>
      </c>
      <c r="E47" s="663">
        <f t="shared" si="0"/>
        <v>5</v>
      </c>
      <c r="F47" s="682">
        <v>92115.83</v>
      </c>
      <c r="G47" s="683">
        <v>0</v>
      </c>
      <c r="H47" s="683">
        <v>92115.83</v>
      </c>
      <c r="I47" s="670" t="s">
        <v>249</v>
      </c>
      <c r="J47" s="670" t="s">
        <v>263</v>
      </c>
      <c r="K47" s="670" t="s">
        <v>153</v>
      </c>
      <c r="M47" s="681"/>
    </row>
    <row r="48" spans="1:13" s="644" customFormat="1" ht="40.200000000000003" customHeight="1" x14ac:dyDescent="0.25">
      <c r="A48" s="668" t="s">
        <v>243</v>
      </c>
      <c r="B48" s="669" t="s">
        <v>247</v>
      </c>
      <c r="C48" s="670">
        <v>69692.789999999994</v>
      </c>
      <c r="D48" s="677" t="s">
        <v>73</v>
      </c>
      <c r="E48" s="663">
        <f t="shared" si="0"/>
        <v>6</v>
      </c>
      <c r="F48" s="673">
        <v>69692.789999999994</v>
      </c>
      <c r="G48" s="670">
        <v>0</v>
      </c>
      <c r="H48" s="670">
        <v>69692.789999999994</v>
      </c>
      <c r="I48" s="670" t="s">
        <v>249</v>
      </c>
      <c r="J48" s="670" t="s">
        <v>263</v>
      </c>
      <c r="K48" s="670" t="s">
        <v>153</v>
      </c>
      <c r="M48" s="681"/>
    </row>
    <row r="49" spans="1:13" s="644" customFormat="1" ht="53.4" customHeight="1" x14ac:dyDescent="0.25">
      <c r="A49" s="668" t="s">
        <v>244</v>
      </c>
      <c r="B49" s="669" t="s">
        <v>248</v>
      </c>
      <c r="C49" s="670">
        <v>130832</v>
      </c>
      <c r="D49" s="677" t="s">
        <v>172</v>
      </c>
      <c r="E49" s="663">
        <f t="shared" si="0"/>
        <v>19</v>
      </c>
      <c r="F49" s="679">
        <v>151220.25</v>
      </c>
      <c r="G49" s="677">
        <v>0</v>
      </c>
      <c r="H49" s="677">
        <v>151220.25</v>
      </c>
      <c r="I49" s="670" t="s">
        <v>249</v>
      </c>
      <c r="J49" s="674" t="s">
        <v>281</v>
      </c>
      <c r="K49" s="670" t="s">
        <v>153</v>
      </c>
      <c r="M49" s="681"/>
    </row>
    <row r="50" spans="1:13" s="651" customFormat="1" ht="37.950000000000003" hidden="1" customHeight="1" x14ac:dyDescent="0.25">
      <c r="A50" s="645" t="s">
        <v>286</v>
      </c>
      <c r="B50" s="646" t="s">
        <v>287</v>
      </c>
      <c r="C50" s="649"/>
      <c r="D50" s="655"/>
      <c r="E50" s="663" t="str">
        <f t="shared" si="0"/>
        <v/>
      </c>
      <c r="F50" s="653"/>
      <c r="G50" s="655"/>
      <c r="H50" s="650"/>
      <c r="I50" s="654"/>
      <c r="J50" s="666"/>
      <c r="K50" s="650"/>
      <c r="M50" s="656"/>
    </row>
    <row r="51" spans="1:13" s="651" customFormat="1" ht="40.950000000000003" hidden="1" customHeight="1" x14ac:dyDescent="0.25">
      <c r="A51" s="645" t="s">
        <v>169</v>
      </c>
      <c r="B51" s="646" t="s">
        <v>233</v>
      </c>
      <c r="C51" s="649">
        <v>5868795.1899999995</v>
      </c>
      <c r="D51" s="655"/>
      <c r="E51" s="663" t="str">
        <f t="shared" si="0"/>
        <v/>
      </c>
      <c r="F51" s="660"/>
      <c r="G51" s="655"/>
      <c r="H51" s="655"/>
      <c r="I51" s="655"/>
      <c r="J51" s="655"/>
      <c r="K51" s="655"/>
      <c r="M51" s="656"/>
    </row>
    <row r="52" spans="1:13" s="644" customFormat="1" ht="37.950000000000003" customHeight="1" x14ac:dyDescent="0.25">
      <c r="A52" s="794" t="s">
        <v>170</v>
      </c>
      <c r="B52" s="796" t="s">
        <v>198</v>
      </c>
      <c r="C52" s="798">
        <v>1109034.9700000002</v>
      </c>
      <c r="D52" s="704" t="s">
        <v>340</v>
      </c>
      <c r="E52" s="705">
        <f t="shared" si="0"/>
        <v>52</v>
      </c>
      <c r="F52" s="679">
        <v>244644.62437129952</v>
      </c>
      <c r="G52" s="704">
        <v>129446.72437129953</v>
      </c>
      <c r="H52" s="704">
        <v>115197.90000000001</v>
      </c>
      <c r="I52" s="706" t="s">
        <v>249</v>
      </c>
      <c r="J52" s="707" t="s">
        <v>350</v>
      </c>
      <c r="K52" s="707" t="s">
        <v>351</v>
      </c>
      <c r="M52" s="681"/>
    </row>
    <row r="53" spans="1:13" s="701" customFormat="1" ht="37.950000000000003" customHeight="1" x14ac:dyDescent="0.25">
      <c r="A53" s="795"/>
      <c r="B53" s="797"/>
      <c r="C53" s="799"/>
      <c r="D53" s="708" t="s">
        <v>355</v>
      </c>
      <c r="E53" s="696"/>
      <c r="F53" s="697">
        <v>593014.25678718765</v>
      </c>
      <c r="G53" s="695">
        <v>228541.95678718766</v>
      </c>
      <c r="H53" s="695">
        <v>364472.3</v>
      </c>
      <c r="I53" s="709" t="s">
        <v>249</v>
      </c>
      <c r="J53" s="699" t="s">
        <v>365</v>
      </c>
      <c r="K53" s="710" t="s">
        <v>351</v>
      </c>
      <c r="M53" s="702"/>
    </row>
    <row r="54" spans="1:13" s="644" customFormat="1" ht="32.4" customHeight="1" x14ac:dyDescent="0.25">
      <c r="A54" s="668" t="s">
        <v>171</v>
      </c>
      <c r="B54" s="669" t="s">
        <v>226</v>
      </c>
      <c r="C54" s="670">
        <v>220420.19</v>
      </c>
      <c r="D54" s="677" t="s">
        <v>74</v>
      </c>
      <c r="E54" s="663">
        <f t="shared" si="0"/>
        <v>7</v>
      </c>
      <c r="F54" s="679">
        <v>220420.19</v>
      </c>
      <c r="G54" s="677">
        <v>0</v>
      </c>
      <c r="H54" s="677">
        <v>220420.19</v>
      </c>
      <c r="I54" s="670" t="s">
        <v>249</v>
      </c>
      <c r="J54" s="670" t="s">
        <v>263</v>
      </c>
      <c r="K54" s="670" t="s">
        <v>153</v>
      </c>
      <c r="M54" s="681"/>
    </row>
    <row r="55" spans="1:13" s="644" customFormat="1" ht="34.200000000000003" customHeight="1" x14ac:dyDescent="0.25">
      <c r="A55" s="668" t="s">
        <v>172</v>
      </c>
      <c r="B55" s="669" t="s">
        <v>228</v>
      </c>
      <c r="C55" s="670">
        <v>19075.719999999998</v>
      </c>
      <c r="D55" s="677" t="s">
        <v>77</v>
      </c>
      <c r="E55" s="663">
        <f t="shared" si="0"/>
        <v>8</v>
      </c>
      <c r="F55" s="673">
        <v>19075.719999999998</v>
      </c>
      <c r="G55" s="677">
        <v>0</v>
      </c>
      <c r="H55" s="670">
        <v>19075.719999999998</v>
      </c>
      <c r="I55" s="670" t="s">
        <v>249</v>
      </c>
      <c r="J55" s="670" t="s">
        <v>263</v>
      </c>
      <c r="K55" s="670" t="s">
        <v>153</v>
      </c>
      <c r="M55" s="681"/>
    </row>
    <row r="56" spans="1:13" s="644" customFormat="1" ht="37.200000000000003" customHeight="1" x14ac:dyDescent="0.25">
      <c r="A56" s="668" t="s">
        <v>221</v>
      </c>
      <c r="B56" s="669" t="s">
        <v>231</v>
      </c>
      <c r="C56" s="670">
        <v>8730</v>
      </c>
      <c r="D56" s="677" t="s">
        <v>250</v>
      </c>
      <c r="E56" s="663">
        <f t="shared" si="0"/>
        <v>9</v>
      </c>
      <c r="F56" s="673">
        <v>8730</v>
      </c>
      <c r="G56" s="677">
        <v>0</v>
      </c>
      <c r="H56" s="670">
        <v>8730</v>
      </c>
      <c r="I56" s="670" t="s">
        <v>249</v>
      </c>
      <c r="J56" s="670" t="s">
        <v>263</v>
      </c>
      <c r="K56" s="670" t="s">
        <v>153</v>
      </c>
      <c r="M56" s="681"/>
    </row>
    <row r="57" spans="1:13" s="644" customFormat="1" ht="39.6" customHeight="1" x14ac:dyDescent="0.25">
      <c r="A57" s="800" t="s">
        <v>222</v>
      </c>
      <c r="B57" s="803" t="s">
        <v>241</v>
      </c>
      <c r="C57" s="670">
        <v>1821725.04</v>
      </c>
      <c r="D57" s="677" t="s">
        <v>225</v>
      </c>
      <c r="E57" s="663">
        <f t="shared" si="0"/>
        <v>26</v>
      </c>
      <c r="F57" s="679">
        <v>954520.6</v>
      </c>
      <c r="G57" s="677">
        <v>0</v>
      </c>
      <c r="H57" s="677">
        <v>954520.6</v>
      </c>
      <c r="I57" s="687" t="s">
        <v>249</v>
      </c>
      <c r="J57" s="674" t="s">
        <v>284</v>
      </c>
      <c r="K57" s="670" t="s">
        <v>153</v>
      </c>
      <c r="M57" s="681"/>
    </row>
    <row r="58" spans="1:13" s="644" customFormat="1" ht="39.6" customHeight="1" x14ac:dyDescent="0.25">
      <c r="A58" s="806"/>
      <c r="B58" s="807"/>
      <c r="C58" s="680"/>
      <c r="D58" s="677" t="s">
        <v>285</v>
      </c>
      <c r="E58" s="678">
        <f t="shared" ref="E58" si="3">IFERROR(VALUE(MID(D58,2,LEN(D58)-1)),"")</f>
        <v>35</v>
      </c>
      <c r="F58" s="679">
        <v>320050</v>
      </c>
      <c r="G58" s="677">
        <v>0</v>
      </c>
      <c r="H58" s="677">
        <v>320050</v>
      </c>
      <c r="I58" s="687" t="s">
        <v>249</v>
      </c>
      <c r="J58" s="670" t="s">
        <v>299</v>
      </c>
      <c r="K58" s="670" t="s">
        <v>153</v>
      </c>
      <c r="M58" s="681"/>
    </row>
    <row r="59" spans="1:13" s="644" customFormat="1" ht="39.6" customHeight="1" x14ac:dyDescent="0.25">
      <c r="A59" s="802"/>
      <c r="B59" s="805"/>
      <c r="C59" s="680"/>
      <c r="D59" s="677" t="s">
        <v>303</v>
      </c>
      <c r="E59" s="678">
        <f t="shared" si="0"/>
        <v>39</v>
      </c>
      <c r="F59" s="679">
        <v>255300</v>
      </c>
      <c r="G59" s="677">
        <v>0</v>
      </c>
      <c r="H59" s="677">
        <v>255300</v>
      </c>
      <c r="I59" s="670" t="s">
        <v>202</v>
      </c>
      <c r="J59" s="680" t="s">
        <v>309</v>
      </c>
      <c r="K59" s="677" t="s">
        <v>304</v>
      </c>
      <c r="M59" s="681"/>
    </row>
    <row r="60" spans="1:13" s="644" customFormat="1" ht="33" customHeight="1" x14ac:dyDescent="0.25">
      <c r="A60" s="800" t="s">
        <v>223</v>
      </c>
      <c r="B60" s="803" t="s">
        <v>246</v>
      </c>
      <c r="C60" s="808">
        <v>505000</v>
      </c>
      <c r="D60" s="677" t="s">
        <v>224</v>
      </c>
      <c r="E60" s="663">
        <f t="shared" si="0"/>
        <v>25</v>
      </c>
      <c r="F60" s="679">
        <v>290457</v>
      </c>
      <c r="G60" s="677">
        <v>0</v>
      </c>
      <c r="H60" s="677">
        <v>290457</v>
      </c>
      <c r="I60" s="687" t="s">
        <v>249</v>
      </c>
      <c r="J60" s="674" t="s">
        <v>284</v>
      </c>
      <c r="K60" s="670" t="s">
        <v>153</v>
      </c>
      <c r="M60" s="681"/>
    </row>
    <row r="61" spans="1:13" s="644" customFormat="1" ht="33" customHeight="1" x14ac:dyDescent="0.25">
      <c r="A61" s="801"/>
      <c r="B61" s="804"/>
      <c r="C61" s="810"/>
      <c r="D61" s="677" t="s">
        <v>238</v>
      </c>
      <c r="E61" s="663">
        <f t="shared" ref="E61" si="4">IFERROR(VALUE(MID(D61,2,LEN(D61)-1)),"")</f>
        <v>32</v>
      </c>
      <c r="F61" s="679">
        <v>145228.5</v>
      </c>
      <c r="G61" s="677">
        <v>0</v>
      </c>
      <c r="H61" s="677">
        <v>145228.5</v>
      </c>
      <c r="I61" s="687" t="s">
        <v>249</v>
      </c>
      <c r="J61" s="670" t="s">
        <v>298</v>
      </c>
      <c r="K61" s="670" t="s">
        <v>153</v>
      </c>
      <c r="M61" s="681"/>
    </row>
    <row r="62" spans="1:13" s="644" customFormat="1" ht="34.5" customHeight="1" x14ac:dyDescent="0.25">
      <c r="A62" s="819"/>
      <c r="B62" s="820"/>
      <c r="C62" s="821"/>
      <c r="D62" s="677" t="s">
        <v>305</v>
      </c>
      <c r="E62" s="663">
        <f t="shared" si="0"/>
        <v>40</v>
      </c>
      <c r="F62" s="679">
        <v>69314.5</v>
      </c>
      <c r="G62" s="677">
        <v>0</v>
      </c>
      <c r="H62" s="677">
        <v>69314.5</v>
      </c>
      <c r="I62" s="670" t="s">
        <v>202</v>
      </c>
      <c r="J62" s="680" t="s">
        <v>309</v>
      </c>
      <c r="K62" s="670" t="s">
        <v>153</v>
      </c>
      <c r="M62" s="681"/>
    </row>
    <row r="63" spans="1:13" s="651" customFormat="1" ht="36.6" hidden="1" customHeight="1" x14ac:dyDescent="0.25">
      <c r="A63" s="645" t="s">
        <v>245</v>
      </c>
      <c r="B63" s="657" t="s">
        <v>232</v>
      </c>
      <c r="C63" s="649">
        <v>959112.20788461529</v>
      </c>
      <c r="D63" s="655"/>
      <c r="E63" s="663" t="str">
        <f t="shared" si="0"/>
        <v/>
      </c>
      <c r="F63" s="660"/>
      <c r="G63" s="655"/>
      <c r="H63" s="655"/>
      <c r="I63" s="655"/>
      <c r="J63" s="655"/>
      <c r="K63" s="655"/>
      <c r="M63" s="656"/>
    </row>
    <row r="64" spans="1:13" s="644" customFormat="1" ht="43.2" customHeight="1" x14ac:dyDescent="0.25">
      <c r="A64" s="668" t="s">
        <v>252</v>
      </c>
      <c r="B64" s="691" t="s">
        <v>254</v>
      </c>
      <c r="C64" s="670">
        <v>16887.37</v>
      </c>
      <c r="D64" s="677" t="s">
        <v>221</v>
      </c>
      <c r="E64" s="663">
        <f t="shared" si="0"/>
        <v>20</v>
      </c>
      <c r="F64" s="679">
        <v>46960.607999999993</v>
      </c>
      <c r="G64" s="677">
        <v>30073.237999999998</v>
      </c>
      <c r="H64" s="677">
        <v>16887.37</v>
      </c>
      <c r="I64" s="670" t="s">
        <v>249</v>
      </c>
      <c r="J64" s="674" t="s">
        <v>281</v>
      </c>
      <c r="K64" s="670" t="s">
        <v>322</v>
      </c>
      <c r="M64" s="681"/>
    </row>
    <row r="65" spans="1:13" s="701" customFormat="1" ht="32.4" customHeight="1" x14ac:dyDescent="0.25">
      <c r="A65" s="712" t="s">
        <v>253</v>
      </c>
      <c r="B65" s="713" t="s">
        <v>255</v>
      </c>
      <c r="C65" s="714">
        <v>35345</v>
      </c>
      <c r="D65" s="695" t="s">
        <v>349</v>
      </c>
      <c r="E65" s="696">
        <f t="shared" si="0"/>
        <v>61</v>
      </c>
      <c r="F65" s="697">
        <v>129839.32</v>
      </c>
      <c r="G65" s="695">
        <v>102300.57</v>
      </c>
      <c r="H65" s="695">
        <v>27538.75</v>
      </c>
      <c r="I65" s="698" t="s">
        <v>249</v>
      </c>
      <c r="J65" s="700" t="s">
        <v>354</v>
      </c>
      <c r="K65" s="714" t="s">
        <v>351</v>
      </c>
      <c r="M65" s="702"/>
    </row>
    <row r="66" spans="1:13" s="644" customFormat="1" ht="32.4" customHeight="1" x14ac:dyDescent="0.25">
      <c r="A66" s="668" t="s">
        <v>258</v>
      </c>
      <c r="B66" s="691" t="s">
        <v>256</v>
      </c>
      <c r="C66" s="670">
        <v>35365.25</v>
      </c>
      <c r="D66" s="677" t="s">
        <v>332</v>
      </c>
      <c r="E66" s="678">
        <f t="shared" si="0"/>
        <v>46</v>
      </c>
      <c r="F66" s="679">
        <v>148135.124392</v>
      </c>
      <c r="G66" s="677">
        <v>115874.374392</v>
      </c>
      <c r="H66" s="677">
        <v>32260.75</v>
      </c>
      <c r="I66" s="670" t="s">
        <v>249</v>
      </c>
      <c r="J66" s="674" t="s">
        <v>350</v>
      </c>
      <c r="K66" s="687" t="s">
        <v>351</v>
      </c>
      <c r="M66" s="681"/>
    </row>
    <row r="67" spans="1:13" s="644" customFormat="1" ht="32.4" customHeight="1" x14ac:dyDescent="0.25">
      <c r="A67" s="668" t="s">
        <v>259</v>
      </c>
      <c r="B67" s="691" t="s">
        <v>257</v>
      </c>
      <c r="C67" s="670">
        <v>35433.65</v>
      </c>
      <c r="D67" s="677" t="s">
        <v>222</v>
      </c>
      <c r="E67" s="663">
        <f t="shared" si="0"/>
        <v>21</v>
      </c>
      <c r="F67" s="679">
        <v>148179.73000000001</v>
      </c>
      <c r="G67" s="677">
        <v>115912.73</v>
      </c>
      <c r="H67" s="677">
        <v>32267</v>
      </c>
      <c r="I67" s="670" t="s">
        <v>249</v>
      </c>
      <c r="J67" s="674" t="s">
        <v>298</v>
      </c>
      <c r="K67" s="670" t="s">
        <v>322</v>
      </c>
      <c r="M67" s="681"/>
    </row>
    <row r="68" spans="1:13" s="651" customFormat="1" ht="39.6" hidden="1" customHeight="1" x14ac:dyDescent="0.25">
      <c r="A68" s="645" t="s">
        <v>260</v>
      </c>
      <c r="B68" s="657" t="s">
        <v>261</v>
      </c>
      <c r="C68" s="649">
        <v>30402.5</v>
      </c>
      <c r="D68" s="655"/>
      <c r="E68" s="663" t="str">
        <f t="shared" si="0"/>
        <v/>
      </c>
      <c r="F68" s="660"/>
      <c r="G68" s="655"/>
      <c r="H68" s="655"/>
      <c r="I68" s="650"/>
      <c r="J68" s="649"/>
      <c r="K68" s="649"/>
      <c r="M68" s="656"/>
    </row>
    <row r="69" spans="1:13" s="644" customFormat="1" ht="39.6" customHeight="1" x14ac:dyDescent="0.25">
      <c r="A69" s="800" t="s">
        <v>224</v>
      </c>
      <c r="B69" s="803" t="s">
        <v>234</v>
      </c>
      <c r="C69" s="808">
        <v>246953.74</v>
      </c>
      <c r="D69" s="677" t="s">
        <v>240</v>
      </c>
      <c r="E69" s="663">
        <f t="shared" si="0"/>
        <v>34</v>
      </c>
      <c r="F69" s="679">
        <v>325313.90174200002</v>
      </c>
      <c r="G69" s="677">
        <v>168734.02174199998</v>
      </c>
      <c r="H69" s="677">
        <v>156579.88</v>
      </c>
      <c r="I69" s="687" t="s">
        <v>249</v>
      </c>
      <c r="J69" s="670" t="s">
        <v>298</v>
      </c>
      <c r="K69" s="670" t="s">
        <v>322</v>
      </c>
      <c r="M69" s="681"/>
    </row>
    <row r="70" spans="1:13" s="644" customFormat="1" ht="39.6" customHeight="1" x14ac:dyDescent="0.25">
      <c r="A70" s="801"/>
      <c r="B70" s="804"/>
      <c r="C70" s="810"/>
      <c r="D70" s="677" t="s">
        <v>306</v>
      </c>
      <c r="E70" s="663">
        <f t="shared" si="0"/>
        <v>41</v>
      </c>
      <c r="F70" s="679">
        <v>121976.767742368</v>
      </c>
      <c r="G70" s="677">
        <v>59072.827742367997</v>
      </c>
      <c r="H70" s="677">
        <v>62903.94</v>
      </c>
      <c r="I70" s="670" t="s">
        <v>202</v>
      </c>
      <c r="J70" s="680" t="s">
        <v>309</v>
      </c>
      <c r="K70" s="670" t="s">
        <v>322</v>
      </c>
      <c r="M70" s="681"/>
    </row>
    <row r="71" spans="1:13" s="644" customFormat="1" ht="39.6" customHeight="1" x14ac:dyDescent="0.25">
      <c r="A71" s="802"/>
      <c r="B71" s="805"/>
      <c r="C71" s="811"/>
      <c r="D71" s="677" t="s">
        <v>334</v>
      </c>
      <c r="E71" s="678"/>
      <c r="F71" s="679">
        <v>27190.45</v>
      </c>
      <c r="G71" s="677">
        <v>7129.87</v>
      </c>
      <c r="H71" s="677">
        <v>20060.580000000002</v>
      </c>
      <c r="I71" s="687" t="s">
        <v>249</v>
      </c>
      <c r="J71" s="674" t="s">
        <v>350</v>
      </c>
      <c r="K71" s="674" t="s">
        <v>351</v>
      </c>
      <c r="M71" s="681"/>
    </row>
    <row r="72" spans="1:13" s="651" customFormat="1" ht="32.4" hidden="1" customHeight="1" x14ac:dyDescent="0.25">
      <c r="A72" s="645" t="s">
        <v>225</v>
      </c>
      <c r="B72" s="646" t="s">
        <v>229</v>
      </c>
      <c r="C72" s="649"/>
      <c r="D72" s="655"/>
      <c r="E72" s="663" t="str">
        <f t="shared" si="0"/>
        <v/>
      </c>
      <c r="F72" s="660"/>
      <c r="G72" s="655"/>
      <c r="H72" s="655"/>
      <c r="I72" s="655"/>
      <c r="J72" s="655"/>
      <c r="K72" s="655"/>
      <c r="M72" s="656"/>
    </row>
    <row r="73" spans="1:13" s="651" customFormat="1" ht="32.4" hidden="1" customHeight="1" x14ac:dyDescent="0.25">
      <c r="A73" s="645" t="s">
        <v>235</v>
      </c>
      <c r="B73" s="646" t="s">
        <v>266</v>
      </c>
      <c r="C73" s="649">
        <v>48963.26</v>
      </c>
      <c r="D73" s="655"/>
      <c r="E73" s="663" t="str">
        <f t="shared" si="0"/>
        <v/>
      </c>
      <c r="F73" s="660"/>
      <c r="G73" s="655"/>
      <c r="H73" s="655"/>
      <c r="I73" s="655"/>
      <c r="J73" s="655"/>
      <c r="K73" s="655"/>
      <c r="M73" s="656"/>
    </row>
    <row r="74" spans="1:13" s="651" customFormat="1" ht="32.4" hidden="1" customHeight="1" x14ac:dyDescent="0.25">
      <c r="A74" s="645" t="s">
        <v>262</v>
      </c>
      <c r="B74" s="646" t="s">
        <v>270</v>
      </c>
      <c r="C74" s="649">
        <v>1900000</v>
      </c>
      <c r="D74" s="655"/>
      <c r="E74" s="663" t="str">
        <f t="shared" si="0"/>
        <v/>
      </c>
      <c r="F74" s="660"/>
      <c r="G74" s="655"/>
      <c r="H74" s="655"/>
      <c r="I74" s="655"/>
      <c r="J74" s="655"/>
      <c r="K74" s="655"/>
      <c r="M74" s="656"/>
    </row>
    <row r="75" spans="1:13" s="651" customFormat="1" ht="32.4" hidden="1" customHeight="1" x14ac:dyDescent="0.25">
      <c r="A75" s="645" t="s">
        <v>230</v>
      </c>
      <c r="B75" s="646" t="s">
        <v>216</v>
      </c>
      <c r="C75" s="649"/>
      <c r="D75" s="655"/>
      <c r="E75" s="663" t="str">
        <f t="shared" si="0"/>
        <v/>
      </c>
      <c r="F75" s="660"/>
      <c r="G75" s="655"/>
      <c r="H75" s="655"/>
      <c r="I75" s="655"/>
      <c r="J75" s="655"/>
      <c r="K75" s="655"/>
      <c r="M75" s="656"/>
    </row>
    <row r="76" spans="1:13" s="644" customFormat="1" ht="37.200000000000003" customHeight="1" x14ac:dyDescent="0.25">
      <c r="A76" s="668" t="s">
        <v>236</v>
      </c>
      <c r="B76" s="669" t="s">
        <v>271</v>
      </c>
      <c r="C76" s="670">
        <v>44103.59</v>
      </c>
      <c r="D76" s="677" t="s">
        <v>277</v>
      </c>
      <c r="E76" s="663">
        <f t="shared" si="0"/>
        <v>24</v>
      </c>
      <c r="F76" s="679">
        <v>40991.121999999996</v>
      </c>
      <c r="G76" s="677">
        <v>187.78200000000001</v>
      </c>
      <c r="H76" s="677">
        <v>40803.339999999997</v>
      </c>
      <c r="I76" s="670" t="s">
        <v>249</v>
      </c>
      <c r="J76" s="674" t="s">
        <v>281</v>
      </c>
      <c r="K76" s="670" t="s">
        <v>322</v>
      </c>
      <c r="M76" s="681"/>
    </row>
    <row r="77" spans="1:13" s="651" customFormat="1" ht="32.4" hidden="1" customHeight="1" x14ac:dyDescent="0.25">
      <c r="A77" s="645" t="s">
        <v>237</v>
      </c>
      <c r="B77" s="646" t="s">
        <v>276</v>
      </c>
      <c r="C77" s="649"/>
      <c r="D77" s="655"/>
      <c r="E77" s="663" t="str">
        <f t="shared" si="0"/>
        <v/>
      </c>
      <c r="F77" s="660"/>
      <c r="G77" s="655"/>
      <c r="H77" s="655"/>
      <c r="I77" s="655"/>
      <c r="J77" s="655"/>
      <c r="K77" s="655"/>
      <c r="M77" s="656"/>
    </row>
    <row r="78" spans="1:13" s="644" customFormat="1" ht="43.95" customHeight="1" x14ac:dyDescent="0.25">
      <c r="A78" s="668" t="s">
        <v>238</v>
      </c>
      <c r="B78" s="669" t="s">
        <v>282</v>
      </c>
      <c r="C78" s="670">
        <v>337206.36</v>
      </c>
      <c r="D78" s="677" t="s">
        <v>237</v>
      </c>
      <c r="E78" s="663">
        <f t="shared" si="0"/>
        <v>31</v>
      </c>
      <c r="F78" s="673">
        <v>337206.36</v>
      </c>
      <c r="G78" s="677">
        <v>0</v>
      </c>
      <c r="H78" s="677">
        <v>337206.36</v>
      </c>
      <c r="I78" s="687" t="s">
        <v>249</v>
      </c>
      <c r="J78" s="670" t="s">
        <v>298</v>
      </c>
      <c r="K78" s="670" t="s">
        <v>153</v>
      </c>
      <c r="L78" s="681"/>
    </row>
    <row r="79" spans="1:13" s="651" customFormat="1" ht="43.95" hidden="1" customHeight="1" x14ac:dyDescent="0.25">
      <c r="A79" s="645" t="s">
        <v>239</v>
      </c>
      <c r="B79" s="646" t="s">
        <v>279</v>
      </c>
      <c r="C79" s="649">
        <v>5040</v>
      </c>
      <c r="D79" s="655"/>
      <c r="E79" s="663"/>
      <c r="F79" s="653"/>
      <c r="G79" s="655"/>
      <c r="H79" s="655"/>
      <c r="I79" s="650"/>
      <c r="J79" s="649"/>
      <c r="K79" s="649"/>
      <c r="L79" s="656"/>
    </row>
    <row r="80" spans="1:13" s="651" customFormat="1" ht="43.95" hidden="1" customHeight="1" x14ac:dyDescent="0.25">
      <c r="A80" s="645" t="s">
        <v>240</v>
      </c>
      <c r="B80" s="646" t="s">
        <v>275</v>
      </c>
      <c r="C80" s="649">
        <v>40920.067115384612</v>
      </c>
      <c r="D80" s="655"/>
      <c r="E80" s="663"/>
      <c r="F80" s="653"/>
      <c r="G80" s="655"/>
      <c r="H80" s="655"/>
      <c r="I80" s="650"/>
      <c r="J80" s="649"/>
      <c r="K80" s="649"/>
      <c r="L80" s="656"/>
    </row>
    <row r="81" spans="1:38" s="644" customFormat="1" ht="43.95" customHeight="1" x14ac:dyDescent="0.25">
      <c r="A81" s="668" t="s">
        <v>285</v>
      </c>
      <c r="B81" s="669" t="s">
        <v>297</v>
      </c>
      <c r="C81" s="670">
        <v>108026.29200000002</v>
      </c>
      <c r="D81" s="677" t="s">
        <v>333</v>
      </c>
      <c r="E81" s="678"/>
      <c r="F81" s="673">
        <v>120418.52706000002</v>
      </c>
      <c r="G81" s="677">
        <v>12392.235060000001</v>
      </c>
      <c r="H81" s="677">
        <v>108026.29200000002</v>
      </c>
      <c r="I81" s="687" t="s">
        <v>249</v>
      </c>
      <c r="J81" s="670" t="s">
        <v>337</v>
      </c>
      <c r="K81" s="687"/>
      <c r="L81" s="681"/>
    </row>
    <row r="82" spans="1:38" s="651" customFormat="1" ht="43.95" hidden="1" customHeight="1" x14ac:dyDescent="0.25">
      <c r="A82" s="645" t="s">
        <v>289</v>
      </c>
      <c r="B82" s="646" t="s">
        <v>300</v>
      </c>
      <c r="C82" s="649">
        <v>6116.26</v>
      </c>
      <c r="D82" s="655"/>
      <c r="E82" s="663"/>
      <c r="F82" s="653"/>
      <c r="G82" s="655"/>
      <c r="H82" s="655"/>
      <c r="I82" s="650"/>
      <c r="J82" s="649"/>
      <c r="K82" s="649"/>
      <c r="L82" s="656"/>
    </row>
    <row r="83" spans="1:38" s="651" customFormat="1" ht="43.95" hidden="1" customHeight="1" x14ac:dyDescent="0.25">
      <c r="A83" s="645" t="s">
        <v>302</v>
      </c>
      <c r="B83" s="646" t="s">
        <v>336</v>
      </c>
      <c r="C83" s="649">
        <v>142452.13</v>
      </c>
      <c r="D83" s="655"/>
      <c r="E83" s="663"/>
      <c r="F83" s="653"/>
      <c r="G83" s="655"/>
      <c r="H83" s="655"/>
      <c r="I83" s="650"/>
      <c r="J83" s="649"/>
      <c r="K83" s="649"/>
      <c r="L83" s="656"/>
    </row>
    <row r="84" spans="1:38" s="651" customFormat="1" ht="32.4" hidden="1" customHeight="1" x14ac:dyDescent="0.25">
      <c r="A84" s="645"/>
      <c r="B84" s="646" t="s">
        <v>330</v>
      </c>
      <c r="C84" s="649"/>
      <c r="D84" s="655" t="s">
        <v>169</v>
      </c>
      <c r="E84" s="663">
        <f t="shared" si="0"/>
        <v>16</v>
      </c>
      <c r="F84" s="660">
        <v>30200</v>
      </c>
      <c r="G84" s="655"/>
      <c r="H84" s="655"/>
      <c r="I84" s="655"/>
      <c r="J84" s="655"/>
      <c r="K84" s="655"/>
      <c r="M84" s="656"/>
    </row>
    <row r="85" spans="1:38" s="651" customFormat="1" ht="37.950000000000003" hidden="1" customHeight="1" x14ac:dyDescent="0.25">
      <c r="A85" s="645"/>
      <c r="B85" s="646" t="s">
        <v>331</v>
      </c>
      <c r="C85" s="649"/>
      <c r="D85" s="655" t="s">
        <v>225</v>
      </c>
      <c r="E85" s="663">
        <f t="shared" si="0"/>
        <v>26</v>
      </c>
      <c r="F85" s="653">
        <v>68000</v>
      </c>
      <c r="G85" s="655"/>
      <c r="H85" s="650"/>
      <c r="I85" s="654"/>
      <c r="J85" s="655"/>
      <c r="K85" s="655"/>
      <c r="L85" s="656"/>
    </row>
    <row r="86" spans="1:38" s="651" customFormat="1" ht="37.950000000000003" hidden="1" customHeight="1" x14ac:dyDescent="0.25">
      <c r="A86" s="645" t="s">
        <v>303</v>
      </c>
      <c r="B86" s="646" t="s">
        <v>353</v>
      </c>
      <c r="C86" s="649">
        <f>'Реєстр ДЦ '!E55</f>
        <v>8258.1</v>
      </c>
      <c r="D86" s="655" t="s">
        <v>347</v>
      </c>
      <c r="E86" s="663"/>
      <c r="F86" s="653">
        <v>8258.1</v>
      </c>
      <c r="G86" s="655"/>
      <c r="H86" s="649">
        <v>8258.1</v>
      </c>
      <c r="I86" s="665" t="s">
        <v>188</v>
      </c>
      <c r="J86" s="649" t="s">
        <v>363</v>
      </c>
      <c r="K86" s="655"/>
      <c r="L86" s="656"/>
    </row>
    <row r="87" spans="1:38" s="651" customFormat="1" ht="37.950000000000003" hidden="1" customHeight="1" x14ac:dyDescent="0.25">
      <c r="A87" s="645" t="s">
        <v>305</v>
      </c>
      <c r="B87" s="646" t="s">
        <v>360</v>
      </c>
      <c r="C87" s="649"/>
      <c r="D87" s="655" t="s">
        <v>361</v>
      </c>
      <c r="E87" s="663"/>
      <c r="F87" s="653">
        <v>646774</v>
      </c>
      <c r="G87" s="655"/>
      <c r="H87" s="649">
        <v>646774</v>
      </c>
      <c r="I87" s="665" t="s">
        <v>188</v>
      </c>
      <c r="J87" s="649" t="s">
        <v>363</v>
      </c>
      <c r="K87" s="655"/>
      <c r="L87" s="656"/>
    </row>
    <row r="88" spans="1:38" s="651" customFormat="1" ht="37.950000000000003" hidden="1" customHeight="1" x14ac:dyDescent="0.25">
      <c r="A88" s="645" t="s">
        <v>306</v>
      </c>
      <c r="B88" s="646" t="s">
        <v>358</v>
      </c>
      <c r="C88" s="649"/>
      <c r="D88" s="655"/>
      <c r="E88" s="663"/>
      <c r="F88" s="653"/>
      <c r="G88" s="655"/>
      <c r="H88" s="653"/>
      <c r="I88" s="667"/>
      <c r="J88" s="649"/>
      <c r="K88" s="655"/>
      <c r="L88" s="656"/>
    </row>
    <row r="89" spans="1:38" s="324" customFormat="1" ht="22.95" hidden="1" customHeight="1" x14ac:dyDescent="0.25">
      <c r="A89" s="557"/>
      <c r="B89" s="557" t="s">
        <v>47</v>
      </c>
      <c r="C89" s="558">
        <f>SUM(C6:C86)</f>
        <v>43366680.994543739</v>
      </c>
      <c r="D89" s="558"/>
      <c r="E89" s="558"/>
      <c r="F89" s="558">
        <f>SUM(F6:F86)</f>
        <v>24140743.099303976</v>
      </c>
      <c r="G89" s="558">
        <f>SUM(G6:G86)</f>
        <v>7036353.3766639773</v>
      </c>
      <c r="H89" s="558">
        <f>SUM(H6:H86)</f>
        <v>17018582.722000003</v>
      </c>
      <c r="I89" s="558"/>
      <c r="J89" s="558"/>
      <c r="K89" s="558"/>
    </row>
    <row r="90" spans="1:38" s="323" customFormat="1" ht="26.4" hidden="1" customHeight="1" outlineLevel="1" x14ac:dyDescent="0.25">
      <c r="A90" s="592"/>
      <c r="B90" s="593"/>
      <c r="C90" s="610">
        <f>SUBTOTAL(9,C6:C86)</f>
        <v>33659782.469543733</v>
      </c>
      <c r="D90" s="597"/>
      <c r="E90" s="624"/>
      <c r="F90" s="610">
        <f>SUBTOTAL(9,F6:F86)</f>
        <v>24034284.999303974</v>
      </c>
      <c r="G90" s="610">
        <f>SUBTOTAL(9,G6:G86)</f>
        <v>7036353.3766639773</v>
      </c>
      <c r="H90" s="610">
        <f>SUBTOTAL(9,H6:H86)</f>
        <v>17010324.622000001</v>
      </c>
      <c r="I90" s="594"/>
      <c r="J90" s="594"/>
      <c r="K90" s="594"/>
      <c r="L90" s="318"/>
      <c r="M90" s="534"/>
      <c r="N90" s="318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  <c r="AA90" s="318"/>
      <c r="AB90" s="318"/>
      <c r="AC90" s="318"/>
      <c r="AD90" s="318"/>
      <c r="AE90" s="318"/>
      <c r="AF90" s="318"/>
      <c r="AG90" s="318"/>
      <c r="AH90" s="318"/>
      <c r="AI90" s="318"/>
      <c r="AJ90" s="318"/>
      <c r="AK90" s="318"/>
      <c r="AL90" s="318"/>
    </row>
    <row r="91" spans="1:38" collapsed="1" x14ac:dyDescent="0.25">
      <c r="C91" s="339"/>
      <c r="D91" s="339"/>
      <c r="E91" s="339"/>
      <c r="F91" s="339"/>
      <c r="G91" s="339"/>
      <c r="H91" s="339"/>
      <c r="I91" s="339"/>
      <c r="J91" s="339"/>
      <c r="K91" s="339"/>
    </row>
    <row r="92" spans="1:38" x14ac:dyDescent="0.25">
      <c r="C92" s="339"/>
      <c r="D92" s="339"/>
      <c r="E92" s="339"/>
      <c r="F92" s="339"/>
      <c r="G92" s="339"/>
      <c r="H92" s="339"/>
      <c r="I92" s="339"/>
      <c r="J92" s="339"/>
      <c r="K92" s="339"/>
    </row>
    <row r="93" spans="1:38" x14ac:dyDescent="0.25">
      <c r="C93" s="339"/>
      <c r="D93" s="339"/>
      <c r="E93" s="339"/>
      <c r="F93" s="339"/>
      <c r="G93" s="339"/>
      <c r="H93" s="339"/>
      <c r="I93" s="339"/>
      <c r="J93" s="339"/>
      <c r="K93" s="339"/>
    </row>
    <row r="94" spans="1:38" x14ac:dyDescent="0.25">
      <c r="C94" s="339"/>
      <c r="D94" s="339"/>
      <c r="E94" s="339"/>
      <c r="F94" s="339"/>
      <c r="G94" s="339"/>
      <c r="H94" s="339"/>
      <c r="I94" s="339"/>
      <c r="J94" s="339"/>
      <c r="K94" s="339"/>
    </row>
    <row r="95" spans="1:38" x14ac:dyDescent="0.25">
      <c r="C95" s="339"/>
      <c r="D95" s="339"/>
      <c r="E95" s="339"/>
      <c r="F95" s="339"/>
      <c r="G95" s="339"/>
      <c r="H95" s="339"/>
      <c r="I95" s="339"/>
      <c r="J95" s="339"/>
      <c r="K95" s="339"/>
    </row>
  </sheetData>
  <autoFilter ref="A5:AL89">
    <filterColumn colId="8">
      <filters>
        <filter val="Оригінал в офісі"/>
        <filter val="Орігінал в офісі"/>
      </filters>
    </filterColumn>
  </autoFilter>
  <mergeCells count="38">
    <mergeCell ref="C69:C71"/>
    <mergeCell ref="B69:B71"/>
    <mergeCell ref="A69:A71"/>
    <mergeCell ref="B57:B59"/>
    <mergeCell ref="A57:A59"/>
    <mergeCell ref="A60:A62"/>
    <mergeCell ref="B60:B62"/>
    <mergeCell ref="C60:C62"/>
    <mergeCell ref="C15:C18"/>
    <mergeCell ref="A27:A28"/>
    <mergeCell ref="B27:B28"/>
    <mergeCell ref="C27:C28"/>
    <mergeCell ref="A15:A18"/>
    <mergeCell ref="B15:B18"/>
    <mergeCell ref="A19:A20"/>
    <mergeCell ref="B19:B20"/>
    <mergeCell ref="C19:C20"/>
    <mergeCell ref="A8:A9"/>
    <mergeCell ref="B8:B9"/>
    <mergeCell ref="C8:C9"/>
    <mergeCell ref="A10:A14"/>
    <mergeCell ref="B10:B14"/>
    <mergeCell ref="C10:C14"/>
    <mergeCell ref="A1:K2"/>
    <mergeCell ref="K3:K5"/>
    <mergeCell ref="D3:J4"/>
    <mergeCell ref="A3:A5"/>
    <mergeCell ref="B3:B5"/>
    <mergeCell ref="C3:C5"/>
    <mergeCell ref="A52:A53"/>
    <mergeCell ref="B52:B53"/>
    <mergeCell ref="C52:C53"/>
    <mergeCell ref="A31:A34"/>
    <mergeCell ref="B31:B34"/>
    <mergeCell ref="A35:A45"/>
    <mergeCell ref="B35:B45"/>
    <mergeCell ref="C35:C45"/>
    <mergeCell ref="C31:C34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61" fitToHeight="0" orientation="landscape" verticalDpi="300" r:id="rId1"/>
  <rowBreaks count="2" manualBreakCount="2">
    <brk id="25" max="10" man="1"/>
    <brk id="55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822" t="s">
        <v>149</v>
      </c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823" t="s">
        <v>118</v>
      </c>
      <c r="B4" s="826" t="s">
        <v>2</v>
      </c>
      <c r="C4" s="829" t="s">
        <v>119</v>
      </c>
      <c r="D4" s="830"/>
      <c r="E4" s="833" t="s">
        <v>120</v>
      </c>
      <c r="F4" s="836" t="s">
        <v>121</v>
      </c>
      <c r="G4" s="837"/>
      <c r="H4" s="837"/>
      <c r="I4" s="837"/>
      <c r="J4" s="837"/>
      <c r="K4" s="837"/>
      <c r="L4" s="837"/>
      <c r="M4" s="837"/>
      <c r="N4" s="837"/>
      <c r="O4" s="837"/>
      <c r="P4" s="837"/>
      <c r="Q4" s="837"/>
      <c r="R4" s="837"/>
      <c r="S4" s="837"/>
      <c r="T4" s="837"/>
      <c r="U4" s="837"/>
      <c r="V4" s="837"/>
      <c r="W4" s="838"/>
      <c r="X4" s="512"/>
      <c r="Y4" s="829" t="s">
        <v>122</v>
      </c>
      <c r="Z4" s="839"/>
      <c r="AA4" s="830"/>
      <c r="AB4" s="841" t="s">
        <v>123</v>
      </c>
      <c r="AC4" s="842"/>
      <c r="AD4" s="843"/>
    </row>
    <row r="5" spans="1:30" ht="15.45" customHeight="1" x14ac:dyDescent="0.25">
      <c r="A5" s="824"/>
      <c r="B5" s="827"/>
      <c r="C5" s="831"/>
      <c r="D5" s="832"/>
      <c r="E5" s="834"/>
      <c r="F5" s="836" t="s">
        <v>143</v>
      </c>
      <c r="G5" s="838"/>
      <c r="H5" s="836" t="s">
        <v>144</v>
      </c>
      <c r="I5" s="838"/>
      <c r="J5" s="836" t="s">
        <v>145</v>
      </c>
      <c r="K5" s="838"/>
      <c r="L5" s="836" t="s">
        <v>156</v>
      </c>
      <c r="M5" s="838"/>
      <c r="N5" s="836" t="s">
        <v>155</v>
      </c>
      <c r="O5" s="838"/>
      <c r="P5" s="836" t="s">
        <v>159</v>
      </c>
      <c r="Q5" s="838"/>
      <c r="R5" s="836" t="s">
        <v>166</v>
      </c>
      <c r="S5" s="838"/>
      <c r="T5" s="836"/>
      <c r="U5" s="838"/>
      <c r="V5" s="836"/>
      <c r="W5" s="838"/>
      <c r="X5" s="513"/>
      <c r="Y5" s="831"/>
      <c r="Z5" s="840"/>
      <c r="AA5" s="832"/>
      <c r="AB5" s="844"/>
      <c r="AC5" s="845"/>
      <c r="AD5" s="846"/>
    </row>
    <row r="6" spans="1:30" ht="27.75" customHeight="1" x14ac:dyDescent="0.25">
      <c r="A6" s="825"/>
      <c r="B6" s="828"/>
      <c r="C6" s="314" t="s">
        <v>124</v>
      </c>
      <c r="D6" s="315" t="s">
        <v>125</v>
      </c>
      <c r="E6" s="835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857">
        <v>1</v>
      </c>
      <c r="B8" s="873" t="s">
        <v>95</v>
      </c>
      <c r="C8" s="847" t="s">
        <v>53</v>
      </c>
      <c r="D8" s="851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854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871"/>
      <c r="B9" s="874"/>
      <c r="C9" s="848"/>
      <c r="D9" s="852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855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871"/>
      <c r="B10" s="874"/>
      <c r="C10" s="848"/>
      <c r="D10" s="852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855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871"/>
      <c r="B11" s="874"/>
      <c r="C11" s="848"/>
      <c r="D11" s="852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855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871"/>
      <c r="B12" s="874"/>
      <c r="C12" s="848"/>
      <c r="D12" s="852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855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871"/>
      <c r="B13" s="874"/>
      <c r="C13" s="848"/>
      <c r="D13" s="852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855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871"/>
      <c r="B14" s="874"/>
      <c r="C14" s="848"/>
      <c r="D14" s="852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855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871"/>
      <c r="B15" s="874"/>
      <c r="C15" s="848"/>
      <c r="D15" s="852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855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871"/>
      <c r="B16" s="874"/>
      <c r="C16" s="848"/>
      <c r="D16" s="852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855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871"/>
      <c r="B17" s="874"/>
      <c r="C17" s="848"/>
      <c r="D17" s="852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855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871"/>
      <c r="B18" s="874"/>
      <c r="C18" s="848"/>
      <c r="D18" s="852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855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871"/>
      <c r="B19" s="874"/>
      <c r="C19" s="848"/>
      <c r="D19" s="852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855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871"/>
      <c r="B20" s="874"/>
      <c r="C20" s="848"/>
      <c r="D20" s="852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855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871"/>
      <c r="B21" s="874"/>
      <c r="C21" s="849"/>
      <c r="D21" s="852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855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872"/>
      <c r="B22" s="875"/>
      <c r="C22" s="850"/>
      <c r="D22" s="853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856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866">
        <v>2</v>
      </c>
      <c r="B25" s="867" t="s">
        <v>157</v>
      </c>
      <c r="C25" s="827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869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859"/>
      <c r="B26" s="868"/>
      <c r="C26" s="850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870"/>
      <c r="AB26" s="418"/>
      <c r="AC26" s="418"/>
      <c r="AD26" s="419"/>
    </row>
    <row r="27" spans="1:30" s="323" customFormat="1" ht="12" customHeight="1" x14ac:dyDescent="0.25">
      <c r="A27" s="857">
        <v>3</v>
      </c>
      <c r="B27" s="860" t="s">
        <v>98</v>
      </c>
      <c r="C27" s="510"/>
      <c r="D27" s="863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858"/>
      <c r="B28" s="861"/>
      <c r="C28" s="511"/>
      <c r="D28" s="864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859"/>
      <c r="B29" s="862"/>
      <c r="C29" s="397"/>
      <c r="D29" s="865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876">
        <f>A8+1</f>
        <v>2</v>
      </c>
      <c r="B30" s="877" t="s">
        <v>152</v>
      </c>
      <c r="C30" s="880" t="s">
        <v>69</v>
      </c>
      <c r="D30" s="881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884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885"/>
      <c r="B31" s="887"/>
      <c r="C31" s="889"/>
      <c r="D31" s="891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849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885"/>
      <c r="B32" s="887"/>
      <c r="C32" s="849"/>
      <c r="D32" s="891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849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885"/>
      <c r="B33" s="887"/>
      <c r="C33" s="849"/>
      <c r="D33" s="891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849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885"/>
      <c r="B34" s="887"/>
      <c r="C34" s="849"/>
      <c r="D34" s="891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849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885"/>
      <c r="B35" s="887"/>
      <c r="C35" s="849"/>
      <c r="D35" s="891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849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885"/>
      <c r="B36" s="887"/>
      <c r="C36" s="849"/>
      <c r="D36" s="891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849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885"/>
      <c r="B37" s="887"/>
      <c r="C37" s="849"/>
      <c r="D37" s="891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849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885"/>
      <c r="B38" s="887"/>
      <c r="C38" s="849"/>
      <c r="D38" s="891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849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885"/>
      <c r="B39" s="887"/>
      <c r="C39" s="849"/>
      <c r="D39" s="891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849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885"/>
      <c r="B40" s="887"/>
      <c r="C40" s="849"/>
      <c r="D40" s="891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849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885"/>
      <c r="B41" s="887"/>
      <c r="C41" s="849"/>
      <c r="D41" s="891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849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885"/>
      <c r="B42" s="887"/>
      <c r="C42" s="849"/>
      <c r="D42" s="891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849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885"/>
      <c r="B43" s="887"/>
      <c r="C43" s="849"/>
      <c r="D43" s="891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849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885"/>
      <c r="B44" s="887"/>
      <c r="C44" s="849"/>
      <c r="D44" s="891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849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886"/>
      <c r="B45" s="888"/>
      <c r="C45" s="850"/>
      <c r="D45" s="892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876">
        <v>3</v>
      </c>
      <c r="B47" s="877" t="s">
        <v>146</v>
      </c>
      <c r="C47" s="880" t="s">
        <v>70</v>
      </c>
      <c r="D47" s="881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893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885"/>
      <c r="B48" s="887"/>
      <c r="C48" s="889"/>
      <c r="D48" s="891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894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885"/>
      <c r="B49" s="887"/>
      <c r="C49" s="889"/>
      <c r="D49" s="891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894"/>
      <c r="AB49" s="415">
        <f>Z49</f>
        <v>197627.09</v>
      </c>
      <c r="AC49" s="415"/>
      <c r="AD49" s="443"/>
    </row>
    <row r="50" spans="1:30" s="323" customFormat="1" ht="12" customHeight="1" x14ac:dyDescent="0.25">
      <c r="A50" s="885"/>
      <c r="B50" s="887"/>
      <c r="C50" s="889"/>
      <c r="D50" s="891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894"/>
      <c r="AB50" s="415"/>
      <c r="AC50" s="415"/>
      <c r="AD50" s="443"/>
    </row>
    <row r="51" spans="1:30" s="323" customFormat="1" ht="12" customHeight="1" thickBot="1" x14ac:dyDescent="0.3">
      <c r="A51" s="885"/>
      <c r="B51" s="887"/>
      <c r="C51" s="889"/>
      <c r="D51" s="891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895"/>
      <c r="AB51" s="415"/>
      <c r="AC51" s="415"/>
      <c r="AD51" s="444"/>
    </row>
    <row r="52" spans="1:30" s="323" customFormat="1" ht="12.6" customHeight="1" thickBot="1" x14ac:dyDescent="0.3">
      <c r="A52" s="886"/>
      <c r="B52" s="888"/>
      <c r="C52" s="890"/>
      <c r="D52" s="892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876">
        <v>4</v>
      </c>
      <c r="B53" s="877" t="s">
        <v>151</v>
      </c>
      <c r="C53" s="880" t="s">
        <v>71</v>
      </c>
      <c r="D53" s="881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882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858"/>
      <c r="B54" s="878"/>
      <c r="C54" s="849"/>
      <c r="D54" s="849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883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858"/>
      <c r="B55" s="878"/>
      <c r="C55" s="849"/>
      <c r="D55" s="849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883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858"/>
      <c r="B56" s="878"/>
      <c r="C56" s="849"/>
      <c r="D56" s="849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883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858"/>
      <c r="B57" s="878"/>
      <c r="C57" s="849"/>
      <c r="D57" s="849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883"/>
      <c r="AB57" s="370"/>
      <c r="AC57" s="370"/>
      <c r="AD57" s="446"/>
    </row>
    <row r="58" spans="1:30" s="323" customFormat="1" ht="13.2" customHeight="1" thickBot="1" x14ac:dyDescent="0.3">
      <c r="A58" s="859"/>
      <c r="B58" s="879"/>
      <c r="C58" s="850"/>
      <c r="D58" s="850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876">
        <v>5</v>
      </c>
      <c r="B59" s="877" t="s">
        <v>154</v>
      </c>
      <c r="C59" s="880" t="s">
        <v>72</v>
      </c>
      <c r="D59" s="881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858"/>
      <c r="B60" s="878"/>
      <c r="C60" s="849"/>
      <c r="D60" s="849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858"/>
      <c r="B61" s="878"/>
      <c r="C61" s="849"/>
      <c r="D61" s="849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858"/>
      <c r="B62" s="878"/>
      <c r="C62" s="849"/>
      <c r="D62" s="849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858"/>
      <c r="B63" s="878"/>
      <c r="C63" s="849"/>
      <c r="D63" s="849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859"/>
      <c r="B64" s="879"/>
      <c r="C64" s="850"/>
      <c r="D64" s="850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  <mergeCell ref="A59:A64"/>
    <mergeCell ref="B59:B64"/>
    <mergeCell ref="C59:C64"/>
    <mergeCell ref="D59:D64"/>
    <mergeCell ref="A53:A58"/>
    <mergeCell ref="B53:B58"/>
    <mergeCell ref="C53:C58"/>
    <mergeCell ref="D53:D58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A2:Y2"/>
    <mergeCell ref="A4:A6"/>
    <mergeCell ref="B4:B6"/>
    <mergeCell ref="C4:D5"/>
    <mergeCell ref="E4:E6"/>
    <mergeCell ref="F4:W4"/>
    <mergeCell ref="Y4:AA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896" t="s">
        <v>181</v>
      </c>
      <c r="B2" s="896"/>
      <c r="C2" s="896"/>
      <c r="D2" s="897"/>
      <c r="E2" s="897"/>
    </row>
    <row r="3" spans="1:5" ht="15" customHeight="1" x14ac:dyDescent="0.25">
      <c r="A3" s="309"/>
      <c r="B3" s="309"/>
      <c r="C3" s="309"/>
      <c r="D3" s="845" t="s">
        <v>182</v>
      </c>
      <c r="E3" s="845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871">
        <v>1</v>
      </c>
      <c r="B5" s="874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871"/>
      <c r="B6" s="874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871"/>
      <c r="B7" s="874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871"/>
      <c r="B8" s="874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871"/>
      <c r="B9" s="874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871"/>
      <c r="B10" s="874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871"/>
      <c r="B11" s="874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871"/>
      <c r="B12" s="874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871"/>
      <c r="B13" s="874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871"/>
      <c r="B14" s="874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871"/>
      <c r="B15" s="874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871"/>
      <c r="B16" s="874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871"/>
      <c r="B17" s="874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871"/>
      <c r="B18" s="874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871"/>
      <c r="B19" s="874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885">
        <f>A5+1</f>
        <v>2</v>
      </c>
      <c r="B23" s="887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885"/>
      <c r="B24" s="887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885"/>
      <c r="B25" s="887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885"/>
      <c r="B26" s="887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885"/>
      <c r="B27" s="887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885"/>
      <c r="B28" s="887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885"/>
      <c r="B29" s="887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885"/>
      <c r="B30" s="887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885"/>
      <c r="B31" s="887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885"/>
      <c r="B32" s="887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885"/>
      <c r="B33" s="887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885"/>
      <c r="B34" s="887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885"/>
      <c r="B35" s="887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885"/>
      <c r="B36" s="887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885"/>
      <c r="B37" s="887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885"/>
      <c r="B38" s="887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885"/>
      <c r="B39" s="887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885"/>
      <c r="B40" s="887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885"/>
      <c r="B41" s="887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885"/>
      <c r="B42" s="887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876">
        <v>3</v>
      </c>
      <c r="B43" s="877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885"/>
      <c r="B44" s="887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885"/>
      <c r="B45" s="887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885"/>
      <c r="B46" s="887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886"/>
      <c r="B47" s="888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876">
        <v>4</v>
      </c>
      <c r="B48" s="877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858"/>
      <c r="B49" s="878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858"/>
      <c r="B50" s="878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858"/>
      <c r="B51" s="878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898" t="s">
        <v>6</v>
      </c>
      <c r="B1" s="898"/>
      <c r="C1" s="898"/>
      <c r="D1" s="898"/>
      <c r="E1" s="898"/>
      <c r="F1" s="898"/>
    </row>
    <row r="2" spans="1:8" s="91" customFormat="1" ht="12.75" customHeight="1" x14ac:dyDescent="0.25">
      <c r="A2" s="899"/>
      <c r="B2" s="899"/>
      <c r="C2" s="899"/>
      <c r="D2" s="899"/>
      <c r="E2" s="899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ноябрь</vt:lpstr>
      <vt:lpstr>Реєстр ДЦ</vt:lpstr>
      <vt:lpstr>Реєстр АВР</vt:lpstr>
      <vt:lpstr>Реєстр ДЦ </vt:lpstr>
      <vt:lpstr>РеєстрАВР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РеєстрАВР!Область_печати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i.steblianko</cp:lastModifiedBy>
  <cp:lastPrinted>2024-07-01T09:08:16Z</cp:lastPrinted>
  <dcterms:created xsi:type="dcterms:W3CDTF">2016-07-15T13:11:41Z</dcterms:created>
  <dcterms:modified xsi:type="dcterms:W3CDTF">2024-08-14T08:21:23Z</dcterms:modified>
</cp:coreProperties>
</file>
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Астарта\Накопление\"/>
    </mc:Choice>
  </mc:AlternateContent>
  <bookViews>
    <workbookView xWindow="28680" yWindow="-120" windowWidth="29040" windowHeight="15840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externalReferences>
    <externalReference r:id="rId10"/>
  </externalReference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'!$A$7:$H$7</definedName>
    <definedName name="_xlnm._FilterDatabase" localSheetId="4" hidden="1">РеєстрАВР!$A$4:$AK$11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'!$A$2:$J$11</definedName>
    <definedName name="_xlnm.Print_Area" localSheetId="4">РеєстрАВР!$A$1:$L$12</definedName>
  </definedNames>
  <calcPr calcId="152511"/>
</workbook>
</file>

<file path=xl/calcChain.xml><?xml version="1.0" encoding="utf-8"?>
<calcChain xmlns="http://schemas.openxmlformats.org/spreadsheetml/2006/main">
  <c r="E9" i="27" l="1"/>
  <c r="C8" i="22" l="1"/>
  <c r="K6" i="22" l="1"/>
  <c r="E11" i="27" l="1"/>
  <c r="G8" i="27"/>
  <c r="G11" i="27" l="1"/>
  <c r="F11" i="27"/>
  <c r="C11" i="27"/>
  <c r="E11" i="22"/>
  <c r="D11" i="22"/>
  <c r="G10" i="27" l="1"/>
  <c r="C6" i="22" l="1"/>
  <c r="G7" i="27" l="1"/>
  <c r="N6" i="27" l="1"/>
  <c r="M6" i="27"/>
  <c r="C11" i="22" l="1"/>
  <c r="C7" i="22" l="1"/>
  <c r="N5" i="27" l="1"/>
  <c r="G6" i="27" l="1"/>
  <c r="G5" i="27" l="1"/>
  <c r="F5" i="27"/>
  <c r="E9" i="22" l="1"/>
  <c r="E10" i="22"/>
  <c r="G12" i="27" l="1"/>
  <c r="F12" i="27"/>
  <c r="E12" i="27"/>
  <c r="C12" i="27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<sst xmlns="http://schemas.openxmlformats.org/spreadsheetml/2006/main" count="473" uniqueCount="236">
  <si>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</si>
  <si>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</si>
  <si>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</si>
  <si>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</si>
  <si>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</si>
  <si>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</si>
  <si>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</si>
  <si>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</si>
  <si>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</si>
  <si>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</si>
  <si>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</si>
  <si>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</si>
  <si>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</si>
  <si>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</si>
  <si>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</si>
  <si>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</si>
  <si>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</si>
  <si>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</si>
  <si>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</si>
  <si>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</si>
  <si>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</si>
  <si>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</si>
  <si>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</si>
  <si>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</si>
  <si>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</si>
  <si>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</si>
  <si>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</si>
  <si>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</si>
  <si>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</si>
  <si>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</si>
  <si>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</si>
  <si>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</si>
  <si>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</si>
  <si>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</si>
  <si>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</si>
  <si>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</si>
  <si>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</si>
  <si>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</si>
  <si>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</si>
  <si>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</si>
  <si>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</si>
  <si>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</si>
  <si>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</si>
  <si>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</si>
  <si>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</si>
  <si>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</si>
  <si>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</si>
  <si>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</si>
  <si>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</si>
  <si>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</si>
  <si>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</si>
  <si>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</si>
  <si>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</si>
  <si>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</si>
  <si>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</si>
  <si>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</si>
  <si>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</si>
  <si>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</si>
  <si>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</si>
  <si>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</si>
  <si>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</si>
  <si>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</si>
  <si>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</si>
  <si>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</si>
  <si>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</si>
  <si>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</si>
  <si>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</si>
  <si>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</si>
  <si>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</si>
  <si>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</si>
  <si>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</si>
  <si>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</si>
  <si>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</si>
  <si>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</si>
  <si>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</si>
  <si>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</si>
  <si>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</si>
  <si>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</si>
  <si>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</si>
  <si>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</si>
  <si>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</si>
  <si>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</si>
  <si>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</si>
  <si>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</si>
  <si>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</si>
  <si>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</si>
  <si>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</si>
  <si>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</si>
  <si>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</si>
  <si>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</si>
  <si>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</si>
  <si>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</si>
  <si>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</si>
  <si>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</si>
  <si>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</si>
  <si>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</si>
  <si>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</si>
  <si>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</si>
  <si>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</si>
  <si>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</si>
  <si>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</si>
  <si>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</si>
  <si>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</si>
  <si>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</si>
  <si>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</si>
  <si>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</si>
  <si>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</si>
  <si>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</si>
  <si>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</si>
  <si>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</si>
  <si>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</si>
  <si>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</si>
  <si>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</si>
  <si>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</si>
  <si>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</si>
  <si>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</si>
  <si>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</si>
  <si>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</si>
  <si>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</si>
  <si>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</si>
  <si>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</si>
  <si>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</si>
  <si>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</si>
  <si>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</si>
  <si>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</si>
  <si>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</si>
  <si>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</si>
  <si>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</si>
  <si>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</si>
  <si>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</si>
  <si>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</si>
  <si>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</si>
  <si>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</si>
  <si>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</si>
  <si>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</si>
  <si>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</si>
  <si>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</si>
  <si>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</si>
  <si>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</si>
  <si>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</si>
  <si>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</si>
  <si>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</si>
  <si>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</si>
  <si>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</si>
  <si>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</si>
  <si>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</si>
  <si>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</si>
  <si>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</si>
  <si>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</si>
  <si>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</si>
  <si>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</si>
  <si>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</si>
  <si>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</si>
  <si>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</si>
  <si>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</si>
  <si>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</si>
  <si>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</si>
  <si>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</si>
  <si>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</si>
  <si>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</si>
  <si>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</si>
  <si>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</si>
  <si>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</si>
  <si>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</si>
  <si>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</si>
  <si>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</si>
  <si>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</si>
  <si>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</si>
  <si>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</si>
  <si>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</si>
  <si>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</si>
  <si>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</si>
  <si>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</si>
  <si>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</si>
  <si>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</si>
  <si>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</si>
  <si>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</si>
  <si>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</si>
  <si>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</si>
  <si>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</si>
  <si>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</si>
  <si>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</si>
  <si>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</si>
  <si>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</si>
  <si>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</si>
  <si>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</si>
  <si>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</si>
  <si>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</si>
  <si>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</si>
  <si>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</si>
  <si>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</si>
  <si>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</si>
  <si>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</si>
  <si>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</si>
  <si>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</si>
  <si>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Оригінал в офісі</t>
  </si>
  <si>
    <t>Всього, грн з ПДВ</t>
  </si>
  <si>
    <t>Оригінал</t>
  </si>
  <si>
    <t>Варіанти статусу</t>
  </si>
  <si>
    <t>заповнюємо колонку коментарі з датою коли буде оригінал</t>
  </si>
  <si>
    <t>не заповнюємо колонку коментарі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</si>
  <si>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</si>
  <si>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</si>
  <si>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</si>
  <si>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</si>
  <si>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</si>
  <si>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</si>
  <si>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АВР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</si>
  <si>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</si>
  <si>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</si>
  <si>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зауваження до ССДЦ якщо є і на кому затримка в погодженні</t>
  </si>
  <si>
    <t>списання так/ні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</si>
  <si>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</si>
  <si>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 xml:space="preserve"> Реєстр ДЦ  по об'єкту 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</t>
  </si>
  <si>
    <t xml:space="preserve"> Реєстр актів виконаних робіт по об'єкту ""комплекс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область»""</t>
  </si>
  <si>
    <t>Оригинал в офисе</t>
  </si>
  <si>
    <t>Оплата</t>
  </si>
  <si>
    <t xml:space="preserve">Доплата </t>
  </si>
  <si>
    <t>оплачено</t>
  </si>
  <si>
    <t>Демонтажніе работі+разница земляных работ</t>
  </si>
  <si>
    <t>Підготовчі роботи та монтаж пальового поля (Договір № 14/06/2024)</t>
  </si>
  <si>
    <t>Договор будет переподписываться в новой редакции с учетом аванса)</t>
  </si>
  <si>
    <t>(Договір № 14/06/2024)</t>
  </si>
  <si>
    <t>Додаткова угода №1 к договору 14/06/2024</t>
  </si>
  <si>
    <t>Пересчет КП в новой редакции (согласно проекта)</t>
  </si>
  <si>
    <t>КП на временные дороги</t>
  </si>
  <si>
    <t>Підготовчі роботи та монтаж пальового поля (Договір № 19/07/2024)</t>
  </si>
  <si>
    <t>подписано</t>
  </si>
  <si>
    <t>Договор №19/07/2024</t>
  </si>
  <si>
    <t>Підготовчі роботи та монтаж пальового поля (Договір №14/06/2024)</t>
  </si>
  <si>
    <t>Оригинал в офисе (подписан без даты)</t>
  </si>
  <si>
    <t>М29</t>
  </si>
  <si>
    <t>+</t>
  </si>
  <si>
    <t>оплата</t>
  </si>
  <si>
    <t>КП на согласовании у Заказчика</t>
  </si>
  <si>
    <t>оригинал отправлен Заказчику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</si>
</sst>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5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775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43" fontId="37" fillId="0" borderId="0" xfId="20" applyNumberFormat="1" applyFont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NumberFormat="1" applyFont="1" applyFill="1" applyBorder="1" applyAlignment="1">
      <alignment horizontal="center" vertical="center" wrapText="1"/>
    </xf>
    <xf numFmtId="0" fontId="49" fillId="0" borderId="2" xfId="20" applyFont="1" applyFill="1" applyBorder="1" applyAlignment="1">
      <alignment vertical="center" wrapText="1"/>
    </xf>
    <xf numFmtId="0" fontId="51" fillId="0" borderId="2" xfId="20" applyNumberFormat="1" applyFont="1" applyFill="1" applyBorder="1" applyAlignment="1">
      <alignment horizontal="center" vertical="center" wrapText="1"/>
    </xf>
    <xf numFmtId="0" fontId="49" fillId="0" borderId="2" xfId="20" applyNumberFormat="1" applyFont="1" applyFill="1" applyBorder="1" applyAlignment="1">
      <alignment vertical="top" wrapText="1"/>
    </xf>
    <xf numFmtId="0" fontId="44" fillId="0" borderId="0" xfId="20" applyFont="1" applyFill="1" applyAlignment="1">
      <alignment vertical="center"/>
    </xf>
    <xf numFmtId="0" fontId="46" fillId="5" borderId="2" xfId="20" applyFont="1" applyFill="1" applyBorder="1" applyAlignment="1">
      <alignment horizontal="center" vertical="center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75" fontId="49" fillId="0" borderId="2" xfId="20" applyNumberFormat="1" applyFont="1" applyFill="1" applyBorder="1" applyAlignment="1">
      <alignment horizontal="center" vertical="center"/>
    </xf>
    <xf numFmtId="0" fontId="49" fillId="0" borderId="6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center"/>
    </xf>
    <xf numFmtId="164" fontId="49" fillId="0" borderId="20" xfId="20" applyNumberFormat="1" applyFont="1" applyFill="1" applyBorder="1" applyAlignment="1">
      <alignment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43" fontId="39" fillId="5" borderId="2" xfId="20" applyNumberFormat="1" applyFont="1" applyFill="1" applyBorder="1" applyAlignment="1">
      <alignment horizontal="center" vertical="center"/>
    </xf>
    <xf numFmtId="0" fontId="42" fillId="0" borderId="0" xfId="20" applyFont="1" applyAlignment="1">
      <alignment vertical="center"/>
    </xf>
    <xf numFmtId="0" fontId="52" fillId="0" borderId="2" xfId="20" applyFont="1" applyBorder="1" applyAlignment="1">
      <alignment horizontal="center" vertical="center"/>
    </xf>
    <xf numFmtId="0" fontId="49" fillId="0" borderId="2" xfId="20" applyNumberFormat="1" applyFont="1" applyFill="1" applyBorder="1" applyAlignment="1">
      <alignment horizontal="center" vertical="center"/>
    </xf>
    <xf numFmtId="14" fontId="49" fillId="0" borderId="6" xfId="20" applyNumberFormat="1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 wrapText="1"/>
    </xf>
    <xf numFmtId="164" fontId="49" fillId="0" borderId="6" xfId="20" applyNumberFormat="1" applyFont="1" applyFill="1" applyBorder="1" applyAlignment="1">
      <alignment horizontal="center" vertical="center" wrapText="1"/>
    </xf>
    <xf numFmtId="0" fontId="52" fillId="0" borderId="1" xfId="20" applyFont="1" applyBorder="1" applyAlignment="1">
      <alignment horizontal="center" vertical="center"/>
    </xf>
    <xf numFmtId="0" fontId="35" fillId="0" borderId="1" xfId="20" applyFont="1" applyBorder="1" applyAlignment="1">
      <alignment horizontal="center" vertical="center"/>
    </xf>
    <xf numFmtId="0" fontId="39" fillId="0" borderId="1" xfId="20" applyFont="1" applyBorder="1" applyAlignment="1">
      <alignment horizontal="center" vertical="center" wrapText="1"/>
    </xf>
    <xf numFmtId="0" fontId="37" fillId="0" borderId="2" xfId="20" applyFont="1" applyBorder="1"/>
    <xf numFmtId="4" fontId="49" fillId="0" borderId="2" xfId="20" applyNumberFormat="1" applyFont="1" applyBorder="1" applyAlignment="1">
      <alignment horizontal="center" vertical="center"/>
    </xf>
    <xf numFmtId="0" fontId="49" fillId="0" borderId="2" xfId="20" applyFont="1" applyBorder="1" applyAlignment="1">
      <alignment horizontal="center" vertical="center"/>
    </xf>
    <xf numFmtId="43" fontId="49" fillId="0" borderId="2" xfId="20" applyNumberFormat="1" applyFont="1" applyBorder="1" applyAlignment="1">
      <alignment horizontal="center" vertical="center"/>
    </xf>
    <xf numFmtId="0" fontId="48" fillId="0" borderId="2" xfId="20" applyFont="1" applyBorder="1" applyAlignment="1">
      <alignment horizontal="center"/>
    </xf>
    <xf numFmtId="0" fontId="48" fillId="0" borderId="2" xfId="20" applyFont="1" applyBorder="1" applyAlignment="1">
      <alignment horizontal="center" vertical="center"/>
    </xf>
    <xf numFmtId="0" fontId="54" fillId="0" borderId="2" xfId="20" applyNumberFormat="1" applyFont="1" applyFill="1" applyBorder="1" applyAlignment="1">
      <alignment horizontal="center" vertical="center" wrapText="1"/>
    </xf>
    <xf numFmtId="14" fontId="49" fillId="0" borderId="2" xfId="20" applyNumberFormat="1" applyFont="1" applyFill="1" applyBorder="1" applyAlignment="1">
      <alignment horizontal="center" vertical="center"/>
    </xf>
    <xf numFmtId="164" fontId="49" fillId="0" borderId="2" xfId="20" applyNumberFormat="1" applyFont="1" applyBorder="1" applyAlignment="1">
      <alignment horizontal="center" vertical="center"/>
    </xf>
    <xf numFmtId="0" fontId="54" fillId="0" borderId="19" xfId="20" applyFont="1" applyFill="1" applyBorder="1" applyAlignment="1">
      <alignment horizontal="left" vertical="center" wrapText="1"/>
    </xf>
    <xf numFmtId="164" fontId="54" fillId="0" borderId="19" xfId="20" applyNumberFormat="1" applyFont="1" applyFill="1" applyBorder="1" applyAlignment="1">
      <alignment horizontal="center" vertical="center"/>
    </xf>
    <xf numFmtId="175" fontId="54" fillId="0" borderId="19" xfId="20" applyNumberFormat="1" applyFont="1" applyFill="1" applyBorder="1" applyAlignment="1">
      <alignment horizontal="center" vertical="center"/>
    </xf>
    <xf numFmtId="164" fontId="55" fillId="0" borderId="19" xfId="20" applyNumberFormat="1" applyFont="1" applyFill="1" applyBorder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 wrapText="1"/>
    </xf>
    <xf numFmtId="14" fontId="46" fillId="5" borderId="2" xfId="20" applyNumberFormat="1" applyFont="1" applyFill="1" applyBorder="1" applyAlignment="1">
      <alignment horizontal="center" vertical="center"/>
    </xf>
    <xf numFmtId="0" fontId="46" fillId="0" borderId="2" xfId="20" applyFont="1" applyBorder="1" applyAlignment="1">
      <alignment horizontal="center" vertical="center" wrapText="1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0" fontId="54" fillId="0" borderId="19" xfId="20" applyFont="1" applyFill="1" applyBorder="1" applyAlignment="1">
      <alignment horizontal="center" vertical="center" wrapText="1"/>
    </xf>
    <xf numFmtId="0" fontId="56" fillId="0" borderId="19" xfId="20" applyFont="1" applyFill="1" applyBorder="1" applyAlignment="1">
      <alignment horizontal="center" vertical="center" wrapText="1"/>
    </xf>
    <xf numFmtId="0" fontId="56" fillId="0" borderId="19" xfId="20" applyFont="1" applyFill="1" applyBorder="1" applyAlignment="1">
      <alignment horizontal="left" vertical="center" wrapText="1"/>
    </xf>
    <xf numFmtId="164" fontId="56" fillId="0" borderId="19" xfId="20" applyNumberFormat="1" applyFont="1" applyFill="1" applyBorder="1" applyAlignment="1">
      <alignment horizontal="center" vertical="center"/>
    </xf>
    <xf numFmtId="175" fontId="56" fillId="0" borderId="19" xfId="20" applyNumberFormat="1" applyFont="1" applyFill="1" applyBorder="1" applyAlignment="1">
      <alignment horizontal="center" vertical="center"/>
    </xf>
    <xf numFmtId="164" fontId="57" fillId="0" borderId="19" xfId="20" applyNumberFormat="1" applyFont="1" applyFill="1" applyBorder="1" applyAlignment="1">
      <alignment horizontal="center" vertical="center"/>
    </xf>
    <xf numFmtId="164" fontId="56" fillId="0" borderId="19" xfId="20" applyNumberFormat="1" applyFont="1" applyFill="1" applyBorder="1" applyAlignment="1">
      <alignment horizontal="center" vertical="center" wrapText="1"/>
    </xf>
    <xf numFmtId="0" fontId="56" fillId="0" borderId="19" xfId="20" applyNumberFormat="1" applyFont="1" applyFill="1" applyBorder="1" applyAlignment="1">
      <alignment horizontal="center" vertical="center"/>
    </xf>
    <xf numFmtId="164" fontId="56" fillId="0" borderId="14" xfId="20" applyNumberFormat="1" applyFont="1" applyFill="1" applyBorder="1" applyAlignment="1">
      <alignment horizontal="center" vertical="center" wrapText="1"/>
    </xf>
    <xf numFmtId="164" fontId="54" fillId="0" borderId="15" xfId="20" applyNumberFormat="1" applyFont="1" applyFill="1" applyBorder="1" applyAlignment="1">
      <alignment horizontal="center" vertical="center" wrapText="1"/>
    </xf>
    <xf numFmtId="14" fontId="54" fillId="0" borderId="20" xfId="20" applyNumberFormat="1" applyFont="1" applyFill="1" applyBorder="1" applyAlignment="1">
      <alignment horizontal="center" vertical="center" wrapText="1"/>
    </xf>
    <xf numFmtId="0" fontId="49" fillId="0" borderId="2" xfId="20" applyFont="1" applyBorder="1" applyAlignment="1">
      <alignment horizontal="center" vertical="center" wrapText="1"/>
    </xf>
    <xf numFmtId="43" fontId="54" fillId="0" borderId="2" xfId="25" applyFont="1" applyBorder="1" applyAlignment="1">
      <alignment horizontal="center" vertical="center"/>
    </xf>
    <xf numFmtId="0" fontId="49" fillId="0" borderId="2" xfId="20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49" fillId="0" borderId="2" xfId="20" applyFont="1" applyBorder="1" applyAlignment="1">
      <alignment horizontal="center" vertical="center"/>
    </xf>
    <xf numFmtId="0" fontId="40" fillId="0" borderId="0" xfId="2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165" fontId="48" fillId="4" borderId="25" xfId="2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0" fillId="0" borderId="16" xfId="20" applyFont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165" fontId="48" fillId="4" borderId="12" xfId="21" applyFont="1" applyFill="1" applyBorder="1" applyAlignment="1">
      <alignment horizontal="center" vertical="center" wrapText="1"/>
    </xf>
    <xf numFmtId="165" fontId="48" fillId="4" borderId="17" xfId="21" applyFont="1" applyFill="1" applyBorder="1" applyAlignment="1">
      <alignment horizontal="center" vertical="center" wrapText="1"/>
    </xf>
    <xf numFmtId="165" fontId="48" fillId="4" borderId="11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/>
    </xf>
    <xf numFmtId="167" fontId="48" fillId="4" borderId="6" xfId="21" applyNumberFormat="1" applyFont="1" applyFill="1" applyBorder="1" applyAlignment="1">
      <alignment horizontal="center" vertical="center" wrapText="1"/>
    </xf>
    <xf numFmtId="167" fontId="48" fillId="4" borderId="19" xfId="21" applyNumberFormat="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7" fillId="0" borderId="24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0" borderId="25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0;&#1089;&#1090;&#1072;&#1088;&#1090;&#1072;/&#1040;&#1042;&#1056;/&#1040;&#1042;&#1056;%20&#1054;&#1089;&#1085;&#1086;&#1074;&#1085;&#1086;&#1081;%20&#1076;&#1086;&#1075;&#1086;&#1074;&#1086;&#1088;/&#1040;&#1042;&#1056;%20&#8470;5/&#1040;&#1042;&#1056;%20&#8470;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ВР №3"/>
    </sheetNames>
    <sheetDataSet>
      <sheetData sheetId="0">
        <row r="31">
          <cell r="F31">
            <v>2917816.8479999998</v>
          </cell>
        </row>
      </sheetData>
    </sheetDataSet>
  </externalBook>
</externalLink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19" t="s">
        <v>37</v>
      </c>
      <c r="B5" s="619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19" t="s">
        <v>24</v>
      </c>
      <c r="B6" s="619"/>
      <c r="C6" s="82"/>
      <c r="D6" s="620"/>
      <c r="E6" s="620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19" t="s">
        <v>38</v>
      </c>
      <c r="B7" s="619"/>
      <c r="C7" s="619"/>
      <c r="D7" s="619"/>
      <c r="E7" s="619"/>
      <c r="F7" s="619"/>
      <c r="G7" s="619"/>
      <c r="H7" s="619"/>
      <c r="I7" s="619"/>
      <c r="J7" s="82"/>
      <c r="L7" s="61"/>
      <c r="V7" s="62"/>
      <c r="W7" s="63"/>
    </row>
    <row r="8" spans="1:23" s="60" customFormat="1" ht="12.75" customHeight="1" x14ac:dyDescent="0.25">
      <c r="A8" s="619" t="s">
        <v>39</v>
      </c>
      <c r="B8" s="619"/>
      <c r="C8" s="619"/>
      <c r="D8" s="619"/>
      <c r="E8" s="619"/>
      <c r="F8" s="619"/>
      <c r="G8" s="619"/>
      <c r="H8" s="619"/>
      <c r="I8" s="619"/>
      <c r="J8" s="82"/>
      <c r="L8" s="61"/>
      <c r="V8" s="62"/>
      <c r="W8" s="63"/>
    </row>
    <row r="9" spans="1:23" s="60" customFormat="1" ht="12.75" customHeight="1" x14ac:dyDescent="0.25">
      <c r="A9" s="618" t="s">
        <v>40</v>
      </c>
      <c r="B9" s="618"/>
      <c r="C9" s="618"/>
      <c r="D9" s="618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12" t="s">
        <v>0</v>
      </c>
      <c r="B11" s="612"/>
      <c r="C11" s="612"/>
      <c r="D11" s="612"/>
      <c r="E11" s="612"/>
      <c r="F11" s="612"/>
      <c r="G11" s="612"/>
      <c r="H11" s="612"/>
      <c r="I11" s="612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13" t="s">
        <v>1</v>
      </c>
      <c r="B13" s="614" t="s">
        <v>2</v>
      </c>
      <c r="C13" s="613" t="s">
        <v>13</v>
      </c>
      <c r="D13" s="615" t="s">
        <v>3</v>
      </c>
      <c r="E13" s="616" t="s">
        <v>14</v>
      </c>
      <c r="F13" s="617" t="s">
        <v>27</v>
      </c>
      <c r="G13" s="617"/>
      <c r="H13" s="615" t="s">
        <v>17</v>
      </c>
      <c r="I13" s="615"/>
      <c r="J13" s="622" t="s">
        <v>30</v>
      </c>
      <c r="K13" s="623"/>
      <c r="L13" s="624"/>
      <c r="M13" s="614" t="s">
        <v>26</v>
      </c>
      <c r="N13" s="614"/>
      <c r="O13" s="614"/>
      <c r="P13" s="614"/>
      <c r="Q13" s="614" t="s">
        <v>29</v>
      </c>
      <c r="R13" s="614"/>
      <c r="S13" s="614"/>
      <c r="T13" s="614"/>
      <c r="U13" s="614"/>
      <c r="V13" s="628" t="s">
        <v>34</v>
      </c>
      <c r="W13" s="629"/>
    </row>
    <row r="14" spans="1:23" s="3" customFormat="1" ht="20.25" customHeight="1" x14ac:dyDescent="0.25">
      <c r="A14" s="613"/>
      <c r="B14" s="614"/>
      <c r="C14" s="613"/>
      <c r="D14" s="615"/>
      <c r="E14" s="616"/>
      <c r="F14" s="615" t="s">
        <v>41</v>
      </c>
      <c r="G14" s="615"/>
      <c r="H14" s="615"/>
      <c r="I14" s="615"/>
      <c r="J14" s="625"/>
      <c r="K14" s="626"/>
      <c r="L14" s="627"/>
      <c r="M14" s="614"/>
      <c r="N14" s="614"/>
      <c r="O14" s="614"/>
      <c r="P14" s="614"/>
      <c r="Q14" s="614"/>
      <c r="R14" s="614"/>
      <c r="S14" s="614"/>
      <c r="T14" s="614"/>
      <c r="U14" s="614"/>
      <c r="V14" s="630"/>
      <c r="W14" s="631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30"/>
      <c r="W15" s="631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21" t="s">
        <v>32</v>
      </c>
      <c r="U16" s="621"/>
      <c r="V16" s="632"/>
      <c r="W16" s="633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43" t="s">
        <v>93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3" ht="16.2" thickBot="1" x14ac:dyDescent="0.3">
      <c r="M2" s="216"/>
    </row>
    <row r="3" spans="1:13" ht="31.5" customHeight="1" x14ac:dyDescent="0.25">
      <c r="A3" s="653" t="s">
        <v>84</v>
      </c>
      <c r="B3" s="655" t="s">
        <v>82</v>
      </c>
      <c r="C3" s="655" t="s">
        <v>86</v>
      </c>
      <c r="D3" s="655" t="s">
        <v>85</v>
      </c>
      <c r="E3" s="644" t="s">
        <v>83</v>
      </c>
      <c r="F3" s="648" t="s">
        <v>90</v>
      </c>
      <c r="G3" s="649"/>
      <c r="H3" s="650"/>
      <c r="I3" s="646" t="s">
        <v>9</v>
      </c>
      <c r="J3" s="651" t="s">
        <v>91</v>
      </c>
      <c r="K3" s="651"/>
      <c r="L3" s="652"/>
      <c r="M3" s="646" t="s">
        <v>50</v>
      </c>
    </row>
    <row r="4" spans="1:13" x14ac:dyDescent="0.25">
      <c r="A4" s="654"/>
      <c r="B4" s="656"/>
      <c r="C4" s="656"/>
      <c r="D4" s="656"/>
      <c r="E4" s="645"/>
      <c r="F4" s="145" t="s">
        <v>87</v>
      </c>
      <c r="G4" s="135" t="s">
        <v>88</v>
      </c>
      <c r="H4" s="135" t="s">
        <v>89</v>
      </c>
      <c r="I4" s="647"/>
      <c r="J4" s="143" t="s">
        <v>87</v>
      </c>
      <c r="K4" s="135" t="s">
        <v>88</v>
      </c>
      <c r="L4" s="135" t="s">
        <v>89</v>
      </c>
      <c r="M4" s="647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37">
        <v>4</v>
      </c>
      <c r="B6" s="634" t="s">
        <v>97</v>
      </c>
      <c r="C6" s="640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38"/>
      <c r="B7" s="635"/>
      <c r="C7" s="641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38"/>
      <c r="B8" s="635"/>
      <c r="C8" s="641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39"/>
      <c r="B9" s="636"/>
      <c r="C9" s="642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80" zoomScaleNormal="80" zoomScaleSheetLayoutView="100" workbookViewId="0">
      <selection activeCell="D15" sqref="D15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72" t="s">
        <v>84</v>
      </c>
      <c r="B2" s="672" t="s">
        <v>99</v>
      </c>
      <c r="C2" s="672" t="s">
        <v>86</v>
      </c>
      <c r="D2" s="672" t="s">
        <v>51</v>
      </c>
      <c r="E2" s="666" t="s">
        <v>100</v>
      </c>
      <c r="F2" s="667"/>
      <c r="G2" s="668"/>
      <c r="H2" s="669" t="s">
        <v>101</v>
      </c>
      <c r="I2" s="670"/>
      <c r="J2" s="670"/>
      <c r="K2" s="670"/>
      <c r="L2" s="670"/>
      <c r="M2" s="671"/>
      <c r="N2" s="666" t="s">
        <v>102</v>
      </c>
      <c r="O2" s="667"/>
      <c r="P2" s="668"/>
    </row>
    <row r="3" spans="1:16" ht="16.2" thickBot="1" x14ac:dyDescent="0.3">
      <c r="A3" s="673"/>
      <c r="B3" s="673"/>
      <c r="C3" s="673"/>
      <c r="D3" s="673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57">
        <v>4</v>
      </c>
      <c r="B4" s="660" t="s">
        <v>109</v>
      </c>
      <c r="C4" s="660" t="s">
        <v>94</v>
      </c>
      <c r="D4" s="660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58"/>
      <c r="B5" s="661"/>
      <c r="C5" s="661"/>
      <c r="D5" s="661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58"/>
      <c r="B6" s="661"/>
      <c r="C6" s="661"/>
      <c r="D6" s="661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58"/>
      <c r="B7" s="661"/>
      <c r="C7" s="661"/>
      <c r="D7" s="661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58"/>
      <c r="B8" s="661"/>
      <c r="C8" s="661"/>
      <c r="D8" s="662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58"/>
      <c r="B9" s="661"/>
      <c r="C9" s="661"/>
      <c r="D9" s="663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58"/>
      <c r="B10" s="661"/>
      <c r="C10" s="661"/>
      <c r="D10" s="664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58"/>
      <c r="B11" s="661"/>
      <c r="C11" s="661"/>
      <c r="D11" s="665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58"/>
      <c r="B12" s="661"/>
      <c r="C12" s="661"/>
      <c r="D12" s="660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58"/>
      <c r="B13" s="661"/>
      <c r="C13" s="661"/>
      <c r="D13" s="661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58"/>
      <c r="B14" s="661"/>
      <c r="C14" s="661"/>
      <c r="D14" s="662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58"/>
      <c r="B15" s="661"/>
      <c r="C15" s="661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59"/>
      <c r="B16" s="662"/>
      <c r="C16" s="662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5"/>
  <sheetViews>
    <sheetView showWhiteSpace="0" zoomScale="60" zoomScaleNormal="60" zoomScaleSheetLayoutView="76" workbookViewId="0">
      <pane ySplit="4" topLeftCell="A5" activePane="bottomLeft" state="frozen"/>
      <selection pane="bottomLeft" activeCell="F9" sqref="F9"/>
    </sheetView>
  </sheetViews>
  <sheetFormatPr defaultColWidth="9.109375" defaultRowHeight="12" x14ac:dyDescent="0.25"/>
  <cols>
    <col min="1" max="1" width="27" style="308" customWidth="1"/>
    <col min="2" max="2" width="67.88671875" style="308" customWidth="1"/>
    <col min="3" max="3" width="29" style="342" customWidth="1"/>
    <col min="4" max="4" width="28.5546875" style="342" customWidth="1"/>
    <col min="5" max="5" width="30.5546875" style="342" customWidth="1"/>
    <col min="6" max="6" width="36" style="342" customWidth="1"/>
    <col min="7" max="7" width="32.21875" style="342" customWidth="1"/>
    <col min="8" max="8" width="41.77734375" style="342" customWidth="1"/>
    <col min="9" max="9" width="29.77734375" style="308" hidden="1" customWidth="1"/>
    <col min="10" max="10" width="45.33203125" style="308" hidden="1" customWidth="1"/>
    <col min="11" max="11" width="25.5546875" style="308" customWidth="1"/>
    <col min="12" max="16384" width="9.109375" style="308"/>
  </cols>
  <sheetData>
    <row r="1" spans="1:35" ht="16.95" customHeight="1" x14ac:dyDescent="0.25">
      <c r="A1" s="677" t="s">
        <v>213</v>
      </c>
      <c r="B1" s="677"/>
      <c r="C1" s="677"/>
      <c r="D1" s="677"/>
      <c r="E1" s="677"/>
      <c r="F1" s="677"/>
      <c r="G1" s="677"/>
      <c r="H1" s="677"/>
    </row>
    <row r="2" spans="1:35" ht="59.4" customHeight="1" thickBot="1" x14ac:dyDescent="0.3">
      <c r="A2" s="677"/>
      <c r="B2" s="677"/>
      <c r="C2" s="677"/>
      <c r="D2" s="677"/>
      <c r="E2" s="677"/>
      <c r="F2" s="677"/>
      <c r="G2" s="677"/>
      <c r="H2" s="677"/>
      <c r="I2" s="675" t="s">
        <v>205</v>
      </c>
      <c r="J2" s="676"/>
    </row>
    <row r="3" spans="1:35" ht="31.8" customHeight="1" x14ac:dyDescent="0.25">
      <c r="A3" s="678" t="s">
        <v>124</v>
      </c>
      <c r="B3" s="684" t="s">
        <v>185</v>
      </c>
      <c r="C3" s="680" t="s">
        <v>190</v>
      </c>
      <c r="D3" s="680" t="s">
        <v>191</v>
      </c>
      <c r="E3" s="680" t="s">
        <v>193</v>
      </c>
      <c r="F3" s="686" t="s">
        <v>9</v>
      </c>
      <c r="G3" s="686" t="s">
        <v>188</v>
      </c>
      <c r="H3" s="682" t="s">
        <v>189</v>
      </c>
      <c r="I3" s="570" t="s">
        <v>203</v>
      </c>
      <c r="J3" s="570" t="s">
        <v>204</v>
      </c>
      <c r="K3" s="674" t="s">
        <v>233</v>
      </c>
    </row>
    <row r="4" spans="1:35" ht="30.6" customHeight="1" x14ac:dyDescent="0.25">
      <c r="A4" s="679"/>
      <c r="B4" s="685"/>
      <c r="C4" s="681"/>
      <c r="D4" s="681"/>
      <c r="E4" s="681"/>
      <c r="F4" s="687"/>
      <c r="G4" s="687"/>
      <c r="H4" s="683"/>
      <c r="I4" s="558" t="s">
        <v>198</v>
      </c>
      <c r="J4" s="558" t="s">
        <v>202</v>
      </c>
      <c r="K4" s="674"/>
    </row>
    <row r="5" spans="1:35" s="323" customFormat="1" ht="64.8" customHeight="1" x14ac:dyDescent="0.25">
      <c r="A5" s="599" t="s">
        <v>222</v>
      </c>
      <c r="B5" s="600" t="s">
        <v>220</v>
      </c>
      <c r="C5" s="601"/>
      <c r="D5" s="602"/>
      <c r="E5" s="603"/>
      <c r="F5" s="604"/>
      <c r="G5" s="605"/>
      <c r="H5" s="606" t="s">
        <v>221</v>
      </c>
      <c r="I5" s="566" t="s">
        <v>206</v>
      </c>
      <c r="J5" s="557" t="s">
        <v>208</v>
      </c>
      <c r="K5" s="49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597" customFormat="1" ht="63.6" customHeight="1" x14ac:dyDescent="0.25">
      <c r="A6" s="598" t="s">
        <v>223</v>
      </c>
      <c r="B6" s="589" t="s">
        <v>224</v>
      </c>
      <c r="C6" s="590">
        <f>E6-D6</f>
        <v>7142088.0039999988</v>
      </c>
      <c r="D6" s="591">
        <v>11448535.256000003</v>
      </c>
      <c r="E6" s="592">
        <v>18590623.260000002</v>
      </c>
      <c r="F6" s="593" t="s">
        <v>227</v>
      </c>
      <c r="G6" s="608"/>
      <c r="H6" s="607"/>
      <c r="I6" s="594"/>
      <c r="J6" s="595"/>
      <c r="K6" s="610">
        <f>1000000+3797805.45+4030999.51</f>
        <v>8828804.9600000009</v>
      </c>
      <c r="L6" s="596"/>
      <c r="M6" s="596"/>
      <c r="N6" s="596"/>
      <c r="O6" s="596"/>
      <c r="P6" s="596"/>
      <c r="Q6" s="596"/>
      <c r="R6" s="596"/>
      <c r="S6" s="596"/>
      <c r="T6" s="596"/>
      <c r="U6" s="596"/>
      <c r="V6" s="596"/>
      <c r="W6" s="596"/>
      <c r="X6" s="596"/>
      <c r="Y6" s="596"/>
      <c r="Z6" s="596"/>
      <c r="AA6" s="596"/>
      <c r="AB6" s="596"/>
      <c r="AC6" s="596"/>
      <c r="AD6" s="596"/>
      <c r="AE6" s="596"/>
      <c r="AF6" s="596"/>
      <c r="AG6" s="596"/>
      <c r="AH6" s="596"/>
      <c r="AI6" s="596"/>
    </row>
    <row r="7" spans="1:35" s="323" customFormat="1" ht="47.4" customHeight="1" x14ac:dyDescent="0.25">
      <c r="A7" s="559" t="s">
        <v>228</v>
      </c>
      <c r="B7" s="544" t="s">
        <v>219</v>
      </c>
      <c r="C7" s="545">
        <f>E7-D7</f>
        <v>698867.58</v>
      </c>
      <c r="D7" s="561">
        <v>6410.8800000000019</v>
      </c>
      <c r="E7" s="560">
        <v>705278.46</v>
      </c>
      <c r="F7" s="593" t="s">
        <v>227</v>
      </c>
      <c r="G7" s="572"/>
      <c r="H7" s="562"/>
      <c r="I7" s="567" t="s">
        <v>187</v>
      </c>
      <c r="J7" s="557" t="s">
        <v>210</v>
      </c>
      <c r="K7" s="49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9.2" customHeight="1" x14ac:dyDescent="0.25">
      <c r="A8" s="559"/>
      <c r="B8" s="544" t="s">
        <v>225</v>
      </c>
      <c r="C8" s="563">
        <f>E8-D8</f>
        <v>1349448.1494431999</v>
      </c>
      <c r="D8" s="545">
        <v>1422704.4605568</v>
      </c>
      <c r="E8" s="560">
        <v>2772152.61</v>
      </c>
      <c r="F8" s="586" t="s">
        <v>234</v>
      </c>
      <c r="G8" s="587"/>
      <c r="H8" s="562"/>
      <c r="I8" s="566" t="s">
        <v>192</v>
      </c>
      <c r="J8" s="557" t="s">
        <v>201</v>
      </c>
      <c r="K8" s="49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45" customHeight="1" x14ac:dyDescent="0.25">
      <c r="A9" s="559"/>
      <c r="B9" s="552"/>
      <c r="C9" s="563"/>
      <c r="D9" s="545"/>
      <c r="E9" s="560">
        <f t="shared" ref="E9:E10" si="0">D9+C9</f>
        <v>0</v>
      </c>
      <c r="F9" s="553"/>
      <c r="G9" s="571"/>
      <c r="H9" s="551"/>
      <c r="I9" s="567" t="s">
        <v>186</v>
      </c>
      <c r="J9" s="557" t="s">
        <v>199</v>
      </c>
      <c r="K9" s="49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39" customHeight="1" x14ac:dyDescent="0.25">
      <c r="A10" s="559"/>
      <c r="B10" s="552"/>
      <c r="C10" s="563"/>
      <c r="D10" s="545"/>
      <c r="E10" s="560">
        <f t="shared" si="0"/>
        <v>0</v>
      </c>
      <c r="F10" s="553"/>
      <c r="G10" s="571"/>
      <c r="H10" s="564"/>
      <c r="I10" s="568" t="s">
        <v>195</v>
      </c>
      <c r="J10" s="557" t="s">
        <v>200</v>
      </c>
      <c r="K10" s="49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4" customFormat="1" ht="22.8" customHeight="1" x14ac:dyDescent="0.25">
      <c r="A11" s="534"/>
      <c r="B11" s="534" t="s">
        <v>47</v>
      </c>
      <c r="C11" s="535">
        <f>SUM(C5:C10)</f>
        <v>9190403.7334431987</v>
      </c>
      <c r="D11" s="535">
        <f>SUM(D5:D10)</f>
        <v>12877650.596556803</v>
      </c>
      <c r="E11" s="535">
        <f>SUM(E5:E10)</f>
        <v>22068054.330000002</v>
      </c>
      <c r="F11" s="535"/>
      <c r="G11" s="535"/>
      <c r="H11" s="535"/>
      <c r="I11" s="565"/>
      <c r="J11" s="498"/>
      <c r="K11" s="565"/>
    </row>
    <row r="12" spans="1:35" ht="19.8" customHeight="1" x14ac:dyDescent="0.25">
      <c r="C12" s="339"/>
      <c r="D12" s="339"/>
      <c r="E12" s="339"/>
      <c r="F12" s="339"/>
      <c r="G12" s="339"/>
      <c r="H12" s="339"/>
    </row>
    <row r="13" spans="1:35" x14ac:dyDescent="0.25">
      <c r="C13" s="339"/>
      <c r="D13" s="339"/>
      <c r="E13" s="339"/>
      <c r="F13" s="339"/>
      <c r="G13" s="339"/>
      <c r="H13" s="339"/>
    </row>
    <row r="14" spans="1:35" x14ac:dyDescent="0.25">
      <c r="C14" s="339"/>
      <c r="D14" s="339"/>
      <c r="E14" s="339"/>
      <c r="F14" s="339"/>
      <c r="G14" s="339"/>
      <c r="H14" s="339"/>
    </row>
    <row r="15" spans="1:35" x14ac:dyDescent="0.25">
      <c r="C15" s="339"/>
      <c r="D15" s="339"/>
      <c r="E15" s="339"/>
      <c r="F15" s="339"/>
      <c r="G15" s="339"/>
      <c r="H15" s="339"/>
    </row>
  </sheetData>
  <mergeCells count="11">
    <mergeCell ref="K3:K4"/>
    <mergeCell ref="I2:J2"/>
    <mergeCell ref="A1:H2"/>
    <mergeCell ref="A3:A4"/>
    <mergeCell ref="C3:C4"/>
    <mergeCell ref="H3:H4"/>
    <mergeCell ref="B3:B4"/>
    <mergeCell ref="E3:E4"/>
    <mergeCell ref="D3:D4"/>
    <mergeCell ref="F3:F4"/>
    <mergeCell ref="G3:G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9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5"/>
  <sheetViews>
    <sheetView tabSelected="1" showWhiteSpace="0" zoomScale="50" zoomScaleNormal="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H11" sqref="H11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5.44140625" style="342" customWidth="1"/>
    <col min="4" max="4" width="18.21875" style="342" customWidth="1"/>
    <col min="5" max="5" width="25.77734375" style="342" customWidth="1"/>
    <col min="6" max="7" width="25.109375" style="342" customWidth="1"/>
    <col min="8" max="8" width="40" style="342" customWidth="1"/>
    <col min="9" max="9" width="26.88671875" style="342" customWidth="1"/>
    <col min="10" max="10" width="30.6640625" style="342" customWidth="1"/>
    <col min="11" max="11" width="31.33203125" style="308" hidden="1" customWidth="1"/>
    <col min="12" max="12" width="41.21875" style="308" hidden="1" customWidth="1"/>
    <col min="13" max="13" width="24.44140625" style="308" customWidth="1"/>
    <col min="14" max="14" width="27.44140625" style="308" customWidth="1"/>
    <col min="15" max="15" width="21.33203125" style="308" customWidth="1"/>
    <col min="16" max="16384" width="9.109375" style="308"/>
  </cols>
  <sheetData>
    <row r="1" spans="1:37" ht="16.95" customHeight="1" x14ac:dyDescent="0.25">
      <c r="A1" s="677" t="s">
        <v>214</v>
      </c>
      <c r="B1" s="677"/>
      <c r="C1" s="677"/>
      <c r="D1" s="677"/>
      <c r="E1" s="677"/>
      <c r="F1" s="677"/>
      <c r="G1" s="677"/>
      <c r="H1" s="677"/>
      <c r="I1" s="677"/>
      <c r="J1" s="677"/>
    </row>
    <row r="2" spans="1:37" ht="59.4" customHeight="1" x14ac:dyDescent="0.25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75" t="s">
        <v>205</v>
      </c>
      <c r="L2" s="676"/>
    </row>
    <row r="3" spans="1:37" ht="24" customHeight="1" x14ac:dyDescent="0.25">
      <c r="A3" s="689" t="s">
        <v>124</v>
      </c>
      <c r="B3" s="694" t="s">
        <v>185</v>
      </c>
      <c r="C3" s="695" t="s">
        <v>193</v>
      </c>
      <c r="D3" s="691" t="s">
        <v>194</v>
      </c>
      <c r="E3" s="692"/>
      <c r="F3" s="692"/>
      <c r="G3" s="692"/>
      <c r="H3" s="692"/>
      <c r="I3" s="693"/>
      <c r="J3" s="689" t="s">
        <v>189</v>
      </c>
      <c r="K3" s="570" t="s">
        <v>203</v>
      </c>
      <c r="L3" s="577" t="s">
        <v>204</v>
      </c>
      <c r="M3" s="580"/>
      <c r="N3" s="580"/>
    </row>
    <row r="4" spans="1:37" ht="40.799999999999997" customHeight="1" x14ac:dyDescent="0.3">
      <c r="A4" s="690"/>
      <c r="B4" s="694"/>
      <c r="C4" s="696"/>
      <c r="D4" s="536" t="s">
        <v>126</v>
      </c>
      <c r="E4" s="536" t="s">
        <v>196</v>
      </c>
      <c r="F4" s="537" t="s">
        <v>191</v>
      </c>
      <c r="G4" s="537" t="s">
        <v>190</v>
      </c>
      <c r="H4" s="536" t="s">
        <v>9</v>
      </c>
      <c r="I4" s="536" t="s">
        <v>188</v>
      </c>
      <c r="J4" s="690"/>
      <c r="K4" s="558" t="s">
        <v>198</v>
      </c>
      <c r="L4" s="578" t="s">
        <v>202</v>
      </c>
      <c r="M4" s="584" t="s">
        <v>216</v>
      </c>
      <c r="N4" s="585" t="s">
        <v>217</v>
      </c>
      <c r="O4" s="585" t="s">
        <v>231</v>
      </c>
    </row>
    <row r="5" spans="1:37" s="323" customFormat="1" ht="57.6" customHeight="1" x14ac:dyDescent="0.25">
      <c r="A5" s="573" t="s">
        <v>53</v>
      </c>
      <c r="B5" s="574" t="s">
        <v>229</v>
      </c>
      <c r="C5" s="547">
        <v>18590623.260000002</v>
      </c>
      <c r="D5" s="546" t="s">
        <v>53</v>
      </c>
      <c r="E5" s="547">
        <v>728783.74</v>
      </c>
      <c r="F5" s="545">
        <f>186569.78*1.2</f>
        <v>223883.736</v>
      </c>
      <c r="G5" s="545">
        <f>420750*1.2</f>
        <v>504900</v>
      </c>
      <c r="H5" s="575" t="s">
        <v>215</v>
      </c>
      <c r="I5" s="572"/>
      <c r="J5" s="576" t="s">
        <v>218</v>
      </c>
      <c r="K5" s="556" t="s">
        <v>207</v>
      </c>
      <c r="L5" s="579" t="s">
        <v>209</v>
      </c>
      <c r="M5" s="581">
        <v>727783.74</v>
      </c>
      <c r="N5" s="583">
        <f>E5-M5</f>
        <v>1000</v>
      </c>
      <c r="O5" s="582" t="s">
        <v>232</v>
      </c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</row>
    <row r="6" spans="1:37" s="323" customFormat="1" ht="41.4" customHeight="1" x14ac:dyDescent="0.25">
      <c r="A6" s="543" t="s">
        <v>69</v>
      </c>
      <c r="B6" s="544"/>
      <c r="C6" s="548"/>
      <c r="D6" s="549" t="s">
        <v>69</v>
      </c>
      <c r="E6" s="550">
        <v>1941984</v>
      </c>
      <c r="F6" s="545">
        <v>0</v>
      </c>
      <c r="G6" s="548">
        <f>E6</f>
        <v>1941984</v>
      </c>
      <c r="H6" s="575" t="s">
        <v>215</v>
      </c>
      <c r="I6" s="572"/>
      <c r="J6" s="576" t="s">
        <v>218</v>
      </c>
      <c r="K6" s="556" t="s">
        <v>192</v>
      </c>
      <c r="L6" s="579" t="s">
        <v>212</v>
      </c>
      <c r="M6" s="588">
        <f>E6</f>
        <v>1941984</v>
      </c>
      <c r="N6" s="583">
        <f>E6-M6</f>
        <v>0</v>
      </c>
      <c r="O6" s="582" t="s">
        <v>232</v>
      </c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</row>
    <row r="7" spans="1:37" s="323" customFormat="1" ht="71.400000000000006" customHeight="1" x14ac:dyDescent="0.25">
      <c r="A7" s="543" t="s">
        <v>70</v>
      </c>
      <c r="B7" s="552"/>
      <c r="C7" s="545"/>
      <c r="D7" s="546" t="s">
        <v>70</v>
      </c>
      <c r="E7" s="547">
        <v>1131739.1200000001</v>
      </c>
      <c r="F7" s="545">
        <v>997219.1</v>
      </c>
      <c r="G7" s="545">
        <f>E7-F7</f>
        <v>134520.02000000014</v>
      </c>
      <c r="H7" s="586" t="s">
        <v>230</v>
      </c>
      <c r="I7" s="587"/>
      <c r="J7" s="554"/>
      <c r="K7" s="556" t="s">
        <v>186</v>
      </c>
      <c r="L7" s="579" t="s">
        <v>199</v>
      </c>
      <c r="M7" s="582"/>
      <c r="N7" s="582"/>
      <c r="O7" s="609" t="s">
        <v>232</v>
      </c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</row>
    <row r="8" spans="1:37" s="323" customFormat="1" ht="71.400000000000006" customHeight="1" x14ac:dyDescent="0.25">
      <c r="A8" s="543"/>
      <c r="B8" s="552"/>
      <c r="C8" s="545"/>
      <c r="D8" s="546" t="s">
        <v>71</v>
      </c>
      <c r="E8" s="547">
        <v>2437104.3199999998</v>
      </c>
      <c r="F8" s="545">
        <v>1992504.3240000003</v>
      </c>
      <c r="G8" s="545">
        <f>E8-F8</f>
        <v>444599.99599999958</v>
      </c>
      <c r="H8" s="586" t="s">
        <v>230</v>
      </c>
      <c r="I8" s="587"/>
      <c r="J8" s="554"/>
      <c r="K8" s="556"/>
      <c r="L8" s="579"/>
      <c r="M8" s="582"/>
      <c r="N8" s="582"/>
      <c r="O8" s="582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</row>
    <row r="9" spans="1:37" s="323" customFormat="1" ht="71.400000000000006" customHeight="1" x14ac:dyDescent="0.25">
      <c r="A9" s="543"/>
      <c r="B9" s="552"/>
      <c r="C9" s="545"/>
      <c r="D9" s="546" t="s">
        <v>72</v>
      </c>
      <c r="E9" s="547">
        <f>'[1]АВР №3'!$F$31</f>
        <v>2917816.8479999998</v>
      </c>
      <c r="F9" s="545">
        <v>2747273</v>
      </c>
      <c r="G9" s="545">
        <v>170544</v>
      </c>
      <c r="H9" s="586" t="s">
        <v>235</v>
      </c>
      <c r="I9" s="587"/>
      <c r="J9" s="554"/>
      <c r="K9" s="556"/>
      <c r="L9" s="579"/>
      <c r="M9" s="611"/>
      <c r="N9" s="611"/>
      <c r="O9" s="611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</row>
    <row r="10" spans="1:37" s="323" customFormat="1" ht="61.8" customHeight="1" x14ac:dyDescent="0.25">
      <c r="A10" s="543" t="s">
        <v>71</v>
      </c>
      <c r="B10" s="552" t="s">
        <v>226</v>
      </c>
      <c r="C10" s="545">
        <v>705278.46</v>
      </c>
      <c r="D10" s="546" t="s">
        <v>53</v>
      </c>
      <c r="E10" s="547">
        <v>500621.1</v>
      </c>
      <c r="F10" s="545">
        <v>0</v>
      </c>
      <c r="G10" s="545">
        <f>E10</f>
        <v>500621.1</v>
      </c>
      <c r="H10" s="575" t="s">
        <v>215</v>
      </c>
      <c r="I10" s="545"/>
      <c r="J10" s="554"/>
      <c r="K10" s="556" t="s">
        <v>197</v>
      </c>
      <c r="L10" s="579" t="s">
        <v>211</v>
      </c>
      <c r="M10" s="582"/>
      <c r="N10" s="582"/>
      <c r="O10" s="582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</row>
    <row r="11" spans="1:37" s="324" customFormat="1" ht="22.95" customHeight="1" x14ac:dyDescent="0.25">
      <c r="A11" s="534"/>
      <c r="B11" s="534" t="s">
        <v>47</v>
      </c>
      <c r="C11" s="535">
        <f>SUM(C5:C10)</f>
        <v>19295901.720000003</v>
      </c>
      <c r="D11" s="535"/>
      <c r="E11" s="535">
        <f>SUM(E5:E10)</f>
        <v>9658049.1279999986</v>
      </c>
      <c r="F11" s="535">
        <f>SUM(F5:F10)</f>
        <v>5960880.1600000001</v>
      </c>
      <c r="G11" s="535">
        <f>SUM(G5:G10)</f>
        <v>3697169.1159999999</v>
      </c>
      <c r="H11" s="535"/>
      <c r="I11" s="535"/>
      <c r="J11" s="535"/>
      <c r="K11" s="555"/>
      <c r="M11" s="565"/>
      <c r="N11" s="565"/>
    </row>
    <row r="12" spans="1:37" s="323" customFormat="1" ht="25.8" customHeight="1" x14ac:dyDescent="0.25">
      <c r="A12" s="538"/>
      <c r="B12" s="539"/>
      <c r="C12" s="542">
        <f>SUBTOTAL(9,C5:C10)</f>
        <v>19295901.720000003</v>
      </c>
      <c r="D12" s="541"/>
      <c r="E12" s="542">
        <f>SUBTOTAL(9,E5:E10)</f>
        <v>9658049.1279999986</v>
      </c>
      <c r="F12" s="542">
        <f>SUBTOTAL(9,F5:F10)</f>
        <v>5960880.1600000001</v>
      </c>
      <c r="G12" s="542">
        <f>SUBTOTAL(9,G5:G10)</f>
        <v>3697169.1159999999</v>
      </c>
      <c r="H12" s="540"/>
      <c r="I12" s="540"/>
      <c r="J12" s="540"/>
      <c r="K12" s="318"/>
      <c r="L12" s="533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</row>
    <row r="13" spans="1:37" x14ac:dyDescent="0.25">
      <c r="C13" s="339"/>
      <c r="D13" s="339"/>
      <c r="E13" s="339"/>
      <c r="F13" s="339"/>
      <c r="G13" s="339"/>
      <c r="H13" s="339"/>
      <c r="I13" s="339"/>
      <c r="J13" s="339"/>
    </row>
    <row r="14" spans="1:37" x14ac:dyDescent="0.25">
      <c r="C14" s="339"/>
      <c r="D14" s="339"/>
      <c r="E14" s="339"/>
      <c r="F14" s="339"/>
      <c r="G14" s="339"/>
      <c r="H14" s="339"/>
      <c r="I14" s="339"/>
      <c r="J14" s="339"/>
    </row>
    <row r="15" spans="1:37" ht="19.2" customHeight="1" x14ac:dyDescent="0.25">
      <c r="B15" s="569"/>
      <c r="C15" s="339"/>
      <c r="D15" s="339"/>
      <c r="E15" s="339"/>
      <c r="F15" s="339"/>
      <c r="G15" s="339"/>
      <c r="H15" s="339"/>
      <c r="I15" s="339"/>
      <c r="J15" s="339"/>
    </row>
    <row r="16" spans="1:37" x14ac:dyDescent="0.25">
      <c r="C16" s="339"/>
      <c r="D16" s="339"/>
      <c r="E16" s="339"/>
      <c r="F16" s="339"/>
      <c r="G16" s="339"/>
      <c r="H16" s="339"/>
      <c r="I16" s="339"/>
      <c r="J16" s="339"/>
    </row>
    <row r="17" spans="3:10" x14ac:dyDescent="0.25">
      <c r="C17" s="339"/>
      <c r="D17" s="339"/>
      <c r="E17" s="339"/>
      <c r="F17" s="339"/>
      <c r="G17" s="339"/>
      <c r="H17" s="339"/>
      <c r="I17" s="339"/>
      <c r="J17" s="339"/>
    </row>
    <row r="18" spans="3:10" x14ac:dyDescent="0.25">
      <c r="C18" s="339"/>
      <c r="D18" s="339"/>
      <c r="E18" s="339"/>
      <c r="F18" s="339"/>
      <c r="G18" s="339"/>
      <c r="H18" s="339"/>
      <c r="I18" s="339"/>
      <c r="J18" s="339"/>
    </row>
    <row r="19" spans="3:10" x14ac:dyDescent="0.25">
      <c r="C19" s="339"/>
      <c r="D19" s="339"/>
      <c r="E19" s="339"/>
      <c r="F19" s="339"/>
      <c r="G19" s="339"/>
      <c r="H19" s="339"/>
      <c r="I19" s="339"/>
      <c r="J19" s="339"/>
    </row>
    <row r="20" spans="3:10" x14ac:dyDescent="0.25">
      <c r="C20" s="339"/>
      <c r="D20" s="339"/>
      <c r="E20" s="339"/>
      <c r="F20" s="339"/>
      <c r="G20" s="339"/>
      <c r="H20" s="339"/>
      <c r="I20" s="339"/>
      <c r="J20" s="339"/>
    </row>
    <row r="21" spans="3:10" x14ac:dyDescent="0.25">
      <c r="C21" s="339"/>
      <c r="D21" s="339"/>
      <c r="E21" s="339"/>
      <c r="F21" s="339"/>
      <c r="G21" s="339"/>
      <c r="H21" s="339"/>
      <c r="I21" s="339"/>
      <c r="J21" s="339"/>
    </row>
    <row r="22" spans="3:10" x14ac:dyDescent="0.25">
      <c r="C22" s="339"/>
      <c r="D22" s="339"/>
      <c r="E22" s="339"/>
      <c r="F22" s="339"/>
      <c r="G22" s="339"/>
      <c r="H22" s="339"/>
      <c r="I22" s="339"/>
      <c r="J22" s="339"/>
    </row>
    <row r="23" spans="3:10" x14ac:dyDescent="0.25">
      <c r="C23" s="339"/>
      <c r="D23" s="339"/>
      <c r="E23" s="339"/>
      <c r="F23" s="339"/>
      <c r="G23" s="339"/>
      <c r="H23" s="339"/>
      <c r="I23" s="339"/>
      <c r="J23" s="339"/>
    </row>
    <row r="24" spans="3:10" x14ac:dyDescent="0.25">
      <c r="C24" s="339"/>
      <c r="D24" s="339"/>
      <c r="E24" s="339"/>
      <c r="F24" s="339"/>
      <c r="G24" s="339"/>
      <c r="H24" s="339"/>
      <c r="I24" s="339"/>
      <c r="J24" s="339"/>
    </row>
    <row r="25" spans="3:10" x14ac:dyDescent="0.25">
      <c r="C25" s="339"/>
      <c r="D25" s="339"/>
      <c r="E25" s="339"/>
      <c r="F25" s="339"/>
      <c r="G25" s="339"/>
      <c r="H25" s="339"/>
      <c r="I25" s="339"/>
      <c r="J25" s="339"/>
    </row>
    <row r="26" spans="3:10" x14ac:dyDescent="0.25">
      <c r="C26" s="339"/>
      <c r="D26" s="339"/>
      <c r="E26" s="339"/>
      <c r="F26" s="339"/>
      <c r="G26" s="339"/>
      <c r="H26" s="339"/>
      <c r="I26" s="339"/>
      <c r="J26" s="339"/>
    </row>
    <row r="27" spans="3:10" x14ac:dyDescent="0.25">
      <c r="C27" s="339"/>
      <c r="D27" s="339"/>
      <c r="E27" s="339"/>
      <c r="F27" s="339"/>
      <c r="G27" s="339"/>
      <c r="H27" s="339"/>
      <c r="I27" s="339"/>
      <c r="J27" s="339"/>
    </row>
    <row r="28" spans="3:10" x14ac:dyDescent="0.25">
      <c r="C28" s="339"/>
      <c r="D28" s="339"/>
      <c r="E28" s="339"/>
      <c r="F28" s="339"/>
      <c r="G28" s="339"/>
      <c r="H28" s="339"/>
      <c r="I28" s="339"/>
      <c r="J28" s="339"/>
    </row>
    <row r="29" spans="3:10" x14ac:dyDescent="0.25">
      <c r="C29" s="339"/>
      <c r="D29" s="339"/>
      <c r="E29" s="339"/>
      <c r="F29" s="339"/>
      <c r="G29" s="339"/>
      <c r="H29" s="339"/>
      <c r="I29" s="339"/>
      <c r="J29" s="339"/>
    </row>
    <row r="30" spans="3:10" x14ac:dyDescent="0.25">
      <c r="C30" s="339"/>
      <c r="D30" s="339"/>
      <c r="E30" s="339"/>
      <c r="F30" s="339"/>
      <c r="G30" s="339"/>
      <c r="H30" s="339"/>
      <c r="I30" s="339"/>
      <c r="J30" s="339"/>
    </row>
    <row r="31" spans="3:10" x14ac:dyDescent="0.25">
      <c r="C31" s="339"/>
      <c r="D31" s="339"/>
      <c r="E31" s="339"/>
      <c r="F31" s="339"/>
      <c r="G31" s="339"/>
      <c r="H31" s="339"/>
      <c r="I31" s="339"/>
      <c r="J31" s="339"/>
    </row>
    <row r="32" spans="3:10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</sheetData>
  <autoFilter ref="A4:AK11"/>
  <mergeCells count="7">
    <mergeCell ref="K2:L2"/>
    <mergeCell ref="A1:J2"/>
    <mergeCell ref="J3:J4"/>
    <mergeCell ref="D3:I3"/>
    <mergeCell ref="A3:A4"/>
    <mergeCell ref="B3:B4"/>
    <mergeCell ref="C3:C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zoomScale="99" zoomScaleNormal="99" zoomScaleSheetLayoutView="80" workbookViewId="0">
      <pane xSplit="2" topLeftCell="S1" activePane="topRight" state="frozen"/>
      <selection activeCell="B1" sqref="B1"/>
      <selection pane="topRight" activeCell="B8" sqref="B8:B22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697" t="s">
        <v>149</v>
      </c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  <c r="Y2" s="697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698" t="s">
        <v>118</v>
      </c>
      <c r="B4" s="701" t="s">
        <v>2</v>
      </c>
      <c r="C4" s="704" t="s">
        <v>119</v>
      </c>
      <c r="D4" s="705"/>
      <c r="E4" s="708" t="s">
        <v>120</v>
      </c>
      <c r="F4" s="711" t="s">
        <v>121</v>
      </c>
      <c r="G4" s="712"/>
      <c r="H4" s="712"/>
      <c r="I4" s="712"/>
      <c r="J4" s="712"/>
      <c r="K4" s="712"/>
      <c r="L4" s="712"/>
      <c r="M4" s="712"/>
      <c r="N4" s="712"/>
      <c r="O4" s="712"/>
      <c r="P4" s="712"/>
      <c r="Q4" s="712"/>
      <c r="R4" s="712"/>
      <c r="S4" s="712"/>
      <c r="T4" s="712"/>
      <c r="U4" s="712"/>
      <c r="V4" s="712"/>
      <c r="W4" s="713"/>
      <c r="X4" s="512"/>
      <c r="Y4" s="704" t="s">
        <v>122</v>
      </c>
      <c r="Z4" s="714"/>
      <c r="AA4" s="705"/>
      <c r="AB4" s="716" t="s">
        <v>123</v>
      </c>
      <c r="AC4" s="717"/>
      <c r="AD4" s="718"/>
    </row>
    <row r="5" spans="1:30" ht="15.45" customHeight="1" x14ac:dyDescent="0.25">
      <c r="A5" s="699"/>
      <c r="B5" s="702"/>
      <c r="C5" s="706"/>
      <c r="D5" s="707"/>
      <c r="E5" s="709"/>
      <c r="F5" s="711" t="s">
        <v>143</v>
      </c>
      <c r="G5" s="713"/>
      <c r="H5" s="711" t="s">
        <v>144</v>
      </c>
      <c r="I5" s="713"/>
      <c r="J5" s="711" t="s">
        <v>145</v>
      </c>
      <c r="K5" s="713"/>
      <c r="L5" s="711" t="s">
        <v>156</v>
      </c>
      <c r="M5" s="713"/>
      <c r="N5" s="711" t="s">
        <v>155</v>
      </c>
      <c r="O5" s="713"/>
      <c r="P5" s="711" t="s">
        <v>159</v>
      </c>
      <c r="Q5" s="713"/>
      <c r="R5" s="711" t="s">
        <v>166</v>
      </c>
      <c r="S5" s="713"/>
      <c r="T5" s="711"/>
      <c r="U5" s="713"/>
      <c r="V5" s="711"/>
      <c r="W5" s="713"/>
      <c r="X5" s="513"/>
      <c r="Y5" s="706"/>
      <c r="Z5" s="715"/>
      <c r="AA5" s="707"/>
      <c r="AB5" s="719"/>
      <c r="AC5" s="720"/>
      <c r="AD5" s="721"/>
    </row>
    <row r="6" spans="1:30" ht="27.75" customHeight="1" x14ac:dyDescent="0.25">
      <c r="A6" s="700"/>
      <c r="B6" s="703"/>
      <c r="C6" s="314" t="s">
        <v>124</v>
      </c>
      <c r="D6" s="315" t="s">
        <v>125</v>
      </c>
      <c r="E6" s="710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32">
        <v>1</v>
      </c>
      <c r="B8" s="748" t="s">
        <v>95</v>
      </c>
      <c r="C8" s="722" t="s">
        <v>53</v>
      </c>
      <c r="D8" s="726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29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46"/>
      <c r="B9" s="749"/>
      <c r="C9" s="723"/>
      <c r="D9" s="727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30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46"/>
      <c r="B10" s="749"/>
      <c r="C10" s="723"/>
      <c r="D10" s="727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30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46"/>
      <c r="B11" s="749"/>
      <c r="C11" s="723"/>
      <c r="D11" s="727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30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46"/>
      <c r="B12" s="749"/>
      <c r="C12" s="723"/>
      <c r="D12" s="727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30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46"/>
      <c r="B13" s="749"/>
      <c r="C13" s="723"/>
      <c r="D13" s="727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30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46"/>
      <c r="B14" s="749"/>
      <c r="C14" s="723"/>
      <c r="D14" s="727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30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46"/>
      <c r="B15" s="749"/>
      <c r="C15" s="723"/>
      <c r="D15" s="727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30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46"/>
      <c r="B16" s="749"/>
      <c r="C16" s="723"/>
      <c r="D16" s="727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30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46"/>
      <c r="B17" s="749"/>
      <c r="C17" s="723"/>
      <c r="D17" s="727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30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46"/>
      <c r="B18" s="749"/>
      <c r="C18" s="723"/>
      <c r="D18" s="727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30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46"/>
      <c r="B19" s="749"/>
      <c r="C19" s="723"/>
      <c r="D19" s="727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30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46"/>
      <c r="B20" s="749"/>
      <c r="C20" s="723"/>
      <c r="D20" s="727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30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46"/>
      <c r="B21" s="749"/>
      <c r="C21" s="724"/>
      <c r="D21" s="727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30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47"/>
      <c r="B22" s="750"/>
      <c r="C22" s="725"/>
      <c r="D22" s="728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31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41">
        <v>2</v>
      </c>
      <c r="B25" s="742" t="s">
        <v>157</v>
      </c>
      <c r="C25" s="702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44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34"/>
      <c r="B26" s="743"/>
      <c r="C26" s="725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45"/>
      <c r="AB26" s="418"/>
      <c r="AC26" s="418"/>
      <c r="AD26" s="419"/>
    </row>
    <row r="27" spans="1:30" s="323" customFormat="1" ht="12" customHeight="1" x14ac:dyDescent="0.25">
      <c r="A27" s="732">
        <v>3</v>
      </c>
      <c r="B27" s="735" t="s">
        <v>98</v>
      </c>
      <c r="C27" s="510"/>
      <c r="D27" s="738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33"/>
      <c r="B28" s="736"/>
      <c r="C28" s="511"/>
      <c r="D28" s="739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34"/>
      <c r="B29" s="737"/>
      <c r="C29" s="397"/>
      <c r="D29" s="740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51">
        <f>A8+1</f>
        <v>2</v>
      </c>
      <c r="B30" s="752" t="s">
        <v>152</v>
      </c>
      <c r="C30" s="755" t="s">
        <v>69</v>
      </c>
      <c r="D30" s="756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59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60"/>
      <c r="B31" s="762"/>
      <c r="C31" s="764"/>
      <c r="D31" s="766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24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60"/>
      <c r="B32" s="762"/>
      <c r="C32" s="724"/>
      <c r="D32" s="766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24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60"/>
      <c r="B33" s="762"/>
      <c r="C33" s="724"/>
      <c r="D33" s="766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24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60"/>
      <c r="B34" s="762"/>
      <c r="C34" s="724"/>
      <c r="D34" s="766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24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60"/>
      <c r="B35" s="762"/>
      <c r="C35" s="724"/>
      <c r="D35" s="766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24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60"/>
      <c r="B36" s="762"/>
      <c r="C36" s="724"/>
      <c r="D36" s="766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24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60"/>
      <c r="B37" s="762"/>
      <c r="C37" s="724"/>
      <c r="D37" s="766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24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60"/>
      <c r="B38" s="762"/>
      <c r="C38" s="724"/>
      <c r="D38" s="766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24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60"/>
      <c r="B39" s="762"/>
      <c r="C39" s="724"/>
      <c r="D39" s="766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24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60"/>
      <c r="B40" s="762"/>
      <c r="C40" s="724"/>
      <c r="D40" s="766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24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60"/>
      <c r="B41" s="762"/>
      <c r="C41" s="724"/>
      <c r="D41" s="766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24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60"/>
      <c r="B42" s="762"/>
      <c r="C42" s="724"/>
      <c r="D42" s="766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24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60"/>
      <c r="B43" s="762"/>
      <c r="C43" s="724"/>
      <c r="D43" s="766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24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60"/>
      <c r="B44" s="762"/>
      <c r="C44" s="724"/>
      <c r="D44" s="766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24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61"/>
      <c r="B45" s="763"/>
      <c r="C45" s="725"/>
      <c r="D45" s="767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51">
        <v>3</v>
      </c>
      <c r="B47" s="752" t="s">
        <v>146</v>
      </c>
      <c r="C47" s="755" t="s">
        <v>70</v>
      </c>
      <c r="D47" s="756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68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60"/>
      <c r="B48" s="762"/>
      <c r="C48" s="764"/>
      <c r="D48" s="766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69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60"/>
      <c r="B49" s="762"/>
      <c r="C49" s="764"/>
      <c r="D49" s="766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69"/>
      <c r="AB49" s="415">
        <f>Z49</f>
        <v>197627.09</v>
      </c>
      <c r="AC49" s="415"/>
      <c r="AD49" s="443"/>
    </row>
    <row r="50" spans="1:30" s="323" customFormat="1" ht="12" customHeight="1" x14ac:dyDescent="0.25">
      <c r="A50" s="760"/>
      <c r="B50" s="762"/>
      <c r="C50" s="764"/>
      <c r="D50" s="766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69"/>
      <c r="AB50" s="415"/>
      <c r="AC50" s="415"/>
      <c r="AD50" s="443"/>
    </row>
    <row r="51" spans="1:30" s="323" customFormat="1" ht="12" customHeight="1" thickBot="1" x14ac:dyDescent="0.3">
      <c r="A51" s="760"/>
      <c r="B51" s="762"/>
      <c r="C51" s="764"/>
      <c r="D51" s="766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70"/>
      <c r="AB51" s="415"/>
      <c r="AC51" s="415"/>
      <c r="AD51" s="444"/>
    </row>
    <row r="52" spans="1:30" s="323" customFormat="1" ht="12.6" customHeight="1" thickBot="1" x14ac:dyDescent="0.3">
      <c r="A52" s="761"/>
      <c r="B52" s="763"/>
      <c r="C52" s="765"/>
      <c r="D52" s="767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51">
        <v>4</v>
      </c>
      <c r="B53" s="752" t="s">
        <v>151</v>
      </c>
      <c r="C53" s="755" t="s">
        <v>71</v>
      </c>
      <c r="D53" s="756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57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33"/>
      <c r="B54" s="753"/>
      <c r="C54" s="724"/>
      <c r="D54" s="724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58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33"/>
      <c r="B55" s="753"/>
      <c r="C55" s="724"/>
      <c r="D55" s="724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58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33"/>
      <c r="B56" s="753"/>
      <c r="C56" s="724"/>
      <c r="D56" s="724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58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33"/>
      <c r="B57" s="753"/>
      <c r="C57" s="724"/>
      <c r="D57" s="724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58"/>
      <c r="AB57" s="370"/>
      <c r="AC57" s="370"/>
      <c r="AD57" s="446"/>
    </row>
    <row r="58" spans="1:30" s="323" customFormat="1" ht="13.2" customHeight="1" thickBot="1" x14ac:dyDescent="0.3">
      <c r="A58" s="734"/>
      <c r="B58" s="754"/>
      <c r="C58" s="725"/>
      <c r="D58" s="725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51">
        <v>5</v>
      </c>
      <c r="B59" s="752" t="s">
        <v>154</v>
      </c>
      <c r="C59" s="755" t="s">
        <v>72</v>
      </c>
      <c r="D59" s="756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33"/>
      <c r="B60" s="753"/>
      <c r="C60" s="724"/>
      <c r="D60" s="724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33"/>
      <c r="B61" s="753"/>
      <c r="C61" s="724"/>
      <c r="D61" s="724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33"/>
      <c r="B62" s="753"/>
      <c r="C62" s="724"/>
      <c r="D62" s="724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33"/>
      <c r="B63" s="753"/>
      <c r="C63" s="724"/>
      <c r="D63" s="724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34"/>
      <c r="B64" s="754"/>
      <c r="C64" s="725"/>
      <c r="D64" s="725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71" t="s">
        <v>181</v>
      </c>
      <c r="B2" s="771"/>
      <c r="C2" s="771"/>
      <c r="D2" s="772"/>
      <c r="E2" s="772"/>
    </row>
    <row r="3" spans="1:5" ht="15" customHeight="1" x14ac:dyDescent="0.25">
      <c r="A3" s="309"/>
      <c r="B3" s="309"/>
      <c r="C3" s="309"/>
      <c r="D3" s="720" t="s">
        <v>182</v>
      </c>
      <c r="E3" s="720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46">
        <v>1</v>
      </c>
      <c r="B5" s="749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46"/>
      <c r="B6" s="749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46"/>
      <c r="B7" s="749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46"/>
      <c r="B8" s="749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46"/>
      <c r="B9" s="749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46"/>
      <c r="B10" s="749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46"/>
      <c r="B11" s="749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46"/>
      <c r="B12" s="749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46"/>
      <c r="B13" s="749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46"/>
      <c r="B14" s="749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46"/>
      <c r="B15" s="749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46"/>
      <c r="B16" s="749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46"/>
      <c r="B17" s="749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46"/>
      <c r="B18" s="749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46"/>
      <c r="B19" s="749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60">
        <f>A5+1</f>
        <v>2</v>
      </c>
      <c r="B23" s="762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60"/>
      <c r="B24" s="762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60"/>
      <c r="B25" s="762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60"/>
      <c r="B26" s="762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60"/>
      <c r="B27" s="762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60"/>
      <c r="B28" s="762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60"/>
      <c r="B29" s="762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60"/>
      <c r="B30" s="762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60"/>
      <c r="B31" s="762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60"/>
      <c r="B32" s="762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60"/>
      <c r="B33" s="762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60"/>
      <c r="B34" s="762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60"/>
      <c r="B35" s="762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60"/>
      <c r="B36" s="762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60"/>
      <c r="B37" s="762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60"/>
      <c r="B38" s="762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60"/>
      <c r="B39" s="762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60"/>
      <c r="B40" s="762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60"/>
      <c r="B41" s="762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60"/>
      <c r="B42" s="762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51">
        <v>3</v>
      </c>
      <c r="B43" s="752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60"/>
      <c r="B44" s="762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60"/>
      <c r="B45" s="762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60"/>
      <c r="B46" s="762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61"/>
      <c r="B47" s="763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51">
        <v>4</v>
      </c>
      <c r="B48" s="752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33"/>
      <c r="B49" s="753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33"/>
      <c r="B50" s="753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33"/>
      <c r="B51" s="753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773" t="s">
        <v>6</v>
      </c>
      <c r="B1" s="773"/>
      <c r="C1" s="773"/>
      <c r="D1" s="773"/>
      <c r="E1" s="773"/>
      <c r="F1" s="773"/>
    </row>
    <row r="2" spans="1:8" s="91" customFormat="1" ht="12.75" customHeight="1" x14ac:dyDescent="0.25">
      <c r="A2" s="774"/>
      <c r="B2" s="774"/>
      <c r="C2" s="774"/>
      <c r="D2" s="774"/>
      <c r="E2" s="774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2024-08-05T07:07:57Z</cp:lastPrinted>
  <dcterms:created xsi:type="dcterms:W3CDTF">2016-07-15T13:11:41Z</dcterms:created>
  <dcterms:modified xsi:type="dcterms:W3CDTF">2024-08-19T10:59:31Z</dcterms:modified>
</cp:coreProperties>
</file>
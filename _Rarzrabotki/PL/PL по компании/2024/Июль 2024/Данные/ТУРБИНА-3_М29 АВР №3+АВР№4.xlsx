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08" yWindow="-108" windowWidth="23256" windowHeight="12576"/>
  </bookViews>
  <sheets>
    <sheet name="+М29АКТ№4.14" sheetId="136" r:id="rId1"/>
    <sheet name="+М29АКТ№4.13" sheetId="135" r:id="rId2"/>
    <sheet name="+М29АКТ№4.12" sheetId="134" r:id="rId3"/>
    <sheet name="+М29АКТ№4.11" sheetId="133" r:id="rId4"/>
    <sheet name="+М29АКТ№4.10" sheetId="132" r:id="rId5"/>
    <sheet name="+М29АКТ№4.9" sheetId="131" r:id="rId6"/>
    <sheet name="+М29АКТ№4.8" sheetId="130" r:id="rId7"/>
    <sheet name="+М29АКТ№4.7" sheetId="129" r:id="rId8"/>
    <sheet name="М29АКТ№4.6" sheetId="128" r:id="rId9"/>
    <sheet name="М29АКТ№4.5" sheetId="127" r:id="rId10"/>
    <sheet name="+М29АКТ№4.4" sheetId="126" r:id="rId11"/>
    <sheet name="+М29АКТ№4.3" sheetId="125" r:id="rId12"/>
    <sheet name="+М29АКТ№4.2" sheetId="112" r:id="rId13"/>
    <sheet name="+М29АКТ№4.1" sheetId="111" r:id="rId14"/>
    <sheet name="++М29АКТ№3.12" sheetId="122" r:id="rId15"/>
    <sheet name="++М29АКТ№3.11" sheetId="121" r:id="rId16"/>
    <sheet name="++М29АКТ№3.10" sheetId="120" r:id="rId17"/>
    <sheet name="++М29АКТ№3.9" sheetId="119" r:id="rId18"/>
    <sheet name="++М29АКТ№3.8" sheetId="118" r:id="rId19"/>
    <sheet name="++М29АКТ№3.7" sheetId="117" r:id="rId20"/>
    <sheet name="++М29АКТ№3.6" sheetId="116" r:id="rId21"/>
    <sheet name="++М29АКТ№3.5" sheetId="115" r:id="rId22"/>
    <sheet name="++М29АКТ№3.4" sheetId="114" r:id="rId23"/>
    <sheet name="++М29АКТ№3.3" sheetId="113" r:id="rId24"/>
    <sheet name="++М29АКТ№3.2" sheetId="124" r:id="rId25"/>
    <sheet name="++М29АКТ№3.1" sheetId="123" r:id="rId26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38" i="136" l="1"/>
  <c r="L39" i="136"/>
  <c r="L37" i="136"/>
  <c r="L33" i="132"/>
  <c r="L34" i="132"/>
  <c r="L35" i="132"/>
  <c r="L36" i="132"/>
  <c r="L37" i="132"/>
  <c r="L38" i="132"/>
  <c r="L39" i="132"/>
  <c r="L40" i="132"/>
  <c r="L32" i="132"/>
  <c r="L48" i="136" l="1"/>
  <c r="L22" i="132"/>
  <c r="L23" i="132"/>
  <c r="L24" i="132"/>
  <c r="L25" i="132"/>
  <c r="L26" i="132"/>
  <c r="L27" i="132"/>
  <c r="L28" i="132"/>
  <c r="L29" i="132"/>
  <c r="L30" i="132"/>
  <c r="L31" i="132"/>
  <c r="L41" i="132"/>
  <c r="L42" i="132"/>
  <c r="L21" i="132"/>
  <c r="L35" i="131"/>
  <c r="L36" i="131"/>
  <c r="L33" i="131"/>
  <c r="L22" i="131"/>
  <c r="L24" i="131"/>
  <c r="L21" i="131"/>
  <c r="L49" i="127"/>
  <c r="L50" i="127"/>
  <c r="L51" i="127"/>
  <c r="L52" i="127"/>
  <c r="L53" i="127"/>
  <c r="L54" i="127"/>
  <c r="L48" i="127"/>
  <c r="L22" i="127"/>
  <c r="L23" i="127"/>
  <c r="L24" i="127"/>
  <c r="L25" i="127"/>
  <c r="L26" i="127"/>
  <c r="L27" i="127"/>
  <c r="L28" i="127"/>
  <c r="L29" i="127"/>
  <c r="L30" i="127"/>
  <c r="L31" i="127"/>
  <c r="L32" i="127"/>
  <c r="L33" i="127"/>
  <c r="L34" i="127"/>
  <c r="L35" i="127"/>
  <c r="L36" i="127"/>
  <c r="L37" i="127"/>
  <c r="L38" i="127"/>
  <c r="L21" i="127"/>
  <c r="L21" i="126"/>
  <c r="L42" i="120" l="1"/>
  <c r="L42" i="117"/>
  <c r="L43" i="117"/>
  <c r="L41" i="117"/>
  <c r="L29" i="115"/>
  <c r="L24" i="115"/>
  <c r="L23" i="115"/>
  <c r="L28" i="116"/>
  <c r="L24" i="116"/>
  <c r="L23" i="116"/>
  <c r="F22" i="116"/>
  <c r="L36" i="115"/>
  <c r="L34" i="115"/>
  <c r="L35" i="115"/>
  <c r="L37" i="115"/>
  <c r="L38" i="115"/>
  <c r="L39" i="115"/>
  <c r="L40" i="115"/>
  <c r="L41" i="115"/>
  <c r="L42" i="115"/>
  <c r="L33" i="115"/>
  <c r="L22" i="113"/>
  <c r="L46" i="115" l="1"/>
  <c r="L50" i="124" l="1"/>
  <c r="L51" i="124"/>
  <c r="L52" i="124"/>
  <c r="L23" i="124"/>
  <c r="L24" i="124"/>
  <c r="L25" i="124"/>
  <c r="L26" i="124"/>
  <c r="L28" i="124"/>
  <c r="L29" i="124"/>
  <c r="L30" i="124"/>
  <c r="L31" i="124"/>
  <c r="L32" i="124"/>
  <c r="L33" i="124"/>
  <c r="L34" i="124"/>
  <c r="L35" i="124"/>
  <c r="L22" i="124"/>
  <c r="L22" i="123" l="1"/>
  <c r="L23" i="123"/>
  <c r="L24" i="123"/>
  <c r="L21" i="123"/>
  <c r="L32" i="123"/>
  <c r="F22" i="123"/>
  <c r="F21" i="123"/>
  <c r="L37" i="134" l="1"/>
  <c r="D36" i="134"/>
  <c r="K38" i="134"/>
  <c r="K36" i="134"/>
  <c r="K35" i="134"/>
  <c r="K34" i="134"/>
  <c r="L33" i="134"/>
  <c r="K32" i="134"/>
  <c r="K31" i="134"/>
  <c r="K36" i="136"/>
  <c r="K35" i="136"/>
  <c r="K34" i="136"/>
  <c r="K23" i="136"/>
  <c r="L30" i="117"/>
  <c r="L49" i="124"/>
  <c r="K21" i="122"/>
  <c r="K48" i="124" l="1"/>
  <c r="K47" i="124"/>
  <c r="K46" i="124"/>
  <c r="L31" i="117"/>
  <c r="K45" i="124"/>
  <c r="K44" i="124"/>
  <c r="K43" i="124"/>
  <c r="L25" i="123"/>
  <c r="K22" i="133"/>
  <c r="K21" i="133"/>
  <c r="L30" i="111"/>
  <c r="K23" i="122" l="1"/>
  <c r="L22" i="122"/>
  <c r="K24" i="126"/>
  <c r="L30" i="120" l="1"/>
  <c r="K25" i="136"/>
  <c r="K23" i="129"/>
  <c r="K27" i="117"/>
  <c r="K24" i="133"/>
  <c r="K23" i="133"/>
  <c r="K22" i="125"/>
  <c r="K21" i="125"/>
  <c r="K31" i="112"/>
  <c r="K29" i="112"/>
  <c r="K30" i="112"/>
  <c r="K25" i="112"/>
  <c r="K24" i="112"/>
  <c r="K23" i="112"/>
  <c r="K22" i="112"/>
  <c r="K21" i="112"/>
  <c r="K21" i="130" l="1"/>
  <c r="K22" i="129"/>
  <c r="K21" i="129"/>
  <c r="K23" i="130"/>
  <c r="K24" i="128"/>
  <c r="K26" i="112"/>
  <c r="K28" i="112"/>
  <c r="K21" i="135"/>
  <c r="K22" i="134"/>
  <c r="K21" i="134"/>
  <c r="K22" i="128"/>
  <c r="K27" i="112"/>
  <c r="K22" i="130"/>
  <c r="K23" i="128"/>
  <c r="K24" i="130"/>
  <c r="K34" i="120"/>
  <c r="K24" i="117"/>
  <c r="K24" i="129"/>
  <c r="L26" i="129"/>
  <c r="F21" i="129"/>
  <c r="F22" i="129"/>
  <c r="F23" i="129"/>
  <c r="F24" i="129"/>
  <c r="F21" i="112" l="1"/>
  <c r="F22" i="112"/>
  <c r="F23" i="112"/>
  <c r="F24" i="112"/>
  <c r="F25" i="112"/>
  <c r="F26" i="112"/>
  <c r="F27" i="112"/>
  <c r="F28" i="112"/>
  <c r="F29" i="112"/>
  <c r="F30" i="112"/>
  <c r="F31" i="112"/>
  <c r="F22" i="118"/>
  <c r="L22" i="118"/>
  <c r="F23" i="118"/>
  <c r="L23" i="118"/>
  <c r="F22" i="115"/>
  <c r="L22" i="115"/>
  <c r="J48" i="136"/>
  <c r="F48" i="136"/>
  <c r="D48" i="136"/>
  <c r="D49" i="136" s="1"/>
  <c r="J30" i="136"/>
  <c r="L29" i="136"/>
  <c r="F29" i="136"/>
  <c r="L28" i="136"/>
  <c r="F28" i="136"/>
  <c r="L27" i="136"/>
  <c r="F27" i="136"/>
  <c r="L26" i="136"/>
  <c r="F26" i="136"/>
  <c r="F25" i="136"/>
  <c r="L24" i="136"/>
  <c r="F24" i="136"/>
  <c r="F23" i="136"/>
  <c r="L22" i="136"/>
  <c r="F22" i="136"/>
  <c r="L21" i="136"/>
  <c r="F21" i="136"/>
  <c r="L45" i="135"/>
  <c r="J45" i="135"/>
  <c r="F45" i="135"/>
  <c r="D45" i="135"/>
  <c r="D46" i="135" s="1"/>
  <c r="J27" i="135"/>
  <c r="L26" i="135"/>
  <c r="F26" i="135"/>
  <c r="L25" i="135"/>
  <c r="F25" i="135"/>
  <c r="L24" i="135"/>
  <c r="F24" i="135"/>
  <c r="L23" i="135"/>
  <c r="F23" i="135"/>
  <c r="L22" i="135"/>
  <c r="F22" i="135"/>
  <c r="L27" i="135"/>
  <c r="F21" i="135"/>
  <c r="F27" i="135" s="1"/>
  <c r="F46" i="135" s="1"/>
  <c r="D46" i="134"/>
  <c r="L45" i="134"/>
  <c r="J45" i="134"/>
  <c r="F45" i="134"/>
  <c r="D45" i="134"/>
  <c r="J27" i="134"/>
  <c r="L26" i="134"/>
  <c r="F26" i="134"/>
  <c r="L25" i="134"/>
  <c r="F25" i="134"/>
  <c r="L24" i="134"/>
  <c r="F24" i="134"/>
  <c r="L23" i="134"/>
  <c r="L27" i="134" s="1"/>
  <c r="F23" i="134"/>
  <c r="F22" i="134"/>
  <c r="F21" i="134"/>
  <c r="L45" i="133"/>
  <c r="J45" i="133"/>
  <c r="F45" i="133"/>
  <c r="D45" i="133"/>
  <c r="D46" i="133" s="1"/>
  <c r="J27" i="133"/>
  <c r="J46" i="133" s="1"/>
  <c r="L26" i="133"/>
  <c r="F26" i="133"/>
  <c r="L25" i="133"/>
  <c r="L27" i="133" s="1"/>
  <c r="L46" i="133" s="1"/>
  <c r="F25" i="133"/>
  <c r="F24" i="133"/>
  <c r="F23" i="133"/>
  <c r="F22" i="133"/>
  <c r="F21" i="133"/>
  <c r="L61" i="132"/>
  <c r="J61" i="132"/>
  <c r="F61" i="132"/>
  <c r="D61" i="132"/>
  <c r="D62" i="132" s="1"/>
  <c r="J48" i="132"/>
  <c r="F47" i="132"/>
  <c r="F46" i="132"/>
  <c r="F45" i="132"/>
  <c r="F44" i="132"/>
  <c r="F43" i="132"/>
  <c r="F42" i="132"/>
  <c r="F41" i="132"/>
  <c r="F40" i="132"/>
  <c r="F39" i="132"/>
  <c r="F37" i="132"/>
  <c r="F36" i="132"/>
  <c r="F34" i="132"/>
  <c r="F32" i="132"/>
  <c r="F30" i="132"/>
  <c r="F28" i="132"/>
  <c r="F27" i="132"/>
  <c r="F26" i="132"/>
  <c r="F24" i="132"/>
  <c r="F23" i="132"/>
  <c r="F22" i="132"/>
  <c r="F21" i="132"/>
  <c r="L38" i="131"/>
  <c r="J38" i="131"/>
  <c r="F38" i="131"/>
  <c r="D38" i="131"/>
  <c r="D39" i="131" s="1"/>
  <c r="J29" i="131"/>
  <c r="L28" i="131"/>
  <c r="F28" i="131"/>
  <c r="L27" i="131"/>
  <c r="F27" i="131"/>
  <c r="F26" i="131"/>
  <c r="F25" i="131"/>
  <c r="F24" i="131"/>
  <c r="F23" i="131"/>
  <c r="F22" i="131"/>
  <c r="F21" i="131"/>
  <c r="L39" i="130"/>
  <c r="J39" i="130"/>
  <c r="F39" i="130"/>
  <c r="D39" i="130"/>
  <c r="D40" i="130" s="1"/>
  <c r="J31" i="130"/>
  <c r="F30" i="130"/>
  <c r="F29" i="130"/>
  <c r="F28" i="130"/>
  <c r="F27" i="130"/>
  <c r="L31" i="130"/>
  <c r="L40" i="130" s="1"/>
  <c r="F26" i="130"/>
  <c r="F25" i="130"/>
  <c r="F24" i="130"/>
  <c r="F23" i="130"/>
  <c r="F22" i="130"/>
  <c r="F21" i="130"/>
  <c r="L45" i="129"/>
  <c r="J45" i="129"/>
  <c r="F45" i="129"/>
  <c r="D45" i="129"/>
  <c r="D46" i="129" s="1"/>
  <c r="J27" i="129"/>
  <c r="F26" i="129"/>
  <c r="F25" i="129"/>
  <c r="F27" i="129"/>
  <c r="F46" i="129" s="1"/>
  <c r="L34" i="128"/>
  <c r="J34" i="128"/>
  <c r="F34" i="128"/>
  <c r="D34" i="128"/>
  <c r="D35" i="128" s="1"/>
  <c r="J29" i="128"/>
  <c r="J35" i="128" s="1"/>
  <c r="F28" i="128"/>
  <c r="F27" i="128"/>
  <c r="F26" i="128"/>
  <c r="F25" i="128"/>
  <c r="F24" i="128"/>
  <c r="F23" i="128"/>
  <c r="F22" i="128"/>
  <c r="L21" i="128"/>
  <c r="F21" i="128"/>
  <c r="L56" i="127"/>
  <c r="J56" i="127"/>
  <c r="F56" i="127"/>
  <c r="D56" i="127"/>
  <c r="D57" i="127" s="1"/>
  <c r="J44" i="127"/>
  <c r="L43" i="127"/>
  <c r="F43" i="127"/>
  <c r="L42" i="127"/>
  <c r="F42" i="127"/>
  <c r="L41" i="127"/>
  <c r="F41" i="127"/>
  <c r="L40" i="127"/>
  <c r="F40" i="127"/>
  <c r="L39" i="127"/>
  <c r="F39" i="127"/>
  <c r="F38" i="127"/>
  <c r="F37" i="127"/>
  <c r="F36" i="127"/>
  <c r="F35" i="127"/>
  <c r="F34" i="127"/>
  <c r="F33" i="127"/>
  <c r="F32" i="127"/>
  <c r="F31" i="127"/>
  <c r="F29" i="127"/>
  <c r="F28" i="127"/>
  <c r="F27" i="127"/>
  <c r="F26" i="127"/>
  <c r="F25" i="127"/>
  <c r="F24" i="127"/>
  <c r="F23" i="127"/>
  <c r="F22" i="127"/>
  <c r="F21" i="127"/>
  <c r="L37" i="126"/>
  <c r="J37" i="126"/>
  <c r="F37" i="126"/>
  <c r="D37" i="126"/>
  <c r="D38" i="126" s="1"/>
  <c r="J30" i="126"/>
  <c r="L29" i="126"/>
  <c r="F29" i="126"/>
  <c r="L28" i="126"/>
  <c r="F28" i="126"/>
  <c r="L27" i="126"/>
  <c r="F27" i="126"/>
  <c r="L26" i="126"/>
  <c r="F26" i="126"/>
  <c r="F25" i="126"/>
  <c r="F24" i="126"/>
  <c r="L23" i="126"/>
  <c r="F23" i="126"/>
  <c r="F21" i="126"/>
  <c r="L34" i="125"/>
  <c r="J34" i="125"/>
  <c r="F34" i="125"/>
  <c r="D34" i="125"/>
  <c r="D35" i="125" s="1"/>
  <c r="J27" i="125"/>
  <c r="J35" i="125" s="1"/>
  <c r="L26" i="125"/>
  <c r="L25" i="125"/>
  <c r="L27" i="125" s="1"/>
  <c r="F25" i="125"/>
  <c r="L24" i="125"/>
  <c r="F24" i="125"/>
  <c r="F23" i="125"/>
  <c r="F22" i="125"/>
  <c r="F21" i="125"/>
  <c r="L54" i="124"/>
  <c r="J54" i="124"/>
  <c r="F54" i="124"/>
  <c r="D54" i="124"/>
  <c r="D55" i="124" s="1"/>
  <c r="J40" i="124"/>
  <c r="L39" i="124"/>
  <c r="F39" i="124"/>
  <c r="L38" i="124"/>
  <c r="F38" i="124"/>
  <c r="L37" i="124"/>
  <c r="F37" i="124"/>
  <c r="L36" i="124"/>
  <c r="L40" i="124" s="1"/>
  <c r="F36" i="124"/>
  <c r="F35" i="124"/>
  <c r="F34" i="124"/>
  <c r="F32" i="124"/>
  <c r="F31" i="124"/>
  <c r="F30" i="124"/>
  <c r="F29" i="124"/>
  <c r="F28" i="124"/>
  <c r="F27" i="124"/>
  <c r="F26" i="124"/>
  <c r="F25" i="124"/>
  <c r="F24" i="124"/>
  <c r="F23" i="124"/>
  <c r="F22" i="124"/>
  <c r="F21" i="124"/>
  <c r="L37" i="123"/>
  <c r="J37" i="123"/>
  <c r="F37" i="123"/>
  <c r="D37" i="123"/>
  <c r="D38" i="123" s="1"/>
  <c r="J28" i="123"/>
  <c r="L27" i="123"/>
  <c r="F27" i="123"/>
  <c r="L26" i="123"/>
  <c r="F26" i="123"/>
  <c r="F25" i="123"/>
  <c r="F24" i="123"/>
  <c r="F23" i="123"/>
  <c r="F28" i="123" s="1"/>
  <c r="L44" i="122"/>
  <c r="J44" i="122"/>
  <c r="F44" i="122"/>
  <c r="D44" i="122"/>
  <c r="D45" i="122" s="1"/>
  <c r="J26" i="122"/>
  <c r="J45" i="122" s="1"/>
  <c r="F25" i="122"/>
  <c r="F24" i="122"/>
  <c r="F23" i="122"/>
  <c r="F22" i="122"/>
  <c r="F21" i="122"/>
  <c r="L36" i="121"/>
  <c r="J36" i="121"/>
  <c r="F36" i="121"/>
  <c r="D36" i="121"/>
  <c r="D37" i="121" s="1"/>
  <c r="J27" i="121"/>
  <c r="J37" i="121" s="1"/>
  <c r="L26" i="121"/>
  <c r="F26" i="121"/>
  <c r="L25" i="121"/>
  <c r="F25" i="121"/>
  <c r="L24" i="121"/>
  <c r="F24" i="121"/>
  <c r="L23" i="121"/>
  <c r="F23" i="121"/>
  <c r="L22" i="121"/>
  <c r="F22" i="121"/>
  <c r="L21" i="121"/>
  <c r="F21" i="121"/>
  <c r="L48" i="120"/>
  <c r="J48" i="120"/>
  <c r="F48" i="120"/>
  <c r="D48" i="120"/>
  <c r="D49" i="120" s="1"/>
  <c r="J38" i="120"/>
  <c r="L37" i="120"/>
  <c r="F37" i="120"/>
  <c r="L36" i="120"/>
  <c r="F36" i="120"/>
  <c r="L35" i="120"/>
  <c r="F35" i="120"/>
  <c r="F34" i="120"/>
  <c r="F33" i="120"/>
  <c r="L32" i="120"/>
  <c r="F32" i="120"/>
  <c r="L31" i="120"/>
  <c r="F31" i="120"/>
  <c r="F30" i="120"/>
  <c r="L29" i="120"/>
  <c r="F29" i="120"/>
  <c r="L28" i="120"/>
  <c r="F28" i="120"/>
  <c r="L27" i="120"/>
  <c r="F27" i="120"/>
  <c r="L26" i="120"/>
  <c r="F26" i="120"/>
  <c r="L25" i="120"/>
  <c r="F25" i="120"/>
  <c r="L24" i="120"/>
  <c r="F24" i="120"/>
  <c r="L23" i="120"/>
  <c r="F23" i="120"/>
  <c r="L22" i="120"/>
  <c r="F22" i="120"/>
  <c r="F21" i="120"/>
  <c r="L50" i="119"/>
  <c r="J50" i="119"/>
  <c r="F50" i="119"/>
  <c r="D50" i="119"/>
  <c r="D51" i="119" s="1"/>
  <c r="J32" i="119"/>
  <c r="J51" i="119" s="1"/>
  <c r="L31" i="119"/>
  <c r="F31" i="119"/>
  <c r="L30" i="119"/>
  <c r="F30" i="119"/>
  <c r="L29" i="119"/>
  <c r="F29" i="119"/>
  <c r="L28" i="119"/>
  <c r="F28" i="119"/>
  <c r="L27" i="119"/>
  <c r="F27" i="119"/>
  <c r="L26" i="119"/>
  <c r="F26" i="119"/>
  <c r="L25" i="119"/>
  <c r="F25" i="119"/>
  <c r="L24" i="119"/>
  <c r="F24" i="119"/>
  <c r="L23" i="119"/>
  <c r="F23" i="119"/>
  <c r="L22" i="119"/>
  <c r="F22" i="119"/>
  <c r="L21" i="119"/>
  <c r="F21" i="119"/>
  <c r="L36" i="118"/>
  <c r="J36" i="118"/>
  <c r="F36" i="118"/>
  <c r="D36" i="118"/>
  <c r="D37" i="118" s="1"/>
  <c r="J26" i="118"/>
  <c r="L25" i="118"/>
  <c r="L26" i="118" s="1"/>
  <c r="L37" i="118" s="1"/>
  <c r="F25" i="118"/>
  <c r="L24" i="118"/>
  <c r="F24" i="118"/>
  <c r="F21" i="118"/>
  <c r="L45" i="117"/>
  <c r="J45" i="117"/>
  <c r="F45" i="117"/>
  <c r="D45" i="117"/>
  <c r="D46" i="117" s="1"/>
  <c r="J37" i="117"/>
  <c r="L36" i="117"/>
  <c r="F36" i="117"/>
  <c r="L35" i="117"/>
  <c r="F35" i="117"/>
  <c r="L34" i="117"/>
  <c r="F34" i="117"/>
  <c r="L33" i="117"/>
  <c r="F33" i="117"/>
  <c r="F32" i="117"/>
  <c r="F31" i="117"/>
  <c r="F30" i="117"/>
  <c r="L29" i="117"/>
  <c r="F29" i="117"/>
  <c r="L28" i="117"/>
  <c r="F28" i="117"/>
  <c r="F27" i="117"/>
  <c r="L26" i="117"/>
  <c r="F26" i="117"/>
  <c r="L25" i="117"/>
  <c r="F25" i="117"/>
  <c r="F24" i="117"/>
  <c r="L23" i="117"/>
  <c r="F23" i="117"/>
  <c r="L22" i="117"/>
  <c r="F22" i="117"/>
  <c r="F21" i="117"/>
  <c r="L35" i="116"/>
  <c r="J35" i="116"/>
  <c r="F35" i="116"/>
  <c r="D35" i="116"/>
  <c r="D36" i="116" s="1"/>
  <c r="J28" i="116"/>
  <c r="L27" i="116"/>
  <c r="F27" i="116"/>
  <c r="L26" i="116"/>
  <c r="F26" i="116"/>
  <c r="L25" i="116"/>
  <c r="F25" i="116"/>
  <c r="F24" i="116"/>
  <c r="F23" i="116"/>
  <c r="L22" i="116"/>
  <c r="F21" i="116"/>
  <c r="J46" i="115"/>
  <c r="F46" i="115"/>
  <c r="D46" i="115"/>
  <c r="D47" i="115" s="1"/>
  <c r="J29" i="115"/>
  <c r="L28" i="115"/>
  <c r="F28" i="115"/>
  <c r="L27" i="115"/>
  <c r="F27" i="115"/>
  <c r="L26" i="115"/>
  <c r="F26" i="115"/>
  <c r="L25" i="115"/>
  <c r="F25" i="115"/>
  <c r="F24" i="115"/>
  <c r="F23" i="115"/>
  <c r="F21" i="115"/>
  <c r="L35" i="114"/>
  <c r="J35" i="114"/>
  <c r="F35" i="114"/>
  <c r="D35" i="114"/>
  <c r="D36" i="114" s="1"/>
  <c r="J27" i="114"/>
  <c r="L26" i="114"/>
  <c r="F26" i="114"/>
  <c r="L25" i="114"/>
  <c r="F25" i="114"/>
  <c r="L24" i="114"/>
  <c r="F24" i="114"/>
  <c r="L23" i="114"/>
  <c r="F23" i="114"/>
  <c r="L22" i="114"/>
  <c r="F22" i="114"/>
  <c r="L21" i="114"/>
  <c r="F21" i="114"/>
  <c r="L38" i="113"/>
  <c r="J38" i="113"/>
  <c r="F38" i="113"/>
  <c r="D38" i="113"/>
  <c r="D39" i="113" s="1"/>
  <c r="J29" i="113"/>
  <c r="L28" i="113"/>
  <c r="F28" i="113"/>
  <c r="L27" i="113"/>
  <c r="F27" i="113"/>
  <c r="L26" i="113"/>
  <c r="F26" i="113"/>
  <c r="L25" i="113"/>
  <c r="F25" i="113"/>
  <c r="L24" i="113"/>
  <c r="F24" i="113"/>
  <c r="F23" i="113"/>
  <c r="F22" i="113"/>
  <c r="L21" i="113"/>
  <c r="F21" i="113"/>
  <c r="L44" i="112"/>
  <c r="J44" i="112"/>
  <c r="F44" i="112"/>
  <c r="D44" i="112"/>
  <c r="D45" i="112" s="1"/>
  <c r="J37" i="112"/>
  <c r="L36" i="112"/>
  <c r="L35" i="112"/>
  <c r="L34" i="112"/>
  <c r="F34" i="112"/>
  <c r="L33" i="112"/>
  <c r="F33" i="112"/>
  <c r="L32" i="112"/>
  <c r="L37" i="112" s="1"/>
  <c r="F32" i="112"/>
  <c r="L31" i="111"/>
  <c r="L32" i="111"/>
  <c r="L33" i="111"/>
  <c r="L34" i="111"/>
  <c r="L35" i="111"/>
  <c r="L21" i="111"/>
  <c r="L22" i="111"/>
  <c r="L23" i="111"/>
  <c r="L24" i="111"/>
  <c r="L25" i="111"/>
  <c r="L26" i="111"/>
  <c r="L27" i="111"/>
  <c r="L28" i="111"/>
  <c r="L29" i="111"/>
  <c r="J46" i="135" l="1"/>
  <c r="J62" i="132"/>
  <c r="L29" i="131"/>
  <c r="L39" i="131" s="1"/>
  <c r="J39" i="131"/>
  <c r="J45" i="112"/>
  <c r="L36" i="111"/>
  <c r="L26" i="122"/>
  <c r="F38" i="120"/>
  <c r="L38" i="120"/>
  <c r="J49" i="120"/>
  <c r="L49" i="120"/>
  <c r="F26" i="118"/>
  <c r="F37" i="118" s="1"/>
  <c r="J36" i="116"/>
  <c r="J36" i="114"/>
  <c r="L55" i="124"/>
  <c r="F40" i="124"/>
  <c r="J38" i="123"/>
  <c r="L30" i="126"/>
  <c r="L38" i="126" s="1"/>
  <c r="J38" i="126"/>
  <c r="F30" i="126"/>
  <c r="F38" i="126" s="1"/>
  <c r="L29" i="128"/>
  <c r="L35" i="128" s="1"/>
  <c r="J46" i="129"/>
  <c r="J40" i="130"/>
  <c r="L46" i="135"/>
  <c r="J46" i="134"/>
  <c r="F27" i="134"/>
  <c r="F46" i="134" s="1"/>
  <c r="J49" i="136"/>
  <c r="L30" i="136"/>
  <c r="J57" i="127"/>
  <c r="L27" i="121"/>
  <c r="L39" i="121" s="1"/>
  <c r="L32" i="119"/>
  <c r="J37" i="118"/>
  <c r="J55" i="124"/>
  <c r="L37" i="117"/>
  <c r="L48" i="117" s="1"/>
  <c r="L36" i="116"/>
  <c r="L49" i="115"/>
  <c r="J39" i="113"/>
  <c r="L27" i="114"/>
  <c r="L36" i="114" s="1"/>
  <c r="F38" i="123"/>
  <c r="L48" i="132"/>
  <c r="L62" i="132" s="1"/>
  <c r="L51" i="120"/>
  <c r="J46" i="117"/>
  <c r="L44" i="127"/>
  <c r="L57" i="127" s="1"/>
  <c r="J47" i="115"/>
  <c r="L27" i="129"/>
  <c r="L46" i="129" s="1"/>
  <c r="F30" i="136"/>
  <c r="F49" i="136" s="1"/>
  <c r="F27" i="133"/>
  <c r="F46" i="133" s="1"/>
  <c r="F48" i="132"/>
  <c r="F62" i="132" s="1"/>
  <c r="F29" i="131"/>
  <c r="F39" i="131" s="1"/>
  <c r="F31" i="130"/>
  <c r="F40" i="130" s="1"/>
  <c r="F29" i="128"/>
  <c r="F35" i="128" s="1"/>
  <c r="F44" i="127"/>
  <c r="F57" i="127" s="1"/>
  <c r="F27" i="125"/>
  <c r="F35" i="125" s="1"/>
  <c r="F37" i="112"/>
  <c r="F45" i="112" s="1"/>
  <c r="F26" i="122"/>
  <c r="F45" i="122" s="1"/>
  <c r="F27" i="121"/>
  <c r="F37" i="121" s="1"/>
  <c r="F49" i="120"/>
  <c r="F32" i="119"/>
  <c r="F51" i="119" s="1"/>
  <c r="L39" i="118"/>
  <c r="F37" i="117"/>
  <c r="F46" i="117" s="1"/>
  <c r="F28" i="116"/>
  <c r="F36" i="116" s="1"/>
  <c r="F29" i="115"/>
  <c r="F47" i="115" s="1"/>
  <c r="F27" i="114"/>
  <c r="F36" i="114" s="1"/>
  <c r="F29" i="113"/>
  <c r="F39" i="113" s="1"/>
  <c r="F55" i="124"/>
  <c r="L51" i="136"/>
  <c r="L49" i="136"/>
  <c r="L48" i="135"/>
  <c r="L46" i="134"/>
  <c r="L48" i="134"/>
  <c r="L48" i="133"/>
  <c r="L42" i="130"/>
  <c r="L37" i="128"/>
  <c r="L35" i="125"/>
  <c r="L37" i="125"/>
  <c r="L47" i="122"/>
  <c r="L45" i="122"/>
  <c r="L51" i="119"/>
  <c r="L53" i="119"/>
  <c r="L47" i="112"/>
  <c r="L45" i="112"/>
  <c r="L45" i="111"/>
  <c r="J45" i="111"/>
  <c r="F45" i="111"/>
  <c r="D45" i="111"/>
  <c r="D46" i="111" s="1"/>
  <c r="J36" i="111"/>
  <c r="F35" i="111"/>
  <c r="F34" i="111"/>
  <c r="F33" i="111"/>
  <c r="F32" i="111"/>
  <c r="F31" i="111"/>
  <c r="F30" i="111"/>
  <c r="F29" i="111"/>
  <c r="F28" i="111"/>
  <c r="F27" i="111"/>
  <c r="F26" i="111"/>
  <c r="F25" i="111"/>
  <c r="F24" i="111"/>
  <c r="F23" i="111"/>
  <c r="F22" i="111"/>
  <c r="F21" i="111"/>
  <c r="L41" i="131" l="1"/>
  <c r="L37" i="121"/>
  <c r="L38" i="116"/>
  <c r="L40" i="126"/>
  <c r="L46" i="111"/>
  <c r="L46" i="117"/>
  <c r="L47" i="115"/>
  <c r="L57" i="124"/>
  <c r="L64" i="132"/>
  <c r="L59" i="127"/>
  <c r="L48" i="129"/>
  <c r="J46" i="111"/>
  <c r="F36" i="111"/>
  <c r="F46" i="111" s="1"/>
  <c r="L48" i="111"/>
  <c r="L28" i="123" l="1"/>
  <c r="L38" i="123" s="1"/>
  <c r="L40" i="123" l="1"/>
  <c r="L29" i="113" l="1"/>
  <c r="K23" i="113"/>
  <c r="L39" i="113" l="1"/>
  <c r="L41" i="113"/>
</calcChain>
</file>

<file path=xl/comments1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8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9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0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1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2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3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4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5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6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7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8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19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0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1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2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3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4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5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comments26.xml><?xml version="1.0" encoding="utf-8"?>
<comments xmlns="http://schemas.openxmlformats.org/spreadsheetml/2006/main">
  <authors>
    <author>Автор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</commentList>
</comments>
</file>

<file path=xl/sharedStrings.xml><?xml version="1.0" encoding="utf-8"?>
<sst xmlns="http://schemas.openxmlformats.org/spreadsheetml/2006/main" count="2238" uniqueCount="637">
  <si>
    <t>З В І Т</t>
  </si>
  <si>
    <t>про витрати основних матеріалів у будівництві</t>
  </si>
  <si>
    <t>в співставленні з виробничими нормами</t>
  </si>
  <si>
    <t>№ п/п</t>
  </si>
  <si>
    <t>Найменування робіт</t>
  </si>
  <si>
    <t>Од. вим.</t>
  </si>
  <si>
    <t>Кіл-ть</t>
  </si>
  <si>
    <t>Матеріали</t>
  </si>
  <si>
    <t>Примітка</t>
  </si>
  <si>
    <t>Найменування</t>
  </si>
  <si>
    <t>од. вим.</t>
  </si>
  <si>
    <t xml:space="preserve">                                                                                                (дата, П.І.Б., підпис)</t>
  </si>
  <si>
    <t xml:space="preserve">Опрацював  Бухгалтер ________________________  </t>
  </si>
  <si>
    <t xml:space="preserve">                                             (дата, П.І.Б., підпис)</t>
  </si>
  <si>
    <t>Витрати матеріалів перевірив:</t>
  </si>
  <si>
    <t xml:space="preserve">                                                          (дата, П.І.Б., підпис)</t>
  </si>
  <si>
    <t>Начальник ВТВ _______________________________</t>
  </si>
  <si>
    <t xml:space="preserve">                                   (дата, П.І.Б., підпис)</t>
  </si>
  <si>
    <t>Інженер ВТВ _______________________________</t>
  </si>
  <si>
    <t xml:space="preserve">Начальник будівельного-монтажного комплекса __________________________ </t>
  </si>
  <si>
    <t>Матеріально-відповідальна особа, що склала звіт                                           Олійник В.М.</t>
  </si>
  <si>
    <t>Код</t>
  </si>
  <si>
    <t>Вартість од. вим.</t>
  </si>
  <si>
    <t>Вартість всього вим.</t>
  </si>
  <si>
    <t>Разом вартість матеріалів</t>
  </si>
  <si>
    <t>Інформація з АВР</t>
  </si>
  <si>
    <t>Інформація з 1С</t>
  </si>
  <si>
    <t>Додаток №3
до Наказу №_______ від _________________р.</t>
  </si>
  <si>
    <r>
      <t>Форма № М-29</t>
    </r>
    <r>
      <rPr>
        <b/>
        <sz val="18"/>
        <color indexed="12"/>
        <rFont val="Calibri"/>
        <family val="2"/>
        <charset val="204"/>
      </rPr>
      <t>/1</t>
    </r>
  </si>
  <si>
    <t>"ЗАТВЕРДЖЕНО"</t>
  </si>
  <si>
    <t xml:space="preserve">Директор  ____________________ </t>
  </si>
  <si>
    <t>Разом вартість МШП</t>
  </si>
  <si>
    <t>ВСЬОГО списано</t>
  </si>
  <si>
    <t xml:space="preserve">                                                                                                                                     (дата, П.І.Б., підпис)</t>
  </si>
  <si>
    <t>шт</t>
  </si>
  <si>
    <t>т</t>
  </si>
  <si>
    <t>«Найменування будови та її адреса -Комплекс будівельно-монтажних та пусконалагоджувальних робіт на об'єкті: «Реконструкція обладнання і внутрішніх систем в будівлі котельної (літ.Е-4) ПРАТ
"ЗОЕЗ" за адресою: м.Запоріжжя, вул.Харчова, 3 (без зміни геометричних розмірів будівлі)», що
здійснюється в 2023 році по Договору підряду № З-23 від "28" вересня 2023 р.</t>
  </si>
  <si>
    <t>кг</t>
  </si>
  <si>
    <t>Інформація з ІВР</t>
  </si>
  <si>
    <t>м2</t>
  </si>
  <si>
    <t>м3</t>
  </si>
  <si>
    <t xml:space="preserve"> Мастика бітумна</t>
  </si>
  <si>
    <t xml:space="preserve"> Грунтовка ГФ-021</t>
  </si>
  <si>
    <t xml:space="preserve"> Емаль ПФ-115</t>
  </si>
  <si>
    <t xml:space="preserve"> т</t>
  </si>
  <si>
    <t>00000008880</t>
  </si>
  <si>
    <t>Кутик 50х50х5мм ст 3пс МІРА</t>
  </si>
  <si>
    <t>00000019138</t>
  </si>
  <si>
    <t>пак</t>
  </si>
  <si>
    <t>пар</t>
  </si>
  <si>
    <t xml:space="preserve"> Уайт-спірит</t>
  </si>
  <si>
    <t>л</t>
  </si>
  <si>
    <t xml:space="preserve">Всього за актом </t>
  </si>
  <si>
    <t>3/3</t>
  </si>
  <si>
    <t>4/4</t>
  </si>
  <si>
    <t>8/10</t>
  </si>
  <si>
    <t>м</t>
  </si>
  <si>
    <t>Роздiл  2. Кондиціювання. Система К1</t>
  </si>
  <si>
    <t>2/23</t>
  </si>
  <si>
    <t xml:space="preserve"> СМ030508 Гвинт для електричного з'єднання
М5х8</t>
  </si>
  <si>
    <t xml:space="preserve"> СМ080880 Болт М8х80</t>
  </si>
  <si>
    <t xml:space="preserve"> СМ110800 Гайка шестигранная М8</t>
  </si>
  <si>
    <t xml:space="preserve"> СМ240800 Шайба 8</t>
  </si>
  <si>
    <t>1000м</t>
  </si>
  <si>
    <t xml:space="preserve"> Сталь кутова 50х50 мм</t>
  </si>
  <si>
    <t>14/39</t>
  </si>
  <si>
    <t>18/43</t>
  </si>
  <si>
    <t>19/44</t>
  </si>
  <si>
    <t xml:space="preserve"> Хомут 4,8х200 мм</t>
  </si>
  <si>
    <t xml:space="preserve"> Хомут 12,5х500 мм</t>
  </si>
  <si>
    <t>14/34</t>
  </si>
  <si>
    <t>18/39</t>
  </si>
  <si>
    <t>ком</t>
  </si>
  <si>
    <t xml:space="preserve"> Цифровий пристрій релейного захисту МРЗС-
05Л</t>
  </si>
  <si>
    <t>3/9</t>
  </si>
  <si>
    <t>8/23</t>
  </si>
  <si>
    <t>Локальний кошторис
02-01-036 
на Релейний захист (РЗ2). ГРП-6кВ</t>
  </si>
  <si>
    <t>12/38</t>
  </si>
  <si>
    <t xml:space="preserve">Грунтовка ГФ-021 сіра (50кг) ПФ </t>
  </si>
  <si>
    <t>Розчинник для фарб на основі Уайт-спіриту (5л) (3,7 кг) пет ТОРхім</t>
  </si>
  <si>
    <t>00-00004878</t>
  </si>
  <si>
    <t>пач</t>
  </si>
  <si>
    <t>00000009198</t>
  </si>
  <si>
    <t>Маска зварювальника "Хамелеон" МС-3500</t>
  </si>
  <si>
    <t>Нет на приходе</t>
  </si>
  <si>
    <t>00000000713</t>
  </si>
  <si>
    <t>Пісок, т</t>
  </si>
  <si>
    <t>Анкер М10 стандартний</t>
  </si>
  <si>
    <t>00-00005381</t>
  </si>
  <si>
    <t>Вимірювач багатофункц РМ2220</t>
  </si>
  <si>
    <t>компл</t>
  </si>
  <si>
    <t>00000005834</t>
  </si>
  <si>
    <t xml:space="preserve">Гвинт для електричного з’єднання М 5х8 </t>
  </si>
  <si>
    <t>00000009045</t>
  </si>
  <si>
    <t>Наконечник-гільза Е1508 1,5мм2 з ізольованим фланцем ІЕК</t>
  </si>
  <si>
    <t>00-00004614</t>
  </si>
  <si>
    <t>Швелер г/к № 24 П ст3ПС МІРА</t>
  </si>
  <si>
    <t>00000005920</t>
  </si>
  <si>
    <t>Болт М 8*80  DIN 933 з шест.голівкою цб</t>
  </si>
  <si>
    <t>00000009188</t>
  </si>
  <si>
    <t>Шайба 10  DIN125 цб</t>
  </si>
  <si>
    <t>км</t>
  </si>
  <si>
    <t>00-00005384</t>
  </si>
  <si>
    <t>Стяжка кабельна 5х200 біла (пач.100 шт)</t>
  </si>
  <si>
    <t>00-00005385</t>
  </si>
  <si>
    <t>Пристрій МР3С-05Л АИАР 466452.001-33</t>
  </si>
  <si>
    <t>00-00004958</t>
  </si>
  <si>
    <t>Площадка під стяжку кабельну ТМ30*30 100шт біла</t>
  </si>
  <si>
    <t>Стержень М  8  1м  DIN 975</t>
  </si>
  <si>
    <t>00-00005267</t>
  </si>
  <si>
    <t>Скоба металева для кріплення реле ECOR-RHM-2L</t>
  </si>
  <si>
    <t>00-00005281</t>
  </si>
  <si>
    <t>Рейка монтажна NS 35/7.5 PERF 2000MM</t>
  </si>
  <si>
    <t>00-00005276</t>
  </si>
  <si>
    <t>Перемичка FBS 2-5</t>
  </si>
  <si>
    <t>00-00005273</t>
  </si>
  <si>
    <t>Перемичка гвинтова FB 10-RTK/S</t>
  </si>
  <si>
    <t>к-т</t>
  </si>
  <si>
    <t>00-00004973</t>
  </si>
  <si>
    <t>Гровер М6 ДІН127</t>
  </si>
  <si>
    <t>00000019110</t>
  </si>
  <si>
    <t>Вода питна (18,9л)</t>
  </si>
  <si>
    <t>00-00005278</t>
  </si>
  <si>
    <t>Тримач кінцевий 35 CLIPFIX</t>
  </si>
  <si>
    <t>00000006207</t>
  </si>
  <si>
    <t>Кришка D-UT 2,5/10</t>
  </si>
  <si>
    <t>00-00005274</t>
  </si>
  <si>
    <t xml:space="preserve">Кришка кінцева D-URT </t>
  </si>
  <si>
    <t>До Акту № 3</t>
  </si>
  <si>
    <t xml:space="preserve"> Грунтовка Церезит СТ-14</t>
  </si>
  <si>
    <t>5/5</t>
  </si>
  <si>
    <t xml:space="preserve"> Розчин ЦП М200 армований фіброю Polymer
S40 (5кг/м3)</t>
  </si>
  <si>
    <t>6/8</t>
  </si>
  <si>
    <t xml:space="preserve"> Швелер 10У</t>
  </si>
  <si>
    <t>9/11</t>
  </si>
  <si>
    <t xml:space="preserve"> Швелер №24У </t>
  </si>
  <si>
    <t>11/13</t>
  </si>
  <si>
    <t xml:space="preserve"> Швелер №30У </t>
  </si>
  <si>
    <t>12/15</t>
  </si>
  <si>
    <t xml:space="preserve"> Сталь листова 4мм </t>
  </si>
  <si>
    <t>16/19</t>
  </si>
  <si>
    <t xml:space="preserve"> Балки двотавровi N16</t>
  </si>
  <si>
    <t>19/22</t>
  </si>
  <si>
    <t xml:space="preserve"> Труба профільна квадратна 30х30х2мм</t>
  </si>
  <si>
    <t>21/24</t>
  </si>
  <si>
    <t xml:space="preserve"> Труба профільна квадратна 50х50х3мм</t>
  </si>
  <si>
    <t>22/25</t>
  </si>
  <si>
    <t xml:space="preserve"> Труба профільна квадратна 100х100х5мм</t>
  </si>
  <si>
    <t>24/33</t>
  </si>
  <si>
    <t xml:space="preserve"> Просiчно-витяжний прокат ПВ506 С235 </t>
  </si>
  <si>
    <t>25/31</t>
  </si>
  <si>
    <t xml:space="preserve"> Рифлений лист 4 мм 1,25х6 м</t>
  </si>
  <si>
    <t>26/27</t>
  </si>
  <si>
    <t xml:space="preserve"> Шпилька М12 L=1000мм</t>
  </si>
  <si>
    <t>27/28</t>
  </si>
  <si>
    <t>28/29</t>
  </si>
  <si>
    <t>29/30</t>
  </si>
  <si>
    <t>Локальний кошторис
02-01-04 
на Монтаж системи масляного
охолодження турбіни</t>
  </si>
  <si>
    <t>3/5</t>
  </si>
  <si>
    <t xml:space="preserve"> Труби сталеві безшовні гарячедеформовані із
сталі, зовнішній діаметр 32 мм, товщина стінки
2,5 мм</t>
  </si>
  <si>
    <t>7/9</t>
  </si>
  <si>
    <t xml:space="preserve"> Фланець комірний ДУ25</t>
  </si>
  <si>
    <t xml:space="preserve"> Кран кульовий фланцевий тип 685 Flangiata
corpo piatta" н/ж сталь, DN25 IVR</t>
  </si>
  <si>
    <t xml:space="preserve"> Єврорубероїд Полібуд К</t>
  </si>
  <si>
    <t>12/14</t>
  </si>
  <si>
    <t>Локальний кошторис
02-01-06 
на Влаштування додаткової вентиляції
операторської</t>
  </si>
  <si>
    <t>12/20</t>
  </si>
  <si>
    <t xml:space="preserve"> Мідний рідинний трубопровід ?9,52 мм в
ізоляції К-FLEX ST FRIGO товщ. 9 мм</t>
  </si>
  <si>
    <t>13/21</t>
  </si>
  <si>
    <t xml:space="preserve"> Мідний газовий трубопровід діам. 15,88 мм в
ізоляції К-FLEX ST FRIGO товщ. 9 мм</t>
  </si>
  <si>
    <t>15/23</t>
  </si>
  <si>
    <t xml:space="preserve"> Труба дренажна жорстка ПВХ діам.17 мм </t>
  </si>
  <si>
    <t>Локальний кошторис
02-01-09 
на Влаштування паропроводу.</t>
  </si>
  <si>
    <t>Роздiл  1. Паропроводи</t>
  </si>
  <si>
    <t>4/67</t>
  </si>
  <si>
    <t xml:space="preserve"> Труби сталевi безшовнi гарячедеформованi,
зовнiшнiй дiаметр 273 мм, товщина стiнки 7мм </t>
  </si>
  <si>
    <t>6/69</t>
  </si>
  <si>
    <t xml:space="preserve"> Відвод 1,5D 45° Д=273мм</t>
  </si>
  <si>
    <t>7/36</t>
  </si>
  <si>
    <t xml:space="preserve"> Засувка 30с941нж Ду250, Pу16, tmax = 207°C з
електроприводом</t>
  </si>
  <si>
    <t>Локальний кошторис
02-01-010 
на Котельня. Технологічні трубопроводи.
Дренаж постійної та прогрівальної дії (ТХ)</t>
  </si>
  <si>
    <t>Роздiл  1. Дренаж</t>
  </si>
  <si>
    <t>6/6</t>
  </si>
  <si>
    <t xml:space="preserve"> Вентиль сильфонний фланцевий МК-16
(чавун) DN25, PN16 Ayvaz</t>
  </si>
  <si>
    <t>8/8</t>
  </si>
  <si>
    <t xml:space="preserve"> Сталь кутова 100х100х7 мм</t>
  </si>
  <si>
    <t>12/12</t>
  </si>
  <si>
    <t>13/13</t>
  </si>
  <si>
    <t>Локальний кошторис
02-01-011 
на Влаштування конденсаторопровода</t>
  </si>
  <si>
    <t xml:space="preserve">Роздiл  1. Конденсатопроводи
 </t>
  </si>
  <si>
    <t>3/11</t>
  </si>
  <si>
    <t xml:space="preserve"> Труби сталеві безшовні гарячедеформовані,
діаметр 89 мм, товщина стінки 3,5 мм</t>
  </si>
  <si>
    <t>10/25</t>
  </si>
  <si>
    <t xml:space="preserve"> Відвод 1,5D 90° Д=89мм </t>
  </si>
  <si>
    <t>13/33</t>
  </si>
  <si>
    <t xml:space="preserve"> Вентиль сильфонний фланцевий МК-16
(чавун) DN20, PN16 Ayvaz</t>
  </si>
  <si>
    <t>15/51</t>
  </si>
  <si>
    <t xml:space="preserve"> Конденсатовідвідник біметалевий фланцевий
ВК45, DN25, PN40 Gestra</t>
  </si>
  <si>
    <t>комплект</t>
  </si>
  <si>
    <t>19/40</t>
  </si>
  <si>
    <t>20/41</t>
  </si>
  <si>
    <t>22/43</t>
  </si>
  <si>
    <t>26/47</t>
  </si>
  <si>
    <t>27/48</t>
  </si>
  <si>
    <t>28/49</t>
  </si>
  <si>
    <t>Локальний кошторис
02-01-012 
на Оздоблювальні роботи</t>
  </si>
  <si>
    <t>Роздiл  2. Оздоблення</t>
  </si>
  <si>
    <t>3/21</t>
  </si>
  <si>
    <t xml:space="preserve"> Брус </t>
  </si>
  <si>
    <t>4/22</t>
  </si>
  <si>
    <t xml:space="preserve"> Фанера</t>
  </si>
  <si>
    <t>Локальний кошторис
02-01-015 
на Влаштування системи кондиціювання в
ТП-2</t>
  </si>
  <si>
    <t>5/7</t>
  </si>
  <si>
    <t xml:space="preserve"> Труба дренажна жорстка ПВХ діам.25мм </t>
  </si>
  <si>
    <t>14/18</t>
  </si>
  <si>
    <t xml:space="preserve"> Мідний рідинний трубопровід 6.35 мм в
ізоляції К-FLEX ST FRIGO товщ. 9 мм</t>
  </si>
  <si>
    <t>15/19</t>
  </si>
  <si>
    <t xml:space="preserve"> Мідний газовий трубопровід діам. 12,7 мм в
ізоляції К-FLEX ST FRIGO товщ. 9 мм</t>
  </si>
  <si>
    <t xml:space="preserve">Роздiл  2. Кондиціювання. Система К2
 </t>
  </si>
  <si>
    <t>17/21</t>
  </si>
  <si>
    <t xml:space="preserve">Роздiл  2. Підлоги. Бетонні роботи
 </t>
  </si>
  <si>
    <t>4/29</t>
  </si>
  <si>
    <t xml:space="preserve"> Анкер 2-х розпірний з гайкою , 16х2000</t>
  </si>
  <si>
    <t>5/30</t>
  </si>
  <si>
    <t xml:space="preserve"> Капсульний хім.анкер KEM-HR 955HYBRID
REBAR</t>
  </si>
  <si>
    <t>8/33</t>
  </si>
  <si>
    <t>9/34</t>
  </si>
  <si>
    <t xml:space="preserve">Роздiл  3. Підлоги. Металоконструкції
 </t>
  </si>
  <si>
    <t>11/36</t>
  </si>
  <si>
    <t xml:space="preserve"> Швелер 12У</t>
  </si>
  <si>
    <t>12/37</t>
  </si>
  <si>
    <t xml:space="preserve"> Сталь кутова 30х30х4мм</t>
  </si>
  <si>
    <t>13/38</t>
  </si>
  <si>
    <t xml:space="preserve"> Гарячекатана арматурна сталь гладка, клас А-
1, діаметр 10 мм</t>
  </si>
  <si>
    <t xml:space="preserve"> Лист ст.рифлений 4мм 1,25х6,0 м</t>
  </si>
  <si>
    <t xml:space="preserve">Роздiл  5. Прорізи
 </t>
  </si>
  <si>
    <t>21/56</t>
  </si>
  <si>
    <t xml:space="preserve"> Ворота 3100х3620мм (h) з жалюзійними
решітками</t>
  </si>
  <si>
    <t>Локальний кошторис
02-01-017 
на ЗВК (К2)</t>
  </si>
  <si>
    <t xml:space="preserve">Роздiл  1. Мережа К2 (дренажна система)
 </t>
  </si>
  <si>
    <t>5/21</t>
  </si>
  <si>
    <t>6/22</t>
  </si>
  <si>
    <t>7/23</t>
  </si>
  <si>
    <t xml:space="preserve">Додатковий локальний кошторис
02-01-045 
на Пескоструй </t>
  </si>
  <si>
    <t>1/1</t>
  </si>
  <si>
    <t xml:space="preserve"> Піскоструменеве очищення піском поверхні
труб діаметром до 500 мм, дрібних виробів і
гратчастих конструкцій</t>
  </si>
  <si>
    <t xml:space="preserve"> Перетворювач іржі </t>
  </si>
  <si>
    <t>Локальний кошторис
02-01-025 
на  Електропостачання (ЕП1).
Реконструкція ГПП-35/6кВ</t>
  </si>
  <si>
    <t>8/111</t>
  </si>
  <si>
    <t xml:space="preserve"> Болт М16х60 оц.</t>
  </si>
  <si>
    <t>9/112</t>
  </si>
  <si>
    <t xml:space="preserve"> Болт М12х40 оц.</t>
  </si>
  <si>
    <t>10/113</t>
  </si>
  <si>
    <t xml:space="preserve"> Шпилька М12х1000</t>
  </si>
  <si>
    <t>11/114</t>
  </si>
  <si>
    <t xml:space="preserve"> Болт М10х40</t>
  </si>
  <si>
    <t>12/115</t>
  </si>
  <si>
    <t xml:space="preserve"> Болт М8х40</t>
  </si>
  <si>
    <t>13/116</t>
  </si>
  <si>
    <t xml:space="preserve"> Гайка М12 оц.</t>
  </si>
  <si>
    <t>14/117</t>
  </si>
  <si>
    <t xml:space="preserve"> Гайка М10 оц.</t>
  </si>
  <si>
    <t>15/118</t>
  </si>
  <si>
    <t xml:space="preserve"> Гайка М8 оц.</t>
  </si>
  <si>
    <t>16/119</t>
  </si>
  <si>
    <t xml:space="preserve"> Шайба 12 оц.</t>
  </si>
  <si>
    <t>17/120</t>
  </si>
  <si>
    <t xml:space="preserve"> Шайба 10 оц.</t>
  </si>
  <si>
    <t>18/121</t>
  </si>
  <si>
    <t xml:space="preserve"> Шайба 8оц.</t>
  </si>
  <si>
    <t>19/122</t>
  </si>
  <si>
    <t xml:space="preserve"> Пружинна шайба 12 оц.</t>
  </si>
  <si>
    <t>20/123</t>
  </si>
  <si>
    <t xml:space="preserve"> Пружинна шайба 10 оц.</t>
  </si>
  <si>
    <t>Локальний кошторис
02-01-026 
на Вартість  обладнання ГПП-35/6кВ ЕП1</t>
  </si>
  <si>
    <t>1/7</t>
  </si>
  <si>
    <t xml:space="preserve"> Комутаційний модуль КСО-2 (10-20/1000)
ВВ/TEL-10-20/1000</t>
  </si>
  <si>
    <t>2/20</t>
  </si>
  <si>
    <t xml:space="preserve"> Комутаційний модуль КСО-2 (272-20/1000)
ВВ/TEL-10-20/1000</t>
  </si>
  <si>
    <t>3/8</t>
  </si>
  <si>
    <t xml:space="preserve"> Обмежувачi перенапруг ОПН-РТ-TEL-6/7,2</t>
  </si>
  <si>
    <t>4/9</t>
  </si>
  <si>
    <t xml:space="preserve"> Трансформатор струму прохідний 10 кВ
TCHS2-12-1000/5</t>
  </si>
  <si>
    <t>5/10</t>
  </si>
  <si>
    <t xml:space="preserve"> Трансформатор струму нульовий ТЗЛУ-205
30/1</t>
  </si>
  <si>
    <t>6/13</t>
  </si>
  <si>
    <t xml:space="preserve"> Силова шафа вводу ШТВП-1(2)</t>
  </si>
  <si>
    <t>7/14</t>
  </si>
  <si>
    <t xml:space="preserve"> Силова шафа розподільча ШВП-1</t>
  </si>
  <si>
    <t>8/15</t>
  </si>
  <si>
    <t xml:space="preserve"> Шафа комерційного обліку ШКО (без
лічильника)</t>
  </si>
  <si>
    <t>9/16</t>
  </si>
  <si>
    <t xml:space="preserve"> Ящик затискачів обліку трансформаторів
струму ЯЗО-ТС-ТВП1(2)</t>
  </si>
  <si>
    <t>10/17</t>
  </si>
  <si>
    <t xml:space="preserve"> Ящик затискачів обліку трансформаторів
струму ЯЗО-Т1(2)</t>
  </si>
  <si>
    <t>11/18</t>
  </si>
  <si>
    <t xml:space="preserve"> Ящик затискачів трансформаторів струму ЯЗ-
Т1(2)</t>
  </si>
  <si>
    <t>До Акту № 4</t>
  </si>
  <si>
    <t>Локальний кошторис
02-01-027 
на Електропостачання (ЕП2). ГРП-6кВ</t>
  </si>
  <si>
    <t>1/14</t>
  </si>
  <si>
    <t xml:space="preserve"> Шафа ЩО ГРП-2 6КВ  «215-2021-ЕП2»  </t>
  </si>
  <si>
    <t>2/15</t>
  </si>
  <si>
    <t xml:space="preserve"> Шафа ЩОА ГРП-2 6КВ «215-2021-ЕП2»  </t>
  </si>
  <si>
    <t>3/16</t>
  </si>
  <si>
    <t xml:space="preserve"> Щит розеточний ЩР-1 (ГРП-2)</t>
  </si>
  <si>
    <t>Локальний кошторис
02-01-028 
на +Обладнання ГРП-6кВ ЕП2</t>
  </si>
  <si>
    <t xml:space="preserve"> Комірки КРУ-6кВ (Опитувальний лист на РП-
6кВ)</t>
  </si>
  <si>
    <t>2/2</t>
  </si>
  <si>
    <t xml:space="preserve"> Шафа власних потреб ШВП-ГРП</t>
  </si>
  <si>
    <t xml:space="preserve"> Зміна шин збірних в існ. комірках №№01-04 з
АД31 60х6  (870А) на 60х10 (1155А), та
лінійних в існ. комірці №02, трансформатори  
струму ТОЛУ-10-2 1000/5/0,5S/10VA/10P/20VA,
Розьеднувач РВЗ 10/1000 II У3  </t>
  </si>
  <si>
    <t>Локальний кошторис
02-01-030 
на Силове електрообладнання (ЕМ1).
Будівля котельної</t>
  </si>
  <si>
    <t xml:space="preserve"> Дообладнання ГРЩ-2</t>
  </si>
  <si>
    <t>4/8</t>
  </si>
  <si>
    <t xml:space="preserve"> Дообладнання ШУ-2</t>
  </si>
  <si>
    <t>6/12</t>
  </si>
  <si>
    <t xml:space="preserve"> Дообладнання ШУН</t>
  </si>
  <si>
    <t>7/135</t>
  </si>
  <si>
    <t xml:space="preserve"> Дообладнання ШЧП</t>
  </si>
  <si>
    <t>18/49</t>
  </si>
  <si>
    <t xml:space="preserve"> СМ440850 Анкер стандартний зі шпилькою М8</t>
  </si>
  <si>
    <t>19/50</t>
  </si>
  <si>
    <t xml:space="preserve"> СМ010616 Винт М6</t>
  </si>
  <si>
    <t>20/51</t>
  </si>
  <si>
    <t xml:space="preserve"> СМ100600 Гайка шестигранна з насічкою М6
DIN6923</t>
  </si>
  <si>
    <t>21/53</t>
  </si>
  <si>
    <t>22/54</t>
  </si>
  <si>
    <t>23/55</t>
  </si>
  <si>
    <t xml:space="preserve"> СМ020860 Болт М8х60</t>
  </si>
  <si>
    <t>24/56</t>
  </si>
  <si>
    <t>25/57</t>
  </si>
  <si>
    <t xml:space="preserve"> СМ100800 Гайка М8</t>
  </si>
  <si>
    <t>26/58</t>
  </si>
  <si>
    <t>31/73</t>
  </si>
  <si>
    <t>33/75</t>
  </si>
  <si>
    <t xml:space="preserve"> Металоконструкцiї індівідуальні зварні
кабельних конструкцій з  профільного  прокату</t>
  </si>
  <si>
    <t>35/77</t>
  </si>
  <si>
    <t>36/78</t>
  </si>
  <si>
    <t>Локальний кошторис
02-01-031 
на Придбання силового
електрообладнання (ЕМ1). Будівля
котельної</t>
  </si>
  <si>
    <t xml:space="preserve"> Шафа турбогенератора ШУН-2</t>
  </si>
  <si>
    <t xml:space="preserve"> Шафа ШВП-Г2</t>
  </si>
  <si>
    <t xml:space="preserve"> Шафа ШАВР-Г</t>
  </si>
  <si>
    <t xml:space="preserve"> Шафа ШУ-1</t>
  </si>
  <si>
    <t>Локальний кошторис
02-01-032 
на +++Силове електрообладнання (ЕМ2).
Реконструкція ТП-2</t>
  </si>
  <si>
    <t>2/8</t>
  </si>
  <si>
    <t xml:space="preserve"> Щит освітлення ЩО ТП-2</t>
  </si>
  <si>
    <t xml:space="preserve"> Щит освітлення ЩОА ТП-2</t>
  </si>
  <si>
    <t>4/10</t>
  </si>
  <si>
    <t xml:space="preserve"> Щит розеточний ЩР-1</t>
  </si>
  <si>
    <t>5/40</t>
  </si>
  <si>
    <t xml:space="preserve"> Кабель 1х800мм2 АВВГнг-1</t>
  </si>
  <si>
    <t>Локальний кошторис
02-01-033 
на Придбання силового
електрообладнання (ЕМ2). Реконструкція
ТП-2</t>
  </si>
  <si>
    <t xml:space="preserve"> Комплектний силовий розподільний пристрій 1-
ф секція 0,4 кВ РУНН 2ТП</t>
  </si>
  <si>
    <t xml:space="preserve"> Шафа ШВП ТП-2</t>
  </si>
  <si>
    <t xml:space="preserve"> Шафа обдува тр-ра ШУВ-Т</t>
  </si>
  <si>
    <t xml:space="preserve"> Дообладнання комірок 2-ї секції ТП-2</t>
  </si>
  <si>
    <t>Локальний кошторис
02-01-034 
на +Електроосвітлення (ЕО)</t>
  </si>
  <si>
    <t xml:space="preserve"> Щит освітлення ЩО</t>
  </si>
  <si>
    <t xml:space="preserve"> Щит ЩОА</t>
  </si>
  <si>
    <t>6/26</t>
  </si>
  <si>
    <t xml:space="preserve"> Світильник ДСП11-30-211</t>
  </si>
  <si>
    <t>4/5</t>
  </si>
  <si>
    <t xml:space="preserve"> Цифровий пристрій релейного захисту Sepam
P3   P3U30-5ААА2ВВАА</t>
  </si>
  <si>
    <t>Локальний кошторис
02-01-035 
на Релейний захист (РЗ1). Реконструкція
ГПП-35/6кВ</t>
  </si>
  <si>
    <t>9/15</t>
  </si>
  <si>
    <t xml:space="preserve"> Релейний модуль RIF-2-RSC-LV-230AC/4x21</t>
  </si>
  <si>
    <t>19/41</t>
  </si>
  <si>
    <t xml:space="preserve"> Клема вимірювальна гвинтова 6 мм2 з
розмикачем URTK/S</t>
  </si>
  <si>
    <t>20/42</t>
  </si>
  <si>
    <t xml:space="preserve"> Перемичка FB 10-RTK/S</t>
  </si>
  <si>
    <t>21/43</t>
  </si>
  <si>
    <t xml:space="preserve"> Кінцева пластина D-URТК</t>
  </si>
  <si>
    <t>22/44</t>
  </si>
  <si>
    <t xml:space="preserve"> Маркувальні пластини UC-TM 8</t>
  </si>
  <si>
    <t>24/46</t>
  </si>
  <si>
    <t xml:space="preserve"> Клема прохідна гвинтова UT 2,5</t>
  </si>
  <si>
    <t>25/47</t>
  </si>
  <si>
    <t xml:space="preserve"> Перемичка FBS2-5</t>
  </si>
  <si>
    <t>26/48</t>
  </si>
  <si>
    <t xml:space="preserve"> Кінцева пластина D-UT 2.5/10</t>
  </si>
  <si>
    <t>27/49</t>
  </si>
  <si>
    <t xml:space="preserve"> Маркувальні пластини UC-TM 5</t>
  </si>
  <si>
    <t>28/50</t>
  </si>
  <si>
    <t xml:space="preserve"> Кінцевий стопор CLIPFIX 35</t>
  </si>
  <si>
    <t>32/63</t>
  </si>
  <si>
    <t xml:space="preserve"> Маркування обладнання US-EML</t>
  </si>
  <si>
    <t>33/64</t>
  </si>
  <si>
    <t xml:space="preserve"> Маркування провідників UCT-WMS 3.2</t>
  </si>
  <si>
    <t>35/67</t>
  </si>
  <si>
    <t xml:space="preserve"> DIN-рейка , з перфорацієй 2000 мм</t>
  </si>
  <si>
    <t>1/5</t>
  </si>
  <si>
    <t xml:space="preserve"> Вимірювальний пристрій Satec PM2220</t>
  </si>
  <si>
    <t xml:space="preserve"> Базовий модуль ECOR-2-BSC2-RT/2X21</t>
  </si>
  <si>
    <t>3/44</t>
  </si>
  <si>
    <t xml:space="preserve"> Клема з розмикачем UT 4-QUATTRO-MT</t>
  </si>
  <si>
    <t>Локальний кошторис
02-01-038 
на Устаткування автоматизованої системи
технічного обліку (АСТОЕ)</t>
  </si>
  <si>
    <t xml:space="preserve"> Шафа диспетчеризації та автоматизації ШДА-1</t>
  </si>
  <si>
    <t xml:space="preserve"> Шафа диспетчеризації та автоматизації ШДА-2</t>
  </si>
  <si>
    <t>Локальний кошторис
02-01-040 
на Устаткування автоматизації
технологічних процесів АТХ</t>
  </si>
  <si>
    <t xml:space="preserve">Додатковий локальний кошторис
02-01-046 
на Додаткові роботи ГПП </t>
  </si>
  <si>
    <t xml:space="preserve"> Арматура 12 мм А-500С</t>
  </si>
  <si>
    <t>7/7</t>
  </si>
  <si>
    <t xml:space="preserve"> Бетон С20/25</t>
  </si>
  <si>
    <t xml:space="preserve"> Плита OSB 3/18 мм 2,5*1,25</t>
  </si>
  <si>
    <t>9/9</t>
  </si>
  <si>
    <t xml:space="preserve"> Брус 50х50х4000</t>
  </si>
  <si>
    <t xml:space="preserve"> Ceresit CX25 швиткотвердіюча ремонтна суміш</t>
  </si>
  <si>
    <t>00-00005294</t>
  </si>
  <si>
    <t>АВВГнг 1х800 кабель</t>
  </si>
  <si>
    <t>00-00003915</t>
  </si>
  <si>
    <t>Аргон перший сорт 99,987 40л 6,2куб м</t>
  </si>
  <si>
    <t>балон</t>
  </si>
  <si>
    <t>00-00005122</t>
  </si>
  <si>
    <t>Відвід сталевий 90 ° 89*3 безшов</t>
  </si>
  <si>
    <t>00-00005714</t>
  </si>
  <si>
    <t>Відвід сталевий 90 ° Дн 273*8  250 безшов</t>
  </si>
  <si>
    <t>00-00004718</t>
  </si>
  <si>
    <t>Ворота розпашні з вентиляційною решіткою -3050*3640мм (комплект, із замком та петлями)</t>
  </si>
  <si>
    <t>00-00005498</t>
  </si>
  <si>
    <t>Гайка М6 з рискою перешкода відкручув</t>
  </si>
  <si>
    <t>00000022005</t>
  </si>
  <si>
    <t>Гайка М8</t>
  </si>
  <si>
    <t>00-00005407</t>
  </si>
  <si>
    <t>Дообладнання ГРЩ-2 215-2021-ЕМ1</t>
  </si>
  <si>
    <t>00-00005633</t>
  </si>
  <si>
    <t>Дообладнання комірок 2-ї секції ТП-2 215-2021-ЕМ2</t>
  </si>
  <si>
    <t>00-00005405</t>
  </si>
  <si>
    <t>Дообладнання ШУ-2 215-2021-ЕМ1</t>
  </si>
  <si>
    <t>00-00005406</t>
  </si>
  <si>
    <t>Дообладнання ШУН 215-2021-ЕМ1</t>
  </si>
  <si>
    <t>00-00005637</t>
  </si>
  <si>
    <t>Дообладнання ШЧП 215-2021-ЕМ1.1</t>
  </si>
  <si>
    <t>00-00005706</t>
  </si>
  <si>
    <t>Електрод вольфрам WR2 D 2.0/175</t>
  </si>
  <si>
    <t>00000005970</t>
  </si>
  <si>
    <t>Діоксид вуглецю газоподібний, 20 кг</t>
  </si>
  <si>
    <t>00-00005625</t>
  </si>
  <si>
    <t>Шафа ШАВР-Г 215-2021-ЕМ1.1</t>
  </si>
  <si>
    <t>00-00005626</t>
  </si>
  <si>
    <t>Шафа ШВП 215-2021-ЕМ2</t>
  </si>
  <si>
    <t>00-00005623</t>
  </si>
  <si>
    <t>Шафа ШВП-1 215-2021-ЕП1</t>
  </si>
  <si>
    <t>00-00005408</t>
  </si>
  <si>
    <t>Шафа ШВП-Г2 215-2021 ЕМ1</t>
  </si>
  <si>
    <t>00-00005628</t>
  </si>
  <si>
    <t>Шафа ШДА-1 215-2021-АСТОЕ</t>
  </si>
  <si>
    <t>00-00005629</t>
  </si>
  <si>
    <t>Шафа ШДА-2 215-2021-АСТОЕ</t>
  </si>
  <si>
    <t>00-00005630</t>
  </si>
  <si>
    <t>Шафа ШДА-PLC 215-2021-АТХ</t>
  </si>
  <si>
    <t xml:space="preserve"> Шафа диспетчеризації та автоматизації ШДА-PLC
</t>
  </si>
  <si>
    <t>00-00005624</t>
  </si>
  <si>
    <t>Шафа ШКО 215-2021-ЕП1</t>
  </si>
  <si>
    <t>Шафа ШО 215-2021-ЕО</t>
  </si>
  <si>
    <t>00-00005634</t>
  </si>
  <si>
    <t>00-00005635</t>
  </si>
  <si>
    <t xml:space="preserve">Шафа ШОА 215-2021-ЕО </t>
  </si>
  <si>
    <t>00-00005403</t>
  </si>
  <si>
    <t>Шафа ШТВП-1(2) 215-2021-ЕП1</t>
  </si>
  <si>
    <t>00-00005636</t>
  </si>
  <si>
    <t>Шафа ШУ-1 215-2021-ЕМ1.1</t>
  </si>
  <si>
    <t>00-00005627</t>
  </si>
  <si>
    <t>Шафа ШУВ-Т 215-2021-ЕМ2</t>
  </si>
  <si>
    <t>00-00005409</t>
  </si>
  <si>
    <t>Шафа ЩО 215-2021-ЕМ2</t>
  </si>
  <si>
    <t>00-00005410</t>
  </si>
  <si>
    <t>Шафа ЩОА 215-2021-ЕМ2</t>
  </si>
  <si>
    <t>00-00005631</t>
  </si>
  <si>
    <t>Пристрій комплектний силовий розподил 1-а секція 0,4кВ 2500А РОБ 215-2021-ЕМ2 РУНН 2ТП</t>
  </si>
  <si>
    <t>00-00005416</t>
  </si>
  <si>
    <t>Пристрій релейного захісту REL52001  P3U30-5AAA3BCAA</t>
  </si>
  <si>
    <t>00-00005282</t>
  </si>
  <si>
    <t>Модуль комутаційний КСО2-10/1000 на базі вакуум вимикача ВВ/TEL-10</t>
  </si>
  <si>
    <t>00-00005283</t>
  </si>
  <si>
    <t>Модуль комутаційний КСО272-10-20/1000 на базі вакуум вимикача ВВ/TEL-10</t>
  </si>
  <si>
    <t>00-00005383</t>
  </si>
  <si>
    <t>Обмежувач перенапруги ОПН-П-6/7,2/10/550-04 УХЛ2</t>
  </si>
  <si>
    <t>00-00005549</t>
  </si>
  <si>
    <t>Трансформатор струму TCHS2-12-02.06.3-1000//5-0.5SFS4//0.5SFS4//10P15-10//15//15</t>
  </si>
  <si>
    <t>00-00005550</t>
  </si>
  <si>
    <t>Трансформатор струму нульової послідовності ТЗЛУ-205-1-30//1</t>
  </si>
  <si>
    <t>00-00005415</t>
  </si>
  <si>
    <t>Шафа ЯЗО Т-1(Т-2) 215-2021-ЕП1</t>
  </si>
  <si>
    <t>00-00005404</t>
  </si>
  <si>
    <t>Шафа ЯЗО ТС-ТВП-1(2) 215-2021-ЕП1</t>
  </si>
  <si>
    <t>00-00005414</t>
  </si>
  <si>
    <t>Шафа ЯЗ-Т1 Т2 215-2021-ЕП1</t>
  </si>
  <si>
    <t>00-00005412</t>
  </si>
  <si>
    <t>Шафа ЩО ГРП-2 6КВ 215-2021-ЕП2</t>
  </si>
  <si>
    <t>00-00005413</t>
  </si>
  <si>
    <t>Шафа ЩОА ГРП-2 6КВ 215-2021-ЕП2</t>
  </si>
  <si>
    <t>00-00005178</t>
  </si>
  <si>
    <t>Світильник ДСП 11-30-211</t>
  </si>
  <si>
    <t>00-00005707</t>
  </si>
  <si>
    <t>Пруток зварювальний діам 2,4*1000</t>
  </si>
  <si>
    <t>00-00005272</t>
  </si>
  <si>
    <t>Клема вимірювальна URTK/S</t>
  </si>
  <si>
    <t>00-00005268</t>
  </si>
  <si>
    <t>Клема з розмикачем UT 4QUATTRO-MT</t>
  </si>
  <si>
    <t>00000006205</t>
  </si>
  <si>
    <t>Клема прохідна UT  2,5</t>
  </si>
  <si>
    <t>00-00005603</t>
  </si>
  <si>
    <t>Конденсатовідник біметалев фланц ВК45, DN25, PN40</t>
  </si>
  <si>
    <t>00-00005604</t>
  </si>
  <si>
    <t>Кран кульов фланц 685" н/ж DN25</t>
  </si>
  <si>
    <t>00-00005277</t>
  </si>
  <si>
    <t>Маркування для клем UC-TM 5 96 ел</t>
  </si>
  <si>
    <t>00-00005606</t>
  </si>
  <si>
    <t>Засувка 30с941нж Ду250 з електроприводом BF-9032.300N  9032 N 13 2 3 1 5 30 04 0</t>
  </si>
  <si>
    <t>00-00005411</t>
  </si>
  <si>
    <t>Шафа ЩР-1 215-2021-ЕМ1</t>
  </si>
  <si>
    <t>00000012619</t>
  </si>
  <si>
    <t>Швелер г/к № 30 У ст.3ПС</t>
  </si>
  <si>
    <t>00-00005717</t>
  </si>
  <si>
    <t xml:space="preserve">Швидкотверд ремонт суміш Ceresit СХ25 25 кг  </t>
  </si>
  <si>
    <t>00-00004785</t>
  </si>
  <si>
    <t xml:space="preserve">Лист 4 (рифл) ((1,25*6,0) </t>
  </si>
  <si>
    <t>00-00005632</t>
  </si>
  <si>
    <t>Зміна шин збірних в існ комірках №№01-04 з АДЗ31 60*6 870А на  60*10 1155А та лінійних в існ комірці</t>
  </si>
  <si>
    <t>00000014864</t>
  </si>
  <si>
    <t>Грунтовка ГФ-021 сіра 50кг</t>
  </si>
  <si>
    <t>00-00005453</t>
  </si>
  <si>
    <t>Перетворювач іржі 4,5л/4,5кг</t>
  </si>
  <si>
    <t>00000019218</t>
  </si>
  <si>
    <t>Шайба М8 вузька DIN 125</t>
  </si>
  <si>
    <t>00-00005382</t>
  </si>
  <si>
    <t>Модуль базовий для реле ECOR-2BSC2-RT/2X21</t>
  </si>
  <si>
    <t>00-00005275</t>
  </si>
  <si>
    <t>Маркування для клем UC-TM 8 56 ел</t>
  </si>
  <si>
    <t>00-00005271</t>
  </si>
  <si>
    <t>Маркування для клем 80ел UC-TM6</t>
  </si>
  <si>
    <t>00-00005115</t>
  </si>
  <si>
    <t>Фланець Ду25 Ру16 комірний</t>
  </si>
  <si>
    <t>00000001551</t>
  </si>
  <si>
    <t>Цемент М500 25 кг</t>
  </si>
  <si>
    <t>00000013950</t>
  </si>
  <si>
    <t>Щебінь фракції 5-10</t>
  </si>
  <si>
    <t>00-00004783</t>
  </si>
  <si>
    <t>Труба проф 20х20х2 6м</t>
  </si>
  <si>
    <t>00-00001556</t>
  </si>
  <si>
    <t>лист ПВЛ 406х1250х2500 мм</t>
  </si>
  <si>
    <t>00000017910</t>
  </si>
  <si>
    <t>Круг відрізний 125*1,6*22</t>
  </si>
  <si>
    <t>00000014439</t>
  </si>
  <si>
    <t xml:space="preserve">Круг зачисний армований 125х6,0х22 14А </t>
  </si>
  <si>
    <t>00000002533</t>
  </si>
  <si>
    <t xml:space="preserve">Круг зачисний по металу 230х6,0х22 </t>
  </si>
  <si>
    <t>00000018640</t>
  </si>
  <si>
    <t>Емаль ПФ-115 сіра  (50кг) ПРМ ДК</t>
  </si>
  <si>
    <t>00000017088</t>
  </si>
  <si>
    <t>Кутики 100х100х7 мм; ст. 3пс5; 12 м</t>
  </si>
  <si>
    <t>00-00005704</t>
  </si>
  <si>
    <t>Сопло №6 керамічне NW9.5/47мм</t>
  </si>
  <si>
    <t>00-00005495</t>
  </si>
  <si>
    <t>Скоба такелажна G-2130 1/2" 2,0 тн</t>
  </si>
  <si>
    <t>00000012070</t>
  </si>
  <si>
    <t>Вода питна, 18,9 л</t>
  </si>
  <si>
    <t>00-00005460</t>
  </si>
  <si>
    <t>Диск алмазний 1A1R 115</t>
  </si>
  <si>
    <t>00000003748</t>
  </si>
  <si>
    <t>Маска захисна з клапаном</t>
  </si>
  <si>
    <t>00-00005185</t>
  </si>
  <si>
    <t>Пісок прожарений ДСТУ БВ.2.7.-32-95</t>
  </si>
  <si>
    <t>00000018586</t>
  </si>
  <si>
    <t>Стяжка кабельна (хомут) біла 4х200 (3,6х200мм) (100шт) TAKEL</t>
  </si>
  <si>
    <t>00-00000896</t>
  </si>
  <si>
    <t xml:space="preserve">Рукавички трикотажні </t>
  </si>
  <si>
    <t>00-00005576</t>
  </si>
  <si>
    <t xml:space="preserve">ОСБ 18 мм </t>
  </si>
  <si>
    <t>00000006726</t>
  </si>
  <si>
    <t>Саморіз  гіпсокарт.дерево 4,2*76</t>
  </si>
  <si>
    <t>00-00005705</t>
  </si>
  <si>
    <t>Цанга WE d2.0/50мм</t>
  </si>
  <si>
    <t>00-00005510</t>
  </si>
  <si>
    <t>Наконечник втулковий ізольований 1,5/8 чорний уп.-100шт чорний</t>
  </si>
  <si>
    <t>паков</t>
  </si>
  <si>
    <t>00-00005511</t>
  </si>
  <si>
    <t>Наконечник втулковий ізольований 2,5/8 чорний уп.-100шт чорний</t>
  </si>
  <si>
    <t>00-00005512</t>
  </si>
  <si>
    <t>Наконечник втулковий ізольований 4/10 чорний уп.-100шт чорний</t>
  </si>
  <si>
    <t>00-00005508</t>
  </si>
  <si>
    <t>Наконечник ізольований</t>
  </si>
  <si>
    <t>00-00005279</t>
  </si>
  <si>
    <t>Маркування самоклеюче 80 ел US-EML 17.5X8</t>
  </si>
  <si>
    <t>Ізоляційна стрічка 0,13*15 10 м чорна</t>
  </si>
  <si>
    <t>00-00005284</t>
  </si>
  <si>
    <t>Модуль реле RIF-2-RSC-LV-230AC/4X21</t>
  </si>
  <si>
    <t>00-00005378</t>
  </si>
  <si>
    <t>Гніздо  ВЕВ/ABI-ІF 10-25</t>
  </si>
  <si>
    <t>До Акту № 3.1 ( 12 324,50 грн)</t>
  </si>
  <si>
    <t>Локальний кошторис 02-01-01 
на Влаштування фундамента під кран- балку та турбіну</t>
  </si>
  <si>
    <t>Грунтовка глибокопроникна Ceresit CT 14, 5 л</t>
  </si>
  <si>
    <t>Локальний кошторис 02-01-02 
на Влаштування металоконструкцій
площадок, огорож та сходів в машинному
залі</t>
  </si>
  <si>
    <t>+</t>
  </si>
  <si>
    <t>досписать</t>
  </si>
  <si>
    <t>Щітка чашкова 100 мм для КШМ, М14</t>
  </si>
  <si>
    <t>До Акту № 3 (878 500,36 грн)</t>
  </si>
  <si>
    <t>пересорт</t>
  </si>
  <si>
    <t>До Акту № 3 (59 678,64 грн)</t>
  </si>
  <si>
    <t>материал подрядчика</t>
  </si>
  <si>
    <t>До Акту № 3 (34 902,31 грн)</t>
  </si>
  <si>
    <t>До Акту № 3 (718 425,36 грн)</t>
  </si>
  <si>
    <t>досписать (15.08. есть на приходе)</t>
  </si>
  <si>
    <t>согласование ПМ</t>
  </si>
  <si>
    <t>До Акту № 3 (383 834,03 грн)</t>
  </si>
  <si>
    <t>нет на приходе. Досписать</t>
  </si>
  <si>
    <t>До Акту № 3 (611 563,93 грн)</t>
  </si>
  <si>
    <t>Досписать. Есть на приходе от 15.08</t>
  </si>
  <si>
    <t xml:space="preserve">Досписать. </t>
  </si>
  <si>
    <t>списываться не будет, не закупалось. Использовался  лист рифленный с дальнейшим использованием</t>
  </si>
  <si>
    <t>материал Подрядчика</t>
  </si>
  <si>
    <t>Локальний кошторис 02-01-016 
на Загальнобудівельні роботи по
влаштуванню приміщення ТП 2</t>
  </si>
  <si>
    <t>До Акту № 3 (232 005,55 грн)</t>
  </si>
  <si>
    <t>До Акту № 3 (7303,60 грн)</t>
  </si>
  <si>
    <t>материал входит в работу  и выставлен на Заказчика в составе работ 3870 грн/т</t>
  </si>
  <si>
    <t>До Акту № 4 (198 934,63 грн)</t>
  </si>
  <si>
    <t>До Акту № 4 (2 341 190,92 грн)</t>
  </si>
  <si>
    <t>До Акту № 4 (1 108 232,34 грн)</t>
  </si>
  <si>
    <t>досписать (есть на приходе 15.08)</t>
  </si>
  <si>
    <t>не закупалось</t>
  </si>
  <si>
    <t>До Акту № 4 (290 354,76 грн)</t>
  </si>
  <si>
    <t>досписать 220 шт</t>
  </si>
  <si>
    <t>До Акту № 4 (2 259 560,6)</t>
  </si>
  <si>
    <t>ДОСПИСАТЬ (есть на остатках от 15.08)</t>
  </si>
  <si>
    <t>До Акту № 4 (125 679,28 грн)</t>
  </si>
  <si>
    <t>До Акту № 4 (4 533 614,66)</t>
  </si>
  <si>
    <t>До Акту № 4 (417 505,73 грн)</t>
  </si>
  <si>
    <t>Досписать</t>
  </si>
  <si>
    <t>До Акту № 4 (776 112,92 грн)</t>
  </si>
  <si>
    <t>До Акту № 4 (309 001,28 грн)</t>
  </si>
  <si>
    <t>До Акту № 4 (490 884,73 грн)</t>
  </si>
  <si>
    <t>До Акту № 4 (26 074,79 грн)</t>
  </si>
  <si>
    <t>До Акту № 4 (250 793,71 грн)</t>
  </si>
  <si>
    <t>не покупали</t>
  </si>
  <si>
    <t>00-00003634</t>
  </si>
  <si>
    <t>00-00004004</t>
  </si>
  <si>
    <t>Стрижень М 10 4.8 1м цб  DIN 975</t>
  </si>
  <si>
    <t>Стрижень М 8 2м 4,8цб  DIN 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</si>
</sst>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\ _₽_-;\-* #,##0.00\ _₽_-;_-* &quot;-&quot;??\ _₽_-;_-@_-"/>
    <numFmt numFmtId="164" formatCode="_-* #,##0.00_-;\-* #,##0.00_-;_-* &quot;-&quot;??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_-* #,##0.00_₴_-;\-* #,##0.00_₴_-;_-* &quot;-&quot;??_₴_-;_-@_-"/>
    <numFmt numFmtId="168" formatCode="0.000"/>
    <numFmt numFmtId="169" formatCode="00000000000"/>
    <numFmt numFmtId="170" formatCode="_-* #,##0.000\ _₽_-;\-* #,##0.000\ _₽_-;_-* &quot;-&quot;??\ _₽_-;_-@_-"/>
    <numFmt numFmtId="171" formatCode="0.0000"/>
    <numFmt numFmtId="172" formatCode="0.0"/>
    <numFmt numFmtId="173" formatCode="0.000000"/>
    <numFmt numFmtId="174" formatCode="_-* #,##0.0000_-;\-* #,##0.0000_-;_-* &quot;-&quot;??_-;_-@_-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Arial Cyr"/>
      <charset val="204"/>
    </font>
    <font>
      <b/>
      <sz val="12"/>
      <name val="Arial Cyr"/>
      <charset val="204"/>
    </font>
    <font>
      <sz val="10"/>
      <name val="Arial"/>
      <family val="2"/>
      <charset val="204"/>
    </font>
    <font>
      <sz val="10"/>
      <name val="Tahoma"/>
      <family val="2"/>
      <charset val="204"/>
    </font>
    <font>
      <sz val="10"/>
      <name val="Arial Cyr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</font>
    <font>
      <sz val="11"/>
      <color theme="1"/>
      <name val="Times New Roman"/>
      <family val="2"/>
      <charset val="1"/>
    </font>
    <font>
      <sz val="8"/>
      <name val="Arial"/>
      <family val="2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2"/>
      <color indexed="8"/>
      <name val="Verdana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8"/>
      <color indexed="12"/>
      <name val="Calibri"/>
      <family val="2"/>
      <charset val="204"/>
    </font>
    <font>
      <b/>
      <sz val="10"/>
      <color rgb="FFFF0000"/>
      <name val="Arial Cyr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0"/>
      <color indexed="8"/>
      <name val="Arial Cyr"/>
      <charset val="204"/>
    </font>
    <font>
      <sz val="11"/>
      <color rgb="FFFF0000"/>
      <name val="Calibri"/>
      <family val="2"/>
      <scheme val="minor"/>
    </font>
    <font>
      <b/>
      <i/>
      <sz val="12"/>
      <color theme="1"/>
      <name val="Times New Roman"/>
      <family val="1"/>
      <charset val="204"/>
    </font>
    <font>
      <b/>
      <u/>
      <sz val="10"/>
      <color indexed="8"/>
      <name val="Arial Cyr"/>
      <charset val="204"/>
    </font>
    <font>
      <b/>
      <i/>
      <sz val="10"/>
      <color indexed="8"/>
      <name val="Arial Cyr"/>
      <charset val="204"/>
    </font>
    <font>
      <b/>
      <i/>
      <u/>
      <sz val="10"/>
      <color indexed="8"/>
      <name val="Arial Cyr"/>
      <charset val="204"/>
    </font>
    <font>
      <sz val="10"/>
      <color rgb="FFFF0000"/>
      <name val="Arial Cyr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color indexed="8"/>
      <name val="Arial Cyr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7D8AB9"/>
      </left>
      <right/>
      <top style="thin">
        <color rgb="FF7D8AB9"/>
      </top>
      <bottom style="thin">
        <color rgb="FF7D8AB9"/>
      </bottom>
      <diagonal/>
    </border>
    <border>
      <left style="thin">
        <color indexed="28"/>
      </left>
      <right/>
      <top style="thin">
        <color indexed="28"/>
      </top>
      <bottom style="thin">
        <color indexed="28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28"/>
      </left>
      <right/>
      <top/>
      <bottom style="thin">
        <color indexed="28"/>
      </bottom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 style="thin">
        <color indexed="28"/>
      </left>
      <right style="medium">
        <color indexed="64"/>
      </right>
      <top style="medium">
        <color indexed="64"/>
      </top>
      <bottom/>
      <diagonal/>
    </border>
    <border>
      <left style="thin">
        <color indexed="28"/>
      </left>
      <right style="medium">
        <color indexed="64"/>
      </right>
      <top/>
      <bottom/>
      <diagonal/>
    </border>
  </borders>
  <cellStyleXfs count="100">
    <xf numFmtId="0" fontId="0" fillId="0" borderId="0"/>
    <xf numFmtId="166" fontId="9" fillId="0" borderId="0" applyFont="0" applyFill="0" applyBorder="0" applyAlignment="0" applyProtection="0"/>
    <xf numFmtId="0" fontId="7" fillId="0" borderId="0"/>
    <xf numFmtId="0" fontId="16" fillId="0" borderId="0"/>
    <xf numFmtId="0" fontId="17" fillId="0" borderId="0">
      <alignment vertical="top"/>
    </xf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7" fillId="0" borderId="0">
      <alignment vertical="top"/>
    </xf>
    <xf numFmtId="0" fontId="22" fillId="0" borderId="0"/>
    <xf numFmtId="0" fontId="7" fillId="0" borderId="0"/>
    <xf numFmtId="0" fontId="4" fillId="0" borderId="0"/>
    <xf numFmtId="0" fontId="23" fillId="0" borderId="0"/>
    <xf numFmtId="0" fontId="3" fillId="0" borderId="0"/>
    <xf numFmtId="168" fontId="26" fillId="0" borderId="0"/>
    <xf numFmtId="0" fontId="24" fillId="0" borderId="0">
      <alignment horizontal="left" vertical="center"/>
    </xf>
    <xf numFmtId="0" fontId="24" fillId="0" borderId="2">
      <alignment horizontal="right" vertical="center"/>
    </xf>
    <xf numFmtId="0" fontId="24" fillId="0" borderId="2">
      <alignment horizontal="right" vertical="center" wrapText="1"/>
    </xf>
    <xf numFmtId="0" fontId="24" fillId="0" borderId="3">
      <alignment horizontal="center" vertical="center" wrapText="1"/>
    </xf>
    <xf numFmtId="0" fontId="24" fillId="0" borderId="4">
      <alignment horizontal="center" vertical="center" wrapText="1"/>
    </xf>
    <xf numFmtId="0" fontId="24" fillId="0" borderId="5">
      <alignment horizontal="center" vertical="center" wrapText="1"/>
    </xf>
    <xf numFmtId="0" fontId="25" fillId="0" borderId="0">
      <alignment horizontal="left" vertical="center"/>
    </xf>
    <xf numFmtId="0" fontId="24" fillId="0" borderId="3">
      <alignment horizontal="left" vertical="center" wrapText="1"/>
    </xf>
    <xf numFmtId="0" fontId="24" fillId="0" borderId="6">
      <alignment horizontal="left" vertical="center" wrapText="1"/>
    </xf>
    <xf numFmtId="0" fontId="24" fillId="0" borderId="6">
      <alignment horizontal="center" vertical="center" wrapText="1"/>
    </xf>
    <xf numFmtId="0" fontId="24" fillId="0" borderId="6">
      <alignment horizontal="center" vertical="center" wrapText="1"/>
    </xf>
    <xf numFmtId="0" fontId="24" fillId="0" borderId="7">
      <alignment horizontal="left" vertical="center" wrapText="1"/>
    </xf>
    <xf numFmtId="0" fontId="24" fillId="0" borderId="7">
      <alignment horizontal="center" vertical="center" wrapText="1"/>
    </xf>
    <xf numFmtId="0" fontId="24" fillId="0" borderId="7">
      <alignment horizontal="center" vertical="center" wrapText="1"/>
    </xf>
    <xf numFmtId="0" fontId="25" fillId="0" borderId="8">
      <alignment horizontal="left" vertical="center" wrapText="1"/>
    </xf>
    <xf numFmtId="0" fontId="25" fillId="0" borderId="8">
      <alignment horizontal="center" vertical="center" wrapText="1"/>
    </xf>
    <xf numFmtId="0" fontId="25" fillId="0" borderId="8">
      <alignment horizontal="center" vertical="center" wrapText="1"/>
    </xf>
    <xf numFmtId="0" fontId="25" fillId="0" borderId="0">
      <alignment horizontal="right" vertical="center"/>
    </xf>
    <xf numFmtId="0" fontId="24" fillId="0" borderId="9">
      <alignment horizontal="left" vertical="center" wrapText="1"/>
    </xf>
    <xf numFmtId="0" fontId="24" fillId="0" borderId="9">
      <alignment horizontal="center" vertical="center" wrapText="1"/>
    </xf>
    <xf numFmtId="0" fontId="24" fillId="0" borderId="9">
      <alignment horizontal="center" vertical="center" wrapText="1"/>
    </xf>
    <xf numFmtId="0" fontId="24" fillId="0" borderId="10">
      <alignment horizontal="left" vertical="center" wrapText="1"/>
    </xf>
    <xf numFmtId="0" fontId="24" fillId="0" borderId="10">
      <alignment horizontal="center" vertical="center" wrapText="1"/>
    </xf>
    <xf numFmtId="0" fontId="24" fillId="0" borderId="10">
      <alignment horizontal="center" vertical="center" wrapText="1"/>
    </xf>
    <xf numFmtId="0" fontId="24" fillId="0" borderId="11">
      <alignment horizontal="left" vertical="center" wrapText="1"/>
    </xf>
    <xf numFmtId="0" fontId="24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center" vertical="center" wrapText="1"/>
    </xf>
    <xf numFmtId="0" fontId="24" fillId="0" borderId="2">
      <alignment horizontal="left" vertical="center"/>
    </xf>
    <xf numFmtId="0" fontId="27" fillId="0" borderId="0"/>
    <xf numFmtId="0" fontId="18" fillId="0" borderId="0"/>
    <xf numFmtId="0" fontId="18" fillId="0" borderId="0"/>
    <xf numFmtId="0" fontId="9" fillId="0" borderId="0"/>
    <xf numFmtId="0" fontId="21" fillId="0" borderId="0"/>
    <xf numFmtId="0" fontId="21" fillId="0" borderId="0"/>
    <xf numFmtId="0" fontId="3" fillId="0" borderId="0"/>
    <xf numFmtId="0" fontId="9" fillId="0" borderId="0"/>
    <xf numFmtId="0" fontId="28" fillId="0" borderId="0" applyNumberFormat="0" applyFill="0" applyBorder="0" applyProtection="0">
      <alignment vertical="top" wrapText="1"/>
    </xf>
    <xf numFmtId="166" fontId="28" fillId="0" borderId="0" applyFont="0" applyFill="0" applyBorder="0" applyAlignment="0" applyProtection="0"/>
    <xf numFmtId="0" fontId="28" fillId="0" borderId="0" applyNumberFormat="0" applyFill="0" applyBorder="0" applyProtection="0">
      <alignment vertical="top" wrapText="1"/>
    </xf>
    <xf numFmtId="0" fontId="28" fillId="0" borderId="0" applyNumberFormat="0" applyFill="0" applyBorder="0" applyProtection="0">
      <alignment vertical="top" wrapText="1"/>
    </xf>
    <xf numFmtId="0" fontId="16" fillId="0" borderId="0"/>
    <xf numFmtId="0" fontId="18" fillId="0" borderId="0"/>
    <xf numFmtId="0" fontId="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" fillId="0" borderId="0"/>
    <xf numFmtId="0" fontId="16" fillId="0" borderId="0"/>
    <xf numFmtId="0" fontId="16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17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17" fillId="0" borderId="0">
      <alignment vertical="top"/>
    </xf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7" fillId="0" borderId="0" applyFont="0" applyFill="0" applyBorder="0" applyAlignment="0" applyProtection="0"/>
    <xf numFmtId="0" fontId="1" fillId="0" borderId="0"/>
  </cellStyleXfs>
  <cellXfs count="327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7" fontId="8" fillId="0" borderId="0" xfId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0" fillId="0" borderId="0" xfId="0" applyFont="1"/>
    <xf numFmtId="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/>
    <xf numFmtId="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top" wrapText="1"/>
    </xf>
    <xf numFmtId="0" fontId="0" fillId="3" borderId="12" xfId="0" applyFill="1" applyBorder="1" applyAlignment="1">
      <alignment horizontal="center" vertical="center"/>
    </xf>
    <xf numFmtId="0" fontId="29" fillId="4" borderId="24" xfId="0" applyFont="1" applyFill="1" applyBorder="1" applyAlignment="1">
      <alignment horizontal="center" vertical="center"/>
    </xf>
    <xf numFmtId="49" fontId="33" fillId="5" borderId="22" xfId="96" applyNumberFormat="1" applyFont="1" applyFill="1" applyBorder="1" applyAlignment="1">
      <alignment horizontal="center" vertical="center"/>
    </xf>
    <xf numFmtId="49" fontId="34" fillId="5" borderId="23" xfId="0" applyNumberFormat="1" applyFont="1" applyFill="1" applyBorder="1" applyAlignment="1">
      <alignment horizontal="left" vertical="center" wrapText="1"/>
    </xf>
    <xf numFmtId="4" fontId="34" fillId="5" borderId="23" xfId="0" applyNumberFormat="1" applyFont="1" applyFill="1" applyBorder="1" applyAlignment="1">
      <alignment horizontal="center" vertical="center" wrapText="1"/>
    </xf>
    <xf numFmtId="4" fontId="34" fillId="5" borderId="23" xfId="0" applyNumberFormat="1" applyFont="1" applyFill="1" applyBorder="1" applyAlignment="1">
      <alignment horizontal="center" vertical="center"/>
    </xf>
    <xf numFmtId="4" fontId="34" fillId="5" borderId="24" xfId="0" applyNumberFormat="1" applyFont="1" applyFill="1" applyBorder="1" applyAlignment="1">
      <alignment horizontal="center" vertical="center"/>
    </xf>
    <xf numFmtId="169" fontId="35" fillId="5" borderId="22" xfId="0" applyNumberFormat="1" applyFont="1" applyFill="1" applyBorder="1" applyAlignment="1">
      <alignment horizontal="left" vertical="top" wrapText="1"/>
    </xf>
    <xf numFmtId="0" fontId="35" fillId="5" borderId="23" xfId="0" applyFont="1" applyFill="1" applyBorder="1" applyAlignment="1">
      <alignment horizontal="left" vertical="top" wrapText="1"/>
    </xf>
    <xf numFmtId="4" fontId="35" fillId="5" borderId="23" xfId="0" applyNumberFormat="1" applyFont="1" applyFill="1" applyBorder="1" applyAlignment="1">
      <alignment horizontal="center" vertical="center" wrapText="1"/>
    </xf>
    <xf numFmtId="0" fontId="29" fillId="5" borderId="24" xfId="0" applyFont="1" applyFill="1" applyBorder="1" applyAlignment="1">
      <alignment horizontal="center" vertical="center"/>
    </xf>
    <xf numFmtId="169" fontId="35" fillId="4" borderId="29" xfId="0" applyNumberFormat="1" applyFont="1" applyFill="1" applyBorder="1" applyAlignment="1">
      <alignment horizontal="left" vertical="top" wrapText="1"/>
    </xf>
    <xf numFmtId="0" fontId="35" fillId="4" borderId="30" xfId="0" applyFont="1" applyFill="1" applyBorder="1" applyAlignment="1">
      <alignment horizontal="left" vertical="top" wrapText="1"/>
    </xf>
    <xf numFmtId="4" fontId="35" fillId="4" borderId="30" xfId="0" applyNumberFormat="1" applyFont="1" applyFill="1" applyBorder="1" applyAlignment="1">
      <alignment horizontal="center" vertical="center" wrapText="1"/>
    </xf>
    <xf numFmtId="49" fontId="33" fillId="4" borderId="29" xfId="96" applyNumberFormat="1" applyFont="1" applyFill="1" applyBorder="1" applyAlignment="1">
      <alignment horizontal="center" vertical="center"/>
    </xf>
    <xf numFmtId="49" fontId="34" fillId="4" borderId="30" xfId="0" applyNumberFormat="1" applyFont="1" applyFill="1" applyBorder="1" applyAlignment="1">
      <alignment horizontal="left" vertical="center" wrapText="1"/>
    </xf>
    <xf numFmtId="4" fontId="34" fillId="4" borderId="30" xfId="0" applyNumberFormat="1" applyFont="1" applyFill="1" applyBorder="1" applyAlignment="1">
      <alignment horizontal="center" vertical="center" wrapText="1"/>
    </xf>
    <xf numFmtId="4" fontId="34" fillId="4" borderId="30" xfId="0" applyNumberFormat="1" applyFont="1" applyFill="1" applyBorder="1" applyAlignment="1">
      <alignment horizontal="center" vertical="center"/>
    </xf>
    <xf numFmtId="4" fontId="34" fillId="4" borderId="31" xfId="0" applyNumberFormat="1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4" fontId="37" fillId="4" borderId="17" xfId="0" applyNumberFormat="1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left" vertical="center" wrapText="1"/>
    </xf>
    <xf numFmtId="169" fontId="37" fillId="4" borderId="16" xfId="0" applyNumberFormat="1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 wrapText="1"/>
    </xf>
    <xf numFmtId="170" fontId="39" fillId="3" borderId="12" xfId="98" applyNumberFormat="1" applyFont="1" applyFill="1" applyBorder="1" applyAlignment="1">
      <alignment vertical="center" wrapText="1"/>
    </xf>
    <xf numFmtId="164" fontId="39" fillId="3" borderId="12" xfId="98" applyFont="1" applyFill="1" applyBorder="1" applyAlignment="1">
      <alignment vertical="center" wrapText="1"/>
    </xf>
    <xf numFmtId="164" fontId="39" fillId="3" borderId="12" xfId="98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vertical="center" wrapText="1"/>
    </xf>
    <xf numFmtId="164" fontId="30" fillId="0" borderId="0" xfId="98" applyFont="1" applyAlignment="1">
      <alignment horizontal="left" vertical="top" wrapText="1"/>
    </xf>
    <xf numFmtId="165" fontId="0" fillId="0" borderId="0" xfId="0" applyNumberFormat="1"/>
    <xf numFmtId="4" fontId="37" fillId="4" borderId="33" xfId="0" applyNumberFormat="1" applyFont="1" applyFill="1" applyBorder="1" applyAlignment="1">
      <alignment horizontal="center" vertical="center" wrapText="1"/>
    </xf>
    <xf numFmtId="49" fontId="38" fillId="4" borderId="16" xfId="96" applyNumberFormat="1" applyFont="1" applyFill="1" applyBorder="1" applyAlignment="1">
      <alignment horizontal="center" vertical="center"/>
    </xf>
    <xf numFmtId="49" fontId="38" fillId="4" borderId="17" xfId="0" applyNumberFormat="1" applyFont="1" applyFill="1" applyBorder="1" applyAlignment="1">
      <alignment horizontal="center" vertical="center" wrapText="1"/>
    </xf>
    <xf numFmtId="4" fontId="38" fillId="4" borderId="17" xfId="0" applyNumberFormat="1" applyFont="1" applyFill="1" applyBorder="1" applyAlignment="1">
      <alignment horizontal="center" vertical="center" wrapText="1"/>
    </xf>
    <xf numFmtId="4" fontId="38" fillId="4" borderId="17" xfId="0" applyNumberFormat="1" applyFont="1" applyFill="1" applyBorder="1" applyAlignment="1">
      <alignment horizontal="center" vertical="center"/>
    </xf>
    <xf numFmtId="4" fontId="38" fillId="4" borderId="37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0" fillId="3" borderId="3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2" xfId="0" applyBorder="1"/>
    <xf numFmtId="49" fontId="39" fillId="3" borderId="12" xfId="0" applyNumberFormat="1" applyFont="1" applyFill="1" applyBorder="1" applyAlignment="1">
      <alignment horizontal="center" vertical="center" wrapText="1"/>
    </xf>
    <xf numFmtId="2" fontId="42" fillId="0" borderId="12" xfId="0" applyNumberFormat="1" applyFont="1" applyBorder="1" applyAlignment="1">
      <alignment horizontal="right" vertical="top" wrapText="1"/>
    </xf>
    <xf numFmtId="0" fontId="37" fillId="4" borderId="3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41" fillId="0" borderId="28" xfId="0" applyFont="1" applyBorder="1" applyAlignment="1">
      <alignment vertical="center"/>
    </xf>
    <xf numFmtId="0" fontId="0" fillId="0" borderId="12" xfId="0" applyNumberFormat="1" applyFont="1" applyBorder="1" applyAlignment="1">
      <alignment vertical="top" wrapText="1"/>
    </xf>
    <xf numFmtId="168" fontId="0" fillId="0" borderId="12" xfId="0" applyNumberFormat="1" applyFont="1" applyBorder="1" applyAlignment="1">
      <alignment horizontal="right" vertical="top"/>
    </xf>
    <xf numFmtId="2" fontId="0" fillId="0" borderId="12" xfId="0" applyNumberFormat="1" applyFont="1" applyBorder="1" applyAlignment="1">
      <alignment horizontal="right" vertical="top"/>
    </xf>
    <xf numFmtId="49" fontId="0" fillId="3" borderId="12" xfId="0" applyNumberFormat="1" applyFill="1" applyBorder="1" applyAlignment="1">
      <alignment horizontal="center" vertical="center"/>
    </xf>
    <xf numFmtId="0" fontId="42" fillId="0" borderId="33" xfId="0" applyFont="1" applyBorder="1" applyAlignment="1">
      <alignment horizontal="center" vertical="top" wrapText="1"/>
    </xf>
    <xf numFmtId="0" fontId="42" fillId="0" borderId="12" xfId="0" applyFont="1" applyBorder="1" applyAlignment="1">
      <alignment horizontal="center" vertical="top" wrapText="1"/>
    </xf>
    <xf numFmtId="0" fontId="42" fillId="0" borderId="12" xfId="0" applyFont="1" applyBorder="1" applyAlignment="1">
      <alignment horizontal="left" vertical="top" wrapText="1"/>
    </xf>
    <xf numFmtId="172" fontId="42" fillId="0" borderId="12" xfId="0" applyNumberFormat="1" applyFont="1" applyBorder="1" applyAlignment="1">
      <alignment horizontal="right" vertical="top" wrapText="1"/>
    </xf>
    <xf numFmtId="0" fontId="0" fillId="3" borderId="13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0" borderId="42" xfId="0" applyBorder="1" applyAlignment="1">
      <alignment horizontal="left" vertical="top" wrapText="1"/>
    </xf>
    <xf numFmtId="168" fontId="0" fillId="0" borderId="42" xfId="0" applyNumberFormat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0" fontId="0" fillId="0" borderId="43" xfId="0" applyBorder="1" applyAlignment="1">
      <alignment horizontal="left" vertical="top" wrapText="1"/>
    </xf>
    <xf numFmtId="2" fontId="0" fillId="0" borderId="42" xfId="0" applyNumberFormat="1" applyBorder="1" applyAlignment="1">
      <alignment horizontal="right" vertical="top"/>
    </xf>
    <xf numFmtId="0" fontId="0" fillId="0" borderId="12" xfId="0" applyFill="1" applyBorder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43" fillId="0" borderId="12" xfId="0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168" fontId="0" fillId="0" borderId="12" xfId="0" applyNumberFormat="1" applyFont="1" applyFill="1" applyBorder="1" applyAlignment="1">
      <alignment horizontal="left" vertical="top"/>
    </xf>
    <xf numFmtId="4" fontId="0" fillId="0" borderId="12" xfId="0" applyNumberFormat="1" applyFont="1" applyFill="1" applyBorder="1" applyAlignment="1">
      <alignment horizontal="left" vertical="top"/>
    </xf>
    <xf numFmtId="49" fontId="0" fillId="0" borderId="12" xfId="0" applyNumberForma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164" fontId="0" fillId="0" borderId="12" xfId="98" applyFont="1" applyFill="1" applyBorder="1" applyAlignment="1">
      <alignment horizontal="left" vertical="top"/>
    </xf>
    <xf numFmtId="164" fontId="0" fillId="0" borderId="12" xfId="98" applyFont="1" applyFill="1" applyBorder="1" applyAlignment="1">
      <alignment horizontal="left" vertical="center"/>
    </xf>
    <xf numFmtId="49" fontId="0" fillId="0" borderId="12" xfId="0" applyNumberForma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top" wrapText="1"/>
    </xf>
    <xf numFmtId="0" fontId="42" fillId="0" borderId="12" xfId="0" applyFont="1" applyFill="1" applyBorder="1" applyAlignment="1">
      <alignment horizontal="left" vertical="top" wrapText="1"/>
    </xf>
    <xf numFmtId="164" fontId="42" fillId="0" borderId="12" xfId="98" applyFont="1" applyFill="1" applyBorder="1" applyAlignment="1">
      <alignment horizontal="left" vertical="top" wrapText="1"/>
    </xf>
    <xf numFmtId="172" fontId="42" fillId="0" borderId="12" xfId="0" applyNumberFormat="1" applyFont="1" applyFill="1" applyBorder="1" applyAlignment="1">
      <alignment horizontal="right" vertical="top" wrapText="1"/>
    </xf>
    <xf numFmtId="2" fontId="42" fillId="0" borderId="12" xfId="0" applyNumberFormat="1" applyFont="1" applyFill="1" applyBorder="1" applyAlignment="1">
      <alignment horizontal="right" vertical="top" wrapText="1"/>
    </xf>
    <xf numFmtId="0" fontId="0" fillId="0" borderId="12" xfId="0" applyFill="1" applyBorder="1" applyAlignment="1">
      <alignment horizontal="center" vertical="top" wrapText="1"/>
    </xf>
    <xf numFmtId="168" fontId="0" fillId="0" borderId="12" xfId="0" applyNumberFormat="1" applyFill="1" applyBorder="1" applyAlignment="1">
      <alignment horizontal="center" vertical="top"/>
    </xf>
    <xf numFmtId="0" fontId="0" fillId="0" borderId="12" xfId="0" applyFill="1" applyBorder="1" applyAlignment="1">
      <alignment horizontal="left" vertical="top" wrapText="1"/>
    </xf>
    <xf numFmtId="0" fontId="42" fillId="0" borderId="33" xfId="0" applyFont="1" applyBorder="1" applyAlignment="1">
      <alignment horizontal="left" vertical="top" wrapText="1"/>
    </xf>
    <xf numFmtId="2" fontId="42" fillId="0" borderId="33" xfId="0" applyNumberFormat="1" applyFont="1" applyBorder="1" applyAlignment="1">
      <alignment horizontal="right" vertical="top" wrapText="1"/>
    </xf>
    <xf numFmtId="0" fontId="42" fillId="0" borderId="33" xfId="0" applyFont="1" applyBorder="1" applyAlignment="1">
      <alignment horizontal="right" vertical="top" wrapText="1"/>
    </xf>
    <xf numFmtId="49" fontId="38" fillId="4" borderId="12" xfId="96" applyNumberFormat="1" applyFont="1" applyFill="1" applyBorder="1" applyAlignment="1">
      <alignment horizontal="center" vertical="center"/>
    </xf>
    <xf numFmtId="49" fontId="38" fillId="4" borderId="12" xfId="0" applyNumberFormat="1" applyFont="1" applyFill="1" applyBorder="1" applyAlignment="1">
      <alignment horizontal="center" vertical="center" wrapText="1"/>
    </xf>
    <xf numFmtId="4" fontId="38" fillId="4" borderId="12" xfId="0" applyNumberFormat="1" applyFont="1" applyFill="1" applyBorder="1" applyAlignment="1">
      <alignment horizontal="center" vertical="center" wrapText="1"/>
    </xf>
    <xf numFmtId="4" fontId="38" fillId="4" borderId="12" xfId="0" applyNumberFormat="1" applyFont="1" applyFill="1" applyBorder="1" applyAlignment="1">
      <alignment horizontal="center" vertical="center"/>
    </xf>
    <xf numFmtId="169" fontId="37" fillId="4" borderId="12" xfId="0" applyNumberFormat="1" applyFont="1" applyFill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left" vertical="center" wrapText="1"/>
    </xf>
    <xf numFmtId="0" fontId="37" fillId="4" borderId="12" xfId="0" applyFont="1" applyFill="1" applyBorder="1" applyAlignment="1">
      <alignment horizontal="center" vertical="center" wrapText="1"/>
    </xf>
    <xf numFmtId="4" fontId="37" fillId="4" borderId="12" xfId="0" applyNumberFormat="1" applyFont="1" applyFill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center" vertical="center"/>
    </xf>
    <xf numFmtId="171" fontId="42" fillId="0" borderId="12" xfId="0" applyNumberFormat="1" applyFont="1" applyBorder="1" applyAlignment="1">
      <alignment horizontal="right" vertical="top" wrapText="1"/>
    </xf>
    <xf numFmtId="0" fontId="44" fillId="0" borderId="12" xfId="0" applyFont="1" applyFill="1" applyBorder="1" applyAlignment="1">
      <alignment horizontal="center" vertical="center" wrapText="1"/>
    </xf>
    <xf numFmtId="0" fontId="42" fillId="0" borderId="12" xfId="0" applyFont="1" applyBorder="1" applyAlignment="1">
      <alignment horizontal="right" vertical="top" wrapText="1"/>
    </xf>
    <xf numFmtId="168" fontId="42" fillId="0" borderId="12" xfId="0" applyNumberFormat="1" applyFont="1" applyBorder="1" applyAlignment="1">
      <alignment horizontal="right" vertical="top" wrapText="1"/>
    </xf>
    <xf numFmtId="0" fontId="0" fillId="0" borderId="44" xfId="0" applyBorder="1" applyAlignment="1">
      <alignment vertical="top" wrapText="1"/>
    </xf>
    <xf numFmtId="0" fontId="0" fillId="0" borderId="45" xfId="0" applyBorder="1" applyAlignment="1">
      <alignment vertical="top" wrapText="1"/>
    </xf>
    <xf numFmtId="168" fontId="0" fillId="0" borderId="45" xfId="0" applyNumberFormat="1" applyBorder="1" applyAlignment="1">
      <alignment horizontal="right" vertical="top"/>
    </xf>
    <xf numFmtId="4" fontId="0" fillId="0" borderId="45" xfId="0" applyNumberFormat="1" applyBorder="1" applyAlignment="1">
      <alignment horizontal="right" vertical="top"/>
    </xf>
    <xf numFmtId="0" fontId="0" fillId="0" borderId="12" xfId="0" applyBorder="1" applyAlignment="1">
      <alignment vertical="top" wrapText="1"/>
    </xf>
    <xf numFmtId="0" fontId="0" fillId="0" borderId="44" xfId="0" applyFill="1" applyBorder="1" applyAlignment="1">
      <alignment vertical="top" wrapText="1"/>
    </xf>
    <xf numFmtId="0" fontId="0" fillId="0" borderId="45" xfId="0" applyFill="1" applyBorder="1" applyAlignment="1">
      <alignment vertical="top" wrapText="1"/>
    </xf>
    <xf numFmtId="168" fontId="0" fillId="0" borderId="45" xfId="0" applyNumberFormat="1" applyFill="1" applyBorder="1" applyAlignment="1">
      <alignment horizontal="right" vertical="top"/>
    </xf>
    <xf numFmtId="0" fontId="0" fillId="0" borderId="46" xfId="0" applyBorder="1" applyAlignment="1">
      <alignment vertical="top" wrapText="1"/>
    </xf>
    <xf numFmtId="0" fontId="0" fillId="0" borderId="47" xfId="0" applyBorder="1" applyAlignment="1">
      <alignment vertical="top" wrapText="1"/>
    </xf>
    <xf numFmtId="164" fontId="0" fillId="0" borderId="14" xfId="98" applyFont="1" applyFill="1" applyBorder="1" applyAlignment="1">
      <alignment horizontal="left" vertical="center"/>
    </xf>
    <xf numFmtId="2" fontId="0" fillId="0" borderId="45" xfId="0" applyNumberFormat="1" applyBorder="1" applyAlignment="1">
      <alignment horizontal="right" vertical="top"/>
    </xf>
    <xf numFmtId="0" fontId="46" fillId="0" borderId="12" xfId="0" applyFont="1" applyBorder="1" applyAlignment="1">
      <alignment horizontal="center" vertical="top" wrapText="1"/>
    </xf>
    <xf numFmtId="0" fontId="42" fillId="0" borderId="14" xfId="0" applyFont="1" applyBorder="1" applyAlignment="1">
      <alignment horizontal="center" vertical="top" wrapText="1"/>
    </xf>
    <xf numFmtId="0" fontId="42" fillId="0" borderId="14" xfId="0" applyFont="1" applyBorder="1" applyAlignment="1">
      <alignment horizontal="left" vertical="top" wrapText="1"/>
    </xf>
    <xf numFmtId="0" fontId="42" fillId="0" borderId="14" xfId="0" applyFont="1" applyBorder="1" applyAlignment="1">
      <alignment horizontal="right" vertical="top" wrapText="1"/>
    </xf>
    <xf numFmtId="2" fontId="42" fillId="0" borderId="14" xfId="0" applyNumberFormat="1" applyFont="1" applyBorder="1" applyAlignment="1">
      <alignment horizontal="right" vertical="top" wrapText="1"/>
    </xf>
    <xf numFmtId="164" fontId="42" fillId="0" borderId="14" xfId="98" applyFont="1" applyFill="1" applyBorder="1" applyAlignment="1">
      <alignment horizontal="left" vertical="top" wrapText="1"/>
    </xf>
    <xf numFmtId="0" fontId="0" fillId="0" borderId="12" xfId="0" applyFill="1" applyBorder="1" applyAlignment="1">
      <alignment vertical="top" wrapText="1"/>
    </xf>
    <xf numFmtId="0" fontId="47" fillId="0" borderId="12" xfId="0" applyFont="1" applyBorder="1" applyAlignment="1">
      <alignment horizontal="center" vertical="top" wrapText="1"/>
    </xf>
    <xf numFmtId="0" fontId="46" fillId="0" borderId="12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top" wrapText="1"/>
    </xf>
    <xf numFmtId="0" fontId="45" fillId="0" borderId="12" xfId="0" applyFont="1" applyBorder="1" applyAlignment="1">
      <alignment horizontal="center" vertical="top" wrapText="1"/>
    </xf>
    <xf numFmtId="164" fontId="42" fillId="0" borderId="13" xfId="98" applyFont="1" applyFill="1" applyBorder="1" applyAlignment="1">
      <alignment horizontal="left" vertical="top" wrapText="1"/>
    </xf>
    <xf numFmtId="0" fontId="42" fillId="0" borderId="13" xfId="0" applyFont="1" applyBorder="1" applyAlignment="1">
      <alignment horizontal="center" vertical="top" wrapText="1"/>
    </xf>
    <xf numFmtId="0" fontId="42" fillId="0" borderId="13" xfId="0" applyFont="1" applyBorder="1" applyAlignment="1">
      <alignment horizontal="right" vertical="top" wrapText="1"/>
    </xf>
    <xf numFmtId="2" fontId="42" fillId="0" borderId="13" xfId="0" applyNumberFormat="1" applyFont="1" applyBorder="1" applyAlignment="1">
      <alignment horizontal="right" vertical="top" wrapText="1"/>
    </xf>
    <xf numFmtId="164" fontId="0" fillId="0" borderId="45" xfId="98" applyFont="1" applyBorder="1" applyAlignment="1">
      <alignment vertical="top" wrapText="1"/>
    </xf>
    <xf numFmtId="164" fontId="0" fillId="0" borderId="45" xfId="98" applyFont="1" applyBorder="1" applyAlignment="1">
      <alignment horizontal="right" vertical="top"/>
    </xf>
    <xf numFmtId="164" fontId="0" fillId="0" borderId="45" xfId="98" applyFont="1" applyBorder="1" applyAlignment="1">
      <alignment horizontal="center" vertical="top" wrapText="1"/>
    </xf>
    <xf numFmtId="164" fontId="42" fillId="0" borderId="12" xfId="98" applyFont="1" applyBorder="1" applyAlignment="1">
      <alignment horizontal="left" vertical="top" wrapText="1"/>
    </xf>
    <xf numFmtId="164" fontId="42" fillId="0" borderId="12" xfId="98" applyFont="1" applyBorder="1" applyAlignment="1">
      <alignment horizontal="center" vertical="top" wrapText="1"/>
    </xf>
    <xf numFmtId="164" fontId="42" fillId="0" borderId="12" xfId="98" applyFont="1" applyBorder="1" applyAlignment="1">
      <alignment horizontal="right" vertical="top" wrapText="1"/>
    </xf>
    <xf numFmtId="164" fontId="0" fillId="0" borderId="45" xfId="98" applyFont="1" applyFill="1" applyBorder="1" applyAlignment="1">
      <alignment horizontal="right" vertical="top"/>
    </xf>
    <xf numFmtId="164" fontId="0" fillId="0" borderId="12" xfId="98" applyFont="1" applyFill="1" applyBorder="1" applyAlignment="1">
      <alignment horizontal="center" vertical="top"/>
    </xf>
    <xf numFmtId="0" fontId="48" fillId="0" borderId="12" xfId="0" applyFont="1" applyBorder="1" applyAlignment="1">
      <alignment horizontal="center" vertical="top" wrapText="1"/>
    </xf>
    <xf numFmtId="164" fontId="48" fillId="0" borderId="12" xfId="98" applyFont="1" applyBorder="1" applyAlignment="1">
      <alignment horizontal="left" vertical="top" wrapText="1"/>
    </xf>
    <xf numFmtId="164" fontId="48" fillId="0" borderId="12" xfId="98" applyFont="1" applyBorder="1" applyAlignment="1">
      <alignment horizontal="center" vertical="top" wrapText="1"/>
    </xf>
    <xf numFmtId="164" fontId="48" fillId="0" borderId="12" xfId="98" applyFont="1" applyBorder="1" applyAlignment="1">
      <alignment horizontal="right" vertical="top" wrapText="1"/>
    </xf>
    <xf numFmtId="164" fontId="48" fillId="0" borderId="12" xfId="98" applyFont="1" applyFill="1" applyBorder="1" applyAlignment="1">
      <alignment horizontal="left" vertical="top" wrapText="1"/>
    </xf>
    <xf numFmtId="0" fontId="43" fillId="0" borderId="12" xfId="0" applyFont="1" applyBorder="1"/>
    <xf numFmtId="0" fontId="43" fillId="0" borderId="0" xfId="0" applyFont="1" applyBorder="1"/>
    <xf numFmtId="0" fontId="43" fillId="0" borderId="44" xfId="0" applyFont="1" applyBorder="1" applyAlignment="1">
      <alignment vertical="top" wrapText="1"/>
    </xf>
    <xf numFmtId="0" fontId="43" fillId="0" borderId="45" xfId="0" applyFont="1" applyBorder="1" applyAlignment="1">
      <alignment vertical="top" wrapText="1"/>
    </xf>
    <xf numFmtId="164" fontId="43" fillId="0" borderId="45" xfId="98" applyFont="1" applyBorder="1" applyAlignment="1">
      <alignment horizontal="right" vertical="top"/>
    </xf>
    <xf numFmtId="164" fontId="43" fillId="0" borderId="12" xfId="98" applyFont="1" applyFill="1" applyBorder="1" applyAlignment="1">
      <alignment horizontal="left" vertical="center"/>
    </xf>
    <xf numFmtId="49" fontId="43" fillId="0" borderId="12" xfId="0" applyNumberFormat="1" applyFont="1" applyFill="1" applyBorder="1" applyAlignment="1">
      <alignment horizontal="left" vertical="center"/>
    </xf>
    <xf numFmtId="0" fontId="43" fillId="0" borderId="12" xfId="0" applyFont="1" applyFill="1" applyBorder="1" applyAlignment="1">
      <alignment horizontal="left" vertical="center"/>
    </xf>
    <xf numFmtId="0" fontId="43" fillId="0" borderId="12" xfId="0" applyFont="1" applyFill="1" applyBorder="1" applyAlignment="1">
      <alignment horizontal="center" vertical="top" wrapText="1"/>
    </xf>
    <xf numFmtId="164" fontId="43" fillId="0" borderId="12" xfId="98" applyFont="1" applyFill="1" applyBorder="1" applyAlignment="1">
      <alignment horizontal="center" vertical="top"/>
    </xf>
    <xf numFmtId="0" fontId="41" fillId="0" borderId="28" xfId="0" applyFont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top" wrapText="1"/>
    </xf>
    <xf numFmtId="164" fontId="42" fillId="3" borderId="12" xfId="98" applyFont="1" applyFill="1" applyBorder="1" applyAlignment="1">
      <alignment horizontal="left" vertical="top" wrapText="1"/>
    </xf>
    <xf numFmtId="164" fontId="42" fillId="3" borderId="12" xfId="98" applyFont="1" applyFill="1" applyBorder="1" applyAlignment="1">
      <alignment horizontal="center" vertical="top" wrapText="1"/>
    </xf>
    <xf numFmtId="164" fontId="42" fillId="3" borderId="12" xfId="98" applyFont="1" applyFill="1" applyBorder="1" applyAlignment="1">
      <alignment horizontal="right" vertical="top" wrapText="1"/>
    </xf>
    <xf numFmtId="0" fontId="0" fillId="3" borderId="45" xfId="0" applyFill="1" applyBorder="1" applyAlignment="1">
      <alignment vertical="top" wrapText="1"/>
    </xf>
    <xf numFmtId="164" fontId="0" fillId="3" borderId="45" xfId="98" applyFont="1" applyFill="1" applyBorder="1" applyAlignment="1">
      <alignment horizontal="right" vertical="top"/>
    </xf>
    <xf numFmtId="0" fontId="0" fillId="3" borderId="0" xfId="0" applyFill="1" applyBorder="1"/>
    <xf numFmtId="0" fontId="0" fillId="3" borderId="44" xfId="0" applyFill="1" applyBorder="1" applyAlignment="1">
      <alignment vertical="top" wrapText="1"/>
    </xf>
    <xf numFmtId="164" fontId="0" fillId="3" borderId="12" xfId="98" applyFont="1" applyFill="1" applyBorder="1" applyAlignment="1">
      <alignment horizontal="left" vertical="center"/>
    </xf>
    <xf numFmtId="164" fontId="0" fillId="0" borderId="44" xfId="98" applyFont="1" applyBorder="1" applyAlignment="1">
      <alignment vertical="top" wrapText="1"/>
    </xf>
    <xf numFmtId="164" fontId="0" fillId="3" borderId="12" xfId="98" applyFont="1" applyFill="1" applyBorder="1" applyAlignment="1">
      <alignment horizontal="center" vertical="center"/>
    </xf>
    <xf numFmtId="164" fontId="0" fillId="0" borderId="12" xfId="98" applyFont="1" applyFill="1" applyBorder="1" applyAlignment="1">
      <alignment horizontal="center" vertical="center"/>
    </xf>
    <xf numFmtId="164" fontId="0" fillId="0" borderId="44" xfId="98" applyFont="1" applyFill="1" applyBorder="1" applyAlignment="1">
      <alignment vertical="top" wrapText="1"/>
    </xf>
    <xf numFmtId="164" fontId="0" fillId="0" borderId="45" xfId="98" applyFont="1" applyFill="1" applyBorder="1" applyAlignment="1">
      <alignment vertical="top" wrapText="1"/>
    </xf>
    <xf numFmtId="0" fontId="48" fillId="0" borderId="12" xfId="0" applyFont="1" applyBorder="1" applyAlignment="1">
      <alignment horizontal="left" vertical="top" wrapText="1"/>
    </xf>
    <xf numFmtId="164" fontId="43" fillId="0" borderId="44" xfId="98" applyFont="1" applyBorder="1" applyAlignment="1">
      <alignment vertical="top" wrapText="1"/>
    </xf>
    <xf numFmtId="164" fontId="43" fillId="0" borderId="45" xfId="98" applyFont="1" applyBorder="1" applyAlignment="1">
      <alignment vertical="top" wrapText="1"/>
    </xf>
    <xf numFmtId="164" fontId="43" fillId="0" borderId="12" xfId="98" applyFont="1" applyFill="1" applyBorder="1" applyAlignment="1">
      <alignment horizontal="left" vertical="top"/>
    </xf>
    <xf numFmtId="164" fontId="43" fillId="3" borderId="12" xfId="98" applyFont="1" applyFill="1" applyBorder="1" applyAlignment="1">
      <alignment horizontal="center" vertical="center"/>
    </xf>
    <xf numFmtId="164" fontId="0" fillId="0" borderId="12" xfId="98" applyFont="1" applyBorder="1" applyAlignment="1">
      <alignment horizontal="right" vertical="top"/>
    </xf>
    <xf numFmtId="164" fontId="0" fillId="0" borderId="12" xfId="98" applyFont="1" applyFill="1" applyBorder="1" applyAlignment="1">
      <alignment horizontal="right" vertical="top"/>
    </xf>
    <xf numFmtId="164" fontId="0" fillId="0" borderId="47" xfId="98" applyFont="1" applyBorder="1" applyAlignment="1">
      <alignment horizontal="right" vertical="top"/>
    </xf>
    <xf numFmtId="0" fontId="48" fillId="0" borderId="33" xfId="0" applyFont="1" applyBorder="1" applyAlignment="1">
      <alignment horizontal="center" vertical="top" wrapText="1"/>
    </xf>
    <xf numFmtId="0" fontId="43" fillId="0" borderId="12" xfId="0" applyFont="1" applyFill="1" applyBorder="1" applyAlignment="1">
      <alignment horizontal="center" vertical="center" wrapText="1"/>
    </xf>
    <xf numFmtId="164" fontId="30" fillId="4" borderId="0" xfId="98" applyFont="1" applyFill="1" applyAlignment="1">
      <alignment horizontal="left" vertical="top" wrapText="1"/>
    </xf>
    <xf numFmtId="164" fontId="0" fillId="0" borderId="47" xfId="98" applyFont="1" applyBorder="1" applyAlignment="1">
      <alignment vertical="top" wrapText="1"/>
    </xf>
    <xf numFmtId="0" fontId="0" fillId="0" borderId="44" xfId="98" applyNumberFormat="1" applyFont="1" applyBorder="1" applyAlignment="1">
      <alignment vertical="top" wrapText="1"/>
    </xf>
    <xf numFmtId="164" fontId="43" fillId="0" borderId="12" xfId="98" applyFont="1" applyFill="1" applyBorder="1" applyAlignment="1">
      <alignment horizontal="center" vertical="center"/>
    </xf>
    <xf numFmtId="164" fontId="43" fillId="0" borderId="44" xfId="98" applyFont="1" applyFill="1" applyBorder="1" applyAlignment="1">
      <alignment vertical="top" wrapText="1"/>
    </xf>
    <xf numFmtId="164" fontId="43" fillId="0" borderId="45" xfId="98" applyFont="1" applyFill="1" applyBorder="1" applyAlignment="1">
      <alignment vertical="top" wrapText="1"/>
    </xf>
    <xf numFmtId="164" fontId="43" fillId="0" borderId="45" xfId="98" applyFont="1" applyFill="1" applyBorder="1" applyAlignment="1">
      <alignment horizontal="right" vertical="top"/>
    </xf>
    <xf numFmtId="0" fontId="42" fillId="3" borderId="33" xfId="0" applyFont="1" applyFill="1" applyBorder="1" applyAlignment="1">
      <alignment horizontal="center" vertical="top" wrapText="1"/>
    </xf>
    <xf numFmtId="0" fontId="42" fillId="3" borderId="12" xfId="0" applyFont="1" applyFill="1" applyBorder="1" applyAlignment="1">
      <alignment horizontal="left" vertical="top" wrapText="1"/>
    </xf>
    <xf numFmtId="168" fontId="42" fillId="3" borderId="12" xfId="0" applyNumberFormat="1" applyFont="1" applyFill="1" applyBorder="1" applyAlignment="1">
      <alignment horizontal="right" vertical="top" wrapText="1"/>
    </xf>
    <xf numFmtId="2" fontId="42" fillId="3" borderId="12" xfId="0" applyNumberFormat="1" applyFont="1" applyFill="1" applyBorder="1" applyAlignment="1">
      <alignment horizontal="right" vertical="top" wrapText="1"/>
    </xf>
    <xf numFmtId="0" fontId="43" fillId="3" borderId="12" xfId="0" applyFont="1" applyFill="1" applyBorder="1" applyAlignment="1">
      <alignment horizontal="center" vertical="center"/>
    </xf>
    <xf numFmtId="172" fontId="42" fillId="3" borderId="12" xfId="0" applyNumberFormat="1" applyFont="1" applyFill="1" applyBorder="1" applyAlignment="1">
      <alignment horizontal="right" vertical="top" wrapText="1"/>
    </xf>
    <xf numFmtId="164" fontId="0" fillId="3" borderId="45" xfId="98" applyFont="1" applyFill="1" applyBorder="1" applyAlignment="1">
      <alignment vertical="top" wrapText="1"/>
    </xf>
    <xf numFmtId="164" fontId="0" fillId="3" borderId="12" xfId="98" quotePrefix="1" applyFont="1" applyFill="1" applyBorder="1" applyAlignment="1">
      <alignment horizontal="center" vertical="center"/>
    </xf>
    <xf numFmtId="164" fontId="0" fillId="3" borderId="12" xfId="98" applyFont="1" applyFill="1" applyBorder="1" applyAlignment="1">
      <alignment horizontal="center" vertical="top" wrapText="1"/>
    </xf>
    <xf numFmtId="164" fontId="0" fillId="3" borderId="12" xfId="98" applyFont="1" applyFill="1" applyBorder="1" applyAlignment="1">
      <alignment horizontal="center" vertical="top"/>
    </xf>
    <xf numFmtId="164" fontId="0" fillId="3" borderId="12" xfId="98" applyFont="1" applyFill="1" applyBorder="1" applyAlignment="1">
      <alignment horizontal="left" vertical="top"/>
    </xf>
    <xf numFmtId="164" fontId="0" fillId="3" borderId="12" xfId="98" applyFont="1" applyFill="1" applyBorder="1" applyAlignment="1">
      <alignment horizontal="left" vertical="top" wrapText="1"/>
    </xf>
    <xf numFmtId="164" fontId="0" fillId="0" borderId="12" xfId="98" applyFont="1" applyFill="1" applyBorder="1" applyAlignment="1">
      <alignment horizontal="left" vertical="top" wrapText="1"/>
    </xf>
    <xf numFmtId="164" fontId="0" fillId="0" borderId="12" xfId="98" applyFont="1" applyFill="1" applyBorder="1" applyAlignment="1">
      <alignment horizontal="center" vertical="top" wrapText="1"/>
    </xf>
    <xf numFmtId="172" fontId="48" fillId="0" borderId="12" xfId="0" applyNumberFormat="1" applyFont="1" applyBorder="1" applyAlignment="1">
      <alignment horizontal="right" vertical="top" wrapText="1"/>
    </xf>
    <xf numFmtId="2" fontId="48" fillId="0" borderId="12" xfId="0" applyNumberFormat="1" applyFont="1" applyBorder="1" applyAlignment="1">
      <alignment horizontal="right" vertical="top" wrapText="1"/>
    </xf>
    <xf numFmtId="164" fontId="43" fillId="3" borderId="12" xfId="98" applyFont="1" applyFill="1" applyBorder="1" applyAlignment="1">
      <alignment horizontal="center" vertical="center" wrapText="1"/>
    </xf>
    <xf numFmtId="164" fontId="43" fillId="0" borderId="12" xfId="98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right" vertical="top" wrapText="1"/>
    </xf>
    <xf numFmtId="0" fontId="0" fillId="0" borderId="44" xfId="98" applyNumberFormat="1" applyFont="1" applyFill="1" applyBorder="1" applyAlignment="1">
      <alignment vertical="top" wrapText="1"/>
    </xf>
    <xf numFmtId="168" fontId="48" fillId="0" borderId="12" xfId="0" applyNumberFormat="1" applyFont="1" applyBorder="1" applyAlignment="1">
      <alignment horizontal="right" vertical="top" wrapText="1"/>
    </xf>
    <xf numFmtId="0" fontId="0" fillId="3" borderId="12" xfId="98" applyNumberFormat="1" applyFont="1" applyFill="1" applyBorder="1" applyAlignment="1">
      <alignment horizontal="left" vertical="center"/>
    </xf>
    <xf numFmtId="0" fontId="48" fillId="3" borderId="33" xfId="0" applyFont="1" applyFill="1" applyBorder="1" applyAlignment="1">
      <alignment horizontal="center" vertical="top" wrapText="1"/>
    </xf>
    <xf numFmtId="0" fontId="48" fillId="3" borderId="12" xfId="0" applyFont="1" applyFill="1" applyBorder="1" applyAlignment="1">
      <alignment horizontal="left" vertical="top" wrapText="1"/>
    </xf>
    <xf numFmtId="0" fontId="48" fillId="3" borderId="12" xfId="0" applyFont="1" applyFill="1" applyBorder="1" applyAlignment="1">
      <alignment horizontal="center" vertical="top" wrapText="1"/>
    </xf>
    <xf numFmtId="2" fontId="48" fillId="3" borderId="12" xfId="0" applyNumberFormat="1" applyFont="1" applyFill="1" applyBorder="1" applyAlignment="1">
      <alignment horizontal="right" vertical="top" wrapText="1"/>
    </xf>
    <xf numFmtId="164" fontId="48" fillId="3" borderId="12" xfId="98" applyFont="1" applyFill="1" applyBorder="1" applyAlignment="1">
      <alignment horizontal="left" vertical="top" wrapText="1"/>
    </xf>
    <xf numFmtId="164" fontId="43" fillId="3" borderId="12" xfId="98" applyFont="1" applyFill="1" applyBorder="1" applyAlignment="1">
      <alignment horizontal="left" vertical="top" wrapText="1"/>
    </xf>
    <xf numFmtId="164" fontId="43" fillId="3" borderId="12" xfId="98" applyFont="1" applyFill="1" applyBorder="1" applyAlignment="1">
      <alignment horizontal="center" vertical="top" wrapText="1"/>
    </xf>
    <xf numFmtId="164" fontId="43" fillId="3" borderId="12" xfId="98" applyFont="1" applyFill="1" applyBorder="1" applyAlignment="1">
      <alignment horizontal="center" vertical="top"/>
    </xf>
    <xf numFmtId="164" fontId="43" fillId="3" borderId="12" xfId="98" applyFont="1" applyFill="1" applyBorder="1" applyAlignment="1">
      <alignment horizontal="left" vertical="center"/>
    </xf>
    <xf numFmtId="164" fontId="43" fillId="3" borderId="12" xfId="98" applyFont="1" applyFill="1" applyBorder="1" applyAlignment="1">
      <alignment horizontal="left" vertical="top"/>
    </xf>
    <xf numFmtId="0" fontId="43" fillId="3" borderId="0" xfId="0" applyFont="1" applyFill="1" applyBorder="1"/>
    <xf numFmtId="164" fontId="42" fillId="0" borderId="33" xfId="98" applyFont="1" applyBorder="1" applyAlignment="1">
      <alignment horizontal="right" vertical="top" wrapText="1"/>
    </xf>
    <xf numFmtId="2" fontId="0" fillId="0" borderId="44" xfId="98" applyNumberFormat="1" applyFont="1" applyBorder="1" applyAlignment="1">
      <alignment vertical="top" wrapText="1"/>
    </xf>
    <xf numFmtId="2" fontId="0" fillId="0" borderId="12" xfId="98" applyNumberFormat="1" applyFont="1" applyFill="1" applyBorder="1" applyAlignment="1">
      <alignment horizontal="left" vertical="center"/>
    </xf>
    <xf numFmtId="2" fontId="0" fillId="0" borderId="45" xfId="98" applyNumberFormat="1" applyFont="1" applyBorder="1" applyAlignment="1">
      <alignment vertical="top" wrapText="1"/>
    </xf>
    <xf numFmtId="2" fontId="0" fillId="0" borderId="12" xfId="98" applyNumberFormat="1" applyFont="1" applyFill="1" applyBorder="1" applyAlignment="1">
      <alignment horizontal="left" vertical="top" wrapText="1"/>
    </xf>
    <xf numFmtId="2" fontId="43" fillId="0" borderId="44" xfId="98" applyNumberFormat="1" applyFont="1" applyFill="1" applyBorder="1" applyAlignment="1">
      <alignment vertical="top" wrapText="1"/>
    </xf>
    <xf numFmtId="2" fontId="43" fillId="0" borderId="44" xfId="98" applyNumberFormat="1" applyFont="1" applyBorder="1" applyAlignment="1">
      <alignment vertical="top" wrapText="1"/>
    </xf>
    <xf numFmtId="0" fontId="43" fillId="0" borderId="44" xfId="98" applyNumberFormat="1" applyFont="1" applyFill="1" applyBorder="1" applyAlignment="1">
      <alignment vertical="top" wrapText="1"/>
    </xf>
    <xf numFmtId="174" fontId="43" fillId="0" borderId="45" xfId="98" applyNumberFormat="1" applyFont="1" applyFill="1" applyBorder="1" applyAlignment="1">
      <alignment horizontal="right" vertical="top"/>
    </xf>
    <xf numFmtId="2" fontId="43" fillId="0" borderId="12" xfId="98" applyNumberFormat="1" applyFont="1" applyFill="1" applyBorder="1" applyAlignment="1">
      <alignment horizontal="left" vertical="center"/>
    </xf>
    <xf numFmtId="164" fontId="43" fillId="0" borderId="12" xfId="98" applyFont="1" applyFill="1" applyBorder="1" applyAlignment="1">
      <alignment horizontal="center" vertical="top" wrapText="1"/>
    </xf>
    <xf numFmtId="164" fontId="0" fillId="0" borderId="12" xfId="98" quotePrefix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0" borderId="44" xfId="0" applyBorder="1" applyAlignment="1">
      <alignment horizontal="left" vertical="top" wrapText="1"/>
    </xf>
    <xf numFmtId="0" fontId="0" fillId="0" borderId="44" xfId="0" applyFill="1" applyBorder="1" applyAlignment="1">
      <alignment horizontal="left" vertical="top" wrapText="1"/>
    </xf>
    <xf numFmtId="164" fontId="0" fillId="0" borderId="45" xfId="98" applyFont="1" applyFill="1" applyBorder="1" applyAlignment="1">
      <alignment horizontal="center" vertical="top" wrapText="1"/>
    </xf>
    <xf numFmtId="0" fontId="43" fillId="0" borderId="44" xfId="0" applyFont="1" applyFill="1" applyBorder="1" applyAlignment="1">
      <alignment vertical="top" wrapText="1"/>
    </xf>
    <xf numFmtId="0" fontId="43" fillId="0" borderId="45" xfId="0" applyFont="1" applyFill="1" applyBorder="1" applyAlignment="1">
      <alignment vertical="top" wrapText="1"/>
    </xf>
    <xf numFmtId="0" fontId="43" fillId="0" borderId="44" xfId="0" applyFont="1" applyBorder="1" applyAlignment="1">
      <alignment horizontal="left" vertical="top" wrapText="1"/>
    </xf>
    <xf numFmtId="164" fontId="43" fillId="0" borderId="45" xfId="98" applyFont="1" applyBorder="1" applyAlignment="1">
      <alignment horizontal="center" vertical="top" wrapText="1"/>
    </xf>
    <xf numFmtId="0" fontId="43" fillId="0" borderId="12" xfId="0" applyFont="1" applyFill="1" applyBorder="1" applyAlignment="1">
      <alignment horizontal="left" vertical="top" wrapText="1"/>
    </xf>
    <xf numFmtId="0" fontId="42" fillId="0" borderId="12" xfId="0" applyFont="1" applyBorder="1" applyAlignment="1">
      <alignment horizontal="center" vertical="center" wrapText="1"/>
    </xf>
    <xf numFmtId="2" fontId="42" fillId="0" borderId="12" xfId="0" applyNumberFormat="1" applyFont="1" applyBorder="1" applyAlignment="1">
      <alignment horizontal="center" vertical="center" wrapText="1"/>
    </xf>
    <xf numFmtId="164" fontId="42" fillId="0" borderId="12" xfId="98" applyFont="1" applyFill="1" applyBorder="1" applyAlignment="1">
      <alignment horizontal="center" vertical="center" wrapText="1"/>
    </xf>
    <xf numFmtId="0" fontId="42" fillId="0" borderId="12" xfId="0" applyFont="1" applyBorder="1" applyAlignment="1">
      <alignment horizontal="left" vertical="center" wrapText="1"/>
    </xf>
    <xf numFmtId="43" fontId="0" fillId="0" borderId="12" xfId="0" applyNumberFormat="1" applyFill="1" applyBorder="1" applyAlignment="1">
      <alignment horizontal="center" vertical="center"/>
    </xf>
    <xf numFmtId="0" fontId="50" fillId="0" borderId="33" xfId="0" applyFont="1" applyBorder="1" applyAlignment="1">
      <alignment horizontal="center" vertical="top" wrapText="1"/>
    </xf>
    <xf numFmtId="0" fontId="50" fillId="0" borderId="12" xfId="0" applyFont="1" applyBorder="1" applyAlignment="1">
      <alignment horizontal="left" vertical="top" wrapText="1"/>
    </xf>
    <xf numFmtId="0" fontId="50" fillId="0" borderId="12" xfId="0" applyFont="1" applyBorder="1" applyAlignment="1">
      <alignment horizontal="center" vertical="top" wrapText="1"/>
    </xf>
    <xf numFmtId="0" fontId="50" fillId="0" borderId="12" xfId="0" applyFont="1" applyBorder="1" applyAlignment="1">
      <alignment horizontal="right" vertical="top" wrapText="1"/>
    </xf>
    <xf numFmtId="2" fontId="50" fillId="0" borderId="12" xfId="0" applyNumberFormat="1" applyFont="1" applyBorder="1" applyAlignment="1">
      <alignment horizontal="right" vertical="top" wrapText="1"/>
    </xf>
    <xf numFmtId="164" fontId="50" fillId="0" borderId="12" xfId="98" applyFont="1" applyFill="1" applyBorder="1" applyAlignment="1">
      <alignment horizontal="left" vertical="top" wrapText="1"/>
    </xf>
    <xf numFmtId="0" fontId="51" fillId="0" borderId="44" xfId="0" applyFont="1" applyBorder="1" applyAlignment="1">
      <alignment vertical="top" wrapText="1"/>
    </xf>
    <xf numFmtId="164" fontId="51" fillId="0" borderId="45" xfId="98" applyFont="1" applyBorder="1" applyAlignment="1">
      <alignment vertical="top" wrapText="1"/>
    </xf>
    <xf numFmtId="164" fontId="51" fillId="0" borderId="45" xfId="98" applyFont="1" applyBorder="1" applyAlignment="1">
      <alignment horizontal="right" vertical="top"/>
    </xf>
    <xf numFmtId="164" fontId="51" fillId="0" borderId="12" xfId="98" applyFont="1" applyFill="1" applyBorder="1" applyAlignment="1">
      <alignment horizontal="left" vertical="top"/>
    </xf>
    <xf numFmtId="0" fontId="51" fillId="3" borderId="12" xfId="0" applyFont="1" applyFill="1" applyBorder="1" applyAlignment="1">
      <alignment horizontal="center" vertical="center"/>
    </xf>
    <xf numFmtId="0" fontId="51" fillId="0" borderId="0" xfId="0" applyFont="1" applyBorder="1"/>
    <xf numFmtId="0" fontId="42" fillId="0" borderId="12" xfId="0" applyFont="1" applyBorder="1" applyAlignment="1">
      <alignment horizontal="right" vertical="center" wrapText="1"/>
    </xf>
    <xf numFmtId="2" fontId="42" fillId="0" borderId="12" xfId="0" applyNumberFormat="1" applyFont="1" applyBorder="1" applyAlignment="1">
      <alignment horizontal="right" vertical="center" wrapText="1"/>
    </xf>
    <xf numFmtId="164" fontId="42" fillId="0" borderId="12" xfId="98" applyFont="1" applyFill="1" applyBorder="1" applyAlignment="1">
      <alignment horizontal="left" vertical="center" wrapText="1"/>
    </xf>
    <xf numFmtId="171" fontId="48" fillId="0" borderId="12" xfId="0" applyNumberFormat="1" applyFont="1" applyBorder="1" applyAlignment="1">
      <alignment horizontal="right" vertical="top" wrapText="1"/>
    </xf>
    <xf numFmtId="168" fontId="43" fillId="0" borderId="45" xfId="0" applyNumberFormat="1" applyFont="1" applyBorder="1" applyAlignment="1">
      <alignment horizontal="right" vertical="top"/>
    </xf>
    <xf numFmtId="168" fontId="43" fillId="0" borderId="12" xfId="0" applyNumberFormat="1" applyFont="1" applyFill="1" applyBorder="1" applyAlignment="1">
      <alignment horizontal="left" vertical="top"/>
    </xf>
    <xf numFmtId="4" fontId="43" fillId="0" borderId="12" xfId="0" applyNumberFormat="1" applyFont="1" applyFill="1" applyBorder="1" applyAlignment="1">
      <alignment horizontal="left" vertical="top"/>
    </xf>
    <xf numFmtId="0" fontId="43" fillId="3" borderId="12" xfId="0" applyFont="1" applyFill="1" applyBorder="1" applyAlignment="1">
      <alignment horizontal="center" vertical="center" wrapText="1"/>
    </xf>
    <xf numFmtId="173" fontId="48" fillId="0" borderId="12" xfId="0" applyNumberFormat="1" applyFont="1" applyBorder="1" applyAlignment="1">
      <alignment horizontal="right" vertical="top" wrapText="1"/>
    </xf>
    <xf numFmtId="0" fontId="14" fillId="0" borderId="0" xfId="0" applyFont="1" applyAlignment="1">
      <alignment horizontal="center" vertical="top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32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top" wrapText="1"/>
    </xf>
    <xf numFmtId="0" fontId="15" fillId="7" borderId="19" xfId="0" applyFont="1" applyFill="1" applyBorder="1" applyAlignment="1">
      <alignment horizontal="center" vertical="top" wrapText="1"/>
    </xf>
    <xf numFmtId="0" fontId="15" fillId="7" borderId="20" xfId="0" applyFont="1" applyFill="1" applyBorder="1" applyAlignment="1">
      <alignment horizontal="center" vertical="top" wrapText="1"/>
    </xf>
    <xf numFmtId="0" fontId="15" fillId="7" borderId="21" xfId="0" applyFont="1" applyFill="1" applyBorder="1" applyAlignment="1">
      <alignment horizontal="center" vertical="top" wrapText="1"/>
    </xf>
    <xf numFmtId="0" fontId="15" fillId="6" borderId="34" xfId="0" applyFont="1" applyFill="1" applyBorder="1" applyAlignment="1">
      <alignment horizontal="center" vertical="top" wrapText="1"/>
    </xf>
    <xf numFmtId="0" fontId="15" fillId="6" borderId="35" xfId="0" applyFont="1" applyFill="1" applyBorder="1" applyAlignment="1">
      <alignment horizontal="center" vertical="top" wrapText="1"/>
    </xf>
    <xf numFmtId="0" fontId="15" fillId="6" borderId="21" xfId="0" applyFont="1" applyFill="1" applyBorder="1" applyAlignment="1">
      <alignment horizontal="center" vertical="top" wrapText="1"/>
    </xf>
    <xf numFmtId="0" fontId="30" fillId="0" borderId="0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 wrapText="1"/>
    </xf>
    <xf numFmtId="49" fontId="38" fillId="8" borderId="34" xfId="96" applyNumberFormat="1" applyFont="1" applyFill="1" applyBorder="1" applyAlignment="1">
      <alignment horizontal="center" vertical="center"/>
    </xf>
    <xf numFmtId="49" fontId="38" fillId="8" borderId="35" xfId="96" applyNumberFormat="1" applyFont="1" applyFill="1" applyBorder="1" applyAlignment="1">
      <alignment horizontal="center" vertical="center"/>
    </xf>
    <xf numFmtId="49" fontId="38" fillId="8" borderId="40" xfId="96" applyNumberFormat="1" applyFont="1" applyFill="1" applyBorder="1" applyAlignment="1">
      <alignment horizontal="center" vertical="center"/>
    </xf>
    <xf numFmtId="49" fontId="38" fillId="8" borderId="0" xfId="96" applyNumberFormat="1" applyFont="1" applyFill="1" applyBorder="1" applyAlignment="1">
      <alignment horizontal="center" vertical="center"/>
    </xf>
    <xf numFmtId="169" fontId="37" fillId="6" borderId="35" xfId="0" applyNumberFormat="1" applyFont="1" applyFill="1" applyBorder="1" applyAlignment="1">
      <alignment horizontal="center" vertical="center" wrapText="1"/>
    </xf>
    <xf numFmtId="169" fontId="37" fillId="6" borderId="38" xfId="0" applyNumberFormat="1" applyFont="1" applyFill="1" applyBorder="1" applyAlignment="1">
      <alignment horizontal="center" vertical="center" wrapText="1"/>
    </xf>
    <xf numFmtId="169" fontId="37" fillId="6" borderId="0" xfId="0" applyNumberFormat="1" applyFont="1" applyFill="1" applyBorder="1" applyAlignment="1">
      <alignment horizontal="center" vertical="center" wrapText="1"/>
    </xf>
    <xf numFmtId="169" fontId="37" fillId="6" borderId="39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0" fillId="3" borderId="13" xfId="0" applyFill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/>
    </xf>
    <xf numFmtId="0" fontId="49" fillId="0" borderId="49" xfId="0" applyFont="1" applyBorder="1" applyAlignment="1">
      <alignment horizontal="center" vertical="center"/>
    </xf>
    <xf numFmtId="0" fontId="48" fillId="0" borderId="33" xfId="0" applyFont="1" applyBorder="1" applyAlignment="1">
      <alignment horizontal="left" vertical="top" wrapText="1"/>
    </xf>
    <xf numFmtId="168" fontId="48" fillId="0" borderId="33" xfId="0" applyNumberFormat="1" applyFont="1" applyBorder="1" applyAlignment="1">
      <alignment horizontal="right" vertical="top" wrapText="1"/>
    </xf>
    <xf numFmtId="2" fontId="48" fillId="0" borderId="33" xfId="0" applyNumberFormat="1" applyFont="1" applyBorder="1" applyAlignment="1">
      <alignment horizontal="right" vertical="top" wrapText="1"/>
    </xf>
    <xf numFmtId="164" fontId="48" fillId="0" borderId="13" xfId="98" applyFont="1" applyFill="1" applyBorder="1" applyAlignment="1">
      <alignment horizontal="left" vertical="top" wrapText="1"/>
    </xf>
    <xf numFmtId="164" fontId="52" fillId="0" borderId="12" xfId="98" applyFont="1" applyFill="1" applyBorder="1" applyAlignment="1">
      <alignment horizontal="center" vertical="center"/>
    </xf>
  </cellXfs>
  <cellStyles count="100">
    <cellStyle name="Comma 2" xfId="57"/>
    <cellStyle name="Excel Built-in Normal" xfId="16"/>
    <cellStyle name="IvkDocStyle 1" xfId="17"/>
    <cellStyle name="IvkDocStyle 10" xfId="18"/>
    <cellStyle name="IvkDocStyle 11" xfId="19"/>
    <cellStyle name="IvkDocStyle 12" xfId="20"/>
    <cellStyle name="IvkDocStyle 13" xfId="21"/>
    <cellStyle name="IvkDocStyle 19" xfId="22"/>
    <cellStyle name="IvkDocStyle 2" xfId="23"/>
    <cellStyle name="IvkDocStyle 20" xfId="24"/>
    <cellStyle name="IvkDocStyle 21" xfId="25"/>
    <cellStyle name="IvkDocStyle 22" xfId="26"/>
    <cellStyle name="IvkDocStyle 23" xfId="27"/>
    <cellStyle name="IvkDocStyle 24" xfId="28"/>
    <cellStyle name="IvkDocStyle 25" xfId="29"/>
    <cellStyle name="IvkDocStyle 26" xfId="30"/>
    <cellStyle name="IvkDocStyle 27" xfId="31"/>
    <cellStyle name="IvkDocStyle 28" xfId="32"/>
    <cellStyle name="IvkDocStyle 29" xfId="33"/>
    <cellStyle name="IvkDocStyle 3" xfId="34"/>
    <cellStyle name="IvkDocStyle 30" xfId="35"/>
    <cellStyle name="IvkDocStyle 31" xfId="36"/>
    <cellStyle name="IvkDocStyle 32" xfId="37"/>
    <cellStyle name="IvkDocStyle 33" xfId="38"/>
    <cellStyle name="IvkDocStyle 34" xfId="39"/>
    <cellStyle name="IvkDocStyle 35" xfId="40"/>
    <cellStyle name="IvkDocStyle 36" xfId="41"/>
    <cellStyle name="IvkDocStyle 39" xfId="42"/>
    <cellStyle name="IvkDocStyle 4" xfId="43"/>
    <cellStyle name="IvkDocStyle 5" xfId="44"/>
    <cellStyle name="IvkDocStyle 6" xfId="45"/>
    <cellStyle name="IvkDocStyle 7" xfId="46"/>
    <cellStyle name="IvkDocStyle 9" xfId="47"/>
    <cellStyle name="Normal 2" xfId="50"/>
    <cellStyle name="Normal 3" xfId="56"/>
    <cellStyle name="Normal_Cost Plan Alupka -- Notes -- Issue 1" xfId="64"/>
    <cellStyle name="TableStyleLight1_первоначальные работы" xfId="51"/>
    <cellStyle name="Обычный" xfId="0" builtinId="0"/>
    <cellStyle name="Обычный 10" xfId="4"/>
    <cellStyle name="Обычный 10 2" xfId="76"/>
    <cellStyle name="Обычный 11" xfId="2"/>
    <cellStyle name="Обычный 11 10" xfId="90"/>
    <cellStyle name="Обычный 11 11" xfId="92"/>
    <cellStyle name="Обычный 11 12" xfId="94"/>
    <cellStyle name="Обычный 11 2" xfId="12"/>
    <cellStyle name="Обычный 11 3" xfId="73"/>
    <cellStyle name="Обычный 11 4" xfId="79"/>
    <cellStyle name="Обычный 11 5" xfId="81"/>
    <cellStyle name="Обычный 11 6" xfId="83"/>
    <cellStyle name="Обычный 11 7" xfId="85"/>
    <cellStyle name="Обычный 11 8" xfId="6"/>
    <cellStyle name="Обычный 11 9" xfId="5"/>
    <cellStyle name="Обычный 12" xfId="13"/>
    <cellStyle name="Обычный 12 2" xfId="69"/>
    <cellStyle name="Обычный 13" xfId="72"/>
    <cellStyle name="Обычный 13 3" xfId="97"/>
    <cellStyle name="Обычный 14" xfId="74"/>
    <cellStyle name="Обычный 15" xfId="75"/>
    <cellStyle name="Обычный 16" xfId="77"/>
    <cellStyle name="Обычный 16 2" xfId="99"/>
    <cellStyle name="Обычный 17" xfId="11"/>
    <cellStyle name="Обычный 18" xfId="78"/>
    <cellStyle name="Обычный 19" xfId="80"/>
    <cellStyle name="Обычный 2" xfId="14"/>
    <cellStyle name="Обычный 2 2" xfId="49"/>
    <cellStyle name="Обычный 2 2 2" xfId="53"/>
    <cellStyle name="Обычный 2 2 3" xfId="70"/>
    <cellStyle name="Обычный 2 3" xfId="8"/>
    <cellStyle name="Обычный 2 3 2" xfId="54"/>
    <cellStyle name="Обычный 2 4" xfId="52"/>
    <cellStyle name="Обычный 2 5" xfId="58"/>
    <cellStyle name="Обычный 2 6" xfId="61"/>
    <cellStyle name="Обычный 2 7" xfId="71"/>
    <cellStyle name="Обычный 2 8" xfId="48"/>
    <cellStyle name="Обычный 2_kes ua-propoz" xfId="55"/>
    <cellStyle name="Обычный 20" xfId="82"/>
    <cellStyle name="Обычный 21" xfId="84"/>
    <cellStyle name="Обычный 22" xfId="7"/>
    <cellStyle name="Обычный 22 2" xfId="87"/>
    <cellStyle name="Обычный 23" xfId="9"/>
    <cellStyle name="Обычный 23 2" xfId="88"/>
    <cellStyle name="Обычный 24" xfId="89"/>
    <cellStyle name="Обычный 25" xfId="91"/>
    <cellStyle name="Обычный 26" xfId="93"/>
    <cellStyle name="Обычный 27" xfId="15"/>
    <cellStyle name="Обычный 3" xfId="62"/>
    <cellStyle name="Обычный 4" xfId="3"/>
    <cellStyle name="Обычный 4 2" xfId="63"/>
    <cellStyle name="Обычный 5" xfId="10"/>
    <cellStyle name="Обычный 5 3" xfId="60"/>
    <cellStyle name="Обычный 6" xfId="65"/>
    <cellStyle name="Обычный 7" xfId="66"/>
    <cellStyle name="Обычный 8" xfId="67"/>
    <cellStyle name="Обычный 9" xfId="68"/>
    <cellStyle name="Обычный 9 2" xfId="59"/>
    <cellStyle name="Обычный 9 3" xfId="86"/>
    <cellStyle name="Финансовый" xfId="98" builtinId="3"/>
    <cellStyle name="Финансовый 2" xfId="1"/>
    <cellStyle name="Финансовый 3" xfId="96"/>
    <cellStyle name="Финансовый 4" xfId="9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62"/>
  <sheetViews>
    <sheetView tabSelected="1" topLeftCell="A19" zoomScale="70" zoomScaleNormal="70" workbookViewId="0">
      <selection activeCell="G40" sqref="G40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631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398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161" customFormat="1" ht="19.8" customHeight="1" x14ac:dyDescent="0.3">
      <c r="A21" s="193" t="s">
        <v>54</v>
      </c>
      <c r="B21" s="322" t="s">
        <v>399</v>
      </c>
      <c r="C21" s="193" t="s">
        <v>35</v>
      </c>
      <c r="D21" s="323">
        <v>0.14099999999999999</v>
      </c>
      <c r="E21" s="324">
        <v>28559.17</v>
      </c>
      <c r="F21" s="325">
        <f>D21*E21</f>
        <v>4026.8429699999992</v>
      </c>
      <c r="G21" s="186"/>
      <c r="H21" s="187"/>
      <c r="I21" s="187"/>
      <c r="J21" s="164"/>
      <c r="K21" s="188"/>
      <c r="L21" s="188">
        <f>J21*K21</f>
        <v>0</v>
      </c>
      <c r="M21" s="189" t="s">
        <v>626</v>
      </c>
    </row>
    <row r="22" spans="1:13" s="161" customFormat="1" ht="24" customHeight="1" x14ac:dyDescent="0.3">
      <c r="A22" s="155" t="s">
        <v>400</v>
      </c>
      <c r="B22" s="185" t="s">
        <v>401</v>
      </c>
      <c r="C22" s="155" t="s">
        <v>40</v>
      </c>
      <c r="D22" s="222">
        <v>4.2839999999999998</v>
      </c>
      <c r="E22" s="217">
        <v>2978.42</v>
      </c>
      <c r="F22" s="159">
        <f t="shared" ref="F22:F29" si="0">D22*E22</f>
        <v>12759.55128</v>
      </c>
      <c r="G22" s="186"/>
      <c r="H22" s="187"/>
      <c r="I22" s="187"/>
      <c r="J22" s="164"/>
      <c r="K22" s="188"/>
      <c r="L22" s="188">
        <f t="shared" ref="L22:L29" si="1">J22*K22</f>
        <v>0</v>
      </c>
      <c r="M22" s="189" t="s">
        <v>626</v>
      </c>
    </row>
    <row r="23" spans="1:13" s="51" customFormat="1" ht="20.399999999999999" customHeight="1" x14ac:dyDescent="0.3">
      <c r="A23" s="66" t="s">
        <v>184</v>
      </c>
      <c r="B23" s="67" t="s">
        <v>402</v>
      </c>
      <c r="C23" s="66" t="s">
        <v>34</v>
      </c>
      <c r="D23" s="118">
        <v>11</v>
      </c>
      <c r="E23" s="57">
        <v>554.29999999999995</v>
      </c>
      <c r="F23" s="98">
        <f t="shared" si="0"/>
        <v>6097.2999999999993</v>
      </c>
      <c r="G23" s="147" t="s">
        <v>566</v>
      </c>
      <c r="H23" s="147" t="s">
        <v>567</v>
      </c>
      <c r="I23" s="147" t="s">
        <v>34</v>
      </c>
      <c r="J23" s="148">
        <v>11</v>
      </c>
      <c r="K23" s="148">
        <f>L23/J23</f>
        <v>566.66999999999996</v>
      </c>
      <c r="L23" s="148">
        <v>6233.37</v>
      </c>
      <c r="M23" s="182" t="s">
        <v>592</v>
      </c>
    </row>
    <row r="24" spans="1:13" s="51" customFormat="1" ht="20.399999999999999" customHeight="1" x14ac:dyDescent="0.3">
      <c r="A24" s="66" t="s">
        <v>403</v>
      </c>
      <c r="B24" s="67" t="s">
        <v>404</v>
      </c>
      <c r="C24" s="66" t="s">
        <v>56</v>
      </c>
      <c r="D24" s="118">
        <v>94</v>
      </c>
      <c r="E24" s="57">
        <v>60.42</v>
      </c>
      <c r="F24" s="98">
        <f t="shared" si="0"/>
        <v>5679.4800000000005</v>
      </c>
      <c r="G24" s="180"/>
      <c r="H24" s="147"/>
      <c r="I24" s="147"/>
      <c r="J24" s="148"/>
      <c r="K24" s="93"/>
      <c r="L24" s="92">
        <f t="shared" si="1"/>
        <v>0</v>
      </c>
      <c r="M24" s="326" t="s">
        <v>632</v>
      </c>
    </row>
    <row r="25" spans="1:13" s="51" customFormat="1" ht="20.399999999999999" customHeight="1" x14ac:dyDescent="0.3">
      <c r="A25" s="66" t="s">
        <v>187</v>
      </c>
      <c r="B25" s="67" t="s">
        <v>405</v>
      </c>
      <c r="C25" s="66" t="s">
        <v>34</v>
      </c>
      <c r="D25" s="118">
        <v>96</v>
      </c>
      <c r="E25" s="57">
        <v>900</v>
      </c>
      <c r="F25" s="98">
        <f t="shared" si="0"/>
        <v>86400</v>
      </c>
      <c r="G25" s="147" t="s">
        <v>512</v>
      </c>
      <c r="H25" s="147" t="s">
        <v>513</v>
      </c>
      <c r="I25" s="147" t="s">
        <v>34</v>
      </c>
      <c r="J25" s="148">
        <v>96</v>
      </c>
      <c r="K25" s="148">
        <f>L25/J25</f>
        <v>805</v>
      </c>
      <c r="L25" s="148">
        <v>77280</v>
      </c>
      <c r="M25" s="182" t="s">
        <v>592</v>
      </c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80"/>
      <c r="H26" s="147"/>
      <c r="I26" s="147"/>
      <c r="J26" s="148"/>
      <c r="K26" s="93"/>
      <c r="L26" s="92">
        <f t="shared" si="1"/>
        <v>0</v>
      </c>
      <c r="M26" s="182"/>
    </row>
    <row r="27" spans="1:13" s="51" customFormat="1" x14ac:dyDescent="0.3">
      <c r="A27" s="66"/>
      <c r="B27" s="67"/>
      <c r="C27" s="66"/>
      <c r="D27" s="57"/>
      <c r="E27" s="57"/>
      <c r="F27" s="98">
        <f t="shared" si="0"/>
        <v>0</v>
      </c>
      <c r="G27" s="180"/>
      <c r="H27" s="147"/>
      <c r="I27" s="147"/>
      <c r="J27" s="148"/>
      <c r="K27" s="93"/>
      <c r="L27" s="92">
        <f t="shared" si="1"/>
        <v>0</v>
      </c>
      <c r="M27" s="182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83"/>
      <c r="H28" s="184"/>
      <c r="I28" s="184"/>
      <c r="J28" s="153"/>
      <c r="K28" s="93"/>
      <c r="L28" s="92">
        <f t="shared" si="1"/>
        <v>0</v>
      </c>
      <c r="M28" s="182"/>
    </row>
    <row r="29" spans="1:13" s="51" customFormat="1" x14ac:dyDescent="0.3">
      <c r="A29" s="66"/>
      <c r="B29" s="67"/>
      <c r="C29" s="66"/>
      <c r="D29" s="118"/>
      <c r="E29" s="57"/>
      <c r="F29" s="98">
        <f t="shared" si="0"/>
        <v>0</v>
      </c>
      <c r="G29" s="93"/>
      <c r="H29" s="93"/>
      <c r="I29" s="182"/>
      <c r="J29" s="182"/>
      <c r="K29" s="93"/>
      <c r="L29" s="92">
        <f t="shared" si="1"/>
        <v>0</v>
      </c>
      <c r="M29" s="182"/>
    </row>
    <row r="30" spans="1:13" ht="15.6" x14ac:dyDescent="0.3">
      <c r="A30" s="46"/>
      <c r="B30" s="47" t="s">
        <v>24</v>
      </c>
      <c r="C30" s="48"/>
      <c r="D30" s="49"/>
      <c r="E30" s="49"/>
      <c r="F30" s="50">
        <f>SUM(F21:F29)</f>
        <v>114963.17425</v>
      </c>
      <c r="G30" s="35"/>
      <c r="H30" s="34"/>
      <c r="I30" s="36"/>
      <c r="J30" s="33">
        <f>SUM(J21:J29)</f>
        <v>107</v>
      </c>
      <c r="K30" s="33"/>
      <c r="L30" s="45">
        <f>SUM(L21:L29)</f>
        <v>83513.37</v>
      </c>
      <c r="M30" s="58"/>
    </row>
    <row r="31" spans="1:13" ht="16.2" thickBot="1" x14ac:dyDescent="0.35">
      <c r="A31" s="107"/>
      <c r="B31" s="108"/>
      <c r="C31" s="109"/>
      <c r="D31" s="110"/>
      <c r="E31" s="110"/>
      <c r="F31" s="110"/>
      <c r="G31" s="111"/>
      <c r="H31" s="112"/>
      <c r="I31" s="113"/>
      <c r="J31" s="114"/>
      <c r="K31" s="114"/>
      <c r="L31" s="114"/>
      <c r="M31" s="115"/>
    </row>
    <row r="32" spans="1:13" ht="15.6" customHeight="1" x14ac:dyDescent="0.3">
      <c r="A32" s="310" t="s">
        <v>38</v>
      </c>
      <c r="B32" s="311"/>
      <c r="C32" s="311"/>
      <c r="D32" s="311"/>
      <c r="E32" s="311"/>
      <c r="F32" s="311"/>
      <c r="G32" s="314" t="s">
        <v>26</v>
      </c>
      <c r="H32" s="314"/>
      <c r="I32" s="314"/>
      <c r="J32" s="314"/>
      <c r="K32" s="314"/>
      <c r="L32" s="314"/>
      <c r="M32" s="315"/>
    </row>
    <row r="33" spans="1:16" ht="15.6" customHeight="1" thickBot="1" x14ac:dyDescent="0.35">
      <c r="A33" s="312"/>
      <c r="B33" s="313"/>
      <c r="C33" s="313"/>
      <c r="D33" s="313"/>
      <c r="E33" s="313"/>
      <c r="F33" s="313"/>
      <c r="G33" s="316"/>
      <c r="H33" s="316"/>
      <c r="I33" s="316"/>
      <c r="J33" s="316"/>
      <c r="K33" s="316"/>
      <c r="L33" s="316"/>
      <c r="M33" s="317"/>
    </row>
    <row r="34" spans="1:16" x14ac:dyDescent="0.3">
      <c r="A34" s="56"/>
      <c r="B34" s="42"/>
      <c r="C34" s="38"/>
      <c r="D34" s="39"/>
      <c r="E34" s="57"/>
      <c r="F34" s="57"/>
      <c r="G34" s="121" t="s">
        <v>568</v>
      </c>
      <c r="H34" s="121" t="s">
        <v>569</v>
      </c>
      <c r="I34" s="121" t="s">
        <v>34</v>
      </c>
      <c r="J34" s="122">
        <v>250</v>
      </c>
      <c r="K34" s="122">
        <f>L34/J34</f>
        <v>0.5</v>
      </c>
      <c r="L34" s="131">
        <v>125</v>
      </c>
      <c r="M34" s="60"/>
    </row>
    <row r="35" spans="1:16" x14ac:dyDescent="0.3">
      <c r="A35" s="56"/>
      <c r="B35" s="42"/>
      <c r="C35" s="38"/>
      <c r="D35" s="39"/>
      <c r="E35" s="57"/>
      <c r="F35" s="57"/>
      <c r="G35" s="121" t="s">
        <v>570</v>
      </c>
      <c r="H35" s="121" t="s">
        <v>571</v>
      </c>
      <c r="I35" s="121" t="s">
        <v>34</v>
      </c>
      <c r="J35" s="122">
        <v>1</v>
      </c>
      <c r="K35" s="122">
        <f>L35/J35</f>
        <v>75</v>
      </c>
      <c r="L35" s="131">
        <v>75</v>
      </c>
      <c r="M35" s="60"/>
    </row>
    <row r="36" spans="1:16" x14ac:dyDescent="0.3">
      <c r="A36" s="56"/>
      <c r="B36" s="42"/>
      <c r="C36" s="38"/>
      <c r="D36" s="39"/>
      <c r="E36" s="57"/>
      <c r="F36" s="57"/>
      <c r="G36" s="121" t="s">
        <v>534</v>
      </c>
      <c r="H36" s="121" t="s">
        <v>535</v>
      </c>
      <c r="I36" s="121" t="s">
        <v>44</v>
      </c>
      <c r="J36" s="122">
        <v>0.6</v>
      </c>
      <c r="K36" s="122">
        <f>L36/J36</f>
        <v>1250</v>
      </c>
      <c r="L36" s="131">
        <v>750</v>
      </c>
      <c r="M36" s="60"/>
    </row>
    <row r="37" spans="1:16" x14ac:dyDescent="0.3">
      <c r="A37" s="56"/>
      <c r="B37" s="42"/>
      <c r="C37" s="38"/>
      <c r="D37" s="39"/>
      <c r="E37" s="57"/>
      <c r="F37" s="57"/>
      <c r="G37" s="74" t="s">
        <v>633</v>
      </c>
      <c r="H37" s="71" t="s">
        <v>635</v>
      </c>
      <c r="I37" s="71" t="s">
        <v>34</v>
      </c>
      <c r="J37" s="72">
        <v>11</v>
      </c>
      <c r="K37" s="75">
        <v>39</v>
      </c>
      <c r="L37" s="75">
        <f>K37*J37</f>
        <v>429</v>
      </c>
      <c r="M37" s="60"/>
      <c r="P37" s="44"/>
    </row>
    <row r="38" spans="1:16" x14ac:dyDescent="0.3">
      <c r="A38" s="56"/>
      <c r="B38" s="42"/>
      <c r="C38" s="38"/>
      <c r="D38" s="39"/>
      <c r="E38" s="57"/>
      <c r="F38" s="57"/>
      <c r="G38" s="74" t="s">
        <v>634</v>
      </c>
      <c r="H38" s="71" t="s">
        <v>636</v>
      </c>
      <c r="I38" s="71" t="s">
        <v>34</v>
      </c>
      <c r="J38" s="72">
        <v>2</v>
      </c>
      <c r="K38" s="75">
        <v>49.4</v>
      </c>
      <c r="L38" s="75">
        <f t="shared" ref="L38:L39" si="2">K38*J38</f>
        <v>98.8</v>
      </c>
      <c r="M38" s="60"/>
      <c r="P38" s="44"/>
    </row>
    <row r="39" spans="1:16" x14ac:dyDescent="0.3">
      <c r="A39" s="56"/>
      <c r="B39" s="55"/>
      <c r="C39" s="59"/>
      <c r="D39" s="59"/>
      <c r="E39" s="59"/>
      <c r="F39" s="59"/>
      <c r="G39" s="74"/>
      <c r="H39" s="71"/>
      <c r="I39" s="71"/>
      <c r="J39" s="72"/>
      <c r="K39" s="75"/>
      <c r="L39" s="75">
        <f t="shared" si="2"/>
        <v>0</v>
      </c>
      <c r="M39" s="60"/>
      <c r="P39" s="44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  <c r="P40" s="44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K43" s="75"/>
      <c r="L43" s="75"/>
      <c r="M43" s="60"/>
    </row>
    <row r="44" spans="1:16" x14ac:dyDescent="0.3">
      <c r="A44" s="56"/>
      <c r="B44" s="42"/>
      <c r="C44" s="38"/>
      <c r="D44" s="39"/>
      <c r="E44" s="40"/>
      <c r="F44" s="41"/>
      <c r="G44" s="74"/>
      <c r="H44" s="71"/>
      <c r="I44" s="71"/>
      <c r="J44" s="72"/>
      <c r="K44" s="75"/>
      <c r="L44" s="75"/>
      <c r="M44" s="60"/>
      <c r="P44" s="44"/>
    </row>
    <row r="45" spans="1:16" x14ac:dyDescent="0.3">
      <c r="A45" s="56"/>
      <c r="B45" s="42"/>
      <c r="C45" s="38"/>
      <c r="D45" s="39"/>
      <c r="E45" s="40"/>
      <c r="F45" s="41"/>
      <c r="G45" s="74"/>
      <c r="H45" s="71"/>
      <c r="I45" s="71"/>
      <c r="J45" s="72"/>
      <c r="K45" s="75"/>
      <c r="L45" s="75"/>
      <c r="M45" s="60"/>
      <c r="P45" s="44"/>
    </row>
    <row r="46" spans="1:16" x14ac:dyDescent="0.3">
      <c r="A46" s="56"/>
      <c r="B46" s="42"/>
      <c r="C46" s="38"/>
      <c r="D46" s="39"/>
      <c r="E46" s="40"/>
      <c r="F46" s="41"/>
      <c r="G46" s="74"/>
      <c r="H46" s="71"/>
      <c r="I46" s="71"/>
      <c r="J46" s="72"/>
      <c r="L46" s="73"/>
      <c r="M46" s="60"/>
      <c r="P46" s="44"/>
    </row>
    <row r="47" spans="1:16" ht="15" thickBot="1" x14ac:dyDescent="0.35">
      <c r="A47" s="56"/>
      <c r="B47" s="42"/>
      <c r="C47" s="38"/>
      <c r="D47" s="39"/>
      <c r="E47" s="40"/>
      <c r="F47" s="41"/>
      <c r="G47" s="61"/>
      <c r="H47" s="61"/>
      <c r="I47" s="61"/>
      <c r="J47" s="62"/>
      <c r="K47" s="62"/>
      <c r="L47" s="63"/>
      <c r="M47" s="60"/>
      <c r="P47" s="44"/>
    </row>
    <row r="48" spans="1:16" ht="21.6" thickBot="1" x14ac:dyDescent="0.35">
      <c r="A48" s="27"/>
      <c r="B48" s="28" t="s">
        <v>31</v>
      </c>
      <c r="C48" s="29"/>
      <c r="D48" s="30">
        <f>SUM(D34:D47)</f>
        <v>0</v>
      </c>
      <c r="E48" s="30"/>
      <c r="F48" s="31">
        <f>SUM(F34:F47)</f>
        <v>0</v>
      </c>
      <c r="G48" s="24"/>
      <c r="H48" s="25"/>
      <c r="I48" s="25"/>
      <c r="J48" s="26">
        <f>SUM(J34:J47)</f>
        <v>264.60000000000002</v>
      </c>
      <c r="K48" s="26"/>
      <c r="L48" s="26">
        <f>SUM(L34:L47)</f>
        <v>1477.8</v>
      </c>
      <c r="M48" s="14"/>
    </row>
    <row r="49" spans="1:16" ht="21.6" thickBot="1" x14ac:dyDescent="0.35">
      <c r="A49" s="15"/>
      <c r="B49" s="16" t="s">
        <v>32</v>
      </c>
      <c r="C49" s="17"/>
      <c r="D49" s="18">
        <f>D30+D48</f>
        <v>0</v>
      </c>
      <c r="E49" s="18"/>
      <c r="F49" s="19">
        <f>F30+F48</f>
        <v>114963.17425</v>
      </c>
      <c r="G49" s="20"/>
      <c r="H49" s="21"/>
      <c r="I49" s="21"/>
      <c r="J49" s="22">
        <f>J30+J48</f>
        <v>371.6</v>
      </c>
      <c r="K49" s="22"/>
      <c r="L49" s="22">
        <f>L30+L48</f>
        <v>84991.17</v>
      </c>
      <c r="M49" s="23"/>
    </row>
    <row r="50" spans="1:16" ht="25.05" customHeight="1" x14ac:dyDescent="0.4">
      <c r="A50" s="298" t="s">
        <v>12</v>
      </c>
      <c r="B50" s="298"/>
      <c r="C50" s="298"/>
      <c r="D50" s="298"/>
      <c r="E50" s="298"/>
      <c r="F50" s="298"/>
      <c r="G50" s="298"/>
      <c r="H50" s="298"/>
      <c r="I50" s="298"/>
      <c r="J50" s="85"/>
      <c r="K50" s="85"/>
      <c r="L50" s="85"/>
      <c r="M50" s="7"/>
    </row>
    <row r="51" spans="1:16" ht="25.05" customHeight="1" x14ac:dyDescent="0.4">
      <c r="A51" s="288" t="s">
        <v>13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43">
        <f>L48*100/L30</f>
        <v>1.7695370214374058</v>
      </c>
      <c r="M51" s="7"/>
    </row>
    <row r="52" spans="1:16" ht="25.05" customHeight="1" x14ac:dyDescent="0.4">
      <c r="A52" s="289" t="s">
        <v>14</v>
      </c>
      <c r="B52" s="289"/>
      <c r="C52" s="289"/>
      <c r="D52" s="289"/>
      <c r="E52" s="289"/>
      <c r="F52" s="289"/>
      <c r="G52" s="289"/>
      <c r="H52" s="289"/>
      <c r="I52" s="289"/>
      <c r="J52" s="86"/>
      <c r="K52" s="86"/>
      <c r="L52" s="86"/>
      <c r="M52" s="7"/>
    </row>
    <row r="53" spans="1:16" ht="25.05" customHeight="1" x14ac:dyDescent="0.4">
      <c r="A53" s="288" t="s">
        <v>15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16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17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18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17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288" t="s">
        <v>19</v>
      </c>
      <c r="B58" s="288"/>
      <c r="C58" s="288"/>
      <c r="D58" s="288"/>
      <c r="E58" s="288"/>
      <c r="F58" s="288"/>
      <c r="G58" s="288"/>
      <c r="H58" s="288"/>
      <c r="I58" s="288"/>
      <c r="J58" s="84"/>
      <c r="K58" s="84"/>
      <c r="L58" s="84"/>
      <c r="M58" s="7"/>
    </row>
    <row r="59" spans="1:16" ht="25.05" customHeight="1" x14ac:dyDescent="0.4">
      <c r="A59" s="288" t="s">
        <v>11</v>
      </c>
      <c r="B59" s="288"/>
      <c r="C59" s="288"/>
      <c r="D59" s="288"/>
      <c r="E59" s="288"/>
      <c r="F59" s="288"/>
      <c r="G59" s="288"/>
      <c r="H59" s="288"/>
      <c r="I59" s="288"/>
      <c r="J59" s="84"/>
      <c r="K59" s="84"/>
      <c r="L59" s="84"/>
      <c r="M59" s="7"/>
    </row>
    <row r="60" spans="1:16" ht="25.05" customHeight="1" x14ac:dyDescent="0.4">
      <c r="A60" s="288" t="s">
        <v>20</v>
      </c>
      <c r="B60" s="288"/>
      <c r="C60" s="288"/>
      <c r="D60" s="288"/>
      <c r="E60" s="288"/>
      <c r="F60" s="288"/>
      <c r="G60" s="288"/>
      <c r="H60" s="288"/>
      <c r="I60" s="288"/>
      <c r="J60" s="84"/>
      <c r="K60" s="84"/>
      <c r="L60" s="84"/>
      <c r="M60" s="7"/>
    </row>
    <row r="61" spans="1:16" ht="25.05" customHeight="1" x14ac:dyDescent="0.4">
      <c r="A61" s="318" t="s">
        <v>33</v>
      </c>
      <c r="B61" s="318"/>
      <c r="C61" s="318"/>
      <c r="D61" s="318"/>
      <c r="E61" s="318"/>
      <c r="F61" s="318"/>
      <c r="G61" s="318"/>
      <c r="H61" s="318"/>
      <c r="I61" s="318"/>
      <c r="J61" s="87"/>
      <c r="K61" s="87"/>
      <c r="L61" s="87"/>
      <c r="M61" s="7"/>
    </row>
    <row r="62" spans="1:16" s="5" customFormat="1" ht="36" customHeight="1" x14ac:dyDescent="0.3">
      <c r="B62"/>
      <c r="H62"/>
      <c r="I62" s="6"/>
      <c r="J62" s="6"/>
      <c r="K62" s="6"/>
      <c r="L62" s="6"/>
      <c r="M62"/>
      <c r="N62"/>
      <c r="O62"/>
      <c r="P62"/>
    </row>
  </sheetData>
  <mergeCells count="33">
    <mergeCell ref="H17:L17"/>
    <mergeCell ref="M17:M18"/>
    <mergeCell ref="A32:F33"/>
    <mergeCell ref="G32:M33"/>
    <mergeCell ref="A61:I61"/>
    <mergeCell ref="A55:I55"/>
    <mergeCell ref="A57:I57"/>
    <mergeCell ref="A58:I58"/>
    <mergeCell ref="A59:I59"/>
    <mergeCell ref="A60:I60"/>
    <mergeCell ref="A56:I56"/>
    <mergeCell ref="A51:I51"/>
    <mergeCell ref="A52:I52"/>
    <mergeCell ref="A53:I53"/>
    <mergeCell ref="A54:I54"/>
    <mergeCell ref="A13:M13"/>
    <mergeCell ref="A14:M14"/>
    <mergeCell ref="A15:L15"/>
    <mergeCell ref="A16:F16"/>
    <mergeCell ref="G16:M16"/>
    <mergeCell ref="A50:I50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topLeftCell="A7" zoomScale="70" zoomScaleNormal="70" workbookViewId="0">
      <selection activeCell="M22" sqref="M22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628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397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6.2" customHeight="1" x14ac:dyDescent="0.3">
      <c r="A21" s="65" t="s">
        <v>244</v>
      </c>
      <c r="B21" s="104" t="s">
        <v>449</v>
      </c>
      <c r="C21" s="65" t="s">
        <v>117</v>
      </c>
      <c r="D21" s="106">
        <v>1</v>
      </c>
      <c r="E21" s="105">
        <v>257501.07</v>
      </c>
      <c r="F21" s="98">
        <f>D21*E21</f>
        <v>257501.07</v>
      </c>
      <c r="G21" s="121" t="s">
        <v>447</v>
      </c>
      <c r="H21" s="121" t="s">
        <v>448</v>
      </c>
      <c r="I21" s="121" t="s">
        <v>34</v>
      </c>
      <c r="J21" s="122">
        <v>1</v>
      </c>
      <c r="K21" s="122">
        <f>L21/J21</f>
        <v>238010.1</v>
      </c>
      <c r="L21" s="123">
        <v>238010.1</v>
      </c>
      <c r="M21" s="13" t="s">
        <v>592</v>
      </c>
    </row>
    <row r="22" spans="1:13" s="51" customFormat="1" x14ac:dyDescent="0.3">
      <c r="A22" s="66"/>
      <c r="B22" s="67"/>
      <c r="C22" s="66"/>
      <c r="D22" s="118"/>
      <c r="E22" s="57"/>
      <c r="F22" s="98">
        <f t="shared" ref="F22:F26" si="0">D22*E22</f>
        <v>0</v>
      </c>
      <c r="G22" s="120"/>
      <c r="H22" s="121"/>
      <c r="I22" s="121"/>
      <c r="J22" s="122"/>
      <c r="K22" s="92"/>
      <c r="L22" s="89">
        <f t="shared" ref="L22:L26" si="1">J22*K22</f>
        <v>0</v>
      </c>
      <c r="M22" s="13"/>
    </row>
    <row r="23" spans="1:13" s="51" customFormat="1" x14ac:dyDescent="0.3">
      <c r="A23" s="66"/>
      <c r="B23" s="67"/>
      <c r="C23" s="66"/>
      <c r="D23" s="118"/>
      <c r="E23" s="57"/>
      <c r="F23" s="98">
        <f t="shared" si="0"/>
        <v>0</v>
      </c>
      <c r="G23" s="125"/>
      <c r="H23" s="126"/>
      <c r="I23" s="126"/>
      <c r="J23" s="127"/>
      <c r="K23" s="93"/>
      <c r="L23" s="89">
        <f t="shared" si="1"/>
        <v>0</v>
      </c>
      <c r="M23" s="76"/>
    </row>
    <row r="24" spans="1:13" s="51" customFormat="1" x14ac:dyDescent="0.3">
      <c r="A24" s="66"/>
      <c r="B24" s="67"/>
      <c r="C24" s="66"/>
      <c r="D24" s="118"/>
      <c r="E24" s="57"/>
      <c r="F24" s="98">
        <f t="shared" si="0"/>
        <v>0</v>
      </c>
      <c r="G24" s="120"/>
      <c r="H24" s="121"/>
      <c r="I24" s="121"/>
      <c r="J24" s="122"/>
      <c r="K24" s="93"/>
      <c r="L24" s="89">
        <f t="shared" si="1"/>
        <v>0</v>
      </c>
      <c r="M24" s="76"/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22"/>
      <c r="K25" s="93"/>
      <c r="L25" s="89">
        <f t="shared" si="1"/>
        <v>0</v>
      </c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>
        <f t="shared" si="1"/>
        <v>0</v>
      </c>
      <c r="M26" s="76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257501.07</v>
      </c>
      <c r="G27" s="35"/>
      <c r="H27" s="34"/>
      <c r="I27" s="36"/>
      <c r="J27" s="33">
        <f>SUM(J21:J26)</f>
        <v>1</v>
      </c>
      <c r="K27" s="33"/>
      <c r="L27" s="45">
        <f>SUM(L21:L26)</f>
        <v>238010.1</v>
      </c>
      <c r="M27" s="58"/>
    </row>
    <row r="28" spans="1:13" ht="16.2" thickBot="1" x14ac:dyDescent="0.35">
      <c r="A28" s="107"/>
      <c r="B28" s="108"/>
      <c r="C28" s="109"/>
      <c r="D28" s="110"/>
      <c r="E28" s="110"/>
      <c r="F28" s="110"/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121"/>
      <c r="H31" s="121"/>
      <c r="I31" s="121"/>
      <c r="J31" s="122"/>
      <c r="K31" s="122"/>
      <c r="L31" s="123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x14ac:dyDescent="0.3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5"/>
      <c r="M33" s="60"/>
    </row>
    <row r="34" spans="1:16" x14ac:dyDescent="0.3">
      <c r="A34" s="56"/>
      <c r="B34" s="42"/>
      <c r="C34" s="38"/>
      <c r="D34" s="39"/>
      <c r="E34" s="57"/>
      <c r="F34" s="57"/>
      <c r="G34" s="74"/>
      <c r="H34" s="71"/>
      <c r="I34" s="71"/>
      <c r="J34" s="72"/>
      <c r="K34" s="75"/>
      <c r="L34" s="75"/>
      <c r="M34" s="60"/>
      <c r="P34" s="44"/>
    </row>
    <row r="35" spans="1:16" x14ac:dyDescent="0.3">
      <c r="A35" s="56"/>
      <c r="B35" s="42"/>
      <c r="C35" s="38"/>
      <c r="D35" s="39"/>
      <c r="E35" s="57"/>
      <c r="F35" s="57"/>
      <c r="G35" s="74"/>
      <c r="H35" s="71"/>
      <c r="I35" s="71"/>
      <c r="J35" s="72"/>
      <c r="K35" s="75"/>
      <c r="L35" s="75"/>
      <c r="M35" s="60"/>
      <c r="P35" s="44"/>
    </row>
    <row r="36" spans="1:16" x14ac:dyDescent="0.3">
      <c r="A36" s="56"/>
      <c r="B36" s="55"/>
      <c r="C36" s="59"/>
      <c r="D36" s="59"/>
      <c r="E36" s="59"/>
      <c r="F36" s="59"/>
      <c r="G36" s="74"/>
      <c r="H36" s="71"/>
      <c r="I36" s="71"/>
      <c r="J36" s="72"/>
      <c r="K36" s="75"/>
      <c r="L36" s="75"/>
      <c r="M36" s="60"/>
      <c r="P36" s="44"/>
    </row>
    <row r="37" spans="1:16" x14ac:dyDescent="0.3">
      <c r="A37" s="56"/>
      <c r="B37" s="42"/>
      <c r="C37" s="38"/>
      <c r="D37" s="39"/>
      <c r="E37" s="40"/>
      <c r="F37" s="41"/>
      <c r="G37" s="74"/>
      <c r="H37" s="71"/>
      <c r="I37" s="71"/>
      <c r="J37" s="72"/>
      <c r="K37" s="75"/>
      <c r="L37" s="75"/>
      <c r="M37" s="60"/>
      <c r="P37" s="44"/>
    </row>
    <row r="38" spans="1:16" x14ac:dyDescent="0.3">
      <c r="A38" s="56"/>
      <c r="B38" s="42"/>
      <c r="C38" s="38"/>
      <c r="D38" s="39"/>
      <c r="E38" s="40"/>
      <c r="F38" s="41"/>
      <c r="G38" s="74"/>
      <c r="H38" s="71"/>
      <c r="I38" s="71"/>
      <c r="J38" s="72"/>
      <c r="K38" s="75"/>
      <c r="L38" s="75"/>
      <c r="M38" s="60"/>
    </row>
    <row r="39" spans="1:16" x14ac:dyDescent="0.3">
      <c r="A39" s="56"/>
      <c r="B39" s="42"/>
      <c r="C39" s="38"/>
      <c r="D39" s="39"/>
      <c r="E39" s="40"/>
      <c r="F39" s="41"/>
      <c r="G39" s="74"/>
      <c r="H39" s="71"/>
      <c r="I39" s="71"/>
      <c r="J39" s="72"/>
      <c r="K39" s="75"/>
      <c r="L39" s="75"/>
      <c r="M39" s="60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L43" s="73"/>
      <c r="M43" s="60"/>
      <c r="P43" s="44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SUM(D31:D44)</f>
        <v>0</v>
      </c>
      <c r="E45" s="30"/>
      <c r="F45" s="31">
        <f>SUM(F31:F44)</f>
        <v>0</v>
      </c>
      <c r="G45" s="24"/>
      <c r="H45" s="25"/>
      <c r="I45" s="25"/>
      <c r="J45" s="26">
        <f>SUM(J31:J44)</f>
        <v>0</v>
      </c>
      <c r="K45" s="26"/>
      <c r="L45" s="26">
        <f>SUM(L31:L44)</f>
        <v>0</v>
      </c>
      <c r="M45" s="14"/>
    </row>
    <row r="46" spans="1:16" ht="21.6" thickBot="1" x14ac:dyDescent="0.35">
      <c r="A46" s="15"/>
      <c r="B46" s="16" t="s">
        <v>32</v>
      </c>
      <c r="C46" s="17"/>
      <c r="D46" s="18">
        <f>D27+D45</f>
        <v>0</v>
      </c>
      <c r="E46" s="18"/>
      <c r="F46" s="19">
        <f>F27+F45</f>
        <v>257501.07</v>
      </c>
      <c r="G46" s="20"/>
      <c r="H46" s="21"/>
      <c r="I46" s="21"/>
      <c r="J46" s="22">
        <f>J27+J45</f>
        <v>1</v>
      </c>
      <c r="K46" s="22"/>
      <c r="L46" s="22">
        <f>L27+L45</f>
        <v>238010.1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5"/>
      <c r="K47" s="85"/>
      <c r="L47" s="85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43">
        <f>L45*100/L27</f>
        <v>0</v>
      </c>
      <c r="M48" s="7"/>
    </row>
    <row r="49" spans="1:16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86"/>
      <c r="K49" s="86"/>
      <c r="L49" s="86"/>
      <c r="M49" s="7"/>
    </row>
    <row r="50" spans="1:16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87"/>
      <c r="K58" s="87"/>
      <c r="L58" s="87"/>
      <c r="M58" s="7"/>
    </row>
    <row r="59" spans="1:16" s="5" customFormat="1" ht="36" customHeight="1" x14ac:dyDescent="0.3">
      <c r="B59"/>
      <c r="H59"/>
      <c r="I59" s="6"/>
      <c r="J59" s="6"/>
      <c r="K59" s="6"/>
      <c r="L59" s="6"/>
      <c r="M59"/>
      <c r="N59"/>
      <c r="O59"/>
      <c r="P59"/>
    </row>
  </sheetData>
  <mergeCells count="33">
    <mergeCell ref="H17:L17"/>
    <mergeCell ref="M17:M18"/>
    <mergeCell ref="A29:F30"/>
    <mergeCell ref="G29:M30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13:M13"/>
    <mergeCell ref="A14:M14"/>
    <mergeCell ref="A15:L15"/>
    <mergeCell ref="A16:F16"/>
    <mergeCell ref="G16:M16"/>
    <mergeCell ref="A47:I4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topLeftCell="A15" zoomScale="70" zoomScaleNormal="70" workbookViewId="0">
      <selection activeCell="B28" sqref="B28:F28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629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394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5" t="s">
        <v>244</v>
      </c>
      <c r="B21" s="104" t="s">
        <v>395</v>
      </c>
      <c r="C21" s="65" t="s">
        <v>117</v>
      </c>
      <c r="D21" s="106">
        <v>1</v>
      </c>
      <c r="E21" s="105">
        <v>239300.18</v>
      </c>
      <c r="F21" s="98">
        <f>D21*E21</f>
        <v>239300.18</v>
      </c>
      <c r="G21" s="121" t="s">
        <v>443</v>
      </c>
      <c r="H21" s="121" t="s">
        <v>444</v>
      </c>
      <c r="I21" s="121" t="s">
        <v>34</v>
      </c>
      <c r="J21" s="122">
        <v>1</v>
      </c>
      <c r="K21" s="122">
        <f>L21/J21</f>
        <v>221180</v>
      </c>
      <c r="L21" s="123">
        <v>221180</v>
      </c>
      <c r="M21" s="13" t="s">
        <v>592</v>
      </c>
    </row>
    <row r="22" spans="1:13" s="51" customFormat="1" x14ac:dyDescent="0.3">
      <c r="A22" s="65" t="s">
        <v>307</v>
      </c>
      <c r="B22" s="104" t="s">
        <v>396</v>
      </c>
      <c r="C22" s="65" t="s">
        <v>117</v>
      </c>
      <c r="D22" s="106">
        <v>1</v>
      </c>
      <c r="E22" s="105">
        <v>169770.43</v>
      </c>
      <c r="F22" s="98">
        <f t="shared" ref="F22:F26" si="0">D22*E22</f>
        <v>169770.43</v>
      </c>
      <c r="G22" s="121" t="s">
        <v>445</v>
      </c>
      <c r="H22" s="121" t="s">
        <v>446</v>
      </c>
      <c r="I22" s="121" t="s">
        <v>34</v>
      </c>
      <c r="J22" s="122">
        <v>1</v>
      </c>
      <c r="K22" s="122">
        <f>L22/J22</f>
        <v>156920.1</v>
      </c>
      <c r="L22" s="123">
        <v>156920.1</v>
      </c>
      <c r="M22" s="13" t="s">
        <v>592</v>
      </c>
    </row>
    <row r="23" spans="1:13" s="51" customFormat="1" x14ac:dyDescent="0.3">
      <c r="A23" s="66"/>
      <c r="B23" s="67"/>
      <c r="C23" s="66"/>
      <c r="D23" s="118"/>
      <c r="E23" s="57"/>
      <c r="F23" s="98">
        <f t="shared" si="0"/>
        <v>0</v>
      </c>
      <c r="G23" s="125"/>
      <c r="H23" s="126"/>
      <c r="I23" s="126"/>
      <c r="J23" s="127"/>
      <c r="K23" s="93"/>
      <c r="L23" s="89">
        <f t="shared" ref="L23:L26" si="1">J23*K23</f>
        <v>0</v>
      </c>
      <c r="M23" s="76"/>
    </row>
    <row r="24" spans="1:13" s="51" customFormat="1" x14ac:dyDescent="0.3">
      <c r="A24" s="66"/>
      <c r="B24" s="67"/>
      <c r="C24" s="66"/>
      <c r="D24" s="118"/>
      <c r="E24" s="57"/>
      <c r="F24" s="98">
        <f t="shared" si="0"/>
        <v>0</v>
      </c>
      <c r="G24" s="120"/>
      <c r="H24" s="121"/>
      <c r="I24" s="121"/>
      <c r="J24" s="122"/>
      <c r="K24" s="93"/>
      <c r="L24" s="89">
        <f t="shared" si="1"/>
        <v>0</v>
      </c>
      <c r="M24" s="76"/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22"/>
      <c r="K25" s="93"/>
      <c r="L25" s="89">
        <f t="shared" si="1"/>
        <v>0</v>
      </c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>
        <f t="shared" si="1"/>
        <v>0</v>
      </c>
      <c r="M26" s="76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409070.61</v>
      </c>
      <c r="G27" s="35"/>
      <c r="H27" s="34"/>
      <c r="I27" s="36"/>
      <c r="J27" s="33">
        <f>SUM(J21:J26)</f>
        <v>2</v>
      </c>
      <c r="K27" s="33"/>
      <c r="L27" s="45">
        <f>SUM(L21:L26)</f>
        <v>378100.1</v>
      </c>
      <c r="M27" s="58"/>
    </row>
    <row r="28" spans="1:13" ht="16.2" thickBot="1" x14ac:dyDescent="0.35">
      <c r="A28" s="107"/>
      <c r="B28" s="108"/>
      <c r="C28" s="109"/>
      <c r="D28" s="110"/>
      <c r="E28" s="110"/>
      <c r="F28" s="110"/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121" t="s">
        <v>106</v>
      </c>
      <c r="H31" s="121" t="s">
        <v>107</v>
      </c>
      <c r="I31" s="121" t="s">
        <v>81</v>
      </c>
      <c r="J31" s="122">
        <v>12</v>
      </c>
      <c r="K31" s="122">
        <f>L31/J31</f>
        <v>109.325</v>
      </c>
      <c r="L31" s="123">
        <v>1311.9</v>
      </c>
      <c r="M31" s="60"/>
    </row>
    <row r="32" spans="1:13" x14ac:dyDescent="0.3">
      <c r="A32" s="56"/>
      <c r="B32" s="42"/>
      <c r="C32" s="38"/>
      <c r="D32" s="39"/>
      <c r="E32" s="57"/>
      <c r="F32" s="57"/>
      <c r="G32" s="121" t="s">
        <v>106</v>
      </c>
      <c r="H32" s="121" t="s">
        <v>107</v>
      </c>
      <c r="I32" s="121" t="s">
        <v>81</v>
      </c>
      <c r="J32" s="122">
        <v>37</v>
      </c>
      <c r="K32" s="122">
        <f>L32/J32</f>
        <v>109.32486486486486</v>
      </c>
      <c r="L32" s="123">
        <v>4045.02</v>
      </c>
      <c r="M32" s="60"/>
    </row>
    <row r="33" spans="1:16" x14ac:dyDescent="0.3">
      <c r="A33" s="56"/>
      <c r="B33" s="42"/>
      <c r="C33" s="38"/>
      <c r="D33" s="39"/>
      <c r="E33" s="57"/>
      <c r="F33" s="57"/>
      <c r="G33" s="121" t="s">
        <v>111</v>
      </c>
      <c r="H33" s="121" t="s">
        <v>112</v>
      </c>
      <c r="I33" s="121" t="s">
        <v>34</v>
      </c>
      <c r="J33" s="122">
        <v>8</v>
      </c>
      <c r="K33" s="122">
        <v>162.19200000000001</v>
      </c>
      <c r="L33" s="123">
        <f>J33*K33</f>
        <v>1297.5360000000001</v>
      </c>
      <c r="M33" s="60"/>
    </row>
    <row r="34" spans="1:16" x14ac:dyDescent="0.3">
      <c r="A34" s="56"/>
      <c r="B34" s="42"/>
      <c r="C34" s="38"/>
      <c r="D34" s="39"/>
      <c r="E34" s="57"/>
      <c r="F34" s="57"/>
      <c r="G34" s="121" t="s">
        <v>572</v>
      </c>
      <c r="H34" s="121" t="s">
        <v>573</v>
      </c>
      <c r="I34" s="121" t="s">
        <v>574</v>
      </c>
      <c r="J34" s="122">
        <v>1</v>
      </c>
      <c r="K34" s="122">
        <f>L34/J34</f>
        <v>20.97</v>
      </c>
      <c r="L34" s="131">
        <v>20.97</v>
      </c>
      <c r="M34" s="60"/>
      <c r="P34" s="44"/>
    </row>
    <row r="35" spans="1:16" x14ac:dyDescent="0.3">
      <c r="A35" s="56"/>
      <c r="B35" s="42"/>
      <c r="C35" s="38"/>
      <c r="D35" s="39"/>
      <c r="E35" s="57"/>
      <c r="F35" s="57"/>
      <c r="G35" s="121" t="s">
        <v>575</v>
      </c>
      <c r="H35" s="121" t="s">
        <v>576</v>
      </c>
      <c r="I35" s="121" t="s">
        <v>574</v>
      </c>
      <c r="J35" s="122">
        <v>1</v>
      </c>
      <c r="K35" s="122">
        <f>L35/J35</f>
        <v>24.11</v>
      </c>
      <c r="L35" s="131">
        <v>24.11</v>
      </c>
      <c r="M35" s="60"/>
      <c r="P35" s="44"/>
    </row>
    <row r="36" spans="1:16" x14ac:dyDescent="0.3">
      <c r="A36" s="56"/>
      <c r="B36" s="55"/>
      <c r="C36" s="59"/>
      <c r="D36" s="59">
        <f>F28*0.02</f>
        <v>0</v>
      </c>
      <c r="E36" s="59"/>
      <c r="F36" s="59"/>
      <c r="G36" s="121" t="s">
        <v>577</v>
      </c>
      <c r="H36" s="121" t="s">
        <v>578</v>
      </c>
      <c r="I36" s="121" t="s">
        <v>574</v>
      </c>
      <c r="J36" s="122">
        <v>1</v>
      </c>
      <c r="K36" s="122">
        <f>L36/J36</f>
        <v>35.39</v>
      </c>
      <c r="L36" s="131">
        <v>35.39</v>
      </c>
      <c r="M36" s="60"/>
      <c r="P36" s="44"/>
    </row>
    <row r="37" spans="1:16" x14ac:dyDescent="0.3">
      <c r="A37" s="56"/>
      <c r="B37" s="42"/>
      <c r="C37" s="38"/>
      <c r="D37" s="39"/>
      <c r="E37" s="40"/>
      <c r="F37" s="41"/>
      <c r="G37" s="121" t="s">
        <v>579</v>
      </c>
      <c r="H37" s="121" t="s">
        <v>580</v>
      </c>
      <c r="I37" s="121" t="s">
        <v>34</v>
      </c>
      <c r="J37" s="122">
        <v>10</v>
      </c>
      <c r="K37" s="122">
        <v>416.76</v>
      </c>
      <c r="L37" s="123">
        <f>J37*K37</f>
        <v>4167.6000000000004</v>
      </c>
      <c r="M37" s="60"/>
      <c r="P37" s="44"/>
    </row>
    <row r="38" spans="1:16" x14ac:dyDescent="0.3">
      <c r="A38" s="56"/>
      <c r="B38" s="42"/>
      <c r="C38" s="38"/>
      <c r="D38" s="39"/>
      <c r="E38" s="40"/>
      <c r="F38" s="41"/>
      <c r="G38" s="121" t="s">
        <v>93</v>
      </c>
      <c r="H38" s="121" t="s">
        <v>94</v>
      </c>
      <c r="I38" s="121" t="s">
        <v>48</v>
      </c>
      <c r="J38" s="122">
        <v>1</v>
      </c>
      <c r="K38" s="122">
        <f>L38/J38</f>
        <v>31.17</v>
      </c>
      <c r="L38" s="131">
        <v>31.17</v>
      </c>
      <c r="M38" s="60"/>
    </row>
    <row r="39" spans="1:16" x14ac:dyDescent="0.3">
      <c r="A39" s="56"/>
      <c r="B39" s="42"/>
      <c r="C39" s="38"/>
      <c r="D39" s="39"/>
      <c r="E39" s="40"/>
      <c r="F39" s="41"/>
      <c r="G39" s="74"/>
      <c r="H39" s="71"/>
      <c r="I39" s="71"/>
      <c r="J39" s="72"/>
      <c r="K39" s="75"/>
      <c r="L39" s="75"/>
      <c r="M39" s="60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L43" s="73"/>
      <c r="M43" s="60"/>
      <c r="P43" s="44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SUM(D31:D44)</f>
        <v>0</v>
      </c>
      <c r="E45" s="30"/>
      <c r="F45" s="31">
        <f>SUM(F31:F44)</f>
        <v>0</v>
      </c>
      <c r="G45" s="24"/>
      <c r="H45" s="25"/>
      <c r="I45" s="25"/>
      <c r="J45" s="26">
        <f>SUM(J31:J44)</f>
        <v>71</v>
      </c>
      <c r="K45" s="26"/>
      <c r="L45" s="26">
        <f>SUM(L31:L44)</f>
        <v>10933.696000000002</v>
      </c>
      <c r="M45" s="14"/>
    </row>
    <row r="46" spans="1:16" ht="21.6" thickBot="1" x14ac:dyDescent="0.35">
      <c r="A46" s="15"/>
      <c r="B46" s="16" t="s">
        <v>32</v>
      </c>
      <c r="C46" s="17"/>
      <c r="D46" s="18">
        <f>D27+D45</f>
        <v>0</v>
      </c>
      <c r="E46" s="18"/>
      <c r="F46" s="19">
        <f>F27+F45</f>
        <v>409070.61</v>
      </c>
      <c r="G46" s="20"/>
      <c r="H46" s="21"/>
      <c r="I46" s="21"/>
      <c r="J46" s="22">
        <f>J27+J45</f>
        <v>73</v>
      </c>
      <c r="K46" s="22"/>
      <c r="L46" s="22">
        <f>L27+L45</f>
        <v>389033.79599999997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5"/>
      <c r="K47" s="85"/>
      <c r="L47" s="85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43">
        <f>L45*100/L27</f>
        <v>2.8917463920268736</v>
      </c>
      <c r="M48" s="7"/>
    </row>
    <row r="49" spans="1:16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86"/>
      <c r="K49" s="86"/>
      <c r="L49" s="86"/>
      <c r="M49" s="7"/>
    </row>
    <row r="50" spans="1:16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87"/>
      <c r="K58" s="87"/>
      <c r="L58" s="87"/>
      <c r="M58" s="7"/>
    </row>
    <row r="59" spans="1:16" s="5" customFormat="1" ht="36" customHeight="1" x14ac:dyDescent="0.3">
      <c r="B59"/>
      <c r="H59"/>
      <c r="I59" s="6"/>
      <c r="J59" s="6"/>
      <c r="K59" s="6"/>
      <c r="L59" s="6"/>
      <c r="M59"/>
      <c r="N59"/>
      <c r="O59"/>
      <c r="P59"/>
    </row>
  </sheetData>
  <mergeCells count="33">
    <mergeCell ref="H17:L17"/>
    <mergeCell ref="M17:M18"/>
    <mergeCell ref="A29:F30"/>
    <mergeCell ref="G29:M30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13:M13"/>
    <mergeCell ref="A14:M14"/>
    <mergeCell ref="A15:L15"/>
    <mergeCell ref="A16:F16"/>
    <mergeCell ref="G16:M16"/>
    <mergeCell ref="A47:I4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topLeftCell="A12" zoomScale="70" zoomScaleNormal="70" workbookViewId="0">
      <selection activeCell="B28" sqref="B28:F28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630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76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 t="s">
        <v>389</v>
      </c>
      <c r="B21" s="67" t="s">
        <v>390</v>
      </c>
      <c r="C21" s="66" t="s">
        <v>34</v>
      </c>
      <c r="D21" s="118">
        <v>2</v>
      </c>
      <c r="E21" s="57">
        <v>8055.57</v>
      </c>
      <c r="F21" s="98">
        <f>D21*E21</f>
        <v>16111.14</v>
      </c>
      <c r="G21" s="121" t="s">
        <v>88</v>
      </c>
      <c r="H21" s="121" t="s">
        <v>89</v>
      </c>
      <c r="I21" s="121" t="s">
        <v>34</v>
      </c>
      <c r="J21" s="122">
        <v>2</v>
      </c>
      <c r="K21" s="122">
        <f>L21/J21</f>
        <v>7323.25</v>
      </c>
      <c r="L21" s="123">
        <v>14646.5</v>
      </c>
      <c r="M21" s="13" t="s">
        <v>592</v>
      </c>
    </row>
    <row r="22" spans="1:13" s="51" customFormat="1" x14ac:dyDescent="0.3">
      <c r="A22" s="66" t="s">
        <v>58</v>
      </c>
      <c r="B22" s="67" t="s">
        <v>391</v>
      </c>
      <c r="C22" s="66" t="s">
        <v>34</v>
      </c>
      <c r="D22" s="118">
        <v>10</v>
      </c>
      <c r="E22" s="57">
        <v>98.03</v>
      </c>
      <c r="F22" s="98">
        <f t="shared" ref="F22:F26" si="0">D22*E22</f>
        <v>980.3</v>
      </c>
      <c r="G22" s="121" t="s">
        <v>524</v>
      </c>
      <c r="H22" s="121" t="s">
        <v>525</v>
      </c>
      <c r="I22" s="121" t="s">
        <v>34</v>
      </c>
      <c r="J22" s="122">
        <v>10</v>
      </c>
      <c r="K22" s="122">
        <f>L22/J22</f>
        <v>89.111999999999995</v>
      </c>
      <c r="L22" s="131">
        <v>891.12</v>
      </c>
      <c r="M22" s="13" t="s">
        <v>592</v>
      </c>
    </row>
    <row r="23" spans="1:13" s="51" customFormat="1" x14ac:dyDescent="0.3">
      <c r="A23" s="66" t="s">
        <v>392</v>
      </c>
      <c r="B23" s="67" t="s">
        <v>393</v>
      </c>
      <c r="C23" s="66" t="s">
        <v>34</v>
      </c>
      <c r="D23" s="118">
        <v>40</v>
      </c>
      <c r="E23" s="57">
        <v>115.94</v>
      </c>
      <c r="F23" s="98">
        <f t="shared" si="0"/>
        <v>4637.6000000000004</v>
      </c>
      <c r="G23" s="121" t="s">
        <v>496</v>
      </c>
      <c r="H23" s="121" t="s">
        <v>497</v>
      </c>
      <c r="I23" s="121" t="s">
        <v>34</v>
      </c>
      <c r="J23" s="122">
        <v>1</v>
      </c>
      <c r="K23" s="122">
        <f>L23/J23</f>
        <v>105.4</v>
      </c>
      <c r="L23" s="131">
        <v>105.4</v>
      </c>
      <c r="M23" s="76" t="s">
        <v>592</v>
      </c>
    </row>
    <row r="24" spans="1:13" s="51" customFormat="1" x14ac:dyDescent="0.3">
      <c r="A24" s="66"/>
      <c r="B24" s="67"/>
      <c r="C24" s="66"/>
      <c r="D24" s="118"/>
      <c r="E24" s="57"/>
      <c r="F24" s="98">
        <f t="shared" si="0"/>
        <v>0</v>
      </c>
      <c r="G24" s="121" t="s">
        <v>496</v>
      </c>
      <c r="H24" s="121" t="s">
        <v>497</v>
      </c>
      <c r="I24" s="121" t="s">
        <v>34</v>
      </c>
      <c r="J24" s="122">
        <v>39</v>
      </c>
      <c r="K24" s="122">
        <f>L24/J24</f>
        <v>105.39589743589742</v>
      </c>
      <c r="L24" s="123">
        <v>4110.4399999999996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22"/>
      <c r="K25" s="93"/>
      <c r="L25" s="89">
        <f t="shared" ref="L25:L26" si="1">J25*K25</f>
        <v>0</v>
      </c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>
        <f t="shared" si="1"/>
        <v>0</v>
      </c>
      <c r="M26" s="76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21729.040000000001</v>
      </c>
      <c r="G27" s="35"/>
      <c r="H27" s="34"/>
      <c r="I27" s="36"/>
      <c r="J27" s="33">
        <f>SUM(J21:J26)</f>
        <v>52</v>
      </c>
      <c r="K27" s="33"/>
      <c r="L27" s="45">
        <f>SUM(L21:L26)</f>
        <v>19753.46</v>
      </c>
      <c r="M27" s="58"/>
    </row>
    <row r="28" spans="1:13" ht="16.2" thickBot="1" x14ac:dyDescent="0.35">
      <c r="A28" s="107"/>
      <c r="B28" s="108"/>
      <c r="C28" s="109"/>
      <c r="D28" s="110"/>
      <c r="E28" s="110"/>
      <c r="F28" s="110"/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5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x14ac:dyDescent="0.3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5"/>
      <c r="M33" s="60"/>
    </row>
    <row r="34" spans="1:16" x14ac:dyDescent="0.3">
      <c r="A34" s="56"/>
      <c r="B34" s="42"/>
      <c r="C34" s="38"/>
      <c r="D34" s="39"/>
      <c r="E34" s="57"/>
      <c r="F34" s="57"/>
      <c r="G34" s="74"/>
      <c r="H34" s="71"/>
      <c r="I34" s="71"/>
      <c r="J34" s="72"/>
      <c r="K34" s="75"/>
      <c r="L34" s="75"/>
      <c r="M34" s="60"/>
      <c r="P34" s="44"/>
    </row>
    <row r="35" spans="1:16" x14ac:dyDescent="0.3">
      <c r="A35" s="56"/>
      <c r="B35" s="42"/>
      <c r="C35" s="38"/>
      <c r="D35" s="39"/>
      <c r="E35" s="57"/>
      <c r="F35" s="57"/>
      <c r="G35" s="74"/>
      <c r="H35" s="71"/>
      <c r="I35" s="71"/>
      <c r="J35" s="72"/>
      <c r="K35" s="75"/>
      <c r="L35" s="75"/>
      <c r="M35" s="60"/>
      <c r="P35" s="44"/>
    </row>
    <row r="36" spans="1:16" x14ac:dyDescent="0.3">
      <c r="A36" s="56"/>
      <c r="B36" s="55"/>
      <c r="C36" s="59"/>
      <c r="D36" s="59"/>
      <c r="E36" s="59"/>
      <c r="F36" s="59"/>
      <c r="G36" s="74"/>
      <c r="H36" s="71"/>
      <c r="I36" s="71"/>
      <c r="J36" s="72"/>
      <c r="K36" s="75"/>
      <c r="L36" s="75"/>
      <c r="M36" s="60"/>
      <c r="P36" s="44"/>
    </row>
    <row r="37" spans="1:16" x14ac:dyDescent="0.3">
      <c r="A37" s="56"/>
      <c r="B37" s="42"/>
      <c r="C37" s="38"/>
      <c r="D37" s="39"/>
      <c r="E37" s="40"/>
      <c r="F37" s="41"/>
      <c r="G37" s="74"/>
      <c r="H37" s="71"/>
      <c r="I37" s="71"/>
      <c r="J37" s="72"/>
      <c r="K37" s="75"/>
      <c r="L37" s="75"/>
      <c r="M37" s="60"/>
      <c r="P37" s="44"/>
    </row>
    <row r="38" spans="1:16" x14ac:dyDescent="0.3">
      <c r="A38" s="56"/>
      <c r="B38" s="42"/>
      <c r="C38" s="38"/>
      <c r="D38" s="39"/>
      <c r="E38" s="40"/>
      <c r="F38" s="41"/>
      <c r="G38" s="74"/>
      <c r="H38" s="71"/>
      <c r="I38" s="71"/>
      <c r="J38" s="72"/>
      <c r="K38" s="75"/>
      <c r="L38" s="75"/>
      <c r="M38" s="60"/>
    </row>
    <row r="39" spans="1:16" x14ac:dyDescent="0.3">
      <c r="A39" s="56"/>
      <c r="B39" s="42"/>
      <c r="C39" s="38"/>
      <c r="D39" s="39"/>
      <c r="E39" s="40"/>
      <c r="F39" s="41"/>
      <c r="G39" s="74"/>
      <c r="H39" s="71"/>
      <c r="I39" s="71"/>
      <c r="J39" s="72"/>
      <c r="K39" s="75"/>
      <c r="L39" s="75"/>
      <c r="M39" s="60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L43" s="73"/>
      <c r="M43" s="60"/>
      <c r="P43" s="44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SUM(D31:D44)</f>
        <v>0</v>
      </c>
      <c r="E45" s="30"/>
      <c r="F45" s="31">
        <f>SUM(F31:F44)</f>
        <v>0</v>
      </c>
      <c r="G45" s="24"/>
      <c r="H45" s="25"/>
      <c r="I45" s="25"/>
      <c r="J45" s="26">
        <f>SUM(J31:J44)</f>
        <v>0</v>
      </c>
      <c r="K45" s="26"/>
      <c r="L45" s="26">
        <f>SUM(L31:L44)</f>
        <v>0</v>
      </c>
      <c r="M45" s="14"/>
    </row>
    <row r="46" spans="1:16" ht="21.6" thickBot="1" x14ac:dyDescent="0.35">
      <c r="A46" s="15"/>
      <c r="B46" s="16" t="s">
        <v>32</v>
      </c>
      <c r="C46" s="17"/>
      <c r="D46" s="18">
        <f>D27+D45</f>
        <v>0</v>
      </c>
      <c r="E46" s="18"/>
      <c r="F46" s="19">
        <f>F27+F45</f>
        <v>21729.040000000001</v>
      </c>
      <c r="G46" s="20"/>
      <c r="H46" s="21"/>
      <c r="I46" s="21"/>
      <c r="J46" s="22">
        <f>J27+J45</f>
        <v>52</v>
      </c>
      <c r="K46" s="22"/>
      <c r="L46" s="22">
        <f>L27+L45</f>
        <v>19753.46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5"/>
      <c r="K47" s="85"/>
      <c r="L47" s="85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43">
        <f>L45*100/L27</f>
        <v>0</v>
      </c>
      <c r="M48" s="7"/>
    </row>
    <row r="49" spans="1:16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86"/>
      <c r="K49" s="86"/>
      <c r="L49" s="86"/>
      <c r="M49" s="7"/>
    </row>
    <row r="50" spans="1:16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87"/>
      <c r="K58" s="87"/>
      <c r="L58" s="87"/>
      <c r="M58" s="7"/>
    </row>
    <row r="59" spans="1:16" s="5" customFormat="1" ht="36" customHeight="1" x14ac:dyDescent="0.3">
      <c r="B59"/>
      <c r="H59"/>
      <c r="I59" s="6"/>
      <c r="J59" s="6"/>
      <c r="K59" s="6"/>
      <c r="L59" s="6"/>
      <c r="M59"/>
      <c r="N59"/>
      <c r="O59"/>
      <c r="P59"/>
    </row>
  </sheetData>
  <mergeCells count="33">
    <mergeCell ref="H17:L17"/>
    <mergeCell ref="M17:M18"/>
    <mergeCell ref="A29:F30"/>
    <mergeCell ref="G29:M30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13:M13"/>
    <mergeCell ref="A14:M14"/>
    <mergeCell ref="A15:L15"/>
    <mergeCell ref="A16:F16"/>
    <mergeCell ref="G16:M16"/>
    <mergeCell ref="A47:I4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75"/>
  <sheetViews>
    <sheetView topLeftCell="A18" zoomScale="70" zoomScaleNormal="70" workbookViewId="0">
      <selection activeCell="M41" sqref="M41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627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362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27" customHeight="1" x14ac:dyDescent="0.3">
      <c r="A21" s="66" t="s">
        <v>53</v>
      </c>
      <c r="B21" s="150" t="s">
        <v>73</v>
      </c>
      <c r="C21" s="151" t="s">
        <v>34</v>
      </c>
      <c r="D21" s="152">
        <v>9</v>
      </c>
      <c r="E21" s="152">
        <v>34414.83</v>
      </c>
      <c r="F21" s="98">
        <f>D21*E21</f>
        <v>309733.47000000003</v>
      </c>
      <c r="G21" s="147" t="s">
        <v>104</v>
      </c>
      <c r="H21" s="147" t="s">
        <v>105</v>
      </c>
      <c r="I21" s="147" t="s">
        <v>34</v>
      </c>
      <c r="J21" s="148">
        <v>9</v>
      </c>
      <c r="K21" s="148">
        <v>34166.661111111112</v>
      </c>
      <c r="L21" s="148">
        <f>K21*J21</f>
        <v>307499.95</v>
      </c>
      <c r="M21" s="13" t="s">
        <v>592</v>
      </c>
    </row>
    <row r="22" spans="1:13" s="51" customFormat="1" ht="36" customHeight="1" x14ac:dyDescent="0.3">
      <c r="A22" s="66" t="s">
        <v>360</v>
      </c>
      <c r="B22" s="150" t="s">
        <v>361</v>
      </c>
      <c r="C22" s="151" t="s">
        <v>34</v>
      </c>
      <c r="D22" s="152">
        <v>1</v>
      </c>
      <c r="E22" s="152">
        <v>85870.83</v>
      </c>
      <c r="F22" s="98">
        <f t="shared" ref="F22:F47" si="0">D22*E22</f>
        <v>85870.83</v>
      </c>
      <c r="G22" s="147" t="s">
        <v>468</v>
      </c>
      <c r="H22" s="147" t="s">
        <v>469</v>
      </c>
      <c r="I22" s="147" t="s">
        <v>34</v>
      </c>
      <c r="J22" s="148">
        <v>1</v>
      </c>
      <c r="K22" s="148">
        <v>69932.67</v>
      </c>
      <c r="L22" s="148">
        <f t="shared" ref="L22:L42" si="1">K22*J22</f>
        <v>69932.67</v>
      </c>
      <c r="M22" s="13" t="s">
        <v>592</v>
      </c>
    </row>
    <row r="23" spans="1:13" s="51" customFormat="1" ht="19.8" customHeight="1" x14ac:dyDescent="0.3">
      <c r="A23" s="66" t="s">
        <v>363</v>
      </c>
      <c r="B23" s="150" t="s">
        <v>364</v>
      </c>
      <c r="C23" s="151" t="s">
        <v>34</v>
      </c>
      <c r="D23" s="152">
        <v>12</v>
      </c>
      <c r="E23" s="152">
        <v>574.20000000000005</v>
      </c>
      <c r="F23" s="98">
        <f t="shared" si="0"/>
        <v>6890.4000000000005</v>
      </c>
      <c r="G23" s="147" t="s">
        <v>584</v>
      </c>
      <c r="H23" s="147" t="s">
        <v>585</v>
      </c>
      <c r="I23" s="147" t="s">
        <v>34</v>
      </c>
      <c r="J23" s="148">
        <v>12</v>
      </c>
      <c r="K23" s="148">
        <v>522</v>
      </c>
      <c r="L23" s="148">
        <f t="shared" si="1"/>
        <v>6264</v>
      </c>
      <c r="M23" s="76" t="s">
        <v>592</v>
      </c>
    </row>
    <row r="24" spans="1:13" s="51" customFormat="1" ht="26.4" x14ac:dyDescent="0.3">
      <c r="A24" s="66" t="s">
        <v>365</v>
      </c>
      <c r="B24" s="150" t="s">
        <v>366</v>
      </c>
      <c r="C24" s="151" t="s">
        <v>34</v>
      </c>
      <c r="D24" s="152">
        <v>120</v>
      </c>
      <c r="E24" s="152">
        <v>79.959999999999994</v>
      </c>
      <c r="F24" s="98">
        <f t="shared" si="0"/>
        <v>9595.1999999999989</v>
      </c>
      <c r="G24" s="147" t="s">
        <v>494</v>
      </c>
      <c r="H24" s="147" t="s">
        <v>495</v>
      </c>
      <c r="I24" s="147" t="s">
        <v>34</v>
      </c>
      <c r="J24" s="148">
        <v>75</v>
      </c>
      <c r="K24" s="148">
        <v>72.695999999999998</v>
      </c>
      <c r="L24" s="148">
        <f t="shared" si="1"/>
        <v>5452.2</v>
      </c>
      <c r="M24" s="76" t="s">
        <v>592</v>
      </c>
    </row>
    <row r="25" spans="1:13" s="51" customFormat="1" x14ac:dyDescent="0.3">
      <c r="A25" s="66"/>
      <c r="B25" s="150"/>
      <c r="C25" s="151"/>
      <c r="D25" s="152"/>
      <c r="E25" s="152"/>
      <c r="F25" s="98"/>
      <c r="G25" s="147" t="s">
        <v>494</v>
      </c>
      <c r="H25" s="147" t="s">
        <v>495</v>
      </c>
      <c r="I25" s="147" t="s">
        <v>34</v>
      </c>
      <c r="J25" s="148">
        <v>50</v>
      </c>
      <c r="K25" s="148">
        <v>73.319999999999993</v>
      </c>
      <c r="L25" s="148">
        <f t="shared" si="1"/>
        <v>3665.9999999999995</v>
      </c>
      <c r="M25" s="76" t="s">
        <v>592</v>
      </c>
    </row>
    <row r="26" spans="1:13" s="51" customFormat="1" ht="19.8" customHeight="1" x14ac:dyDescent="0.3">
      <c r="A26" s="66" t="s">
        <v>367</v>
      </c>
      <c r="B26" s="150" t="s">
        <v>368</v>
      </c>
      <c r="C26" s="151" t="s">
        <v>34</v>
      </c>
      <c r="D26" s="152">
        <v>4</v>
      </c>
      <c r="E26" s="152">
        <v>214.76</v>
      </c>
      <c r="F26" s="98">
        <f t="shared" si="0"/>
        <v>859.04</v>
      </c>
      <c r="G26" s="147" t="s">
        <v>115</v>
      </c>
      <c r="H26" s="147" t="s">
        <v>116</v>
      </c>
      <c r="I26" s="147" t="s">
        <v>34</v>
      </c>
      <c r="J26" s="148">
        <v>2</v>
      </c>
      <c r="K26" s="148">
        <v>195.24</v>
      </c>
      <c r="L26" s="148">
        <f t="shared" si="1"/>
        <v>390.48</v>
      </c>
      <c r="M26" s="76" t="s">
        <v>592</v>
      </c>
    </row>
    <row r="27" spans="1:13" s="51" customFormat="1" ht="20.399999999999999" customHeight="1" x14ac:dyDescent="0.3">
      <c r="A27" s="66" t="s">
        <v>369</v>
      </c>
      <c r="B27" s="150" t="s">
        <v>370</v>
      </c>
      <c r="C27" s="151" t="s">
        <v>34</v>
      </c>
      <c r="D27" s="152">
        <v>4</v>
      </c>
      <c r="E27" s="152">
        <v>34.659999999999997</v>
      </c>
      <c r="F27" s="98">
        <f t="shared" si="0"/>
        <v>138.63999999999999</v>
      </c>
      <c r="G27" s="147" t="s">
        <v>126</v>
      </c>
      <c r="H27" s="147" t="s">
        <v>127</v>
      </c>
      <c r="I27" s="147" t="s">
        <v>34</v>
      </c>
      <c r="J27" s="148">
        <v>2</v>
      </c>
      <c r="K27" s="148">
        <v>32.075000000000003</v>
      </c>
      <c r="L27" s="148">
        <f t="shared" si="1"/>
        <v>64.150000000000006</v>
      </c>
      <c r="M27" s="76" t="s">
        <v>592</v>
      </c>
    </row>
    <row r="28" spans="1:13" s="51" customFormat="1" ht="22.8" customHeight="1" x14ac:dyDescent="0.3">
      <c r="A28" s="66" t="s">
        <v>371</v>
      </c>
      <c r="B28" s="150" t="s">
        <v>372</v>
      </c>
      <c r="C28" s="151" t="s">
        <v>34</v>
      </c>
      <c r="D28" s="152">
        <v>250</v>
      </c>
      <c r="E28" s="152">
        <v>2.35</v>
      </c>
      <c r="F28" s="98">
        <f t="shared" si="0"/>
        <v>587.5</v>
      </c>
      <c r="G28" s="147" t="s">
        <v>526</v>
      </c>
      <c r="H28" s="147" t="s">
        <v>527</v>
      </c>
      <c r="I28" s="147" t="s">
        <v>34</v>
      </c>
      <c r="J28" s="148">
        <v>1</v>
      </c>
      <c r="K28" s="148">
        <v>120</v>
      </c>
      <c r="L28" s="148">
        <f t="shared" si="1"/>
        <v>120</v>
      </c>
      <c r="M28" s="76" t="s">
        <v>592</v>
      </c>
    </row>
    <row r="29" spans="1:13" s="51" customFormat="1" x14ac:dyDescent="0.3">
      <c r="A29" s="66"/>
      <c r="B29" s="150"/>
      <c r="C29" s="151"/>
      <c r="D29" s="152"/>
      <c r="E29" s="152"/>
      <c r="F29" s="98"/>
      <c r="G29" s="147" t="s">
        <v>526</v>
      </c>
      <c r="H29" s="147" t="s">
        <v>527</v>
      </c>
      <c r="I29" s="147" t="s">
        <v>34</v>
      </c>
      <c r="J29" s="148">
        <v>2</v>
      </c>
      <c r="K29" s="148">
        <v>120.67</v>
      </c>
      <c r="L29" s="148">
        <f t="shared" si="1"/>
        <v>241.34</v>
      </c>
      <c r="M29" s="76" t="s">
        <v>592</v>
      </c>
    </row>
    <row r="30" spans="1:13" s="51" customFormat="1" x14ac:dyDescent="0.3">
      <c r="A30" s="66" t="s">
        <v>373</v>
      </c>
      <c r="B30" s="150" t="s">
        <v>374</v>
      </c>
      <c r="C30" s="151" t="s">
        <v>34</v>
      </c>
      <c r="D30" s="152">
        <v>280</v>
      </c>
      <c r="E30" s="152">
        <v>15.65</v>
      </c>
      <c r="F30" s="98">
        <f t="shared" si="0"/>
        <v>4382</v>
      </c>
      <c r="G30" s="147" t="s">
        <v>498</v>
      </c>
      <c r="H30" s="147" t="s">
        <v>499</v>
      </c>
      <c r="I30" s="147" t="s">
        <v>34</v>
      </c>
      <c r="J30" s="148">
        <v>220</v>
      </c>
      <c r="K30" s="148">
        <v>14.772</v>
      </c>
      <c r="L30" s="148">
        <f t="shared" si="1"/>
        <v>3249.84</v>
      </c>
      <c r="M30" s="76" t="s">
        <v>592</v>
      </c>
    </row>
    <row r="31" spans="1:13" s="51" customFormat="1" x14ac:dyDescent="0.3">
      <c r="A31" s="66"/>
      <c r="B31" s="150"/>
      <c r="C31" s="151"/>
      <c r="D31" s="152"/>
      <c r="E31" s="152"/>
      <c r="F31" s="98"/>
      <c r="G31" s="147" t="s">
        <v>498</v>
      </c>
      <c r="H31" s="147" t="s">
        <v>499</v>
      </c>
      <c r="I31" s="147" t="s">
        <v>34</v>
      </c>
      <c r="J31" s="148">
        <v>60</v>
      </c>
      <c r="K31" s="148">
        <v>14.231999999999999</v>
      </c>
      <c r="L31" s="148">
        <f t="shared" si="1"/>
        <v>853.92</v>
      </c>
      <c r="M31" s="76" t="s">
        <v>592</v>
      </c>
    </row>
    <row r="32" spans="1:13" s="51" customFormat="1" x14ac:dyDescent="0.3">
      <c r="A32" s="66" t="s">
        <v>375</v>
      </c>
      <c r="B32" s="150" t="s">
        <v>376</v>
      </c>
      <c r="C32" s="151" t="s">
        <v>34</v>
      </c>
      <c r="D32" s="152">
        <v>14</v>
      </c>
      <c r="E32" s="152">
        <v>12.85</v>
      </c>
      <c r="F32" s="98">
        <f t="shared" si="0"/>
        <v>179.9</v>
      </c>
      <c r="G32" s="147" t="s">
        <v>113</v>
      </c>
      <c r="H32" s="147" t="s">
        <v>114</v>
      </c>
      <c r="I32" s="147" t="s">
        <v>34</v>
      </c>
      <c r="J32" s="148">
        <v>6</v>
      </c>
      <c r="K32" s="148">
        <v>12.228333333333333</v>
      </c>
      <c r="L32" s="148">
        <f>K32*J32</f>
        <v>73.37</v>
      </c>
      <c r="M32" s="76" t="s">
        <v>592</v>
      </c>
    </row>
    <row r="33" spans="1:13" s="51" customFormat="1" x14ac:dyDescent="0.3">
      <c r="A33" s="66"/>
      <c r="B33" s="150"/>
      <c r="C33" s="151"/>
      <c r="D33" s="152"/>
      <c r="E33" s="152"/>
      <c r="F33" s="98"/>
      <c r="G33" s="147" t="s">
        <v>113</v>
      </c>
      <c r="H33" s="147" t="s">
        <v>114</v>
      </c>
      <c r="I33" s="147" t="s">
        <v>34</v>
      </c>
      <c r="J33" s="148">
        <v>8</v>
      </c>
      <c r="K33" s="148">
        <v>11.688000000000001</v>
      </c>
      <c r="L33" s="148">
        <f t="shared" ref="L33:L40" si="2">K33*J33</f>
        <v>93.504000000000005</v>
      </c>
      <c r="M33" s="76" t="s">
        <v>592</v>
      </c>
    </row>
    <row r="34" spans="1:13" s="51" customFormat="1" x14ac:dyDescent="0.3">
      <c r="A34" s="66" t="s">
        <v>377</v>
      </c>
      <c r="B34" s="150" t="s">
        <v>378</v>
      </c>
      <c r="C34" s="151" t="s">
        <v>34</v>
      </c>
      <c r="D34" s="152">
        <v>8</v>
      </c>
      <c r="E34" s="152">
        <v>11.75</v>
      </c>
      <c r="F34" s="98">
        <f t="shared" si="0"/>
        <v>94</v>
      </c>
      <c r="G34" s="147" t="s">
        <v>124</v>
      </c>
      <c r="H34" s="147" t="s">
        <v>125</v>
      </c>
      <c r="I34" s="147" t="s">
        <v>34</v>
      </c>
      <c r="J34" s="148">
        <v>2</v>
      </c>
      <c r="K34" s="148">
        <v>11.21</v>
      </c>
      <c r="L34" s="148">
        <f t="shared" si="2"/>
        <v>22.42</v>
      </c>
      <c r="M34" s="76" t="s">
        <v>592</v>
      </c>
    </row>
    <row r="35" spans="1:13" s="51" customFormat="1" x14ac:dyDescent="0.3">
      <c r="A35" s="66"/>
      <c r="B35" s="150"/>
      <c r="C35" s="151"/>
      <c r="D35" s="152"/>
      <c r="E35" s="152"/>
      <c r="F35" s="98"/>
      <c r="G35" s="147" t="s">
        <v>124</v>
      </c>
      <c r="H35" s="147" t="s">
        <v>125</v>
      </c>
      <c r="I35" s="147" t="s">
        <v>34</v>
      </c>
      <c r="J35" s="148">
        <v>6</v>
      </c>
      <c r="K35" s="148">
        <v>10.68</v>
      </c>
      <c r="L35" s="148">
        <f t="shared" si="2"/>
        <v>64.08</v>
      </c>
      <c r="M35" s="76" t="s">
        <v>592</v>
      </c>
    </row>
    <row r="36" spans="1:13" s="51" customFormat="1" x14ac:dyDescent="0.3">
      <c r="A36" s="66" t="s">
        <v>379</v>
      </c>
      <c r="B36" s="150" t="s">
        <v>380</v>
      </c>
      <c r="C36" s="151" t="s">
        <v>34</v>
      </c>
      <c r="D36" s="152">
        <v>450</v>
      </c>
      <c r="E36" s="152">
        <v>1.34</v>
      </c>
      <c r="F36" s="98">
        <f t="shared" si="0"/>
        <v>603</v>
      </c>
      <c r="G36" s="147" t="s">
        <v>504</v>
      </c>
      <c r="H36" s="147" t="s">
        <v>505</v>
      </c>
      <c r="I36" s="147" t="s">
        <v>34</v>
      </c>
      <c r="J36" s="148">
        <v>5</v>
      </c>
      <c r="K36" s="148">
        <v>117.624</v>
      </c>
      <c r="L36" s="148">
        <f t="shared" si="2"/>
        <v>588.12</v>
      </c>
      <c r="M36" s="82" t="s">
        <v>592</v>
      </c>
    </row>
    <row r="37" spans="1:13" s="51" customFormat="1" x14ac:dyDescent="0.3">
      <c r="A37" s="66" t="s">
        <v>381</v>
      </c>
      <c r="B37" s="150" t="s">
        <v>382</v>
      </c>
      <c r="C37" s="151" t="s">
        <v>34</v>
      </c>
      <c r="D37" s="152">
        <v>28</v>
      </c>
      <c r="E37" s="152">
        <v>16.22</v>
      </c>
      <c r="F37" s="98">
        <f t="shared" si="0"/>
        <v>454.15999999999997</v>
      </c>
      <c r="G37" s="147" t="s">
        <v>122</v>
      </c>
      <c r="H37" s="147" t="s">
        <v>123</v>
      </c>
      <c r="I37" s="147" t="s">
        <v>34</v>
      </c>
      <c r="J37" s="148">
        <v>12</v>
      </c>
      <c r="K37" s="148">
        <v>15.275833333333333</v>
      </c>
      <c r="L37" s="148">
        <f t="shared" si="2"/>
        <v>183.31</v>
      </c>
      <c r="M37" s="76" t="s">
        <v>592</v>
      </c>
    </row>
    <row r="38" spans="1:13" s="51" customFormat="1" x14ac:dyDescent="0.3">
      <c r="A38" s="66"/>
      <c r="B38" s="150"/>
      <c r="C38" s="151"/>
      <c r="D38" s="152"/>
      <c r="E38" s="152"/>
      <c r="F38" s="98"/>
      <c r="G38" s="147" t="s">
        <v>122</v>
      </c>
      <c r="H38" s="147" t="s">
        <v>123</v>
      </c>
      <c r="I38" s="147" t="s">
        <v>34</v>
      </c>
      <c r="J38" s="148">
        <v>16</v>
      </c>
      <c r="K38" s="148">
        <v>14.73595238095238</v>
      </c>
      <c r="L38" s="148">
        <f t="shared" si="2"/>
        <v>235.77523809523808</v>
      </c>
      <c r="M38" s="76" t="s">
        <v>592</v>
      </c>
    </row>
    <row r="39" spans="1:13" s="51" customFormat="1" x14ac:dyDescent="0.3">
      <c r="A39" s="66" t="s">
        <v>383</v>
      </c>
      <c r="B39" s="150" t="s">
        <v>384</v>
      </c>
      <c r="C39" s="151" t="s">
        <v>34</v>
      </c>
      <c r="D39" s="152">
        <v>110</v>
      </c>
      <c r="E39" s="152">
        <v>1.43</v>
      </c>
      <c r="F39" s="98">
        <f t="shared" si="0"/>
        <v>157.29999999999998</v>
      </c>
      <c r="G39" s="147" t="s">
        <v>581</v>
      </c>
      <c r="H39" s="147" t="s">
        <v>582</v>
      </c>
      <c r="I39" s="147" t="s">
        <v>34</v>
      </c>
      <c r="J39" s="148">
        <v>1</v>
      </c>
      <c r="K39" s="148">
        <v>130.66999999999999</v>
      </c>
      <c r="L39" s="148">
        <f t="shared" si="2"/>
        <v>130.66999999999999</v>
      </c>
      <c r="M39" s="76" t="s">
        <v>592</v>
      </c>
    </row>
    <row r="40" spans="1:13" s="51" customFormat="1" x14ac:dyDescent="0.3">
      <c r="A40" s="66" t="s">
        <v>385</v>
      </c>
      <c r="B40" s="150" t="s">
        <v>386</v>
      </c>
      <c r="C40" s="151" t="s">
        <v>34</v>
      </c>
      <c r="D40" s="152">
        <v>2700</v>
      </c>
      <c r="E40" s="152">
        <v>1</v>
      </c>
      <c r="F40" s="98">
        <f t="shared" si="0"/>
        <v>2700</v>
      </c>
      <c r="G40" s="147" t="s">
        <v>528</v>
      </c>
      <c r="H40" s="147" t="s">
        <v>529</v>
      </c>
      <c r="I40" s="147" t="s">
        <v>34</v>
      </c>
      <c r="J40" s="148">
        <v>17</v>
      </c>
      <c r="K40" s="148">
        <v>150.72</v>
      </c>
      <c r="L40" s="148">
        <f t="shared" si="2"/>
        <v>2562.2399999999998</v>
      </c>
      <c r="M40" s="76" t="s">
        <v>592</v>
      </c>
    </row>
    <row r="41" spans="1:13" s="51" customFormat="1" x14ac:dyDescent="0.3">
      <c r="A41" s="66" t="s">
        <v>387</v>
      </c>
      <c r="B41" s="150" t="s">
        <v>388</v>
      </c>
      <c r="C41" s="151" t="s">
        <v>34</v>
      </c>
      <c r="D41" s="152">
        <v>7</v>
      </c>
      <c r="E41" s="152">
        <v>178.41</v>
      </c>
      <c r="F41" s="98">
        <f t="shared" si="0"/>
        <v>1248.8699999999999</v>
      </c>
      <c r="G41" s="147" t="s">
        <v>111</v>
      </c>
      <c r="H41" s="147" t="s">
        <v>112</v>
      </c>
      <c r="I41" s="147" t="s">
        <v>34</v>
      </c>
      <c r="J41" s="148">
        <v>5</v>
      </c>
      <c r="K41" s="148">
        <v>162.19200000000001</v>
      </c>
      <c r="L41" s="148">
        <f t="shared" si="1"/>
        <v>810.96</v>
      </c>
      <c r="M41" s="76" t="s">
        <v>592</v>
      </c>
    </row>
    <row r="42" spans="1:13" s="51" customFormat="1" x14ac:dyDescent="0.3">
      <c r="A42" s="66"/>
      <c r="B42" s="67"/>
      <c r="C42" s="66"/>
      <c r="D42" s="118"/>
      <c r="E42" s="57"/>
      <c r="F42" s="98">
        <f t="shared" si="0"/>
        <v>0</v>
      </c>
      <c r="G42" s="147" t="s">
        <v>111</v>
      </c>
      <c r="H42" s="147" t="s">
        <v>112</v>
      </c>
      <c r="I42" s="147" t="s">
        <v>34</v>
      </c>
      <c r="J42" s="148">
        <v>2</v>
      </c>
      <c r="K42" s="148">
        <v>162.19200000000001</v>
      </c>
      <c r="L42" s="148">
        <f t="shared" si="1"/>
        <v>324.38400000000001</v>
      </c>
      <c r="M42" s="76" t="s">
        <v>592</v>
      </c>
    </row>
    <row r="43" spans="1:13" s="51" customFormat="1" x14ac:dyDescent="0.3">
      <c r="A43" s="66"/>
      <c r="B43" s="67"/>
      <c r="C43" s="66"/>
      <c r="D43" s="118"/>
      <c r="E43" s="57"/>
      <c r="F43" s="98">
        <f t="shared" si="0"/>
        <v>0</v>
      </c>
      <c r="G43" s="103"/>
      <c r="H43" s="103"/>
      <c r="I43" s="101"/>
      <c r="J43" s="102"/>
      <c r="K43" s="93"/>
      <c r="L43" s="89"/>
      <c r="M43" s="76"/>
    </row>
    <row r="44" spans="1:13" s="51" customFormat="1" x14ac:dyDescent="0.3">
      <c r="A44" s="66"/>
      <c r="B44" s="67"/>
      <c r="C44" s="66"/>
      <c r="D44" s="118"/>
      <c r="E44" s="57"/>
      <c r="F44" s="98">
        <f t="shared" si="0"/>
        <v>0</v>
      </c>
      <c r="G44" s="103"/>
      <c r="H44" s="103"/>
      <c r="I44" s="101"/>
      <c r="J44" s="102"/>
      <c r="K44" s="93"/>
      <c r="L44" s="89"/>
      <c r="M44" s="76"/>
    </row>
    <row r="45" spans="1:13" s="51" customFormat="1" x14ac:dyDescent="0.3">
      <c r="A45" s="66"/>
      <c r="B45" s="67"/>
      <c r="C45" s="66"/>
      <c r="D45" s="118"/>
      <c r="E45" s="57"/>
      <c r="F45" s="98">
        <f t="shared" si="0"/>
        <v>0</v>
      </c>
      <c r="G45" s="103"/>
      <c r="H45" s="103"/>
      <c r="I45" s="101"/>
      <c r="J45" s="102"/>
      <c r="K45" s="93"/>
      <c r="L45" s="89"/>
      <c r="M45" s="76"/>
    </row>
    <row r="46" spans="1:13" s="51" customFormat="1" x14ac:dyDescent="0.3">
      <c r="A46" s="66"/>
      <c r="B46" s="67"/>
      <c r="C46" s="66"/>
      <c r="D46" s="118"/>
      <c r="E46" s="57"/>
      <c r="F46" s="98">
        <f t="shared" si="0"/>
        <v>0</v>
      </c>
      <c r="G46" s="103"/>
      <c r="H46" s="103"/>
      <c r="I46" s="101"/>
      <c r="J46" s="102"/>
      <c r="K46" s="93"/>
      <c r="L46" s="89"/>
      <c r="M46" s="76"/>
    </row>
    <row r="47" spans="1:13" s="51" customFormat="1" x14ac:dyDescent="0.3">
      <c r="A47" s="66"/>
      <c r="B47" s="67"/>
      <c r="C47" s="66"/>
      <c r="D47" s="118"/>
      <c r="E47" s="57"/>
      <c r="F47" s="98">
        <f t="shared" si="0"/>
        <v>0</v>
      </c>
      <c r="G47" s="103"/>
      <c r="H47" s="103"/>
      <c r="I47" s="101"/>
      <c r="J47" s="102"/>
      <c r="K47" s="93"/>
      <c r="L47" s="89"/>
      <c r="M47" s="76"/>
    </row>
    <row r="48" spans="1:13" ht="15.6" x14ac:dyDescent="0.3">
      <c r="A48" s="46"/>
      <c r="B48" s="47" t="s">
        <v>24</v>
      </c>
      <c r="C48" s="48"/>
      <c r="D48" s="49"/>
      <c r="E48" s="49"/>
      <c r="F48" s="50">
        <f>SUM(F21:F47)</f>
        <v>423494.31000000006</v>
      </c>
      <c r="G48" s="35"/>
      <c r="H48" s="34"/>
      <c r="I48" s="36"/>
      <c r="J48" s="33">
        <f>SUM(J21:J47)</f>
        <v>514</v>
      </c>
      <c r="K48" s="33"/>
      <c r="L48" s="45">
        <f>SUM(L21:L47)</f>
        <v>402823.38323809532</v>
      </c>
      <c r="M48" s="58"/>
    </row>
    <row r="49" spans="1:16" ht="16.2" thickBot="1" x14ac:dyDescent="0.35">
      <c r="A49" s="107"/>
      <c r="B49" s="108"/>
      <c r="C49" s="109"/>
      <c r="D49" s="110"/>
      <c r="E49" s="110"/>
      <c r="F49" s="110"/>
      <c r="G49" s="111"/>
      <c r="H49" s="112"/>
      <c r="I49" s="113"/>
      <c r="J49" s="114"/>
      <c r="K49" s="114"/>
      <c r="L49" s="114"/>
      <c r="M49" s="115"/>
    </row>
    <row r="50" spans="1:16" ht="15.6" customHeight="1" x14ac:dyDescent="0.3">
      <c r="A50" s="310" t="s">
        <v>38</v>
      </c>
      <c r="B50" s="311"/>
      <c r="C50" s="311"/>
      <c r="D50" s="311"/>
      <c r="E50" s="311"/>
      <c r="F50" s="311"/>
      <c r="G50" s="314" t="s">
        <v>26</v>
      </c>
      <c r="H50" s="314"/>
      <c r="I50" s="314"/>
      <c r="J50" s="314"/>
      <c r="K50" s="314"/>
      <c r="L50" s="314"/>
      <c r="M50" s="315"/>
    </row>
    <row r="51" spans="1:16" ht="15.6" customHeight="1" thickBot="1" x14ac:dyDescent="0.35">
      <c r="A51" s="312"/>
      <c r="B51" s="313"/>
      <c r="C51" s="313"/>
      <c r="D51" s="313"/>
      <c r="E51" s="313"/>
      <c r="F51" s="313"/>
      <c r="G51" s="316"/>
      <c r="H51" s="316"/>
      <c r="I51" s="316"/>
      <c r="J51" s="316"/>
      <c r="K51" s="316"/>
      <c r="L51" s="316"/>
      <c r="M51" s="317"/>
    </row>
    <row r="52" spans="1:16" x14ac:dyDescent="0.3">
      <c r="A52" s="56"/>
      <c r="B52" s="42"/>
      <c r="C52" s="38"/>
      <c r="D52" s="39"/>
      <c r="E52" s="57"/>
      <c r="F52" s="57"/>
      <c r="G52" s="121"/>
      <c r="H52" s="121"/>
      <c r="I52" s="121"/>
      <c r="J52" s="122"/>
      <c r="K52" s="122"/>
      <c r="L52" s="123"/>
      <c r="M52" s="60"/>
    </row>
    <row r="53" spans="1:16" x14ac:dyDescent="0.3">
      <c r="A53" s="56"/>
      <c r="B53" s="42"/>
      <c r="C53" s="38"/>
      <c r="D53" s="39"/>
      <c r="E53" s="57"/>
      <c r="F53" s="57"/>
      <c r="G53" s="121"/>
      <c r="H53" s="121"/>
      <c r="I53" s="121"/>
      <c r="J53" s="122"/>
      <c r="K53" s="122"/>
      <c r="L53" s="123"/>
      <c r="M53" s="60"/>
    </row>
    <row r="54" spans="1:16" x14ac:dyDescent="0.3">
      <c r="A54" s="56"/>
      <c r="B54" s="42"/>
      <c r="C54" s="38"/>
      <c r="D54" s="39"/>
      <c r="E54" s="40"/>
      <c r="F54" s="41"/>
      <c r="G54" s="121"/>
      <c r="H54" s="121"/>
      <c r="I54" s="121"/>
      <c r="J54" s="122"/>
      <c r="K54" s="122"/>
      <c r="L54" s="123"/>
      <c r="M54" s="60"/>
    </row>
    <row r="55" spans="1:16" x14ac:dyDescent="0.3">
      <c r="A55" s="56"/>
      <c r="B55" s="42"/>
      <c r="C55" s="38"/>
      <c r="D55" s="39"/>
      <c r="E55" s="40"/>
      <c r="F55" s="41"/>
      <c r="G55" s="74"/>
      <c r="H55" s="71"/>
      <c r="I55" s="71"/>
      <c r="J55" s="72"/>
      <c r="K55" s="75"/>
      <c r="L55" s="75"/>
      <c r="M55" s="60"/>
    </row>
    <row r="56" spans="1:16" x14ac:dyDescent="0.3">
      <c r="A56" s="56"/>
      <c r="B56" s="42"/>
      <c r="C56" s="38"/>
      <c r="D56" s="39"/>
      <c r="E56" s="40"/>
      <c r="F56" s="41"/>
      <c r="G56" s="74"/>
      <c r="H56" s="71"/>
      <c r="I56" s="71"/>
      <c r="J56" s="72"/>
      <c r="K56" s="75"/>
      <c r="L56" s="75"/>
      <c r="M56" s="60"/>
    </row>
    <row r="57" spans="1:16" x14ac:dyDescent="0.3">
      <c r="A57" s="56"/>
      <c r="B57" s="42"/>
      <c r="C57" s="38"/>
      <c r="D57" s="39"/>
      <c r="E57" s="40"/>
      <c r="F57" s="41"/>
      <c r="G57" s="74"/>
      <c r="H57" s="71"/>
      <c r="I57" s="71"/>
      <c r="J57" s="72"/>
      <c r="K57" s="75"/>
      <c r="L57" s="75"/>
      <c r="M57" s="60"/>
      <c r="P57" s="44"/>
    </row>
    <row r="58" spans="1:16" x14ac:dyDescent="0.3">
      <c r="A58" s="56"/>
      <c r="B58" s="42"/>
      <c r="C58" s="38"/>
      <c r="D58" s="39"/>
      <c r="E58" s="40"/>
      <c r="F58" s="41"/>
      <c r="G58" s="74"/>
      <c r="H58" s="71"/>
      <c r="I58" s="71"/>
      <c r="J58" s="72"/>
      <c r="K58" s="75"/>
      <c r="L58" s="75"/>
      <c r="M58" s="60"/>
      <c r="P58" s="44"/>
    </row>
    <row r="59" spans="1:16" x14ac:dyDescent="0.3">
      <c r="A59" s="56"/>
      <c r="B59" s="42"/>
      <c r="C59" s="38"/>
      <c r="D59" s="39"/>
      <c r="E59" s="40"/>
      <c r="F59" s="41"/>
      <c r="G59" s="74"/>
      <c r="H59" s="71"/>
      <c r="I59" s="71"/>
      <c r="J59" s="72"/>
      <c r="L59" s="73"/>
      <c r="M59" s="60"/>
      <c r="P59" s="44"/>
    </row>
    <row r="60" spans="1:16" ht="15" thickBot="1" x14ac:dyDescent="0.35">
      <c r="A60" s="56"/>
      <c r="B60" s="42"/>
      <c r="C60" s="38"/>
      <c r="D60" s="39"/>
      <c r="E60" s="40"/>
      <c r="F60" s="41"/>
      <c r="G60" s="61"/>
      <c r="H60" s="61"/>
      <c r="I60" s="61"/>
      <c r="J60" s="62"/>
      <c r="K60" s="62"/>
      <c r="L60" s="63"/>
      <c r="M60" s="60"/>
      <c r="P60" s="44"/>
    </row>
    <row r="61" spans="1:16" ht="21.6" thickBot="1" x14ac:dyDescent="0.35">
      <c r="A61" s="27"/>
      <c r="B61" s="28" t="s">
        <v>31</v>
      </c>
      <c r="C61" s="29"/>
      <c r="D61" s="30">
        <f>SUM(D52:D60)</f>
        <v>0</v>
      </c>
      <c r="E61" s="30"/>
      <c r="F61" s="31">
        <f>SUM(F52:F60)</f>
        <v>0</v>
      </c>
      <c r="G61" s="24"/>
      <c r="H61" s="25"/>
      <c r="I61" s="25"/>
      <c r="J61" s="26">
        <f>SUM(J52:J60)</f>
        <v>0</v>
      </c>
      <c r="K61" s="26"/>
      <c r="L61" s="26">
        <f>SUM(L52:L60)</f>
        <v>0</v>
      </c>
      <c r="M61" s="14"/>
    </row>
    <row r="62" spans="1:16" ht="21.6" thickBot="1" x14ac:dyDescent="0.35">
      <c r="A62" s="15"/>
      <c r="B62" s="16" t="s">
        <v>32</v>
      </c>
      <c r="C62" s="17"/>
      <c r="D62" s="18">
        <f>D48+D61</f>
        <v>0</v>
      </c>
      <c r="E62" s="18"/>
      <c r="F62" s="19">
        <f>F48+F61</f>
        <v>423494.31000000006</v>
      </c>
      <c r="G62" s="20"/>
      <c r="H62" s="21"/>
      <c r="I62" s="21"/>
      <c r="J62" s="22">
        <f>J48+J61</f>
        <v>514</v>
      </c>
      <c r="K62" s="22"/>
      <c r="L62" s="22">
        <f>L48+L61</f>
        <v>402823.38323809532</v>
      </c>
      <c r="M62" s="23"/>
    </row>
    <row r="63" spans="1:16" ht="25.05" customHeight="1" x14ac:dyDescent="0.4">
      <c r="A63" s="298" t="s">
        <v>12</v>
      </c>
      <c r="B63" s="298"/>
      <c r="C63" s="298"/>
      <c r="D63" s="298"/>
      <c r="E63" s="298"/>
      <c r="F63" s="298"/>
      <c r="G63" s="298"/>
      <c r="H63" s="298"/>
      <c r="I63" s="298"/>
      <c r="J63" s="85"/>
      <c r="K63" s="85"/>
      <c r="L63" s="85"/>
      <c r="M63" s="7"/>
    </row>
    <row r="64" spans="1:16" ht="25.05" customHeight="1" x14ac:dyDescent="0.4">
      <c r="A64" s="288" t="s">
        <v>13</v>
      </c>
      <c r="B64" s="288"/>
      <c r="C64" s="288"/>
      <c r="D64" s="288"/>
      <c r="E64" s="288"/>
      <c r="F64" s="288"/>
      <c r="G64" s="288"/>
      <c r="H64" s="288"/>
      <c r="I64" s="288"/>
      <c r="J64" s="84"/>
      <c r="K64" s="84"/>
      <c r="L64" s="43">
        <f>L61*100/L48</f>
        <v>0</v>
      </c>
      <c r="M64" s="7"/>
    </row>
    <row r="65" spans="1:16" ht="25.05" customHeight="1" x14ac:dyDescent="0.4">
      <c r="A65" s="289" t="s">
        <v>14</v>
      </c>
      <c r="B65" s="289"/>
      <c r="C65" s="289"/>
      <c r="D65" s="289"/>
      <c r="E65" s="289"/>
      <c r="F65" s="289"/>
      <c r="G65" s="289"/>
      <c r="H65" s="289"/>
      <c r="I65" s="289"/>
      <c r="J65" s="86"/>
      <c r="K65" s="86"/>
      <c r="L65" s="86"/>
      <c r="M65" s="7"/>
    </row>
    <row r="66" spans="1:16" ht="25.05" customHeight="1" x14ac:dyDescent="0.4">
      <c r="A66" s="288" t="s">
        <v>15</v>
      </c>
      <c r="B66" s="288"/>
      <c r="C66" s="288"/>
      <c r="D66" s="288"/>
      <c r="E66" s="288"/>
      <c r="F66" s="288"/>
      <c r="G66" s="288"/>
      <c r="H66" s="288"/>
      <c r="I66" s="288"/>
      <c r="J66" s="84"/>
      <c r="K66" s="84"/>
      <c r="L66" s="84"/>
      <c r="M66" s="7"/>
    </row>
    <row r="67" spans="1:16" ht="25.05" customHeight="1" x14ac:dyDescent="0.4">
      <c r="A67" s="288" t="s">
        <v>16</v>
      </c>
      <c r="B67" s="288"/>
      <c r="C67" s="288"/>
      <c r="D67" s="288"/>
      <c r="E67" s="288"/>
      <c r="F67" s="288"/>
      <c r="G67" s="288"/>
      <c r="H67" s="288"/>
      <c r="I67" s="288"/>
      <c r="J67" s="84"/>
      <c r="K67" s="84"/>
      <c r="L67" s="84"/>
      <c r="M67" s="7"/>
    </row>
    <row r="68" spans="1:16" ht="25.05" customHeight="1" x14ac:dyDescent="0.4">
      <c r="A68" s="288" t="s">
        <v>17</v>
      </c>
      <c r="B68" s="288"/>
      <c r="C68" s="288"/>
      <c r="D68" s="288"/>
      <c r="E68" s="288"/>
      <c r="F68" s="288"/>
      <c r="G68" s="288"/>
      <c r="H68" s="288"/>
      <c r="I68" s="288"/>
      <c r="J68" s="84"/>
      <c r="K68" s="84"/>
      <c r="L68" s="84"/>
      <c r="M68" s="7"/>
    </row>
    <row r="69" spans="1:16" ht="25.05" customHeight="1" x14ac:dyDescent="0.4">
      <c r="A69" s="288" t="s">
        <v>18</v>
      </c>
      <c r="B69" s="288"/>
      <c r="C69" s="288"/>
      <c r="D69" s="288"/>
      <c r="E69" s="288"/>
      <c r="F69" s="288"/>
      <c r="G69" s="288"/>
      <c r="H69" s="288"/>
      <c r="I69" s="288"/>
      <c r="J69" s="84"/>
      <c r="K69" s="84"/>
      <c r="L69" s="84"/>
      <c r="M69" s="7"/>
    </row>
    <row r="70" spans="1:16" ht="25.05" customHeight="1" x14ac:dyDescent="0.4">
      <c r="A70" s="288" t="s">
        <v>17</v>
      </c>
      <c r="B70" s="288"/>
      <c r="C70" s="288"/>
      <c r="D70" s="288"/>
      <c r="E70" s="288"/>
      <c r="F70" s="288"/>
      <c r="G70" s="288"/>
      <c r="H70" s="288"/>
      <c r="I70" s="288"/>
      <c r="J70" s="84"/>
      <c r="K70" s="84"/>
      <c r="L70" s="84"/>
      <c r="M70" s="7"/>
    </row>
    <row r="71" spans="1:16" ht="25.05" customHeight="1" x14ac:dyDescent="0.4">
      <c r="A71" s="288" t="s">
        <v>19</v>
      </c>
      <c r="B71" s="288"/>
      <c r="C71" s="288"/>
      <c r="D71" s="288"/>
      <c r="E71" s="288"/>
      <c r="F71" s="288"/>
      <c r="G71" s="288"/>
      <c r="H71" s="288"/>
      <c r="I71" s="288"/>
      <c r="J71" s="84"/>
      <c r="K71" s="84"/>
      <c r="L71" s="84"/>
      <c r="M71" s="7"/>
    </row>
    <row r="72" spans="1:16" ht="25.05" customHeight="1" x14ac:dyDescent="0.4">
      <c r="A72" s="288" t="s">
        <v>11</v>
      </c>
      <c r="B72" s="288"/>
      <c r="C72" s="288"/>
      <c r="D72" s="288"/>
      <c r="E72" s="288"/>
      <c r="F72" s="288"/>
      <c r="G72" s="288"/>
      <c r="H72" s="288"/>
      <c r="I72" s="288"/>
      <c r="J72" s="84"/>
      <c r="K72" s="84"/>
      <c r="L72" s="84"/>
      <c r="M72" s="7"/>
    </row>
    <row r="73" spans="1:16" ht="25.05" customHeight="1" x14ac:dyDescent="0.4">
      <c r="A73" s="288" t="s">
        <v>20</v>
      </c>
      <c r="B73" s="288"/>
      <c r="C73" s="288"/>
      <c r="D73" s="288"/>
      <c r="E73" s="288"/>
      <c r="F73" s="288"/>
      <c r="G73" s="288"/>
      <c r="H73" s="288"/>
      <c r="I73" s="288"/>
      <c r="J73" s="84"/>
      <c r="K73" s="84"/>
      <c r="L73" s="84"/>
      <c r="M73" s="7"/>
    </row>
    <row r="74" spans="1:16" ht="25.05" customHeight="1" x14ac:dyDescent="0.4">
      <c r="A74" s="318" t="s">
        <v>33</v>
      </c>
      <c r="B74" s="318"/>
      <c r="C74" s="318"/>
      <c r="D74" s="318"/>
      <c r="E74" s="318"/>
      <c r="F74" s="318"/>
      <c r="G74" s="318"/>
      <c r="H74" s="318"/>
      <c r="I74" s="318"/>
      <c r="J74" s="87"/>
      <c r="K74" s="87"/>
      <c r="L74" s="87"/>
      <c r="M74" s="7"/>
    </row>
    <row r="75" spans="1:16" s="5" customFormat="1" ht="36" customHeight="1" x14ac:dyDescent="0.3">
      <c r="B75"/>
      <c r="H75"/>
      <c r="I75" s="6"/>
      <c r="J75" s="6"/>
      <c r="K75" s="6"/>
      <c r="L75" s="6"/>
      <c r="M75"/>
      <c r="N75"/>
      <c r="O75"/>
      <c r="P75"/>
    </row>
  </sheetData>
  <mergeCells count="33">
    <mergeCell ref="H17:L17"/>
    <mergeCell ref="M17:M18"/>
    <mergeCell ref="A50:F51"/>
    <mergeCell ref="G50:M51"/>
    <mergeCell ref="A74:I74"/>
    <mergeCell ref="A68:I68"/>
    <mergeCell ref="A70:I70"/>
    <mergeCell ref="A71:I71"/>
    <mergeCell ref="A72:I72"/>
    <mergeCell ref="A73:I73"/>
    <mergeCell ref="A69:I69"/>
    <mergeCell ref="A64:I64"/>
    <mergeCell ref="A65:I65"/>
    <mergeCell ref="A66:I66"/>
    <mergeCell ref="A67:I67"/>
    <mergeCell ref="A13:M13"/>
    <mergeCell ref="A14:M14"/>
    <mergeCell ref="A15:L15"/>
    <mergeCell ref="A16:F16"/>
    <mergeCell ref="G16:M16"/>
    <mergeCell ref="A63:I63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2"/>
  <sheetViews>
    <sheetView topLeftCell="A18" zoomScale="70" zoomScaleNormal="70" workbookViewId="0">
      <selection activeCell="G33" sqref="G33:L33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625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355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5" t="s">
        <v>307</v>
      </c>
      <c r="B21" s="67" t="s">
        <v>356</v>
      </c>
      <c r="C21" s="66" t="s">
        <v>34</v>
      </c>
      <c r="D21" s="118">
        <v>1</v>
      </c>
      <c r="E21" s="57">
        <v>11138</v>
      </c>
      <c r="F21" s="98">
        <f>D21*E21</f>
        <v>11138</v>
      </c>
      <c r="G21" s="121" t="s">
        <v>453</v>
      </c>
      <c r="H21" s="121" t="s">
        <v>452</v>
      </c>
      <c r="I21" s="121" t="s">
        <v>34</v>
      </c>
      <c r="J21" s="148">
        <v>1</v>
      </c>
      <c r="K21" s="148">
        <v>10295.6</v>
      </c>
      <c r="L21" s="148">
        <f>K21*J21</f>
        <v>10295.6</v>
      </c>
      <c r="M21" s="13" t="s">
        <v>592</v>
      </c>
    </row>
    <row r="22" spans="1:13" s="51" customFormat="1" x14ac:dyDescent="0.3">
      <c r="A22" s="65" t="s">
        <v>53</v>
      </c>
      <c r="B22" s="67" t="s">
        <v>357</v>
      </c>
      <c r="C22" s="66" t="s">
        <v>34</v>
      </c>
      <c r="D22" s="118">
        <v>1</v>
      </c>
      <c r="E22" s="57">
        <v>11138</v>
      </c>
      <c r="F22" s="98">
        <f t="shared" ref="F22:F28" si="0">D22*E22</f>
        <v>11138</v>
      </c>
      <c r="G22" s="121" t="s">
        <v>454</v>
      </c>
      <c r="H22" s="121" t="s">
        <v>455</v>
      </c>
      <c r="I22" s="121" t="s">
        <v>34</v>
      </c>
      <c r="J22" s="148">
        <v>1</v>
      </c>
      <c r="K22" s="148">
        <v>10295.6</v>
      </c>
      <c r="L22" s="148">
        <f t="shared" ref="L22:L24" si="1">K22*J22</f>
        <v>10295.6</v>
      </c>
      <c r="M22" s="13" t="s">
        <v>592</v>
      </c>
    </row>
    <row r="23" spans="1:13" s="161" customFormat="1" x14ac:dyDescent="0.3">
      <c r="A23" s="193" t="s">
        <v>358</v>
      </c>
      <c r="B23" s="185" t="s">
        <v>64</v>
      </c>
      <c r="C23" s="155" t="s">
        <v>35</v>
      </c>
      <c r="D23" s="281">
        <v>6.5975000000000006E-2</v>
      </c>
      <c r="E23" s="217">
        <v>32706.79</v>
      </c>
      <c r="F23" s="159">
        <f t="shared" si="0"/>
        <v>2157.8304702500004</v>
      </c>
      <c r="G23" s="163"/>
      <c r="H23" s="163"/>
      <c r="I23" s="163"/>
      <c r="J23" s="164"/>
      <c r="K23" s="164"/>
      <c r="L23" s="164"/>
      <c r="M23" s="82" t="s">
        <v>626</v>
      </c>
    </row>
    <row r="24" spans="1:13" s="51" customFormat="1" x14ac:dyDescent="0.3">
      <c r="A24" s="65" t="s">
        <v>77</v>
      </c>
      <c r="B24" s="67" t="s">
        <v>359</v>
      </c>
      <c r="C24" s="66" t="s">
        <v>34</v>
      </c>
      <c r="D24" s="118">
        <v>70</v>
      </c>
      <c r="E24" s="57">
        <v>3009.03</v>
      </c>
      <c r="F24" s="98">
        <f t="shared" si="0"/>
        <v>210632.1</v>
      </c>
      <c r="G24" s="121" t="s">
        <v>490</v>
      </c>
      <c r="H24" s="121" t="s">
        <v>491</v>
      </c>
      <c r="I24" s="121" t="s">
        <v>34</v>
      </c>
      <c r="J24" s="148">
        <v>70</v>
      </c>
      <c r="K24" s="148">
        <v>2629.25</v>
      </c>
      <c r="L24" s="148">
        <f t="shared" si="1"/>
        <v>184047.5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1"/>
      <c r="H25" s="121"/>
      <c r="I25" s="121"/>
      <c r="J25" s="122"/>
      <c r="K25" s="122"/>
      <c r="L25" s="131"/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1"/>
      <c r="H26" s="121"/>
      <c r="I26" s="121"/>
      <c r="J26" s="122"/>
      <c r="K26" s="122"/>
      <c r="L26" s="123"/>
      <c r="M26" s="76"/>
    </row>
    <row r="27" spans="1:13" s="51" customFormat="1" x14ac:dyDescent="0.3">
      <c r="A27" s="66"/>
      <c r="B27" s="67"/>
      <c r="C27" s="66"/>
      <c r="D27" s="57"/>
      <c r="E27" s="57"/>
      <c r="F27" s="98">
        <f t="shared" si="0"/>
        <v>0</v>
      </c>
      <c r="G27" s="120"/>
      <c r="H27" s="121"/>
      <c r="I27" s="121"/>
      <c r="J27" s="122"/>
      <c r="K27" s="93"/>
      <c r="L27" s="89">
        <f t="shared" ref="L27:L28" si="2">J27*K27</f>
        <v>0</v>
      </c>
      <c r="M27" s="76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25"/>
      <c r="H28" s="126"/>
      <c r="I28" s="126"/>
      <c r="J28" s="127"/>
      <c r="K28" s="93"/>
      <c r="L28" s="89">
        <f t="shared" si="2"/>
        <v>0</v>
      </c>
      <c r="M28" s="76"/>
    </row>
    <row r="29" spans="1:13" ht="15.6" x14ac:dyDescent="0.3">
      <c r="A29" s="46"/>
      <c r="B29" s="47" t="s">
        <v>24</v>
      </c>
      <c r="C29" s="48"/>
      <c r="D29" s="49"/>
      <c r="E29" s="49"/>
      <c r="F29" s="50">
        <f>SUM(F21:F28)</f>
        <v>235065.93047024999</v>
      </c>
      <c r="G29" s="35"/>
      <c r="H29" s="34"/>
      <c r="I29" s="36"/>
      <c r="J29" s="33">
        <f>SUM(J21:J28)</f>
        <v>72</v>
      </c>
      <c r="K29" s="33"/>
      <c r="L29" s="45">
        <f>SUM(L21:L28)</f>
        <v>204638.7</v>
      </c>
      <c r="M29" s="58"/>
    </row>
    <row r="30" spans="1:13" ht="16.2" thickBot="1" x14ac:dyDescent="0.35">
      <c r="A30" s="107"/>
      <c r="B30" s="108"/>
      <c r="C30" s="109"/>
      <c r="D30" s="110"/>
      <c r="E30" s="110"/>
      <c r="F30" s="110"/>
      <c r="G30" s="111"/>
      <c r="H30" s="112"/>
      <c r="I30" s="113"/>
      <c r="J30" s="114"/>
      <c r="K30" s="114"/>
      <c r="L30" s="114"/>
      <c r="M30" s="115"/>
    </row>
    <row r="31" spans="1:13" ht="15.6" customHeight="1" x14ac:dyDescent="0.3">
      <c r="A31" s="310" t="s">
        <v>38</v>
      </c>
      <c r="B31" s="311"/>
      <c r="C31" s="311"/>
      <c r="D31" s="311"/>
      <c r="E31" s="311"/>
      <c r="F31" s="311"/>
      <c r="G31" s="314" t="s">
        <v>26</v>
      </c>
      <c r="H31" s="314"/>
      <c r="I31" s="314"/>
      <c r="J31" s="314"/>
      <c r="K31" s="314"/>
      <c r="L31" s="314"/>
      <c r="M31" s="315"/>
    </row>
    <row r="32" spans="1:13" ht="15.6" customHeight="1" thickBot="1" x14ac:dyDescent="0.35">
      <c r="A32" s="312"/>
      <c r="B32" s="313"/>
      <c r="C32" s="313"/>
      <c r="D32" s="313"/>
      <c r="E32" s="313"/>
      <c r="F32" s="313"/>
      <c r="G32" s="316"/>
      <c r="H32" s="316"/>
      <c r="I32" s="316"/>
      <c r="J32" s="316"/>
      <c r="K32" s="316"/>
      <c r="L32" s="316"/>
      <c r="M32" s="317"/>
    </row>
    <row r="33" spans="1:16" x14ac:dyDescent="0.3">
      <c r="A33" s="56"/>
      <c r="B33" s="42"/>
      <c r="C33" s="38"/>
      <c r="D33" s="39"/>
      <c r="E33" s="57"/>
      <c r="F33" s="57"/>
      <c r="G33" s="121" t="s">
        <v>113</v>
      </c>
      <c r="H33" s="121" t="s">
        <v>114</v>
      </c>
      <c r="I33" s="121" t="s">
        <v>34</v>
      </c>
      <c r="J33" s="122">
        <v>40</v>
      </c>
      <c r="K33" s="122">
        <v>11.688000000000001</v>
      </c>
      <c r="L33" s="131">
        <f>K33*J33</f>
        <v>467.52000000000004</v>
      </c>
      <c r="M33" s="60"/>
    </row>
    <row r="34" spans="1:16" x14ac:dyDescent="0.3">
      <c r="A34" s="56"/>
      <c r="B34" s="42"/>
      <c r="C34" s="38"/>
      <c r="D34" s="39"/>
      <c r="E34" s="57"/>
      <c r="F34" s="57"/>
      <c r="G34" s="121"/>
      <c r="H34" s="121"/>
      <c r="I34" s="121"/>
      <c r="J34" s="122"/>
      <c r="K34" s="122"/>
      <c r="L34" s="131"/>
      <c r="M34" s="60"/>
    </row>
    <row r="35" spans="1:16" x14ac:dyDescent="0.3">
      <c r="A35" s="56"/>
      <c r="B35" s="42"/>
      <c r="C35" s="38"/>
      <c r="D35" s="39"/>
      <c r="E35" s="57"/>
      <c r="F35" s="57"/>
      <c r="G35" s="121"/>
      <c r="H35" s="121"/>
      <c r="I35" s="121"/>
      <c r="J35" s="122"/>
      <c r="K35" s="122"/>
      <c r="L35" s="131">
        <f t="shared" ref="L35:L36" si="3">K35*J35</f>
        <v>0</v>
      </c>
      <c r="M35" s="60"/>
    </row>
    <row r="36" spans="1:16" x14ac:dyDescent="0.3">
      <c r="A36" s="56"/>
      <c r="B36" s="42"/>
      <c r="C36" s="38"/>
      <c r="D36" s="39"/>
      <c r="E36" s="57"/>
      <c r="F36" s="57"/>
      <c r="G36" s="74"/>
      <c r="H36" s="71"/>
      <c r="I36" s="71"/>
      <c r="J36" s="72"/>
      <c r="K36" s="75"/>
      <c r="L36" s="131">
        <f t="shared" si="3"/>
        <v>0</v>
      </c>
      <c r="M36" s="60"/>
      <c r="P36" s="44"/>
    </row>
    <row r="37" spans="1:16" ht="15" thickBot="1" x14ac:dyDescent="0.35">
      <c r="A37" s="56"/>
      <c r="B37" s="42"/>
      <c r="C37" s="38"/>
      <c r="D37" s="39"/>
      <c r="E37" s="40"/>
      <c r="F37" s="41"/>
      <c r="G37" s="61"/>
      <c r="H37" s="61"/>
      <c r="I37" s="61"/>
      <c r="J37" s="62"/>
      <c r="K37" s="62"/>
      <c r="L37" s="63"/>
      <c r="M37" s="60"/>
      <c r="P37" s="44"/>
    </row>
    <row r="38" spans="1:16" ht="21.6" thickBot="1" x14ac:dyDescent="0.35">
      <c r="A38" s="27"/>
      <c r="B38" s="28" t="s">
        <v>31</v>
      </c>
      <c r="C38" s="29"/>
      <c r="D38" s="30">
        <f>SUM(D33:D37)</f>
        <v>0</v>
      </c>
      <c r="E38" s="30"/>
      <c r="F38" s="31">
        <f>SUM(F33:F37)</f>
        <v>0</v>
      </c>
      <c r="G38" s="24"/>
      <c r="H38" s="25"/>
      <c r="I38" s="25"/>
      <c r="J38" s="26">
        <f>SUM(J33:J37)</f>
        <v>40</v>
      </c>
      <c r="K38" s="26"/>
      <c r="L38" s="26">
        <f>SUM(L33:L37)</f>
        <v>467.52000000000004</v>
      </c>
      <c r="M38" s="14"/>
    </row>
    <row r="39" spans="1:16" ht="21.6" thickBot="1" x14ac:dyDescent="0.35">
      <c r="A39" s="15"/>
      <c r="B39" s="16" t="s">
        <v>32</v>
      </c>
      <c r="C39" s="17"/>
      <c r="D39" s="18">
        <f>D29+D38</f>
        <v>0</v>
      </c>
      <c r="E39" s="18"/>
      <c r="F39" s="19">
        <f>F29+F38</f>
        <v>235065.93047024999</v>
      </c>
      <c r="G39" s="20"/>
      <c r="H39" s="21"/>
      <c r="I39" s="21"/>
      <c r="J39" s="22">
        <f>J29+J38</f>
        <v>112</v>
      </c>
      <c r="K39" s="22"/>
      <c r="L39" s="22">
        <f>L29+L38</f>
        <v>205106.22</v>
      </c>
      <c r="M39" s="23"/>
    </row>
    <row r="40" spans="1:16" ht="25.05" customHeight="1" x14ac:dyDescent="0.4">
      <c r="A40" s="298" t="s">
        <v>12</v>
      </c>
      <c r="B40" s="298"/>
      <c r="C40" s="298"/>
      <c r="D40" s="298"/>
      <c r="E40" s="298"/>
      <c r="F40" s="298"/>
      <c r="G40" s="298"/>
      <c r="H40" s="298"/>
      <c r="I40" s="298"/>
      <c r="J40" s="85"/>
      <c r="K40" s="85"/>
      <c r="L40" s="85"/>
      <c r="M40" s="7"/>
    </row>
    <row r="41" spans="1:16" ht="25.05" customHeight="1" x14ac:dyDescent="0.4">
      <c r="A41" s="288" t="s">
        <v>13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43">
        <f>L38*100/L29</f>
        <v>0.22846118549423938</v>
      </c>
      <c r="M41" s="7"/>
    </row>
    <row r="42" spans="1:16" ht="25.05" customHeight="1" x14ac:dyDescent="0.4">
      <c r="A42" s="289" t="s">
        <v>14</v>
      </c>
      <c r="B42" s="289"/>
      <c r="C42" s="289"/>
      <c r="D42" s="289"/>
      <c r="E42" s="289"/>
      <c r="F42" s="289"/>
      <c r="G42" s="289"/>
      <c r="H42" s="289"/>
      <c r="I42" s="289"/>
      <c r="J42" s="86"/>
      <c r="K42" s="86"/>
      <c r="L42" s="86"/>
      <c r="M42" s="7"/>
    </row>
    <row r="43" spans="1:16" ht="25.05" customHeight="1" x14ac:dyDescent="0.4">
      <c r="A43" s="288" t="s">
        <v>15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16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17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18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17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19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288" t="s">
        <v>11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288" t="s">
        <v>20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318" t="s">
        <v>33</v>
      </c>
      <c r="B51" s="318"/>
      <c r="C51" s="318"/>
      <c r="D51" s="318"/>
      <c r="E51" s="318"/>
      <c r="F51" s="318"/>
      <c r="G51" s="318"/>
      <c r="H51" s="318"/>
      <c r="I51" s="318"/>
      <c r="J51" s="87"/>
      <c r="K51" s="87"/>
      <c r="L51" s="87"/>
      <c r="M51" s="7"/>
    </row>
    <row r="52" spans="1:16" s="5" customFormat="1" ht="36" customHeight="1" x14ac:dyDescent="0.3">
      <c r="B52"/>
      <c r="H52"/>
      <c r="I52" s="6"/>
      <c r="J52" s="6"/>
      <c r="K52" s="6"/>
      <c r="L52" s="6"/>
      <c r="M52"/>
      <c r="N52"/>
      <c r="O52"/>
      <c r="P52"/>
    </row>
  </sheetData>
  <mergeCells count="33">
    <mergeCell ref="H17:L17"/>
    <mergeCell ref="M17:M18"/>
    <mergeCell ref="A31:F32"/>
    <mergeCell ref="G31:M32"/>
    <mergeCell ref="A51:I51"/>
    <mergeCell ref="A45:I45"/>
    <mergeCell ref="A47:I47"/>
    <mergeCell ref="A48:I48"/>
    <mergeCell ref="A49:I49"/>
    <mergeCell ref="A50:I50"/>
    <mergeCell ref="A46:I46"/>
    <mergeCell ref="A41:I41"/>
    <mergeCell ref="A42:I42"/>
    <mergeCell ref="A43:I43"/>
    <mergeCell ref="A44:I44"/>
    <mergeCell ref="A13:M13"/>
    <mergeCell ref="A14:M14"/>
    <mergeCell ref="A15:L15"/>
    <mergeCell ref="A16:F16"/>
    <mergeCell ref="G16:M16"/>
    <mergeCell ref="A40:I40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P53"/>
  <sheetViews>
    <sheetView topLeftCell="A20" zoomScale="70" zoomScaleNormal="70" workbookViewId="0">
      <selection activeCell="H24" sqref="H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81" x14ac:dyDescent="0.3">
      <c r="A20" s="95"/>
      <c r="B20" s="117" t="s">
        <v>350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34.200000000000003" customHeight="1" x14ac:dyDescent="0.3">
      <c r="A21" s="66" t="s">
        <v>244</v>
      </c>
      <c r="B21" s="67" t="s">
        <v>351</v>
      </c>
      <c r="C21" s="66" t="s">
        <v>72</v>
      </c>
      <c r="D21" s="118">
        <v>1</v>
      </c>
      <c r="E21" s="57">
        <v>3283722.56</v>
      </c>
      <c r="F21" s="98">
        <f>D21*E21</f>
        <v>3283722.56</v>
      </c>
      <c r="G21" s="121" t="s">
        <v>466</v>
      </c>
      <c r="H21" s="121" t="s">
        <v>467</v>
      </c>
      <c r="I21" s="121" t="s">
        <v>34</v>
      </c>
      <c r="J21" s="122">
        <v>1</v>
      </c>
      <c r="K21" s="122">
        <f>L21/J21</f>
        <v>3036599.67</v>
      </c>
      <c r="L21" s="123">
        <v>3036599.67</v>
      </c>
      <c r="M21" s="13" t="s">
        <v>592</v>
      </c>
    </row>
    <row r="22" spans="1:13" s="51" customFormat="1" ht="22.8" customHeight="1" x14ac:dyDescent="0.3">
      <c r="A22" s="66" t="s">
        <v>307</v>
      </c>
      <c r="B22" s="67" t="s">
        <v>352</v>
      </c>
      <c r="C22" s="66" t="s">
        <v>34</v>
      </c>
      <c r="D22" s="118">
        <v>1</v>
      </c>
      <c r="E22" s="57">
        <v>81764.31</v>
      </c>
      <c r="F22" s="98">
        <f t="shared" ref="F22:F30" si="0">D22*E22</f>
        <v>81764.31</v>
      </c>
      <c r="G22" s="121" t="s">
        <v>437</v>
      </c>
      <c r="H22" s="121" t="s">
        <v>438</v>
      </c>
      <c r="I22" s="121" t="s">
        <v>34</v>
      </c>
      <c r="J22" s="122">
        <v>1</v>
      </c>
      <c r="K22" s="122">
        <f>L22/J22</f>
        <v>75576</v>
      </c>
      <c r="L22" s="123">
        <v>75576</v>
      </c>
      <c r="M22" s="13" t="s">
        <v>592</v>
      </c>
    </row>
    <row r="23" spans="1:13" s="51" customFormat="1" ht="24" customHeight="1" x14ac:dyDescent="0.3">
      <c r="A23" s="66" t="s">
        <v>53</v>
      </c>
      <c r="B23" s="67" t="s">
        <v>353</v>
      </c>
      <c r="C23" s="66" t="s">
        <v>34</v>
      </c>
      <c r="D23" s="118">
        <v>1</v>
      </c>
      <c r="E23" s="57">
        <v>47256.17</v>
      </c>
      <c r="F23" s="98">
        <f t="shared" si="0"/>
        <v>47256.17</v>
      </c>
      <c r="G23" s="121" t="s">
        <v>460</v>
      </c>
      <c r="H23" s="121" t="s">
        <v>461</v>
      </c>
      <c r="I23" s="121" t="s">
        <v>34</v>
      </c>
      <c r="J23" s="122">
        <v>1</v>
      </c>
      <c r="K23" s="122">
        <f>L23/J23</f>
        <v>43678.6</v>
      </c>
      <c r="L23" s="123">
        <v>43678.6</v>
      </c>
      <c r="M23" s="13" t="s">
        <v>592</v>
      </c>
    </row>
    <row r="24" spans="1:13" s="51" customFormat="1" ht="25.8" customHeight="1" x14ac:dyDescent="0.3">
      <c r="A24" s="66" t="s">
        <v>54</v>
      </c>
      <c r="B24" s="67" t="s">
        <v>354</v>
      </c>
      <c r="C24" s="66" t="s">
        <v>34</v>
      </c>
      <c r="D24" s="118">
        <v>1</v>
      </c>
      <c r="E24" s="57">
        <v>365269.18</v>
      </c>
      <c r="F24" s="98">
        <f t="shared" si="0"/>
        <v>365269.18</v>
      </c>
      <c r="G24" s="121" t="s">
        <v>423</v>
      </c>
      <c r="H24" s="121" t="s">
        <v>424</v>
      </c>
      <c r="I24" s="121" t="s">
        <v>34</v>
      </c>
      <c r="J24" s="122">
        <v>1</v>
      </c>
      <c r="K24" s="122">
        <f>L24/J24</f>
        <v>337612</v>
      </c>
      <c r="L24" s="123">
        <v>337612</v>
      </c>
      <c r="M24" s="13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22"/>
      <c r="K25" s="93"/>
      <c r="L25" s="89"/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/>
      <c r="M26" s="76"/>
    </row>
    <row r="27" spans="1:13" s="51" customFormat="1" x14ac:dyDescent="0.3">
      <c r="A27" s="66"/>
      <c r="B27" s="67"/>
      <c r="C27" s="66"/>
      <c r="D27" s="57"/>
      <c r="E27" s="57"/>
      <c r="F27" s="98">
        <f t="shared" si="0"/>
        <v>0</v>
      </c>
      <c r="G27" s="120"/>
      <c r="H27" s="121"/>
      <c r="I27" s="121"/>
      <c r="J27" s="122"/>
      <c r="K27" s="93"/>
      <c r="L27" s="89"/>
      <c r="M27" s="76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25"/>
      <c r="H28" s="126"/>
      <c r="I28" s="126"/>
      <c r="J28" s="127"/>
      <c r="K28" s="93"/>
      <c r="L28" s="89"/>
      <c r="M28" s="76"/>
    </row>
    <row r="29" spans="1:13" s="51" customFormat="1" x14ac:dyDescent="0.3">
      <c r="A29" s="66"/>
      <c r="B29" s="67"/>
      <c r="C29" s="66"/>
      <c r="D29" s="118"/>
      <c r="E29" s="57"/>
      <c r="F29" s="98">
        <f t="shared" si="0"/>
        <v>0</v>
      </c>
      <c r="G29" s="90"/>
      <c r="H29" s="91"/>
      <c r="I29" s="76"/>
      <c r="J29" s="76"/>
      <c r="K29" s="93"/>
      <c r="L29" s="89"/>
      <c r="M29" s="76"/>
    </row>
    <row r="30" spans="1:13" s="51" customFormat="1" x14ac:dyDescent="0.3">
      <c r="A30" s="66"/>
      <c r="B30" s="67"/>
      <c r="C30" s="66"/>
      <c r="D30" s="119"/>
      <c r="E30" s="57"/>
      <c r="F30" s="98">
        <f t="shared" si="0"/>
        <v>0</v>
      </c>
      <c r="G30" s="90"/>
      <c r="H30" s="91"/>
      <c r="I30" s="76"/>
      <c r="J30" s="76"/>
      <c r="K30" s="93"/>
      <c r="L30" s="89"/>
      <c r="M30" s="76"/>
    </row>
    <row r="31" spans="1:13" ht="15.6" x14ac:dyDescent="0.3">
      <c r="A31" s="46"/>
      <c r="B31" s="47" t="s">
        <v>24</v>
      </c>
      <c r="C31" s="48"/>
      <c r="D31" s="49"/>
      <c r="E31" s="49"/>
      <c r="F31" s="50">
        <f>SUM(F21:F30)</f>
        <v>3778012.22</v>
      </c>
      <c r="G31" s="35"/>
      <c r="H31" s="34"/>
      <c r="I31" s="36"/>
      <c r="J31" s="33">
        <f>SUM(J21:J30)</f>
        <v>4</v>
      </c>
      <c r="K31" s="33"/>
      <c r="L31" s="45">
        <f>SUM(L21:L30)</f>
        <v>3493466.27</v>
      </c>
      <c r="M31" s="58"/>
    </row>
    <row r="32" spans="1:13" ht="16.2" thickBot="1" x14ac:dyDescent="0.35">
      <c r="A32" s="107"/>
      <c r="B32" s="108"/>
      <c r="C32" s="109"/>
      <c r="D32" s="110"/>
      <c r="E32" s="110"/>
      <c r="F32" s="110"/>
      <c r="G32" s="111"/>
      <c r="H32" s="112"/>
      <c r="I32" s="113"/>
      <c r="J32" s="114"/>
      <c r="K32" s="114"/>
      <c r="L32" s="114"/>
      <c r="M32" s="115"/>
    </row>
    <row r="33" spans="1:16" ht="15.6" customHeight="1" x14ac:dyDescent="0.3">
      <c r="A33" s="310" t="s">
        <v>38</v>
      </c>
      <c r="B33" s="311"/>
      <c r="C33" s="311"/>
      <c r="D33" s="311"/>
      <c r="E33" s="311"/>
      <c r="F33" s="311"/>
      <c r="G33" s="314" t="s">
        <v>26</v>
      </c>
      <c r="H33" s="314"/>
      <c r="I33" s="314"/>
      <c r="J33" s="314"/>
      <c r="K33" s="314"/>
      <c r="L33" s="314"/>
      <c r="M33" s="315"/>
    </row>
    <row r="34" spans="1:16" ht="15.6" customHeight="1" thickBot="1" x14ac:dyDescent="0.35">
      <c r="A34" s="312"/>
      <c r="B34" s="313"/>
      <c r="C34" s="313"/>
      <c r="D34" s="313"/>
      <c r="E34" s="313"/>
      <c r="F34" s="313"/>
      <c r="G34" s="316"/>
      <c r="H34" s="316"/>
      <c r="I34" s="316"/>
      <c r="J34" s="316"/>
      <c r="K34" s="316"/>
      <c r="L34" s="316"/>
      <c r="M34" s="317"/>
    </row>
    <row r="35" spans="1:16" x14ac:dyDescent="0.3">
      <c r="A35" s="56"/>
      <c r="B35" s="42"/>
      <c r="C35" s="38"/>
      <c r="D35" s="39"/>
      <c r="E35" s="57"/>
      <c r="F35" s="57"/>
      <c r="G35" s="74"/>
      <c r="H35" s="71"/>
      <c r="I35" s="71"/>
      <c r="J35" s="72"/>
      <c r="K35" s="75"/>
      <c r="L35" s="75"/>
      <c r="M35" s="60"/>
    </row>
    <row r="36" spans="1:16" x14ac:dyDescent="0.3">
      <c r="A36" s="56"/>
      <c r="B36" s="42"/>
      <c r="C36" s="38"/>
      <c r="D36" s="39"/>
      <c r="E36" s="57"/>
      <c r="F36" s="57"/>
      <c r="G36" s="74"/>
      <c r="H36" s="71"/>
      <c r="I36" s="71"/>
      <c r="J36" s="72"/>
      <c r="K36" s="75"/>
      <c r="L36" s="73"/>
      <c r="M36" s="60"/>
    </row>
    <row r="37" spans="1:16" x14ac:dyDescent="0.3">
      <c r="A37" s="56"/>
      <c r="B37" s="42"/>
      <c r="C37" s="38"/>
      <c r="D37" s="39"/>
      <c r="E37" s="40"/>
      <c r="F37" s="41"/>
      <c r="G37" s="74"/>
      <c r="H37" s="71"/>
      <c r="I37" s="71"/>
      <c r="J37" s="72"/>
      <c r="L37" s="73"/>
      <c r="M37" s="60"/>
      <c r="P37" s="44"/>
    </row>
    <row r="38" spans="1:16" ht="15" thickBot="1" x14ac:dyDescent="0.35">
      <c r="A38" s="56"/>
      <c r="B38" s="42"/>
      <c r="C38" s="38"/>
      <c r="D38" s="39"/>
      <c r="E38" s="40"/>
      <c r="F38" s="41"/>
      <c r="G38" s="61"/>
      <c r="H38" s="61"/>
      <c r="I38" s="61"/>
      <c r="J38" s="62"/>
      <c r="K38" s="62"/>
      <c r="L38" s="63"/>
      <c r="M38" s="60"/>
      <c r="P38" s="44"/>
    </row>
    <row r="39" spans="1:16" ht="21.6" thickBot="1" x14ac:dyDescent="0.35">
      <c r="A39" s="27"/>
      <c r="B39" s="28" t="s">
        <v>31</v>
      </c>
      <c r="C39" s="29"/>
      <c r="D39" s="30">
        <f>SUM(D35:D38)</f>
        <v>0</v>
      </c>
      <c r="E39" s="30"/>
      <c r="F39" s="31">
        <f>SUM(F35:F38)</f>
        <v>0</v>
      </c>
      <c r="G39" s="24"/>
      <c r="H39" s="25"/>
      <c r="I39" s="25"/>
      <c r="J39" s="26">
        <f>SUM(J35:J38)</f>
        <v>0</v>
      </c>
      <c r="K39" s="26"/>
      <c r="L39" s="26">
        <f>SUM(L35:L38)</f>
        <v>0</v>
      </c>
      <c r="M39" s="14"/>
    </row>
    <row r="40" spans="1:16" ht="21.6" thickBot="1" x14ac:dyDescent="0.35">
      <c r="A40" s="15"/>
      <c r="B40" s="16" t="s">
        <v>32</v>
      </c>
      <c r="C40" s="17"/>
      <c r="D40" s="18">
        <f>D31+D39</f>
        <v>0</v>
      </c>
      <c r="E40" s="18"/>
      <c r="F40" s="19">
        <f>F31+F39</f>
        <v>3778012.22</v>
      </c>
      <c r="G40" s="20"/>
      <c r="H40" s="21"/>
      <c r="I40" s="21"/>
      <c r="J40" s="22">
        <f>J31+J39</f>
        <v>4</v>
      </c>
      <c r="K40" s="22"/>
      <c r="L40" s="22">
        <f>L31+L39</f>
        <v>3493466.27</v>
      </c>
      <c r="M40" s="23"/>
    </row>
    <row r="41" spans="1:16" ht="25.05" customHeight="1" x14ac:dyDescent="0.4">
      <c r="A41" s="298" t="s">
        <v>12</v>
      </c>
      <c r="B41" s="298"/>
      <c r="C41" s="298"/>
      <c r="D41" s="298"/>
      <c r="E41" s="298"/>
      <c r="F41" s="298"/>
      <c r="G41" s="298"/>
      <c r="H41" s="298"/>
      <c r="I41" s="298"/>
      <c r="J41" s="85"/>
      <c r="K41" s="85"/>
      <c r="L41" s="85"/>
      <c r="M41" s="7"/>
    </row>
    <row r="42" spans="1:16" ht="25.05" customHeight="1" x14ac:dyDescent="0.4">
      <c r="A42" s="288" t="s">
        <v>13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43">
        <f>L39*100/L31</f>
        <v>0</v>
      </c>
      <c r="M42" s="7"/>
    </row>
    <row r="43" spans="1:16" ht="25.05" customHeight="1" x14ac:dyDescent="0.4">
      <c r="A43" s="289" t="s">
        <v>14</v>
      </c>
      <c r="B43" s="289"/>
      <c r="C43" s="289"/>
      <c r="D43" s="289"/>
      <c r="E43" s="289"/>
      <c r="F43" s="289"/>
      <c r="G43" s="289"/>
      <c r="H43" s="289"/>
      <c r="I43" s="289"/>
      <c r="J43" s="86"/>
      <c r="K43" s="86"/>
      <c r="L43" s="86"/>
      <c r="M43" s="7"/>
    </row>
    <row r="44" spans="1:16" ht="25.05" customHeight="1" x14ac:dyDescent="0.4">
      <c r="A44" s="288" t="s">
        <v>15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16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17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18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17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288" t="s">
        <v>19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288" t="s">
        <v>11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20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318" t="s">
        <v>33</v>
      </c>
      <c r="B52" s="318"/>
      <c r="C52" s="318"/>
      <c r="D52" s="318"/>
      <c r="E52" s="318"/>
      <c r="F52" s="318"/>
      <c r="G52" s="318"/>
      <c r="H52" s="318"/>
      <c r="I52" s="318"/>
      <c r="J52" s="87"/>
      <c r="K52" s="87"/>
      <c r="L52" s="87"/>
      <c r="M52" s="7"/>
    </row>
    <row r="53" spans="1:16" s="5" customFormat="1" ht="36" customHeight="1" x14ac:dyDescent="0.3">
      <c r="B53"/>
      <c r="H53"/>
      <c r="I53" s="6"/>
      <c r="J53" s="6"/>
      <c r="K53" s="6"/>
      <c r="L53" s="6"/>
      <c r="M53"/>
      <c r="N53"/>
      <c r="O53"/>
      <c r="P53"/>
    </row>
  </sheetData>
  <mergeCells count="33">
    <mergeCell ref="H17:L17"/>
    <mergeCell ref="M17:M18"/>
    <mergeCell ref="A33:F34"/>
    <mergeCell ref="G33:M34"/>
    <mergeCell ref="A52:I52"/>
    <mergeCell ref="A46:I46"/>
    <mergeCell ref="A48:I48"/>
    <mergeCell ref="A49:I49"/>
    <mergeCell ref="A50:I50"/>
    <mergeCell ref="A51:I51"/>
    <mergeCell ref="A47:I47"/>
    <mergeCell ref="A42:I42"/>
    <mergeCell ref="A43:I43"/>
    <mergeCell ref="A44:I44"/>
    <mergeCell ref="A45:I45"/>
    <mergeCell ref="A13:M13"/>
    <mergeCell ref="A14:M14"/>
    <mergeCell ref="A15:L15"/>
    <mergeCell ref="A16:F16"/>
    <mergeCell ref="G16:M16"/>
    <mergeCell ref="A41:I41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9"/>
  <sheetViews>
    <sheetView topLeftCell="A13" zoomScale="70" zoomScaleNormal="70" workbookViewId="0">
      <selection activeCell="M25" sqref="M25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623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342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 t="s">
        <v>343</v>
      </c>
      <c r="B21" s="67" t="s">
        <v>344</v>
      </c>
      <c r="C21" s="66" t="s">
        <v>34</v>
      </c>
      <c r="D21" s="118">
        <v>1</v>
      </c>
      <c r="E21" s="57">
        <v>5133.72</v>
      </c>
      <c r="F21" s="98">
        <f>D21*E21</f>
        <v>5133.72</v>
      </c>
      <c r="G21" s="121" t="s">
        <v>462</v>
      </c>
      <c r="H21" s="121" t="s">
        <v>463</v>
      </c>
      <c r="I21" s="121" t="s">
        <v>34</v>
      </c>
      <c r="J21" s="122">
        <v>1</v>
      </c>
      <c r="K21" s="122">
        <f>L21/J21</f>
        <v>4745</v>
      </c>
      <c r="L21" s="123">
        <v>4745</v>
      </c>
      <c r="M21" s="13" t="s">
        <v>592</v>
      </c>
    </row>
    <row r="22" spans="1:13" s="51" customFormat="1" x14ac:dyDescent="0.3">
      <c r="A22" s="66" t="s">
        <v>74</v>
      </c>
      <c r="B22" s="67" t="s">
        <v>345</v>
      </c>
      <c r="C22" s="66" t="s">
        <v>34</v>
      </c>
      <c r="D22" s="118">
        <v>1</v>
      </c>
      <c r="E22" s="57">
        <v>2727.55</v>
      </c>
      <c r="F22" s="98">
        <f t="shared" ref="F22:F26" si="0">D22*E22</f>
        <v>2727.55</v>
      </c>
      <c r="G22" s="121" t="s">
        <v>464</v>
      </c>
      <c r="H22" s="121" t="s">
        <v>465</v>
      </c>
      <c r="I22" s="121" t="s">
        <v>34</v>
      </c>
      <c r="J22" s="122">
        <v>1</v>
      </c>
      <c r="K22" s="122">
        <f>L22/J22</f>
        <v>2521.1</v>
      </c>
      <c r="L22" s="123">
        <v>2521.1</v>
      </c>
      <c r="M22" s="13" t="s">
        <v>592</v>
      </c>
    </row>
    <row r="23" spans="1:13" s="51" customFormat="1" x14ac:dyDescent="0.3">
      <c r="A23" s="66" t="s">
        <v>346</v>
      </c>
      <c r="B23" s="67" t="s">
        <v>347</v>
      </c>
      <c r="C23" s="66" t="s">
        <v>34</v>
      </c>
      <c r="D23" s="118">
        <v>1</v>
      </c>
      <c r="E23" s="57">
        <v>4836.53</v>
      </c>
      <c r="F23" s="98">
        <f t="shared" si="0"/>
        <v>4836.53</v>
      </c>
      <c r="G23" s="121" t="s">
        <v>508</v>
      </c>
      <c r="H23" s="121" t="s">
        <v>509</v>
      </c>
      <c r="I23" s="121" t="s">
        <v>34</v>
      </c>
      <c r="J23" s="122">
        <v>1</v>
      </c>
      <c r="K23" s="122">
        <f>L23/J23</f>
        <v>4470.3999999999996</v>
      </c>
      <c r="L23" s="123">
        <v>4470.3999999999996</v>
      </c>
      <c r="M23" s="76" t="s">
        <v>592</v>
      </c>
    </row>
    <row r="24" spans="1:13" s="51" customFormat="1" x14ac:dyDescent="0.3">
      <c r="A24" s="66" t="s">
        <v>348</v>
      </c>
      <c r="B24" s="67" t="s">
        <v>349</v>
      </c>
      <c r="C24" s="66" t="s">
        <v>63</v>
      </c>
      <c r="D24" s="57">
        <v>0.05</v>
      </c>
      <c r="E24" s="57">
        <v>754800</v>
      </c>
      <c r="F24" s="98">
        <f t="shared" si="0"/>
        <v>37740</v>
      </c>
      <c r="G24" s="121" t="s">
        <v>406</v>
      </c>
      <c r="H24" s="121" t="s">
        <v>407</v>
      </c>
      <c r="I24" s="121" t="s">
        <v>101</v>
      </c>
      <c r="J24" s="122">
        <v>0.05</v>
      </c>
      <c r="K24" s="122">
        <f>L24/J24</f>
        <v>437500</v>
      </c>
      <c r="L24" s="123">
        <v>21875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1"/>
      <c r="H25" s="121"/>
      <c r="I25" s="121"/>
      <c r="J25" s="122"/>
      <c r="K25" s="122"/>
      <c r="L25" s="123"/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>
        <f t="shared" ref="L26" si="1">J26*K26</f>
        <v>0</v>
      </c>
      <c r="M26" s="76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50437.8</v>
      </c>
      <c r="G27" s="35"/>
      <c r="H27" s="34"/>
      <c r="I27" s="36"/>
      <c r="J27" s="33">
        <f>SUM(J21:J26)</f>
        <v>3.05</v>
      </c>
      <c r="K27" s="33"/>
      <c r="L27" s="45">
        <f>SUM(L21:L26)</f>
        <v>33611.5</v>
      </c>
      <c r="M27" s="58"/>
    </row>
    <row r="28" spans="1:13" ht="16.2" thickBot="1" x14ac:dyDescent="0.35">
      <c r="A28" s="107"/>
      <c r="B28" s="108" t="s">
        <v>52</v>
      </c>
      <c r="C28" s="109"/>
      <c r="D28" s="110"/>
      <c r="E28" s="110"/>
      <c r="F28" s="110">
        <v>125679.28</v>
      </c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5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x14ac:dyDescent="0.3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5"/>
      <c r="M33" s="60"/>
    </row>
    <row r="34" spans="1:16" x14ac:dyDescent="0.3">
      <c r="A34" s="56"/>
      <c r="B34" s="42"/>
      <c r="C34" s="38"/>
      <c r="D34" s="39"/>
      <c r="E34" s="57"/>
      <c r="F34" s="57"/>
      <c r="G34" s="74"/>
      <c r="H34" s="71"/>
      <c r="I34" s="71"/>
      <c r="J34" s="72"/>
      <c r="K34" s="75"/>
      <c r="L34" s="75"/>
      <c r="M34" s="60"/>
      <c r="P34" s="44"/>
    </row>
    <row r="35" spans="1:16" x14ac:dyDescent="0.3">
      <c r="A35" s="56"/>
      <c r="B35" s="42"/>
      <c r="C35" s="38"/>
      <c r="D35" s="39"/>
      <c r="E35" s="57"/>
      <c r="F35" s="57"/>
      <c r="G35" s="74"/>
      <c r="H35" s="71"/>
      <c r="I35" s="71"/>
      <c r="J35" s="72"/>
      <c r="K35" s="75"/>
      <c r="L35" s="75"/>
      <c r="M35" s="60"/>
      <c r="P35" s="44"/>
    </row>
    <row r="36" spans="1:16" x14ac:dyDescent="0.3">
      <c r="A36" s="56"/>
      <c r="B36" s="55"/>
      <c r="C36" s="59"/>
      <c r="D36" s="59"/>
      <c r="E36" s="59"/>
      <c r="F36" s="59"/>
      <c r="G36" s="74"/>
      <c r="H36" s="71"/>
      <c r="I36" s="71"/>
      <c r="J36" s="72"/>
      <c r="K36" s="75"/>
      <c r="L36" s="75"/>
      <c r="M36" s="60"/>
      <c r="P36" s="44"/>
    </row>
    <row r="37" spans="1:16" x14ac:dyDescent="0.3">
      <c r="A37" s="56"/>
      <c r="B37" s="42"/>
      <c r="C37" s="38"/>
      <c r="D37" s="39"/>
      <c r="E37" s="40"/>
      <c r="F37" s="41"/>
      <c r="G37" s="74"/>
      <c r="H37" s="71"/>
      <c r="I37" s="71"/>
      <c r="J37" s="72"/>
      <c r="K37" s="75"/>
      <c r="L37" s="75"/>
      <c r="M37" s="60"/>
      <c r="P37" s="44"/>
    </row>
    <row r="38" spans="1:16" x14ac:dyDescent="0.3">
      <c r="A38" s="56"/>
      <c r="B38" s="42"/>
      <c r="C38" s="38"/>
      <c r="D38" s="39"/>
      <c r="E38" s="40"/>
      <c r="F38" s="41"/>
      <c r="G38" s="74"/>
      <c r="H38" s="71"/>
      <c r="I38" s="71"/>
      <c r="J38" s="72"/>
      <c r="K38" s="75"/>
      <c r="L38" s="75"/>
      <c r="M38" s="60"/>
    </row>
    <row r="39" spans="1:16" x14ac:dyDescent="0.3">
      <c r="A39" s="56"/>
      <c r="B39" s="42"/>
      <c r="C39" s="38"/>
      <c r="D39" s="39"/>
      <c r="E39" s="40"/>
      <c r="F39" s="41"/>
      <c r="G39" s="74"/>
      <c r="H39" s="71"/>
      <c r="I39" s="71"/>
      <c r="J39" s="72"/>
      <c r="K39" s="75"/>
      <c r="L39" s="75"/>
      <c r="M39" s="60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L43" s="73"/>
      <c r="M43" s="60"/>
      <c r="P43" s="44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SUM(D31:D44)</f>
        <v>0</v>
      </c>
      <c r="E45" s="30"/>
      <c r="F45" s="31">
        <f>SUM(F31:F44)</f>
        <v>0</v>
      </c>
      <c r="G45" s="24"/>
      <c r="H45" s="25"/>
      <c r="I45" s="25"/>
      <c r="J45" s="26">
        <f>SUM(J31:J44)</f>
        <v>0</v>
      </c>
      <c r="K45" s="26"/>
      <c r="L45" s="26">
        <f>SUM(L31:L44)</f>
        <v>0</v>
      </c>
      <c r="M45" s="14"/>
    </row>
    <row r="46" spans="1:16" ht="21.6" thickBot="1" x14ac:dyDescent="0.35">
      <c r="A46" s="15"/>
      <c r="B46" s="16" t="s">
        <v>32</v>
      </c>
      <c r="C46" s="17"/>
      <c r="D46" s="18">
        <f>D27+D45</f>
        <v>0</v>
      </c>
      <c r="E46" s="18"/>
      <c r="F46" s="19">
        <f>F27+F45</f>
        <v>50437.8</v>
      </c>
      <c r="G46" s="20"/>
      <c r="H46" s="21"/>
      <c r="I46" s="21"/>
      <c r="J46" s="22">
        <f>J27+J45</f>
        <v>3.05</v>
      </c>
      <c r="K46" s="22"/>
      <c r="L46" s="22">
        <f>L27+L45</f>
        <v>33611.5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5"/>
      <c r="K47" s="85"/>
      <c r="L47" s="85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43">
        <f>L45*100/L27</f>
        <v>0</v>
      </c>
      <c r="M48" s="7"/>
    </row>
    <row r="49" spans="1:16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86"/>
      <c r="K49" s="86"/>
      <c r="L49" s="86"/>
      <c r="M49" s="7"/>
    </row>
    <row r="50" spans="1:16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87"/>
      <c r="K58" s="87"/>
      <c r="L58" s="87"/>
      <c r="M58" s="7"/>
    </row>
    <row r="59" spans="1:16" s="5" customFormat="1" ht="36" customHeight="1" x14ac:dyDescent="0.3">
      <c r="B59"/>
      <c r="H59"/>
      <c r="I59" s="6"/>
      <c r="J59" s="6"/>
      <c r="K59" s="6"/>
      <c r="L59" s="6"/>
      <c r="M59"/>
      <c r="N59"/>
      <c r="O59"/>
      <c r="P59"/>
    </row>
  </sheetData>
  <mergeCells count="33">
    <mergeCell ref="H17:L17"/>
    <mergeCell ref="M17:M18"/>
    <mergeCell ref="A29:F30"/>
    <mergeCell ref="G29:M30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13:M13"/>
    <mergeCell ref="A14:M14"/>
    <mergeCell ref="A15:L15"/>
    <mergeCell ref="A16:F16"/>
    <mergeCell ref="G16:M16"/>
    <mergeCell ref="A47:I4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48"/>
  <sheetViews>
    <sheetView topLeftCell="A13" zoomScale="70" zoomScaleNormal="70" workbookViewId="0">
      <selection activeCell="H24" sqref="H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9.10937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621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81" x14ac:dyDescent="0.3">
      <c r="A20" s="95"/>
      <c r="B20" s="117" t="s">
        <v>337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161" customFormat="1" ht="33" customHeight="1" x14ac:dyDescent="0.3">
      <c r="A21" s="155" t="s">
        <v>244</v>
      </c>
      <c r="B21" s="185" t="s">
        <v>338</v>
      </c>
      <c r="C21" s="155" t="s">
        <v>117</v>
      </c>
      <c r="D21" s="220">
        <v>1</v>
      </c>
      <c r="E21" s="217">
        <v>1489560.66</v>
      </c>
      <c r="F21" s="159">
        <f>D21*E21</f>
        <v>1489560.66</v>
      </c>
      <c r="G21" s="162"/>
      <c r="H21" s="163"/>
      <c r="I21" s="163"/>
      <c r="J21" s="277"/>
      <c r="K21" s="278"/>
      <c r="L21" s="279">
        <f>J21*K21</f>
        <v>0</v>
      </c>
      <c r="M21" s="280" t="s">
        <v>622</v>
      </c>
    </row>
    <row r="22" spans="1:13" s="51" customFormat="1" x14ac:dyDescent="0.3">
      <c r="A22" s="66" t="s">
        <v>307</v>
      </c>
      <c r="B22" s="67" t="s">
        <v>339</v>
      </c>
      <c r="C22" s="66" t="s">
        <v>34</v>
      </c>
      <c r="D22" s="118">
        <v>1</v>
      </c>
      <c r="E22" s="57">
        <v>146227.34</v>
      </c>
      <c r="F22" s="98">
        <f t="shared" ref="F22:F28" si="0">D22*E22</f>
        <v>146227.34</v>
      </c>
      <c r="G22" s="121" t="s">
        <v>441</v>
      </c>
      <c r="H22" s="121" t="s">
        <v>442</v>
      </c>
      <c r="I22" s="121" t="s">
        <v>34</v>
      </c>
      <c r="J22" s="122">
        <v>1</v>
      </c>
      <c r="K22" s="122">
        <f>L22/J22</f>
        <v>135160</v>
      </c>
      <c r="L22" s="123">
        <v>135160</v>
      </c>
      <c r="M22" s="13" t="s">
        <v>592</v>
      </c>
    </row>
    <row r="23" spans="1:13" s="51" customFormat="1" x14ac:dyDescent="0.3">
      <c r="A23" s="66" t="s">
        <v>53</v>
      </c>
      <c r="B23" s="67" t="s">
        <v>340</v>
      </c>
      <c r="C23" s="66" t="s">
        <v>34</v>
      </c>
      <c r="D23" s="118">
        <v>1</v>
      </c>
      <c r="E23" s="57">
        <v>221160.58</v>
      </c>
      <c r="F23" s="98">
        <f t="shared" si="0"/>
        <v>221160.58</v>
      </c>
      <c r="G23" s="121" t="s">
        <v>435</v>
      </c>
      <c r="H23" s="121" t="s">
        <v>436</v>
      </c>
      <c r="I23" s="121" t="s">
        <v>34</v>
      </c>
      <c r="J23" s="122">
        <v>1</v>
      </c>
      <c r="K23" s="122">
        <f>L23/J23</f>
        <v>204414.6</v>
      </c>
      <c r="L23" s="123">
        <v>204414.6</v>
      </c>
      <c r="M23" s="76" t="s">
        <v>592</v>
      </c>
    </row>
    <row r="24" spans="1:13" s="51" customFormat="1" x14ac:dyDescent="0.3">
      <c r="A24" s="66" t="s">
        <v>54</v>
      </c>
      <c r="B24" s="67" t="s">
        <v>341</v>
      </c>
      <c r="C24" s="66" t="s">
        <v>34</v>
      </c>
      <c r="D24" s="118">
        <v>1</v>
      </c>
      <c r="E24" s="57">
        <v>26018.59</v>
      </c>
      <c r="F24" s="98">
        <f t="shared" si="0"/>
        <v>26018.59</v>
      </c>
      <c r="G24" s="121" t="s">
        <v>458</v>
      </c>
      <c r="H24" s="121" t="s">
        <v>459</v>
      </c>
      <c r="I24" s="121" t="s">
        <v>34</v>
      </c>
      <c r="J24" s="122">
        <v>1</v>
      </c>
      <c r="K24" s="122">
        <f>L24/J24</f>
        <v>24050.3</v>
      </c>
      <c r="L24" s="123">
        <v>24050.3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22"/>
      <c r="K25" s="93"/>
      <c r="L25" s="89"/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22"/>
      <c r="K26" s="93"/>
      <c r="L26" s="89"/>
      <c r="M26" s="76"/>
    </row>
    <row r="27" spans="1:13" s="51" customFormat="1" x14ac:dyDescent="0.3">
      <c r="A27" s="66"/>
      <c r="B27" s="67"/>
      <c r="C27" s="66"/>
      <c r="D27" s="57"/>
      <c r="E27" s="57"/>
      <c r="F27" s="98">
        <f t="shared" si="0"/>
        <v>0</v>
      </c>
      <c r="G27" s="120"/>
      <c r="H27" s="121"/>
      <c r="I27" s="121"/>
      <c r="J27" s="122"/>
      <c r="K27" s="93"/>
      <c r="L27" s="89"/>
      <c r="M27" s="76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25"/>
      <c r="H28" s="126"/>
      <c r="I28" s="126"/>
      <c r="J28" s="127"/>
      <c r="K28" s="93"/>
      <c r="L28" s="89"/>
      <c r="M28" s="76"/>
    </row>
    <row r="29" spans="1:13" ht="15.6" x14ac:dyDescent="0.3">
      <c r="A29" s="46"/>
      <c r="B29" s="47" t="s">
        <v>24</v>
      </c>
      <c r="C29" s="48"/>
      <c r="D29" s="49"/>
      <c r="E29" s="49"/>
      <c r="F29" s="50">
        <f>SUM(F21:F28)</f>
        <v>1882967.1700000002</v>
      </c>
      <c r="G29" s="35"/>
      <c r="H29" s="34"/>
      <c r="I29" s="36"/>
      <c r="J29" s="33">
        <f>SUM(J21:J28)</f>
        <v>3</v>
      </c>
      <c r="K29" s="33"/>
      <c r="L29" s="45">
        <f>SUM(L21:L28)</f>
        <v>363624.89999999997</v>
      </c>
      <c r="M29" s="58"/>
    </row>
    <row r="30" spans="1:13" ht="16.2" thickBot="1" x14ac:dyDescent="0.35">
      <c r="A30" s="107"/>
      <c r="B30" s="108"/>
      <c r="C30" s="109"/>
      <c r="D30" s="110"/>
      <c r="E30" s="110"/>
      <c r="F30" s="110"/>
      <c r="G30" s="111"/>
      <c r="H30" s="112"/>
      <c r="I30" s="113"/>
      <c r="J30" s="114"/>
      <c r="K30" s="114"/>
      <c r="L30" s="114"/>
      <c r="M30" s="115"/>
    </row>
    <row r="31" spans="1:13" ht="15.6" customHeight="1" x14ac:dyDescent="0.3">
      <c r="A31" s="310" t="s">
        <v>38</v>
      </c>
      <c r="B31" s="311"/>
      <c r="C31" s="311"/>
      <c r="D31" s="311"/>
      <c r="E31" s="311"/>
      <c r="F31" s="311"/>
      <c r="G31" s="314" t="s">
        <v>26</v>
      </c>
      <c r="H31" s="314"/>
      <c r="I31" s="314"/>
      <c r="J31" s="314"/>
      <c r="K31" s="314"/>
      <c r="L31" s="314"/>
      <c r="M31" s="315"/>
    </row>
    <row r="32" spans="1:13" ht="15.6" customHeight="1" thickBot="1" x14ac:dyDescent="0.35">
      <c r="A32" s="312"/>
      <c r="B32" s="313"/>
      <c r="C32" s="313"/>
      <c r="D32" s="313"/>
      <c r="E32" s="313"/>
      <c r="F32" s="313"/>
      <c r="G32" s="316"/>
      <c r="H32" s="316"/>
      <c r="I32" s="316"/>
      <c r="J32" s="316"/>
      <c r="K32" s="316"/>
      <c r="L32" s="316"/>
      <c r="M32" s="317"/>
    </row>
    <row r="33" spans="1:16" ht="15" thickBot="1" x14ac:dyDescent="0.35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5"/>
      <c r="M33" s="60"/>
    </row>
    <row r="34" spans="1:16" ht="21.6" thickBot="1" x14ac:dyDescent="0.35">
      <c r="A34" s="27"/>
      <c r="B34" s="28" t="s">
        <v>31</v>
      </c>
      <c r="C34" s="29"/>
      <c r="D34" s="30">
        <f>SUM(D33:D33)</f>
        <v>0</v>
      </c>
      <c r="E34" s="30"/>
      <c r="F34" s="31">
        <f>SUM(F33:F33)</f>
        <v>0</v>
      </c>
      <c r="G34" s="24"/>
      <c r="H34" s="25"/>
      <c r="I34" s="25"/>
      <c r="J34" s="26">
        <f>SUM(J33:J33)</f>
        <v>0</v>
      </c>
      <c r="K34" s="26"/>
      <c r="L34" s="26">
        <f>SUM(L33:L33)</f>
        <v>0</v>
      </c>
      <c r="M34" s="14"/>
    </row>
    <row r="35" spans="1:16" ht="21.6" thickBot="1" x14ac:dyDescent="0.35">
      <c r="A35" s="15"/>
      <c r="B35" s="16" t="s">
        <v>32</v>
      </c>
      <c r="C35" s="17"/>
      <c r="D35" s="18">
        <f>D29+D34</f>
        <v>0</v>
      </c>
      <c r="E35" s="18"/>
      <c r="F35" s="19">
        <f>F29+F34</f>
        <v>1882967.1700000002</v>
      </c>
      <c r="G35" s="20"/>
      <c r="H35" s="21"/>
      <c r="I35" s="21"/>
      <c r="J35" s="22">
        <f>J29+J34</f>
        <v>3</v>
      </c>
      <c r="K35" s="22"/>
      <c r="L35" s="22">
        <f>L29+L34</f>
        <v>363624.89999999997</v>
      </c>
      <c r="M35" s="23"/>
    </row>
    <row r="36" spans="1:16" ht="25.05" customHeight="1" x14ac:dyDescent="0.4">
      <c r="A36" s="298" t="s">
        <v>12</v>
      </c>
      <c r="B36" s="298"/>
      <c r="C36" s="298"/>
      <c r="D36" s="298"/>
      <c r="E36" s="298"/>
      <c r="F36" s="298"/>
      <c r="G36" s="298"/>
      <c r="H36" s="298"/>
      <c r="I36" s="298"/>
      <c r="J36" s="85"/>
      <c r="K36" s="85"/>
      <c r="L36" s="85"/>
      <c r="M36" s="7"/>
    </row>
    <row r="37" spans="1:16" ht="25.05" customHeight="1" x14ac:dyDescent="0.4">
      <c r="A37" s="288" t="s">
        <v>13</v>
      </c>
      <c r="B37" s="288"/>
      <c r="C37" s="288"/>
      <c r="D37" s="288"/>
      <c r="E37" s="288"/>
      <c r="F37" s="288"/>
      <c r="G37" s="288"/>
      <c r="H37" s="288"/>
      <c r="I37" s="288"/>
      <c r="J37" s="84"/>
      <c r="K37" s="84"/>
      <c r="L37" s="43">
        <f>L34*100/L29</f>
        <v>0</v>
      </c>
      <c r="M37" s="7"/>
    </row>
    <row r="38" spans="1:16" ht="25.05" customHeight="1" x14ac:dyDescent="0.4">
      <c r="A38" s="289" t="s">
        <v>14</v>
      </c>
      <c r="B38" s="289"/>
      <c r="C38" s="289"/>
      <c r="D38" s="289"/>
      <c r="E38" s="289"/>
      <c r="F38" s="289"/>
      <c r="G38" s="289"/>
      <c r="H38" s="289"/>
      <c r="I38" s="289"/>
      <c r="J38" s="86"/>
      <c r="K38" s="86"/>
      <c r="L38" s="86"/>
      <c r="M38" s="7"/>
    </row>
    <row r="39" spans="1:16" ht="25.05" customHeight="1" x14ac:dyDescent="0.4">
      <c r="A39" s="288" t="s">
        <v>15</v>
      </c>
      <c r="B39" s="288"/>
      <c r="C39" s="288"/>
      <c r="D39" s="288"/>
      <c r="E39" s="288"/>
      <c r="F39" s="288"/>
      <c r="G39" s="288"/>
      <c r="H39" s="288"/>
      <c r="I39" s="288"/>
      <c r="J39" s="84"/>
      <c r="K39" s="84"/>
      <c r="L39" s="84"/>
      <c r="M39" s="7"/>
    </row>
    <row r="40" spans="1:16" ht="25.05" customHeight="1" x14ac:dyDescent="0.4">
      <c r="A40" s="288" t="s">
        <v>16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84"/>
      <c r="M40" s="7"/>
    </row>
    <row r="41" spans="1:16" ht="25.05" customHeight="1" x14ac:dyDescent="0.4">
      <c r="A41" s="288" t="s">
        <v>17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18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17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19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11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20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318" t="s">
        <v>33</v>
      </c>
      <c r="B47" s="318"/>
      <c r="C47" s="318"/>
      <c r="D47" s="318"/>
      <c r="E47" s="318"/>
      <c r="F47" s="318"/>
      <c r="G47" s="318"/>
      <c r="H47" s="318"/>
      <c r="I47" s="318"/>
      <c r="J47" s="87"/>
      <c r="K47" s="87"/>
      <c r="L47" s="87"/>
      <c r="M47" s="7"/>
    </row>
    <row r="48" spans="1:16" s="5" customFormat="1" ht="36" customHeight="1" x14ac:dyDescent="0.3">
      <c r="B48"/>
      <c r="H48"/>
      <c r="I48" s="6"/>
      <c r="J48" s="6"/>
      <c r="K48" s="6"/>
      <c r="L48" s="6"/>
      <c r="M48"/>
      <c r="N48"/>
      <c r="O48"/>
      <c r="P48"/>
    </row>
  </sheetData>
  <mergeCells count="33">
    <mergeCell ref="H17:L17"/>
    <mergeCell ref="M17:M18"/>
    <mergeCell ref="A31:F32"/>
    <mergeCell ref="G31:M32"/>
    <mergeCell ref="A47:I47"/>
    <mergeCell ref="A41:I41"/>
    <mergeCell ref="A43:I43"/>
    <mergeCell ref="A44:I44"/>
    <mergeCell ref="A45:I45"/>
    <mergeCell ref="A46:I46"/>
    <mergeCell ref="A42:I42"/>
    <mergeCell ref="A37:I37"/>
    <mergeCell ref="A38:I38"/>
    <mergeCell ref="A39:I39"/>
    <mergeCell ref="A40:I40"/>
    <mergeCell ref="A13:M13"/>
    <mergeCell ref="A14:M14"/>
    <mergeCell ref="A15:L15"/>
    <mergeCell ref="A16:F16"/>
    <mergeCell ref="G16:M16"/>
    <mergeCell ref="A36:I3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70"/>
  <sheetViews>
    <sheetView topLeftCell="A19" zoomScale="60" zoomScaleNormal="60" workbookViewId="0">
      <selection activeCell="A31" sqref="A31:XFD31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619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310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21.6" customHeight="1" x14ac:dyDescent="0.3">
      <c r="A21" s="66" t="s">
        <v>53</v>
      </c>
      <c r="B21" s="67" t="s">
        <v>311</v>
      </c>
      <c r="C21" s="66" t="s">
        <v>34</v>
      </c>
      <c r="D21" s="118">
        <v>1</v>
      </c>
      <c r="E21" s="57">
        <v>82028.63</v>
      </c>
      <c r="F21" s="98">
        <f>D21*E21</f>
        <v>82028.63</v>
      </c>
      <c r="G21" s="121" t="s">
        <v>421</v>
      </c>
      <c r="H21" s="121" t="s">
        <v>422</v>
      </c>
      <c r="I21" s="121" t="s">
        <v>34</v>
      </c>
      <c r="J21" s="148">
        <v>1</v>
      </c>
      <c r="K21" s="148">
        <v>75820.800000000003</v>
      </c>
      <c r="L21" s="148">
        <f>K21*J21</f>
        <v>75820.800000000003</v>
      </c>
      <c r="M21" s="13" t="s">
        <v>592</v>
      </c>
    </row>
    <row r="22" spans="1:13" s="51" customFormat="1" ht="21" customHeight="1" x14ac:dyDescent="0.3">
      <c r="A22" s="66" t="s">
        <v>312</v>
      </c>
      <c r="B22" s="67" t="s">
        <v>313</v>
      </c>
      <c r="C22" s="66" t="s">
        <v>34</v>
      </c>
      <c r="D22" s="118">
        <v>1</v>
      </c>
      <c r="E22" s="57">
        <v>17141.48</v>
      </c>
      <c r="F22" s="98">
        <f t="shared" ref="F22:F43" si="0">D22*E22</f>
        <v>17141.48</v>
      </c>
      <c r="G22" s="121" t="s">
        <v>425</v>
      </c>
      <c r="H22" s="121" t="s">
        <v>426</v>
      </c>
      <c r="I22" s="121" t="s">
        <v>34</v>
      </c>
      <c r="J22" s="148">
        <v>1</v>
      </c>
      <c r="K22" s="148">
        <v>15844</v>
      </c>
      <c r="L22" s="148">
        <f t="shared" ref="L22:L38" si="1">K22*J22</f>
        <v>15844</v>
      </c>
      <c r="M22" s="13" t="s">
        <v>592</v>
      </c>
    </row>
    <row r="23" spans="1:13" s="51" customFormat="1" ht="20.399999999999999" customHeight="1" x14ac:dyDescent="0.3">
      <c r="A23" s="66" t="s">
        <v>314</v>
      </c>
      <c r="B23" s="67" t="s">
        <v>315</v>
      </c>
      <c r="C23" s="66" t="s">
        <v>34</v>
      </c>
      <c r="D23" s="118">
        <v>1</v>
      </c>
      <c r="E23" s="57">
        <v>206.93</v>
      </c>
      <c r="F23" s="98">
        <f t="shared" si="0"/>
        <v>206.93</v>
      </c>
      <c r="G23" s="121" t="s">
        <v>427</v>
      </c>
      <c r="H23" s="121" t="s">
        <v>428</v>
      </c>
      <c r="I23" s="121" t="s">
        <v>34</v>
      </c>
      <c r="J23" s="148">
        <v>1</v>
      </c>
      <c r="K23" s="148">
        <v>191.3</v>
      </c>
      <c r="L23" s="148">
        <f t="shared" si="1"/>
        <v>191.3</v>
      </c>
      <c r="M23" s="76" t="s">
        <v>592</v>
      </c>
    </row>
    <row r="24" spans="1:13" s="51" customFormat="1" ht="22.2" customHeight="1" x14ac:dyDescent="0.3">
      <c r="A24" s="66" t="s">
        <v>316</v>
      </c>
      <c r="B24" s="67" t="s">
        <v>317</v>
      </c>
      <c r="C24" s="66" t="s">
        <v>34</v>
      </c>
      <c r="D24" s="118">
        <v>1</v>
      </c>
      <c r="E24" s="57">
        <v>31746.639999999999</v>
      </c>
      <c r="F24" s="98">
        <f t="shared" si="0"/>
        <v>31746.639999999999</v>
      </c>
      <c r="G24" s="121" t="s">
        <v>429</v>
      </c>
      <c r="H24" s="121" t="s">
        <v>430</v>
      </c>
      <c r="I24" s="121" t="s">
        <v>34</v>
      </c>
      <c r="J24" s="148">
        <v>1</v>
      </c>
      <c r="K24" s="148">
        <v>29350.6</v>
      </c>
      <c r="L24" s="148">
        <f t="shared" si="1"/>
        <v>29350.6</v>
      </c>
      <c r="M24" s="76" t="s">
        <v>592</v>
      </c>
    </row>
    <row r="25" spans="1:13" s="51" customFormat="1" ht="20.399999999999999" customHeight="1" x14ac:dyDescent="0.3">
      <c r="A25" s="66" t="s">
        <v>318</v>
      </c>
      <c r="B25" s="67" t="s">
        <v>319</v>
      </c>
      <c r="C25" s="66" t="s">
        <v>34</v>
      </c>
      <c r="D25" s="118">
        <v>52</v>
      </c>
      <c r="E25" s="57">
        <v>8.18</v>
      </c>
      <c r="F25" s="98">
        <f t="shared" si="0"/>
        <v>425.36</v>
      </c>
      <c r="G25" s="121">
        <v>5920</v>
      </c>
      <c r="H25" s="121" t="s">
        <v>98</v>
      </c>
      <c r="I25" s="121" t="s">
        <v>34</v>
      </c>
      <c r="J25" s="148">
        <v>52</v>
      </c>
      <c r="K25" s="148">
        <v>6.28</v>
      </c>
      <c r="L25" s="148">
        <f t="shared" si="1"/>
        <v>326.56</v>
      </c>
      <c r="M25" s="76" t="s">
        <v>592</v>
      </c>
    </row>
    <row r="26" spans="1:13" s="161" customFormat="1" ht="21" customHeight="1" x14ac:dyDescent="0.3">
      <c r="A26" s="155" t="s">
        <v>320</v>
      </c>
      <c r="B26" s="185" t="s">
        <v>321</v>
      </c>
      <c r="C26" s="155" t="s">
        <v>34</v>
      </c>
      <c r="D26" s="220">
        <v>620</v>
      </c>
      <c r="E26" s="217">
        <v>1.47</v>
      </c>
      <c r="F26" s="159">
        <f t="shared" si="0"/>
        <v>911.4</v>
      </c>
      <c r="G26" s="162"/>
      <c r="H26" s="163"/>
      <c r="I26" s="163"/>
      <c r="J26" s="164"/>
      <c r="K26" s="165"/>
      <c r="L26" s="164">
        <f t="shared" si="1"/>
        <v>0</v>
      </c>
      <c r="M26" s="82" t="s">
        <v>593</v>
      </c>
    </row>
    <row r="27" spans="1:13" s="51" customFormat="1" ht="28.2" customHeight="1" x14ac:dyDescent="0.3">
      <c r="A27" s="66" t="s">
        <v>322</v>
      </c>
      <c r="B27" s="67" t="s">
        <v>323</v>
      </c>
      <c r="C27" s="66" t="s">
        <v>34</v>
      </c>
      <c r="D27" s="118">
        <v>620</v>
      </c>
      <c r="E27" s="57">
        <v>0.59</v>
      </c>
      <c r="F27" s="98">
        <f t="shared" si="0"/>
        <v>365.79999999999995</v>
      </c>
      <c r="G27" s="126" t="s">
        <v>417</v>
      </c>
      <c r="H27" s="126" t="s">
        <v>418</v>
      </c>
      <c r="I27" s="126" t="s">
        <v>34</v>
      </c>
      <c r="J27" s="153">
        <v>400</v>
      </c>
      <c r="K27" s="153">
        <v>0.624</v>
      </c>
      <c r="L27" s="148">
        <f t="shared" si="1"/>
        <v>249.6</v>
      </c>
      <c r="M27" s="82" t="s">
        <v>620</v>
      </c>
    </row>
    <row r="28" spans="1:13" s="51" customFormat="1" ht="26.4" x14ac:dyDescent="0.3">
      <c r="A28" s="66" t="s">
        <v>324</v>
      </c>
      <c r="B28" s="67" t="s">
        <v>59</v>
      </c>
      <c r="C28" s="66" t="s">
        <v>34</v>
      </c>
      <c r="D28" s="118">
        <v>47</v>
      </c>
      <c r="E28" s="57">
        <v>4.63</v>
      </c>
      <c r="F28" s="98">
        <f t="shared" si="0"/>
        <v>217.60999999999999</v>
      </c>
      <c r="G28" s="121" t="s">
        <v>91</v>
      </c>
      <c r="H28" s="121" t="s">
        <v>92</v>
      </c>
      <c r="I28" s="121" t="s">
        <v>34</v>
      </c>
      <c r="J28" s="148">
        <v>47</v>
      </c>
      <c r="K28" s="148">
        <v>3.6269999999999998</v>
      </c>
      <c r="L28" s="148">
        <f t="shared" si="1"/>
        <v>170.46899999999999</v>
      </c>
      <c r="M28" s="76" t="s">
        <v>592</v>
      </c>
    </row>
    <row r="29" spans="1:13" s="51" customFormat="1" ht="20.399999999999999" customHeight="1" x14ac:dyDescent="0.3">
      <c r="A29" s="66" t="s">
        <v>325</v>
      </c>
      <c r="B29" s="67" t="s">
        <v>60</v>
      </c>
      <c r="C29" s="66" t="s">
        <v>34</v>
      </c>
      <c r="D29" s="118">
        <v>39</v>
      </c>
      <c r="E29" s="57">
        <v>7.23</v>
      </c>
      <c r="F29" s="98">
        <f t="shared" si="0"/>
        <v>281.97000000000003</v>
      </c>
      <c r="G29" s="121" t="s">
        <v>97</v>
      </c>
      <c r="H29" s="121" t="s">
        <v>98</v>
      </c>
      <c r="I29" s="121" t="s">
        <v>34</v>
      </c>
      <c r="J29" s="148">
        <v>11</v>
      </c>
      <c r="K29" s="148">
        <v>6.28</v>
      </c>
      <c r="L29" s="148">
        <f t="shared" si="1"/>
        <v>69.08</v>
      </c>
      <c r="M29" s="76" t="s">
        <v>592</v>
      </c>
    </row>
    <row r="30" spans="1:13" s="51" customFormat="1" ht="22.8" customHeight="1" x14ac:dyDescent="0.3">
      <c r="A30" s="66"/>
      <c r="B30" s="67"/>
      <c r="C30" s="66"/>
      <c r="D30" s="118"/>
      <c r="E30" s="57"/>
      <c r="F30" s="98"/>
      <c r="G30" s="121" t="s">
        <v>97</v>
      </c>
      <c r="H30" s="121" t="s">
        <v>98</v>
      </c>
      <c r="I30" s="121" t="s">
        <v>34</v>
      </c>
      <c r="J30" s="148">
        <v>25</v>
      </c>
      <c r="K30" s="148">
        <v>6.28</v>
      </c>
      <c r="L30" s="148">
        <f t="shared" si="1"/>
        <v>157</v>
      </c>
      <c r="M30" s="76" t="s">
        <v>592</v>
      </c>
    </row>
    <row r="31" spans="1:13" s="161" customFormat="1" ht="21" customHeight="1" x14ac:dyDescent="0.3">
      <c r="A31" s="155" t="s">
        <v>326</v>
      </c>
      <c r="B31" s="185" t="s">
        <v>327</v>
      </c>
      <c r="C31" s="155" t="s">
        <v>34</v>
      </c>
      <c r="D31" s="220">
        <v>20</v>
      </c>
      <c r="E31" s="217">
        <v>5.82</v>
      </c>
      <c r="F31" s="159">
        <f t="shared" si="0"/>
        <v>116.4</v>
      </c>
      <c r="G31" s="166"/>
      <c r="H31" s="167"/>
      <c r="I31" s="82"/>
      <c r="J31" s="198"/>
      <c r="K31" s="165"/>
      <c r="L31" s="164">
        <f t="shared" si="1"/>
        <v>0</v>
      </c>
      <c r="M31" s="82" t="s">
        <v>593</v>
      </c>
    </row>
    <row r="32" spans="1:13" s="51" customFormat="1" ht="22.2" customHeight="1" x14ac:dyDescent="0.3">
      <c r="A32" s="66" t="s">
        <v>328</v>
      </c>
      <c r="B32" s="67" t="s">
        <v>61</v>
      </c>
      <c r="C32" s="66" t="s">
        <v>34</v>
      </c>
      <c r="D32" s="118">
        <v>78</v>
      </c>
      <c r="E32" s="57">
        <v>1.1200000000000001</v>
      </c>
      <c r="F32" s="98">
        <f t="shared" si="0"/>
        <v>87.360000000000014</v>
      </c>
      <c r="G32" s="121" t="s">
        <v>419</v>
      </c>
      <c r="H32" s="121" t="s">
        <v>420</v>
      </c>
      <c r="I32" s="121" t="s">
        <v>34</v>
      </c>
      <c r="J32" s="148">
        <v>78</v>
      </c>
      <c r="K32" s="148">
        <v>0.64</v>
      </c>
      <c r="L32" s="148">
        <f t="shared" si="1"/>
        <v>49.92</v>
      </c>
      <c r="M32" s="82" t="s">
        <v>592</v>
      </c>
    </row>
    <row r="33" spans="1:13" s="51" customFormat="1" ht="18.600000000000001" customHeight="1" x14ac:dyDescent="0.3">
      <c r="A33" s="66" t="s">
        <v>329</v>
      </c>
      <c r="B33" s="67" t="s">
        <v>330</v>
      </c>
      <c r="C33" s="66" t="s">
        <v>34</v>
      </c>
      <c r="D33" s="118">
        <v>30</v>
      </c>
      <c r="E33" s="57">
        <v>1.4</v>
      </c>
      <c r="F33" s="98">
        <f t="shared" si="0"/>
        <v>42</v>
      </c>
      <c r="G33" s="90" t="s">
        <v>419</v>
      </c>
      <c r="H33" s="91" t="s">
        <v>420</v>
      </c>
      <c r="I33" s="103" t="s">
        <v>34</v>
      </c>
      <c r="J33" s="154">
        <v>30</v>
      </c>
      <c r="K33" s="93">
        <v>0.64</v>
      </c>
      <c r="L33" s="148">
        <f t="shared" si="1"/>
        <v>19.2</v>
      </c>
      <c r="M33" s="76" t="s">
        <v>592</v>
      </c>
    </row>
    <row r="34" spans="1:13" s="51" customFormat="1" ht="22.2" customHeight="1" x14ac:dyDescent="0.3">
      <c r="A34" s="66" t="s">
        <v>331</v>
      </c>
      <c r="B34" s="67" t="s">
        <v>62</v>
      </c>
      <c r="C34" s="66" t="s">
        <v>34</v>
      </c>
      <c r="D34" s="118">
        <v>78</v>
      </c>
      <c r="E34" s="57">
        <v>1.46</v>
      </c>
      <c r="F34" s="98">
        <f t="shared" si="0"/>
        <v>113.88</v>
      </c>
      <c r="G34" s="121" t="s">
        <v>522</v>
      </c>
      <c r="H34" s="121" t="s">
        <v>523</v>
      </c>
      <c r="I34" s="121" t="s">
        <v>34</v>
      </c>
      <c r="J34" s="148">
        <v>78</v>
      </c>
      <c r="K34" s="148">
        <v>0.24</v>
      </c>
      <c r="L34" s="148">
        <f t="shared" si="1"/>
        <v>18.72</v>
      </c>
      <c r="M34" s="76" t="s">
        <v>592</v>
      </c>
    </row>
    <row r="35" spans="1:13" s="161" customFormat="1" ht="25.8" customHeight="1" x14ac:dyDescent="0.3">
      <c r="A35" s="155" t="s">
        <v>332</v>
      </c>
      <c r="B35" s="185" t="s">
        <v>64</v>
      </c>
      <c r="C35" s="155" t="s">
        <v>35</v>
      </c>
      <c r="D35" s="276">
        <v>6.1199999999999997E-2</v>
      </c>
      <c r="E35" s="217">
        <v>32706.79</v>
      </c>
      <c r="F35" s="159">
        <f t="shared" si="0"/>
        <v>2001.655548</v>
      </c>
      <c r="G35" s="255"/>
      <c r="H35" s="255"/>
      <c r="I35" s="168"/>
      <c r="J35" s="169"/>
      <c r="K35" s="165"/>
      <c r="L35" s="164">
        <f t="shared" si="1"/>
        <v>0</v>
      </c>
      <c r="M35" s="206" t="s">
        <v>593</v>
      </c>
    </row>
    <row r="36" spans="1:13" s="51" customFormat="1" ht="26.4" x14ac:dyDescent="0.3">
      <c r="A36" s="66" t="s">
        <v>333</v>
      </c>
      <c r="B36" s="67" t="s">
        <v>334</v>
      </c>
      <c r="C36" s="66" t="s">
        <v>35</v>
      </c>
      <c r="D36" s="116">
        <v>3.7699999999999997E-2</v>
      </c>
      <c r="E36" s="57">
        <v>46350</v>
      </c>
      <c r="F36" s="98">
        <f t="shared" si="0"/>
        <v>1747.395</v>
      </c>
      <c r="G36" s="103"/>
      <c r="H36" s="103"/>
      <c r="I36" s="101"/>
      <c r="J36" s="154"/>
      <c r="K36" s="93"/>
      <c r="L36" s="148">
        <f t="shared" si="1"/>
        <v>0</v>
      </c>
      <c r="M36" s="206" t="s">
        <v>618</v>
      </c>
    </row>
    <row r="37" spans="1:13" s="51" customFormat="1" ht="25.2" customHeight="1" x14ac:dyDescent="0.3">
      <c r="A37" s="66" t="s">
        <v>335</v>
      </c>
      <c r="B37" s="67" t="s">
        <v>68</v>
      </c>
      <c r="C37" s="66" t="s">
        <v>34</v>
      </c>
      <c r="D37" s="118">
        <v>100</v>
      </c>
      <c r="E37" s="57">
        <v>0.56999999999999995</v>
      </c>
      <c r="F37" s="98">
        <f t="shared" si="0"/>
        <v>56.999999999999993</v>
      </c>
      <c r="G37" s="121" t="s">
        <v>562</v>
      </c>
      <c r="H37" s="121" t="s">
        <v>563</v>
      </c>
      <c r="I37" s="121" t="s">
        <v>81</v>
      </c>
      <c r="J37" s="148">
        <v>1</v>
      </c>
      <c r="K37" s="148">
        <v>33.286000000000001</v>
      </c>
      <c r="L37" s="148">
        <f t="shared" si="1"/>
        <v>33.286000000000001</v>
      </c>
      <c r="M37" s="13" t="s">
        <v>592</v>
      </c>
    </row>
    <row r="38" spans="1:13" s="51" customFormat="1" ht="25.8" customHeight="1" x14ac:dyDescent="0.3">
      <c r="A38" s="66" t="s">
        <v>336</v>
      </c>
      <c r="B38" s="67" t="s">
        <v>69</v>
      </c>
      <c r="C38" s="66" t="s">
        <v>34</v>
      </c>
      <c r="D38" s="118">
        <v>30</v>
      </c>
      <c r="E38" s="57">
        <v>20.72</v>
      </c>
      <c r="F38" s="98">
        <f t="shared" si="0"/>
        <v>621.59999999999991</v>
      </c>
      <c r="G38" s="121" t="s">
        <v>102</v>
      </c>
      <c r="H38" s="121" t="s">
        <v>103</v>
      </c>
      <c r="I38" s="121" t="s">
        <v>48</v>
      </c>
      <c r="J38" s="148">
        <v>1</v>
      </c>
      <c r="K38" s="148">
        <v>83.294000000000011</v>
      </c>
      <c r="L38" s="148">
        <f t="shared" si="1"/>
        <v>83.294000000000011</v>
      </c>
      <c r="M38" s="13" t="s">
        <v>592</v>
      </c>
    </row>
    <row r="39" spans="1:13" s="51" customFormat="1" x14ac:dyDescent="0.3">
      <c r="A39" s="66"/>
      <c r="B39" s="67"/>
      <c r="C39" s="66"/>
      <c r="D39" s="118"/>
      <c r="E39" s="57"/>
      <c r="F39" s="98">
        <f t="shared" si="0"/>
        <v>0</v>
      </c>
      <c r="G39" s="103"/>
      <c r="H39" s="103"/>
      <c r="I39" s="101"/>
      <c r="J39" s="154"/>
      <c r="K39" s="93"/>
      <c r="L39" s="92">
        <f t="shared" ref="L39:L43" si="2">J39*K39</f>
        <v>0</v>
      </c>
      <c r="M39" s="76"/>
    </row>
    <row r="40" spans="1:13" s="51" customFormat="1" x14ac:dyDescent="0.3">
      <c r="A40" s="66"/>
      <c r="B40" s="67"/>
      <c r="C40" s="66"/>
      <c r="D40" s="118"/>
      <c r="E40" s="57"/>
      <c r="F40" s="98">
        <f t="shared" si="0"/>
        <v>0</v>
      </c>
      <c r="G40" s="103"/>
      <c r="H40" s="103"/>
      <c r="I40" s="101"/>
      <c r="J40" s="154"/>
      <c r="K40" s="93"/>
      <c r="L40" s="92">
        <f t="shared" si="2"/>
        <v>0</v>
      </c>
      <c r="M40" s="76"/>
    </row>
    <row r="41" spans="1:13" s="51" customFormat="1" x14ac:dyDescent="0.3">
      <c r="A41" s="66"/>
      <c r="B41" s="67"/>
      <c r="C41" s="66"/>
      <c r="D41" s="118"/>
      <c r="E41" s="57"/>
      <c r="F41" s="98">
        <f t="shared" si="0"/>
        <v>0</v>
      </c>
      <c r="G41" s="103"/>
      <c r="H41" s="103"/>
      <c r="I41" s="101"/>
      <c r="J41" s="154"/>
      <c r="K41" s="93"/>
      <c r="L41" s="92">
        <f t="shared" si="2"/>
        <v>0</v>
      </c>
      <c r="M41" s="76"/>
    </row>
    <row r="42" spans="1:13" s="51" customFormat="1" x14ac:dyDescent="0.3">
      <c r="A42" s="66"/>
      <c r="B42" s="67"/>
      <c r="C42" s="66"/>
      <c r="D42" s="118"/>
      <c r="E42" s="57"/>
      <c r="F42" s="98">
        <f t="shared" si="0"/>
        <v>0</v>
      </c>
      <c r="G42" s="103"/>
      <c r="H42" s="103"/>
      <c r="I42" s="101"/>
      <c r="J42" s="154"/>
      <c r="K42" s="93"/>
      <c r="L42" s="92">
        <f t="shared" si="2"/>
        <v>0</v>
      </c>
      <c r="M42" s="76"/>
    </row>
    <row r="43" spans="1:13" s="51" customFormat="1" x14ac:dyDescent="0.3">
      <c r="A43" s="66"/>
      <c r="B43" s="67"/>
      <c r="C43" s="66"/>
      <c r="D43" s="118"/>
      <c r="E43" s="57"/>
      <c r="F43" s="98">
        <f t="shared" si="0"/>
        <v>0</v>
      </c>
      <c r="G43" s="103"/>
      <c r="H43" s="103"/>
      <c r="I43" s="101"/>
      <c r="J43" s="154"/>
      <c r="K43" s="93"/>
      <c r="L43" s="92">
        <f t="shared" si="2"/>
        <v>0</v>
      </c>
      <c r="M43" s="76"/>
    </row>
    <row r="44" spans="1:13" ht="15.6" x14ac:dyDescent="0.3">
      <c r="A44" s="46"/>
      <c r="B44" s="47" t="s">
        <v>24</v>
      </c>
      <c r="C44" s="48"/>
      <c r="D44" s="49"/>
      <c r="E44" s="49"/>
      <c r="F44" s="50">
        <f>SUM(F21:F43)</f>
        <v>138113.11054799994</v>
      </c>
      <c r="G44" s="35"/>
      <c r="H44" s="34"/>
      <c r="I44" s="36"/>
      <c r="J44" s="33">
        <f>SUM(J21:J43)</f>
        <v>727</v>
      </c>
      <c r="K44" s="33"/>
      <c r="L44" s="45">
        <f>SUM(L21:L43)</f>
        <v>122383.829</v>
      </c>
      <c r="M44" s="58"/>
    </row>
    <row r="45" spans="1:13" ht="16.2" thickBot="1" x14ac:dyDescent="0.35">
      <c r="A45" s="107"/>
      <c r="B45" s="108"/>
      <c r="C45" s="109"/>
      <c r="D45" s="110"/>
      <c r="E45" s="110"/>
      <c r="F45" s="110"/>
      <c r="G45" s="111"/>
      <c r="H45" s="112"/>
      <c r="I45" s="113"/>
      <c r="J45" s="114"/>
      <c r="K45" s="114"/>
      <c r="L45" s="114"/>
      <c r="M45" s="115"/>
    </row>
    <row r="46" spans="1:13" ht="15.6" customHeight="1" x14ac:dyDescent="0.3">
      <c r="A46" s="310" t="s">
        <v>38</v>
      </c>
      <c r="B46" s="311"/>
      <c r="C46" s="311"/>
      <c r="D46" s="311"/>
      <c r="E46" s="311"/>
      <c r="F46" s="311"/>
      <c r="G46" s="314" t="s">
        <v>26</v>
      </c>
      <c r="H46" s="314"/>
      <c r="I46" s="314"/>
      <c r="J46" s="314"/>
      <c r="K46" s="314"/>
      <c r="L46" s="314"/>
      <c r="M46" s="315"/>
    </row>
    <row r="47" spans="1:13" ht="15.6" customHeight="1" thickBot="1" x14ac:dyDescent="0.35">
      <c r="A47" s="312"/>
      <c r="B47" s="313"/>
      <c r="C47" s="313"/>
      <c r="D47" s="313"/>
      <c r="E47" s="313"/>
      <c r="F47" s="313"/>
      <c r="G47" s="316"/>
      <c r="H47" s="316"/>
      <c r="I47" s="316"/>
      <c r="J47" s="316"/>
      <c r="K47" s="316"/>
      <c r="L47" s="316"/>
      <c r="M47" s="317"/>
    </row>
    <row r="48" spans="1:13" x14ac:dyDescent="0.3">
      <c r="A48" s="56"/>
      <c r="B48" s="42"/>
      <c r="C48" s="38"/>
      <c r="D48" s="39"/>
      <c r="E48" s="57"/>
      <c r="F48" s="57"/>
      <c r="G48" s="121" t="s">
        <v>586</v>
      </c>
      <c r="H48" s="121" t="s">
        <v>587</v>
      </c>
      <c r="I48" s="121" t="s">
        <v>34</v>
      </c>
      <c r="J48" s="122">
        <v>2</v>
      </c>
      <c r="K48" s="122">
        <v>139</v>
      </c>
      <c r="L48" s="131">
        <f>K48*J48</f>
        <v>278</v>
      </c>
      <c r="M48" s="60"/>
    </row>
    <row r="49" spans="1:16" x14ac:dyDescent="0.3">
      <c r="A49" s="56"/>
      <c r="B49" s="42"/>
      <c r="C49" s="38"/>
      <c r="D49" s="39"/>
      <c r="E49" s="57"/>
      <c r="F49" s="57"/>
      <c r="G49" s="121">
        <v>10270</v>
      </c>
      <c r="H49" s="121" t="s">
        <v>583</v>
      </c>
      <c r="I49" s="121" t="s">
        <v>34</v>
      </c>
      <c r="J49" s="122">
        <v>10</v>
      </c>
      <c r="K49" s="122">
        <v>7.8620000000000001</v>
      </c>
      <c r="L49" s="131">
        <f t="shared" ref="L49:L54" si="3">K49*J49</f>
        <v>78.62</v>
      </c>
      <c r="M49" s="60"/>
    </row>
    <row r="50" spans="1:16" x14ac:dyDescent="0.3">
      <c r="A50" s="56"/>
      <c r="B50" s="42"/>
      <c r="C50" s="38"/>
      <c r="D50" s="39"/>
      <c r="E50" s="57"/>
      <c r="F50" s="57"/>
      <c r="G50" s="121">
        <v>8952</v>
      </c>
      <c r="H50" s="121" t="s">
        <v>108</v>
      </c>
      <c r="I50" s="121" t="s">
        <v>34</v>
      </c>
      <c r="J50" s="122">
        <v>10</v>
      </c>
      <c r="K50" s="122">
        <v>17.510000000000002</v>
      </c>
      <c r="L50" s="131">
        <f t="shared" si="3"/>
        <v>175.10000000000002</v>
      </c>
      <c r="M50" s="60"/>
      <c r="P50" s="44"/>
    </row>
    <row r="51" spans="1:16" x14ac:dyDescent="0.3">
      <c r="A51" s="56"/>
      <c r="B51" s="42"/>
      <c r="C51" s="38"/>
      <c r="D51" s="39"/>
      <c r="E51" s="40"/>
      <c r="F51" s="41"/>
      <c r="G51" s="121" t="s">
        <v>109</v>
      </c>
      <c r="H51" s="121" t="s">
        <v>110</v>
      </c>
      <c r="I51" s="121" t="s">
        <v>34</v>
      </c>
      <c r="J51" s="122">
        <v>4</v>
      </c>
      <c r="K51" s="122">
        <v>5.9279999999999999</v>
      </c>
      <c r="L51" s="131">
        <f t="shared" si="3"/>
        <v>23.712</v>
      </c>
      <c r="M51" s="60"/>
    </row>
    <row r="52" spans="1:16" x14ac:dyDescent="0.3">
      <c r="A52" s="56"/>
      <c r="B52" s="42"/>
      <c r="C52" s="38"/>
      <c r="D52" s="39"/>
      <c r="E52" s="40"/>
      <c r="F52" s="41"/>
      <c r="L52" s="131">
        <f t="shared" si="3"/>
        <v>0</v>
      </c>
      <c r="M52" s="60"/>
      <c r="P52" s="44"/>
    </row>
    <row r="53" spans="1:16" x14ac:dyDescent="0.3">
      <c r="A53" s="56"/>
      <c r="B53" s="42"/>
      <c r="C53" s="38"/>
      <c r="D53" s="39"/>
      <c r="E53" s="40"/>
      <c r="F53" s="41"/>
      <c r="G53" s="74"/>
      <c r="H53" s="71"/>
      <c r="I53" s="71"/>
      <c r="J53" s="72"/>
      <c r="K53" s="75"/>
      <c r="L53" s="131">
        <f t="shared" si="3"/>
        <v>0</v>
      </c>
      <c r="M53" s="60"/>
      <c r="P53" s="44"/>
    </row>
    <row r="54" spans="1:16" x14ac:dyDescent="0.3">
      <c r="A54" s="56"/>
      <c r="B54" s="42"/>
      <c r="C54" s="38"/>
      <c r="D54" s="39"/>
      <c r="E54" s="40"/>
      <c r="F54" s="41"/>
      <c r="G54" s="74"/>
      <c r="H54" s="71"/>
      <c r="I54" s="71"/>
      <c r="J54" s="72"/>
      <c r="L54" s="131">
        <f t="shared" si="3"/>
        <v>0</v>
      </c>
      <c r="M54" s="60"/>
      <c r="P54" s="44"/>
    </row>
    <row r="55" spans="1:16" ht="15" thickBot="1" x14ac:dyDescent="0.35">
      <c r="A55" s="56"/>
      <c r="B55" s="42"/>
      <c r="C55" s="38"/>
      <c r="D55" s="39"/>
      <c r="E55" s="40"/>
      <c r="F55" s="41"/>
      <c r="G55" s="61"/>
      <c r="H55" s="61"/>
      <c r="I55" s="61"/>
      <c r="J55" s="62"/>
      <c r="K55" s="62"/>
      <c r="L55" s="63"/>
      <c r="M55" s="60"/>
      <c r="P55" s="44"/>
    </row>
    <row r="56" spans="1:16" ht="21.6" thickBot="1" x14ac:dyDescent="0.35">
      <c r="A56" s="27"/>
      <c r="B56" s="28" t="s">
        <v>31</v>
      </c>
      <c r="C56" s="29"/>
      <c r="D56" s="30">
        <f>SUM(D48:D55)</f>
        <v>0</v>
      </c>
      <c r="E56" s="30"/>
      <c r="F56" s="31">
        <f>SUM(F48:F55)</f>
        <v>0</v>
      </c>
      <c r="G56" s="24"/>
      <c r="H56" s="25"/>
      <c r="I56" s="25"/>
      <c r="J56" s="26">
        <f>SUM(J48:J55)</f>
        <v>26</v>
      </c>
      <c r="K56" s="26"/>
      <c r="L56" s="26">
        <f>SUM(L48:L55)</f>
        <v>555.43200000000002</v>
      </c>
      <c r="M56" s="14"/>
    </row>
    <row r="57" spans="1:16" ht="21.6" thickBot="1" x14ac:dyDescent="0.35">
      <c r="A57" s="15"/>
      <c r="B57" s="16" t="s">
        <v>32</v>
      </c>
      <c r="C57" s="17"/>
      <c r="D57" s="18">
        <f>D44+D56</f>
        <v>0</v>
      </c>
      <c r="E57" s="18"/>
      <c r="F57" s="19">
        <f>F44+F56</f>
        <v>138113.11054799994</v>
      </c>
      <c r="G57" s="20"/>
      <c r="H57" s="21"/>
      <c r="I57" s="21"/>
      <c r="J57" s="22">
        <f>J44+J56</f>
        <v>753</v>
      </c>
      <c r="K57" s="22"/>
      <c r="L57" s="22">
        <f>L44+L56</f>
        <v>122939.261</v>
      </c>
      <c r="M57" s="23"/>
    </row>
    <row r="58" spans="1:16" ht="25.05" customHeight="1" x14ac:dyDescent="0.4">
      <c r="A58" s="298" t="s">
        <v>12</v>
      </c>
      <c r="B58" s="298"/>
      <c r="C58" s="298"/>
      <c r="D58" s="298"/>
      <c r="E58" s="298"/>
      <c r="F58" s="298"/>
      <c r="G58" s="298"/>
      <c r="H58" s="298"/>
      <c r="I58" s="298"/>
      <c r="J58" s="85"/>
      <c r="K58" s="85"/>
      <c r="L58" s="85"/>
      <c r="M58" s="7"/>
    </row>
    <row r="59" spans="1:16" ht="25.05" customHeight="1" x14ac:dyDescent="0.4">
      <c r="A59" s="288" t="s">
        <v>13</v>
      </c>
      <c r="B59" s="288"/>
      <c r="C59" s="288"/>
      <c r="D59" s="288"/>
      <c r="E59" s="288"/>
      <c r="F59" s="288"/>
      <c r="G59" s="288"/>
      <c r="H59" s="288"/>
      <c r="I59" s="288"/>
      <c r="J59" s="84"/>
      <c r="K59" s="84"/>
      <c r="L59" s="43">
        <f>L56*100/L44</f>
        <v>0.45384427382150305</v>
      </c>
      <c r="M59" s="7"/>
    </row>
    <row r="60" spans="1:16" ht="25.05" customHeight="1" x14ac:dyDescent="0.4">
      <c r="A60" s="289" t="s">
        <v>14</v>
      </c>
      <c r="B60" s="289"/>
      <c r="C60" s="289"/>
      <c r="D60" s="289"/>
      <c r="E60" s="289"/>
      <c r="F60" s="289"/>
      <c r="G60" s="289"/>
      <c r="H60" s="289"/>
      <c r="I60" s="289"/>
      <c r="J60" s="86"/>
      <c r="K60" s="86"/>
      <c r="L60" s="86"/>
      <c r="M60" s="7"/>
    </row>
    <row r="61" spans="1:16" ht="25.05" customHeight="1" x14ac:dyDescent="0.4">
      <c r="A61" s="288" t="s">
        <v>15</v>
      </c>
      <c r="B61" s="288"/>
      <c r="C61" s="288"/>
      <c r="D61" s="288"/>
      <c r="E61" s="288"/>
      <c r="F61" s="288"/>
      <c r="G61" s="288"/>
      <c r="H61" s="288"/>
      <c r="I61" s="288"/>
      <c r="J61" s="84"/>
      <c r="K61" s="84"/>
      <c r="L61" s="84"/>
      <c r="M61" s="7"/>
    </row>
    <row r="62" spans="1:16" ht="25.05" customHeight="1" x14ac:dyDescent="0.4">
      <c r="A62" s="288" t="s">
        <v>16</v>
      </c>
      <c r="B62" s="288"/>
      <c r="C62" s="288"/>
      <c r="D62" s="288"/>
      <c r="E62" s="288"/>
      <c r="F62" s="288"/>
      <c r="G62" s="288"/>
      <c r="H62" s="288"/>
      <c r="I62" s="288"/>
      <c r="J62" s="84"/>
      <c r="K62" s="84"/>
      <c r="L62" s="84"/>
      <c r="M62" s="7"/>
    </row>
    <row r="63" spans="1:16" ht="25.05" customHeight="1" x14ac:dyDescent="0.4">
      <c r="A63" s="288" t="s">
        <v>17</v>
      </c>
      <c r="B63" s="288"/>
      <c r="C63" s="288"/>
      <c r="D63" s="288"/>
      <c r="E63" s="288"/>
      <c r="F63" s="288"/>
      <c r="G63" s="288"/>
      <c r="H63" s="288"/>
      <c r="I63" s="288"/>
      <c r="J63" s="84"/>
      <c r="K63" s="84"/>
      <c r="L63" s="84"/>
      <c r="M63" s="7"/>
    </row>
    <row r="64" spans="1:16" ht="25.05" customHeight="1" x14ac:dyDescent="0.4">
      <c r="A64" s="288" t="s">
        <v>18</v>
      </c>
      <c r="B64" s="288"/>
      <c r="C64" s="288"/>
      <c r="D64" s="288"/>
      <c r="E64" s="288"/>
      <c r="F64" s="288"/>
      <c r="G64" s="288"/>
      <c r="H64" s="288"/>
      <c r="I64" s="288"/>
      <c r="J64" s="84"/>
      <c r="K64" s="84"/>
      <c r="L64" s="84"/>
      <c r="M64" s="7"/>
    </row>
    <row r="65" spans="1:16" ht="25.05" customHeight="1" x14ac:dyDescent="0.4">
      <c r="A65" s="288" t="s">
        <v>17</v>
      </c>
      <c r="B65" s="288"/>
      <c r="C65" s="288"/>
      <c r="D65" s="288"/>
      <c r="E65" s="288"/>
      <c r="F65" s="288"/>
      <c r="G65" s="288"/>
      <c r="H65" s="288"/>
      <c r="I65" s="288"/>
      <c r="J65" s="84"/>
      <c r="K65" s="84"/>
      <c r="L65" s="84"/>
      <c r="M65" s="7"/>
    </row>
    <row r="66" spans="1:16" ht="25.05" customHeight="1" x14ac:dyDescent="0.4">
      <c r="A66" s="288" t="s">
        <v>19</v>
      </c>
      <c r="B66" s="288"/>
      <c r="C66" s="288"/>
      <c r="D66" s="288"/>
      <c r="E66" s="288"/>
      <c r="F66" s="288"/>
      <c r="G66" s="288"/>
      <c r="H66" s="288"/>
      <c r="I66" s="288"/>
      <c r="J66" s="84"/>
      <c r="K66" s="84"/>
      <c r="L66" s="84"/>
      <c r="M66" s="7"/>
    </row>
    <row r="67" spans="1:16" ht="25.05" customHeight="1" x14ac:dyDescent="0.4">
      <c r="A67" s="288" t="s">
        <v>11</v>
      </c>
      <c r="B67" s="288"/>
      <c r="C67" s="288"/>
      <c r="D67" s="288"/>
      <c r="E67" s="288"/>
      <c r="F67" s="288"/>
      <c r="G67" s="288"/>
      <c r="H67" s="288"/>
      <c r="I67" s="288"/>
      <c r="J67" s="84"/>
      <c r="K67" s="84"/>
      <c r="L67" s="84"/>
      <c r="M67" s="7"/>
    </row>
    <row r="68" spans="1:16" ht="25.05" customHeight="1" x14ac:dyDescent="0.4">
      <c r="A68" s="288" t="s">
        <v>20</v>
      </c>
      <c r="B68" s="288"/>
      <c r="C68" s="288"/>
      <c r="D68" s="288"/>
      <c r="E68" s="288"/>
      <c r="F68" s="288"/>
      <c r="G68" s="288"/>
      <c r="H68" s="288"/>
      <c r="I68" s="288"/>
      <c r="J68" s="84"/>
      <c r="K68" s="84"/>
      <c r="L68" s="84"/>
      <c r="M68" s="7"/>
    </row>
    <row r="69" spans="1:16" ht="25.05" customHeight="1" x14ac:dyDescent="0.4">
      <c r="A69" s="318" t="s">
        <v>33</v>
      </c>
      <c r="B69" s="318"/>
      <c r="C69" s="318"/>
      <c r="D69" s="318"/>
      <c r="E69" s="318"/>
      <c r="F69" s="318"/>
      <c r="G69" s="318"/>
      <c r="H69" s="318"/>
      <c r="I69" s="318"/>
      <c r="J69" s="87"/>
      <c r="K69" s="87"/>
      <c r="L69" s="87"/>
      <c r="M69" s="7"/>
    </row>
    <row r="70" spans="1:16" s="5" customFormat="1" ht="36" customHeight="1" x14ac:dyDescent="0.3">
      <c r="B70"/>
      <c r="H70"/>
      <c r="I70" s="6"/>
      <c r="J70" s="6"/>
      <c r="K70" s="6"/>
      <c r="L70" s="6"/>
      <c r="M70"/>
      <c r="N70"/>
      <c r="O70"/>
      <c r="P70"/>
    </row>
  </sheetData>
  <mergeCells count="33">
    <mergeCell ref="H17:L17"/>
    <mergeCell ref="M17:M18"/>
    <mergeCell ref="A46:F47"/>
    <mergeCell ref="G46:M47"/>
    <mergeCell ref="A69:I69"/>
    <mergeCell ref="A63:I63"/>
    <mergeCell ref="A65:I65"/>
    <mergeCell ref="A66:I66"/>
    <mergeCell ref="A67:I67"/>
    <mergeCell ref="A68:I68"/>
    <mergeCell ref="A64:I64"/>
    <mergeCell ref="A59:I59"/>
    <mergeCell ref="A60:I60"/>
    <mergeCell ref="A61:I61"/>
    <mergeCell ref="A62:I62"/>
    <mergeCell ref="A13:M13"/>
    <mergeCell ref="A14:M14"/>
    <mergeCell ref="A15:L15"/>
    <mergeCell ref="A16:F16"/>
    <mergeCell ref="G16:M16"/>
    <mergeCell ref="A58:I58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51"/>
  <sheetViews>
    <sheetView topLeftCell="A17" zoomScale="70" zoomScaleNormal="70" workbookViewId="0">
      <selection activeCell="I24" sqref="I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616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305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161" customFormat="1" ht="31.8" customHeight="1" x14ac:dyDescent="0.3">
      <c r="A21" s="193" t="s">
        <v>244</v>
      </c>
      <c r="B21" s="185" t="s">
        <v>306</v>
      </c>
      <c r="C21" s="155" t="s">
        <v>72</v>
      </c>
      <c r="D21" s="220">
        <v>1</v>
      </c>
      <c r="E21" s="217">
        <v>785693.55</v>
      </c>
      <c r="F21" s="159">
        <f>D21*E21</f>
        <v>785693.55</v>
      </c>
      <c r="G21" s="162"/>
      <c r="H21" s="187"/>
      <c r="I21" s="187"/>
      <c r="J21" s="164"/>
      <c r="K21" s="188"/>
      <c r="L21" s="188">
        <f>K21</f>
        <v>0</v>
      </c>
      <c r="M21" s="194" t="s">
        <v>617</v>
      </c>
    </row>
    <row r="22" spans="1:13" s="51" customFormat="1" ht="15.6" customHeight="1" x14ac:dyDescent="0.3">
      <c r="A22" s="65"/>
      <c r="B22" s="67"/>
      <c r="C22" s="66"/>
      <c r="D22" s="118"/>
      <c r="E22" s="57"/>
      <c r="F22" s="98"/>
      <c r="G22" s="121"/>
      <c r="H22" s="147"/>
      <c r="I22" s="147"/>
      <c r="J22" s="148"/>
      <c r="K22" s="148"/>
      <c r="L22" s="148"/>
      <c r="M22" s="76"/>
    </row>
    <row r="23" spans="1:13" s="272" customFormat="1" x14ac:dyDescent="0.3">
      <c r="A23" s="261" t="s">
        <v>307</v>
      </c>
      <c r="B23" s="262" t="s">
        <v>308</v>
      </c>
      <c r="C23" s="263" t="s">
        <v>34</v>
      </c>
      <c r="D23" s="264">
        <v>1</v>
      </c>
      <c r="E23" s="265">
        <v>45017.53</v>
      </c>
      <c r="F23" s="266">
        <f t="shared" ref="F23:F29" si="0">D23*E23</f>
        <v>45017.53</v>
      </c>
      <c r="G23" s="267"/>
      <c r="H23" s="268"/>
      <c r="I23" s="268"/>
      <c r="J23" s="269"/>
      <c r="K23" s="270"/>
      <c r="L23" s="270">
        <f t="shared" ref="L23:L29" si="1">J23*K23</f>
        <v>0</v>
      </c>
      <c r="M23" s="271" t="s">
        <v>618</v>
      </c>
    </row>
    <row r="24" spans="1:13" s="51" customFormat="1" ht="66" x14ac:dyDescent="0.3">
      <c r="A24" s="65" t="s">
        <v>53</v>
      </c>
      <c r="B24" s="67" t="s">
        <v>309</v>
      </c>
      <c r="C24" s="256" t="s">
        <v>34</v>
      </c>
      <c r="D24" s="273">
        <v>1</v>
      </c>
      <c r="E24" s="274">
        <v>92815.87</v>
      </c>
      <c r="F24" s="275">
        <f t="shared" si="0"/>
        <v>92815.87</v>
      </c>
      <c r="G24" s="121" t="s">
        <v>516</v>
      </c>
      <c r="H24" s="147" t="s">
        <v>517</v>
      </c>
      <c r="I24" s="147" t="s">
        <v>34</v>
      </c>
      <c r="J24" s="148">
        <v>1</v>
      </c>
      <c r="K24" s="148">
        <f>L24/J24</f>
        <v>85790.1</v>
      </c>
      <c r="L24" s="148">
        <v>85790.1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1"/>
      <c r="H25" s="147"/>
      <c r="I25" s="147"/>
      <c r="J25" s="148"/>
      <c r="K25" s="148"/>
      <c r="L25" s="148"/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47"/>
      <c r="I26" s="147"/>
      <c r="J26" s="148"/>
      <c r="K26" s="93"/>
      <c r="L26" s="92">
        <f t="shared" si="1"/>
        <v>0</v>
      </c>
      <c r="M26" s="260"/>
    </row>
    <row r="27" spans="1:13" s="51" customFormat="1" x14ac:dyDescent="0.3">
      <c r="A27" s="66"/>
      <c r="B27" s="67"/>
      <c r="C27" s="66"/>
      <c r="D27" s="118"/>
      <c r="E27" s="57"/>
      <c r="F27" s="98">
        <f t="shared" si="0"/>
        <v>0</v>
      </c>
      <c r="G27" s="120"/>
      <c r="H27" s="147"/>
      <c r="I27" s="147"/>
      <c r="J27" s="148"/>
      <c r="K27" s="93"/>
      <c r="L27" s="92">
        <f t="shared" si="1"/>
        <v>0</v>
      </c>
      <c r="M27" s="76"/>
    </row>
    <row r="28" spans="1:13" s="51" customFormat="1" x14ac:dyDescent="0.3">
      <c r="A28" s="66"/>
      <c r="B28" s="67"/>
      <c r="C28" s="66"/>
      <c r="D28" s="57"/>
      <c r="E28" s="57"/>
      <c r="F28" s="98">
        <f t="shared" si="0"/>
        <v>0</v>
      </c>
      <c r="G28" s="120"/>
      <c r="H28" s="147"/>
      <c r="I28" s="147"/>
      <c r="J28" s="148"/>
      <c r="K28" s="93"/>
      <c r="L28" s="92">
        <f t="shared" si="1"/>
        <v>0</v>
      </c>
      <c r="M28" s="76"/>
    </row>
    <row r="29" spans="1:13" s="51" customFormat="1" x14ac:dyDescent="0.3">
      <c r="A29" s="66"/>
      <c r="B29" s="67"/>
      <c r="C29" s="66"/>
      <c r="D29" s="118"/>
      <c r="E29" s="57"/>
      <c r="F29" s="98">
        <f t="shared" si="0"/>
        <v>0</v>
      </c>
      <c r="G29" s="125"/>
      <c r="H29" s="184"/>
      <c r="I29" s="184"/>
      <c r="J29" s="153"/>
      <c r="K29" s="93"/>
      <c r="L29" s="92">
        <f t="shared" si="1"/>
        <v>0</v>
      </c>
      <c r="M29" s="76"/>
    </row>
    <row r="30" spans="1:13" ht="15.6" x14ac:dyDescent="0.3">
      <c r="A30" s="46"/>
      <c r="B30" s="47" t="s">
        <v>24</v>
      </c>
      <c r="C30" s="48"/>
      <c r="D30" s="49"/>
      <c r="E30" s="49"/>
      <c r="F30" s="50">
        <f>SUM(F21:F29)</f>
        <v>923526.95000000007</v>
      </c>
      <c r="G30" s="35"/>
      <c r="H30" s="34"/>
      <c r="I30" s="36"/>
      <c r="J30" s="33">
        <f>SUM(J21:J29)</f>
        <v>1</v>
      </c>
      <c r="K30" s="33"/>
      <c r="L30" s="45">
        <f>SUM(L21:L29)</f>
        <v>85790.1</v>
      </c>
      <c r="M30" s="58"/>
    </row>
    <row r="31" spans="1:13" ht="16.2" thickBot="1" x14ac:dyDescent="0.35">
      <c r="A31" s="107"/>
      <c r="B31" s="108"/>
      <c r="C31" s="109"/>
      <c r="D31" s="110"/>
      <c r="E31" s="110"/>
      <c r="F31" s="110"/>
      <c r="G31" s="111"/>
      <c r="H31" s="112"/>
      <c r="I31" s="113"/>
      <c r="J31" s="114"/>
      <c r="K31" s="114"/>
      <c r="L31" s="114"/>
      <c r="M31" s="115"/>
    </row>
    <row r="32" spans="1:13" ht="15.6" customHeight="1" x14ac:dyDescent="0.3">
      <c r="A32" s="310" t="s">
        <v>38</v>
      </c>
      <c r="B32" s="311"/>
      <c r="C32" s="311"/>
      <c r="D32" s="311"/>
      <c r="E32" s="311"/>
      <c r="F32" s="311"/>
      <c r="G32" s="314" t="s">
        <v>26</v>
      </c>
      <c r="H32" s="314"/>
      <c r="I32" s="314"/>
      <c r="J32" s="314"/>
      <c r="K32" s="314"/>
      <c r="L32" s="314"/>
      <c r="M32" s="315"/>
    </row>
    <row r="33" spans="1:16" ht="15.6" customHeight="1" thickBot="1" x14ac:dyDescent="0.35">
      <c r="A33" s="312"/>
      <c r="B33" s="313"/>
      <c r="C33" s="313"/>
      <c r="D33" s="313"/>
      <c r="E33" s="313"/>
      <c r="F33" s="313"/>
      <c r="G33" s="316"/>
      <c r="H33" s="316"/>
      <c r="I33" s="316"/>
      <c r="J33" s="316"/>
      <c r="K33" s="316"/>
      <c r="L33" s="316"/>
      <c r="M33" s="317"/>
    </row>
    <row r="34" spans="1:16" x14ac:dyDescent="0.3">
      <c r="A34" s="56"/>
      <c r="B34" s="42"/>
      <c r="C34" s="38"/>
      <c r="D34" s="39"/>
      <c r="E34" s="57"/>
      <c r="F34" s="57"/>
      <c r="G34" s="121"/>
      <c r="H34" s="121"/>
      <c r="I34" s="121"/>
      <c r="J34" s="122"/>
      <c r="K34" s="122"/>
      <c r="L34" s="123"/>
      <c r="M34" s="60"/>
    </row>
    <row r="35" spans="1:16" x14ac:dyDescent="0.3">
      <c r="A35" s="56"/>
      <c r="B35" s="42"/>
      <c r="C35" s="38"/>
      <c r="D35" s="39"/>
      <c r="E35" s="40"/>
      <c r="F35" s="41"/>
      <c r="G35" s="74"/>
      <c r="H35" s="71"/>
      <c r="I35" s="71"/>
      <c r="J35" s="72"/>
      <c r="L35" s="73"/>
      <c r="M35" s="60"/>
      <c r="P35" s="44"/>
    </row>
    <row r="36" spans="1:16" ht="15" thickBot="1" x14ac:dyDescent="0.35">
      <c r="A36" s="56"/>
      <c r="B36" s="42"/>
      <c r="C36" s="38"/>
      <c r="D36" s="39"/>
      <c r="E36" s="40"/>
      <c r="F36" s="41"/>
      <c r="G36" s="61"/>
      <c r="H36" s="61"/>
      <c r="I36" s="61"/>
      <c r="J36" s="62"/>
      <c r="K36" s="62"/>
      <c r="L36" s="63"/>
      <c r="M36" s="60"/>
      <c r="P36" s="44"/>
    </row>
    <row r="37" spans="1:16" ht="21.6" thickBot="1" x14ac:dyDescent="0.35">
      <c r="A37" s="27"/>
      <c r="B37" s="28" t="s">
        <v>31</v>
      </c>
      <c r="C37" s="29"/>
      <c r="D37" s="30">
        <f>SUM(D34:D36)</f>
        <v>0</v>
      </c>
      <c r="E37" s="30"/>
      <c r="F37" s="31">
        <f>SUM(F34:F36)</f>
        <v>0</v>
      </c>
      <c r="G37" s="24"/>
      <c r="H37" s="25"/>
      <c r="I37" s="25"/>
      <c r="J37" s="26">
        <f>SUM(J34:J36)</f>
        <v>0</v>
      </c>
      <c r="K37" s="26"/>
      <c r="L37" s="26">
        <f>SUM(L34:L36)</f>
        <v>0</v>
      </c>
      <c r="M37" s="14"/>
    </row>
    <row r="38" spans="1:16" ht="21.6" thickBot="1" x14ac:dyDescent="0.35">
      <c r="A38" s="15"/>
      <c r="B38" s="16" t="s">
        <v>32</v>
      </c>
      <c r="C38" s="17"/>
      <c r="D38" s="18">
        <f>D30+D37</f>
        <v>0</v>
      </c>
      <c r="E38" s="18"/>
      <c r="F38" s="19">
        <f>F30+F37</f>
        <v>923526.95000000007</v>
      </c>
      <c r="G38" s="20"/>
      <c r="H38" s="21"/>
      <c r="I38" s="21"/>
      <c r="J38" s="22">
        <f>J30+J37</f>
        <v>1</v>
      </c>
      <c r="K38" s="22"/>
      <c r="L38" s="22">
        <f>L30+L37</f>
        <v>85790.1</v>
      </c>
      <c r="M38" s="23"/>
    </row>
    <row r="39" spans="1:16" ht="25.05" customHeight="1" x14ac:dyDescent="0.4">
      <c r="A39" s="298" t="s">
        <v>12</v>
      </c>
      <c r="B39" s="298"/>
      <c r="C39" s="298"/>
      <c r="D39" s="298"/>
      <c r="E39" s="298"/>
      <c r="F39" s="298"/>
      <c r="G39" s="298"/>
      <c r="H39" s="298"/>
      <c r="I39" s="298"/>
      <c r="J39" s="85"/>
      <c r="K39" s="85"/>
      <c r="L39" s="85"/>
      <c r="M39" s="7"/>
    </row>
    <row r="40" spans="1:16" ht="25.05" customHeight="1" x14ac:dyDescent="0.4">
      <c r="A40" s="288" t="s">
        <v>13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43">
        <f>L37*100/L30</f>
        <v>0</v>
      </c>
      <c r="M40" s="7"/>
    </row>
    <row r="41" spans="1:16" ht="25.05" customHeight="1" x14ac:dyDescent="0.4">
      <c r="A41" s="289" t="s">
        <v>14</v>
      </c>
      <c r="B41" s="289"/>
      <c r="C41" s="289"/>
      <c r="D41" s="289"/>
      <c r="E41" s="289"/>
      <c r="F41" s="289"/>
      <c r="G41" s="289"/>
      <c r="H41" s="289"/>
      <c r="I41" s="289"/>
      <c r="J41" s="86"/>
      <c r="K41" s="86"/>
      <c r="L41" s="86"/>
      <c r="M41" s="7"/>
    </row>
    <row r="42" spans="1:16" ht="25.05" customHeight="1" x14ac:dyDescent="0.4">
      <c r="A42" s="288" t="s">
        <v>15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16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17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18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17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19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11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288" t="s">
        <v>20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318" t="s">
        <v>33</v>
      </c>
      <c r="B50" s="318"/>
      <c r="C50" s="318"/>
      <c r="D50" s="318"/>
      <c r="E50" s="318"/>
      <c r="F50" s="318"/>
      <c r="G50" s="318"/>
      <c r="H50" s="318"/>
      <c r="I50" s="318"/>
      <c r="J50" s="87"/>
      <c r="K50" s="87"/>
      <c r="L50" s="87"/>
      <c r="M50" s="7"/>
    </row>
    <row r="51" spans="1:16" s="5" customFormat="1" ht="36" customHeight="1" x14ac:dyDescent="0.3">
      <c r="B51"/>
      <c r="H51"/>
      <c r="I51" s="6"/>
      <c r="J51" s="6"/>
      <c r="K51" s="6"/>
      <c r="L51" s="6"/>
      <c r="M51"/>
      <c r="N51"/>
      <c r="O51"/>
      <c r="P51"/>
    </row>
  </sheetData>
  <mergeCells count="33">
    <mergeCell ref="H17:L17"/>
    <mergeCell ref="M17:M18"/>
    <mergeCell ref="A32:F33"/>
    <mergeCell ref="G32:M33"/>
    <mergeCell ref="A50:I50"/>
    <mergeCell ref="A44:I44"/>
    <mergeCell ref="A46:I46"/>
    <mergeCell ref="A47:I47"/>
    <mergeCell ref="A48:I48"/>
    <mergeCell ref="A49:I49"/>
    <mergeCell ref="A45:I45"/>
    <mergeCell ref="A40:I40"/>
    <mergeCell ref="A41:I41"/>
    <mergeCell ref="A42:I42"/>
    <mergeCell ref="A43:I43"/>
    <mergeCell ref="A13:M13"/>
    <mergeCell ref="A14:M14"/>
    <mergeCell ref="A15:L15"/>
    <mergeCell ref="A16:F16"/>
    <mergeCell ref="G16:M16"/>
    <mergeCell ref="A39:I39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48"/>
  <sheetViews>
    <sheetView topLeftCell="A15" zoomScale="70" zoomScaleNormal="70" workbookViewId="0">
      <selection activeCell="M23" sqref="M23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297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298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9.8" customHeight="1" x14ac:dyDescent="0.3">
      <c r="A21" s="66" t="s">
        <v>299</v>
      </c>
      <c r="B21" s="259" t="s">
        <v>300</v>
      </c>
      <c r="C21" s="256" t="s">
        <v>34</v>
      </c>
      <c r="D21" s="256">
        <v>1</v>
      </c>
      <c r="E21" s="257">
        <v>4703.2700000000004</v>
      </c>
      <c r="F21" s="258">
        <f>D21*E21</f>
        <v>4703.2700000000004</v>
      </c>
      <c r="G21" s="147" t="s">
        <v>486</v>
      </c>
      <c r="H21" s="147" t="s">
        <v>487</v>
      </c>
      <c r="I21" s="147" t="s">
        <v>34</v>
      </c>
      <c r="J21" s="148">
        <v>1</v>
      </c>
      <c r="K21" s="148">
        <f>L21/J21</f>
        <v>4347.2</v>
      </c>
      <c r="L21" s="148">
        <v>4347.2</v>
      </c>
      <c r="M21" s="181" t="s">
        <v>592</v>
      </c>
    </row>
    <row r="22" spans="1:13" s="51" customFormat="1" ht="22.2" customHeight="1" x14ac:dyDescent="0.3">
      <c r="A22" s="66" t="s">
        <v>301</v>
      </c>
      <c r="B22" s="259" t="s">
        <v>302</v>
      </c>
      <c r="C22" s="256" t="s">
        <v>34</v>
      </c>
      <c r="D22" s="256">
        <v>1</v>
      </c>
      <c r="E22" s="257">
        <v>2297.11</v>
      </c>
      <c r="F22" s="258">
        <f t="shared" ref="F22:F25" si="0">D22*E22</f>
        <v>2297.11</v>
      </c>
      <c r="G22" s="147" t="s">
        <v>488</v>
      </c>
      <c r="H22" s="147" t="s">
        <v>489</v>
      </c>
      <c r="I22" s="147" t="s">
        <v>34</v>
      </c>
      <c r="J22" s="148">
        <v>1</v>
      </c>
      <c r="K22" s="148">
        <f>L22/J22</f>
        <v>2123.1999999999998</v>
      </c>
      <c r="L22" s="148">
        <v>2123.1999999999998</v>
      </c>
      <c r="M22" s="181" t="s">
        <v>592</v>
      </c>
    </row>
    <row r="23" spans="1:13" s="51" customFormat="1" ht="24" customHeight="1" x14ac:dyDescent="0.3">
      <c r="A23" s="66" t="s">
        <v>303</v>
      </c>
      <c r="B23" s="259" t="s">
        <v>304</v>
      </c>
      <c r="C23" s="256" t="s">
        <v>34</v>
      </c>
      <c r="D23" s="256">
        <v>1</v>
      </c>
      <c r="E23" s="257">
        <v>4836.53</v>
      </c>
      <c r="F23" s="258">
        <f t="shared" si="0"/>
        <v>4836.53</v>
      </c>
      <c r="G23" s="183"/>
      <c r="H23" s="184"/>
      <c r="I23" s="184"/>
      <c r="J23" s="153"/>
      <c r="K23" s="93"/>
      <c r="L23" s="92"/>
      <c r="M23" s="198" t="s">
        <v>593</v>
      </c>
    </row>
    <row r="24" spans="1:13" s="51" customFormat="1" ht="24" customHeight="1" x14ac:dyDescent="0.3">
      <c r="A24" s="66"/>
      <c r="B24" s="67"/>
      <c r="C24" s="66"/>
      <c r="D24" s="118"/>
      <c r="E24" s="57"/>
      <c r="F24" s="98">
        <f t="shared" si="0"/>
        <v>0</v>
      </c>
      <c r="G24" s="180"/>
      <c r="H24" s="147"/>
      <c r="I24" s="147"/>
      <c r="J24" s="148"/>
      <c r="K24" s="93"/>
      <c r="L24" s="92">
        <f t="shared" ref="L24:L26" si="1">J24*K24</f>
        <v>0</v>
      </c>
      <c r="M24" s="182"/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80"/>
      <c r="H25" s="147"/>
      <c r="I25" s="147"/>
      <c r="J25" s="148"/>
      <c r="K25" s="93"/>
      <c r="L25" s="92">
        <f t="shared" si="1"/>
        <v>0</v>
      </c>
      <c r="M25" s="182"/>
    </row>
    <row r="26" spans="1:13" s="52" customFormat="1" ht="15.6" x14ac:dyDescent="0.3">
      <c r="A26" s="32"/>
      <c r="B26" s="32"/>
      <c r="C26" s="32"/>
      <c r="D26" s="32"/>
      <c r="E26" s="32"/>
      <c r="F26" s="32"/>
      <c r="G26" s="181"/>
      <c r="H26" s="181"/>
      <c r="I26" s="181"/>
      <c r="J26" s="181"/>
      <c r="K26" s="181"/>
      <c r="L26" s="92">
        <f t="shared" si="1"/>
        <v>0</v>
      </c>
      <c r="M26" s="181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11836.91</v>
      </c>
      <c r="G27" s="35"/>
      <c r="H27" s="34"/>
      <c r="I27" s="36"/>
      <c r="J27" s="33">
        <f>SUM(J21:J26)</f>
        <v>2</v>
      </c>
      <c r="K27" s="33"/>
      <c r="L27" s="45">
        <f>SUM(L21:L26)</f>
        <v>6470.4</v>
      </c>
      <c r="M27" s="58"/>
    </row>
    <row r="28" spans="1:13" ht="16.2" thickBot="1" x14ac:dyDescent="0.35">
      <c r="A28" s="107"/>
      <c r="B28" s="108" t="s">
        <v>52</v>
      </c>
      <c r="C28" s="109"/>
      <c r="D28" s="110"/>
      <c r="E28" s="110"/>
      <c r="F28" s="110">
        <v>14204.29</v>
      </c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5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ht="15" thickBot="1" x14ac:dyDescent="0.35">
      <c r="A33" s="56"/>
      <c r="B33" s="42"/>
      <c r="C33" s="38"/>
      <c r="D33" s="39"/>
      <c r="E33" s="40"/>
      <c r="F33" s="41"/>
      <c r="G33" s="61"/>
      <c r="H33" s="61"/>
      <c r="I33" s="61"/>
      <c r="J33" s="62"/>
      <c r="K33" s="62"/>
      <c r="L33" s="63"/>
      <c r="M33" s="60"/>
      <c r="P33" s="44"/>
    </row>
    <row r="34" spans="1:16" ht="21.6" thickBot="1" x14ac:dyDescent="0.35">
      <c r="A34" s="27"/>
      <c r="B34" s="28" t="s">
        <v>31</v>
      </c>
      <c r="C34" s="29"/>
      <c r="D34" s="30">
        <f>SUM(D31:D33)</f>
        <v>0</v>
      </c>
      <c r="E34" s="30"/>
      <c r="F34" s="31">
        <f>SUM(F31:F33)</f>
        <v>0</v>
      </c>
      <c r="G34" s="24"/>
      <c r="H34" s="25"/>
      <c r="I34" s="25"/>
      <c r="J34" s="26">
        <f>SUM(J31:J33)</f>
        <v>0</v>
      </c>
      <c r="K34" s="26"/>
      <c r="L34" s="26">
        <f>SUM(L31:L33)</f>
        <v>0</v>
      </c>
      <c r="M34" s="14"/>
    </row>
    <row r="35" spans="1:16" ht="21.6" thickBot="1" x14ac:dyDescent="0.35">
      <c r="A35" s="15"/>
      <c r="B35" s="16" t="s">
        <v>32</v>
      </c>
      <c r="C35" s="17"/>
      <c r="D35" s="18">
        <f>D27+D34</f>
        <v>0</v>
      </c>
      <c r="E35" s="18"/>
      <c r="F35" s="19">
        <f>F27+F34</f>
        <v>11836.91</v>
      </c>
      <c r="G35" s="20"/>
      <c r="H35" s="21"/>
      <c r="I35" s="21"/>
      <c r="J35" s="22">
        <f>J27+J34</f>
        <v>2</v>
      </c>
      <c r="K35" s="22"/>
      <c r="L35" s="22">
        <f>L27+L34</f>
        <v>6470.4</v>
      </c>
      <c r="M35" s="23"/>
    </row>
    <row r="36" spans="1:16" ht="25.05" customHeight="1" x14ac:dyDescent="0.4">
      <c r="A36" s="298" t="s">
        <v>12</v>
      </c>
      <c r="B36" s="298"/>
      <c r="C36" s="298"/>
      <c r="D36" s="298"/>
      <c r="E36" s="298"/>
      <c r="F36" s="298"/>
      <c r="G36" s="298"/>
      <c r="H36" s="298"/>
      <c r="I36" s="298"/>
      <c r="J36" s="85"/>
      <c r="K36" s="85"/>
      <c r="L36" s="85"/>
      <c r="M36" s="7"/>
    </row>
    <row r="37" spans="1:16" ht="25.05" customHeight="1" x14ac:dyDescent="0.4">
      <c r="A37" s="288" t="s">
        <v>13</v>
      </c>
      <c r="B37" s="288"/>
      <c r="C37" s="288"/>
      <c r="D37" s="288"/>
      <c r="E37" s="288"/>
      <c r="F37" s="288"/>
      <c r="G37" s="288"/>
      <c r="H37" s="288"/>
      <c r="I37" s="288"/>
      <c r="J37" s="84"/>
      <c r="K37" s="84"/>
      <c r="L37" s="43">
        <f>L34*100/L27</f>
        <v>0</v>
      </c>
      <c r="M37" s="7"/>
    </row>
    <row r="38" spans="1:16" ht="25.05" customHeight="1" x14ac:dyDescent="0.4">
      <c r="A38" s="289" t="s">
        <v>14</v>
      </c>
      <c r="B38" s="289"/>
      <c r="C38" s="289"/>
      <c r="D38" s="289"/>
      <c r="E38" s="289"/>
      <c r="F38" s="289"/>
      <c r="G38" s="289"/>
      <c r="H38" s="289"/>
      <c r="I38" s="289"/>
      <c r="J38" s="86"/>
      <c r="K38" s="86"/>
      <c r="L38" s="86"/>
      <c r="M38" s="7"/>
    </row>
    <row r="39" spans="1:16" ht="25.05" customHeight="1" x14ac:dyDescent="0.4">
      <c r="A39" s="288" t="s">
        <v>15</v>
      </c>
      <c r="B39" s="288"/>
      <c r="C39" s="288"/>
      <c r="D39" s="288"/>
      <c r="E39" s="288"/>
      <c r="F39" s="288"/>
      <c r="G39" s="288"/>
      <c r="H39" s="288"/>
      <c r="I39" s="288"/>
      <c r="J39" s="84"/>
      <c r="K39" s="84"/>
      <c r="L39" s="84"/>
      <c r="M39" s="7"/>
    </row>
    <row r="40" spans="1:16" ht="25.05" customHeight="1" x14ac:dyDescent="0.4">
      <c r="A40" s="288" t="s">
        <v>16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84"/>
      <c r="M40" s="7"/>
    </row>
    <row r="41" spans="1:16" ht="25.05" customHeight="1" x14ac:dyDescent="0.4">
      <c r="A41" s="288" t="s">
        <v>17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18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17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19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11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20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318" t="s">
        <v>33</v>
      </c>
      <c r="B47" s="318"/>
      <c r="C47" s="318"/>
      <c r="D47" s="318"/>
      <c r="E47" s="318"/>
      <c r="F47" s="318"/>
      <c r="G47" s="318"/>
      <c r="H47" s="318"/>
      <c r="I47" s="318"/>
      <c r="J47" s="87"/>
      <c r="K47" s="87"/>
      <c r="L47" s="87"/>
      <c r="M47" s="7"/>
    </row>
    <row r="48" spans="1:16" ht="36" customHeight="1" x14ac:dyDescent="0.3"/>
  </sheetData>
  <mergeCells count="33">
    <mergeCell ref="H17:L17"/>
    <mergeCell ref="M17:M18"/>
    <mergeCell ref="A29:F30"/>
    <mergeCell ref="G29:M30"/>
    <mergeCell ref="A47:I47"/>
    <mergeCell ref="A41:I41"/>
    <mergeCell ref="A43:I43"/>
    <mergeCell ref="A44:I44"/>
    <mergeCell ref="A45:I45"/>
    <mergeCell ref="A46:I46"/>
    <mergeCell ref="A42:I42"/>
    <mergeCell ref="A37:I37"/>
    <mergeCell ref="A38:I38"/>
    <mergeCell ref="A39:I39"/>
    <mergeCell ref="A40:I40"/>
    <mergeCell ref="A13:M13"/>
    <mergeCell ref="A14:M14"/>
    <mergeCell ref="A15:L15"/>
    <mergeCell ref="A16:F16"/>
    <mergeCell ref="G16:M16"/>
    <mergeCell ref="A36:I3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8"/>
  <sheetViews>
    <sheetView topLeftCell="A13" zoomScale="70" zoomScaleNormal="70" workbookViewId="0">
      <selection activeCell="L23" sqref="L23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615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274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 t="s">
        <v>275</v>
      </c>
      <c r="B21" s="67" t="s">
        <v>276</v>
      </c>
      <c r="C21" s="66" t="s">
        <v>34</v>
      </c>
      <c r="D21" s="118">
        <v>7</v>
      </c>
      <c r="E21" s="57">
        <v>143187.04999999999</v>
      </c>
      <c r="F21" s="98">
        <f>D21*E21</f>
        <v>1002309.3499999999</v>
      </c>
      <c r="G21" s="121" t="s">
        <v>470</v>
      </c>
      <c r="H21" s="121" t="s">
        <v>471</v>
      </c>
      <c r="I21" s="121" t="s">
        <v>34</v>
      </c>
      <c r="J21" s="148">
        <v>7</v>
      </c>
      <c r="K21" s="148">
        <f t="shared" ref="K21:K31" si="0">L21/J21</f>
        <v>132580.6</v>
      </c>
      <c r="L21" s="148">
        <v>928064.2</v>
      </c>
      <c r="M21" s="13" t="s">
        <v>592</v>
      </c>
    </row>
    <row r="22" spans="1:13" s="51" customFormat="1" ht="14.4" customHeight="1" x14ac:dyDescent="0.3">
      <c r="A22" s="66" t="s">
        <v>277</v>
      </c>
      <c r="B22" s="67" t="s">
        <v>278</v>
      </c>
      <c r="C22" s="66" t="s">
        <v>34</v>
      </c>
      <c r="D22" s="118">
        <v>4</v>
      </c>
      <c r="E22" s="57">
        <v>143187.04999999999</v>
      </c>
      <c r="F22" s="98">
        <f t="shared" ref="F22:F34" si="1">D22*E22</f>
        <v>572748.19999999995</v>
      </c>
      <c r="G22" s="121" t="s">
        <v>472</v>
      </c>
      <c r="H22" s="121" t="s">
        <v>473</v>
      </c>
      <c r="I22" s="121" t="s">
        <v>34</v>
      </c>
      <c r="J22" s="148">
        <v>4</v>
      </c>
      <c r="K22" s="148">
        <f t="shared" si="0"/>
        <v>132580.60250000001</v>
      </c>
      <c r="L22" s="148">
        <v>530322.41</v>
      </c>
      <c r="M22" s="13" t="s">
        <v>592</v>
      </c>
    </row>
    <row r="23" spans="1:13" s="51" customFormat="1" ht="14.4" customHeight="1" x14ac:dyDescent="0.3">
      <c r="A23" s="66" t="s">
        <v>279</v>
      </c>
      <c r="B23" s="67" t="s">
        <v>280</v>
      </c>
      <c r="C23" s="66" t="s">
        <v>34</v>
      </c>
      <c r="D23" s="118">
        <v>6</v>
      </c>
      <c r="E23" s="57">
        <v>3205.44</v>
      </c>
      <c r="F23" s="98">
        <f t="shared" si="1"/>
        <v>19232.64</v>
      </c>
      <c r="G23" s="121" t="s">
        <v>474</v>
      </c>
      <c r="H23" s="121" t="s">
        <v>475</v>
      </c>
      <c r="I23" s="121" t="s">
        <v>34</v>
      </c>
      <c r="J23" s="148">
        <v>6</v>
      </c>
      <c r="K23" s="148">
        <f t="shared" si="0"/>
        <v>1925</v>
      </c>
      <c r="L23" s="148">
        <v>11550</v>
      </c>
      <c r="M23" s="76" t="s">
        <v>592</v>
      </c>
    </row>
    <row r="24" spans="1:13" s="51" customFormat="1" ht="14.4" customHeight="1" x14ac:dyDescent="0.3">
      <c r="A24" s="66" t="s">
        <v>281</v>
      </c>
      <c r="B24" s="67" t="s">
        <v>282</v>
      </c>
      <c r="C24" s="66" t="s">
        <v>34</v>
      </c>
      <c r="D24" s="118">
        <v>3</v>
      </c>
      <c r="E24" s="57">
        <v>9846.14</v>
      </c>
      <c r="F24" s="98">
        <f t="shared" si="1"/>
        <v>29538.42</v>
      </c>
      <c r="G24" s="121" t="s">
        <v>476</v>
      </c>
      <c r="H24" s="121" t="s">
        <v>477</v>
      </c>
      <c r="I24" s="121" t="s">
        <v>34</v>
      </c>
      <c r="J24" s="148">
        <v>3</v>
      </c>
      <c r="K24" s="148">
        <f t="shared" si="0"/>
        <v>9116.8000000000011</v>
      </c>
      <c r="L24" s="148">
        <v>27350.400000000001</v>
      </c>
      <c r="M24" s="76" t="s">
        <v>592</v>
      </c>
    </row>
    <row r="25" spans="1:13" s="51" customFormat="1" ht="14.4" customHeight="1" x14ac:dyDescent="0.3">
      <c r="A25" s="66" t="s">
        <v>283</v>
      </c>
      <c r="B25" s="67" t="s">
        <v>284</v>
      </c>
      <c r="C25" s="66" t="s">
        <v>34</v>
      </c>
      <c r="D25" s="118">
        <v>1</v>
      </c>
      <c r="E25" s="57">
        <v>4112.6400000000003</v>
      </c>
      <c r="F25" s="98">
        <f t="shared" si="1"/>
        <v>4112.6400000000003</v>
      </c>
      <c r="G25" s="121" t="s">
        <v>478</v>
      </c>
      <c r="H25" s="121" t="s">
        <v>479</v>
      </c>
      <c r="I25" s="121" t="s">
        <v>34</v>
      </c>
      <c r="J25" s="148">
        <v>1</v>
      </c>
      <c r="K25" s="148">
        <f t="shared" si="0"/>
        <v>3808</v>
      </c>
      <c r="L25" s="148">
        <v>3808</v>
      </c>
      <c r="M25" s="76" t="s">
        <v>592</v>
      </c>
    </row>
    <row r="26" spans="1:13" s="51" customFormat="1" ht="14.4" customHeight="1" x14ac:dyDescent="0.3">
      <c r="A26" s="66" t="s">
        <v>285</v>
      </c>
      <c r="B26" s="67" t="s">
        <v>286</v>
      </c>
      <c r="C26" s="66" t="s">
        <v>34</v>
      </c>
      <c r="D26" s="118">
        <v>2</v>
      </c>
      <c r="E26" s="57">
        <v>29402.74</v>
      </c>
      <c r="F26" s="98">
        <f t="shared" si="1"/>
        <v>58805.48</v>
      </c>
      <c r="G26" s="121" t="s">
        <v>456</v>
      </c>
      <c r="H26" s="121" t="s">
        <v>457</v>
      </c>
      <c r="I26" s="121" t="s">
        <v>34</v>
      </c>
      <c r="J26" s="148">
        <v>2</v>
      </c>
      <c r="K26" s="148">
        <f t="shared" si="0"/>
        <v>27176.2</v>
      </c>
      <c r="L26" s="148">
        <v>54352.4</v>
      </c>
      <c r="M26" s="76" t="s">
        <v>592</v>
      </c>
    </row>
    <row r="27" spans="1:13" s="51" customFormat="1" ht="14.4" customHeight="1" x14ac:dyDescent="0.3">
      <c r="A27" s="66" t="s">
        <v>287</v>
      </c>
      <c r="B27" s="67" t="s">
        <v>288</v>
      </c>
      <c r="C27" s="66" t="s">
        <v>34</v>
      </c>
      <c r="D27" s="118">
        <v>1</v>
      </c>
      <c r="E27" s="57">
        <v>159347.39000000001</v>
      </c>
      <c r="F27" s="98">
        <f t="shared" si="1"/>
        <v>159347.39000000001</v>
      </c>
      <c r="G27" s="121" t="s">
        <v>439</v>
      </c>
      <c r="H27" s="121" t="s">
        <v>440</v>
      </c>
      <c r="I27" s="121" t="s">
        <v>34</v>
      </c>
      <c r="J27" s="148">
        <v>1</v>
      </c>
      <c r="K27" s="148">
        <f t="shared" si="0"/>
        <v>147280.4</v>
      </c>
      <c r="L27" s="148">
        <v>147280.4</v>
      </c>
      <c r="M27" s="76" t="s">
        <v>592</v>
      </c>
    </row>
    <row r="28" spans="1:13" s="51" customFormat="1" ht="14.4" customHeight="1" x14ac:dyDescent="0.3">
      <c r="A28" s="66" t="s">
        <v>289</v>
      </c>
      <c r="B28" s="67" t="s">
        <v>290</v>
      </c>
      <c r="C28" s="66" t="s">
        <v>34</v>
      </c>
      <c r="D28" s="118">
        <v>1</v>
      </c>
      <c r="E28" s="57">
        <v>23655.67</v>
      </c>
      <c r="F28" s="98">
        <f t="shared" si="1"/>
        <v>23655.67</v>
      </c>
      <c r="G28" s="121" t="s">
        <v>450</v>
      </c>
      <c r="H28" s="121" t="s">
        <v>451</v>
      </c>
      <c r="I28" s="121" t="s">
        <v>34</v>
      </c>
      <c r="J28" s="148">
        <v>1</v>
      </c>
      <c r="K28" s="148">
        <f t="shared" si="0"/>
        <v>21864.400000000001</v>
      </c>
      <c r="L28" s="148">
        <v>21864.400000000001</v>
      </c>
      <c r="M28" s="76" t="s">
        <v>592</v>
      </c>
    </row>
    <row r="29" spans="1:13" s="51" customFormat="1" ht="28.2" customHeight="1" x14ac:dyDescent="0.3">
      <c r="A29" s="66" t="s">
        <v>291</v>
      </c>
      <c r="B29" s="67" t="s">
        <v>292</v>
      </c>
      <c r="C29" s="66" t="s">
        <v>117</v>
      </c>
      <c r="D29" s="118">
        <v>2</v>
      </c>
      <c r="E29" s="57">
        <v>14120.88</v>
      </c>
      <c r="F29" s="98">
        <f t="shared" si="1"/>
        <v>28241.759999999998</v>
      </c>
      <c r="G29" s="121" t="s">
        <v>482</v>
      </c>
      <c r="H29" s="121" t="s">
        <v>483</v>
      </c>
      <c r="I29" s="121" t="s">
        <v>34</v>
      </c>
      <c r="J29" s="148">
        <v>2</v>
      </c>
      <c r="K29" s="148">
        <f t="shared" si="0"/>
        <v>13051.6</v>
      </c>
      <c r="L29" s="148">
        <v>26103.200000000001</v>
      </c>
      <c r="M29" s="76" t="s">
        <v>592</v>
      </c>
    </row>
    <row r="30" spans="1:13" s="51" customFormat="1" ht="36.6" customHeight="1" x14ac:dyDescent="0.3">
      <c r="A30" s="66" t="s">
        <v>293</v>
      </c>
      <c r="B30" s="67" t="s">
        <v>294</v>
      </c>
      <c r="C30" s="66" t="s">
        <v>117</v>
      </c>
      <c r="D30" s="118">
        <v>2</v>
      </c>
      <c r="E30" s="57">
        <v>12649.76</v>
      </c>
      <c r="F30" s="98">
        <f t="shared" si="1"/>
        <v>25299.52</v>
      </c>
      <c r="G30" s="121" t="s">
        <v>480</v>
      </c>
      <c r="H30" s="121" t="s">
        <v>481</v>
      </c>
      <c r="I30" s="121" t="s">
        <v>34</v>
      </c>
      <c r="J30" s="148">
        <v>2</v>
      </c>
      <c r="K30" s="148">
        <f t="shared" si="0"/>
        <v>11695.8</v>
      </c>
      <c r="L30" s="148">
        <v>23391.599999999999</v>
      </c>
      <c r="M30" s="76" t="s">
        <v>592</v>
      </c>
    </row>
    <row r="31" spans="1:13" s="51" customFormat="1" ht="30" customHeight="1" x14ac:dyDescent="0.3">
      <c r="A31" s="66" t="s">
        <v>295</v>
      </c>
      <c r="B31" s="67" t="s">
        <v>296</v>
      </c>
      <c r="C31" s="66" t="s">
        <v>117</v>
      </c>
      <c r="D31" s="118">
        <v>2</v>
      </c>
      <c r="E31" s="57">
        <v>13850.68</v>
      </c>
      <c r="F31" s="98">
        <f t="shared" si="1"/>
        <v>27701.360000000001</v>
      </c>
      <c r="G31" s="121" t="s">
        <v>484</v>
      </c>
      <c r="H31" s="121" t="s">
        <v>485</v>
      </c>
      <c r="I31" s="121" t="s">
        <v>34</v>
      </c>
      <c r="J31" s="148">
        <v>2</v>
      </c>
      <c r="K31" s="148">
        <f t="shared" si="0"/>
        <v>12811</v>
      </c>
      <c r="L31" s="148">
        <v>25622</v>
      </c>
      <c r="M31" s="76" t="s">
        <v>592</v>
      </c>
    </row>
    <row r="32" spans="1:13" s="51" customFormat="1" x14ac:dyDescent="0.3">
      <c r="A32" s="66"/>
      <c r="B32" s="67"/>
      <c r="C32" s="66"/>
      <c r="D32" s="118"/>
      <c r="E32" s="57"/>
      <c r="F32" s="98">
        <f t="shared" si="1"/>
        <v>0</v>
      </c>
      <c r="G32" s="90"/>
      <c r="H32" s="91"/>
      <c r="I32" s="101"/>
      <c r="J32" s="154"/>
      <c r="K32" s="93"/>
      <c r="L32" s="92">
        <f t="shared" ref="L32:L36" si="2">J32*K32</f>
        <v>0</v>
      </c>
      <c r="M32" s="76"/>
    </row>
    <row r="33" spans="1:16" s="51" customFormat="1" x14ac:dyDescent="0.3">
      <c r="A33" s="66"/>
      <c r="B33" s="67"/>
      <c r="C33" s="66"/>
      <c r="D33" s="118"/>
      <c r="E33" s="57"/>
      <c r="F33" s="98">
        <f t="shared" si="1"/>
        <v>0</v>
      </c>
      <c r="G33" s="103"/>
      <c r="H33" s="103"/>
      <c r="I33" s="101"/>
      <c r="J33" s="154"/>
      <c r="K33" s="93"/>
      <c r="L33" s="92">
        <f t="shared" si="2"/>
        <v>0</v>
      </c>
      <c r="M33" s="76"/>
    </row>
    <row r="34" spans="1:16" s="51" customFormat="1" x14ac:dyDescent="0.3">
      <c r="A34" s="66"/>
      <c r="B34" s="67"/>
      <c r="C34" s="66"/>
      <c r="D34" s="118"/>
      <c r="E34" s="57"/>
      <c r="F34" s="98">
        <f t="shared" si="1"/>
        <v>0</v>
      </c>
      <c r="G34" s="103"/>
      <c r="H34" s="103"/>
      <c r="I34" s="101"/>
      <c r="J34" s="154"/>
      <c r="K34" s="93"/>
      <c r="L34" s="92">
        <f t="shared" si="2"/>
        <v>0</v>
      </c>
      <c r="M34" s="76"/>
    </row>
    <row r="35" spans="1:16" s="51" customFormat="1" x14ac:dyDescent="0.3">
      <c r="A35" s="96"/>
      <c r="B35" s="97"/>
      <c r="C35" s="96"/>
      <c r="D35" s="99"/>
      <c r="E35" s="100"/>
      <c r="F35" s="100"/>
      <c r="G35" s="94"/>
      <c r="H35" s="76"/>
      <c r="I35" s="76"/>
      <c r="J35" s="182"/>
      <c r="K35" s="182"/>
      <c r="L35" s="92">
        <f t="shared" si="2"/>
        <v>0</v>
      </c>
      <c r="M35" s="76"/>
    </row>
    <row r="36" spans="1:16" s="52" customFormat="1" ht="15.6" x14ac:dyDescent="0.3">
      <c r="A36" s="32"/>
      <c r="B36" s="32"/>
      <c r="C36" s="32"/>
      <c r="D36" s="32"/>
      <c r="E36" s="32"/>
      <c r="F36" s="32"/>
      <c r="G36" s="64"/>
      <c r="H36" s="13"/>
      <c r="I36" s="13"/>
      <c r="J36" s="181"/>
      <c r="K36" s="181"/>
      <c r="L36" s="92">
        <f t="shared" si="2"/>
        <v>0</v>
      </c>
      <c r="M36" s="13"/>
    </row>
    <row r="37" spans="1:16" ht="15.6" x14ac:dyDescent="0.3">
      <c r="A37" s="46"/>
      <c r="B37" s="47" t="s">
        <v>24</v>
      </c>
      <c r="C37" s="48"/>
      <c r="D37" s="49"/>
      <c r="E37" s="49"/>
      <c r="F37" s="50">
        <f>SUM(F21:F36)</f>
        <v>1950992.4299999997</v>
      </c>
      <c r="G37" s="35"/>
      <c r="H37" s="34"/>
      <c r="I37" s="36"/>
      <c r="J37" s="33">
        <f>SUM(J21:J36)</f>
        <v>31</v>
      </c>
      <c r="K37" s="33"/>
      <c r="L37" s="45">
        <f>SUM(L21:L36)</f>
        <v>1799709.0099999995</v>
      </c>
      <c r="M37" s="58"/>
    </row>
    <row r="38" spans="1:16" ht="16.2" thickBot="1" x14ac:dyDescent="0.35">
      <c r="A38" s="107"/>
      <c r="B38" s="108"/>
      <c r="C38" s="109"/>
      <c r="D38" s="110"/>
      <c r="E38" s="110"/>
      <c r="F38" s="110"/>
      <c r="G38" s="111"/>
      <c r="H38" s="112"/>
      <c r="I38" s="113"/>
      <c r="J38" s="114"/>
      <c r="K38" s="114"/>
      <c r="L38" s="114"/>
      <c r="M38" s="115"/>
    </row>
    <row r="39" spans="1:16" ht="15.6" customHeight="1" x14ac:dyDescent="0.3">
      <c r="A39" s="310" t="s">
        <v>38</v>
      </c>
      <c r="B39" s="311"/>
      <c r="C39" s="311"/>
      <c r="D39" s="311"/>
      <c r="E39" s="311"/>
      <c r="F39" s="311"/>
      <c r="G39" s="314" t="s">
        <v>26</v>
      </c>
      <c r="H39" s="314"/>
      <c r="I39" s="314"/>
      <c r="J39" s="314"/>
      <c r="K39" s="314"/>
      <c r="L39" s="314"/>
      <c r="M39" s="315"/>
    </row>
    <row r="40" spans="1:16" ht="15.6" customHeight="1" thickBot="1" x14ac:dyDescent="0.35">
      <c r="A40" s="312"/>
      <c r="B40" s="313"/>
      <c r="C40" s="313"/>
      <c r="D40" s="313"/>
      <c r="E40" s="313"/>
      <c r="F40" s="313"/>
      <c r="G40" s="316"/>
      <c r="H40" s="316"/>
      <c r="I40" s="316"/>
      <c r="J40" s="316"/>
      <c r="K40" s="316"/>
      <c r="L40" s="316"/>
      <c r="M40" s="317"/>
    </row>
    <row r="41" spans="1:16" x14ac:dyDescent="0.3">
      <c r="A41" s="56"/>
      <c r="B41" s="42"/>
      <c r="C41" s="38"/>
      <c r="D41" s="39"/>
      <c r="E41" s="57"/>
      <c r="F41" s="57"/>
      <c r="G41" s="74"/>
      <c r="H41" s="71"/>
      <c r="I41" s="71"/>
      <c r="J41" s="72"/>
      <c r="K41" s="75"/>
      <c r="L41" s="75"/>
      <c r="M41" s="60"/>
    </row>
    <row r="42" spans="1:16" x14ac:dyDescent="0.3">
      <c r="A42" s="56"/>
      <c r="B42" s="42"/>
      <c r="C42" s="38"/>
      <c r="D42" s="39"/>
      <c r="E42" s="57"/>
      <c r="F42" s="57"/>
      <c r="G42" s="74"/>
      <c r="H42" s="71"/>
      <c r="I42" s="71"/>
      <c r="J42" s="72"/>
      <c r="K42" s="75"/>
      <c r="L42" s="73"/>
      <c r="M42" s="60"/>
    </row>
    <row r="43" spans="1:16" ht="15" thickBot="1" x14ac:dyDescent="0.35">
      <c r="A43" s="56"/>
      <c r="B43" s="42"/>
      <c r="C43" s="38"/>
      <c r="D43" s="39"/>
      <c r="E43" s="40"/>
      <c r="F43" s="41"/>
      <c r="G43" s="61"/>
      <c r="H43" s="61"/>
      <c r="I43" s="61"/>
      <c r="J43" s="62"/>
      <c r="K43" s="62"/>
      <c r="L43" s="63"/>
      <c r="M43" s="60"/>
      <c r="P43" s="44"/>
    </row>
    <row r="44" spans="1:16" ht="21.6" thickBot="1" x14ac:dyDescent="0.35">
      <c r="A44" s="27"/>
      <c r="B44" s="28" t="s">
        <v>31</v>
      </c>
      <c r="C44" s="29"/>
      <c r="D44" s="30">
        <f>SUM(D41:D43)</f>
        <v>0</v>
      </c>
      <c r="E44" s="30"/>
      <c r="F44" s="31">
        <f>SUM(F41:F43)</f>
        <v>0</v>
      </c>
      <c r="G44" s="24"/>
      <c r="H44" s="25"/>
      <c r="I44" s="25"/>
      <c r="J44" s="26">
        <f>SUM(J41:J43)</f>
        <v>0</v>
      </c>
      <c r="K44" s="26"/>
      <c r="L44" s="26">
        <f>SUM(L41:L43)</f>
        <v>0</v>
      </c>
      <c r="M44" s="14"/>
    </row>
    <row r="45" spans="1:16" ht="21.6" thickBot="1" x14ac:dyDescent="0.35">
      <c r="A45" s="15"/>
      <c r="B45" s="16" t="s">
        <v>32</v>
      </c>
      <c r="C45" s="17"/>
      <c r="D45" s="18">
        <f>D37+D44</f>
        <v>0</v>
      </c>
      <c r="E45" s="18"/>
      <c r="F45" s="19">
        <f>F37+F44</f>
        <v>1950992.4299999997</v>
      </c>
      <c r="G45" s="20"/>
      <c r="H45" s="21"/>
      <c r="I45" s="21"/>
      <c r="J45" s="22">
        <f>J37+J44</f>
        <v>31</v>
      </c>
      <c r="K45" s="22"/>
      <c r="L45" s="22">
        <f>L37+L44</f>
        <v>1799709.0099999995</v>
      </c>
      <c r="M45" s="23"/>
    </row>
    <row r="46" spans="1:16" ht="25.05" customHeight="1" x14ac:dyDescent="0.4">
      <c r="A46" s="298" t="s">
        <v>12</v>
      </c>
      <c r="B46" s="298"/>
      <c r="C46" s="298"/>
      <c r="D46" s="298"/>
      <c r="E46" s="298"/>
      <c r="F46" s="298"/>
      <c r="G46" s="298"/>
      <c r="H46" s="298"/>
      <c r="I46" s="298"/>
      <c r="J46" s="85"/>
      <c r="K46" s="85"/>
      <c r="L46" s="85"/>
      <c r="M46" s="7"/>
    </row>
    <row r="47" spans="1:16" ht="25.05" customHeight="1" x14ac:dyDescent="0.4">
      <c r="A47" s="288" t="s">
        <v>13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43">
        <f>L44*100/L37</f>
        <v>0</v>
      </c>
      <c r="M47" s="7"/>
    </row>
    <row r="48" spans="1:16" ht="25.05" customHeight="1" x14ac:dyDescent="0.4">
      <c r="A48" s="289" t="s">
        <v>14</v>
      </c>
      <c r="B48" s="289"/>
      <c r="C48" s="289"/>
      <c r="D48" s="289"/>
      <c r="E48" s="289"/>
      <c r="F48" s="289"/>
      <c r="G48" s="289"/>
      <c r="H48" s="289"/>
      <c r="I48" s="289"/>
      <c r="J48" s="86"/>
      <c r="K48" s="86"/>
      <c r="L48" s="86"/>
      <c r="M48" s="7"/>
    </row>
    <row r="49" spans="1:13" ht="25.05" customHeight="1" x14ac:dyDescent="0.4">
      <c r="A49" s="288" t="s">
        <v>15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3" ht="25.05" customHeight="1" x14ac:dyDescent="0.4">
      <c r="A50" s="288" t="s">
        <v>16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3" ht="25.05" customHeight="1" x14ac:dyDescent="0.4">
      <c r="A51" s="288" t="s">
        <v>17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3" ht="25.05" customHeight="1" x14ac:dyDescent="0.4">
      <c r="A52" s="288" t="s">
        <v>18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3" ht="25.05" customHeight="1" x14ac:dyDescent="0.4">
      <c r="A53" s="288" t="s">
        <v>17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3" ht="25.05" customHeight="1" x14ac:dyDescent="0.4">
      <c r="A54" s="288" t="s">
        <v>19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3" ht="25.05" customHeight="1" x14ac:dyDescent="0.4">
      <c r="A55" s="288" t="s">
        <v>11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3" ht="25.05" customHeight="1" x14ac:dyDescent="0.4">
      <c r="A56" s="288" t="s">
        <v>20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3" ht="25.05" customHeight="1" x14ac:dyDescent="0.4">
      <c r="A57" s="318" t="s">
        <v>33</v>
      </c>
      <c r="B57" s="318"/>
      <c r="C57" s="318"/>
      <c r="D57" s="318"/>
      <c r="E57" s="318"/>
      <c r="F57" s="318"/>
      <c r="G57" s="318"/>
      <c r="H57" s="318"/>
      <c r="I57" s="318"/>
      <c r="J57" s="87"/>
      <c r="K57" s="87"/>
      <c r="L57" s="87"/>
      <c r="M57" s="7"/>
    </row>
    <row r="58" spans="1:13" ht="36" customHeight="1" x14ac:dyDescent="0.3"/>
  </sheetData>
  <mergeCells count="33">
    <mergeCell ref="H17:L17"/>
    <mergeCell ref="M17:M18"/>
    <mergeCell ref="A39:F40"/>
    <mergeCell ref="G39:M40"/>
    <mergeCell ref="A57:I57"/>
    <mergeCell ref="A51:I51"/>
    <mergeCell ref="A53:I53"/>
    <mergeCell ref="A54:I54"/>
    <mergeCell ref="A55:I55"/>
    <mergeCell ref="A56:I56"/>
    <mergeCell ref="A52:I52"/>
    <mergeCell ref="A47:I47"/>
    <mergeCell ref="A48:I48"/>
    <mergeCell ref="A49:I49"/>
    <mergeCell ref="A50:I50"/>
    <mergeCell ref="A13:M13"/>
    <mergeCell ref="A14:M14"/>
    <mergeCell ref="A15:L15"/>
    <mergeCell ref="A16:F16"/>
    <mergeCell ref="G16:M16"/>
    <mergeCell ref="A46:I4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opLeftCell="A19" zoomScale="70" zoomScaleNormal="70" workbookViewId="0">
      <selection activeCell="L30" sqref="L30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1"/>
      <c r="I3" s="81"/>
      <c r="J3" s="81"/>
      <c r="K3" s="81"/>
      <c r="L3" s="81"/>
      <c r="M3" s="81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247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161" customFormat="1" ht="15.6" customHeight="1" x14ac:dyDescent="0.3">
      <c r="A21" s="193" t="s">
        <v>248</v>
      </c>
      <c r="B21" s="185" t="s">
        <v>249</v>
      </c>
      <c r="C21" s="155" t="s">
        <v>34</v>
      </c>
      <c r="D21" s="220">
        <v>6</v>
      </c>
      <c r="E21" s="217">
        <v>9.42</v>
      </c>
      <c r="F21" s="159">
        <f>D21*E21</f>
        <v>56.519999999999996</v>
      </c>
      <c r="G21" s="162"/>
      <c r="H21" s="163"/>
      <c r="I21" s="187"/>
      <c r="J21" s="164"/>
      <c r="K21" s="188"/>
      <c r="L21" s="188">
        <f>J21*K21</f>
        <v>0</v>
      </c>
      <c r="M21" s="206" t="s">
        <v>593</v>
      </c>
    </row>
    <row r="22" spans="1:13" s="161" customFormat="1" x14ac:dyDescent="0.3">
      <c r="A22" s="193" t="s">
        <v>250</v>
      </c>
      <c r="B22" s="185" t="s">
        <v>251</v>
      </c>
      <c r="C22" s="155" t="s">
        <v>34</v>
      </c>
      <c r="D22" s="220">
        <v>12</v>
      </c>
      <c r="E22" s="217">
        <v>6.64</v>
      </c>
      <c r="F22" s="159">
        <f t="shared" ref="F22:F35" si="0">D22*E22</f>
        <v>79.679999999999993</v>
      </c>
      <c r="G22" s="162"/>
      <c r="H22" s="163"/>
      <c r="I22" s="187"/>
      <c r="J22" s="164"/>
      <c r="K22" s="188"/>
      <c r="L22" s="188">
        <f t="shared" ref="L22:L35" si="1">J22*K22</f>
        <v>0</v>
      </c>
      <c r="M22" s="206" t="s">
        <v>593</v>
      </c>
    </row>
    <row r="23" spans="1:13" s="161" customFormat="1" x14ac:dyDescent="0.3">
      <c r="A23" s="193" t="s">
        <v>252</v>
      </c>
      <c r="B23" s="185" t="s">
        <v>253</v>
      </c>
      <c r="C23" s="155" t="s">
        <v>34</v>
      </c>
      <c r="D23" s="220">
        <v>6</v>
      </c>
      <c r="E23" s="217">
        <v>62.46</v>
      </c>
      <c r="F23" s="159">
        <f t="shared" si="0"/>
        <v>374.76</v>
      </c>
      <c r="G23" s="251"/>
      <c r="H23" s="252"/>
      <c r="I23" s="200"/>
      <c r="J23" s="201"/>
      <c r="K23" s="165"/>
      <c r="L23" s="188">
        <f t="shared" si="1"/>
        <v>0</v>
      </c>
      <c r="M23" s="206" t="s">
        <v>593</v>
      </c>
    </row>
    <row r="24" spans="1:13" s="51" customFormat="1" x14ac:dyDescent="0.3">
      <c r="A24" s="65" t="s">
        <v>254</v>
      </c>
      <c r="B24" s="67" t="s">
        <v>255</v>
      </c>
      <c r="C24" s="66" t="s">
        <v>34</v>
      </c>
      <c r="D24" s="118">
        <v>8</v>
      </c>
      <c r="E24" s="57">
        <v>4.47</v>
      </c>
      <c r="F24" s="98">
        <f t="shared" si="0"/>
        <v>35.76</v>
      </c>
      <c r="G24" s="248">
        <v>5920</v>
      </c>
      <c r="H24" s="121" t="s">
        <v>98</v>
      </c>
      <c r="I24" s="149" t="s">
        <v>34</v>
      </c>
      <c r="J24" s="148">
        <v>8</v>
      </c>
      <c r="K24" s="93">
        <v>6.28</v>
      </c>
      <c r="L24" s="92">
        <f t="shared" si="1"/>
        <v>50.24</v>
      </c>
      <c r="M24" s="76" t="s">
        <v>592</v>
      </c>
    </row>
    <row r="25" spans="1:13" s="51" customFormat="1" x14ac:dyDescent="0.3">
      <c r="A25" s="65" t="s">
        <v>256</v>
      </c>
      <c r="B25" s="67" t="s">
        <v>257</v>
      </c>
      <c r="C25" s="66" t="s">
        <v>34</v>
      </c>
      <c r="D25" s="118">
        <v>4</v>
      </c>
      <c r="E25" s="57">
        <v>2.78</v>
      </c>
      <c r="F25" s="98">
        <f t="shared" si="0"/>
        <v>11.12</v>
      </c>
      <c r="G25" s="248">
        <v>5920</v>
      </c>
      <c r="H25" s="121" t="s">
        <v>98</v>
      </c>
      <c r="I25" s="149" t="s">
        <v>34</v>
      </c>
      <c r="J25" s="148">
        <v>4</v>
      </c>
      <c r="K25" s="93">
        <v>6.28</v>
      </c>
      <c r="L25" s="92">
        <f t="shared" si="1"/>
        <v>25.12</v>
      </c>
      <c r="M25" s="76" t="s">
        <v>592</v>
      </c>
    </row>
    <row r="26" spans="1:13" s="161" customFormat="1" x14ac:dyDescent="0.3">
      <c r="A26" s="193" t="s">
        <v>258</v>
      </c>
      <c r="B26" s="185" t="s">
        <v>259</v>
      </c>
      <c r="C26" s="155" t="s">
        <v>34</v>
      </c>
      <c r="D26" s="220">
        <v>66</v>
      </c>
      <c r="E26" s="217">
        <v>1.98</v>
      </c>
      <c r="F26" s="159">
        <f t="shared" si="0"/>
        <v>130.68</v>
      </c>
      <c r="G26" s="253"/>
      <c r="H26" s="163"/>
      <c r="I26" s="254"/>
      <c r="J26" s="164"/>
      <c r="K26" s="165"/>
      <c r="L26" s="188">
        <f t="shared" si="1"/>
        <v>0</v>
      </c>
      <c r="M26" s="82" t="s">
        <v>593</v>
      </c>
    </row>
    <row r="27" spans="1:13" s="161" customFormat="1" x14ac:dyDescent="0.3">
      <c r="A27" s="193" t="s">
        <v>260</v>
      </c>
      <c r="B27" s="185" t="s">
        <v>261</v>
      </c>
      <c r="C27" s="155" t="s">
        <v>34</v>
      </c>
      <c r="D27" s="220">
        <v>8</v>
      </c>
      <c r="E27" s="217">
        <v>1.38</v>
      </c>
      <c r="F27" s="159">
        <f t="shared" si="0"/>
        <v>11.04</v>
      </c>
      <c r="G27" s="253"/>
      <c r="H27" s="163"/>
      <c r="I27" s="254"/>
      <c r="J27" s="164"/>
      <c r="K27" s="165"/>
      <c r="L27" s="188">
        <f t="shared" si="1"/>
        <v>0</v>
      </c>
      <c r="M27" s="82" t="s">
        <v>593</v>
      </c>
    </row>
    <row r="28" spans="1:13" s="51" customFormat="1" x14ac:dyDescent="0.3">
      <c r="A28" s="65" t="s">
        <v>262</v>
      </c>
      <c r="B28" s="67" t="s">
        <v>263</v>
      </c>
      <c r="C28" s="66" t="s">
        <v>34</v>
      </c>
      <c r="D28" s="118">
        <v>4</v>
      </c>
      <c r="E28" s="57">
        <v>0.69</v>
      </c>
      <c r="F28" s="98">
        <f t="shared" si="0"/>
        <v>2.76</v>
      </c>
      <c r="G28" s="249">
        <v>22005</v>
      </c>
      <c r="H28" s="126" t="s">
        <v>420</v>
      </c>
      <c r="I28" s="250" t="s">
        <v>34</v>
      </c>
      <c r="J28" s="153">
        <v>4</v>
      </c>
      <c r="K28" s="93">
        <v>0.69</v>
      </c>
      <c r="L28" s="92">
        <f t="shared" si="1"/>
        <v>2.76</v>
      </c>
      <c r="M28" s="76" t="s">
        <v>592</v>
      </c>
    </row>
    <row r="29" spans="1:13" s="161" customFormat="1" x14ac:dyDescent="0.3">
      <c r="A29" s="193" t="s">
        <v>264</v>
      </c>
      <c r="B29" s="185" t="s">
        <v>265</v>
      </c>
      <c r="C29" s="155" t="s">
        <v>34</v>
      </c>
      <c r="D29" s="220">
        <v>60</v>
      </c>
      <c r="E29" s="217">
        <v>6.45</v>
      </c>
      <c r="F29" s="159">
        <f t="shared" si="0"/>
        <v>387</v>
      </c>
      <c r="G29" s="166"/>
      <c r="H29" s="167"/>
      <c r="I29" s="198"/>
      <c r="J29" s="198"/>
      <c r="K29" s="165"/>
      <c r="L29" s="188">
        <f t="shared" si="1"/>
        <v>0</v>
      </c>
      <c r="M29" s="82" t="s">
        <v>593</v>
      </c>
    </row>
    <row r="30" spans="1:13" s="51" customFormat="1" x14ac:dyDescent="0.3">
      <c r="A30" s="65" t="s">
        <v>266</v>
      </c>
      <c r="B30" s="67" t="s">
        <v>267</v>
      </c>
      <c r="C30" s="66" t="s">
        <v>34</v>
      </c>
      <c r="D30" s="118">
        <v>16</v>
      </c>
      <c r="E30" s="57">
        <v>2.58</v>
      </c>
      <c r="F30" s="98">
        <f t="shared" si="0"/>
        <v>41.28</v>
      </c>
      <c r="G30" s="121" t="s">
        <v>99</v>
      </c>
      <c r="H30" s="121" t="s">
        <v>100</v>
      </c>
      <c r="I30" s="149" t="s">
        <v>34</v>
      </c>
      <c r="J30" s="148">
        <v>16</v>
      </c>
      <c r="K30" s="148">
        <v>0.49</v>
      </c>
      <c r="L30" s="148">
        <f>J30*K30</f>
        <v>7.84</v>
      </c>
      <c r="M30" s="76" t="s">
        <v>592</v>
      </c>
    </row>
    <row r="31" spans="1:13" s="51" customFormat="1" x14ac:dyDescent="0.3">
      <c r="A31" s="65" t="s">
        <v>268</v>
      </c>
      <c r="B31" s="67" t="s">
        <v>269</v>
      </c>
      <c r="C31" s="66" t="s">
        <v>34</v>
      </c>
      <c r="D31" s="118">
        <v>8</v>
      </c>
      <c r="E31" s="57">
        <v>1.49</v>
      </c>
      <c r="F31" s="98">
        <f t="shared" si="0"/>
        <v>11.92</v>
      </c>
      <c r="G31" s="90" t="s">
        <v>522</v>
      </c>
      <c r="H31" s="91" t="s">
        <v>523</v>
      </c>
      <c r="I31" s="215" t="s">
        <v>34</v>
      </c>
      <c r="J31" s="154">
        <v>8</v>
      </c>
      <c r="K31" s="93">
        <v>0.24</v>
      </c>
      <c r="L31" s="92">
        <f t="shared" si="1"/>
        <v>1.92</v>
      </c>
      <c r="M31" s="82" t="s">
        <v>592</v>
      </c>
    </row>
    <row r="32" spans="1:13" s="161" customFormat="1" x14ac:dyDescent="0.3">
      <c r="A32" s="193" t="s">
        <v>270</v>
      </c>
      <c r="B32" s="185" t="s">
        <v>271</v>
      </c>
      <c r="C32" s="155" t="s">
        <v>34</v>
      </c>
      <c r="D32" s="220">
        <v>24</v>
      </c>
      <c r="E32" s="217">
        <v>0.55000000000000004</v>
      </c>
      <c r="F32" s="159">
        <f t="shared" si="0"/>
        <v>13.200000000000001</v>
      </c>
      <c r="G32" s="166"/>
      <c r="H32" s="167"/>
      <c r="I32" s="245"/>
      <c r="J32" s="169"/>
      <c r="K32" s="165"/>
      <c r="L32" s="188">
        <f t="shared" si="1"/>
        <v>0</v>
      </c>
      <c r="M32" s="82" t="s">
        <v>593</v>
      </c>
    </row>
    <row r="33" spans="1:16" s="161" customFormat="1" x14ac:dyDescent="0.3">
      <c r="A33" s="193" t="s">
        <v>272</v>
      </c>
      <c r="B33" s="185" t="s">
        <v>273</v>
      </c>
      <c r="C33" s="155" t="s">
        <v>34</v>
      </c>
      <c r="D33" s="220">
        <v>12</v>
      </c>
      <c r="E33" s="217">
        <v>0.44</v>
      </c>
      <c r="F33" s="159">
        <f t="shared" si="0"/>
        <v>5.28</v>
      </c>
      <c r="G33" s="255"/>
      <c r="H33" s="255"/>
      <c r="I33" s="245"/>
      <c r="J33" s="169"/>
      <c r="K33" s="165"/>
      <c r="L33" s="188">
        <f t="shared" si="1"/>
        <v>0</v>
      </c>
      <c r="M33" s="82" t="s">
        <v>593</v>
      </c>
    </row>
    <row r="34" spans="1:16" s="51" customFormat="1" x14ac:dyDescent="0.3">
      <c r="A34" s="66"/>
      <c r="B34" s="67"/>
      <c r="C34" s="66"/>
      <c r="D34" s="118"/>
      <c r="E34" s="57"/>
      <c r="F34" s="98">
        <f t="shared" si="0"/>
        <v>0</v>
      </c>
      <c r="G34" s="103"/>
      <c r="H34" s="103"/>
      <c r="I34" s="215"/>
      <c r="J34" s="154"/>
      <c r="K34" s="93"/>
      <c r="L34" s="92">
        <f t="shared" si="1"/>
        <v>0</v>
      </c>
      <c r="M34" s="76"/>
    </row>
    <row r="35" spans="1:16" s="51" customFormat="1" x14ac:dyDescent="0.3">
      <c r="A35" s="66"/>
      <c r="B35" s="67"/>
      <c r="C35" s="66"/>
      <c r="D35" s="118"/>
      <c r="E35" s="57"/>
      <c r="F35" s="98">
        <f t="shared" si="0"/>
        <v>0</v>
      </c>
      <c r="G35" s="103"/>
      <c r="H35" s="103"/>
      <c r="I35" s="215"/>
      <c r="J35" s="154"/>
      <c r="K35" s="93"/>
      <c r="L35" s="92">
        <f t="shared" si="1"/>
        <v>0</v>
      </c>
      <c r="M35" s="76"/>
    </row>
    <row r="36" spans="1:16" ht="15.6" x14ac:dyDescent="0.3">
      <c r="A36" s="46"/>
      <c r="B36" s="47" t="s">
        <v>24</v>
      </c>
      <c r="C36" s="48"/>
      <c r="D36" s="49"/>
      <c r="E36" s="49"/>
      <c r="F36" s="50">
        <f>SUM(F21:F35)</f>
        <v>1161</v>
      </c>
      <c r="G36" s="35"/>
      <c r="H36" s="34"/>
      <c r="I36" s="36"/>
      <c r="J36" s="33">
        <f>SUM(J21:J35)</f>
        <v>40</v>
      </c>
      <c r="K36" s="33"/>
      <c r="L36" s="45">
        <f>SUM(L21:L35)</f>
        <v>87.88000000000001</v>
      </c>
      <c r="M36" s="58"/>
    </row>
    <row r="37" spans="1:16" ht="16.2" thickBot="1" x14ac:dyDescent="0.35">
      <c r="A37" s="107"/>
      <c r="B37" s="108"/>
      <c r="C37" s="109"/>
      <c r="D37" s="110"/>
      <c r="E37" s="110"/>
      <c r="F37" s="110"/>
      <c r="G37" s="111"/>
      <c r="H37" s="112"/>
      <c r="I37" s="113"/>
      <c r="J37" s="114"/>
      <c r="K37" s="114"/>
      <c r="L37" s="114"/>
      <c r="M37" s="115"/>
    </row>
    <row r="38" spans="1:16" ht="15.6" customHeight="1" x14ac:dyDescent="0.3">
      <c r="A38" s="310" t="s">
        <v>38</v>
      </c>
      <c r="B38" s="311"/>
      <c r="C38" s="311"/>
      <c r="D38" s="311"/>
      <c r="E38" s="311"/>
      <c r="F38" s="311"/>
      <c r="G38" s="314" t="s">
        <v>26</v>
      </c>
      <c r="H38" s="314"/>
      <c r="I38" s="314"/>
      <c r="J38" s="314"/>
      <c r="K38" s="314"/>
      <c r="L38" s="314"/>
      <c r="M38" s="315"/>
    </row>
    <row r="39" spans="1:16" ht="15.6" customHeight="1" thickBot="1" x14ac:dyDescent="0.35">
      <c r="A39" s="312"/>
      <c r="B39" s="313"/>
      <c r="C39" s="313"/>
      <c r="D39" s="313"/>
      <c r="E39" s="313"/>
      <c r="F39" s="313"/>
      <c r="G39" s="316"/>
      <c r="H39" s="316"/>
      <c r="I39" s="316"/>
      <c r="J39" s="316"/>
      <c r="K39" s="316"/>
      <c r="L39" s="316"/>
      <c r="M39" s="317"/>
    </row>
    <row r="40" spans="1:16" x14ac:dyDescent="0.3">
      <c r="A40" s="56"/>
      <c r="B40" s="42"/>
      <c r="C40" s="38"/>
      <c r="D40" s="39"/>
      <c r="E40" s="57"/>
      <c r="F40" s="57"/>
      <c r="G40" s="121"/>
      <c r="H40" s="121"/>
      <c r="I40" s="121"/>
      <c r="J40" s="122"/>
      <c r="K40" s="122"/>
      <c r="L40" s="131"/>
      <c r="M40" s="60"/>
    </row>
    <row r="41" spans="1:16" x14ac:dyDescent="0.3">
      <c r="A41" s="56"/>
      <c r="B41" s="42"/>
      <c r="C41" s="38"/>
      <c r="D41" s="39"/>
      <c r="E41" s="57"/>
      <c r="F41" s="57"/>
      <c r="G41" s="121"/>
      <c r="H41" s="121"/>
      <c r="I41" s="121"/>
      <c r="J41" s="122"/>
      <c r="K41" s="122"/>
      <c r="L41" s="123"/>
      <c r="M41" s="60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L43" s="73"/>
      <c r="M43" s="60"/>
      <c r="P43" s="44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SUM(D40:D44)</f>
        <v>0</v>
      </c>
      <c r="E45" s="30"/>
      <c r="F45" s="31">
        <f>SUM(F40:F44)</f>
        <v>0</v>
      </c>
      <c r="G45" s="24"/>
      <c r="H45" s="25"/>
      <c r="I45" s="25"/>
      <c r="J45" s="26">
        <f>SUM(J40:J44)</f>
        <v>0</v>
      </c>
      <c r="K45" s="26"/>
      <c r="L45" s="26">
        <f>SUM(L40:L44)</f>
        <v>0</v>
      </c>
      <c r="M45" s="14"/>
    </row>
    <row r="46" spans="1:16" ht="21.6" thickBot="1" x14ac:dyDescent="0.35">
      <c r="A46" s="15"/>
      <c r="B46" s="16" t="s">
        <v>32</v>
      </c>
      <c r="C46" s="17"/>
      <c r="D46" s="18">
        <f>D36+D45</f>
        <v>0</v>
      </c>
      <c r="E46" s="18"/>
      <c r="F46" s="19">
        <f>F36+F45</f>
        <v>1161</v>
      </c>
      <c r="G46" s="20"/>
      <c r="H46" s="21"/>
      <c r="I46" s="21"/>
      <c r="J46" s="22">
        <f>J36+J45</f>
        <v>40</v>
      </c>
      <c r="K46" s="22"/>
      <c r="L46" s="22">
        <f>L36+L45</f>
        <v>87.88000000000001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0"/>
      <c r="K47" s="80"/>
      <c r="L47" s="80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77"/>
      <c r="K48" s="77"/>
      <c r="L48" s="43">
        <f>L45*100/L36</f>
        <v>0</v>
      </c>
      <c r="M48" s="7"/>
    </row>
    <row r="49" spans="1:13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79"/>
      <c r="K49" s="79"/>
      <c r="L49" s="79"/>
      <c r="M49" s="7"/>
    </row>
    <row r="50" spans="1:13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77"/>
      <c r="K50" s="77"/>
      <c r="L50" s="77"/>
      <c r="M50" s="7"/>
    </row>
    <row r="51" spans="1:13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77"/>
      <c r="K51" s="77"/>
      <c r="L51" s="77"/>
      <c r="M51" s="7"/>
    </row>
    <row r="52" spans="1:13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77"/>
      <c r="K52" s="77"/>
      <c r="L52" s="77"/>
      <c r="M52" s="7"/>
    </row>
    <row r="53" spans="1:13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77"/>
      <c r="K53" s="77"/>
      <c r="L53" s="77"/>
      <c r="M53" s="7"/>
    </row>
    <row r="54" spans="1:13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77"/>
      <c r="K54" s="77"/>
      <c r="L54" s="77"/>
      <c r="M54" s="7"/>
    </row>
    <row r="55" spans="1:13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77"/>
      <c r="K55" s="77"/>
      <c r="L55" s="77"/>
      <c r="M55" s="7"/>
    </row>
    <row r="56" spans="1:13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77"/>
      <c r="K56" s="77"/>
      <c r="L56" s="77"/>
      <c r="M56" s="7"/>
    </row>
    <row r="57" spans="1:13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77"/>
      <c r="K57" s="77"/>
      <c r="L57" s="77"/>
      <c r="M57" s="7"/>
    </row>
    <row r="58" spans="1:13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78"/>
      <c r="K58" s="78"/>
      <c r="L58" s="78"/>
      <c r="M58" s="7"/>
    </row>
    <row r="59" spans="1:13" ht="36" customHeight="1" x14ac:dyDescent="0.3"/>
  </sheetData>
  <mergeCells count="33">
    <mergeCell ref="F17:F18"/>
    <mergeCell ref="A12:M12"/>
    <mergeCell ref="H1:M2"/>
    <mergeCell ref="H4:M4"/>
    <mergeCell ref="H6:M6"/>
    <mergeCell ref="H8:M8"/>
    <mergeCell ref="A11:M11"/>
    <mergeCell ref="A17:A18"/>
    <mergeCell ref="B17:B18"/>
    <mergeCell ref="C17:C18"/>
    <mergeCell ref="D17:D18"/>
    <mergeCell ref="E17:E18"/>
    <mergeCell ref="A13:M13"/>
    <mergeCell ref="A14:M14"/>
    <mergeCell ref="A15:L15"/>
    <mergeCell ref="A16:F16"/>
    <mergeCell ref="G16:M16"/>
    <mergeCell ref="H17:L17"/>
    <mergeCell ref="M17:M18"/>
    <mergeCell ref="A38:F39"/>
    <mergeCell ref="G38:M39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47:I47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8"/>
  <sheetViews>
    <sheetView topLeftCell="A9" zoomScale="70" zoomScaleNormal="70" workbookViewId="0">
      <selection activeCell="L22" sqref="L22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128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4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4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4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4" ht="48.6" x14ac:dyDescent="0.3">
      <c r="A20" s="95"/>
      <c r="B20" s="117" t="s">
        <v>243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4" s="51" customFormat="1" ht="45" customHeight="1" x14ac:dyDescent="0.3">
      <c r="A21" s="65" t="s">
        <v>244</v>
      </c>
      <c r="B21" s="67" t="s">
        <v>245</v>
      </c>
      <c r="C21" s="66" t="s">
        <v>39</v>
      </c>
      <c r="D21" s="118">
        <v>558</v>
      </c>
      <c r="E21" s="57"/>
      <c r="F21" s="98">
        <f>D21*E21</f>
        <v>0</v>
      </c>
      <c r="G21" s="121" t="s">
        <v>560</v>
      </c>
      <c r="H21" s="121" t="s">
        <v>561</v>
      </c>
      <c r="I21" s="121" t="s">
        <v>35</v>
      </c>
      <c r="J21" s="148">
        <v>8</v>
      </c>
      <c r="K21" s="148">
        <f>L21/J21</f>
        <v>1458.33375</v>
      </c>
      <c r="L21" s="148">
        <v>11666.67</v>
      </c>
      <c r="M21" s="247" t="s">
        <v>613</v>
      </c>
      <c r="N21" s="51" t="s">
        <v>592</v>
      </c>
    </row>
    <row r="22" spans="1:14" s="161" customFormat="1" x14ac:dyDescent="0.3">
      <c r="A22" s="193" t="s">
        <v>53</v>
      </c>
      <c r="B22" s="185" t="s">
        <v>42</v>
      </c>
      <c r="C22" s="155" t="s">
        <v>37</v>
      </c>
      <c r="D22" s="217">
        <v>66.959999999999994</v>
      </c>
      <c r="E22" s="217">
        <v>116.67</v>
      </c>
      <c r="F22" s="159">
        <f t="shared" ref="F22:F25" si="0">D22*E22</f>
        <v>7812.2231999999995</v>
      </c>
      <c r="G22" s="163" t="s">
        <v>47</v>
      </c>
      <c r="H22" s="163" t="s">
        <v>78</v>
      </c>
      <c r="I22" s="163" t="s">
        <v>37</v>
      </c>
      <c r="J22" s="164">
        <v>12.881</v>
      </c>
      <c r="K22" s="164">
        <v>68.75</v>
      </c>
      <c r="L22" s="164">
        <f>J22*K22</f>
        <v>885.56875000000002</v>
      </c>
      <c r="M22" s="206" t="s">
        <v>593</v>
      </c>
    </row>
    <row r="23" spans="1:14" s="51" customFormat="1" x14ac:dyDescent="0.3">
      <c r="A23" s="65" t="s">
        <v>54</v>
      </c>
      <c r="B23" s="67" t="s">
        <v>246</v>
      </c>
      <c r="C23" s="66" t="s">
        <v>51</v>
      </c>
      <c r="D23" s="68">
        <v>40.5</v>
      </c>
      <c r="E23" s="57">
        <v>111.2</v>
      </c>
      <c r="F23" s="98">
        <f t="shared" si="0"/>
        <v>4503.6000000000004</v>
      </c>
      <c r="G23" s="121" t="s">
        <v>520</v>
      </c>
      <c r="H23" s="121" t="s">
        <v>521</v>
      </c>
      <c r="I23" s="121" t="s">
        <v>34</v>
      </c>
      <c r="J23" s="148">
        <v>9</v>
      </c>
      <c r="K23" s="148">
        <f>L23/J23</f>
        <v>337.75</v>
      </c>
      <c r="L23" s="148">
        <v>3039.75</v>
      </c>
      <c r="M23" s="76" t="s">
        <v>592</v>
      </c>
    </row>
    <row r="24" spans="1:14" s="51" customFormat="1" x14ac:dyDescent="0.3">
      <c r="A24" s="66"/>
      <c r="B24" s="67"/>
      <c r="C24" s="66"/>
      <c r="D24" s="118"/>
      <c r="E24" s="57"/>
      <c r="F24" s="98">
        <f t="shared" si="0"/>
        <v>0</v>
      </c>
      <c r="G24" s="120"/>
      <c r="H24" s="121"/>
      <c r="I24" s="121"/>
      <c r="J24" s="122"/>
      <c r="K24" s="93"/>
      <c r="L24" s="89"/>
      <c r="M24" s="76"/>
    </row>
    <row r="25" spans="1:14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03"/>
      <c r="H25" s="103"/>
      <c r="I25" s="101"/>
      <c r="J25" s="102"/>
      <c r="K25" s="93"/>
      <c r="L25" s="89"/>
      <c r="M25" s="76"/>
    </row>
    <row r="26" spans="1:14" ht="15.6" x14ac:dyDescent="0.3">
      <c r="A26" s="46"/>
      <c r="B26" s="47" t="s">
        <v>24</v>
      </c>
      <c r="C26" s="48"/>
      <c r="D26" s="49"/>
      <c r="E26" s="49"/>
      <c r="F26" s="50">
        <f>SUM(F21:F25)</f>
        <v>12315.823199999999</v>
      </c>
      <c r="G26" s="35"/>
      <c r="H26" s="34"/>
      <c r="I26" s="36"/>
      <c r="J26" s="33">
        <f>SUM(J21:J25)</f>
        <v>29.881</v>
      </c>
      <c r="K26" s="33"/>
      <c r="L26" s="45">
        <f>SUM(L21:L25)</f>
        <v>15591.98875</v>
      </c>
      <c r="M26" s="58"/>
    </row>
    <row r="27" spans="1:14" ht="16.2" thickBot="1" x14ac:dyDescent="0.35">
      <c r="A27" s="107"/>
      <c r="B27" s="108" t="s">
        <v>52</v>
      </c>
      <c r="C27" s="109"/>
      <c r="D27" s="110"/>
      <c r="E27" s="110"/>
      <c r="F27" s="110">
        <v>446264.9</v>
      </c>
      <c r="G27" s="111"/>
      <c r="H27" s="112"/>
      <c r="I27" s="113"/>
      <c r="J27" s="114"/>
      <c r="K27" s="114"/>
      <c r="L27" s="114"/>
      <c r="M27" s="115"/>
    </row>
    <row r="28" spans="1:14" ht="15.6" customHeight="1" x14ac:dyDescent="0.3">
      <c r="A28" s="310" t="s">
        <v>38</v>
      </c>
      <c r="B28" s="311"/>
      <c r="C28" s="311"/>
      <c r="D28" s="311"/>
      <c r="E28" s="311"/>
      <c r="F28" s="311"/>
      <c r="G28" s="314" t="s">
        <v>26</v>
      </c>
      <c r="H28" s="314"/>
      <c r="I28" s="314"/>
      <c r="J28" s="314"/>
      <c r="K28" s="314"/>
      <c r="L28" s="314"/>
      <c r="M28" s="315"/>
    </row>
    <row r="29" spans="1:14" ht="15.6" customHeight="1" thickBot="1" x14ac:dyDescent="0.35">
      <c r="A29" s="312"/>
      <c r="B29" s="313"/>
      <c r="C29" s="313"/>
      <c r="D29" s="313"/>
      <c r="E29" s="313"/>
      <c r="F29" s="313"/>
      <c r="G29" s="316"/>
      <c r="H29" s="316"/>
      <c r="I29" s="316"/>
      <c r="J29" s="316"/>
      <c r="K29" s="316"/>
      <c r="L29" s="316"/>
      <c r="M29" s="317"/>
    </row>
    <row r="30" spans="1:14" x14ac:dyDescent="0.3">
      <c r="A30" s="56"/>
      <c r="B30" s="42"/>
      <c r="C30" s="38"/>
      <c r="D30" s="39"/>
      <c r="E30" s="57"/>
      <c r="F30" s="57"/>
      <c r="G30" s="74"/>
      <c r="H30" s="71"/>
      <c r="I30" s="71"/>
      <c r="J30" s="72"/>
      <c r="K30" s="75"/>
      <c r="L30" s="75"/>
      <c r="M30" s="60"/>
    </row>
    <row r="31" spans="1:14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3"/>
      <c r="M31" s="60"/>
    </row>
    <row r="32" spans="1:14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5"/>
      <c r="M32" s="60"/>
    </row>
    <row r="33" spans="1:16" x14ac:dyDescent="0.3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5"/>
      <c r="M33" s="60"/>
      <c r="P33" s="44"/>
    </row>
    <row r="34" spans="1:16" x14ac:dyDescent="0.3">
      <c r="A34" s="56"/>
      <c r="B34" s="42"/>
      <c r="C34" s="38"/>
      <c r="D34" s="39"/>
      <c r="E34" s="57"/>
      <c r="F34" s="57"/>
      <c r="G34" s="74"/>
      <c r="H34" s="71"/>
      <c r="I34" s="71"/>
      <c r="J34" s="72"/>
      <c r="K34" s="75"/>
      <c r="L34" s="75"/>
      <c r="M34" s="60"/>
      <c r="P34" s="44"/>
    </row>
    <row r="35" spans="1:16" x14ac:dyDescent="0.3">
      <c r="A35" s="56"/>
      <c r="B35" s="55"/>
      <c r="C35" s="59"/>
      <c r="D35" s="59"/>
      <c r="E35" s="59"/>
      <c r="F35" s="59"/>
      <c r="G35" s="74"/>
      <c r="H35" s="71"/>
      <c r="I35" s="71"/>
      <c r="J35" s="72"/>
      <c r="K35" s="75"/>
      <c r="L35" s="75"/>
      <c r="M35" s="60"/>
      <c r="P35" s="44"/>
    </row>
    <row r="36" spans="1:16" x14ac:dyDescent="0.3">
      <c r="A36" s="56"/>
      <c r="B36" s="42"/>
      <c r="C36" s="38"/>
      <c r="D36" s="39"/>
      <c r="E36" s="40"/>
      <c r="F36" s="41"/>
      <c r="G36" s="74"/>
      <c r="H36" s="71"/>
      <c r="I36" s="71"/>
      <c r="J36" s="72"/>
      <c r="K36" s="75"/>
      <c r="L36" s="75"/>
      <c r="M36" s="60"/>
      <c r="P36" s="44"/>
    </row>
    <row r="37" spans="1:16" x14ac:dyDescent="0.3">
      <c r="A37" s="56"/>
      <c r="B37" s="42"/>
      <c r="C37" s="38"/>
      <c r="D37" s="39"/>
      <c r="E37" s="40"/>
      <c r="F37" s="41"/>
      <c r="G37" s="74"/>
      <c r="H37" s="71"/>
      <c r="I37" s="71"/>
      <c r="J37" s="72"/>
      <c r="K37" s="75"/>
      <c r="L37" s="75"/>
      <c r="M37" s="60"/>
    </row>
    <row r="38" spans="1:16" x14ac:dyDescent="0.3">
      <c r="A38" s="56"/>
      <c r="B38" s="42"/>
      <c r="C38" s="38"/>
      <c r="D38" s="39"/>
      <c r="E38" s="40"/>
      <c r="F38" s="41"/>
      <c r="G38" s="74"/>
      <c r="H38" s="71"/>
      <c r="I38" s="71"/>
      <c r="J38" s="72"/>
      <c r="K38" s="75"/>
      <c r="L38" s="75"/>
      <c r="M38" s="60"/>
    </row>
    <row r="39" spans="1:16" x14ac:dyDescent="0.3">
      <c r="A39" s="56"/>
      <c r="B39" s="42"/>
      <c r="C39" s="38"/>
      <c r="D39" s="39"/>
      <c r="E39" s="40"/>
      <c r="F39" s="41"/>
      <c r="G39" s="74"/>
      <c r="H39" s="71"/>
      <c r="I39" s="71"/>
      <c r="J39" s="72"/>
      <c r="K39" s="75"/>
      <c r="L39" s="75"/>
      <c r="M39" s="60"/>
    </row>
    <row r="40" spans="1:16" x14ac:dyDescent="0.3">
      <c r="A40" s="56"/>
      <c r="B40" s="42"/>
      <c r="C40" s="38"/>
      <c r="D40" s="39"/>
      <c r="E40" s="40"/>
      <c r="F40" s="41"/>
      <c r="G40" s="74"/>
      <c r="H40" s="71"/>
      <c r="I40" s="71"/>
      <c r="J40" s="72"/>
      <c r="K40" s="75"/>
      <c r="L40" s="75"/>
      <c r="M40" s="60"/>
      <c r="P40" s="44"/>
    </row>
    <row r="41" spans="1:16" x14ac:dyDescent="0.3">
      <c r="A41" s="56"/>
      <c r="B41" s="42"/>
      <c r="C41" s="38"/>
      <c r="D41" s="39"/>
      <c r="E41" s="40"/>
      <c r="F41" s="41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L42" s="73"/>
      <c r="M42" s="60"/>
      <c r="P42" s="44"/>
    </row>
    <row r="43" spans="1:16" ht="15" thickBot="1" x14ac:dyDescent="0.35">
      <c r="A43" s="56"/>
      <c r="B43" s="42"/>
      <c r="C43" s="38"/>
      <c r="D43" s="39"/>
      <c r="E43" s="40"/>
      <c r="F43" s="41"/>
      <c r="G43" s="61"/>
      <c r="H43" s="61"/>
      <c r="I43" s="61"/>
      <c r="J43" s="62"/>
      <c r="K43" s="62"/>
      <c r="L43" s="63"/>
      <c r="M43" s="60"/>
      <c r="P43" s="44"/>
    </row>
    <row r="44" spans="1:16" ht="21.6" thickBot="1" x14ac:dyDescent="0.35">
      <c r="A44" s="27"/>
      <c r="B44" s="28" t="s">
        <v>31</v>
      </c>
      <c r="C44" s="29"/>
      <c r="D44" s="30">
        <f>SUM(D30:D43)</f>
        <v>0</v>
      </c>
      <c r="E44" s="30"/>
      <c r="F44" s="31">
        <f>SUM(F30:F43)</f>
        <v>0</v>
      </c>
      <c r="G44" s="24"/>
      <c r="H44" s="25"/>
      <c r="I44" s="25"/>
      <c r="J44" s="26">
        <f>SUM(J30:J43)</f>
        <v>0</v>
      </c>
      <c r="K44" s="26"/>
      <c r="L44" s="26">
        <f>SUM(L30:L43)</f>
        <v>0</v>
      </c>
      <c r="M44" s="14"/>
    </row>
    <row r="45" spans="1:16" ht="21.6" thickBot="1" x14ac:dyDescent="0.35">
      <c r="A45" s="15"/>
      <c r="B45" s="16" t="s">
        <v>32</v>
      </c>
      <c r="C45" s="17"/>
      <c r="D45" s="18">
        <f>D26+D44</f>
        <v>0</v>
      </c>
      <c r="E45" s="18"/>
      <c r="F45" s="19">
        <f>F26+F44</f>
        <v>12315.823199999999</v>
      </c>
      <c r="G45" s="20"/>
      <c r="H45" s="21"/>
      <c r="I45" s="21"/>
      <c r="J45" s="22">
        <f>J26+J44</f>
        <v>29.881</v>
      </c>
      <c r="K45" s="22"/>
      <c r="L45" s="22">
        <f>L26+L44</f>
        <v>15591.98875</v>
      </c>
      <c r="M45" s="23"/>
    </row>
    <row r="46" spans="1:16" ht="25.05" customHeight="1" x14ac:dyDescent="0.4">
      <c r="A46" s="298" t="s">
        <v>12</v>
      </c>
      <c r="B46" s="298"/>
      <c r="C46" s="298"/>
      <c r="D46" s="298"/>
      <c r="E46" s="298"/>
      <c r="F46" s="298"/>
      <c r="G46" s="298"/>
      <c r="H46" s="298"/>
      <c r="I46" s="298"/>
      <c r="J46" s="85"/>
      <c r="K46" s="85"/>
      <c r="L46" s="85"/>
      <c r="M46" s="7"/>
    </row>
    <row r="47" spans="1:16" ht="25.05" customHeight="1" x14ac:dyDescent="0.4">
      <c r="A47" s="288" t="s">
        <v>13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43">
        <f>L44*100/L26</f>
        <v>0</v>
      </c>
      <c r="M47" s="7"/>
    </row>
    <row r="48" spans="1:16" ht="25.05" customHeight="1" x14ac:dyDescent="0.4">
      <c r="A48" s="289" t="s">
        <v>14</v>
      </c>
      <c r="B48" s="289"/>
      <c r="C48" s="289"/>
      <c r="D48" s="289"/>
      <c r="E48" s="289"/>
      <c r="F48" s="289"/>
      <c r="G48" s="289"/>
      <c r="H48" s="289"/>
      <c r="I48" s="289"/>
      <c r="J48" s="86"/>
      <c r="K48" s="86"/>
      <c r="L48" s="86"/>
      <c r="M48" s="7"/>
    </row>
    <row r="49" spans="1:16" ht="25.05" customHeight="1" x14ac:dyDescent="0.4">
      <c r="A49" s="288" t="s">
        <v>15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288" t="s">
        <v>16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17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18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17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19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11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20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318" t="s">
        <v>33</v>
      </c>
      <c r="B57" s="318"/>
      <c r="C57" s="318"/>
      <c r="D57" s="318"/>
      <c r="E57" s="318"/>
      <c r="F57" s="318"/>
      <c r="G57" s="318"/>
      <c r="H57" s="318"/>
      <c r="I57" s="318"/>
      <c r="J57" s="87"/>
      <c r="K57" s="87"/>
      <c r="L57" s="87"/>
      <c r="M57" s="7"/>
    </row>
    <row r="58" spans="1:16" s="5" customFormat="1" ht="36" customHeight="1" x14ac:dyDescent="0.3">
      <c r="B58"/>
      <c r="H58"/>
      <c r="I58" s="6"/>
      <c r="J58" s="6"/>
      <c r="K58" s="6"/>
      <c r="L58" s="6"/>
      <c r="M58"/>
      <c r="N58"/>
      <c r="O58"/>
      <c r="P58"/>
    </row>
  </sheetData>
  <mergeCells count="33">
    <mergeCell ref="H17:L17"/>
    <mergeCell ref="M17:M18"/>
    <mergeCell ref="A28:F29"/>
    <mergeCell ref="G28:M29"/>
    <mergeCell ref="A57:I57"/>
    <mergeCell ref="A51:I51"/>
    <mergeCell ref="A53:I53"/>
    <mergeCell ref="A54:I54"/>
    <mergeCell ref="A55:I55"/>
    <mergeCell ref="A56:I56"/>
    <mergeCell ref="A52:I52"/>
    <mergeCell ref="A47:I47"/>
    <mergeCell ref="A48:I48"/>
    <mergeCell ref="A49:I49"/>
    <mergeCell ref="A50:I50"/>
    <mergeCell ref="A13:M13"/>
    <mergeCell ref="A14:M14"/>
    <mergeCell ref="A15:L15"/>
    <mergeCell ref="A16:F16"/>
    <mergeCell ref="G16:M16"/>
    <mergeCell ref="A46:I4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0"/>
  <sheetViews>
    <sheetView topLeftCell="A12" zoomScale="70" zoomScaleNormal="70" workbookViewId="0">
      <selection activeCell="M25" sqref="M25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612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238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41" t="s">
        <v>239</v>
      </c>
      <c r="C21" s="144"/>
      <c r="D21" s="145"/>
      <c r="E21" s="146"/>
      <c r="F21" s="98">
        <f>D21*E21</f>
        <v>0</v>
      </c>
      <c r="G21" s="120"/>
      <c r="H21" s="121"/>
      <c r="I21" s="147"/>
      <c r="J21" s="148"/>
      <c r="K21" s="92"/>
      <c r="L21" s="92">
        <f>J21*K21</f>
        <v>0</v>
      </c>
      <c r="M21" s="181"/>
    </row>
    <row r="22" spans="1:13" s="51" customFormat="1" x14ac:dyDescent="0.3">
      <c r="A22" s="65" t="s">
        <v>240</v>
      </c>
      <c r="B22" s="67" t="s">
        <v>42</v>
      </c>
      <c r="C22" s="66" t="s">
        <v>37</v>
      </c>
      <c r="D22" s="68">
        <v>1.2</v>
      </c>
      <c r="E22" s="57">
        <v>116.66</v>
      </c>
      <c r="F22" s="98">
        <f t="shared" ref="F22:F26" si="0">D22*E22</f>
        <v>139.99199999999999</v>
      </c>
      <c r="G22" s="120">
        <v>19138</v>
      </c>
      <c r="H22" s="121" t="s">
        <v>78</v>
      </c>
      <c r="I22" s="147" t="s">
        <v>37</v>
      </c>
      <c r="J22" s="148">
        <v>1.2</v>
      </c>
      <c r="K22" s="92">
        <v>68.75</v>
      </c>
      <c r="L22" s="92">
        <f t="shared" ref="L22:L26" si="1">J22*K22</f>
        <v>82.5</v>
      </c>
      <c r="M22" s="181" t="s">
        <v>592</v>
      </c>
    </row>
    <row r="23" spans="1:13" s="51" customFormat="1" x14ac:dyDescent="0.3">
      <c r="A23" s="65" t="s">
        <v>241</v>
      </c>
      <c r="B23" s="67" t="s">
        <v>50</v>
      </c>
      <c r="C23" s="66" t="s">
        <v>51</v>
      </c>
      <c r="D23" s="118">
        <v>1</v>
      </c>
      <c r="E23" s="57">
        <v>89.91</v>
      </c>
      <c r="F23" s="98">
        <f t="shared" si="0"/>
        <v>89.91</v>
      </c>
      <c r="G23" s="125" t="s">
        <v>80</v>
      </c>
      <c r="H23" s="126" t="s">
        <v>79</v>
      </c>
      <c r="I23" s="184" t="s">
        <v>34</v>
      </c>
      <c r="J23" s="153">
        <v>0.2</v>
      </c>
      <c r="K23" s="93">
        <v>325.75</v>
      </c>
      <c r="L23" s="92">
        <f t="shared" si="1"/>
        <v>65.150000000000006</v>
      </c>
      <c r="M23" s="246" t="s">
        <v>592</v>
      </c>
    </row>
    <row r="24" spans="1:13" s="161" customFormat="1" x14ac:dyDescent="0.3">
      <c r="A24" s="193" t="s">
        <v>242</v>
      </c>
      <c r="B24" s="185" t="s">
        <v>43</v>
      </c>
      <c r="C24" s="155" t="s">
        <v>37</v>
      </c>
      <c r="D24" s="216">
        <v>2.4</v>
      </c>
      <c r="E24" s="217">
        <v>166.66</v>
      </c>
      <c r="F24" s="159">
        <f t="shared" si="0"/>
        <v>399.98399999999998</v>
      </c>
      <c r="G24" s="162"/>
      <c r="H24" s="163"/>
      <c r="I24" s="187"/>
      <c r="J24" s="164"/>
      <c r="K24" s="165"/>
      <c r="L24" s="188">
        <f t="shared" si="1"/>
        <v>0</v>
      </c>
      <c r="M24" s="198" t="s">
        <v>593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47"/>
      <c r="J25" s="148"/>
      <c r="K25" s="93"/>
      <c r="L25" s="92">
        <f t="shared" si="1"/>
        <v>0</v>
      </c>
      <c r="M25" s="182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47"/>
      <c r="J26" s="148"/>
      <c r="K26" s="93"/>
      <c r="L26" s="92">
        <f t="shared" si="1"/>
        <v>0</v>
      </c>
      <c r="M26" s="182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629.88599999999997</v>
      </c>
      <c r="G27" s="35"/>
      <c r="H27" s="34"/>
      <c r="I27" s="36"/>
      <c r="J27" s="33">
        <f>SUM(J21:J26)</f>
        <v>1.4</v>
      </c>
      <c r="K27" s="33"/>
      <c r="L27" s="45">
        <f>SUM(L21:L26)</f>
        <v>147.65</v>
      </c>
      <c r="M27" s="58"/>
    </row>
    <row r="28" spans="1:13" ht="16.2" thickBot="1" x14ac:dyDescent="0.35">
      <c r="A28" s="107"/>
      <c r="B28" s="108"/>
      <c r="C28" s="109"/>
      <c r="D28" s="110"/>
      <c r="E28" s="110"/>
      <c r="F28" s="110"/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5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x14ac:dyDescent="0.3">
      <c r="A33" s="56"/>
      <c r="B33" s="42"/>
      <c r="C33" s="38"/>
      <c r="D33" s="39"/>
      <c r="E33" s="40"/>
      <c r="F33" s="41"/>
      <c r="G33" s="74"/>
      <c r="H33" s="71"/>
      <c r="I33" s="71"/>
      <c r="J33" s="72"/>
      <c r="K33" s="75"/>
      <c r="L33" s="75"/>
      <c r="M33" s="60"/>
      <c r="P33" s="44"/>
    </row>
    <row r="34" spans="1:16" x14ac:dyDescent="0.3">
      <c r="A34" s="56"/>
      <c r="B34" s="42"/>
      <c r="C34" s="38"/>
      <c r="D34" s="39"/>
      <c r="E34" s="40"/>
      <c r="F34" s="41"/>
      <c r="G34" s="74"/>
      <c r="H34" s="71"/>
      <c r="I34" s="71"/>
      <c r="J34" s="72"/>
      <c r="L34" s="73"/>
      <c r="M34" s="60"/>
      <c r="P34" s="44"/>
    </row>
    <row r="35" spans="1:16" ht="15" thickBot="1" x14ac:dyDescent="0.35">
      <c r="A35" s="56"/>
      <c r="B35" s="42"/>
      <c r="C35" s="38"/>
      <c r="D35" s="39"/>
      <c r="E35" s="40"/>
      <c r="F35" s="41"/>
      <c r="G35" s="61"/>
      <c r="H35" s="61"/>
      <c r="I35" s="61"/>
      <c r="J35" s="62"/>
      <c r="K35" s="62"/>
      <c r="L35" s="63"/>
      <c r="M35" s="60"/>
      <c r="P35" s="44"/>
    </row>
    <row r="36" spans="1:16" ht="21.6" thickBot="1" x14ac:dyDescent="0.35">
      <c r="A36" s="27"/>
      <c r="B36" s="28" t="s">
        <v>31</v>
      </c>
      <c r="C36" s="29"/>
      <c r="D36" s="30">
        <f>SUM(D31:D35)</f>
        <v>0</v>
      </c>
      <c r="E36" s="30"/>
      <c r="F36" s="31">
        <f>SUM(F31:F35)</f>
        <v>0</v>
      </c>
      <c r="G36" s="24"/>
      <c r="H36" s="25"/>
      <c r="I36" s="25"/>
      <c r="J36" s="26">
        <f>SUM(J31:J35)</f>
        <v>0</v>
      </c>
      <c r="K36" s="26"/>
      <c r="L36" s="26">
        <f>SUM(L31:L35)</f>
        <v>0</v>
      </c>
      <c r="M36" s="14"/>
    </row>
    <row r="37" spans="1:16" ht="21.6" thickBot="1" x14ac:dyDescent="0.35">
      <c r="A37" s="15"/>
      <c r="B37" s="16" t="s">
        <v>32</v>
      </c>
      <c r="C37" s="17"/>
      <c r="D37" s="18">
        <f>D27+D36</f>
        <v>0</v>
      </c>
      <c r="E37" s="18"/>
      <c r="F37" s="19">
        <f>F27+F36</f>
        <v>629.88599999999997</v>
      </c>
      <c r="G37" s="20"/>
      <c r="H37" s="21"/>
      <c r="I37" s="21"/>
      <c r="J37" s="22">
        <f>J27+J36</f>
        <v>1.4</v>
      </c>
      <c r="K37" s="22"/>
      <c r="L37" s="22">
        <f>L27+L36</f>
        <v>147.65</v>
      </c>
      <c r="M37" s="23"/>
    </row>
    <row r="38" spans="1:16" ht="25.05" customHeight="1" x14ac:dyDescent="0.4">
      <c r="A38" s="298" t="s">
        <v>12</v>
      </c>
      <c r="B38" s="298"/>
      <c r="C38" s="298"/>
      <c r="D38" s="298"/>
      <c r="E38" s="298"/>
      <c r="F38" s="298"/>
      <c r="G38" s="298"/>
      <c r="H38" s="298"/>
      <c r="I38" s="298"/>
      <c r="J38" s="85"/>
      <c r="K38" s="85"/>
      <c r="L38" s="85"/>
      <c r="M38" s="7"/>
    </row>
    <row r="39" spans="1:16" ht="25.05" customHeight="1" x14ac:dyDescent="0.4">
      <c r="A39" s="288" t="s">
        <v>13</v>
      </c>
      <c r="B39" s="288"/>
      <c r="C39" s="288"/>
      <c r="D39" s="288"/>
      <c r="E39" s="288"/>
      <c r="F39" s="288"/>
      <c r="G39" s="288"/>
      <c r="H39" s="288"/>
      <c r="I39" s="288"/>
      <c r="J39" s="84"/>
      <c r="K39" s="84"/>
      <c r="L39" s="43">
        <f>L36*100/L27</f>
        <v>0</v>
      </c>
      <c r="M39" s="7"/>
    </row>
    <row r="40" spans="1:16" ht="25.05" customHeight="1" x14ac:dyDescent="0.4">
      <c r="A40" s="289" t="s">
        <v>14</v>
      </c>
      <c r="B40" s="289"/>
      <c r="C40" s="289"/>
      <c r="D40" s="289"/>
      <c r="E40" s="289"/>
      <c r="F40" s="289"/>
      <c r="G40" s="289"/>
      <c r="H40" s="289"/>
      <c r="I40" s="289"/>
      <c r="J40" s="86"/>
      <c r="K40" s="86"/>
      <c r="L40" s="86"/>
      <c r="M40" s="7"/>
    </row>
    <row r="41" spans="1:16" ht="25.05" customHeight="1" x14ac:dyDescent="0.4">
      <c r="A41" s="288" t="s">
        <v>15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16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17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18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17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19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11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20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318" t="s">
        <v>33</v>
      </c>
      <c r="B49" s="318"/>
      <c r="C49" s="318"/>
      <c r="D49" s="318"/>
      <c r="E49" s="318"/>
      <c r="F49" s="318"/>
      <c r="G49" s="318"/>
      <c r="H49" s="318"/>
      <c r="I49" s="318"/>
      <c r="J49" s="87"/>
      <c r="K49" s="87"/>
      <c r="L49" s="87"/>
      <c r="M49" s="7"/>
    </row>
    <row r="50" spans="1:16" s="5" customFormat="1" ht="36" customHeight="1" x14ac:dyDescent="0.3">
      <c r="B50"/>
      <c r="H50"/>
      <c r="I50" s="6"/>
      <c r="J50" s="6"/>
      <c r="K50" s="6"/>
      <c r="L50" s="6"/>
      <c r="M50"/>
      <c r="N50"/>
      <c r="O50"/>
      <c r="P50"/>
    </row>
  </sheetData>
  <mergeCells count="33">
    <mergeCell ref="H17:L17"/>
    <mergeCell ref="M17:M18"/>
    <mergeCell ref="A29:F30"/>
    <mergeCell ref="G29:M30"/>
    <mergeCell ref="A49:I49"/>
    <mergeCell ref="A43:I43"/>
    <mergeCell ref="A45:I45"/>
    <mergeCell ref="A46:I46"/>
    <mergeCell ref="A47:I47"/>
    <mergeCell ref="A48:I48"/>
    <mergeCell ref="A44:I44"/>
    <mergeCell ref="A39:I39"/>
    <mergeCell ref="A40:I40"/>
    <mergeCell ref="A41:I41"/>
    <mergeCell ref="A42:I42"/>
    <mergeCell ref="A13:M13"/>
    <mergeCell ref="A14:M14"/>
    <mergeCell ref="A15:L15"/>
    <mergeCell ref="A16:F16"/>
    <mergeCell ref="G16:M16"/>
    <mergeCell ref="A38:I38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2"/>
  <sheetViews>
    <sheetView topLeftCell="A13" zoomScale="70" zoomScaleNormal="70" workbookViewId="0">
      <selection activeCell="J30" sqref="J30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611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>
        <v>9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610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42" t="s">
        <v>220</v>
      </c>
      <c r="C21" s="66"/>
      <c r="D21" s="118"/>
      <c r="E21" s="57"/>
      <c r="F21" s="98">
        <f>D21*E21</f>
        <v>0</v>
      </c>
      <c r="G21" s="120"/>
      <c r="H21" s="121"/>
      <c r="I21" s="121"/>
      <c r="J21" s="122"/>
      <c r="K21" s="88"/>
      <c r="L21" s="89"/>
      <c r="M21" s="13"/>
    </row>
    <row r="22" spans="1:13" s="51" customFormat="1" x14ac:dyDescent="0.3">
      <c r="A22" s="66" t="s">
        <v>221</v>
      </c>
      <c r="B22" s="67" t="s">
        <v>222</v>
      </c>
      <c r="C22" s="66" t="s">
        <v>34</v>
      </c>
      <c r="D22" s="152">
        <v>8</v>
      </c>
      <c r="E22" s="152">
        <v>80.94</v>
      </c>
      <c r="F22" s="98">
        <f t="shared" ref="F22:F37" si="0">D22*E22</f>
        <v>647.52</v>
      </c>
      <c r="G22" s="197">
        <v>10616</v>
      </c>
      <c r="H22" s="147" t="s">
        <v>87</v>
      </c>
      <c r="I22" s="147" t="s">
        <v>34</v>
      </c>
      <c r="J22" s="148">
        <v>8</v>
      </c>
      <c r="K22" s="92">
        <v>65.207999999999998</v>
      </c>
      <c r="L22" s="92">
        <f t="shared" ref="L22:L37" si="1">J22*K22</f>
        <v>521.66399999999999</v>
      </c>
      <c r="M22" s="181" t="s">
        <v>592</v>
      </c>
    </row>
    <row r="23" spans="1:13" s="161" customFormat="1" ht="26.4" x14ac:dyDescent="0.3">
      <c r="A23" s="155" t="s">
        <v>223</v>
      </c>
      <c r="B23" s="185" t="s">
        <v>224</v>
      </c>
      <c r="C23" s="155" t="s">
        <v>34</v>
      </c>
      <c r="D23" s="158">
        <v>8</v>
      </c>
      <c r="E23" s="158">
        <v>559.92999999999995</v>
      </c>
      <c r="F23" s="159">
        <f t="shared" si="0"/>
        <v>4479.4399999999996</v>
      </c>
      <c r="G23" s="240"/>
      <c r="H23" s="200"/>
      <c r="I23" s="200"/>
      <c r="J23" s="201"/>
      <c r="K23" s="165"/>
      <c r="L23" s="188">
        <f t="shared" si="1"/>
        <v>0</v>
      </c>
      <c r="M23" s="189" t="s">
        <v>593</v>
      </c>
    </row>
    <row r="24" spans="1:13" s="51" customFormat="1" x14ac:dyDescent="0.3">
      <c r="A24" s="66" t="s">
        <v>225</v>
      </c>
      <c r="B24" s="67" t="s">
        <v>42</v>
      </c>
      <c r="C24" s="66" t="s">
        <v>37</v>
      </c>
      <c r="D24" s="152">
        <v>0.16919999999999999</v>
      </c>
      <c r="E24" s="152">
        <v>116.66</v>
      </c>
      <c r="F24" s="98">
        <f t="shared" si="0"/>
        <v>19.738871999999997</v>
      </c>
      <c r="G24" s="197">
        <v>19138</v>
      </c>
      <c r="H24" s="147" t="s">
        <v>78</v>
      </c>
      <c r="I24" s="147" t="s">
        <v>37</v>
      </c>
      <c r="J24" s="148">
        <v>0.17</v>
      </c>
      <c r="K24" s="93">
        <v>68.75</v>
      </c>
      <c r="L24" s="92">
        <f t="shared" si="1"/>
        <v>11.6875</v>
      </c>
      <c r="M24" s="181" t="s">
        <v>592</v>
      </c>
    </row>
    <row r="25" spans="1:13" s="161" customFormat="1" x14ac:dyDescent="0.3">
      <c r="A25" s="155" t="s">
        <v>226</v>
      </c>
      <c r="B25" s="185" t="s">
        <v>43</v>
      </c>
      <c r="C25" s="155" t="s">
        <v>37</v>
      </c>
      <c r="D25" s="158">
        <v>0.41039999999999999</v>
      </c>
      <c r="E25" s="158">
        <v>166.66</v>
      </c>
      <c r="F25" s="159">
        <f t="shared" si="0"/>
        <v>68.397263999999993</v>
      </c>
      <c r="G25" s="241"/>
      <c r="H25" s="187"/>
      <c r="I25" s="187"/>
      <c r="J25" s="164"/>
      <c r="K25" s="165"/>
      <c r="L25" s="188">
        <f t="shared" si="1"/>
        <v>0</v>
      </c>
      <c r="M25" s="189" t="s">
        <v>593</v>
      </c>
    </row>
    <row r="26" spans="1:13" s="51" customFormat="1" ht="26.4" x14ac:dyDescent="0.3">
      <c r="A26" s="66"/>
      <c r="B26" s="142" t="s">
        <v>227</v>
      </c>
      <c r="C26" s="66"/>
      <c r="D26" s="152"/>
      <c r="E26" s="152"/>
      <c r="F26" s="98">
        <f t="shared" si="0"/>
        <v>0</v>
      </c>
      <c r="G26" s="236"/>
      <c r="H26" s="147"/>
      <c r="I26" s="147"/>
      <c r="J26" s="148"/>
      <c r="K26" s="93"/>
      <c r="L26" s="92">
        <f t="shared" si="1"/>
        <v>0</v>
      </c>
      <c r="M26" s="182"/>
    </row>
    <row r="27" spans="1:13" s="161" customFormat="1" x14ac:dyDescent="0.3">
      <c r="A27" s="155" t="s">
        <v>228</v>
      </c>
      <c r="B27" s="185" t="s">
        <v>229</v>
      </c>
      <c r="C27" s="155" t="s">
        <v>35</v>
      </c>
      <c r="D27" s="158">
        <v>0.34699999999999998</v>
      </c>
      <c r="E27" s="158">
        <v>49426.79</v>
      </c>
      <c r="F27" s="159">
        <f t="shared" si="0"/>
        <v>17151.096129999998</v>
      </c>
      <c r="G27" s="241"/>
      <c r="H27" s="187"/>
      <c r="I27" s="187"/>
      <c r="J27" s="164"/>
      <c r="K27" s="165"/>
      <c r="L27" s="188">
        <f t="shared" si="1"/>
        <v>0</v>
      </c>
      <c r="M27" s="189" t="s">
        <v>593</v>
      </c>
    </row>
    <row r="28" spans="1:13" s="161" customFormat="1" x14ac:dyDescent="0.3">
      <c r="A28" s="155" t="s">
        <v>230</v>
      </c>
      <c r="B28" s="185" t="s">
        <v>231</v>
      </c>
      <c r="C28" s="155" t="s">
        <v>35</v>
      </c>
      <c r="D28" s="158">
        <v>0.128</v>
      </c>
      <c r="E28" s="158">
        <v>30265.83</v>
      </c>
      <c r="F28" s="159">
        <f t="shared" si="0"/>
        <v>3874.0262400000001</v>
      </c>
      <c r="G28" s="242">
        <v>8880</v>
      </c>
      <c r="H28" s="200" t="s">
        <v>46</v>
      </c>
      <c r="I28" s="200" t="s">
        <v>35</v>
      </c>
      <c r="J28" s="243">
        <v>1.4E-2</v>
      </c>
      <c r="K28" s="165">
        <v>28815</v>
      </c>
      <c r="L28" s="188">
        <f t="shared" si="1"/>
        <v>403.41</v>
      </c>
      <c r="M28" s="189" t="s">
        <v>593</v>
      </c>
    </row>
    <row r="29" spans="1:13" s="161" customFormat="1" ht="26.4" x14ac:dyDescent="0.3">
      <c r="A29" s="155" t="s">
        <v>232</v>
      </c>
      <c r="B29" s="185" t="s">
        <v>233</v>
      </c>
      <c r="C29" s="155" t="s">
        <v>35</v>
      </c>
      <c r="D29" s="158">
        <v>1.6E-2</v>
      </c>
      <c r="E29" s="158">
        <v>28559.17</v>
      </c>
      <c r="F29" s="159">
        <f t="shared" si="0"/>
        <v>456.94671999999997</v>
      </c>
      <c r="G29" s="244"/>
      <c r="H29" s="165"/>
      <c r="I29" s="198"/>
      <c r="J29" s="198"/>
      <c r="K29" s="165"/>
      <c r="L29" s="188">
        <f t="shared" si="1"/>
        <v>0</v>
      </c>
      <c r="M29" s="189" t="s">
        <v>593</v>
      </c>
    </row>
    <row r="30" spans="1:13" s="51" customFormat="1" x14ac:dyDescent="0.3">
      <c r="A30" s="66" t="s">
        <v>65</v>
      </c>
      <c r="B30" s="67" t="s">
        <v>234</v>
      </c>
      <c r="C30" s="66" t="s">
        <v>35</v>
      </c>
      <c r="D30" s="152">
        <v>0.56000000000000005</v>
      </c>
      <c r="E30" s="152">
        <v>35280</v>
      </c>
      <c r="F30" s="98">
        <f t="shared" si="0"/>
        <v>19756.800000000003</v>
      </c>
      <c r="G30" s="238" t="s">
        <v>514</v>
      </c>
      <c r="H30" s="147" t="s">
        <v>515</v>
      </c>
      <c r="I30" s="147" t="s">
        <v>44</v>
      </c>
      <c r="J30" s="148">
        <v>0.56000000000000005</v>
      </c>
      <c r="K30" s="148">
        <v>32016.223999999998</v>
      </c>
      <c r="L30" s="148">
        <f>J30*K30</f>
        <v>17929.085440000003</v>
      </c>
      <c r="M30" s="182" t="s">
        <v>592</v>
      </c>
    </row>
    <row r="31" spans="1:13" s="51" customFormat="1" x14ac:dyDescent="0.3">
      <c r="A31" s="66" t="s">
        <v>66</v>
      </c>
      <c r="B31" s="67" t="s">
        <v>42</v>
      </c>
      <c r="C31" s="66" t="s">
        <v>37</v>
      </c>
      <c r="D31" s="152">
        <v>3.6</v>
      </c>
      <c r="E31" s="152">
        <v>116.66</v>
      </c>
      <c r="F31" s="98">
        <f t="shared" si="0"/>
        <v>419.976</v>
      </c>
      <c r="G31" s="237">
        <v>19138</v>
      </c>
      <c r="H31" s="93" t="s">
        <v>78</v>
      </c>
      <c r="I31" s="215" t="s">
        <v>37</v>
      </c>
      <c r="J31" s="154">
        <v>3.6</v>
      </c>
      <c r="K31" s="93">
        <v>68.75</v>
      </c>
      <c r="L31" s="92">
        <f t="shared" si="1"/>
        <v>247.5</v>
      </c>
      <c r="M31" s="181" t="s">
        <v>592</v>
      </c>
    </row>
    <row r="32" spans="1:13" s="161" customFormat="1" x14ac:dyDescent="0.3">
      <c r="A32" s="155" t="s">
        <v>67</v>
      </c>
      <c r="B32" s="185" t="s">
        <v>43</v>
      </c>
      <c r="C32" s="155" t="s">
        <v>37</v>
      </c>
      <c r="D32" s="158">
        <v>7.2</v>
      </c>
      <c r="E32" s="158">
        <v>166.66</v>
      </c>
      <c r="F32" s="159">
        <f t="shared" si="0"/>
        <v>1199.952</v>
      </c>
      <c r="G32" s="244"/>
      <c r="H32" s="165"/>
      <c r="I32" s="245"/>
      <c r="J32" s="169"/>
      <c r="K32" s="165"/>
      <c r="L32" s="188">
        <f t="shared" si="1"/>
        <v>0</v>
      </c>
      <c r="M32" s="189" t="s">
        <v>593</v>
      </c>
    </row>
    <row r="33" spans="1:16" s="51" customFormat="1" ht="26.4" x14ac:dyDescent="0.3">
      <c r="A33" s="66"/>
      <c r="B33" s="142" t="s">
        <v>235</v>
      </c>
      <c r="C33" s="66"/>
      <c r="D33" s="152"/>
      <c r="E33" s="152"/>
      <c r="F33" s="98">
        <f t="shared" si="0"/>
        <v>0</v>
      </c>
      <c r="G33" s="239"/>
      <c r="H33" s="214"/>
      <c r="I33" s="215"/>
      <c r="J33" s="154"/>
      <c r="K33" s="93"/>
      <c r="L33" s="92"/>
      <c r="M33" s="182"/>
    </row>
    <row r="34" spans="1:16" s="51" customFormat="1" ht="28.8" x14ac:dyDescent="0.3">
      <c r="A34" s="66" t="s">
        <v>236</v>
      </c>
      <c r="B34" s="67" t="s">
        <v>237</v>
      </c>
      <c r="C34" s="66" t="s">
        <v>34</v>
      </c>
      <c r="D34" s="152">
        <v>1</v>
      </c>
      <c r="E34" s="152">
        <v>73215.83</v>
      </c>
      <c r="F34" s="98">
        <f t="shared" si="0"/>
        <v>73215.83</v>
      </c>
      <c r="G34" s="238" t="s">
        <v>415</v>
      </c>
      <c r="H34" s="147" t="s">
        <v>416</v>
      </c>
      <c r="I34" s="147" t="s">
        <v>34</v>
      </c>
      <c r="J34" s="148">
        <v>1</v>
      </c>
      <c r="K34" s="148">
        <f>L34/J34</f>
        <v>71083.34</v>
      </c>
      <c r="L34" s="148">
        <v>71083.34</v>
      </c>
      <c r="M34" s="182" t="s">
        <v>592</v>
      </c>
    </row>
    <row r="35" spans="1:16" s="51" customFormat="1" x14ac:dyDescent="0.3">
      <c r="A35" s="66"/>
      <c r="B35" s="67"/>
      <c r="C35" s="66"/>
      <c r="D35" s="118"/>
      <c r="E35" s="57"/>
      <c r="F35" s="98">
        <f t="shared" si="0"/>
        <v>0</v>
      </c>
      <c r="G35" s="214"/>
      <c r="H35" s="214"/>
      <c r="I35" s="215"/>
      <c r="J35" s="154"/>
      <c r="K35" s="93"/>
      <c r="L35" s="92">
        <f t="shared" si="1"/>
        <v>0</v>
      </c>
      <c r="M35" s="182"/>
    </row>
    <row r="36" spans="1:16" s="51" customFormat="1" x14ac:dyDescent="0.3">
      <c r="A36" s="66"/>
      <c r="B36" s="67"/>
      <c r="C36" s="66"/>
      <c r="D36" s="118"/>
      <c r="E36" s="57"/>
      <c r="F36" s="98">
        <f t="shared" si="0"/>
        <v>0</v>
      </c>
      <c r="G36" s="214"/>
      <c r="H36" s="214"/>
      <c r="I36" s="215"/>
      <c r="J36" s="154"/>
      <c r="K36" s="93"/>
      <c r="L36" s="92">
        <f t="shared" si="1"/>
        <v>0</v>
      </c>
      <c r="M36" s="182"/>
    </row>
    <row r="37" spans="1:16" s="51" customFormat="1" x14ac:dyDescent="0.3">
      <c r="A37" s="66"/>
      <c r="B37" s="67"/>
      <c r="C37" s="66"/>
      <c r="D37" s="118"/>
      <c r="E37" s="57"/>
      <c r="F37" s="98">
        <f t="shared" si="0"/>
        <v>0</v>
      </c>
      <c r="G37" s="214"/>
      <c r="H37" s="214"/>
      <c r="I37" s="215"/>
      <c r="J37" s="154"/>
      <c r="K37" s="93"/>
      <c r="L37" s="92">
        <f t="shared" si="1"/>
        <v>0</v>
      </c>
      <c r="M37" s="182"/>
    </row>
    <row r="38" spans="1:16" ht="15.6" x14ac:dyDescent="0.3">
      <c r="A38" s="46"/>
      <c r="B38" s="47" t="s">
        <v>24</v>
      </c>
      <c r="C38" s="48"/>
      <c r="D38" s="49"/>
      <c r="E38" s="49"/>
      <c r="F38" s="50">
        <f>SUM(F21:F37)</f>
        <v>121289.723226</v>
      </c>
      <c r="G38" s="35"/>
      <c r="H38" s="34"/>
      <c r="I38" s="36"/>
      <c r="J38" s="33">
        <f>SUM(J21:J37)</f>
        <v>13.343999999999999</v>
      </c>
      <c r="K38" s="33"/>
      <c r="L38" s="45">
        <f>SUM(L21:L37)</f>
        <v>90196.68694</v>
      </c>
      <c r="M38" s="58"/>
    </row>
    <row r="39" spans="1:16" ht="16.2" thickBot="1" x14ac:dyDescent="0.35">
      <c r="A39" s="107"/>
      <c r="B39" s="108"/>
      <c r="C39" s="109"/>
      <c r="D39" s="110"/>
      <c r="E39" s="110"/>
      <c r="F39" s="110"/>
      <c r="G39" s="111"/>
      <c r="H39" s="112"/>
      <c r="I39" s="113"/>
      <c r="J39" s="114"/>
      <c r="K39" s="114"/>
      <c r="L39" s="114"/>
      <c r="M39" s="115"/>
    </row>
    <row r="40" spans="1:16" ht="15.6" customHeight="1" x14ac:dyDescent="0.3">
      <c r="A40" s="310" t="s">
        <v>38</v>
      </c>
      <c r="B40" s="311"/>
      <c r="C40" s="311"/>
      <c r="D40" s="311"/>
      <c r="E40" s="311"/>
      <c r="F40" s="311"/>
      <c r="G40" s="314" t="s">
        <v>26</v>
      </c>
      <c r="H40" s="314"/>
      <c r="I40" s="314"/>
      <c r="J40" s="314"/>
      <c r="K40" s="314"/>
      <c r="L40" s="314"/>
      <c r="M40" s="315"/>
    </row>
    <row r="41" spans="1:16" ht="15.6" customHeight="1" thickBot="1" x14ac:dyDescent="0.35">
      <c r="A41" s="312"/>
      <c r="B41" s="313"/>
      <c r="C41" s="313"/>
      <c r="D41" s="313"/>
      <c r="E41" s="313"/>
      <c r="F41" s="313"/>
      <c r="G41" s="316"/>
      <c r="H41" s="316"/>
      <c r="I41" s="316"/>
      <c r="J41" s="316"/>
      <c r="K41" s="316"/>
      <c r="L41" s="316"/>
      <c r="M41" s="317"/>
    </row>
    <row r="42" spans="1:16" x14ac:dyDescent="0.3">
      <c r="A42" s="56"/>
      <c r="B42" s="42"/>
      <c r="C42" s="38"/>
      <c r="D42" s="39"/>
      <c r="E42" s="57"/>
      <c r="F42" s="57"/>
      <c r="G42" s="121">
        <v>9198</v>
      </c>
      <c r="H42" s="121" t="s">
        <v>83</v>
      </c>
      <c r="I42" s="121" t="s">
        <v>34</v>
      </c>
      <c r="J42" s="122">
        <v>2</v>
      </c>
      <c r="K42" s="122">
        <v>718.43</v>
      </c>
      <c r="L42" s="131">
        <f>K42*J42</f>
        <v>1436.86</v>
      </c>
      <c r="M42" s="60"/>
    </row>
    <row r="43" spans="1:16" x14ac:dyDescent="0.3">
      <c r="A43" s="56"/>
      <c r="B43" s="42"/>
      <c r="C43" s="38"/>
      <c r="D43" s="39"/>
      <c r="E43" s="57"/>
      <c r="F43" s="57"/>
      <c r="G43" s="74"/>
      <c r="H43" s="71"/>
      <c r="I43" s="71"/>
      <c r="J43" s="72"/>
      <c r="K43" s="75"/>
      <c r="L43" s="73"/>
      <c r="M43" s="60"/>
    </row>
    <row r="44" spans="1:16" x14ac:dyDescent="0.3">
      <c r="A44" s="56"/>
      <c r="B44" s="42"/>
      <c r="C44" s="38"/>
      <c r="D44" s="39"/>
      <c r="E44" s="57"/>
      <c r="F44" s="57"/>
      <c r="G44" s="74"/>
      <c r="H44" s="71"/>
      <c r="I44" s="71"/>
      <c r="J44" s="72"/>
      <c r="K44" s="75"/>
      <c r="L44" s="75"/>
      <c r="M44" s="60"/>
    </row>
    <row r="45" spans="1:16" x14ac:dyDescent="0.3">
      <c r="A45" s="56"/>
      <c r="B45" s="42"/>
      <c r="C45" s="38"/>
      <c r="D45" s="39"/>
      <c r="E45" s="40"/>
      <c r="F45" s="41"/>
      <c r="G45" s="74"/>
      <c r="H45" s="71"/>
      <c r="I45" s="71"/>
      <c r="J45" s="72"/>
      <c r="K45" s="75"/>
      <c r="L45" s="75"/>
      <c r="M45" s="60"/>
      <c r="P45" s="44"/>
    </row>
    <row r="46" spans="1:16" x14ac:dyDescent="0.3">
      <c r="A46" s="56"/>
      <c r="B46" s="42"/>
      <c r="C46" s="38"/>
      <c r="D46" s="39"/>
      <c r="E46" s="40"/>
      <c r="F46" s="41"/>
      <c r="G46" s="74"/>
      <c r="H46" s="71"/>
      <c r="I46" s="71"/>
      <c r="J46" s="72"/>
      <c r="L46" s="73"/>
      <c r="M46" s="60"/>
      <c r="P46" s="44"/>
    </row>
    <row r="47" spans="1:16" ht="15" thickBot="1" x14ac:dyDescent="0.35">
      <c r="A47" s="56"/>
      <c r="B47" s="42"/>
      <c r="C47" s="38"/>
      <c r="D47" s="39"/>
      <c r="E47" s="40"/>
      <c r="F47" s="41"/>
      <c r="G47" s="61"/>
      <c r="H47" s="61"/>
      <c r="I47" s="61"/>
      <c r="J47" s="62"/>
      <c r="K47" s="62"/>
      <c r="L47" s="63"/>
      <c r="M47" s="60"/>
      <c r="P47" s="44"/>
    </row>
    <row r="48" spans="1:16" ht="21.6" thickBot="1" x14ac:dyDescent="0.35">
      <c r="A48" s="27"/>
      <c r="B48" s="28" t="s">
        <v>31</v>
      </c>
      <c r="C48" s="29"/>
      <c r="D48" s="30">
        <f>SUM(D42:D47)</f>
        <v>0</v>
      </c>
      <c r="E48" s="30"/>
      <c r="F48" s="31">
        <f>SUM(F42:F47)</f>
        <v>0</v>
      </c>
      <c r="G48" s="24"/>
      <c r="H48" s="25"/>
      <c r="I48" s="25"/>
      <c r="J48" s="26">
        <f>SUM(J42:J47)</f>
        <v>2</v>
      </c>
      <c r="K48" s="26"/>
      <c r="L48" s="26">
        <f>SUM(L42:L47)</f>
        <v>1436.86</v>
      </c>
      <c r="M48" s="14"/>
    </row>
    <row r="49" spans="1:16" ht="21.6" thickBot="1" x14ac:dyDescent="0.35">
      <c r="A49" s="15"/>
      <c r="B49" s="16" t="s">
        <v>32</v>
      </c>
      <c r="C49" s="17"/>
      <c r="D49" s="18">
        <f>D38+D48</f>
        <v>0</v>
      </c>
      <c r="E49" s="18"/>
      <c r="F49" s="19">
        <f>F38+F48</f>
        <v>121289.723226</v>
      </c>
      <c r="G49" s="20"/>
      <c r="H49" s="21"/>
      <c r="I49" s="21"/>
      <c r="J49" s="22">
        <f>J38+J48</f>
        <v>15.343999999999999</v>
      </c>
      <c r="K49" s="22"/>
      <c r="L49" s="22">
        <f>L38+L48</f>
        <v>91633.54694</v>
      </c>
      <c r="M49" s="23"/>
    </row>
    <row r="50" spans="1:16" ht="25.05" customHeight="1" x14ac:dyDescent="0.4">
      <c r="A50" s="298" t="s">
        <v>12</v>
      </c>
      <c r="B50" s="298"/>
      <c r="C50" s="298"/>
      <c r="D50" s="298"/>
      <c r="E50" s="298"/>
      <c r="F50" s="298"/>
      <c r="G50" s="298"/>
      <c r="H50" s="298"/>
      <c r="I50" s="298"/>
      <c r="J50" s="85"/>
      <c r="K50" s="85"/>
      <c r="L50" s="85"/>
      <c r="M50" s="7"/>
    </row>
    <row r="51" spans="1:16" ht="25.05" customHeight="1" x14ac:dyDescent="0.4">
      <c r="A51" s="288" t="s">
        <v>13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43">
        <f>L48*100/L38</f>
        <v>1.5930296873939702</v>
      </c>
      <c r="M51" s="7"/>
    </row>
    <row r="52" spans="1:16" ht="25.05" customHeight="1" x14ac:dyDescent="0.4">
      <c r="A52" s="289" t="s">
        <v>14</v>
      </c>
      <c r="B52" s="289"/>
      <c r="C52" s="289"/>
      <c r="D52" s="289"/>
      <c r="E52" s="289"/>
      <c r="F52" s="289"/>
      <c r="G52" s="289"/>
      <c r="H52" s="289"/>
      <c r="I52" s="289"/>
      <c r="J52" s="86"/>
      <c r="K52" s="86"/>
      <c r="L52" s="86"/>
      <c r="M52" s="7"/>
    </row>
    <row r="53" spans="1:16" ht="25.05" customHeight="1" x14ac:dyDescent="0.4">
      <c r="A53" s="288" t="s">
        <v>15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16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17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18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17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288" t="s">
        <v>19</v>
      </c>
      <c r="B58" s="288"/>
      <c r="C58" s="288"/>
      <c r="D58" s="288"/>
      <c r="E58" s="288"/>
      <c r="F58" s="288"/>
      <c r="G58" s="288"/>
      <c r="H58" s="288"/>
      <c r="I58" s="288"/>
      <c r="J58" s="84"/>
      <c r="K58" s="84"/>
      <c r="L58" s="84"/>
      <c r="M58" s="7"/>
    </row>
    <row r="59" spans="1:16" ht="25.05" customHeight="1" x14ac:dyDescent="0.4">
      <c r="A59" s="288" t="s">
        <v>11</v>
      </c>
      <c r="B59" s="288"/>
      <c r="C59" s="288"/>
      <c r="D59" s="288"/>
      <c r="E59" s="288"/>
      <c r="F59" s="288"/>
      <c r="G59" s="288"/>
      <c r="H59" s="288"/>
      <c r="I59" s="288"/>
      <c r="J59" s="84"/>
      <c r="K59" s="84"/>
      <c r="L59" s="84"/>
      <c r="M59" s="7"/>
    </row>
    <row r="60" spans="1:16" ht="25.05" customHeight="1" x14ac:dyDescent="0.4">
      <c r="A60" s="288" t="s">
        <v>20</v>
      </c>
      <c r="B60" s="288"/>
      <c r="C60" s="288"/>
      <c r="D60" s="288"/>
      <c r="E60" s="288"/>
      <c r="F60" s="288"/>
      <c r="G60" s="288"/>
      <c r="H60" s="288"/>
      <c r="I60" s="288"/>
      <c r="J60" s="84"/>
      <c r="K60" s="84"/>
      <c r="L60" s="84"/>
      <c r="M60" s="7"/>
    </row>
    <row r="61" spans="1:16" ht="25.05" customHeight="1" x14ac:dyDescent="0.4">
      <c r="A61" s="318" t="s">
        <v>33</v>
      </c>
      <c r="B61" s="318"/>
      <c r="C61" s="318"/>
      <c r="D61" s="318"/>
      <c r="E61" s="318"/>
      <c r="F61" s="318"/>
      <c r="G61" s="318"/>
      <c r="H61" s="318"/>
      <c r="I61" s="318"/>
      <c r="J61" s="87"/>
      <c r="K61" s="87"/>
      <c r="L61" s="87"/>
      <c r="M61" s="7"/>
    </row>
    <row r="62" spans="1:16" s="5" customFormat="1" ht="36" customHeight="1" x14ac:dyDescent="0.3">
      <c r="B62"/>
      <c r="H62"/>
      <c r="I62" s="6"/>
      <c r="J62" s="6"/>
      <c r="K62" s="6"/>
      <c r="L62" s="6"/>
      <c r="M62"/>
      <c r="N62"/>
      <c r="O62"/>
      <c r="P62"/>
    </row>
  </sheetData>
  <mergeCells count="33">
    <mergeCell ref="H17:L17"/>
    <mergeCell ref="M17:M18"/>
    <mergeCell ref="A40:F41"/>
    <mergeCell ref="G40:M41"/>
    <mergeCell ref="A61:I61"/>
    <mergeCell ref="A55:I55"/>
    <mergeCell ref="A57:I57"/>
    <mergeCell ref="A58:I58"/>
    <mergeCell ref="A59:I59"/>
    <mergeCell ref="A60:I60"/>
    <mergeCell ref="A56:I56"/>
    <mergeCell ref="A51:I51"/>
    <mergeCell ref="A52:I52"/>
    <mergeCell ref="A53:I53"/>
    <mergeCell ref="A54:I54"/>
    <mergeCell ref="A13:M13"/>
    <mergeCell ref="A14:M14"/>
    <mergeCell ref="A15:L15"/>
    <mergeCell ref="A16:F16"/>
    <mergeCell ref="G16:M16"/>
    <mergeCell ref="A50:I50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topLeftCell="A15" zoomScale="60" zoomScaleNormal="60" workbookViewId="0">
      <selection activeCell="C24" sqref="C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128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211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 t="s">
        <v>212</v>
      </c>
      <c r="B21" s="67" t="s">
        <v>167</v>
      </c>
      <c r="C21" s="65" t="s">
        <v>56</v>
      </c>
      <c r="D21" s="235">
        <v>2</v>
      </c>
      <c r="E21" s="235">
        <v>188.3</v>
      </c>
      <c r="F21" s="98">
        <f>D21*E21</f>
        <v>376.6</v>
      </c>
      <c r="G21" s="120"/>
      <c r="H21" s="121"/>
      <c r="I21" s="121"/>
      <c r="J21" s="148"/>
      <c r="K21" s="92"/>
      <c r="L21" s="92">
        <f>J21*K21</f>
        <v>0</v>
      </c>
      <c r="M21" s="181" t="s">
        <v>609</v>
      </c>
    </row>
    <row r="22" spans="1:13" s="51" customFormat="1" ht="26.4" x14ac:dyDescent="0.3">
      <c r="A22" s="66" t="s">
        <v>132</v>
      </c>
      <c r="B22" s="67" t="s">
        <v>169</v>
      </c>
      <c r="C22" s="65" t="s">
        <v>56</v>
      </c>
      <c r="D22" s="235">
        <v>2</v>
      </c>
      <c r="E22" s="235">
        <v>335.34</v>
      </c>
      <c r="F22" s="98">
        <f t="shared" ref="F22:F31" si="0">D22*E22</f>
        <v>670.68</v>
      </c>
      <c r="G22" s="120"/>
      <c r="H22" s="121"/>
      <c r="I22" s="121"/>
      <c r="J22" s="148"/>
      <c r="K22" s="92"/>
      <c r="L22" s="92">
        <f t="shared" ref="L22:L31" si="1">J22*K22</f>
        <v>0</v>
      </c>
      <c r="M22" s="181" t="s">
        <v>609</v>
      </c>
    </row>
    <row r="23" spans="1:13" s="51" customFormat="1" x14ac:dyDescent="0.3">
      <c r="A23" s="66" t="s">
        <v>55</v>
      </c>
      <c r="B23" s="67" t="s">
        <v>213</v>
      </c>
      <c r="C23" s="65" t="s">
        <v>56</v>
      </c>
      <c r="D23" s="235">
        <v>2</v>
      </c>
      <c r="E23" s="235">
        <v>66.94</v>
      </c>
      <c r="F23" s="98">
        <f t="shared" si="0"/>
        <v>133.88</v>
      </c>
      <c r="G23" s="125"/>
      <c r="H23" s="126"/>
      <c r="I23" s="126"/>
      <c r="J23" s="153"/>
      <c r="K23" s="93"/>
      <c r="L23" s="92">
        <f t="shared" si="1"/>
        <v>0</v>
      </c>
      <c r="M23" s="181" t="s">
        <v>609</v>
      </c>
    </row>
    <row r="24" spans="1:13" s="51" customFormat="1" ht="26.4" x14ac:dyDescent="0.3">
      <c r="A24" s="66"/>
      <c r="B24" s="142" t="s">
        <v>218</v>
      </c>
      <c r="C24" s="66"/>
      <c r="D24" s="152"/>
      <c r="E24" s="152"/>
      <c r="F24" s="98">
        <f t="shared" si="0"/>
        <v>0</v>
      </c>
      <c r="G24" s="120"/>
      <c r="H24" s="121"/>
      <c r="I24" s="121"/>
      <c r="J24" s="148"/>
      <c r="K24" s="93"/>
      <c r="L24" s="92">
        <f t="shared" si="1"/>
        <v>0</v>
      </c>
      <c r="M24" s="182"/>
    </row>
    <row r="25" spans="1:13" s="51" customFormat="1" ht="26.4" x14ac:dyDescent="0.3">
      <c r="A25" s="66" t="s">
        <v>214</v>
      </c>
      <c r="B25" s="67" t="s">
        <v>215</v>
      </c>
      <c r="C25" s="65" t="s">
        <v>56</v>
      </c>
      <c r="D25" s="235">
        <v>2</v>
      </c>
      <c r="E25" s="235">
        <v>121.87</v>
      </c>
      <c r="F25" s="98">
        <f t="shared" si="0"/>
        <v>243.74</v>
      </c>
      <c r="G25" s="120"/>
      <c r="H25" s="121"/>
      <c r="I25" s="121"/>
      <c r="J25" s="148"/>
      <c r="K25" s="93"/>
      <c r="L25" s="92">
        <f t="shared" si="1"/>
        <v>0</v>
      </c>
      <c r="M25" s="181" t="s">
        <v>609</v>
      </c>
    </row>
    <row r="26" spans="1:13" s="51" customFormat="1" ht="26.4" x14ac:dyDescent="0.3">
      <c r="A26" s="66" t="s">
        <v>216</v>
      </c>
      <c r="B26" s="67" t="s">
        <v>217</v>
      </c>
      <c r="C26" s="65" t="s">
        <v>56</v>
      </c>
      <c r="D26" s="235">
        <v>2</v>
      </c>
      <c r="E26" s="235">
        <v>246.1</v>
      </c>
      <c r="F26" s="98">
        <f t="shared" si="0"/>
        <v>492.2</v>
      </c>
      <c r="G26" s="120"/>
      <c r="H26" s="121"/>
      <c r="I26" s="121"/>
      <c r="J26" s="148"/>
      <c r="K26" s="93"/>
      <c r="L26" s="92">
        <f t="shared" si="1"/>
        <v>0</v>
      </c>
      <c r="M26" s="181" t="s">
        <v>609</v>
      </c>
    </row>
    <row r="27" spans="1:13" s="51" customFormat="1" x14ac:dyDescent="0.3">
      <c r="A27" s="66" t="s">
        <v>219</v>
      </c>
      <c r="B27" s="67" t="s">
        <v>213</v>
      </c>
      <c r="C27" s="65" t="s">
        <v>56</v>
      </c>
      <c r="D27" s="235">
        <v>2</v>
      </c>
      <c r="E27" s="235">
        <v>66.94</v>
      </c>
      <c r="F27" s="98">
        <f t="shared" si="0"/>
        <v>133.88</v>
      </c>
      <c r="G27" s="120"/>
      <c r="H27" s="121"/>
      <c r="I27" s="121"/>
      <c r="J27" s="148"/>
      <c r="K27" s="93"/>
      <c r="L27" s="92">
        <f t="shared" si="1"/>
        <v>0</v>
      </c>
      <c r="M27" s="181" t="s">
        <v>609</v>
      </c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25"/>
      <c r="H28" s="126"/>
      <c r="I28" s="126"/>
      <c r="J28" s="153"/>
      <c r="K28" s="93"/>
      <c r="L28" s="92">
        <f t="shared" si="1"/>
        <v>0</v>
      </c>
      <c r="M28" s="182"/>
    </row>
    <row r="29" spans="1:13" s="51" customFormat="1" x14ac:dyDescent="0.3">
      <c r="A29" s="66"/>
      <c r="B29" s="67"/>
      <c r="C29" s="66"/>
      <c r="D29" s="118"/>
      <c r="E29" s="57"/>
      <c r="F29" s="98">
        <f t="shared" si="0"/>
        <v>0</v>
      </c>
      <c r="G29" s="90"/>
      <c r="H29" s="91"/>
      <c r="I29" s="76"/>
      <c r="J29" s="182"/>
      <c r="K29" s="93"/>
      <c r="L29" s="92">
        <f t="shared" si="1"/>
        <v>0</v>
      </c>
      <c r="M29" s="182"/>
    </row>
    <row r="30" spans="1:13" s="51" customFormat="1" x14ac:dyDescent="0.3">
      <c r="A30" s="66"/>
      <c r="B30" s="67"/>
      <c r="C30" s="66"/>
      <c r="D30" s="119"/>
      <c r="E30" s="57"/>
      <c r="F30" s="98">
        <f t="shared" si="0"/>
        <v>0</v>
      </c>
      <c r="G30" s="90"/>
      <c r="H30" s="91"/>
      <c r="I30" s="76"/>
      <c r="J30" s="182"/>
      <c r="K30" s="93"/>
      <c r="L30" s="92">
        <f t="shared" si="1"/>
        <v>0</v>
      </c>
      <c r="M30" s="182"/>
    </row>
    <row r="31" spans="1:13" s="51" customFormat="1" x14ac:dyDescent="0.3">
      <c r="A31" s="66"/>
      <c r="B31" s="67"/>
      <c r="C31" s="66"/>
      <c r="D31" s="118"/>
      <c r="E31" s="57"/>
      <c r="F31" s="98">
        <f t="shared" si="0"/>
        <v>0</v>
      </c>
      <c r="G31" s="90"/>
      <c r="H31" s="91"/>
      <c r="I31" s="101"/>
      <c r="J31" s="154"/>
      <c r="K31" s="93"/>
      <c r="L31" s="92">
        <f t="shared" si="1"/>
        <v>0</v>
      </c>
      <c r="M31" s="198"/>
    </row>
    <row r="32" spans="1:13" ht="15.6" x14ac:dyDescent="0.3">
      <c r="A32" s="46"/>
      <c r="B32" s="47" t="s">
        <v>24</v>
      </c>
      <c r="C32" s="48"/>
      <c r="D32" s="49"/>
      <c r="E32" s="49"/>
      <c r="F32" s="50">
        <f>SUM(F21:F31)</f>
        <v>2050.98</v>
      </c>
      <c r="G32" s="35"/>
      <c r="H32" s="34"/>
      <c r="I32" s="36"/>
      <c r="J32" s="33">
        <f>SUM(J21:J31)</f>
        <v>0</v>
      </c>
      <c r="K32" s="33"/>
      <c r="L32" s="45">
        <f>SUM(L21:L31)</f>
        <v>0</v>
      </c>
      <c r="M32" s="58"/>
    </row>
    <row r="33" spans="1:16" ht="16.2" thickBot="1" x14ac:dyDescent="0.35">
      <c r="A33" s="107"/>
      <c r="B33" s="108" t="s">
        <v>52</v>
      </c>
      <c r="C33" s="109"/>
      <c r="D33" s="110"/>
      <c r="E33" s="110"/>
      <c r="F33" s="110">
        <v>37193</v>
      </c>
      <c r="G33" s="111"/>
      <c r="H33" s="112"/>
      <c r="I33" s="113"/>
      <c r="J33" s="114"/>
      <c r="K33" s="114"/>
      <c r="L33" s="114"/>
      <c r="M33" s="115"/>
    </row>
    <row r="34" spans="1:16" ht="15.6" customHeight="1" x14ac:dyDescent="0.3">
      <c r="A34" s="310" t="s">
        <v>38</v>
      </c>
      <c r="B34" s="311"/>
      <c r="C34" s="311"/>
      <c r="D34" s="311"/>
      <c r="E34" s="311"/>
      <c r="F34" s="311"/>
      <c r="G34" s="314" t="s">
        <v>26</v>
      </c>
      <c r="H34" s="314"/>
      <c r="I34" s="314"/>
      <c r="J34" s="314"/>
      <c r="K34" s="314"/>
      <c r="L34" s="314"/>
      <c r="M34" s="315"/>
    </row>
    <row r="35" spans="1:16" ht="15.6" customHeight="1" thickBot="1" x14ac:dyDescent="0.35">
      <c r="A35" s="312"/>
      <c r="B35" s="313"/>
      <c r="C35" s="313"/>
      <c r="D35" s="313"/>
      <c r="E35" s="313"/>
      <c r="F35" s="313"/>
      <c r="G35" s="316"/>
      <c r="H35" s="316"/>
      <c r="I35" s="316"/>
      <c r="J35" s="316"/>
      <c r="K35" s="316"/>
      <c r="L35" s="316"/>
      <c r="M35" s="317"/>
    </row>
    <row r="36" spans="1:16" x14ac:dyDescent="0.3">
      <c r="A36" s="56"/>
      <c r="B36" s="42"/>
      <c r="C36" s="38"/>
      <c r="D36" s="39"/>
      <c r="E36" s="57"/>
      <c r="F36" s="57"/>
      <c r="G36" s="74"/>
      <c r="H36" s="71"/>
      <c r="I36" s="71"/>
      <c r="J36" s="72"/>
      <c r="K36" s="75"/>
      <c r="L36" s="75"/>
      <c r="M36" s="60"/>
    </row>
    <row r="37" spans="1:16" x14ac:dyDescent="0.3">
      <c r="A37" s="56"/>
      <c r="B37" s="42"/>
      <c r="C37" s="38"/>
      <c r="D37" s="39"/>
      <c r="E37" s="57"/>
      <c r="F37" s="57"/>
      <c r="G37" s="74"/>
      <c r="H37" s="71"/>
      <c r="I37" s="71"/>
      <c r="J37" s="72"/>
      <c r="K37" s="75"/>
      <c r="L37" s="73"/>
      <c r="M37" s="60"/>
    </row>
    <row r="38" spans="1:16" x14ac:dyDescent="0.3">
      <c r="A38" s="56"/>
      <c r="B38" s="42"/>
      <c r="C38" s="38"/>
      <c r="D38" s="39"/>
      <c r="E38" s="57"/>
      <c r="F38" s="57"/>
      <c r="G38" s="74"/>
      <c r="H38" s="71"/>
      <c r="I38" s="71"/>
      <c r="J38" s="72"/>
      <c r="K38" s="75"/>
      <c r="L38" s="75"/>
      <c r="M38" s="60"/>
    </row>
    <row r="39" spans="1:16" x14ac:dyDescent="0.3">
      <c r="A39" s="56"/>
      <c r="B39" s="42"/>
      <c r="C39" s="38"/>
      <c r="D39" s="39"/>
      <c r="E39" s="57"/>
      <c r="F39" s="57"/>
      <c r="G39" s="74"/>
      <c r="H39" s="71"/>
      <c r="I39" s="71"/>
      <c r="J39" s="72"/>
      <c r="K39" s="75"/>
      <c r="L39" s="75"/>
      <c r="M39" s="60"/>
      <c r="P39" s="44"/>
    </row>
    <row r="40" spans="1:16" x14ac:dyDescent="0.3">
      <c r="A40" s="56"/>
      <c r="B40" s="42"/>
      <c r="C40" s="38"/>
      <c r="D40" s="39"/>
      <c r="E40" s="57"/>
      <c r="F40" s="57"/>
      <c r="G40" s="74"/>
      <c r="H40" s="71"/>
      <c r="I40" s="71"/>
      <c r="J40" s="72"/>
      <c r="K40" s="75"/>
      <c r="L40" s="75"/>
      <c r="M40" s="60"/>
      <c r="P40" s="44"/>
    </row>
    <row r="41" spans="1:16" x14ac:dyDescent="0.3">
      <c r="A41" s="56"/>
      <c r="B41" s="55"/>
      <c r="C41" s="59"/>
      <c r="D41" s="59"/>
      <c r="E41" s="59"/>
      <c r="F41" s="59"/>
      <c r="G41" s="74"/>
      <c r="H41" s="71"/>
      <c r="I41" s="71"/>
      <c r="J41" s="72"/>
      <c r="K41" s="75"/>
      <c r="L41" s="75"/>
      <c r="M41" s="60"/>
      <c r="P41" s="44"/>
    </row>
    <row r="42" spans="1:16" x14ac:dyDescent="0.3">
      <c r="A42" s="56"/>
      <c r="B42" s="42"/>
      <c r="C42" s="38"/>
      <c r="D42" s="39"/>
      <c r="E42" s="40"/>
      <c r="F42" s="41"/>
      <c r="G42" s="74"/>
      <c r="H42" s="71"/>
      <c r="I42" s="71"/>
      <c r="J42" s="72"/>
      <c r="K42" s="75"/>
      <c r="L42" s="75"/>
      <c r="M42" s="60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K43" s="75"/>
      <c r="L43" s="75"/>
      <c r="M43" s="60"/>
    </row>
    <row r="44" spans="1:16" x14ac:dyDescent="0.3">
      <c r="A44" s="56"/>
      <c r="B44" s="42"/>
      <c r="C44" s="38"/>
      <c r="D44" s="39"/>
      <c r="E44" s="40"/>
      <c r="F44" s="41"/>
      <c r="G44" s="74"/>
      <c r="H44" s="71"/>
      <c r="I44" s="71"/>
      <c r="J44" s="72"/>
      <c r="K44" s="75"/>
      <c r="L44" s="75"/>
      <c r="M44" s="60"/>
    </row>
    <row r="45" spans="1:16" x14ac:dyDescent="0.3">
      <c r="A45" s="56"/>
      <c r="B45" s="42"/>
      <c r="C45" s="38"/>
      <c r="D45" s="39"/>
      <c r="E45" s="40"/>
      <c r="F45" s="41"/>
      <c r="G45" s="74"/>
      <c r="H45" s="71"/>
      <c r="I45" s="71"/>
      <c r="J45" s="72"/>
      <c r="K45" s="75"/>
      <c r="L45" s="75"/>
      <c r="M45" s="60"/>
    </row>
    <row r="46" spans="1:16" x14ac:dyDescent="0.3">
      <c r="A46" s="56"/>
      <c r="B46" s="42"/>
      <c r="C46" s="38"/>
      <c r="D46" s="39"/>
      <c r="E46" s="40"/>
      <c r="F46" s="41"/>
      <c r="G46" s="74"/>
      <c r="H46" s="71"/>
      <c r="I46" s="71"/>
      <c r="J46" s="72"/>
      <c r="K46" s="75"/>
      <c r="L46" s="75"/>
      <c r="M46" s="60"/>
      <c r="P46" s="44"/>
    </row>
    <row r="47" spans="1:16" x14ac:dyDescent="0.3">
      <c r="A47" s="56"/>
      <c r="B47" s="42"/>
      <c r="C47" s="38"/>
      <c r="D47" s="39"/>
      <c r="E47" s="40"/>
      <c r="F47" s="41"/>
      <c r="G47" s="74"/>
      <c r="H47" s="71"/>
      <c r="I47" s="71"/>
      <c r="J47" s="72"/>
      <c r="K47" s="75"/>
      <c r="L47" s="75"/>
      <c r="M47" s="60"/>
      <c r="P47" s="44"/>
    </row>
    <row r="48" spans="1:16" x14ac:dyDescent="0.3">
      <c r="A48" s="56"/>
      <c r="B48" s="42"/>
      <c r="C48" s="38"/>
      <c r="D48" s="39"/>
      <c r="E48" s="40"/>
      <c r="F48" s="41"/>
      <c r="G48" s="74"/>
      <c r="H48" s="71"/>
      <c r="I48" s="71"/>
      <c r="J48" s="72"/>
      <c r="L48" s="73"/>
      <c r="M48" s="60"/>
      <c r="P48" s="44"/>
    </row>
    <row r="49" spans="1:16" ht="15" thickBot="1" x14ac:dyDescent="0.35">
      <c r="A49" s="56"/>
      <c r="B49" s="42"/>
      <c r="C49" s="38"/>
      <c r="D49" s="39"/>
      <c r="E49" s="40"/>
      <c r="F49" s="41"/>
      <c r="G49" s="61"/>
      <c r="H49" s="61"/>
      <c r="I49" s="61"/>
      <c r="J49" s="62"/>
      <c r="K49" s="62"/>
      <c r="L49" s="63"/>
      <c r="M49" s="60"/>
      <c r="P49" s="44"/>
    </row>
    <row r="50" spans="1:16" ht="21.6" thickBot="1" x14ac:dyDescent="0.35">
      <c r="A50" s="27"/>
      <c r="B50" s="28" t="s">
        <v>31</v>
      </c>
      <c r="C50" s="29"/>
      <c r="D50" s="30">
        <f>SUM(D36:D49)</f>
        <v>0</v>
      </c>
      <c r="E50" s="30"/>
      <c r="F50" s="31">
        <f>SUM(F36:F49)</f>
        <v>0</v>
      </c>
      <c r="G50" s="24"/>
      <c r="H50" s="25"/>
      <c r="I50" s="25"/>
      <c r="J50" s="26">
        <f>SUM(J36:J49)</f>
        <v>0</v>
      </c>
      <c r="K50" s="26"/>
      <c r="L50" s="26">
        <f>SUM(L36:L49)</f>
        <v>0</v>
      </c>
      <c r="M50" s="14"/>
    </row>
    <row r="51" spans="1:16" ht="21.6" thickBot="1" x14ac:dyDescent="0.35">
      <c r="A51" s="15"/>
      <c r="B51" s="16" t="s">
        <v>32</v>
      </c>
      <c r="C51" s="17"/>
      <c r="D51" s="18">
        <f>D32+D50</f>
        <v>0</v>
      </c>
      <c r="E51" s="18"/>
      <c r="F51" s="19">
        <f>F32+F50</f>
        <v>2050.98</v>
      </c>
      <c r="G51" s="20"/>
      <c r="H51" s="21"/>
      <c r="I51" s="21"/>
      <c r="J51" s="22">
        <f>J32+J50</f>
        <v>0</v>
      </c>
      <c r="K51" s="22"/>
      <c r="L51" s="22">
        <f>L32+L50</f>
        <v>0</v>
      </c>
      <c r="M51" s="23"/>
    </row>
    <row r="52" spans="1:16" ht="25.05" customHeight="1" x14ac:dyDescent="0.4">
      <c r="A52" s="298" t="s">
        <v>12</v>
      </c>
      <c r="B52" s="298"/>
      <c r="C52" s="298"/>
      <c r="D52" s="298"/>
      <c r="E52" s="298"/>
      <c r="F52" s="298"/>
      <c r="G52" s="298"/>
      <c r="H52" s="298"/>
      <c r="I52" s="298"/>
      <c r="J52" s="85"/>
      <c r="K52" s="85"/>
      <c r="L52" s="85"/>
      <c r="M52" s="7"/>
    </row>
    <row r="53" spans="1:16" ht="25.05" customHeight="1" x14ac:dyDescent="0.4">
      <c r="A53" s="288" t="s">
        <v>13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43" t="e">
        <f>L50*100/L32</f>
        <v>#DIV/0!</v>
      </c>
      <c r="M53" s="7"/>
    </row>
    <row r="54" spans="1:16" ht="25.05" customHeight="1" x14ac:dyDescent="0.4">
      <c r="A54" s="289" t="s">
        <v>14</v>
      </c>
      <c r="B54" s="289"/>
      <c r="C54" s="289"/>
      <c r="D54" s="289"/>
      <c r="E54" s="289"/>
      <c r="F54" s="289"/>
      <c r="G54" s="289"/>
      <c r="H54" s="289"/>
      <c r="I54" s="289"/>
      <c r="J54" s="86"/>
      <c r="K54" s="86"/>
      <c r="L54" s="86"/>
      <c r="M54" s="7"/>
    </row>
    <row r="55" spans="1:16" ht="25.05" customHeight="1" x14ac:dyDescent="0.4">
      <c r="A55" s="288" t="s">
        <v>15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16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17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288" t="s">
        <v>18</v>
      </c>
      <c r="B58" s="288"/>
      <c r="C58" s="288"/>
      <c r="D58" s="288"/>
      <c r="E58" s="288"/>
      <c r="F58" s="288"/>
      <c r="G58" s="288"/>
      <c r="H58" s="288"/>
      <c r="I58" s="288"/>
      <c r="J58" s="84"/>
      <c r="K58" s="84"/>
      <c r="L58" s="84"/>
      <c r="M58" s="7"/>
    </row>
    <row r="59" spans="1:16" ht="25.05" customHeight="1" x14ac:dyDescent="0.4">
      <c r="A59" s="288" t="s">
        <v>17</v>
      </c>
      <c r="B59" s="288"/>
      <c r="C59" s="288"/>
      <c r="D59" s="288"/>
      <c r="E59" s="288"/>
      <c r="F59" s="288"/>
      <c r="G59" s="288"/>
      <c r="H59" s="288"/>
      <c r="I59" s="288"/>
      <c r="J59" s="84"/>
      <c r="K59" s="84"/>
      <c r="L59" s="84"/>
      <c r="M59" s="7"/>
    </row>
    <row r="60" spans="1:16" ht="25.05" customHeight="1" x14ac:dyDescent="0.4">
      <c r="A60" s="288" t="s">
        <v>19</v>
      </c>
      <c r="B60" s="288"/>
      <c r="C60" s="288"/>
      <c r="D60" s="288"/>
      <c r="E60" s="288"/>
      <c r="F60" s="288"/>
      <c r="G60" s="288"/>
      <c r="H60" s="288"/>
      <c r="I60" s="288"/>
      <c r="J60" s="84"/>
      <c r="K60" s="84"/>
      <c r="L60" s="84"/>
      <c r="M60" s="7"/>
    </row>
    <row r="61" spans="1:16" ht="25.05" customHeight="1" x14ac:dyDescent="0.4">
      <c r="A61" s="288" t="s">
        <v>11</v>
      </c>
      <c r="B61" s="288"/>
      <c r="C61" s="288"/>
      <c r="D61" s="288"/>
      <c r="E61" s="288"/>
      <c r="F61" s="288"/>
      <c r="G61" s="288"/>
      <c r="H61" s="288"/>
      <c r="I61" s="288"/>
      <c r="J61" s="84"/>
      <c r="K61" s="84"/>
      <c r="L61" s="84"/>
      <c r="M61" s="7"/>
    </row>
    <row r="62" spans="1:16" ht="25.05" customHeight="1" x14ac:dyDescent="0.4">
      <c r="A62" s="288" t="s">
        <v>20</v>
      </c>
      <c r="B62" s="288"/>
      <c r="C62" s="288"/>
      <c r="D62" s="288"/>
      <c r="E62" s="288"/>
      <c r="F62" s="288"/>
      <c r="G62" s="288"/>
      <c r="H62" s="288"/>
      <c r="I62" s="288"/>
      <c r="J62" s="84"/>
      <c r="K62" s="84"/>
      <c r="L62" s="84"/>
      <c r="M62" s="7"/>
    </row>
    <row r="63" spans="1:16" ht="25.05" customHeight="1" x14ac:dyDescent="0.4">
      <c r="A63" s="318" t="s">
        <v>33</v>
      </c>
      <c r="B63" s="318"/>
      <c r="C63" s="318"/>
      <c r="D63" s="318"/>
      <c r="E63" s="318"/>
      <c r="F63" s="318"/>
      <c r="G63" s="318"/>
      <c r="H63" s="318"/>
      <c r="I63" s="318"/>
      <c r="J63" s="87"/>
      <c r="K63" s="87"/>
      <c r="L63" s="87"/>
      <c r="M63" s="7"/>
    </row>
    <row r="64" spans="1:16" s="5" customFormat="1" ht="36" customHeight="1" x14ac:dyDescent="0.3">
      <c r="B64"/>
      <c r="H64"/>
      <c r="I64" s="6"/>
      <c r="J64" s="6"/>
      <c r="K64" s="6"/>
      <c r="L64" s="6"/>
      <c r="M64"/>
      <c r="N64"/>
      <c r="O64"/>
      <c r="P64"/>
    </row>
  </sheetData>
  <mergeCells count="33">
    <mergeCell ref="H17:L17"/>
    <mergeCell ref="M17:M18"/>
    <mergeCell ref="A34:F35"/>
    <mergeCell ref="G34:M35"/>
    <mergeCell ref="A63:I63"/>
    <mergeCell ref="A57:I57"/>
    <mergeCell ref="A59:I59"/>
    <mergeCell ref="A60:I60"/>
    <mergeCell ref="A61:I61"/>
    <mergeCell ref="A62:I62"/>
    <mergeCell ref="A58:I58"/>
    <mergeCell ref="A53:I53"/>
    <mergeCell ref="A54:I54"/>
    <mergeCell ref="A55:I55"/>
    <mergeCell ref="A56:I56"/>
    <mergeCell ref="A13:M13"/>
    <mergeCell ref="A14:M14"/>
    <mergeCell ref="A15:L15"/>
    <mergeCell ref="A16:F16"/>
    <mergeCell ref="G16:M16"/>
    <mergeCell ref="A52:I52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0"/>
  <sheetViews>
    <sheetView topLeftCell="A12" zoomScale="70" zoomScaleNormal="70" workbookViewId="0">
      <selection activeCell="M24" sqref="M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128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205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42" t="s">
        <v>206</v>
      </c>
      <c r="C21" s="66"/>
      <c r="D21" s="118"/>
      <c r="E21" s="57"/>
      <c r="F21" s="98">
        <f>D21*E21</f>
        <v>0</v>
      </c>
      <c r="G21" s="120"/>
      <c r="H21" s="147"/>
      <c r="I21" s="147"/>
      <c r="J21" s="148"/>
      <c r="K21" s="92"/>
      <c r="L21" s="92"/>
      <c r="M21" s="13"/>
    </row>
    <row r="22" spans="1:13" s="51" customFormat="1" ht="14.4" customHeight="1" x14ac:dyDescent="0.3">
      <c r="A22" s="65" t="s">
        <v>207</v>
      </c>
      <c r="B22" s="104" t="s">
        <v>208</v>
      </c>
      <c r="C22" s="65" t="s">
        <v>40</v>
      </c>
      <c r="D22" s="105">
        <v>1.05</v>
      </c>
      <c r="E22" s="105">
        <v>8166.67</v>
      </c>
      <c r="F22" s="98">
        <f t="shared" ref="F22:F25" si="0">D22*E22</f>
        <v>8575.0035000000007</v>
      </c>
      <c r="G22" s="120"/>
      <c r="H22" s="147"/>
      <c r="I22" s="147"/>
      <c r="J22" s="148"/>
      <c r="K22" s="92"/>
      <c r="L22" s="92">
        <f t="shared" ref="L22:L25" si="1">J22*K22</f>
        <v>0</v>
      </c>
      <c r="M22" s="319" t="s">
        <v>608</v>
      </c>
    </row>
    <row r="23" spans="1:13" s="51" customFormat="1" ht="48.6" customHeight="1" x14ac:dyDescent="0.3">
      <c r="A23" s="65" t="s">
        <v>209</v>
      </c>
      <c r="B23" s="104" t="s">
        <v>210</v>
      </c>
      <c r="C23" s="65" t="s">
        <v>39</v>
      </c>
      <c r="D23" s="106">
        <v>52</v>
      </c>
      <c r="E23" s="105">
        <v>850</v>
      </c>
      <c r="F23" s="98">
        <f t="shared" si="0"/>
        <v>44200</v>
      </c>
      <c r="G23" s="125"/>
      <c r="H23" s="184"/>
      <c r="I23" s="184"/>
      <c r="J23" s="153"/>
      <c r="K23" s="93"/>
      <c r="L23" s="92">
        <f t="shared" si="1"/>
        <v>0</v>
      </c>
      <c r="M23" s="304"/>
    </row>
    <row r="24" spans="1:13" s="51" customFormat="1" x14ac:dyDescent="0.3">
      <c r="A24" s="66"/>
      <c r="B24" s="67"/>
      <c r="C24" s="66"/>
      <c r="D24" s="118"/>
      <c r="E24" s="57"/>
      <c r="F24" s="98">
        <f t="shared" si="0"/>
        <v>0</v>
      </c>
      <c r="G24" s="120"/>
      <c r="H24" s="147"/>
      <c r="I24" s="147"/>
      <c r="J24" s="148"/>
      <c r="K24" s="93"/>
      <c r="L24" s="92">
        <f t="shared" si="1"/>
        <v>0</v>
      </c>
      <c r="M24" s="76"/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47"/>
      <c r="I25" s="147"/>
      <c r="J25" s="148"/>
      <c r="K25" s="93"/>
      <c r="L25" s="92">
        <f t="shared" si="1"/>
        <v>0</v>
      </c>
      <c r="M25" s="76"/>
    </row>
    <row r="26" spans="1:13" ht="15.6" x14ac:dyDescent="0.3">
      <c r="A26" s="46"/>
      <c r="B26" s="47" t="s">
        <v>24</v>
      </c>
      <c r="C26" s="48"/>
      <c r="D26" s="49"/>
      <c r="E26" s="49"/>
      <c r="F26" s="50">
        <f>SUM(F21:F25)</f>
        <v>52775.003499999999</v>
      </c>
      <c r="G26" s="35"/>
      <c r="H26" s="34"/>
      <c r="I26" s="36"/>
      <c r="J26" s="33">
        <f>SUM(J21:J25)</f>
        <v>0</v>
      </c>
      <c r="K26" s="33"/>
      <c r="L26" s="45">
        <f>SUM(L21:L25)</f>
        <v>0</v>
      </c>
      <c r="M26" s="58"/>
    </row>
    <row r="27" spans="1:13" ht="16.2" thickBot="1" x14ac:dyDescent="0.35">
      <c r="A27" s="107"/>
      <c r="B27" s="108" t="s">
        <v>52</v>
      </c>
      <c r="C27" s="109"/>
      <c r="D27" s="110"/>
      <c r="E27" s="110"/>
      <c r="F27" s="110">
        <v>86531.94</v>
      </c>
      <c r="G27" s="111"/>
      <c r="H27" s="112"/>
      <c r="I27" s="113"/>
      <c r="J27" s="114"/>
      <c r="K27" s="114"/>
      <c r="L27" s="114"/>
      <c r="M27" s="115"/>
    </row>
    <row r="28" spans="1:13" ht="15.6" customHeight="1" x14ac:dyDescent="0.3">
      <c r="A28" s="310" t="s">
        <v>38</v>
      </c>
      <c r="B28" s="311"/>
      <c r="C28" s="311"/>
      <c r="D28" s="311"/>
      <c r="E28" s="311"/>
      <c r="F28" s="311"/>
      <c r="G28" s="314" t="s">
        <v>26</v>
      </c>
      <c r="H28" s="314"/>
      <c r="I28" s="314"/>
      <c r="J28" s="314"/>
      <c r="K28" s="314"/>
      <c r="L28" s="314"/>
      <c r="M28" s="315"/>
    </row>
    <row r="29" spans="1:13" ht="15.6" customHeight="1" thickBot="1" x14ac:dyDescent="0.35">
      <c r="A29" s="312"/>
      <c r="B29" s="313"/>
      <c r="C29" s="313"/>
      <c r="D29" s="313"/>
      <c r="E29" s="313"/>
      <c r="F29" s="313"/>
      <c r="G29" s="316"/>
      <c r="H29" s="316"/>
      <c r="I29" s="316"/>
      <c r="J29" s="316"/>
      <c r="K29" s="316"/>
      <c r="L29" s="316"/>
      <c r="M29" s="317"/>
    </row>
    <row r="30" spans="1:13" x14ac:dyDescent="0.3">
      <c r="A30" s="56"/>
      <c r="B30" s="42"/>
      <c r="C30" s="38"/>
      <c r="D30" s="39"/>
      <c r="E30" s="57"/>
      <c r="F30" s="57"/>
      <c r="G30" s="74"/>
      <c r="H30" s="71"/>
      <c r="I30" s="71"/>
      <c r="J30" s="72"/>
      <c r="K30" s="75"/>
      <c r="L30" s="75"/>
      <c r="M30" s="60"/>
    </row>
    <row r="31" spans="1:13" x14ac:dyDescent="0.3">
      <c r="A31" s="56"/>
      <c r="B31" s="42"/>
      <c r="C31" s="38"/>
      <c r="D31" s="39"/>
      <c r="E31" s="57"/>
      <c r="F31" s="57"/>
      <c r="G31" s="74"/>
      <c r="H31" s="71"/>
      <c r="I31" s="71"/>
      <c r="J31" s="72"/>
      <c r="K31" s="75"/>
      <c r="L31" s="73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5"/>
      <c r="M32" s="60"/>
    </row>
    <row r="33" spans="1:16" x14ac:dyDescent="0.3">
      <c r="A33" s="56"/>
      <c r="B33" s="42"/>
      <c r="C33" s="38"/>
      <c r="D33" s="39"/>
      <c r="E33" s="40"/>
      <c r="F33" s="41"/>
      <c r="G33" s="74"/>
      <c r="H33" s="71"/>
      <c r="I33" s="71"/>
      <c r="J33" s="72"/>
      <c r="K33" s="75"/>
      <c r="L33" s="75"/>
      <c r="M33" s="60"/>
      <c r="P33" s="44"/>
    </row>
    <row r="34" spans="1:16" x14ac:dyDescent="0.3">
      <c r="A34" s="56"/>
      <c r="B34" s="42"/>
      <c r="C34" s="38"/>
      <c r="D34" s="39"/>
      <c r="E34" s="40"/>
      <c r="F34" s="41"/>
      <c r="G34" s="74"/>
      <c r="H34" s="71"/>
      <c r="I34" s="71"/>
      <c r="J34" s="72"/>
      <c r="L34" s="73"/>
      <c r="M34" s="60"/>
      <c r="P34" s="44"/>
    </row>
    <row r="35" spans="1:16" ht="15" thickBot="1" x14ac:dyDescent="0.35">
      <c r="A35" s="56"/>
      <c r="B35" s="42"/>
      <c r="C35" s="38"/>
      <c r="D35" s="39"/>
      <c r="E35" s="40"/>
      <c r="F35" s="41"/>
      <c r="G35" s="61"/>
      <c r="H35" s="61"/>
      <c r="I35" s="61"/>
      <c r="J35" s="62"/>
      <c r="K35" s="62"/>
      <c r="L35" s="63"/>
      <c r="M35" s="60"/>
      <c r="P35" s="44"/>
    </row>
    <row r="36" spans="1:16" ht="21.6" thickBot="1" x14ac:dyDescent="0.35">
      <c r="A36" s="27"/>
      <c r="B36" s="28" t="s">
        <v>31</v>
      </c>
      <c r="C36" s="29"/>
      <c r="D36" s="30">
        <f>SUM(D30:D35)</f>
        <v>0</v>
      </c>
      <c r="E36" s="30"/>
      <c r="F36" s="31">
        <f>SUM(F30:F35)</f>
        <v>0</v>
      </c>
      <c r="G36" s="24"/>
      <c r="H36" s="25"/>
      <c r="I36" s="25"/>
      <c r="J36" s="26">
        <f>SUM(J30:J35)</f>
        <v>0</v>
      </c>
      <c r="K36" s="26"/>
      <c r="L36" s="26">
        <f>SUM(L30:L35)</f>
        <v>0</v>
      </c>
      <c r="M36" s="14"/>
    </row>
    <row r="37" spans="1:16" ht="21.6" thickBot="1" x14ac:dyDescent="0.35">
      <c r="A37" s="15"/>
      <c r="B37" s="16" t="s">
        <v>32</v>
      </c>
      <c r="C37" s="17"/>
      <c r="D37" s="18">
        <f>D26+D36</f>
        <v>0</v>
      </c>
      <c r="E37" s="18"/>
      <c r="F37" s="19">
        <f>F26+F36</f>
        <v>52775.003499999999</v>
      </c>
      <c r="G37" s="20"/>
      <c r="H37" s="21"/>
      <c r="I37" s="21"/>
      <c r="J37" s="22">
        <f>J26+J36</f>
        <v>0</v>
      </c>
      <c r="K37" s="22"/>
      <c r="L37" s="22">
        <f>L26+L36</f>
        <v>0</v>
      </c>
      <c r="M37" s="23"/>
    </row>
    <row r="38" spans="1:16" ht="25.05" customHeight="1" x14ac:dyDescent="0.4">
      <c r="A38" s="298" t="s">
        <v>12</v>
      </c>
      <c r="B38" s="298"/>
      <c r="C38" s="298"/>
      <c r="D38" s="298"/>
      <c r="E38" s="298"/>
      <c r="F38" s="298"/>
      <c r="G38" s="298"/>
      <c r="H38" s="298"/>
      <c r="I38" s="298"/>
      <c r="J38" s="85"/>
      <c r="K38" s="85"/>
      <c r="L38" s="85"/>
      <c r="M38" s="7"/>
    </row>
    <row r="39" spans="1:16" ht="25.05" customHeight="1" x14ac:dyDescent="0.4">
      <c r="A39" s="288" t="s">
        <v>13</v>
      </c>
      <c r="B39" s="288"/>
      <c r="C39" s="288"/>
      <c r="D39" s="288"/>
      <c r="E39" s="288"/>
      <c r="F39" s="288"/>
      <c r="G39" s="288"/>
      <c r="H39" s="288"/>
      <c r="I39" s="288"/>
      <c r="J39" s="84"/>
      <c r="K39" s="84"/>
      <c r="L39" s="43" t="e">
        <f>L36*100/L26</f>
        <v>#DIV/0!</v>
      </c>
      <c r="M39" s="7"/>
    </row>
    <row r="40" spans="1:16" ht="25.05" customHeight="1" x14ac:dyDescent="0.4">
      <c r="A40" s="289" t="s">
        <v>14</v>
      </c>
      <c r="B40" s="289"/>
      <c r="C40" s="289"/>
      <c r="D40" s="289"/>
      <c r="E40" s="289"/>
      <c r="F40" s="289"/>
      <c r="G40" s="289"/>
      <c r="H40" s="289"/>
      <c r="I40" s="289"/>
      <c r="J40" s="86"/>
      <c r="K40" s="86"/>
      <c r="L40" s="86"/>
      <c r="M40" s="7"/>
    </row>
    <row r="41" spans="1:16" ht="25.05" customHeight="1" x14ac:dyDescent="0.4">
      <c r="A41" s="288" t="s">
        <v>15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16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17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18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17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19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11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20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318" t="s">
        <v>33</v>
      </c>
      <c r="B49" s="318"/>
      <c r="C49" s="318"/>
      <c r="D49" s="318"/>
      <c r="E49" s="318"/>
      <c r="F49" s="318"/>
      <c r="G49" s="318"/>
      <c r="H49" s="318"/>
      <c r="I49" s="318"/>
      <c r="J49" s="87"/>
      <c r="K49" s="87"/>
      <c r="L49" s="87"/>
      <c r="M49" s="7"/>
    </row>
    <row r="50" spans="1:16" s="5" customFormat="1" ht="36" customHeight="1" x14ac:dyDescent="0.3">
      <c r="B50"/>
      <c r="H50"/>
      <c r="I50" s="6"/>
      <c r="J50" s="6"/>
      <c r="K50" s="6"/>
      <c r="L50" s="6"/>
      <c r="M50"/>
      <c r="N50"/>
      <c r="O50"/>
      <c r="P50"/>
    </row>
  </sheetData>
  <mergeCells count="34">
    <mergeCell ref="A49:I49"/>
    <mergeCell ref="M22:M23"/>
    <mergeCell ref="A43:I43"/>
    <mergeCell ref="A45:I45"/>
    <mergeCell ref="A46:I46"/>
    <mergeCell ref="A47:I47"/>
    <mergeCell ref="A48:I48"/>
    <mergeCell ref="A44:I44"/>
    <mergeCell ref="A38:I38"/>
    <mergeCell ref="A39:I39"/>
    <mergeCell ref="A40:I40"/>
    <mergeCell ref="A41:I41"/>
    <mergeCell ref="A42:I42"/>
    <mergeCell ref="F17:F18"/>
    <mergeCell ref="H17:L17"/>
    <mergeCell ref="M17:M18"/>
    <mergeCell ref="A28:F29"/>
    <mergeCell ref="G28:M29"/>
    <mergeCell ref="A17:A18"/>
    <mergeCell ref="B17:B18"/>
    <mergeCell ref="C17:C18"/>
    <mergeCell ref="D17:D18"/>
    <mergeCell ref="E17:E18"/>
    <mergeCell ref="A13:M13"/>
    <mergeCell ref="A14:M14"/>
    <mergeCell ref="A15:L15"/>
    <mergeCell ref="A16:F16"/>
    <mergeCell ref="G16:M16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opLeftCell="A19" zoomScale="70" zoomScaleNormal="70" workbookViewId="0">
      <selection activeCell="J47" sqref="J47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6640625" style="5" customWidth="1"/>
    <col min="5" max="5" width="13.77734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605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188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41" t="s">
        <v>189</v>
      </c>
      <c r="C21" s="144"/>
      <c r="D21" s="145"/>
      <c r="E21" s="146"/>
      <c r="F21" s="143">
        <f>D21*E21</f>
        <v>0</v>
      </c>
      <c r="G21" s="120"/>
      <c r="H21" s="121"/>
      <c r="I21" s="121"/>
      <c r="J21" s="122"/>
      <c r="K21" s="88"/>
      <c r="L21" s="89"/>
      <c r="M21" s="13"/>
    </row>
    <row r="22" spans="1:13" s="161" customFormat="1" ht="46.2" customHeight="1" x14ac:dyDescent="0.3">
      <c r="A22" s="193" t="s">
        <v>190</v>
      </c>
      <c r="B22" s="185" t="s">
        <v>159</v>
      </c>
      <c r="C22" s="155" t="s">
        <v>56</v>
      </c>
      <c r="D22" s="216">
        <v>97.9</v>
      </c>
      <c r="E22" s="217">
        <v>186.18</v>
      </c>
      <c r="F22" s="159">
        <f t="shared" ref="F22:F36" si="0">D22*E22</f>
        <v>18227.022000000001</v>
      </c>
      <c r="G22" s="186"/>
      <c r="H22" s="187"/>
      <c r="I22" s="187"/>
      <c r="J22" s="164"/>
      <c r="K22" s="188"/>
      <c r="L22" s="188">
        <f t="shared" ref="L22:L36" si="1">J22*K22</f>
        <v>0</v>
      </c>
      <c r="M22" s="218" t="s">
        <v>606</v>
      </c>
    </row>
    <row r="23" spans="1:13" s="161" customFormat="1" ht="36" customHeight="1" x14ac:dyDescent="0.3">
      <c r="A23" s="193" t="s">
        <v>75</v>
      </c>
      <c r="B23" s="185" t="s">
        <v>191</v>
      </c>
      <c r="C23" s="155" t="s">
        <v>56</v>
      </c>
      <c r="D23" s="216">
        <v>24.3</v>
      </c>
      <c r="E23" s="217">
        <v>761.97</v>
      </c>
      <c r="F23" s="159">
        <f t="shared" si="0"/>
        <v>18515.871000000003</v>
      </c>
      <c r="G23" s="199"/>
      <c r="H23" s="200"/>
      <c r="I23" s="200"/>
      <c r="J23" s="201"/>
      <c r="K23" s="165"/>
      <c r="L23" s="188">
        <f t="shared" si="1"/>
        <v>0</v>
      </c>
      <c r="M23" s="219" t="s">
        <v>606</v>
      </c>
    </row>
    <row r="24" spans="1:13" s="51" customFormat="1" ht="19.8" customHeight="1" x14ac:dyDescent="0.3">
      <c r="A24" s="65" t="s">
        <v>192</v>
      </c>
      <c r="B24" s="67" t="s">
        <v>193</v>
      </c>
      <c r="C24" s="66" t="s">
        <v>34</v>
      </c>
      <c r="D24" s="118">
        <v>16</v>
      </c>
      <c r="E24" s="57">
        <v>151.36000000000001</v>
      </c>
      <c r="F24" s="98">
        <f t="shared" si="0"/>
        <v>2421.7600000000002</v>
      </c>
      <c r="G24" s="147" t="s">
        <v>411</v>
      </c>
      <c r="H24" s="147" t="s">
        <v>412</v>
      </c>
      <c r="I24" s="147" t="s">
        <v>34</v>
      </c>
      <c r="J24" s="148">
        <v>16</v>
      </c>
      <c r="K24" s="148">
        <f>L24/J24</f>
        <v>137.6</v>
      </c>
      <c r="L24" s="148">
        <v>2201.6</v>
      </c>
      <c r="M24" s="182" t="s">
        <v>592</v>
      </c>
    </row>
    <row r="25" spans="1:13" s="161" customFormat="1" ht="26.4" x14ac:dyDescent="0.3">
      <c r="A25" s="193" t="s">
        <v>194</v>
      </c>
      <c r="B25" s="185" t="s">
        <v>183</v>
      </c>
      <c r="C25" s="155" t="s">
        <v>34</v>
      </c>
      <c r="D25" s="220">
        <v>4</v>
      </c>
      <c r="E25" s="217">
        <v>4843.33</v>
      </c>
      <c r="F25" s="159">
        <f t="shared" si="0"/>
        <v>19373.32</v>
      </c>
      <c r="G25" s="186"/>
      <c r="H25" s="187"/>
      <c r="I25" s="187"/>
      <c r="J25" s="164"/>
      <c r="K25" s="165"/>
      <c r="L25" s="188">
        <f t="shared" si="1"/>
        <v>0</v>
      </c>
      <c r="M25" s="198" t="s">
        <v>84</v>
      </c>
    </row>
    <row r="26" spans="1:13" s="161" customFormat="1" ht="26.4" x14ac:dyDescent="0.3">
      <c r="A26" s="193" t="s">
        <v>70</v>
      </c>
      <c r="B26" s="185" t="s">
        <v>195</v>
      </c>
      <c r="C26" s="155" t="s">
        <v>34</v>
      </c>
      <c r="D26" s="220">
        <v>1</v>
      </c>
      <c r="E26" s="217">
        <v>4396.67</v>
      </c>
      <c r="F26" s="159">
        <f t="shared" si="0"/>
        <v>4396.67</v>
      </c>
      <c r="G26" s="186"/>
      <c r="H26" s="187"/>
      <c r="I26" s="187"/>
      <c r="J26" s="164"/>
      <c r="K26" s="165"/>
      <c r="L26" s="188">
        <f t="shared" si="1"/>
        <v>0</v>
      </c>
      <c r="M26" s="198" t="s">
        <v>84</v>
      </c>
    </row>
    <row r="27" spans="1:13" s="51" customFormat="1" ht="26.4" x14ac:dyDescent="0.3">
      <c r="A27" s="65" t="s">
        <v>196</v>
      </c>
      <c r="B27" s="67" t="s">
        <v>197</v>
      </c>
      <c r="C27" s="66" t="s">
        <v>198</v>
      </c>
      <c r="D27" s="118">
        <v>3</v>
      </c>
      <c r="E27" s="57">
        <v>23610</v>
      </c>
      <c r="F27" s="98">
        <f t="shared" si="0"/>
        <v>70830</v>
      </c>
      <c r="G27" s="147" t="s">
        <v>500</v>
      </c>
      <c r="H27" s="147" t="s">
        <v>501</v>
      </c>
      <c r="I27" s="147" t="s">
        <v>34</v>
      </c>
      <c r="J27" s="148">
        <v>3</v>
      </c>
      <c r="K27" s="148">
        <f>L27/J27</f>
        <v>21464</v>
      </c>
      <c r="L27" s="148">
        <v>64392</v>
      </c>
      <c r="M27" s="182" t="s">
        <v>592</v>
      </c>
    </row>
    <row r="28" spans="1:13" s="51" customFormat="1" ht="19.8" customHeight="1" x14ac:dyDescent="0.3">
      <c r="A28" s="65" t="s">
        <v>71</v>
      </c>
      <c r="B28" s="67" t="s">
        <v>42</v>
      </c>
      <c r="C28" s="66" t="s">
        <v>37</v>
      </c>
      <c r="D28" s="119">
        <v>2.024</v>
      </c>
      <c r="E28" s="57">
        <v>116.66</v>
      </c>
      <c r="F28" s="98">
        <f t="shared" si="0"/>
        <v>236.11983999999998</v>
      </c>
      <c r="G28" s="221">
        <v>19138</v>
      </c>
      <c r="H28" s="184" t="s">
        <v>78</v>
      </c>
      <c r="I28" s="184" t="s">
        <v>37</v>
      </c>
      <c r="J28" s="153">
        <v>2.024</v>
      </c>
      <c r="K28" s="93">
        <v>68.75</v>
      </c>
      <c r="L28" s="92">
        <f t="shared" si="1"/>
        <v>139.15</v>
      </c>
      <c r="M28" s="182" t="s">
        <v>592</v>
      </c>
    </row>
    <row r="29" spans="1:13" s="161" customFormat="1" ht="18.600000000000001" customHeight="1" x14ac:dyDescent="0.3">
      <c r="A29" s="193" t="s">
        <v>199</v>
      </c>
      <c r="B29" s="185" t="s">
        <v>43</v>
      </c>
      <c r="C29" s="155" t="s">
        <v>37</v>
      </c>
      <c r="D29" s="222">
        <v>4.0469999999999997</v>
      </c>
      <c r="E29" s="217">
        <v>166.66</v>
      </c>
      <c r="F29" s="159">
        <f t="shared" si="0"/>
        <v>674.47301999999991</v>
      </c>
      <c r="G29" s="165"/>
      <c r="H29" s="165"/>
      <c r="I29" s="198"/>
      <c r="J29" s="198"/>
      <c r="K29" s="165"/>
      <c r="L29" s="188">
        <f t="shared" si="1"/>
        <v>0</v>
      </c>
      <c r="M29" s="198" t="s">
        <v>607</v>
      </c>
    </row>
    <row r="30" spans="1:13" s="177" customFormat="1" ht="37.799999999999997" customHeight="1" x14ac:dyDescent="0.3">
      <c r="A30" s="202" t="s">
        <v>200</v>
      </c>
      <c r="B30" s="203" t="s">
        <v>50</v>
      </c>
      <c r="C30" s="171" t="s">
        <v>51</v>
      </c>
      <c r="D30" s="204">
        <v>1.6859999999999999</v>
      </c>
      <c r="E30" s="205">
        <v>89.91</v>
      </c>
      <c r="F30" s="172">
        <f t="shared" si="0"/>
        <v>151.58825999999999</v>
      </c>
      <c r="G30" s="208" t="s">
        <v>80</v>
      </c>
      <c r="H30" s="208" t="s">
        <v>79</v>
      </c>
      <c r="I30" s="208" t="s">
        <v>34</v>
      </c>
      <c r="J30" s="176">
        <v>0.8</v>
      </c>
      <c r="K30" s="176">
        <v>325.75</v>
      </c>
      <c r="L30" s="176">
        <f>J30*K30</f>
        <v>260.60000000000002</v>
      </c>
      <c r="M30" s="209" t="s">
        <v>592</v>
      </c>
    </row>
    <row r="31" spans="1:13" s="177" customFormat="1" ht="18.600000000000001" customHeight="1" x14ac:dyDescent="0.3">
      <c r="A31" s="202" t="s">
        <v>201</v>
      </c>
      <c r="B31" s="203" t="s">
        <v>185</v>
      </c>
      <c r="C31" s="171" t="s">
        <v>35</v>
      </c>
      <c r="D31" s="204">
        <v>0.21199999999999999</v>
      </c>
      <c r="E31" s="205">
        <v>33608.33</v>
      </c>
      <c r="F31" s="172">
        <f t="shared" si="0"/>
        <v>7124.9659600000005</v>
      </c>
      <c r="G31" s="208" t="s">
        <v>548</v>
      </c>
      <c r="H31" s="208" t="s">
        <v>549</v>
      </c>
      <c r="I31" s="208" t="s">
        <v>35</v>
      </c>
      <c r="J31" s="176">
        <v>0.18</v>
      </c>
      <c r="K31" s="176">
        <v>32038.303</v>
      </c>
      <c r="L31" s="176">
        <f>J31*K31</f>
        <v>5766.8945399999993</v>
      </c>
      <c r="M31" s="189" t="s">
        <v>592</v>
      </c>
    </row>
    <row r="32" spans="1:13" s="177" customFormat="1" ht="20.399999999999999" customHeight="1" x14ac:dyDescent="0.3">
      <c r="A32" s="202" t="s">
        <v>202</v>
      </c>
      <c r="B32" s="203" t="s">
        <v>42</v>
      </c>
      <c r="C32" s="171" t="s">
        <v>37</v>
      </c>
      <c r="D32" s="205">
        <v>0.72</v>
      </c>
      <c r="E32" s="205">
        <v>116.66</v>
      </c>
      <c r="F32" s="172">
        <f t="shared" si="0"/>
        <v>83.995199999999997</v>
      </c>
      <c r="G32" s="223">
        <v>19138</v>
      </c>
      <c r="H32" s="179" t="s">
        <v>78</v>
      </c>
      <c r="I32" s="210" t="s">
        <v>37</v>
      </c>
      <c r="J32" s="211">
        <v>0.72</v>
      </c>
      <c r="K32" s="179">
        <v>68.75</v>
      </c>
      <c r="L32" s="212">
        <v>139.15</v>
      </c>
      <c r="M32" s="181" t="s">
        <v>592</v>
      </c>
    </row>
    <row r="33" spans="1:16" s="234" customFormat="1" ht="19.8" customHeight="1" x14ac:dyDescent="0.3">
      <c r="A33" s="224" t="s">
        <v>203</v>
      </c>
      <c r="B33" s="225" t="s">
        <v>43</v>
      </c>
      <c r="C33" s="226" t="s">
        <v>37</v>
      </c>
      <c r="D33" s="227">
        <v>1.44</v>
      </c>
      <c r="E33" s="227">
        <v>166.66</v>
      </c>
      <c r="F33" s="228">
        <f t="shared" si="0"/>
        <v>239.99039999999999</v>
      </c>
      <c r="G33" s="229"/>
      <c r="H33" s="229"/>
      <c r="I33" s="230"/>
      <c r="J33" s="231"/>
      <c r="K33" s="232"/>
      <c r="L33" s="233">
        <f t="shared" si="1"/>
        <v>0</v>
      </c>
      <c r="M33" s="189" t="s">
        <v>593</v>
      </c>
    </row>
    <row r="34" spans="1:16" s="177" customFormat="1" ht="28.2" customHeight="1" x14ac:dyDescent="0.3">
      <c r="A34" s="202" t="s">
        <v>204</v>
      </c>
      <c r="B34" s="203" t="s">
        <v>50</v>
      </c>
      <c r="C34" s="171" t="s">
        <v>51</v>
      </c>
      <c r="D34" s="207">
        <v>0.6</v>
      </c>
      <c r="E34" s="205">
        <v>89.91</v>
      </c>
      <c r="F34" s="172">
        <f t="shared" si="0"/>
        <v>53.945999999999998</v>
      </c>
      <c r="G34" s="213" t="s">
        <v>80</v>
      </c>
      <c r="H34" s="213" t="s">
        <v>79</v>
      </c>
      <c r="I34" s="210" t="s">
        <v>34</v>
      </c>
      <c r="J34" s="211">
        <v>0.2</v>
      </c>
      <c r="K34" s="179">
        <v>325.75</v>
      </c>
      <c r="L34" s="212">
        <f t="shared" si="1"/>
        <v>65.150000000000006</v>
      </c>
      <c r="M34" s="181" t="s">
        <v>592</v>
      </c>
    </row>
    <row r="35" spans="1:16" s="51" customFormat="1" x14ac:dyDescent="0.3">
      <c r="A35" s="66"/>
      <c r="B35" s="67"/>
      <c r="C35" s="66"/>
      <c r="D35" s="118"/>
      <c r="E35" s="57"/>
      <c r="F35" s="98">
        <f t="shared" si="0"/>
        <v>0</v>
      </c>
      <c r="G35" s="214"/>
      <c r="H35" s="214"/>
      <c r="I35" s="215"/>
      <c r="J35" s="154"/>
      <c r="K35" s="93"/>
      <c r="L35" s="92">
        <f t="shared" si="1"/>
        <v>0</v>
      </c>
      <c r="M35" s="182"/>
    </row>
    <row r="36" spans="1:16" s="51" customFormat="1" x14ac:dyDescent="0.3">
      <c r="A36" s="66"/>
      <c r="B36" s="67"/>
      <c r="C36" s="66"/>
      <c r="D36" s="118"/>
      <c r="E36" s="57"/>
      <c r="F36" s="98">
        <f t="shared" si="0"/>
        <v>0</v>
      </c>
      <c r="G36" s="214"/>
      <c r="H36" s="214"/>
      <c r="I36" s="215"/>
      <c r="J36" s="154"/>
      <c r="K36" s="93"/>
      <c r="L36" s="92">
        <f t="shared" si="1"/>
        <v>0</v>
      </c>
      <c r="M36" s="182"/>
    </row>
    <row r="37" spans="1:16" ht="15.6" x14ac:dyDescent="0.3">
      <c r="A37" s="46"/>
      <c r="B37" s="47" t="s">
        <v>24</v>
      </c>
      <c r="C37" s="48"/>
      <c r="D37" s="49"/>
      <c r="E37" s="49"/>
      <c r="F37" s="50">
        <f>SUM(F21:F36)</f>
        <v>142329.72168000002</v>
      </c>
      <c r="G37" s="35"/>
      <c r="H37" s="34"/>
      <c r="I37" s="36"/>
      <c r="J37" s="33">
        <f>SUM(J21:J36)</f>
        <v>22.923999999999999</v>
      </c>
      <c r="K37" s="33"/>
      <c r="L37" s="45">
        <f>SUM(L21:L36)</f>
        <v>72964.544539999988</v>
      </c>
      <c r="M37" s="58"/>
    </row>
    <row r="38" spans="1:16" ht="16.2" thickBot="1" x14ac:dyDescent="0.35">
      <c r="A38" s="107"/>
      <c r="B38" s="108"/>
      <c r="C38" s="109"/>
      <c r="D38" s="110"/>
      <c r="E38" s="110"/>
      <c r="F38" s="110"/>
      <c r="G38" s="111"/>
      <c r="H38" s="112"/>
      <c r="I38" s="113"/>
      <c r="J38" s="114"/>
      <c r="K38" s="114"/>
      <c r="L38" s="114"/>
      <c r="M38" s="115"/>
    </row>
    <row r="39" spans="1:16" ht="15.6" customHeight="1" x14ac:dyDescent="0.3">
      <c r="A39" s="310" t="s">
        <v>38</v>
      </c>
      <c r="B39" s="311"/>
      <c r="C39" s="311"/>
      <c r="D39" s="311"/>
      <c r="E39" s="311"/>
      <c r="F39" s="311"/>
      <c r="G39" s="314" t="s">
        <v>26</v>
      </c>
      <c r="H39" s="314"/>
      <c r="I39" s="314"/>
      <c r="J39" s="314"/>
      <c r="K39" s="314"/>
      <c r="L39" s="314"/>
      <c r="M39" s="315"/>
    </row>
    <row r="40" spans="1:16" ht="15.6" customHeight="1" thickBot="1" x14ac:dyDescent="0.35">
      <c r="A40" s="312"/>
      <c r="B40" s="313"/>
      <c r="C40" s="313"/>
      <c r="D40" s="313"/>
      <c r="E40" s="313"/>
      <c r="F40" s="313"/>
      <c r="G40" s="316"/>
      <c r="H40" s="316"/>
      <c r="I40" s="316"/>
      <c r="J40" s="316"/>
      <c r="K40" s="316"/>
      <c r="L40" s="316"/>
      <c r="M40" s="317"/>
    </row>
    <row r="41" spans="1:16" x14ac:dyDescent="0.3">
      <c r="A41" s="56"/>
      <c r="B41" s="42"/>
      <c r="C41" s="38"/>
      <c r="D41" s="39"/>
      <c r="E41" s="57"/>
      <c r="F41" s="57"/>
      <c r="G41" s="121" t="s">
        <v>570</v>
      </c>
      <c r="H41" s="121" t="s">
        <v>571</v>
      </c>
      <c r="I41" s="121" t="s">
        <v>34</v>
      </c>
      <c r="J41" s="122">
        <v>1</v>
      </c>
      <c r="K41" s="122">
        <v>75</v>
      </c>
      <c r="L41" s="131">
        <f>K41*J41</f>
        <v>75</v>
      </c>
      <c r="M41" s="60"/>
    </row>
    <row r="42" spans="1:16" x14ac:dyDescent="0.3">
      <c r="A42" s="56"/>
      <c r="B42" s="42"/>
      <c r="C42" s="38"/>
      <c r="D42" s="39"/>
      <c r="E42" s="57"/>
      <c r="F42" s="57"/>
      <c r="G42" s="74">
        <v>3748</v>
      </c>
      <c r="H42" s="71" t="s">
        <v>559</v>
      </c>
      <c r="I42" s="71" t="s">
        <v>34</v>
      </c>
      <c r="J42" s="72">
        <v>20</v>
      </c>
      <c r="K42" s="75">
        <v>27</v>
      </c>
      <c r="L42" s="131">
        <f t="shared" ref="L42:L43" si="2">K42*J42</f>
        <v>540</v>
      </c>
      <c r="M42" s="60"/>
    </row>
    <row r="43" spans="1:16" x14ac:dyDescent="0.3">
      <c r="A43" s="56"/>
      <c r="B43" s="42"/>
      <c r="C43" s="38"/>
      <c r="D43" s="39"/>
      <c r="E43" s="57"/>
      <c r="F43" s="57"/>
      <c r="G43" s="74">
        <v>9198</v>
      </c>
      <c r="H43" s="71" t="s">
        <v>83</v>
      </c>
      <c r="I43" s="71" t="s">
        <v>34</v>
      </c>
      <c r="J43" s="72">
        <v>1</v>
      </c>
      <c r="K43" s="75">
        <v>718.43</v>
      </c>
      <c r="L43" s="131">
        <f t="shared" si="2"/>
        <v>718.43</v>
      </c>
      <c r="M43" s="60"/>
    </row>
    <row r="44" spans="1:16" ht="15" thickBot="1" x14ac:dyDescent="0.35">
      <c r="A44" s="56"/>
      <c r="B44" s="42"/>
      <c r="C44" s="38"/>
      <c r="D44" s="39"/>
      <c r="E44" s="40"/>
      <c r="F44" s="41"/>
      <c r="G44" s="61"/>
      <c r="H44" s="61"/>
      <c r="I44" s="61"/>
      <c r="J44" s="62"/>
      <c r="K44" s="62"/>
      <c r="L44" s="63"/>
      <c r="M44" s="60"/>
      <c r="P44" s="44"/>
    </row>
    <row r="45" spans="1:16" ht="21.6" thickBot="1" x14ac:dyDescent="0.35">
      <c r="A45" s="27"/>
      <c r="B45" s="28" t="s">
        <v>31</v>
      </c>
      <c r="C45" s="29"/>
      <c r="D45" s="30">
        <f>SUM(D41:D44)</f>
        <v>0</v>
      </c>
      <c r="E45" s="30"/>
      <c r="F45" s="31">
        <f>SUM(F41:F44)</f>
        <v>0</v>
      </c>
      <c r="G45" s="24"/>
      <c r="H45" s="25"/>
      <c r="I45" s="25"/>
      <c r="J45" s="26">
        <f>SUM(J41:J44)</f>
        <v>22</v>
      </c>
      <c r="K45" s="26"/>
      <c r="L45" s="26">
        <f>SUM(L41:L44)</f>
        <v>1333.4299999999998</v>
      </c>
      <c r="M45" s="14"/>
    </row>
    <row r="46" spans="1:16" ht="21.6" thickBot="1" x14ac:dyDescent="0.35">
      <c r="A46" s="15"/>
      <c r="B46" s="16" t="s">
        <v>32</v>
      </c>
      <c r="C46" s="17"/>
      <c r="D46" s="18">
        <f>D37+D45</f>
        <v>0</v>
      </c>
      <c r="E46" s="18"/>
      <c r="F46" s="19">
        <f>F37+F45</f>
        <v>142329.72168000002</v>
      </c>
      <c r="G46" s="20"/>
      <c r="H46" s="21"/>
      <c r="I46" s="21"/>
      <c r="J46" s="22">
        <f>J37+J45</f>
        <v>44.923999999999999</v>
      </c>
      <c r="K46" s="22"/>
      <c r="L46" s="22">
        <f>L37+L45</f>
        <v>74297.974539999981</v>
      </c>
      <c r="M46" s="23"/>
    </row>
    <row r="47" spans="1:16" ht="25.05" customHeight="1" x14ac:dyDescent="0.4">
      <c r="A47" s="298" t="s">
        <v>12</v>
      </c>
      <c r="B47" s="298"/>
      <c r="C47" s="298"/>
      <c r="D47" s="298"/>
      <c r="E47" s="298"/>
      <c r="F47" s="298"/>
      <c r="G47" s="298"/>
      <c r="H47" s="298"/>
      <c r="I47" s="298"/>
      <c r="J47" s="85"/>
      <c r="K47" s="85"/>
      <c r="L47" s="85"/>
      <c r="M47" s="7"/>
    </row>
    <row r="48" spans="1:16" ht="25.05" customHeight="1" x14ac:dyDescent="0.4">
      <c r="A48" s="288" t="s">
        <v>13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43">
        <f>L45*100/L37</f>
        <v>1.8275040410469476</v>
      </c>
      <c r="M48" s="7"/>
    </row>
    <row r="49" spans="1:16" ht="25.05" customHeight="1" x14ac:dyDescent="0.4">
      <c r="A49" s="289" t="s">
        <v>14</v>
      </c>
      <c r="B49" s="289"/>
      <c r="C49" s="289"/>
      <c r="D49" s="289"/>
      <c r="E49" s="289"/>
      <c r="F49" s="289"/>
      <c r="G49" s="289"/>
      <c r="H49" s="289"/>
      <c r="I49" s="289"/>
      <c r="J49" s="86"/>
      <c r="K49" s="86"/>
      <c r="L49" s="86"/>
      <c r="M49" s="7"/>
    </row>
    <row r="50" spans="1:16" ht="25.05" customHeight="1" x14ac:dyDescent="0.4">
      <c r="A50" s="288" t="s">
        <v>15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288" t="s">
        <v>16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17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18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17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19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11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20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318" t="s">
        <v>33</v>
      </c>
      <c r="B58" s="318"/>
      <c r="C58" s="318"/>
      <c r="D58" s="318"/>
      <c r="E58" s="318"/>
      <c r="F58" s="318"/>
      <c r="G58" s="318"/>
      <c r="H58" s="318"/>
      <c r="I58" s="318"/>
      <c r="J58" s="87"/>
      <c r="K58" s="87"/>
      <c r="L58" s="87"/>
      <c r="M58" s="7"/>
    </row>
    <row r="59" spans="1:16" s="5" customFormat="1" ht="36" customHeight="1" x14ac:dyDescent="0.3">
      <c r="B59"/>
      <c r="H59"/>
      <c r="I59" s="6"/>
      <c r="J59" s="6"/>
      <c r="K59" s="6"/>
      <c r="L59" s="6"/>
      <c r="M59"/>
      <c r="N59"/>
      <c r="O59"/>
      <c r="P59"/>
    </row>
  </sheetData>
  <mergeCells count="33">
    <mergeCell ref="H17:L17"/>
    <mergeCell ref="M17:M18"/>
    <mergeCell ref="A39:F40"/>
    <mergeCell ref="G39:M40"/>
    <mergeCell ref="A58:I58"/>
    <mergeCell ref="A52:I52"/>
    <mergeCell ref="A54:I54"/>
    <mergeCell ref="A55:I55"/>
    <mergeCell ref="A56:I56"/>
    <mergeCell ref="A57:I57"/>
    <mergeCell ref="A53:I53"/>
    <mergeCell ref="A48:I48"/>
    <mergeCell ref="A49:I49"/>
    <mergeCell ref="A50:I50"/>
    <mergeCell ref="A51:I51"/>
    <mergeCell ref="A13:M13"/>
    <mergeCell ref="A14:M14"/>
    <mergeCell ref="A15:L15"/>
    <mergeCell ref="A16:F16"/>
    <mergeCell ref="G16:M16"/>
    <mergeCell ref="A47:I4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opLeftCell="A13" zoomScale="70" zoomScaleNormal="70" workbookViewId="0">
      <selection activeCell="M22" sqref="M22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603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180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40" t="s">
        <v>181</v>
      </c>
      <c r="C21" s="66"/>
      <c r="D21" s="118"/>
      <c r="E21" s="57"/>
      <c r="F21" s="98">
        <f>D21*E21</f>
        <v>0</v>
      </c>
      <c r="G21" s="120"/>
      <c r="H21" s="121"/>
      <c r="I21" s="121"/>
      <c r="J21" s="122"/>
      <c r="K21" s="88"/>
      <c r="L21" s="89"/>
      <c r="M21" s="13"/>
    </row>
    <row r="22" spans="1:13" s="161" customFormat="1" ht="30" customHeight="1" x14ac:dyDescent="0.3">
      <c r="A22" s="193" t="s">
        <v>182</v>
      </c>
      <c r="B22" s="185" t="s">
        <v>183</v>
      </c>
      <c r="C22" s="155" t="s">
        <v>34</v>
      </c>
      <c r="D22" s="158">
        <v>10</v>
      </c>
      <c r="E22" s="158">
        <v>4843.33</v>
      </c>
      <c r="F22" s="159">
        <f>D22*E22</f>
        <v>48433.3</v>
      </c>
      <c r="G22" s="199"/>
      <c r="H22" s="200"/>
      <c r="I22" s="200"/>
      <c r="J22" s="201"/>
      <c r="K22" s="165"/>
      <c r="L22" s="188">
        <f t="shared" ref="L22:L27" si="0">J22*K22</f>
        <v>0</v>
      </c>
      <c r="M22" s="198" t="s">
        <v>604</v>
      </c>
    </row>
    <row r="23" spans="1:13" s="51" customFormat="1" ht="22.2" customHeight="1" x14ac:dyDescent="0.3">
      <c r="A23" s="65" t="s">
        <v>184</v>
      </c>
      <c r="B23" s="67" t="s">
        <v>185</v>
      </c>
      <c r="C23" s="66" t="s">
        <v>35</v>
      </c>
      <c r="D23" s="152">
        <v>0.152</v>
      </c>
      <c r="E23" s="152">
        <v>33608.33</v>
      </c>
      <c r="F23" s="98">
        <f t="shared" ref="F23:F27" si="1">D23*E23</f>
        <v>5108.4661599999999</v>
      </c>
      <c r="G23" s="196" t="s">
        <v>548</v>
      </c>
      <c r="H23" s="196" t="s">
        <v>549</v>
      </c>
      <c r="I23" s="196" t="s">
        <v>35</v>
      </c>
      <c r="J23" s="192">
        <v>0.15</v>
      </c>
      <c r="K23" s="192">
        <v>32038.303</v>
      </c>
      <c r="L23" s="192">
        <f>J23*K23</f>
        <v>4805.7454499999994</v>
      </c>
      <c r="M23" s="182" t="s">
        <v>592</v>
      </c>
    </row>
    <row r="24" spans="1:13" s="51" customFormat="1" ht="20.399999999999999" customHeight="1" x14ac:dyDescent="0.3">
      <c r="A24" s="65" t="s">
        <v>186</v>
      </c>
      <c r="B24" s="67" t="s">
        <v>42</v>
      </c>
      <c r="C24" s="66" t="s">
        <v>37</v>
      </c>
      <c r="D24" s="152">
        <v>0.52200000000000002</v>
      </c>
      <c r="E24" s="152">
        <v>116.66</v>
      </c>
      <c r="F24" s="98">
        <f t="shared" si="1"/>
        <v>60.896520000000002</v>
      </c>
      <c r="G24" s="197">
        <v>19138</v>
      </c>
      <c r="H24" s="147" t="s">
        <v>78</v>
      </c>
      <c r="I24" s="147" t="s">
        <v>37</v>
      </c>
      <c r="J24" s="148">
        <v>0.52</v>
      </c>
      <c r="K24" s="93">
        <v>68.75</v>
      </c>
      <c r="L24" s="192">
        <f>J24*K24</f>
        <v>35.75</v>
      </c>
      <c r="M24" s="182" t="s">
        <v>592</v>
      </c>
    </row>
    <row r="25" spans="1:13" s="161" customFormat="1" ht="22.2" customHeight="1" x14ac:dyDescent="0.3">
      <c r="A25" s="193" t="s">
        <v>187</v>
      </c>
      <c r="B25" s="185" t="s">
        <v>43</v>
      </c>
      <c r="C25" s="155" t="s">
        <v>37</v>
      </c>
      <c r="D25" s="158">
        <v>1.044</v>
      </c>
      <c r="E25" s="158">
        <v>166.66</v>
      </c>
      <c r="F25" s="159">
        <f t="shared" si="1"/>
        <v>173.99304000000001</v>
      </c>
      <c r="G25" s="186"/>
      <c r="H25" s="187"/>
      <c r="I25" s="187"/>
      <c r="J25" s="164"/>
      <c r="K25" s="165"/>
      <c r="L25" s="188">
        <f t="shared" si="0"/>
        <v>0</v>
      </c>
      <c r="M25" s="198" t="s">
        <v>593</v>
      </c>
    </row>
    <row r="26" spans="1:13" s="51" customFormat="1" x14ac:dyDescent="0.3">
      <c r="A26" s="66"/>
      <c r="B26" s="67"/>
      <c r="C26" s="66"/>
      <c r="D26" s="57"/>
      <c r="E26" s="57"/>
      <c r="F26" s="98">
        <f t="shared" si="1"/>
        <v>0</v>
      </c>
      <c r="G26" s="180"/>
      <c r="H26" s="147"/>
      <c r="I26" s="147"/>
      <c r="J26" s="148"/>
      <c r="K26" s="93"/>
      <c r="L26" s="92">
        <f t="shared" si="0"/>
        <v>0</v>
      </c>
      <c r="M26" s="182"/>
    </row>
    <row r="27" spans="1:13" s="51" customFormat="1" x14ac:dyDescent="0.3">
      <c r="A27" s="66"/>
      <c r="B27" s="67"/>
      <c r="C27" s="66"/>
      <c r="D27" s="118"/>
      <c r="E27" s="57"/>
      <c r="F27" s="98">
        <f t="shared" si="1"/>
        <v>0</v>
      </c>
      <c r="G27" s="183"/>
      <c r="H27" s="184"/>
      <c r="I27" s="184"/>
      <c r="J27" s="153"/>
      <c r="K27" s="93"/>
      <c r="L27" s="92">
        <f t="shared" si="0"/>
        <v>0</v>
      </c>
      <c r="M27" s="182"/>
    </row>
    <row r="28" spans="1:13" ht="15.6" x14ac:dyDescent="0.3">
      <c r="A28" s="46"/>
      <c r="B28" s="47" t="s">
        <v>24</v>
      </c>
      <c r="C28" s="48"/>
      <c r="D28" s="49"/>
      <c r="E28" s="49"/>
      <c r="F28" s="50">
        <f>SUM(F21:F27)</f>
        <v>53776.655720000002</v>
      </c>
      <c r="G28" s="35"/>
      <c r="H28" s="34"/>
      <c r="I28" s="36"/>
      <c r="J28" s="33">
        <f>SUM(J21:J27)</f>
        <v>0.67</v>
      </c>
      <c r="K28" s="33"/>
      <c r="L28" s="45">
        <f>SUM(L21:L27)</f>
        <v>4841.4954499999994</v>
      </c>
      <c r="M28" s="58"/>
    </row>
    <row r="29" spans="1:13" ht="16.2" thickBot="1" x14ac:dyDescent="0.35">
      <c r="A29" s="107"/>
      <c r="B29" s="108"/>
      <c r="C29" s="109"/>
      <c r="D29" s="110"/>
      <c r="E29" s="110"/>
      <c r="F29" s="110"/>
      <c r="G29" s="111"/>
      <c r="H29" s="112"/>
      <c r="I29" s="113"/>
      <c r="J29" s="114"/>
      <c r="K29" s="114"/>
      <c r="L29" s="114"/>
      <c r="M29" s="115"/>
    </row>
    <row r="30" spans="1:13" ht="15.6" customHeight="1" x14ac:dyDescent="0.3">
      <c r="A30" s="310" t="s">
        <v>38</v>
      </c>
      <c r="B30" s="311"/>
      <c r="C30" s="311"/>
      <c r="D30" s="311"/>
      <c r="E30" s="311"/>
      <c r="F30" s="311"/>
      <c r="G30" s="314" t="s">
        <v>26</v>
      </c>
      <c r="H30" s="314"/>
      <c r="I30" s="314"/>
      <c r="J30" s="314"/>
      <c r="K30" s="314"/>
      <c r="L30" s="314"/>
      <c r="M30" s="315"/>
    </row>
    <row r="31" spans="1:13" ht="15.6" customHeight="1" thickBot="1" x14ac:dyDescent="0.35">
      <c r="A31" s="312"/>
      <c r="B31" s="313"/>
      <c r="C31" s="313"/>
      <c r="D31" s="313"/>
      <c r="E31" s="313"/>
      <c r="F31" s="313"/>
      <c r="G31" s="316"/>
      <c r="H31" s="316"/>
      <c r="I31" s="316"/>
      <c r="J31" s="316"/>
      <c r="K31" s="316"/>
      <c r="L31" s="316"/>
      <c r="M31" s="317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5"/>
      <c r="M32" s="60"/>
    </row>
    <row r="33" spans="1:16" x14ac:dyDescent="0.3">
      <c r="A33" s="56"/>
      <c r="B33" s="42"/>
      <c r="C33" s="38"/>
      <c r="D33" s="39"/>
      <c r="E33" s="40"/>
      <c r="F33" s="41"/>
      <c r="G33" s="74"/>
      <c r="H33" s="71"/>
      <c r="I33" s="71"/>
      <c r="J33" s="72"/>
      <c r="L33" s="73"/>
      <c r="M33" s="60"/>
      <c r="P33" s="44"/>
    </row>
    <row r="34" spans="1:16" ht="15" thickBot="1" x14ac:dyDescent="0.35">
      <c r="A34" s="56"/>
      <c r="B34" s="42"/>
      <c r="C34" s="38"/>
      <c r="D34" s="39"/>
      <c r="E34" s="40"/>
      <c r="F34" s="41"/>
      <c r="G34" s="61"/>
      <c r="H34" s="61"/>
      <c r="I34" s="61"/>
      <c r="J34" s="62"/>
      <c r="K34" s="62"/>
      <c r="L34" s="63"/>
      <c r="M34" s="60"/>
      <c r="P34" s="44"/>
    </row>
    <row r="35" spans="1:16" ht="21.6" thickBot="1" x14ac:dyDescent="0.35">
      <c r="A35" s="27"/>
      <c r="B35" s="28" t="s">
        <v>31</v>
      </c>
      <c r="C35" s="29"/>
      <c r="D35" s="30">
        <f>SUM(D32:D34)</f>
        <v>0</v>
      </c>
      <c r="E35" s="30"/>
      <c r="F35" s="31">
        <f>SUM(F32:F34)</f>
        <v>0</v>
      </c>
      <c r="G35" s="24"/>
      <c r="H35" s="25"/>
      <c r="I35" s="25"/>
      <c r="J35" s="26">
        <f>SUM(J32:J34)</f>
        <v>0</v>
      </c>
      <c r="K35" s="26"/>
      <c r="L35" s="26">
        <f>SUM(L32:L34)</f>
        <v>0</v>
      </c>
      <c r="M35" s="14"/>
    </row>
    <row r="36" spans="1:16" ht="21.6" thickBot="1" x14ac:dyDescent="0.35">
      <c r="A36" s="15"/>
      <c r="B36" s="16" t="s">
        <v>32</v>
      </c>
      <c r="C36" s="17"/>
      <c r="D36" s="18">
        <f>D28+D35</f>
        <v>0</v>
      </c>
      <c r="E36" s="18"/>
      <c r="F36" s="19">
        <f>F28+F35</f>
        <v>53776.655720000002</v>
      </c>
      <c r="G36" s="20"/>
      <c r="H36" s="21"/>
      <c r="I36" s="21"/>
      <c r="J36" s="22">
        <f>J28+J35</f>
        <v>0.67</v>
      </c>
      <c r="K36" s="22"/>
      <c r="L36" s="22">
        <f>L28+L35</f>
        <v>4841.4954499999994</v>
      </c>
      <c r="M36" s="23"/>
    </row>
    <row r="37" spans="1:16" ht="25.05" customHeight="1" x14ac:dyDescent="0.4">
      <c r="A37" s="298" t="s">
        <v>12</v>
      </c>
      <c r="B37" s="298"/>
      <c r="C37" s="298"/>
      <c r="D37" s="298"/>
      <c r="E37" s="298"/>
      <c r="F37" s="298"/>
      <c r="G37" s="298"/>
      <c r="H37" s="298"/>
      <c r="I37" s="298"/>
      <c r="J37" s="85"/>
      <c r="K37" s="85"/>
      <c r="L37" s="85"/>
      <c r="M37" s="7"/>
    </row>
    <row r="38" spans="1:16" ht="25.05" customHeight="1" x14ac:dyDescent="0.4">
      <c r="A38" s="288" t="s">
        <v>13</v>
      </c>
      <c r="B38" s="288"/>
      <c r="C38" s="288"/>
      <c r="D38" s="288"/>
      <c r="E38" s="288"/>
      <c r="F38" s="288"/>
      <c r="G38" s="288"/>
      <c r="H38" s="288"/>
      <c r="I38" s="288"/>
      <c r="J38" s="84"/>
      <c r="K38" s="84"/>
      <c r="L38" s="43">
        <f>L35*100/L28</f>
        <v>0</v>
      </c>
      <c r="M38" s="7"/>
    </row>
    <row r="39" spans="1:16" ht="25.05" customHeight="1" x14ac:dyDescent="0.4">
      <c r="A39" s="289" t="s">
        <v>14</v>
      </c>
      <c r="B39" s="289"/>
      <c r="C39" s="289"/>
      <c r="D39" s="289"/>
      <c r="E39" s="289"/>
      <c r="F39" s="289"/>
      <c r="G39" s="289"/>
      <c r="H39" s="289"/>
      <c r="I39" s="289"/>
      <c r="J39" s="86"/>
      <c r="K39" s="86"/>
      <c r="L39" s="86"/>
      <c r="M39" s="7"/>
    </row>
    <row r="40" spans="1:16" ht="25.05" customHeight="1" x14ac:dyDescent="0.4">
      <c r="A40" s="288" t="s">
        <v>15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84"/>
      <c r="M40" s="7"/>
    </row>
    <row r="41" spans="1:16" ht="25.05" customHeight="1" x14ac:dyDescent="0.4">
      <c r="A41" s="288" t="s">
        <v>16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17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18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17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19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11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20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318" t="s">
        <v>33</v>
      </c>
      <c r="B48" s="318"/>
      <c r="C48" s="318"/>
      <c r="D48" s="318"/>
      <c r="E48" s="318"/>
      <c r="F48" s="318"/>
      <c r="G48" s="318"/>
      <c r="H48" s="318"/>
      <c r="I48" s="318"/>
      <c r="J48" s="87"/>
      <c r="K48" s="87"/>
      <c r="L48" s="87"/>
      <c r="M48" s="7"/>
    </row>
    <row r="49" spans="2:16" s="5" customFormat="1" ht="36" customHeight="1" x14ac:dyDescent="0.3">
      <c r="B49"/>
      <c r="H49"/>
      <c r="I49" s="6"/>
      <c r="J49" s="6"/>
      <c r="K49" s="6"/>
      <c r="L49" s="6"/>
      <c r="M49"/>
      <c r="N49"/>
      <c r="O49"/>
      <c r="P49"/>
    </row>
  </sheetData>
  <mergeCells count="33">
    <mergeCell ref="H17:L17"/>
    <mergeCell ref="M17:M18"/>
    <mergeCell ref="A30:F31"/>
    <mergeCell ref="G30:M31"/>
    <mergeCell ref="A48:I48"/>
    <mergeCell ref="A42:I42"/>
    <mergeCell ref="A44:I44"/>
    <mergeCell ref="A45:I45"/>
    <mergeCell ref="A46:I46"/>
    <mergeCell ref="A47:I47"/>
    <mergeCell ref="A43:I43"/>
    <mergeCell ref="A38:I38"/>
    <mergeCell ref="A39:I39"/>
    <mergeCell ref="A40:I40"/>
    <mergeCell ref="A41:I41"/>
    <mergeCell ref="A13:M13"/>
    <mergeCell ref="A14:M14"/>
    <mergeCell ref="A15:L15"/>
    <mergeCell ref="A16:F16"/>
    <mergeCell ref="G16:M16"/>
    <mergeCell ref="A37:I3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opLeftCell="C16" zoomScale="70" zoomScaleNormal="70" workbookViewId="0">
      <selection activeCell="N23" sqref="N23:N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600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48.6" x14ac:dyDescent="0.3">
      <c r="A20" s="95"/>
      <c r="B20" s="117" t="s">
        <v>172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15.6" customHeight="1" x14ac:dyDescent="0.3">
      <c r="A21" s="66"/>
      <c r="B21" s="139" t="s">
        <v>173</v>
      </c>
      <c r="C21" s="66"/>
      <c r="D21" s="118"/>
      <c r="E21" s="57"/>
      <c r="F21" s="98">
        <f>D21*E21</f>
        <v>0</v>
      </c>
      <c r="G21" s="120"/>
      <c r="H21" s="121"/>
      <c r="I21" s="121"/>
      <c r="J21" s="122"/>
      <c r="K21" s="88"/>
      <c r="L21" s="89"/>
      <c r="M21" s="13"/>
    </row>
    <row r="22" spans="1:13" s="161" customFormat="1" ht="31.8" customHeight="1" x14ac:dyDescent="0.3">
      <c r="A22" s="193" t="s">
        <v>174</v>
      </c>
      <c r="B22" s="185" t="s">
        <v>175</v>
      </c>
      <c r="C22" s="155" t="s">
        <v>35</v>
      </c>
      <c r="D22" s="158">
        <v>1.1599999999999999</v>
      </c>
      <c r="E22" s="158">
        <v>72258.42</v>
      </c>
      <c r="F22" s="159">
        <f t="shared" ref="F22:F28" si="0">D22*E22</f>
        <v>83819.767199999987</v>
      </c>
      <c r="G22" s="162"/>
      <c r="H22" s="163"/>
      <c r="I22" s="163"/>
      <c r="J22" s="164"/>
      <c r="K22" s="188"/>
      <c r="L22" s="188">
        <f t="shared" ref="L22:L28" si="1">J22*K22</f>
        <v>0</v>
      </c>
      <c r="M22" s="194" t="s">
        <v>601</v>
      </c>
    </row>
    <row r="23" spans="1:13" s="51" customFormat="1" ht="26.4" customHeight="1" x14ac:dyDescent="0.3">
      <c r="A23" s="65" t="s">
        <v>176</v>
      </c>
      <c r="B23" s="67" t="s">
        <v>177</v>
      </c>
      <c r="C23" s="66" t="s">
        <v>34</v>
      </c>
      <c r="D23" s="152">
        <v>2</v>
      </c>
      <c r="E23" s="152">
        <v>3091.66</v>
      </c>
      <c r="F23" s="98">
        <f t="shared" si="0"/>
        <v>6183.32</v>
      </c>
      <c r="G23" s="121" t="s">
        <v>413</v>
      </c>
      <c r="H23" s="121" t="s">
        <v>414</v>
      </c>
      <c r="I23" s="121" t="s">
        <v>34</v>
      </c>
      <c r="J23" s="148">
        <v>2</v>
      </c>
      <c r="K23" s="148">
        <v>2576.8649999999998</v>
      </c>
      <c r="L23" s="148">
        <f>K23*J23</f>
        <v>5153.7299999999996</v>
      </c>
      <c r="M23" s="76" t="s">
        <v>592</v>
      </c>
    </row>
    <row r="24" spans="1:13" s="51" customFormat="1" ht="28.8" x14ac:dyDescent="0.3">
      <c r="A24" s="65" t="s">
        <v>178</v>
      </c>
      <c r="B24" s="67" t="s">
        <v>179</v>
      </c>
      <c r="C24" s="66" t="s">
        <v>34</v>
      </c>
      <c r="D24" s="152">
        <v>1</v>
      </c>
      <c r="E24" s="152">
        <v>122590.6</v>
      </c>
      <c r="F24" s="98">
        <f t="shared" si="0"/>
        <v>122590.6</v>
      </c>
      <c r="G24" s="121" t="s">
        <v>506</v>
      </c>
      <c r="H24" s="121" t="s">
        <v>507</v>
      </c>
      <c r="I24" s="121" t="s">
        <v>90</v>
      </c>
      <c r="J24" s="148">
        <v>1</v>
      </c>
      <c r="K24" s="148">
        <v>108200</v>
      </c>
      <c r="L24" s="148">
        <f>K24*J24</f>
        <v>108200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48"/>
      <c r="K25" s="93"/>
      <c r="L25" s="92">
        <f t="shared" si="1"/>
        <v>0</v>
      </c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0"/>
        <v>0</v>
      </c>
      <c r="G26" s="120"/>
      <c r="H26" s="121"/>
      <c r="I26" s="121"/>
      <c r="J26" s="148"/>
      <c r="K26" s="93"/>
      <c r="L26" s="92">
        <f t="shared" si="1"/>
        <v>0</v>
      </c>
      <c r="M26" s="76"/>
    </row>
    <row r="27" spans="1:13" s="51" customFormat="1" x14ac:dyDescent="0.3">
      <c r="A27" s="66"/>
      <c r="B27" s="67"/>
      <c r="C27" s="66"/>
      <c r="D27" s="57"/>
      <c r="E27" s="57"/>
      <c r="F27" s="98">
        <f t="shared" si="0"/>
        <v>0</v>
      </c>
      <c r="G27" s="120"/>
      <c r="H27" s="121"/>
      <c r="I27" s="121"/>
      <c r="J27" s="148"/>
      <c r="K27" s="93"/>
      <c r="L27" s="92">
        <f t="shared" si="1"/>
        <v>0</v>
      </c>
      <c r="M27" s="76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125"/>
      <c r="H28" s="126"/>
      <c r="I28" s="126"/>
      <c r="J28" s="153"/>
      <c r="K28" s="93"/>
      <c r="L28" s="92">
        <f t="shared" si="1"/>
        <v>0</v>
      </c>
      <c r="M28" s="76"/>
    </row>
    <row r="29" spans="1:13" ht="15.6" x14ac:dyDescent="0.3">
      <c r="A29" s="46"/>
      <c r="B29" s="47" t="s">
        <v>24</v>
      </c>
      <c r="C29" s="48"/>
      <c r="D29" s="49"/>
      <c r="E29" s="49"/>
      <c r="F29" s="50">
        <f>SUM(F21:F28)</f>
        <v>212593.68719999999</v>
      </c>
      <c r="G29" s="35"/>
      <c r="H29" s="34"/>
      <c r="I29" s="36"/>
      <c r="J29" s="33">
        <f>SUM(J21:J28)</f>
        <v>3</v>
      </c>
      <c r="K29" s="33"/>
      <c r="L29" s="45">
        <f>SUM(L21:L28)</f>
        <v>113353.73</v>
      </c>
      <c r="M29" s="58"/>
    </row>
    <row r="30" spans="1:13" ht="16.2" thickBot="1" x14ac:dyDescent="0.35">
      <c r="A30" s="107"/>
      <c r="B30" s="108"/>
      <c r="C30" s="109"/>
      <c r="D30" s="110"/>
      <c r="E30" s="110"/>
      <c r="F30" s="110"/>
      <c r="G30" s="111"/>
      <c r="H30" s="112"/>
      <c r="I30" s="113"/>
      <c r="J30" s="114"/>
      <c r="K30" s="114"/>
      <c r="L30" s="114"/>
      <c r="M30" s="115"/>
    </row>
    <row r="31" spans="1:13" ht="15.6" customHeight="1" x14ac:dyDescent="0.3">
      <c r="A31" s="310" t="s">
        <v>38</v>
      </c>
      <c r="B31" s="311"/>
      <c r="C31" s="311"/>
      <c r="D31" s="311"/>
      <c r="E31" s="311"/>
      <c r="F31" s="311"/>
      <c r="G31" s="314" t="s">
        <v>26</v>
      </c>
      <c r="H31" s="314"/>
      <c r="I31" s="314"/>
      <c r="J31" s="314"/>
      <c r="K31" s="314"/>
      <c r="L31" s="314"/>
      <c r="M31" s="315"/>
    </row>
    <row r="32" spans="1:13" ht="15.6" customHeight="1" thickBot="1" x14ac:dyDescent="0.35">
      <c r="A32" s="312"/>
      <c r="B32" s="313"/>
      <c r="C32" s="313"/>
      <c r="D32" s="313"/>
      <c r="E32" s="313"/>
      <c r="F32" s="313"/>
      <c r="G32" s="316"/>
      <c r="H32" s="316"/>
      <c r="I32" s="316"/>
      <c r="J32" s="316"/>
      <c r="K32" s="316"/>
      <c r="L32" s="316"/>
      <c r="M32" s="317"/>
    </row>
    <row r="33" spans="1:16" x14ac:dyDescent="0.3">
      <c r="A33" s="56"/>
      <c r="B33" s="42"/>
      <c r="C33" s="38"/>
      <c r="D33" s="39"/>
      <c r="E33" s="57"/>
      <c r="F33" s="57"/>
      <c r="G33" s="121" t="s">
        <v>408</v>
      </c>
      <c r="H33" s="121" t="s">
        <v>409</v>
      </c>
      <c r="I33" s="121" t="s">
        <v>410</v>
      </c>
      <c r="J33" s="122">
        <v>1</v>
      </c>
      <c r="K33" s="122">
        <v>1125</v>
      </c>
      <c r="L33" s="123">
        <f>K33*J33</f>
        <v>1125</v>
      </c>
      <c r="M33" s="320" t="s">
        <v>602</v>
      </c>
    </row>
    <row r="34" spans="1:16" x14ac:dyDescent="0.3">
      <c r="A34" s="56"/>
      <c r="B34" s="42"/>
      <c r="C34" s="38"/>
      <c r="D34" s="39"/>
      <c r="E34" s="57"/>
      <c r="F34" s="57"/>
      <c r="G34" s="121" t="s">
        <v>431</v>
      </c>
      <c r="H34" s="121" t="s">
        <v>432</v>
      </c>
      <c r="I34" s="121" t="s">
        <v>34</v>
      </c>
      <c r="J34" s="122">
        <v>3</v>
      </c>
      <c r="K34" s="122">
        <v>97</v>
      </c>
      <c r="L34" s="123">
        <f t="shared" ref="L34:L42" si="2">K34*J34</f>
        <v>291</v>
      </c>
      <c r="M34" s="321"/>
    </row>
    <row r="35" spans="1:16" x14ac:dyDescent="0.3">
      <c r="A35" s="56"/>
      <c r="B35" s="42"/>
      <c r="C35" s="38"/>
      <c r="D35" s="39"/>
      <c r="E35" s="57"/>
      <c r="F35" s="57"/>
      <c r="G35" s="121" t="s">
        <v>433</v>
      </c>
      <c r="H35" s="121" t="s">
        <v>434</v>
      </c>
      <c r="I35" s="121" t="s">
        <v>410</v>
      </c>
      <c r="J35" s="122">
        <v>1</v>
      </c>
      <c r="K35" s="122">
        <v>625</v>
      </c>
      <c r="L35" s="123">
        <f t="shared" si="2"/>
        <v>625</v>
      </c>
      <c r="M35" s="321"/>
    </row>
    <row r="36" spans="1:16" x14ac:dyDescent="0.3">
      <c r="A36" s="56"/>
      <c r="B36" s="42"/>
      <c r="C36" s="38"/>
      <c r="D36" s="39"/>
      <c r="E36" s="57"/>
      <c r="F36" s="57"/>
      <c r="G36" s="121" t="s">
        <v>492</v>
      </c>
      <c r="H36" s="121" t="s">
        <v>493</v>
      </c>
      <c r="I36" s="121" t="s">
        <v>37</v>
      </c>
      <c r="J36" s="122">
        <v>10</v>
      </c>
      <c r="K36" s="122">
        <v>135</v>
      </c>
      <c r="L36" s="123">
        <f>K36*J36</f>
        <v>1350</v>
      </c>
      <c r="M36" s="321"/>
      <c r="P36" s="44"/>
    </row>
    <row r="37" spans="1:16" x14ac:dyDescent="0.3">
      <c r="A37" s="56"/>
      <c r="B37" s="42"/>
      <c r="C37" s="38"/>
      <c r="D37" s="39"/>
      <c r="E37" s="57"/>
      <c r="F37" s="57"/>
      <c r="G37" s="121" t="s">
        <v>550</v>
      </c>
      <c r="H37" s="121" t="s">
        <v>551</v>
      </c>
      <c r="I37" s="121" t="s">
        <v>34</v>
      </c>
      <c r="J37" s="122">
        <v>2</v>
      </c>
      <c r="K37" s="122">
        <v>47</v>
      </c>
      <c r="L37" s="123">
        <f t="shared" si="2"/>
        <v>94</v>
      </c>
      <c r="M37" s="321"/>
      <c r="P37" s="44"/>
    </row>
    <row r="38" spans="1:16" x14ac:dyDescent="0.3">
      <c r="A38" s="56"/>
      <c r="B38" s="55"/>
      <c r="C38" s="59"/>
      <c r="D38" s="59"/>
      <c r="E38" s="59"/>
      <c r="F38" s="59"/>
      <c r="G38" s="121" t="s">
        <v>552</v>
      </c>
      <c r="H38" s="121" t="s">
        <v>553</v>
      </c>
      <c r="I38" s="121" t="s">
        <v>34</v>
      </c>
      <c r="J38" s="122">
        <v>2</v>
      </c>
      <c r="K38" s="122">
        <v>58.4</v>
      </c>
      <c r="L38" s="123">
        <f t="shared" si="2"/>
        <v>116.8</v>
      </c>
      <c r="M38" s="321"/>
      <c r="P38" s="44"/>
    </row>
    <row r="39" spans="1:16" x14ac:dyDescent="0.3">
      <c r="A39" s="56"/>
      <c r="B39" s="42"/>
      <c r="C39" s="38"/>
      <c r="D39" s="39"/>
      <c r="E39" s="40"/>
      <c r="F39" s="41"/>
      <c r="G39" s="121" t="s">
        <v>82</v>
      </c>
      <c r="H39" s="121" t="s">
        <v>83</v>
      </c>
      <c r="I39" s="121" t="s">
        <v>34</v>
      </c>
      <c r="J39" s="122">
        <v>1</v>
      </c>
      <c r="K39" s="122">
        <v>718.43</v>
      </c>
      <c r="L39" s="123">
        <f t="shared" si="2"/>
        <v>718.43</v>
      </c>
      <c r="M39" s="321"/>
      <c r="P39" s="44"/>
    </row>
    <row r="40" spans="1:16" x14ac:dyDescent="0.3">
      <c r="A40" s="56"/>
      <c r="B40" s="42"/>
      <c r="C40" s="38"/>
      <c r="D40" s="39"/>
      <c r="E40" s="40"/>
      <c r="F40" s="41"/>
      <c r="G40" s="121" t="s">
        <v>118</v>
      </c>
      <c r="H40" s="121" t="s">
        <v>119</v>
      </c>
      <c r="I40" s="121" t="s">
        <v>37</v>
      </c>
      <c r="J40" s="122">
        <v>0.4</v>
      </c>
      <c r="K40" s="122">
        <v>140.39999999999998</v>
      </c>
      <c r="L40" s="123">
        <f t="shared" si="2"/>
        <v>56.16</v>
      </c>
      <c r="M40" s="321"/>
    </row>
    <row r="41" spans="1:16" x14ac:dyDescent="0.3">
      <c r="A41" s="56"/>
      <c r="B41" s="42"/>
      <c r="C41" s="38"/>
      <c r="D41" s="39"/>
      <c r="E41" s="40"/>
      <c r="F41" s="41"/>
      <c r="G41" s="121" t="s">
        <v>556</v>
      </c>
      <c r="H41" s="121" t="s">
        <v>557</v>
      </c>
      <c r="I41" s="121" t="s">
        <v>34</v>
      </c>
      <c r="J41" s="122">
        <v>1</v>
      </c>
      <c r="K41" s="122">
        <v>506.8</v>
      </c>
      <c r="L41" s="123">
        <f t="shared" si="2"/>
        <v>506.8</v>
      </c>
      <c r="M41" s="321"/>
    </row>
    <row r="42" spans="1:16" x14ac:dyDescent="0.3">
      <c r="A42" s="56"/>
      <c r="B42" s="42"/>
      <c r="C42" s="38"/>
      <c r="D42" s="39"/>
      <c r="E42" s="40"/>
      <c r="F42" s="41"/>
      <c r="G42" s="121" t="s">
        <v>558</v>
      </c>
      <c r="H42" s="121" t="s">
        <v>559</v>
      </c>
      <c r="I42" s="121" t="s">
        <v>34</v>
      </c>
      <c r="J42" s="122">
        <v>20</v>
      </c>
      <c r="K42" s="122">
        <v>27</v>
      </c>
      <c r="L42" s="123">
        <f t="shared" si="2"/>
        <v>540</v>
      </c>
      <c r="M42" s="321"/>
      <c r="P42" s="44"/>
    </row>
    <row r="43" spans="1:16" x14ac:dyDescent="0.3">
      <c r="A43" s="56"/>
      <c r="B43" s="42"/>
      <c r="C43" s="38"/>
      <c r="D43" s="39"/>
      <c r="E43" s="40"/>
      <c r="F43" s="41"/>
      <c r="G43" s="74"/>
      <c r="H43" s="71"/>
      <c r="I43" s="71"/>
      <c r="J43" s="72"/>
      <c r="K43" s="75"/>
      <c r="L43" s="75"/>
      <c r="M43" s="60"/>
      <c r="P43" s="44"/>
    </row>
    <row r="44" spans="1:16" x14ac:dyDescent="0.3">
      <c r="A44" s="56"/>
      <c r="B44" s="42"/>
      <c r="C44" s="38"/>
      <c r="D44" s="39"/>
      <c r="E44" s="40"/>
      <c r="F44" s="41"/>
      <c r="G44" s="74"/>
      <c r="H44" s="71"/>
      <c r="I44" s="71"/>
      <c r="J44" s="72"/>
      <c r="L44" s="73"/>
      <c r="M44" s="60"/>
      <c r="P44" s="44"/>
    </row>
    <row r="45" spans="1:16" ht="15" thickBot="1" x14ac:dyDescent="0.35">
      <c r="A45" s="56"/>
      <c r="B45" s="42"/>
      <c r="C45" s="38"/>
      <c r="D45" s="39"/>
      <c r="E45" s="40"/>
      <c r="F45" s="41"/>
      <c r="G45" s="61"/>
      <c r="H45" s="61"/>
      <c r="I45" s="61"/>
      <c r="J45" s="62"/>
      <c r="K45" s="62"/>
      <c r="L45" s="63"/>
      <c r="M45" s="60"/>
      <c r="P45" s="44"/>
    </row>
    <row r="46" spans="1:16" ht="21.6" thickBot="1" x14ac:dyDescent="0.35">
      <c r="A46" s="27"/>
      <c r="B46" s="28" t="s">
        <v>31</v>
      </c>
      <c r="C46" s="29"/>
      <c r="D46" s="30">
        <f>SUM(D33:D45)</f>
        <v>0</v>
      </c>
      <c r="E46" s="30"/>
      <c r="F46" s="31">
        <f>SUM(F33:F45)</f>
        <v>0</v>
      </c>
      <c r="G46" s="24"/>
      <c r="H46" s="25"/>
      <c r="I46" s="25"/>
      <c r="J46" s="26">
        <f>SUM(J33:J45)</f>
        <v>41.4</v>
      </c>
      <c r="K46" s="26"/>
      <c r="L46" s="26">
        <f>SUM(L33:L45)</f>
        <v>5423.1900000000005</v>
      </c>
      <c r="M46" s="14"/>
    </row>
    <row r="47" spans="1:16" ht="21.6" thickBot="1" x14ac:dyDescent="0.35">
      <c r="A47" s="15"/>
      <c r="B47" s="16" t="s">
        <v>32</v>
      </c>
      <c r="C47" s="17"/>
      <c r="D47" s="18">
        <f>D29+D46</f>
        <v>0</v>
      </c>
      <c r="E47" s="18"/>
      <c r="F47" s="19">
        <f>F29+F46</f>
        <v>212593.68719999999</v>
      </c>
      <c r="G47" s="20"/>
      <c r="H47" s="21"/>
      <c r="I47" s="21"/>
      <c r="J47" s="22">
        <f>J29+J46</f>
        <v>44.4</v>
      </c>
      <c r="K47" s="22"/>
      <c r="L47" s="22">
        <f>L29+L46</f>
        <v>118776.92</v>
      </c>
      <c r="M47" s="23"/>
    </row>
    <row r="48" spans="1:16" ht="25.05" customHeight="1" x14ac:dyDescent="0.4">
      <c r="A48" s="298" t="s">
        <v>12</v>
      </c>
      <c r="B48" s="298"/>
      <c r="C48" s="298"/>
      <c r="D48" s="298"/>
      <c r="E48" s="298"/>
      <c r="F48" s="298"/>
      <c r="G48" s="298"/>
      <c r="H48" s="298"/>
      <c r="I48" s="298"/>
      <c r="J48" s="85"/>
      <c r="K48" s="85"/>
      <c r="L48" s="85"/>
      <c r="M48" s="7"/>
    </row>
    <row r="49" spans="1:16" ht="25.05" customHeight="1" x14ac:dyDescent="0.4">
      <c r="A49" s="288" t="s">
        <v>13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195">
        <f>L46*100/L29</f>
        <v>4.7843066125834595</v>
      </c>
      <c r="M49" s="7"/>
    </row>
    <row r="50" spans="1:16" ht="25.05" customHeight="1" x14ac:dyDescent="0.4">
      <c r="A50" s="289" t="s">
        <v>14</v>
      </c>
      <c r="B50" s="289"/>
      <c r="C50" s="289"/>
      <c r="D50" s="289"/>
      <c r="E50" s="289"/>
      <c r="F50" s="289"/>
      <c r="G50" s="289"/>
      <c r="H50" s="289"/>
      <c r="I50" s="289"/>
      <c r="J50" s="86"/>
      <c r="K50" s="86"/>
      <c r="L50" s="86"/>
      <c r="M50" s="7"/>
    </row>
    <row r="51" spans="1:16" ht="25.05" customHeight="1" x14ac:dyDescent="0.4">
      <c r="A51" s="288" t="s">
        <v>15</v>
      </c>
      <c r="B51" s="288"/>
      <c r="C51" s="288"/>
      <c r="D51" s="288"/>
      <c r="E51" s="288"/>
      <c r="F51" s="288"/>
      <c r="G51" s="288"/>
      <c r="H51" s="288"/>
      <c r="I51" s="288"/>
      <c r="J51" s="84"/>
      <c r="K51" s="84"/>
      <c r="L51" s="84"/>
      <c r="M51" s="7"/>
    </row>
    <row r="52" spans="1:16" ht="25.05" customHeight="1" x14ac:dyDescent="0.4">
      <c r="A52" s="288" t="s">
        <v>16</v>
      </c>
      <c r="B52" s="288"/>
      <c r="C52" s="288"/>
      <c r="D52" s="288"/>
      <c r="E52" s="288"/>
      <c r="F52" s="288"/>
      <c r="G52" s="288"/>
      <c r="H52" s="288"/>
      <c r="I52" s="288"/>
      <c r="J52" s="84"/>
      <c r="K52" s="84"/>
      <c r="L52" s="84"/>
      <c r="M52" s="7"/>
    </row>
    <row r="53" spans="1:16" ht="25.05" customHeight="1" x14ac:dyDescent="0.4">
      <c r="A53" s="288" t="s">
        <v>17</v>
      </c>
      <c r="B53" s="288"/>
      <c r="C53" s="288"/>
      <c r="D53" s="288"/>
      <c r="E53" s="288"/>
      <c r="F53" s="288"/>
      <c r="G53" s="288"/>
      <c r="H53" s="288"/>
      <c r="I53" s="288"/>
      <c r="J53" s="84"/>
      <c r="K53" s="84"/>
      <c r="L53" s="84"/>
      <c r="M53" s="7"/>
    </row>
    <row r="54" spans="1:16" ht="25.05" customHeight="1" x14ac:dyDescent="0.4">
      <c r="A54" s="288" t="s">
        <v>18</v>
      </c>
      <c r="B54" s="288"/>
      <c r="C54" s="288"/>
      <c r="D54" s="288"/>
      <c r="E54" s="288"/>
      <c r="F54" s="288"/>
      <c r="G54" s="288"/>
      <c r="H54" s="288"/>
      <c r="I54" s="288"/>
      <c r="J54" s="84"/>
      <c r="K54" s="84"/>
      <c r="L54" s="84"/>
      <c r="M54" s="7"/>
    </row>
    <row r="55" spans="1:16" ht="25.05" customHeight="1" x14ac:dyDescent="0.4">
      <c r="A55" s="288" t="s">
        <v>17</v>
      </c>
      <c r="B55" s="288"/>
      <c r="C55" s="288"/>
      <c r="D55" s="288"/>
      <c r="E55" s="288"/>
      <c r="F55" s="288"/>
      <c r="G55" s="288"/>
      <c r="H55" s="288"/>
      <c r="I55" s="288"/>
      <c r="J55" s="84"/>
      <c r="K55" s="84"/>
      <c r="L55" s="84"/>
      <c r="M55" s="7"/>
    </row>
    <row r="56" spans="1:16" ht="25.05" customHeight="1" x14ac:dyDescent="0.4">
      <c r="A56" s="288" t="s">
        <v>19</v>
      </c>
      <c r="B56" s="288"/>
      <c r="C56" s="288"/>
      <c r="D56" s="288"/>
      <c r="E56" s="288"/>
      <c r="F56" s="288"/>
      <c r="G56" s="288"/>
      <c r="H56" s="288"/>
      <c r="I56" s="288"/>
      <c r="J56" s="84"/>
      <c r="K56" s="84"/>
      <c r="L56" s="84"/>
      <c r="M56" s="7"/>
    </row>
    <row r="57" spans="1:16" ht="25.05" customHeight="1" x14ac:dyDescent="0.4">
      <c r="A57" s="288" t="s">
        <v>11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84"/>
      <c r="M57" s="7"/>
    </row>
    <row r="58" spans="1:16" ht="25.05" customHeight="1" x14ac:dyDescent="0.4">
      <c r="A58" s="288" t="s">
        <v>20</v>
      </c>
      <c r="B58" s="288"/>
      <c r="C58" s="288"/>
      <c r="D58" s="288"/>
      <c r="E58" s="288"/>
      <c r="F58" s="288"/>
      <c r="G58" s="288"/>
      <c r="H58" s="288"/>
      <c r="I58" s="288"/>
      <c r="J58" s="84"/>
      <c r="K58" s="84"/>
      <c r="L58" s="84"/>
      <c r="M58" s="7"/>
    </row>
    <row r="59" spans="1:16" ht="25.05" customHeight="1" x14ac:dyDescent="0.4">
      <c r="A59" s="318" t="s">
        <v>33</v>
      </c>
      <c r="B59" s="318"/>
      <c r="C59" s="318"/>
      <c r="D59" s="318"/>
      <c r="E59" s="318"/>
      <c r="F59" s="318"/>
      <c r="G59" s="318"/>
      <c r="H59" s="318"/>
      <c r="I59" s="318"/>
      <c r="J59" s="87"/>
      <c r="K59" s="87"/>
      <c r="L59" s="87"/>
      <c r="M59" s="7"/>
    </row>
    <row r="60" spans="1:16" s="5" customFormat="1" ht="36" customHeight="1" x14ac:dyDescent="0.3">
      <c r="B60"/>
      <c r="H60"/>
      <c r="I60" s="6"/>
      <c r="J60" s="6"/>
      <c r="K60" s="6"/>
      <c r="L60" s="6"/>
      <c r="M60"/>
      <c r="N60"/>
      <c r="O60"/>
      <c r="P60"/>
    </row>
  </sheetData>
  <mergeCells count="34">
    <mergeCell ref="A59:I59"/>
    <mergeCell ref="M33:M42"/>
    <mergeCell ref="A53:I53"/>
    <mergeCell ref="A55:I55"/>
    <mergeCell ref="A56:I56"/>
    <mergeCell ref="A57:I57"/>
    <mergeCell ref="A58:I58"/>
    <mergeCell ref="A54:I54"/>
    <mergeCell ref="A48:I48"/>
    <mergeCell ref="A49:I49"/>
    <mergeCell ref="A50:I50"/>
    <mergeCell ref="A51:I51"/>
    <mergeCell ref="A52:I52"/>
    <mergeCell ref="F17:F18"/>
    <mergeCell ref="H17:L17"/>
    <mergeCell ref="M17:M18"/>
    <mergeCell ref="A31:F32"/>
    <mergeCell ref="G31:M32"/>
    <mergeCell ref="A17:A18"/>
    <mergeCell ref="B17:B18"/>
    <mergeCell ref="C17:C18"/>
    <mergeCell ref="D17:D18"/>
    <mergeCell ref="E17:E18"/>
    <mergeCell ref="A13:M13"/>
    <mergeCell ref="A14:M14"/>
    <mergeCell ref="A15:L15"/>
    <mergeCell ref="A16:F16"/>
    <mergeCell ref="G16:M16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opLeftCell="A14" zoomScale="70" zoomScaleNormal="70" workbookViewId="0">
      <selection activeCell="B24" sqref="B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599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165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x14ac:dyDescent="0.3">
      <c r="A21" s="66"/>
      <c r="B21" s="132" t="s">
        <v>57</v>
      </c>
      <c r="C21" s="66"/>
      <c r="D21" s="118"/>
      <c r="E21" s="57"/>
      <c r="F21" s="98">
        <f t="shared" ref="F21:F26" si="0">D21*E21</f>
        <v>0</v>
      </c>
      <c r="G21" s="124"/>
      <c r="H21" s="124"/>
      <c r="I21" s="124"/>
      <c r="J21" s="190"/>
      <c r="K21" s="92"/>
      <c r="L21" s="92">
        <f t="shared" ref="L21:L26" si="1">J21*K21</f>
        <v>0</v>
      </c>
      <c r="M21" s="181"/>
    </row>
    <row r="22" spans="1:13" s="51" customFormat="1" ht="26.4" x14ac:dyDescent="0.3">
      <c r="A22" s="66" t="s">
        <v>166</v>
      </c>
      <c r="B22" s="67" t="s">
        <v>167</v>
      </c>
      <c r="C22" s="66" t="s">
        <v>56</v>
      </c>
      <c r="D22" s="118">
        <v>2</v>
      </c>
      <c r="E22" s="57">
        <v>188.3</v>
      </c>
      <c r="F22" s="98">
        <f t="shared" si="0"/>
        <v>376.6</v>
      </c>
      <c r="G22" s="138"/>
      <c r="H22" s="138"/>
      <c r="I22" s="138"/>
      <c r="J22" s="191"/>
      <c r="K22" s="93"/>
      <c r="L22" s="92">
        <f t="shared" si="1"/>
        <v>0</v>
      </c>
      <c r="M22" s="182" t="s">
        <v>598</v>
      </c>
    </row>
    <row r="23" spans="1:13" s="51" customFormat="1" ht="26.4" x14ac:dyDescent="0.3">
      <c r="A23" s="133" t="s">
        <v>168</v>
      </c>
      <c r="B23" s="134" t="s">
        <v>169</v>
      </c>
      <c r="C23" s="133" t="s">
        <v>56</v>
      </c>
      <c r="D23" s="135">
        <v>2</v>
      </c>
      <c r="E23" s="136">
        <v>335.34</v>
      </c>
      <c r="F23" s="137">
        <f t="shared" si="0"/>
        <v>670.68</v>
      </c>
      <c r="G23" s="128"/>
      <c r="H23" s="129"/>
      <c r="I23" s="129"/>
      <c r="J23" s="192"/>
      <c r="K23" s="130"/>
      <c r="L23" s="92">
        <f t="shared" si="1"/>
        <v>0</v>
      </c>
      <c r="M23" s="182" t="s">
        <v>598</v>
      </c>
    </row>
    <row r="24" spans="1:13" s="51" customFormat="1" x14ac:dyDescent="0.3">
      <c r="A24" s="66" t="s">
        <v>170</v>
      </c>
      <c r="B24" s="67" t="s">
        <v>171</v>
      </c>
      <c r="C24" s="66" t="s">
        <v>56</v>
      </c>
      <c r="D24" s="118">
        <v>2</v>
      </c>
      <c r="E24" s="57">
        <v>30.81</v>
      </c>
      <c r="F24" s="98">
        <f t="shared" si="0"/>
        <v>61.62</v>
      </c>
      <c r="G24" s="120"/>
      <c r="H24" s="121"/>
      <c r="I24" s="121"/>
      <c r="J24" s="148"/>
      <c r="K24" s="93"/>
      <c r="L24" s="92">
        <f t="shared" si="1"/>
        <v>0</v>
      </c>
      <c r="M24" s="182" t="s">
        <v>598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0"/>
        <v>0</v>
      </c>
      <c r="G25" s="120"/>
      <c r="H25" s="121"/>
      <c r="I25" s="121"/>
      <c r="J25" s="148"/>
      <c r="K25" s="93"/>
      <c r="L25" s="92">
        <f t="shared" si="1"/>
        <v>0</v>
      </c>
      <c r="M25" s="182"/>
    </row>
    <row r="26" spans="1:13" s="51" customFormat="1" x14ac:dyDescent="0.3">
      <c r="A26" s="66"/>
      <c r="B26" s="67"/>
      <c r="C26" s="66"/>
      <c r="D26" s="57"/>
      <c r="E26" s="57"/>
      <c r="F26" s="98">
        <f t="shared" si="0"/>
        <v>0</v>
      </c>
      <c r="G26" s="120"/>
      <c r="H26" s="121"/>
      <c r="I26" s="121"/>
      <c r="J26" s="148"/>
      <c r="K26" s="93"/>
      <c r="L26" s="92">
        <f t="shared" si="1"/>
        <v>0</v>
      </c>
      <c r="M26" s="182"/>
    </row>
    <row r="27" spans="1:13" ht="15.6" x14ac:dyDescent="0.3">
      <c r="A27" s="46"/>
      <c r="B27" s="47" t="s">
        <v>24</v>
      </c>
      <c r="C27" s="48"/>
      <c r="D27" s="49"/>
      <c r="E27" s="49"/>
      <c r="F27" s="50">
        <f>SUM(F21:F26)</f>
        <v>1108.8999999999999</v>
      </c>
      <c r="G27" s="35"/>
      <c r="H27" s="34"/>
      <c r="I27" s="36"/>
      <c r="J27" s="33">
        <f>SUM(J21:J26)</f>
        <v>0</v>
      </c>
      <c r="K27" s="33"/>
      <c r="L27" s="45">
        <f>SUM(L21:L26)</f>
        <v>0</v>
      </c>
      <c r="M27" s="58"/>
    </row>
    <row r="28" spans="1:13" ht="16.2" thickBot="1" x14ac:dyDescent="0.35">
      <c r="A28" s="107"/>
      <c r="B28" s="108"/>
      <c r="C28" s="109"/>
      <c r="D28" s="110"/>
      <c r="E28" s="110"/>
      <c r="F28" s="110"/>
      <c r="G28" s="111"/>
      <c r="H28" s="112"/>
      <c r="I28" s="113"/>
      <c r="J28" s="114"/>
      <c r="K28" s="114"/>
      <c r="L28" s="114"/>
      <c r="M28" s="115"/>
    </row>
    <row r="29" spans="1:13" ht="15.6" customHeight="1" x14ac:dyDescent="0.3">
      <c r="A29" s="310" t="s">
        <v>38</v>
      </c>
      <c r="B29" s="311"/>
      <c r="C29" s="311"/>
      <c r="D29" s="311"/>
      <c r="E29" s="311"/>
      <c r="F29" s="311"/>
      <c r="G29" s="314" t="s">
        <v>26</v>
      </c>
      <c r="H29" s="314"/>
      <c r="I29" s="314"/>
      <c r="J29" s="314"/>
      <c r="K29" s="314"/>
      <c r="L29" s="314"/>
      <c r="M29" s="315"/>
    </row>
    <row r="30" spans="1:13" ht="15.6" customHeight="1" thickBot="1" x14ac:dyDescent="0.35">
      <c r="A30" s="312"/>
      <c r="B30" s="313"/>
      <c r="C30" s="313"/>
      <c r="D30" s="313"/>
      <c r="E30" s="313"/>
      <c r="F30" s="313"/>
      <c r="G30" s="316"/>
      <c r="H30" s="316"/>
      <c r="I30" s="316"/>
      <c r="J30" s="316"/>
      <c r="K30" s="316"/>
      <c r="L30" s="316"/>
      <c r="M30" s="317"/>
    </row>
    <row r="31" spans="1:13" x14ac:dyDescent="0.3">
      <c r="A31" s="56"/>
      <c r="B31" s="42"/>
      <c r="C31" s="38"/>
      <c r="D31" s="39"/>
      <c r="E31" s="57"/>
      <c r="F31" s="57"/>
      <c r="G31" s="121"/>
      <c r="H31" s="121"/>
      <c r="I31" s="121"/>
      <c r="J31" s="122"/>
      <c r="K31" s="122"/>
      <c r="L31" s="131"/>
      <c r="M31" s="60"/>
    </row>
    <row r="32" spans="1:13" x14ac:dyDescent="0.3">
      <c r="A32" s="56"/>
      <c r="B32" s="42"/>
      <c r="C32" s="38"/>
      <c r="D32" s="39"/>
      <c r="E32" s="57"/>
      <c r="F32" s="57"/>
      <c r="G32" s="74"/>
      <c r="H32" s="71"/>
      <c r="I32" s="71"/>
      <c r="J32" s="72"/>
      <c r="K32" s="75"/>
      <c r="L32" s="73"/>
      <c r="M32" s="60"/>
    </row>
    <row r="33" spans="1:16" x14ac:dyDescent="0.3">
      <c r="A33" s="56"/>
      <c r="B33" s="42"/>
      <c r="C33" s="38"/>
      <c r="D33" s="39"/>
      <c r="E33" s="40"/>
      <c r="F33" s="41"/>
      <c r="G33" s="74"/>
      <c r="H33" s="71"/>
      <c r="I33" s="71"/>
      <c r="J33" s="72"/>
      <c r="L33" s="73"/>
      <c r="M33" s="60"/>
      <c r="P33" s="44"/>
    </row>
    <row r="34" spans="1:16" ht="15" thickBot="1" x14ac:dyDescent="0.35">
      <c r="A34" s="56"/>
      <c r="B34" s="42"/>
      <c r="C34" s="38"/>
      <c r="D34" s="39"/>
      <c r="E34" s="40"/>
      <c r="F34" s="41"/>
      <c r="G34" s="61"/>
      <c r="H34" s="61"/>
      <c r="I34" s="61"/>
      <c r="J34" s="62"/>
      <c r="K34" s="62"/>
      <c r="L34" s="63"/>
      <c r="M34" s="60"/>
      <c r="P34" s="44"/>
    </row>
    <row r="35" spans="1:16" ht="21.6" thickBot="1" x14ac:dyDescent="0.35">
      <c r="A35" s="27"/>
      <c r="B35" s="28" t="s">
        <v>31</v>
      </c>
      <c r="C35" s="29"/>
      <c r="D35" s="30">
        <f>SUM(D31:D34)</f>
        <v>0</v>
      </c>
      <c r="E35" s="30"/>
      <c r="F35" s="31">
        <f>SUM(F31:F34)</f>
        <v>0</v>
      </c>
      <c r="G35" s="24"/>
      <c r="H35" s="25"/>
      <c r="I35" s="25"/>
      <c r="J35" s="26">
        <f>SUM(J31:J34)</f>
        <v>0</v>
      </c>
      <c r="K35" s="26"/>
      <c r="L35" s="26">
        <f>SUM(L31:L34)</f>
        <v>0</v>
      </c>
      <c r="M35" s="14"/>
    </row>
    <row r="36" spans="1:16" ht="21.6" thickBot="1" x14ac:dyDescent="0.35">
      <c r="A36" s="15"/>
      <c r="B36" s="16" t="s">
        <v>32</v>
      </c>
      <c r="C36" s="17"/>
      <c r="D36" s="18">
        <f>D27+D35</f>
        <v>0</v>
      </c>
      <c r="E36" s="18"/>
      <c r="F36" s="19">
        <f>F27+F35</f>
        <v>1108.8999999999999</v>
      </c>
      <c r="G36" s="20"/>
      <c r="H36" s="21"/>
      <c r="I36" s="21"/>
      <c r="J36" s="22">
        <f>J27+J35</f>
        <v>0</v>
      </c>
      <c r="K36" s="22"/>
      <c r="L36" s="22">
        <f>L27+L35</f>
        <v>0</v>
      </c>
      <c r="M36" s="23"/>
    </row>
    <row r="37" spans="1:16" ht="25.05" customHeight="1" x14ac:dyDescent="0.4">
      <c r="A37" s="298" t="s">
        <v>12</v>
      </c>
      <c r="B37" s="298"/>
      <c r="C37" s="298"/>
      <c r="D37" s="298"/>
      <c r="E37" s="298"/>
      <c r="F37" s="298"/>
      <c r="G37" s="298"/>
      <c r="H37" s="298"/>
      <c r="I37" s="298"/>
      <c r="J37" s="85"/>
      <c r="K37" s="85"/>
      <c r="L37" s="85"/>
      <c r="M37" s="7"/>
    </row>
    <row r="38" spans="1:16" ht="25.05" customHeight="1" x14ac:dyDescent="0.4">
      <c r="A38" s="288" t="s">
        <v>13</v>
      </c>
      <c r="B38" s="288"/>
      <c r="C38" s="288"/>
      <c r="D38" s="288"/>
      <c r="E38" s="288"/>
      <c r="F38" s="288"/>
      <c r="G38" s="288"/>
      <c r="H38" s="288"/>
      <c r="I38" s="288"/>
      <c r="J38" s="84"/>
      <c r="K38" s="84"/>
      <c r="L38" s="43"/>
      <c r="M38" s="7"/>
    </row>
    <row r="39" spans="1:16" ht="25.05" customHeight="1" x14ac:dyDescent="0.4">
      <c r="A39" s="289" t="s">
        <v>14</v>
      </c>
      <c r="B39" s="289"/>
      <c r="C39" s="289"/>
      <c r="D39" s="289"/>
      <c r="E39" s="289"/>
      <c r="F39" s="289"/>
      <c r="G39" s="289"/>
      <c r="H39" s="289"/>
      <c r="I39" s="289"/>
      <c r="J39" s="86"/>
      <c r="K39" s="86"/>
      <c r="L39" s="86"/>
      <c r="M39" s="7"/>
    </row>
    <row r="40" spans="1:16" ht="25.05" customHeight="1" x14ac:dyDescent="0.4">
      <c r="A40" s="288" t="s">
        <v>15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84"/>
      <c r="M40" s="7"/>
    </row>
    <row r="41" spans="1:16" ht="25.05" customHeight="1" x14ac:dyDescent="0.4">
      <c r="A41" s="288" t="s">
        <v>16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84"/>
      <c r="M41" s="7"/>
    </row>
    <row r="42" spans="1:16" ht="25.05" customHeight="1" x14ac:dyDescent="0.4">
      <c r="A42" s="288" t="s">
        <v>17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18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17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19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11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20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318" t="s">
        <v>33</v>
      </c>
      <c r="B48" s="318"/>
      <c r="C48" s="318"/>
      <c r="D48" s="318"/>
      <c r="E48" s="318"/>
      <c r="F48" s="318"/>
      <c r="G48" s="318"/>
      <c r="H48" s="318"/>
      <c r="I48" s="318"/>
      <c r="J48" s="87"/>
      <c r="K48" s="87"/>
      <c r="L48" s="87"/>
      <c r="M48" s="7"/>
    </row>
    <row r="49" spans="2:16" s="5" customFormat="1" ht="36" customHeight="1" x14ac:dyDescent="0.3">
      <c r="B49"/>
      <c r="H49"/>
      <c r="I49" s="6"/>
      <c r="J49" s="6"/>
      <c r="K49" s="6"/>
      <c r="L49" s="6"/>
      <c r="M49"/>
      <c r="N49"/>
      <c r="O49"/>
      <c r="P49"/>
    </row>
  </sheetData>
  <mergeCells count="33">
    <mergeCell ref="H17:L17"/>
    <mergeCell ref="M17:M18"/>
    <mergeCell ref="A29:F30"/>
    <mergeCell ref="G29:M30"/>
    <mergeCell ref="A48:I48"/>
    <mergeCell ref="A42:I42"/>
    <mergeCell ref="A44:I44"/>
    <mergeCell ref="A45:I45"/>
    <mergeCell ref="A46:I46"/>
    <mergeCell ref="A47:I47"/>
    <mergeCell ref="A43:I43"/>
    <mergeCell ref="A38:I38"/>
    <mergeCell ref="A39:I39"/>
    <mergeCell ref="A40:I40"/>
    <mergeCell ref="A41:I41"/>
    <mergeCell ref="A13:M13"/>
    <mergeCell ref="A14:M14"/>
    <mergeCell ref="A15:L15"/>
    <mergeCell ref="A16:F16"/>
    <mergeCell ref="G16:M16"/>
    <mergeCell ref="A37:I37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topLeftCell="A13" zoomScale="70" zoomScaleNormal="70" workbookViewId="0">
      <selection activeCell="M24" sqref="M24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597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64.8" x14ac:dyDescent="0.3">
      <c r="A20" s="95"/>
      <c r="B20" s="117" t="s">
        <v>157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161" customFormat="1" ht="44.4" customHeight="1" x14ac:dyDescent="0.3">
      <c r="A21" s="155" t="s">
        <v>158</v>
      </c>
      <c r="B21" s="185" t="s">
        <v>159</v>
      </c>
      <c r="C21" s="155" t="s">
        <v>56</v>
      </c>
      <c r="D21" s="158">
        <v>22.9</v>
      </c>
      <c r="E21" s="158">
        <v>186.18</v>
      </c>
      <c r="F21" s="159">
        <f>D21*E21</f>
        <v>4263.5219999999999</v>
      </c>
      <c r="G21" s="186"/>
      <c r="H21" s="187"/>
      <c r="I21" s="187"/>
      <c r="J21" s="164"/>
      <c r="K21" s="188"/>
      <c r="L21" s="188">
        <f>J21*K21</f>
        <v>0</v>
      </c>
      <c r="M21" s="189" t="s">
        <v>593</v>
      </c>
    </row>
    <row r="22" spans="1:13" s="51" customFormat="1" ht="21" customHeight="1" x14ac:dyDescent="0.3">
      <c r="A22" s="66" t="s">
        <v>160</v>
      </c>
      <c r="B22" s="67" t="s">
        <v>161</v>
      </c>
      <c r="C22" s="66" t="s">
        <v>34</v>
      </c>
      <c r="D22" s="152">
        <v>1</v>
      </c>
      <c r="E22" s="152">
        <v>170.96</v>
      </c>
      <c r="F22" s="98">
        <f t="shared" ref="F22:F28" si="0">D22*E22</f>
        <v>170.96</v>
      </c>
      <c r="G22" s="147" t="s">
        <v>530</v>
      </c>
      <c r="H22" s="147" t="s">
        <v>531</v>
      </c>
      <c r="I22" s="147" t="s">
        <v>34</v>
      </c>
      <c r="J22" s="148">
        <v>1</v>
      </c>
      <c r="K22" s="148">
        <v>150.9</v>
      </c>
      <c r="L22" s="148">
        <f>J22*K22</f>
        <v>150.9</v>
      </c>
      <c r="M22" s="181" t="s">
        <v>592</v>
      </c>
    </row>
    <row r="23" spans="1:13" s="51" customFormat="1" ht="26.4" x14ac:dyDescent="0.3">
      <c r="A23" s="66" t="s">
        <v>134</v>
      </c>
      <c r="B23" s="67" t="s">
        <v>162</v>
      </c>
      <c r="C23" s="66" t="s">
        <v>34</v>
      </c>
      <c r="D23" s="152">
        <v>1</v>
      </c>
      <c r="E23" s="152">
        <v>3415.5</v>
      </c>
      <c r="F23" s="98">
        <f t="shared" si="0"/>
        <v>3415.5</v>
      </c>
      <c r="G23" s="147" t="s">
        <v>502</v>
      </c>
      <c r="H23" s="147" t="s">
        <v>503</v>
      </c>
      <c r="I23" s="147" t="s">
        <v>34</v>
      </c>
      <c r="J23" s="148">
        <v>1</v>
      </c>
      <c r="K23" s="148">
        <f>L23/J23</f>
        <v>3105</v>
      </c>
      <c r="L23" s="148">
        <v>3105</v>
      </c>
      <c r="M23" s="182"/>
    </row>
    <row r="24" spans="1:13" s="51" customFormat="1" ht="19.8" customHeight="1" x14ac:dyDescent="0.3">
      <c r="A24" s="66" t="s">
        <v>136</v>
      </c>
      <c r="B24" s="67" t="s">
        <v>163</v>
      </c>
      <c r="C24" s="66" t="s">
        <v>39</v>
      </c>
      <c r="D24" s="152">
        <v>8.5</v>
      </c>
      <c r="E24" s="152">
        <v>92.08</v>
      </c>
      <c r="F24" s="98">
        <f t="shared" si="0"/>
        <v>782.68</v>
      </c>
      <c r="G24" s="180"/>
      <c r="H24" s="147"/>
      <c r="I24" s="147"/>
      <c r="J24" s="148"/>
      <c r="K24" s="93"/>
      <c r="L24" s="92">
        <f t="shared" ref="L24:L28" si="1">J24*K24</f>
        <v>0</v>
      </c>
      <c r="M24" s="189" t="s">
        <v>593</v>
      </c>
    </row>
    <row r="25" spans="1:13" s="51" customFormat="1" ht="18.600000000000001" customHeight="1" x14ac:dyDescent="0.3">
      <c r="A25" s="66" t="s">
        <v>164</v>
      </c>
      <c r="B25" s="67" t="s">
        <v>41</v>
      </c>
      <c r="C25" s="66" t="s">
        <v>35</v>
      </c>
      <c r="D25" s="152">
        <v>9.4000000000000004E-3</v>
      </c>
      <c r="E25" s="152">
        <v>83333.33</v>
      </c>
      <c r="F25" s="98">
        <f t="shared" si="0"/>
        <v>783.333302</v>
      </c>
      <c r="G25" s="180"/>
      <c r="H25" s="147"/>
      <c r="I25" s="147"/>
      <c r="J25" s="148"/>
      <c r="K25" s="93"/>
      <c r="L25" s="92">
        <f t="shared" si="1"/>
        <v>0</v>
      </c>
      <c r="M25" s="189" t="s">
        <v>593</v>
      </c>
    </row>
    <row r="26" spans="1:13" s="51" customFormat="1" x14ac:dyDescent="0.3">
      <c r="A26" s="66"/>
      <c r="B26" s="67"/>
      <c r="C26" s="66"/>
      <c r="D26" s="57"/>
      <c r="E26" s="57"/>
      <c r="F26" s="98">
        <f t="shared" si="0"/>
        <v>0</v>
      </c>
      <c r="G26" s="180"/>
      <c r="H26" s="147"/>
      <c r="I26" s="147"/>
      <c r="J26" s="148"/>
      <c r="K26" s="93"/>
      <c r="L26" s="92">
        <f t="shared" si="1"/>
        <v>0</v>
      </c>
      <c r="M26" s="182"/>
    </row>
    <row r="27" spans="1:13" s="51" customFormat="1" x14ac:dyDescent="0.3">
      <c r="A27" s="66"/>
      <c r="B27" s="67"/>
      <c r="C27" s="66"/>
      <c r="D27" s="118"/>
      <c r="E27" s="57"/>
      <c r="F27" s="98">
        <f t="shared" si="0"/>
        <v>0</v>
      </c>
      <c r="G27" s="183"/>
      <c r="H27" s="184"/>
      <c r="I27" s="184"/>
      <c r="J27" s="153"/>
      <c r="K27" s="93"/>
      <c r="L27" s="92">
        <f t="shared" si="1"/>
        <v>0</v>
      </c>
      <c r="M27" s="182"/>
    </row>
    <row r="28" spans="1:13" s="51" customFormat="1" x14ac:dyDescent="0.3">
      <c r="A28" s="66"/>
      <c r="B28" s="67"/>
      <c r="C28" s="66"/>
      <c r="D28" s="118"/>
      <c r="E28" s="57"/>
      <c r="F28" s="98">
        <f t="shared" si="0"/>
        <v>0</v>
      </c>
      <c r="G28" s="93"/>
      <c r="H28" s="93"/>
      <c r="I28" s="182"/>
      <c r="J28" s="182"/>
      <c r="K28" s="93"/>
      <c r="L28" s="92">
        <f t="shared" si="1"/>
        <v>0</v>
      </c>
      <c r="M28" s="182"/>
    </row>
    <row r="29" spans="1:13" ht="15.6" x14ac:dyDescent="0.3">
      <c r="A29" s="46"/>
      <c r="B29" s="47" t="s">
        <v>24</v>
      </c>
      <c r="C29" s="48"/>
      <c r="D29" s="49"/>
      <c r="E29" s="49"/>
      <c r="F29" s="50">
        <f>SUM(F21:F28)</f>
        <v>9415.9953019999994</v>
      </c>
      <c r="G29" s="35"/>
      <c r="H29" s="34"/>
      <c r="I29" s="36"/>
      <c r="J29" s="33">
        <f>SUM(J21:J28)</f>
        <v>2</v>
      </c>
      <c r="K29" s="33"/>
      <c r="L29" s="45">
        <f>SUM(L21:L28)</f>
        <v>3255.9</v>
      </c>
      <c r="M29" s="58"/>
    </row>
    <row r="30" spans="1:13" ht="16.2" thickBot="1" x14ac:dyDescent="0.35">
      <c r="A30" s="107"/>
      <c r="B30" s="108"/>
      <c r="C30" s="109"/>
      <c r="D30" s="110"/>
      <c r="E30" s="110"/>
      <c r="F30" s="110"/>
      <c r="G30" s="111"/>
      <c r="H30" s="112"/>
      <c r="I30" s="113"/>
      <c r="J30" s="114"/>
      <c r="K30" s="114"/>
      <c r="L30" s="114"/>
      <c r="M30" s="115"/>
    </row>
    <row r="31" spans="1:13" ht="15.6" customHeight="1" x14ac:dyDescent="0.3">
      <c r="A31" s="310" t="s">
        <v>38</v>
      </c>
      <c r="B31" s="311"/>
      <c r="C31" s="311"/>
      <c r="D31" s="311"/>
      <c r="E31" s="311"/>
      <c r="F31" s="311"/>
      <c r="G31" s="314" t="s">
        <v>26</v>
      </c>
      <c r="H31" s="314"/>
      <c r="I31" s="314"/>
      <c r="J31" s="314"/>
      <c r="K31" s="314"/>
      <c r="L31" s="314"/>
      <c r="M31" s="315"/>
    </row>
    <row r="32" spans="1:13" ht="15.6" customHeight="1" thickBot="1" x14ac:dyDescent="0.35">
      <c r="A32" s="312"/>
      <c r="B32" s="313"/>
      <c r="C32" s="313"/>
      <c r="D32" s="313"/>
      <c r="E32" s="313"/>
      <c r="F32" s="313"/>
      <c r="G32" s="316"/>
      <c r="H32" s="316"/>
      <c r="I32" s="316"/>
      <c r="J32" s="316"/>
      <c r="K32" s="316"/>
      <c r="L32" s="316"/>
      <c r="M32" s="317"/>
    </row>
    <row r="33" spans="1:16" x14ac:dyDescent="0.3">
      <c r="A33" s="56"/>
      <c r="B33" s="42"/>
      <c r="C33" s="38"/>
      <c r="D33" s="39"/>
      <c r="E33" s="40"/>
      <c r="F33" s="41"/>
      <c r="G33" s="74"/>
      <c r="H33" s="71"/>
      <c r="I33" s="71"/>
      <c r="J33" s="72"/>
      <c r="K33" s="75"/>
      <c r="L33" s="75"/>
      <c r="M33" s="60"/>
    </row>
    <row r="34" spans="1:16" x14ac:dyDescent="0.3">
      <c r="A34" s="56"/>
      <c r="B34" s="42"/>
      <c r="C34" s="38"/>
      <c r="D34" s="39"/>
      <c r="E34" s="40"/>
      <c r="F34" s="41"/>
      <c r="G34" s="74"/>
      <c r="H34" s="71"/>
      <c r="I34" s="71"/>
      <c r="J34" s="72"/>
      <c r="K34" s="75"/>
      <c r="L34" s="75"/>
      <c r="M34" s="60"/>
      <c r="P34" s="44"/>
    </row>
    <row r="35" spans="1:16" x14ac:dyDescent="0.3">
      <c r="A35" s="56"/>
      <c r="B35" s="42"/>
      <c r="C35" s="38"/>
      <c r="D35" s="39"/>
      <c r="E35" s="40"/>
      <c r="F35" s="41"/>
      <c r="G35" s="74"/>
      <c r="H35" s="71"/>
      <c r="I35" s="71"/>
      <c r="J35" s="72"/>
      <c r="K35" s="75"/>
      <c r="L35" s="75"/>
      <c r="M35" s="60"/>
      <c r="P35" s="44"/>
    </row>
    <row r="36" spans="1:16" x14ac:dyDescent="0.3">
      <c r="A36" s="56"/>
      <c r="B36" s="42"/>
      <c r="C36" s="38"/>
      <c r="D36" s="39"/>
      <c r="E36" s="40"/>
      <c r="F36" s="41"/>
      <c r="G36" s="74"/>
      <c r="H36" s="71"/>
      <c r="I36" s="71"/>
      <c r="J36" s="72"/>
      <c r="L36" s="73"/>
      <c r="M36" s="60"/>
      <c r="P36" s="44"/>
    </row>
    <row r="37" spans="1:16" ht="15" thickBot="1" x14ac:dyDescent="0.35">
      <c r="A37" s="56"/>
      <c r="B37" s="42"/>
      <c r="C37" s="38"/>
      <c r="D37" s="39"/>
      <c r="E37" s="40"/>
      <c r="F37" s="41"/>
      <c r="G37" s="61"/>
      <c r="H37" s="61"/>
      <c r="I37" s="61"/>
      <c r="J37" s="62"/>
      <c r="K37" s="62"/>
      <c r="L37" s="63"/>
      <c r="M37" s="60"/>
      <c r="P37" s="44"/>
    </row>
    <row r="38" spans="1:16" ht="21.6" thickBot="1" x14ac:dyDescent="0.35">
      <c r="A38" s="27"/>
      <c r="B38" s="28" t="s">
        <v>31</v>
      </c>
      <c r="C38" s="29"/>
      <c r="D38" s="30">
        <f>SUM(D33:D37)</f>
        <v>0</v>
      </c>
      <c r="E38" s="30"/>
      <c r="F38" s="31">
        <f>SUM(F33:F37)</f>
        <v>0</v>
      </c>
      <c r="G38" s="24"/>
      <c r="H38" s="25"/>
      <c r="I38" s="25"/>
      <c r="J38" s="26">
        <f>SUM(J33:J37)</f>
        <v>0</v>
      </c>
      <c r="K38" s="26"/>
      <c r="L38" s="26">
        <f>SUM(L33:L37)</f>
        <v>0</v>
      </c>
      <c r="M38" s="14"/>
    </row>
    <row r="39" spans="1:16" ht="21.6" thickBot="1" x14ac:dyDescent="0.35">
      <c r="A39" s="15"/>
      <c r="B39" s="16" t="s">
        <v>32</v>
      </c>
      <c r="C39" s="17"/>
      <c r="D39" s="18">
        <f>D29+D38</f>
        <v>0</v>
      </c>
      <c r="E39" s="18"/>
      <c r="F39" s="19">
        <f>F29+F38</f>
        <v>9415.9953019999994</v>
      </c>
      <c r="G39" s="20"/>
      <c r="H39" s="21"/>
      <c r="I39" s="21"/>
      <c r="J39" s="22">
        <f>J29+J38</f>
        <v>2</v>
      </c>
      <c r="K39" s="22"/>
      <c r="L39" s="22">
        <f>L29+L38</f>
        <v>3255.9</v>
      </c>
      <c r="M39" s="23"/>
    </row>
    <row r="40" spans="1:16" ht="25.05" customHeight="1" x14ac:dyDescent="0.4">
      <c r="A40" s="298" t="s">
        <v>12</v>
      </c>
      <c r="B40" s="298"/>
      <c r="C40" s="298"/>
      <c r="D40" s="298"/>
      <c r="E40" s="298"/>
      <c r="F40" s="298"/>
      <c r="G40" s="298"/>
      <c r="H40" s="298"/>
      <c r="I40" s="298"/>
      <c r="J40" s="85"/>
      <c r="K40" s="85"/>
      <c r="L40" s="85"/>
      <c r="M40" s="7"/>
    </row>
    <row r="41" spans="1:16" ht="25.05" customHeight="1" x14ac:dyDescent="0.4">
      <c r="A41" s="288" t="s">
        <v>13</v>
      </c>
      <c r="B41" s="288"/>
      <c r="C41" s="288"/>
      <c r="D41" s="288"/>
      <c r="E41" s="288"/>
      <c r="F41" s="288"/>
      <c r="G41" s="288"/>
      <c r="H41" s="288"/>
      <c r="I41" s="288"/>
      <c r="J41" s="84"/>
      <c r="K41" s="84"/>
      <c r="L41" s="43">
        <f>L38*100/L29</f>
        <v>0</v>
      </c>
      <c r="M41" s="7"/>
    </row>
    <row r="42" spans="1:16" ht="25.05" customHeight="1" x14ac:dyDescent="0.4">
      <c r="A42" s="289" t="s">
        <v>14</v>
      </c>
      <c r="B42" s="289"/>
      <c r="C42" s="289"/>
      <c r="D42" s="289"/>
      <c r="E42" s="289"/>
      <c r="F42" s="289"/>
      <c r="G42" s="289"/>
      <c r="H42" s="289"/>
      <c r="I42" s="289"/>
      <c r="J42" s="86"/>
      <c r="K42" s="86"/>
      <c r="L42" s="86"/>
      <c r="M42" s="7"/>
    </row>
    <row r="43" spans="1:16" ht="25.05" customHeight="1" x14ac:dyDescent="0.4">
      <c r="A43" s="288" t="s">
        <v>15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16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17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18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17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19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288" t="s">
        <v>11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288" t="s">
        <v>20</v>
      </c>
      <c r="B50" s="288"/>
      <c r="C50" s="288"/>
      <c r="D50" s="288"/>
      <c r="E50" s="288"/>
      <c r="F50" s="288"/>
      <c r="G50" s="288"/>
      <c r="H50" s="288"/>
      <c r="I50" s="288"/>
      <c r="J50" s="84"/>
      <c r="K50" s="84"/>
      <c r="L50" s="84"/>
      <c r="M50" s="7"/>
    </row>
    <row r="51" spans="1:16" ht="25.05" customHeight="1" x14ac:dyDescent="0.4">
      <c r="A51" s="318" t="s">
        <v>33</v>
      </c>
      <c r="B51" s="318"/>
      <c r="C51" s="318"/>
      <c r="D51" s="318"/>
      <c r="E51" s="318"/>
      <c r="F51" s="318"/>
      <c r="G51" s="318"/>
      <c r="H51" s="318"/>
      <c r="I51" s="318"/>
      <c r="J51" s="87"/>
      <c r="K51" s="87"/>
      <c r="L51" s="87"/>
      <c r="M51" s="7"/>
    </row>
    <row r="52" spans="1:16" s="5" customFormat="1" ht="36" customHeight="1" x14ac:dyDescent="0.3">
      <c r="B52"/>
      <c r="H52"/>
      <c r="I52" s="6"/>
      <c r="J52" s="6"/>
      <c r="K52" s="6"/>
      <c r="L52" s="6"/>
      <c r="M52"/>
      <c r="N52"/>
      <c r="O52"/>
      <c r="P52"/>
    </row>
  </sheetData>
  <mergeCells count="33">
    <mergeCell ref="H17:L17"/>
    <mergeCell ref="M17:M18"/>
    <mergeCell ref="A31:F32"/>
    <mergeCell ref="G31:M32"/>
    <mergeCell ref="A51:I51"/>
    <mergeCell ref="A45:I45"/>
    <mergeCell ref="A47:I47"/>
    <mergeCell ref="A48:I48"/>
    <mergeCell ref="A49:I49"/>
    <mergeCell ref="A50:I50"/>
    <mergeCell ref="A46:I46"/>
    <mergeCell ref="A41:I41"/>
    <mergeCell ref="A42:I42"/>
    <mergeCell ref="A43:I43"/>
    <mergeCell ref="A44:I44"/>
    <mergeCell ref="A13:M13"/>
    <mergeCell ref="A14:M14"/>
    <mergeCell ref="A15:L15"/>
    <mergeCell ref="A16:F16"/>
    <mergeCell ref="G16:M16"/>
    <mergeCell ref="A40:I40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8"/>
  <sheetViews>
    <sheetView topLeftCell="A20" zoomScale="70" zoomScaleNormal="70" workbookViewId="0">
      <selection activeCell="M35" sqref="M35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3.6640625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595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4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4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4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4" ht="64.8" x14ac:dyDescent="0.3">
      <c r="A20" s="95"/>
      <c r="B20" s="117" t="s">
        <v>591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4" s="161" customFormat="1" ht="21" customHeight="1" x14ac:dyDescent="0.3">
      <c r="A21" s="155" t="s">
        <v>132</v>
      </c>
      <c r="B21" s="156" t="s">
        <v>133</v>
      </c>
      <c r="C21" s="157" t="s">
        <v>35</v>
      </c>
      <c r="D21" s="158">
        <v>1.26</v>
      </c>
      <c r="E21" s="158">
        <v>29840.9</v>
      </c>
      <c r="F21" s="159">
        <f>D21*E21</f>
        <v>37599.534</v>
      </c>
      <c r="G21" s="160"/>
      <c r="H21" s="160"/>
      <c r="I21" s="160"/>
      <c r="J21" s="160"/>
      <c r="K21" s="160"/>
      <c r="L21" s="160"/>
      <c r="M21" s="82" t="s">
        <v>84</v>
      </c>
    </row>
    <row r="22" spans="1:14" s="51" customFormat="1" ht="19.8" customHeight="1" x14ac:dyDescent="0.3">
      <c r="A22" s="66" t="s">
        <v>134</v>
      </c>
      <c r="B22" s="150" t="s">
        <v>135</v>
      </c>
      <c r="C22" s="151" t="s">
        <v>35</v>
      </c>
      <c r="D22" s="152">
        <v>0.11899999999999999</v>
      </c>
      <c r="E22" s="152">
        <v>50320.83</v>
      </c>
      <c r="F22" s="98">
        <f t="shared" ref="F22:F39" si="0">D22*E22</f>
        <v>5988.1787699999995</v>
      </c>
      <c r="G22" s="121" t="s">
        <v>95</v>
      </c>
      <c r="H22" s="121" t="s">
        <v>96</v>
      </c>
      <c r="I22" s="121" t="s">
        <v>44</v>
      </c>
      <c r="J22" s="148">
        <v>0.107</v>
      </c>
      <c r="K22" s="148">
        <v>48154.579439252338</v>
      </c>
      <c r="L22" s="148">
        <f>K22*J22</f>
        <v>5152.54</v>
      </c>
      <c r="M22" s="13" t="s">
        <v>592</v>
      </c>
      <c r="N22" s="51">
        <v>48154.579439252338</v>
      </c>
    </row>
    <row r="23" spans="1:14" s="51" customFormat="1" ht="18.600000000000001" customHeight="1" x14ac:dyDescent="0.3">
      <c r="A23" s="66" t="s">
        <v>136</v>
      </c>
      <c r="B23" s="150" t="s">
        <v>137</v>
      </c>
      <c r="C23" s="151" t="s">
        <v>35</v>
      </c>
      <c r="D23" s="152">
        <v>0.60699999999999998</v>
      </c>
      <c r="E23" s="152">
        <v>50320.83</v>
      </c>
      <c r="F23" s="98">
        <f t="shared" si="0"/>
        <v>30544.74381</v>
      </c>
      <c r="G23" s="121" t="s">
        <v>510</v>
      </c>
      <c r="H23" s="121" t="s">
        <v>511</v>
      </c>
      <c r="I23" s="121" t="s">
        <v>44</v>
      </c>
      <c r="J23" s="148">
        <v>0.61</v>
      </c>
      <c r="K23" s="148">
        <v>48154.502999999997</v>
      </c>
      <c r="L23" s="148">
        <f t="shared" ref="L23:L35" si="1">K23*J23</f>
        <v>29374.246829999996</v>
      </c>
      <c r="M23" s="76" t="s">
        <v>592</v>
      </c>
      <c r="N23" s="51">
        <v>61179.901639344258</v>
      </c>
    </row>
    <row r="24" spans="1:14" s="161" customFormat="1" ht="18" customHeight="1" x14ac:dyDescent="0.3">
      <c r="A24" s="155" t="s">
        <v>138</v>
      </c>
      <c r="B24" s="156" t="s">
        <v>139</v>
      </c>
      <c r="C24" s="157" t="s">
        <v>35</v>
      </c>
      <c r="D24" s="158">
        <v>0.122</v>
      </c>
      <c r="E24" s="158">
        <v>35997.160000000003</v>
      </c>
      <c r="F24" s="159">
        <f t="shared" si="0"/>
        <v>4391.6535200000008</v>
      </c>
      <c r="G24" s="162"/>
      <c r="H24" s="163"/>
      <c r="I24" s="163"/>
      <c r="J24" s="164"/>
      <c r="K24" s="165"/>
      <c r="L24" s="148">
        <f t="shared" si="1"/>
        <v>0</v>
      </c>
      <c r="M24" s="82" t="s">
        <v>84</v>
      </c>
    </row>
    <row r="25" spans="1:14" s="161" customFormat="1" ht="20.399999999999999" customHeight="1" x14ac:dyDescent="0.3">
      <c r="A25" s="155" t="s">
        <v>140</v>
      </c>
      <c r="B25" s="156" t="s">
        <v>141</v>
      </c>
      <c r="C25" s="157" t="s">
        <v>35</v>
      </c>
      <c r="D25" s="158">
        <v>3.1E-2</v>
      </c>
      <c r="E25" s="158">
        <v>35515.49</v>
      </c>
      <c r="F25" s="159">
        <f t="shared" si="0"/>
        <v>1100.98019</v>
      </c>
      <c r="G25" s="162"/>
      <c r="H25" s="163"/>
      <c r="I25" s="163"/>
      <c r="J25" s="164"/>
      <c r="K25" s="165"/>
      <c r="L25" s="148">
        <f t="shared" si="1"/>
        <v>0</v>
      </c>
      <c r="M25" s="82" t="s">
        <v>84</v>
      </c>
    </row>
    <row r="26" spans="1:14" s="177" customFormat="1" ht="19.8" customHeight="1" x14ac:dyDescent="0.3">
      <c r="A26" s="171" t="s">
        <v>142</v>
      </c>
      <c r="B26" s="172" t="s">
        <v>143</v>
      </c>
      <c r="C26" s="173" t="s">
        <v>35</v>
      </c>
      <c r="D26" s="174">
        <v>0.214</v>
      </c>
      <c r="E26" s="174">
        <v>37514.71</v>
      </c>
      <c r="F26" s="172">
        <f t="shared" si="0"/>
        <v>8028.1479399999998</v>
      </c>
      <c r="G26" s="175" t="s">
        <v>536</v>
      </c>
      <c r="H26" s="175" t="s">
        <v>537</v>
      </c>
      <c r="I26" s="175" t="s">
        <v>44</v>
      </c>
      <c r="J26" s="176">
        <v>7.0000000000000007E-2</v>
      </c>
      <c r="K26" s="176">
        <v>33273.571428571428</v>
      </c>
      <c r="L26" s="176">
        <f t="shared" si="1"/>
        <v>2329.15</v>
      </c>
      <c r="M26" s="13" t="s">
        <v>596</v>
      </c>
      <c r="N26" s="177">
        <v>33273.571428571428</v>
      </c>
    </row>
    <row r="27" spans="1:14" s="177" customFormat="1" ht="22.2" customHeight="1" x14ac:dyDescent="0.3">
      <c r="A27" s="171" t="s">
        <v>144</v>
      </c>
      <c r="B27" s="172" t="s">
        <v>145</v>
      </c>
      <c r="C27" s="173" t="s">
        <v>35</v>
      </c>
      <c r="D27" s="174">
        <v>0.36099999999999999</v>
      </c>
      <c r="E27" s="174">
        <v>40970.54</v>
      </c>
      <c r="F27" s="172">
        <f t="shared" si="0"/>
        <v>14790.364939999999</v>
      </c>
      <c r="G27" s="175" t="s">
        <v>45</v>
      </c>
      <c r="H27" s="175" t="s">
        <v>46</v>
      </c>
      <c r="I27" s="175" t="s">
        <v>35</v>
      </c>
      <c r="J27" s="176">
        <v>0.63</v>
      </c>
      <c r="K27" s="176">
        <v>28837.984</v>
      </c>
      <c r="L27" s="176">
        <v>4152.6696959999999</v>
      </c>
      <c r="M27" s="13" t="s">
        <v>596</v>
      </c>
      <c r="N27" s="177">
        <v>28837.984</v>
      </c>
    </row>
    <row r="28" spans="1:14" s="177" customFormat="1" ht="21" customHeight="1" x14ac:dyDescent="0.3">
      <c r="A28" s="171" t="s">
        <v>146</v>
      </c>
      <c r="B28" s="172" t="s">
        <v>147</v>
      </c>
      <c r="C28" s="173" t="s">
        <v>35</v>
      </c>
      <c r="D28" s="174">
        <v>4.3999999999999997E-2</v>
      </c>
      <c r="E28" s="174">
        <v>39818.449999999997</v>
      </c>
      <c r="F28" s="172">
        <f t="shared" si="0"/>
        <v>1752.0117999999998</v>
      </c>
      <c r="G28" s="178"/>
      <c r="H28" s="175"/>
      <c r="I28" s="175"/>
      <c r="J28" s="176"/>
      <c r="K28" s="179"/>
      <c r="L28" s="176">
        <f t="shared" si="1"/>
        <v>0</v>
      </c>
      <c r="M28" s="13" t="s">
        <v>596</v>
      </c>
    </row>
    <row r="29" spans="1:14" s="51" customFormat="1" ht="20.399999999999999" customHeight="1" x14ac:dyDescent="0.3">
      <c r="A29" s="66" t="s">
        <v>148</v>
      </c>
      <c r="B29" s="150" t="s">
        <v>149</v>
      </c>
      <c r="C29" s="151" t="s">
        <v>35</v>
      </c>
      <c r="D29" s="152">
        <v>0.16700000000000001</v>
      </c>
      <c r="E29" s="152">
        <v>36446.9</v>
      </c>
      <c r="F29" s="98">
        <f t="shared" si="0"/>
        <v>6086.6323000000002</v>
      </c>
      <c r="G29" s="121" t="s">
        <v>538</v>
      </c>
      <c r="H29" s="121" t="s">
        <v>539</v>
      </c>
      <c r="I29" s="121" t="s">
        <v>44</v>
      </c>
      <c r="J29" s="148">
        <v>0.16700000000000001</v>
      </c>
      <c r="K29" s="148">
        <v>33747.125748502993</v>
      </c>
      <c r="L29" s="148">
        <f t="shared" si="1"/>
        <v>5635.77</v>
      </c>
      <c r="M29" s="76" t="s">
        <v>592</v>
      </c>
      <c r="N29" s="51">
        <v>33747.125748502993</v>
      </c>
    </row>
    <row r="30" spans="1:14" s="51" customFormat="1" ht="20.399999999999999" customHeight="1" x14ac:dyDescent="0.3">
      <c r="A30" s="66" t="s">
        <v>150</v>
      </c>
      <c r="B30" s="150" t="s">
        <v>151</v>
      </c>
      <c r="C30" s="151" t="s">
        <v>35</v>
      </c>
      <c r="D30" s="152">
        <v>2.875</v>
      </c>
      <c r="E30" s="152">
        <v>35280</v>
      </c>
      <c r="F30" s="98">
        <f t="shared" si="0"/>
        <v>101430</v>
      </c>
      <c r="G30" s="121" t="s">
        <v>514</v>
      </c>
      <c r="H30" s="121" t="s">
        <v>515</v>
      </c>
      <c r="I30" s="121" t="s">
        <v>44</v>
      </c>
      <c r="J30" s="148">
        <v>2.875</v>
      </c>
      <c r="K30" s="148">
        <v>32016.223999999998</v>
      </c>
      <c r="L30" s="148">
        <f t="shared" si="1"/>
        <v>92046.644</v>
      </c>
      <c r="M30" s="76" t="s">
        <v>592</v>
      </c>
      <c r="N30" s="51">
        <v>32016.223999999998</v>
      </c>
    </row>
    <row r="31" spans="1:14" s="161" customFormat="1" ht="20.399999999999999" customHeight="1" x14ac:dyDescent="0.3">
      <c r="A31" s="155" t="s">
        <v>152</v>
      </c>
      <c r="B31" s="156" t="s">
        <v>153</v>
      </c>
      <c r="C31" s="157" t="s">
        <v>34</v>
      </c>
      <c r="D31" s="158">
        <v>36</v>
      </c>
      <c r="E31" s="158">
        <v>129.75</v>
      </c>
      <c r="F31" s="159">
        <f t="shared" si="0"/>
        <v>4671</v>
      </c>
      <c r="G31" s="166"/>
      <c r="H31" s="167"/>
      <c r="I31" s="168"/>
      <c r="J31" s="169"/>
      <c r="K31" s="165"/>
      <c r="L31" s="148">
        <f t="shared" si="1"/>
        <v>0</v>
      </c>
      <c r="M31" s="82" t="s">
        <v>84</v>
      </c>
    </row>
    <row r="32" spans="1:14" s="51" customFormat="1" ht="22.2" customHeight="1" x14ac:dyDescent="0.3">
      <c r="A32" s="66" t="s">
        <v>154</v>
      </c>
      <c r="B32" s="150" t="s">
        <v>42</v>
      </c>
      <c r="C32" s="151" t="s">
        <v>37</v>
      </c>
      <c r="D32" s="152">
        <v>63.6</v>
      </c>
      <c r="E32" s="152">
        <v>116.66</v>
      </c>
      <c r="F32" s="98">
        <f t="shared" si="0"/>
        <v>7419.576</v>
      </c>
      <c r="G32" s="121" t="s">
        <v>518</v>
      </c>
      <c r="H32" s="121" t="s">
        <v>519</v>
      </c>
      <c r="I32" s="121" t="s">
        <v>37</v>
      </c>
      <c r="J32" s="148">
        <v>50</v>
      </c>
      <c r="K32" s="148">
        <v>73.400000000000006</v>
      </c>
      <c r="L32" s="148">
        <f t="shared" si="1"/>
        <v>3670.0000000000005</v>
      </c>
      <c r="M32" s="76" t="s">
        <v>592</v>
      </c>
      <c r="N32" s="51">
        <v>73.400000000000006</v>
      </c>
    </row>
    <row r="33" spans="1:16" s="51" customFormat="1" x14ac:dyDescent="0.3">
      <c r="A33" s="66"/>
      <c r="B33" s="150"/>
      <c r="C33" s="151"/>
      <c r="D33" s="152"/>
      <c r="E33" s="152"/>
      <c r="F33" s="98"/>
      <c r="G33" s="121" t="s">
        <v>47</v>
      </c>
      <c r="H33" s="121" t="s">
        <v>78</v>
      </c>
      <c r="I33" s="121" t="s">
        <v>37</v>
      </c>
      <c r="J33" s="148">
        <v>13.6</v>
      </c>
      <c r="K33" s="148">
        <v>68.75</v>
      </c>
      <c r="L33" s="148">
        <f t="shared" si="1"/>
        <v>935</v>
      </c>
      <c r="M33" s="76" t="s">
        <v>592</v>
      </c>
      <c r="N33" s="51">
        <v>68.75</v>
      </c>
    </row>
    <row r="34" spans="1:16" s="51" customFormat="1" x14ac:dyDescent="0.3">
      <c r="A34" s="66" t="s">
        <v>155</v>
      </c>
      <c r="B34" s="150" t="s">
        <v>50</v>
      </c>
      <c r="C34" s="151" t="s">
        <v>51</v>
      </c>
      <c r="D34" s="152">
        <v>33.917400000000001</v>
      </c>
      <c r="E34" s="152">
        <v>89.91</v>
      </c>
      <c r="F34" s="98">
        <f t="shared" si="0"/>
        <v>3049.513434</v>
      </c>
      <c r="G34" s="121" t="s">
        <v>80</v>
      </c>
      <c r="H34" s="121" t="s">
        <v>79</v>
      </c>
      <c r="I34" s="121" t="s">
        <v>34</v>
      </c>
      <c r="J34" s="148">
        <v>7</v>
      </c>
      <c r="K34" s="148">
        <v>298.5</v>
      </c>
      <c r="L34" s="148">
        <f t="shared" si="1"/>
        <v>2089.5</v>
      </c>
      <c r="M34" s="76" t="s">
        <v>592</v>
      </c>
      <c r="N34" s="51">
        <v>298.5</v>
      </c>
    </row>
    <row r="35" spans="1:16" s="161" customFormat="1" x14ac:dyDescent="0.3">
      <c r="A35" s="155" t="s">
        <v>156</v>
      </c>
      <c r="B35" s="156" t="s">
        <v>43</v>
      </c>
      <c r="C35" s="157" t="s">
        <v>37</v>
      </c>
      <c r="D35" s="158">
        <v>127.2</v>
      </c>
      <c r="E35" s="158">
        <v>166.66</v>
      </c>
      <c r="F35" s="159">
        <f t="shared" si="0"/>
        <v>21199.151999999998</v>
      </c>
      <c r="G35" s="163" t="s">
        <v>546</v>
      </c>
      <c r="H35" s="163" t="s">
        <v>547</v>
      </c>
      <c r="I35" s="163" t="s">
        <v>37</v>
      </c>
      <c r="J35" s="164">
        <v>40.557000000000002</v>
      </c>
      <c r="K35" s="164">
        <v>78.04990507187415</v>
      </c>
      <c r="L35" s="164">
        <f t="shared" si="1"/>
        <v>3165.4700000000003</v>
      </c>
      <c r="M35" s="82" t="s">
        <v>593</v>
      </c>
      <c r="N35" s="161">
        <v>78.04990507187415</v>
      </c>
    </row>
    <row r="36" spans="1:16" s="51" customFormat="1" x14ac:dyDescent="0.3">
      <c r="A36" s="66"/>
      <c r="B36" s="67"/>
      <c r="C36" s="66"/>
      <c r="D36" s="118"/>
      <c r="E36" s="57"/>
      <c r="F36" s="98">
        <f t="shared" si="0"/>
        <v>0</v>
      </c>
      <c r="G36" s="103"/>
      <c r="H36" s="103"/>
      <c r="I36" s="101"/>
      <c r="J36" s="154"/>
      <c r="K36" s="93"/>
      <c r="L36" s="92">
        <f t="shared" ref="L36:L39" si="2">J36*K36</f>
        <v>0</v>
      </c>
      <c r="M36" s="76"/>
    </row>
    <row r="37" spans="1:16" s="51" customFormat="1" x14ac:dyDescent="0.3">
      <c r="A37" s="66"/>
      <c r="B37" s="67"/>
      <c r="C37" s="66"/>
      <c r="D37" s="118"/>
      <c r="E37" s="57"/>
      <c r="F37" s="98">
        <f t="shared" si="0"/>
        <v>0</v>
      </c>
      <c r="G37" s="103"/>
      <c r="H37" s="103"/>
      <c r="I37" s="101"/>
      <c r="J37" s="154"/>
      <c r="K37" s="93"/>
      <c r="L37" s="92">
        <f t="shared" si="2"/>
        <v>0</v>
      </c>
      <c r="M37" s="76"/>
    </row>
    <row r="38" spans="1:16" s="51" customFormat="1" x14ac:dyDescent="0.3">
      <c r="A38" s="66"/>
      <c r="B38" s="67"/>
      <c r="C38" s="66"/>
      <c r="D38" s="118"/>
      <c r="E38" s="57"/>
      <c r="F38" s="98">
        <f t="shared" si="0"/>
        <v>0</v>
      </c>
      <c r="G38" s="103"/>
      <c r="H38" s="103"/>
      <c r="I38" s="101"/>
      <c r="J38" s="154"/>
      <c r="K38" s="93"/>
      <c r="L38" s="92">
        <f t="shared" si="2"/>
        <v>0</v>
      </c>
      <c r="M38" s="76"/>
    </row>
    <row r="39" spans="1:16" s="51" customFormat="1" x14ac:dyDescent="0.3">
      <c r="A39" s="66"/>
      <c r="B39" s="67"/>
      <c r="C39" s="66"/>
      <c r="D39" s="118"/>
      <c r="E39" s="57"/>
      <c r="F39" s="98">
        <f t="shared" si="0"/>
        <v>0</v>
      </c>
      <c r="G39" s="103"/>
      <c r="H39" s="103"/>
      <c r="I39" s="101"/>
      <c r="J39" s="154"/>
      <c r="K39" s="93"/>
      <c r="L39" s="92">
        <f t="shared" si="2"/>
        <v>0</v>
      </c>
      <c r="M39" s="76"/>
    </row>
    <row r="40" spans="1:16" ht="16.2" thickBot="1" x14ac:dyDescent="0.35">
      <c r="A40" s="46"/>
      <c r="B40" s="47" t="s">
        <v>24</v>
      </c>
      <c r="C40" s="48"/>
      <c r="D40" s="49"/>
      <c r="E40" s="49"/>
      <c r="F40" s="50">
        <f>SUM(F21:F39)</f>
        <v>248051.48870399999</v>
      </c>
      <c r="G40" s="35"/>
      <c r="H40" s="34"/>
      <c r="I40" s="36"/>
      <c r="J40" s="33">
        <f>SUM(J22:J39)</f>
        <v>115.616</v>
      </c>
      <c r="K40" s="33"/>
      <c r="L40" s="45">
        <f>SUM(L22:L39)</f>
        <v>148550.99052600001</v>
      </c>
      <c r="M40" s="58"/>
    </row>
    <row r="41" spans="1:16" ht="15.6" customHeight="1" x14ac:dyDescent="0.3">
      <c r="A41" s="310" t="s">
        <v>38</v>
      </c>
      <c r="B41" s="311"/>
      <c r="C41" s="311"/>
      <c r="D41" s="311"/>
      <c r="E41" s="311"/>
      <c r="F41" s="311"/>
      <c r="G41" s="314" t="s">
        <v>26</v>
      </c>
      <c r="H41" s="314"/>
      <c r="I41" s="314"/>
      <c r="J41" s="314"/>
      <c r="K41" s="314"/>
      <c r="L41" s="314"/>
      <c r="M41" s="315"/>
    </row>
    <row r="42" spans="1:16" ht="15.6" customHeight="1" thickBot="1" x14ac:dyDescent="0.35">
      <c r="A42" s="312"/>
      <c r="B42" s="313"/>
      <c r="C42" s="313"/>
      <c r="D42" s="313"/>
      <c r="E42" s="313"/>
      <c r="F42" s="313"/>
      <c r="G42" s="316"/>
      <c r="H42" s="316"/>
      <c r="I42" s="316"/>
      <c r="J42" s="316"/>
      <c r="K42" s="316"/>
      <c r="L42" s="316"/>
      <c r="M42" s="317"/>
    </row>
    <row r="43" spans="1:16" x14ac:dyDescent="0.3">
      <c r="A43" s="56"/>
      <c r="B43" s="42"/>
      <c r="C43" s="38"/>
      <c r="D43" s="39"/>
      <c r="E43" s="57"/>
      <c r="F43" s="57"/>
      <c r="G43" s="121" t="s">
        <v>540</v>
      </c>
      <c r="H43" s="121" t="s">
        <v>541</v>
      </c>
      <c r="I43" s="121" t="s">
        <v>34</v>
      </c>
      <c r="J43" s="122">
        <v>25</v>
      </c>
      <c r="K43" s="122">
        <f t="shared" ref="K43:K48" si="3">L43/J43</f>
        <v>28.3</v>
      </c>
      <c r="L43" s="131">
        <v>707.5</v>
      </c>
      <c r="M43" s="170" t="s">
        <v>592</v>
      </c>
    </row>
    <row r="44" spans="1:16" x14ac:dyDescent="0.3">
      <c r="A44" s="56"/>
      <c r="B44" s="42"/>
      <c r="C44" s="38"/>
      <c r="D44" s="39"/>
      <c r="E44" s="57"/>
      <c r="F44" s="57"/>
      <c r="G44" s="121" t="s">
        <v>542</v>
      </c>
      <c r="H44" s="121" t="s">
        <v>543</v>
      </c>
      <c r="I44" s="121" t="s">
        <v>34</v>
      </c>
      <c r="J44" s="122">
        <v>25</v>
      </c>
      <c r="K44" s="122">
        <f t="shared" si="3"/>
        <v>40.200000000000003</v>
      </c>
      <c r="L44" s="123">
        <v>1005</v>
      </c>
      <c r="M44" s="170" t="s">
        <v>592</v>
      </c>
    </row>
    <row r="45" spans="1:16" x14ac:dyDescent="0.3">
      <c r="A45" s="56"/>
      <c r="B45" s="42"/>
      <c r="C45" s="38"/>
      <c r="D45" s="39"/>
      <c r="E45" s="57"/>
      <c r="F45" s="57"/>
      <c r="G45" s="121" t="s">
        <v>544</v>
      </c>
      <c r="H45" s="121" t="s">
        <v>545</v>
      </c>
      <c r="I45" s="121" t="s">
        <v>34</v>
      </c>
      <c r="J45" s="122">
        <v>5</v>
      </c>
      <c r="K45" s="122">
        <f t="shared" si="3"/>
        <v>99.15</v>
      </c>
      <c r="L45" s="131">
        <v>495.75</v>
      </c>
      <c r="M45" s="170" t="s">
        <v>592</v>
      </c>
    </row>
    <row r="46" spans="1:16" x14ac:dyDescent="0.3">
      <c r="A46" s="56"/>
      <c r="B46" s="42"/>
      <c r="C46" s="38"/>
      <c r="D46" s="39"/>
      <c r="E46" s="57"/>
      <c r="F46" s="57"/>
      <c r="G46" s="121" t="s">
        <v>120</v>
      </c>
      <c r="H46" s="121" t="s">
        <v>121</v>
      </c>
      <c r="I46" s="121" t="s">
        <v>34</v>
      </c>
      <c r="J46" s="122">
        <v>2</v>
      </c>
      <c r="K46" s="122">
        <f t="shared" si="3"/>
        <v>71</v>
      </c>
      <c r="L46" s="131">
        <v>142</v>
      </c>
      <c r="M46" s="170" t="s">
        <v>592</v>
      </c>
      <c r="P46" s="44"/>
    </row>
    <row r="47" spans="1:16" x14ac:dyDescent="0.3">
      <c r="A47" s="56"/>
      <c r="B47" s="42"/>
      <c r="C47" s="38"/>
      <c r="D47" s="39"/>
      <c r="E47" s="57"/>
      <c r="F47" s="57"/>
      <c r="G47" s="121" t="s">
        <v>120</v>
      </c>
      <c r="H47" s="121" t="s">
        <v>121</v>
      </c>
      <c r="I47" s="121" t="s">
        <v>34</v>
      </c>
      <c r="J47" s="122">
        <v>2</v>
      </c>
      <c r="K47" s="122">
        <f t="shared" si="3"/>
        <v>76</v>
      </c>
      <c r="L47" s="131">
        <v>152</v>
      </c>
      <c r="M47" s="170" t="s">
        <v>592</v>
      </c>
      <c r="P47" s="44"/>
    </row>
    <row r="48" spans="1:16" x14ac:dyDescent="0.3">
      <c r="A48" s="56"/>
      <c r="B48" s="55"/>
      <c r="C48" s="59"/>
      <c r="D48" s="59"/>
      <c r="E48" s="59"/>
      <c r="F48" s="59"/>
      <c r="G48" s="121" t="s">
        <v>554</v>
      </c>
      <c r="H48" s="121" t="s">
        <v>555</v>
      </c>
      <c r="I48" s="121" t="s">
        <v>34</v>
      </c>
      <c r="J48" s="122">
        <v>2</v>
      </c>
      <c r="K48" s="122">
        <f t="shared" si="3"/>
        <v>71</v>
      </c>
      <c r="L48" s="131">
        <v>142</v>
      </c>
      <c r="M48" s="170" t="s">
        <v>592</v>
      </c>
      <c r="P48" s="44"/>
    </row>
    <row r="49" spans="1:16" x14ac:dyDescent="0.3">
      <c r="A49" s="56"/>
      <c r="B49" s="42"/>
      <c r="C49" s="38"/>
      <c r="D49" s="39"/>
      <c r="E49" s="40"/>
      <c r="F49" s="41"/>
      <c r="G49" s="121" t="s">
        <v>564</v>
      </c>
      <c r="H49" s="121" t="s">
        <v>565</v>
      </c>
      <c r="I49" s="121" t="s">
        <v>49</v>
      </c>
      <c r="J49" s="122">
        <v>40</v>
      </c>
      <c r="K49" s="122">
        <v>18.5</v>
      </c>
      <c r="L49" s="131">
        <f>J49*K49</f>
        <v>740</v>
      </c>
      <c r="M49" s="170" t="s">
        <v>592</v>
      </c>
      <c r="P49" s="44"/>
    </row>
    <row r="50" spans="1:16" x14ac:dyDescent="0.3">
      <c r="A50" s="56"/>
      <c r="B50" s="42"/>
      <c r="C50" s="38"/>
      <c r="D50" s="39"/>
      <c r="E50" s="40"/>
      <c r="F50" s="41"/>
      <c r="G50" s="121">
        <v>19110</v>
      </c>
      <c r="H50" s="121" t="s">
        <v>121</v>
      </c>
      <c r="I50" s="121" t="s">
        <v>34</v>
      </c>
      <c r="J50" s="122">
        <v>2</v>
      </c>
      <c r="K50" s="122">
        <v>76</v>
      </c>
      <c r="L50" s="131">
        <f t="shared" ref="L50:L52" si="4">J50*K50</f>
        <v>152</v>
      </c>
      <c r="M50" s="170" t="s">
        <v>592</v>
      </c>
    </row>
    <row r="51" spans="1:16" x14ac:dyDescent="0.3">
      <c r="A51" s="56"/>
      <c r="B51" s="42"/>
      <c r="C51" s="38"/>
      <c r="D51" s="39"/>
      <c r="E51" s="40"/>
      <c r="F51" s="41"/>
      <c r="G51" s="121">
        <v>9821</v>
      </c>
      <c r="H51" s="121" t="s">
        <v>594</v>
      </c>
      <c r="I51" s="121" t="s">
        <v>34</v>
      </c>
      <c r="J51" s="122">
        <v>3</v>
      </c>
      <c r="K51" s="122">
        <v>138.85</v>
      </c>
      <c r="L51" s="131">
        <f t="shared" si="4"/>
        <v>416.54999999999995</v>
      </c>
      <c r="M51" s="170" t="s">
        <v>592</v>
      </c>
    </row>
    <row r="52" spans="1:16" x14ac:dyDescent="0.3">
      <c r="A52" s="56"/>
      <c r="B52" s="42"/>
      <c r="C52" s="38"/>
      <c r="D52" s="39"/>
      <c r="E52" s="40"/>
      <c r="F52" s="41"/>
      <c r="G52" s="121"/>
      <c r="H52" s="121"/>
      <c r="I52" s="121"/>
      <c r="J52" s="122"/>
      <c r="K52" s="122"/>
      <c r="L52" s="131">
        <f t="shared" si="4"/>
        <v>0</v>
      </c>
      <c r="M52" s="60"/>
    </row>
    <row r="53" spans="1:16" ht="15" thickBot="1" x14ac:dyDescent="0.35">
      <c r="A53" s="56"/>
      <c r="B53" s="42"/>
      <c r="C53" s="38"/>
      <c r="D53" s="39"/>
      <c r="E53" s="40"/>
      <c r="F53" s="41"/>
      <c r="G53" s="61"/>
      <c r="H53" s="61"/>
      <c r="I53" s="61"/>
      <c r="J53" s="62"/>
      <c r="K53" s="62"/>
      <c r="L53" s="63"/>
      <c r="M53" s="60"/>
      <c r="P53" s="44"/>
    </row>
    <row r="54" spans="1:16" ht="21.6" thickBot="1" x14ac:dyDescent="0.35">
      <c r="A54" s="27"/>
      <c r="B54" s="28" t="s">
        <v>31</v>
      </c>
      <c r="C54" s="29"/>
      <c r="D54" s="30">
        <f>SUM(D43:D53)</f>
        <v>0</v>
      </c>
      <c r="E54" s="30"/>
      <c r="F54" s="31">
        <f>SUM(F43:F53)</f>
        <v>0</v>
      </c>
      <c r="G54" s="24"/>
      <c r="H54" s="25"/>
      <c r="I54" s="25"/>
      <c r="J54" s="26">
        <f>SUM(J43:J53)</f>
        <v>106</v>
      </c>
      <c r="K54" s="26"/>
      <c r="L54" s="26">
        <f>SUM(L43:L53)</f>
        <v>3952.8</v>
      </c>
      <c r="M54" s="14"/>
    </row>
    <row r="55" spans="1:16" ht="21.6" thickBot="1" x14ac:dyDescent="0.35">
      <c r="A55" s="15"/>
      <c r="B55" s="16" t="s">
        <v>32</v>
      </c>
      <c r="C55" s="17"/>
      <c r="D55" s="18">
        <f>D40+D54</f>
        <v>0</v>
      </c>
      <c r="E55" s="18"/>
      <c r="F55" s="19">
        <f>F40+F54</f>
        <v>248051.48870399999</v>
      </c>
      <c r="G55" s="20"/>
      <c r="H55" s="21"/>
      <c r="I55" s="21"/>
      <c r="J55" s="22">
        <f>J40+J54</f>
        <v>221.61599999999999</v>
      </c>
      <c r="K55" s="22"/>
      <c r="L55" s="22">
        <f>L40+L54</f>
        <v>152503.790526</v>
      </c>
      <c r="M55" s="23"/>
    </row>
    <row r="56" spans="1:16" ht="25.05" customHeight="1" x14ac:dyDescent="0.4">
      <c r="A56" s="298" t="s">
        <v>12</v>
      </c>
      <c r="B56" s="298"/>
      <c r="C56" s="298"/>
      <c r="D56" s="298"/>
      <c r="E56" s="298"/>
      <c r="F56" s="298"/>
      <c r="G56" s="298"/>
      <c r="H56" s="298"/>
      <c r="I56" s="298"/>
      <c r="J56" s="85"/>
      <c r="K56" s="85"/>
      <c r="L56" s="85"/>
      <c r="M56" s="7"/>
    </row>
    <row r="57" spans="1:16" ht="25.05" customHeight="1" x14ac:dyDescent="0.4">
      <c r="A57" s="288" t="s">
        <v>13</v>
      </c>
      <c r="B57" s="288"/>
      <c r="C57" s="288"/>
      <c r="D57" s="288"/>
      <c r="E57" s="288"/>
      <c r="F57" s="288"/>
      <c r="G57" s="288"/>
      <c r="H57" s="288"/>
      <c r="I57" s="288"/>
      <c r="J57" s="84"/>
      <c r="K57" s="84"/>
      <c r="L57" s="43">
        <f>L54*100/L40</f>
        <v>2.660904505586696</v>
      </c>
      <c r="M57" s="7"/>
    </row>
    <row r="58" spans="1:16" ht="25.05" customHeight="1" x14ac:dyDescent="0.4">
      <c r="A58" s="289" t="s">
        <v>14</v>
      </c>
      <c r="B58" s="289"/>
      <c r="C58" s="289"/>
      <c r="D58" s="289"/>
      <c r="E58" s="289"/>
      <c r="F58" s="289"/>
      <c r="G58" s="289"/>
      <c r="H58" s="289"/>
      <c r="I58" s="289"/>
      <c r="J58" s="86"/>
      <c r="K58" s="86"/>
      <c r="L58" s="86"/>
      <c r="M58" s="7"/>
    </row>
    <row r="59" spans="1:16" ht="25.05" customHeight="1" x14ac:dyDescent="0.4">
      <c r="A59" s="288" t="s">
        <v>15</v>
      </c>
      <c r="B59" s="288"/>
      <c r="C59" s="288"/>
      <c r="D59" s="288"/>
      <c r="E59" s="288"/>
      <c r="F59" s="288"/>
      <c r="G59" s="288"/>
      <c r="H59" s="288"/>
      <c r="I59" s="288"/>
      <c r="J59" s="84"/>
      <c r="K59" s="84"/>
      <c r="L59" s="84"/>
      <c r="M59" s="7"/>
    </row>
    <row r="60" spans="1:16" ht="25.05" customHeight="1" x14ac:dyDescent="0.4">
      <c r="A60" s="288" t="s">
        <v>16</v>
      </c>
      <c r="B60" s="288"/>
      <c r="C60" s="288"/>
      <c r="D60" s="288"/>
      <c r="E60" s="288"/>
      <c r="F60" s="288"/>
      <c r="G60" s="288"/>
      <c r="H60" s="288"/>
      <c r="I60" s="288"/>
      <c r="J60" s="84"/>
      <c r="K60" s="84"/>
      <c r="L60" s="84"/>
      <c r="M60" s="7"/>
    </row>
    <row r="61" spans="1:16" ht="25.05" customHeight="1" x14ac:dyDescent="0.4">
      <c r="A61" s="288" t="s">
        <v>17</v>
      </c>
      <c r="B61" s="288"/>
      <c r="C61" s="288"/>
      <c r="D61" s="288"/>
      <c r="E61" s="288"/>
      <c r="F61" s="288"/>
      <c r="G61" s="288"/>
      <c r="H61" s="288"/>
      <c r="I61" s="288"/>
      <c r="J61" s="84"/>
      <c r="K61" s="84"/>
      <c r="L61" s="84"/>
      <c r="M61" s="7"/>
    </row>
    <row r="62" spans="1:16" ht="25.05" customHeight="1" x14ac:dyDescent="0.4">
      <c r="A62" s="288" t="s">
        <v>18</v>
      </c>
      <c r="B62" s="288"/>
      <c r="C62" s="288"/>
      <c r="D62" s="288"/>
      <c r="E62" s="288"/>
      <c r="F62" s="288"/>
      <c r="G62" s="288"/>
      <c r="H62" s="288"/>
      <c r="I62" s="288"/>
      <c r="J62" s="84"/>
      <c r="K62" s="84"/>
      <c r="L62" s="84"/>
      <c r="M62" s="7"/>
    </row>
    <row r="63" spans="1:16" ht="25.05" customHeight="1" x14ac:dyDescent="0.4">
      <c r="A63" s="288" t="s">
        <v>17</v>
      </c>
      <c r="B63" s="288"/>
      <c r="C63" s="288"/>
      <c r="D63" s="288"/>
      <c r="E63" s="288"/>
      <c r="F63" s="288"/>
      <c r="G63" s="288"/>
      <c r="H63" s="288"/>
      <c r="I63" s="288"/>
      <c r="J63" s="84"/>
      <c r="K63" s="84"/>
      <c r="L63" s="84"/>
      <c r="M63" s="7"/>
    </row>
    <row r="64" spans="1:16" ht="25.05" customHeight="1" x14ac:dyDescent="0.4">
      <c r="A64" s="288" t="s">
        <v>19</v>
      </c>
      <c r="B64" s="288"/>
      <c r="C64" s="288"/>
      <c r="D64" s="288"/>
      <c r="E64" s="288"/>
      <c r="F64" s="288"/>
      <c r="G64" s="288"/>
      <c r="H64" s="288"/>
      <c r="I64" s="288"/>
      <c r="J64" s="84"/>
      <c r="K64" s="84"/>
      <c r="L64" s="84"/>
      <c r="M64" s="7"/>
    </row>
    <row r="65" spans="1:16" ht="25.05" customHeight="1" x14ac:dyDescent="0.4">
      <c r="A65" s="288" t="s">
        <v>11</v>
      </c>
      <c r="B65" s="288"/>
      <c r="C65" s="288"/>
      <c r="D65" s="288"/>
      <c r="E65" s="288"/>
      <c r="F65" s="288"/>
      <c r="G65" s="288"/>
      <c r="H65" s="288"/>
      <c r="I65" s="288"/>
      <c r="J65" s="84"/>
      <c r="K65" s="84"/>
      <c r="L65" s="84"/>
      <c r="M65" s="7"/>
    </row>
    <row r="66" spans="1:16" ht="25.05" customHeight="1" x14ac:dyDescent="0.4">
      <c r="A66" s="288" t="s">
        <v>20</v>
      </c>
      <c r="B66" s="288"/>
      <c r="C66" s="288"/>
      <c r="D66" s="288"/>
      <c r="E66" s="288"/>
      <c r="F66" s="288"/>
      <c r="G66" s="288"/>
      <c r="H66" s="288"/>
      <c r="I66" s="288"/>
      <c r="J66" s="84"/>
      <c r="K66" s="84"/>
      <c r="L66" s="84"/>
      <c r="M66" s="7"/>
    </row>
    <row r="67" spans="1:16" ht="25.05" customHeight="1" x14ac:dyDescent="0.4">
      <c r="A67" s="318" t="s">
        <v>33</v>
      </c>
      <c r="B67" s="318"/>
      <c r="C67" s="318"/>
      <c r="D67" s="318"/>
      <c r="E67" s="318"/>
      <c r="F67" s="318"/>
      <c r="G67" s="318"/>
      <c r="H67" s="318"/>
      <c r="I67" s="318"/>
      <c r="J67" s="87"/>
      <c r="K67" s="87"/>
      <c r="L67" s="87"/>
      <c r="M67" s="7"/>
    </row>
    <row r="68" spans="1:16" s="5" customFormat="1" ht="36" customHeight="1" x14ac:dyDescent="0.3">
      <c r="B68"/>
      <c r="H68"/>
      <c r="I68" s="6"/>
      <c r="J68" s="6"/>
      <c r="K68" s="6"/>
      <c r="L68" s="6"/>
      <c r="M68"/>
      <c r="N68"/>
      <c r="O68"/>
      <c r="P68"/>
    </row>
  </sheetData>
  <mergeCells count="33">
    <mergeCell ref="H17:L17"/>
    <mergeCell ref="M17:M18"/>
    <mergeCell ref="A41:F42"/>
    <mergeCell ref="G41:M42"/>
    <mergeCell ref="A67:I67"/>
    <mergeCell ref="A61:I61"/>
    <mergeCell ref="A63:I63"/>
    <mergeCell ref="A64:I64"/>
    <mergeCell ref="A65:I65"/>
    <mergeCell ref="A66:I66"/>
    <mergeCell ref="A62:I62"/>
    <mergeCell ref="A57:I57"/>
    <mergeCell ref="A58:I58"/>
    <mergeCell ref="A59:I59"/>
    <mergeCell ref="A60:I60"/>
    <mergeCell ref="A13:M13"/>
    <mergeCell ref="A14:M14"/>
    <mergeCell ref="A15:L15"/>
    <mergeCell ref="A16:F16"/>
    <mergeCell ref="G16:M16"/>
    <mergeCell ref="A56:I56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P51"/>
  <sheetViews>
    <sheetView topLeftCell="A13" zoomScale="70" zoomScaleNormal="70" workbookViewId="0">
      <selection activeCell="M25" sqref="M25"/>
    </sheetView>
  </sheetViews>
  <sheetFormatPr defaultRowHeight="14.4" x14ac:dyDescent="0.3"/>
  <cols>
    <col min="1" max="1" width="7" style="5" customWidth="1"/>
    <col min="2" max="2" width="61.21875" bestFit="1" customWidth="1"/>
    <col min="3" max="3" width="10.44140625" style="5" customWidth="1"/>
    <col min="4" max="4" width="14.33203125" style="5" customWidth="1"/>
    <col min="5" max="5" width="13.109375" style="5" customWidth="1"/>
    <col min="6" max="6" width="17.6640625" style="5" customWidth="1"/>
    <col min="7" max="7" width="17.21875" style="5" customWidth="1"/>
    <col min="8" max="8" width="61" customWidth="1"/>
    <col min="9" max="10" width="11.6640625" style="6" customWidth="1"/>
    <col min="11" max="11" width="15.44140625" style="6" customWidth="1"/>
    <col min="12" max="12" width="18.109375" style="6" customWidth="1"/>
    <col min="13" max="13" width="30.5546875" customWidth="1"/>
    <col min="14" max="14" width="21.5546875" customWidth="1"/>
    <col min="16" max="16" width="12.44140625" bestFit="1" customWidth="1"/>
  </cols>
  <sheetData>
    <row r="1" spans="1:15" ht="15.75" customHeight="1" x14ac:dyDescent="0.3">
      <c r="A1" s="2"/>
      <c r="B1" s="1"/>
      <c r="C1" s="2"/>
      <c r="D1" s="3"/>
      <c r="E1" s="3"/>
      <c r="F1" s="3"/>
      <c r="G1" s="3"/>
      <c r="H1" s="283" t="s">
        <v>27</v>
      </c>
      <c r="I1" s="283"/>
      <c r="J1" s="283"/>
      <c r="K1" s="283"/>
      <c r="L1" s="283"/>
      <c r="M1" s="283"/>
      <c r="N1" s="12"/>
      <c r="O1" s="12"/>
    </row>
    <row r="2" spans="1:15" ht="15" customHeight="1" x14ac:dyDescent="0.3">
      <c r="A2" s="2"/>
      <c r="B2" s="1"/>
      <c r="C2" s="2"/>
      <c r="D2" s="3"/>
      <c r="E2" s="3"/>
      <c r="F2" s="3"/>
      <c r="G2" s="3"/>
      <c r="H2" s="284"/>
      <c r="I2" s="284"/>
      <c r="J2" s="284"/>
      <c r="K2" s="284"/>
      <c r="L2" s="284"/>
      <c r="M2" s="284"/>
      <c r="N2" s="12"/>
      <c r="O2" s="12"/>
    </row>
    <row r="3" spans="1:15" ht="15.6" x14ac:dyDescent="0.3">
      <c r="A3" s="2"/>
      <c r="B3" s="1"/>
      <c r="C3" s="2"/>
      <c r="D3" s="3"/>
      <c r="E3" s="3"/>
      <c r="F3" s="3"/>
      <c r="G3" s="3"/>
      <c r="H3" s="83"/>
      <c r="I3" s="83"/>
      <c r="J3" s="83"/>
      <c r="K3" s="83"/>
      <c r="L3" s="83"/>
      <c r="M3" s="83"/>
      <c r="N3" s="12"/>
      <c r="O3" s="12"/>
    </row>
    <row r="4" spans="1:15" ht="23.4" x14ac:dyDescent="0.45">
      <c r="A4" s="2"/>
      <c r="B4" s="1"/>
      <c r="C4" s="2"/>
      <c r="D4" s="3"/>
      <c r="E4" s="3"/>
      <c r="F4" s="3"/>
      <c r="G4" s="3"/>
      <c r="H4" s="285" t="s">
        <v>28</v>
      </c>
      <c r="I4" s="285"/>
      <c r="J4" s="285"/>
      <c r="K4" s="285"/>
      <c r="L4" s="285"/>
      <c r="M4" s="285"/>
      <c r="N4" s="12"/>
      <c r="O4" s="12"/>
    </row>
    <row r="5" spans="1:15" ht="23.4" x14ac:dyDescent="0.45">
      <c r="A5" s="2"/>
      <c r="B5" s="1"/>
      <c r="C5" s="2"/>
      <c r="D5" s="3"/>
      <c r="E5" s="3"/>
      <c r="F5" s="3"/>
      <c r="G5" s="3"/>
      <c r="H5" s="4"/>
      <c r="I5" s="4"/>
      <c r="J5" s="4"/>
      <c r="K5" s="4"/>
      <c r="L5" s="4"/>
      <c r="M5" s="4"/>
      <c r="N5" s="12"/>
      <c r="O5" s="12"/>
    </row>
    <row r="6" spans="1:15" ht="21" x14ac:dyDescent="0.4">
      <c r="A6" s="2"/>
      <c r="B6" s="1"/>
      <c r="C6" s="2"/>
      <c r="D6" s="3"/>
      <c r="E6" s="3"/>
      <c r="F6" s="3"/>
      <c r="G6" s="3"/>
      <c r="H6" s="286" t="s">
        <v>29</v>
      </c>
      <c r="I6" s="286"/>
      <c r="J6" s="286"/>
      <c r="K6" s="286"/>
      <c r="L6" s="286"/>
      <c r="M6" s="286"/>
      <c r="N6" s="12"/>
      <c r="O6" s="12"/>
    </row>
    <row r="7" spans="1:15" ht="15.6" x14ac:dyDescent="0.3">
      <c r="A7" s="2"/>
      <c r="B7" s="1"/>
      <c r="C7" s="2"/>
      <c r="D7" s="3"/>
      <c r="E7" s="3"/>
      <c r="F7" s="3"/>
      <c r="G7" s="3"/>
      <c r="H7" s="2"/>
      <c r="I7" s="8"/>
      <c r="J7" s="8"/>
      <c r="K7" s="9"/>
      <c r="L7" s="10"/>
      <c r="M7" s="11"/>
      <c r="N7" s="12"/>
      <c r="O7" s="12"/>
    </row>
    <row r="8" spans="1:15" ht="18" x14ac:dyDescent="0.35">
      <c r="A8" s="2"/>
      <c r="B8" s="1"/>
      <c r="C8" s="2"/>
      <c r="D8" s="3"/>
      <c r="E8" s="3"/>
      <c r="F8" s="3"/>
      <c r="G8" s="3"/>
      <c r="H8" s="287" t="s">
        <v>30</v>
      </c>
      <c r="I8" s="287"/>
      <c r="J8" s="287"/>
      <c r="K8" s="287"/>
      <c r="L8" s="287"/>
      <c r="M8" s="287"/>
      <c r="N8" s="12"/>
      <c r="O8" s="12"/>
    </row>
    <row r="9" spans="1:15" ht="15.6" x14ac:dyDescent="0.3">
      <c r="A9" s="2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N9" s="12"/>
      <c r="O9" s="12"/>
    </row>
    <row r="10" spans="1:15" ht="15.6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N10" s="12"/>
      <c r="O10" s="12"/>
    </row>
    <row r="11" spans="1:15" ht="18" customHeight="1" x14ac:dyDescent="0.3">
      <c r="A11" s="282" t="s">
        <v>0</v>
      </c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12"/>
      <c r="O11" s="12"/>
    </row>
    <row r="12" spans="1:15" ht="18" customHeight="1" x14ac:dyDescent="0.3">
      <c r="A12" s="282" t="s">
        <v>1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12"/>
      <c r="O12" s="12"/>
    </row>
    <row r="13" spans="1:15" ht="18" customHeight="1" x14ac:dyDescent="0.3">
      <c r="A13" s="282" t="s">
        <v>2</v>
      </c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12"/>
      <c r="O13" s="12"/>
    </row>
    <row r="14" spans="1:15" ht="63.6" customHeight="1" x14ac:dyDescent="0.3">
      <c r="A14" s="290" t="s">
        <v>36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L14" s="290"/>
      <c r="M14" s="290"/>
    </row>
    <row r="15" spans="1:15" ht="27" customHeight="1" thickBot="1" x14ac:dyDescent="0.35">
      <c r="A15" s="291" t="s">
        <v>588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</row>
    <row r="16" spans="1:15" ht="30.6" customHeight="1" thickBot="1" x14ac:dyDescent="0.35">
      <c r="A16" s="292" t="s">
        <v>25</v>
      </c>
      <c r="B16" s="293"/>
      <c r="C16" s="293"/>
      <c r="D16" s="293"/>
      <c r="E16" s="293"/>
      <c r="F16" s="294"/>
      <c r="G16" s="295" t="s">
        <v>26</v>
      </c>
      <c r="H16" s="296"/>
      <c r="I16" s="296"/>
      <c r="J16" s="296"/>
      <c r="K16" s="296"/>
      <c r="L16" s="296"/>
      <c r="M16" s="297"/>
    </row>
    <row r="17" spans="1:13" ht="15" customHeight="1" x14ac:dyDescent="0.3">
      <c r="A17" s="299" t="s">
        <v>3</v>
      </c>
      <c r="B17" s="301" t="s">
        <v>4</v>
      </c>
      <c r="C17" s="303" t="s">
        <v>5</v>
      </c>
      <c r="D17" s="301" t="s">
        <v>6</v>
      </c>
      <c r="E17" s="303" t="s">
        <v>22</v>
      </c>
      <c r="F17" s="305" t="s">
        <v>23</v>
      </c>
      <c r="G17" s="37"/>
      <c r="H17" s="307" t="s">
        <v>7</v>
      </c>
      <c r="I17" s="307"/>
      <c r="J17" s="307"/>
      <c r="K17" s="307"/>
      <c r="L17" s="308"/>
      <c r="M17" s="309" t="s">
        <v>8</v>
      </c>
    </row>
    <row r="18" spans="1:13" ht="34.200000000000003" customHeight="1" x14ac:dyDescent="0.3">
      <c r="A18" s="300"/>
      <c r="B18" s="302"/>
      <c r="C18" s="304"/>
      <c r="D18" s="302"/>
      <c r="E18" s="304"/>
      <c r="F18" s="306"/>
      <c r="G18" s="53" t="s">
        <v>21</v>
      </c>
      <c r="H18" s="54" t="s">
        <v>9</v>
      </c>
      <c r="I18" s="69" t="s">
        <v>10</v>
      </c>
      <c r="J18" s="54" t="s">
        <v>6</v>
      </c>
      <c r="K18" s="69" t="s">
        <v>22</v>
      </c>
      <c r="L18" s="70" t="s">
        <v>23</v>
      </c>
      <c r="M18" s="309"/>
    </row>
    <row r="19" spans="1:13" ht="15.6" x14ac:dyDescent="0.3">
      <c r="A19" s="32">
        <v>1</v>
      </c>
      <c r="B19" s="32">
        <v>2</v>
      </c>
      <c r="C19" s="32">
        <v>3</v>
      </c>
      <c r="D19" s="32">
        <v>4</v>
      </c>
      <c r="E19" s="32">
        <v>5</v>
      </c>
      <c r="F19" s="32">
        <v>6</v>
      </c>
      <c r="G19" s="13">
        <v>7</v>
      </c>
      <c r="H19" s="13">
        <v>8</v>
      </c>
      <c r="I19" s="13">
        <v>9</v>
      </c>
      <c r="J19" s="13">
        <v>10</v>
      </c>
      <c r="K19" s="13">
        <v>11</v>
      </c>
      <c r="L19" s="13">
        <v>12</v>
      </c>
      <c r="M19" s="13">
        <v>13</v>
      </c>
    </row>
    <row r="20" spans="1:13" ht="32.4" x14ac:dyDescent="0.3">
      <c r="A20" s="95"/>
      <c r="B20" s="117" t="s">
        <v>589</v>
      </c>
      <c r="C20" s="95"/>
      <c r="D20" s="95"/>
      <c r="E20" s="95"/>
      <c r="F20" s="95"/>
      <c r="G20" s="76"/>
      <c r="H20" s="76"/>
      <c r="I20" s="76"/>
      <c r="J20" s="76"/>
      <c r="K20" s="76"/>
      <c r="L20" s="76"/>
      <c r="M20" s="13"/>
    </row>
    <row r="21" spans="1:13" s="51" customFormat="1" ht="27" customHeight="1" x14ac:dyDescent="0.3">
      <c r="A21" s="66" t="s">
        <v>54</v>
      </c>
      <c r="B21" s="67" t="s">
        <v>129</v>
      </c>
      <c r="C21" s="66" t="s">
        <v>51</v>
      </c>
      <c r="D21" s="68">
        <v>3.6</v>
      </c>
      <c r="E21" s="57">
        <v>453.6</v>
      </c>
      <c r="F21" s="98">
        <f>D21*E21</f>
        <v>1632.96</v>
      </c>
      <c r="G21" s="121">
        <v>13445</v>
      </c>
      <c r="H21" s="121" t="s">
        <v>590</v>
      </c>
      <c r="I21" s="149" t="s">
        <v>34</v>
      </c>
      <c r="J21" s="148">
        <v>0.72</v>
      </c>
      <c r="K21" s="148">
        <v>2530.84</v>
      </c>
      <c r="L21" s="148">
        <f>K21*J21</f>
        <v>1822.2048</v>
      </c>
      <c r="M21" s="13" t="s">
        <v>592</v>
      </c>
    </row>
    <row r="22" spans="1:13" s="51" customFormat="1" ht="26.4" x14ac:dyDescent="0.3">
      <c r="A22" s="66" t="s">
        <v>130</v>
      </c>
      <c r="B22" s="67" t="s">
        <v>131</v>
      </c>
      <c r="C22" s="66" t="s">
        <v>40</v>
      </c>
      <c r="D22" s="57">
        <v>0.73</v>
      </c>
      <c r="E22" s="57">
        <v>4194.97</v>
      </c>
      <c r="F22" s="98">
        <f>D22*E22</f>
        <v>3062.3281000000002</v>
      </c>
      <c r="G22" s="121" t="s">
        <v>532</v>
      </c>
      <c r="H22" s="121" t="s">
        <v>533</v>
      </c>
      <c r="I22" s="149" t="s">
        <v>34</v>
      </c>
      <c r="J22" s="148">
        <v>10</v>
      </c>
      <c r="K22" s="148">
        <v>133.34</v>
      </c>
      <c r="L22" s="148">
        <f t="shared" ref="L22:L24" si="0">K22*J22</f>
        <v>1333.4</v>
      </c>
      <c r="M22" s="13" t="s">
        <v>592</v>
      </c>
    </row>
    <row r="23" spans="1:13" s="51" customFormat="1" x14ac:dyDescent="0.3">
      <c r="A23" s="66"/>
      <c r="B23" s="67"/>
      <c r="C23" s="66"/>
      <c r="D23" s="118"/>
      <c r="E23" s="57"/>
      <c r="F23" s="98">
        <f t="shared" ref="F23:F27" si="1">D23*E23</f>
        <v>0</v>
      </c>
      <c r="G23" s="121" t="s">
        <v>85</v>
      </c>
      <c r="H23" s="121" t="s">
        <v>86</v>
      </c>
      <c r="I23" s="149" t="s">
        <v>44</v>
      </c>
      <c r="J23" s="148">
        <v>1.335</v>
      </c>
      <c r="K23" s="148">
        <v>301.25093632958806</v>
      </c>
      <c r="L23" s="148">
        <f t="shared" si="0"/>
        <v>402.17000000000007</v>
      </c>
      <c r="M23" s="76" t="s">
        <v>592</v>
      </c>
    </row>
    <row r="24" spans="1:13" s="51" customFormat="1" x14ac:dyDescent="0.3">
      <c r="A24" s="66"/>
      <c r="B24" s="67"/>
      <c r="C24" s="66"/>
      <c r="D24" s="118"/>
      <c r="E24" s="57"/>
      <c r="F24" s="98">
        <f t="shared" si="1"/>
        <v>0</v>
      </c>
      <c r="G24" s="121" t="s">
        <v>85</v>
      </c>
      <c r="H24" s="121" t="s">
        <v>86</v>
      </c>
      <c r="I24" s="149" t="s">
        <v>44</v>
      </c>
      <c r="J24" s="148">
        <v>1.3049999999999999</v>
      </c>
      <c r="K24" s="148">
        <v>601.64750957854403</v>
      </c>
      <c r="L24" s="148">
        <f t="shared" si="0"/>
        <v>785.15</v>
      </c>
      <c r="M24" s="76" t="s">
        <v>592</v>
      </c>
    </row>
    <row r="25" spans="1:13" s="51" customFormat="1" x14ac:dyDescent="0.3">
      <c r="A25" s="66"/>
      <c r="B25" s="67"/>
      <c r="C25" s="66"/>
      <c r="D25" s="118"/>
      <c r="E25" s="57"/>
      <c r="F25" s="98">
        <f t="shared" si="1"/>
        <v>0</v>
      </c>
      <c r="G25" s="120"/>
      <c r="H25" s="121"/>
      <c r="I25" s="147"/>
      <c r="J25" s="148"/>
      <c r="K25" s="93"/>
      <c r="L25" s="92">
        <f t="shared" ref="L25:L27" si="2">J25*K25</f>
        <v>0</v>
      </c>
      <c r="M25" s="76"/>
    </row>
    <row r="26" spans="1:13" s="51" customFormat="1" x14ac:dyDescent="0.3">
      <c r="A26" s="66"/>
      <c r="B26" s="67"/>
      <c r="C26" s="66"/>
      <c r="D26" s="118"/>
      <c r="E26" s="57"/>
      <c r="F26" s="98">
        <f t="shared" si="1"/>
        <v>0</v>
      </c>
      <c r="G26" s="120"/>
      <c r="H26" s="121"/>
      <c r="I26" s="147"/>
      <c r="J26" s="148"/>
      <c r="K26" s="93"/>
      <c r="L26" s="92">
        <f t="shared" si="2"/>
        <v>0</v>
      </c>
      <c r="M26" s="76"/>
    </row>
    <row r="27" spans="1:13" s="51" customFormat="1" x14ac:dyDescent="0.3">
      <c r="A27" s="66"/>
      <c r="B27" s="67"/>
      <c r="C27" s="66"/>
      <c r="D27" s="57"/>
      <c r="E27" s="57"/>
      <c r="F27" s="98">
        <f t="shared" si="1"/>
        <v>0</v>
      </c>
      <c r="G27" s="120"/>
      <c r="H27" s="121"/>
      <c r="I27" s="147"/>
      <c r="J27" s="148"/>
      <c r="K27" s="93"/>
      <c r="L27" s="92">
        <f t="shared" si="2"/>
        <v>0</v>
      </c>
      <c r="M27" s="76"/>
    </row>
    <row r="28" spans="1:13" ht="15.6" x14ac:dyDescent="0.3">
      <c r="A28" s="46"/>
      <c r="B28" s="47" t="s">
        <v>24</v>
      </c>
      <c r="C28" s="48"/>
      <c r="D28" s="49"/>
      <c r="E28" s="49"/>
      <c r="F28" s="50">
        <f>SUM(F21:F27)</f>
        <v>4695.2880999999998</v>
      </c>
      <c r="G28" s="35"/>
      <c r="H28" s="34"/>
      <c r="I28" s="36"/>
      <c r="J28" s="33">
        <f>SUM(J21:J27)</f>
        <v>13.36</v>
      </c>
      <c r="K28" s="33"/>
      <c r="L28" s="45">
        <f>SUM(L21:L27)</f>
        <v>4342.9247999999998</v>
      </c>
      <c r="M28" s="58"/>
    </row>
    <row r="29" spans="1:13" ht="16.2" thickBot="1" x14ac:dyDescent="0.35">
      <c r="A29" s="107"/>
      <c r="B29" s="108"/>
      <c r="C29" s="109"/>
      <c r="D29" s="110"/>
      <c r="E29" s="110"/>
      <c r="F29" s="110"/>
      <c r="G29" s="111"/>
      <c r="H29" s="112"/>
      <c r="I29" s="113"/>
      <c r="J29" s="114"/>
      <c r="K29" s="114"/>
      <c r="L29" s="114"/>
      <c r="M29" s="115"/>
    </row>
    <row r="30" spans="1:13" ht="15.6" customHeight="1" x14ac:dyDescent="0.3">
      <c r="A30" s="310" t="s">
        <v>38</v>
      </c>
      <c r="B30" s="311"/>
      <c r="C30" s="311"/>
      <c r="D30" s="311"/>
      <c r="E30" s="311"/>
      <c r="F30" s="311"/>
      <c r="G30" s="314" t="s">
        <v>26</v>
      </c>
      <c r="H30" s="314"/>
      <c r="I30" s="314"/>
      <c r="J30" s="314"/>
      <c r="K30" s="314"/>
      <c r="L30" s="314"/>
      <c r="M30" s="315"/>
    </row>
    <row r="31" spans="1:13" ht="15.6" customHeight="1" thickBot="1" x14ac:dyDescent="0.35">
      <c r="A31" s="312"/>
      <c r="B31" s="313"/>
      <c r="C31" s="313"/>
      <c r="D31" s="313"/>
      <c r="E31" s="313"/>
      <c r="F31" s="313"/>
      <c r="G31" s="316"/>
      <c r="H31" s="316"/>
      <c r="I31" s="316"/>
      <c r="J31" s="316"/>
      <c r="K31" s="316"/>
      <c r="L31" s="316"/>
      <c r="M31" s="317"/>
    </row>
    <row r="32" spans="1:13" x14ac:dyDescent="0.3">
      <c r="A32" s="56"/>
      <c r="B32" s="42"/>
      <c r="C32" s="38"/>
      <c r="D32" s="39"/>
      <c r="E32" s="57"/>
      <c r="F32" s="57"/>
      <c r="G32" s="121">
        <v>19110</v>
      </c>
      <c r="H32" s="121" t="s">
        <v>121</v>
      </c>
      <c r="I32" s="121" t="s">
        <v>34</v>
      </c>
      <c r="J32" s="122">
        <v>2</v>
      </c>
      <c r="K32" s="122">
        <v>76</v>
      </c>
      <c r="L32" s="131">
        <f>K32*J32</f>
        <v>152</v>
      </c>
      <c r="M32" s="60"/>
    </row>
    <row r="33" spans="1:16" x14ac:dyDescent="0.3">
      <c r="A33" s="56"/>
      <c r="B33" s="42"/>
      <c r="C33" s="38"/>
      <c r="D33" s="39"/>
      <c r="E33" s="57"/>
      <c r="F33" s="57"/>
      <c r="G33" s="74"/>
      <c r="H33" s="71"/>
      <c r="I33" s="71"/>
      <c r="J33" s="72"/>
      <c r="K33" s="75"/>
      <c r="L33" s="73"/>
      <c r="M33" s="60"/>
    </row>
    <row r="34" spans="1:16" x14ac:dyDescent="0.3">
      <c r="A34" s="56"/>
      <c r="B34" s="42"/>
      <c r="C34" s="38"/>
      <c r="D34" s="39"/>
      <c r="E34" s="57"/>
      <c r="F34" s="57"/>
      <c r="G34" s="74"/>
      <c r="H34" s="71"/>
      <c r="I34" s="71"/>
      <c r="J34" s="72"/>
      <c r="K34" s="75"/>
      <c r="L34" s="75"/>
      <c r="M34" s="60"/>
    </row>
    <row r="35" spans="1:16" x14ac:dyDescent="0.3">
      <c r="A35" s="56"/>
      <c r="B35" s="42"/>
      <c r="C35" s="38"/>
      <c r="D35" s="39"/>
      <c r="E35" s="40"/>
      <c r="F35" s="41"/>
      <c r="G35" s="74"/>
      <c r="H35" s="71"/>
      <c r="I35" s="71"/>
      <c r="J35" s="72"/>
      <c r="L35" s="73"/>
      <c r="M35" s="60"/>
      <c r="P35" s="44"/>
    </row>
    <row r="36" spans="1:16" ht="15" thickBot="1" x14ac:dyDescent="0.35">
      <c r="A36" s="56"/>
      <c r="B36" s="42"/>
      <c r="C36" s="38"/>
      <c r="D36" s="39"/>
      <c r="E36" s="40"/>
      <c r="F36" s="41"/>
      <c r="G36" s="61"/>
      <c r="H36" s="61"/>
      <c r="I36" s="61"/>
      <c r="J36" s="62"/>
      <c r="K36" s="62"/>
      <c r="L36" s="63"/>
      <c r="M36" s="60"/>
      <c r="P36" s="44"/>
    </row>
    <row r="37" spans="1:16" ht="21.6" thickBot="1" x14ac:dyDescent="0.35">
      <c r="A37" s="27"/>
      <c r="B37" s="28" t="s">
        <v>31</v>
      </c>
      <c r="C37" s="29"/>
      <c r="D37" s="30">
        <f>SUM(D32:D36)</f>
        <v>0</v>
      </c>
      <c r="E37" s="30"/>
      <c r="F37" s="31">
        <f>SUM(F32:F36)</f>
        <v>0</v>
      </c>
      <c r="G37" s="24"/>
      <c r="H37" s="25"/>
      <c r="I37" s="25"/>
      <c r="J37" s="26">
        <f>SUM(J32:J36)</f>
        <v>2</v>
      </c>
      <c r="K37" s="26"/>
      <c r="L37" s="26">
        <f>SUM(L32:L36)</f>
        <v>152</v>
      </c>
      <c r="M37" s="14"/>
    </row>
    <row r="38" spans="1:16" ht="21.6" thickBot="1" x14ac:dyDescent="0.35">
      <c r="A38" s="15"/>
      <c r="B38" s="16" t="s">
        <v>32</v>
      </c>
      <c r="C38" s="17"/>
      <c r="D38" s="18">
        <f>D28+D37</f>
        <v>0</v>
      </c>
      <c r="E38" s="18"/>
      <c r="F38" s="19">
        <f>F28+F37</f>
        <v>4695.2880999999998</v>
      </c>
      <c r="G38" s="20"/>
      <c r="H38" s="21"/>
      <c r="I38" s="21"/>
      <c r="J38" s="22">
        <f>J28+J37</f>
        <v>15.36</v>
      </c>
      <c r="K38" s="22"/>
      <c r="L38" s="22">
        <f>L28+L37</f>
        <v>4494.9247999999998</v>
      </c>
      <c r="M38" s="23"/>
    </row>
    <row r="39" spans="1:16" ht="25.05" customHeight="1" x14ac:dyDescent="0.4">
      <c r="A39" s="298" t="s">
        <v>12</v>
      </c>
      <c r="B39" s="298"/>
      <c r="C39" s="298"/>
      <c r="D39" s="298"/>
      <c r="E39" s="298"/>
      <c r="F39" s="298"/>
      <c r="G39" s="298"/>
      <c r="H39" s="298"/>
      <c r="I39" s="298"/>
      <c r="J39" s="85"/>
      <c r="K39" s="85"/>
      <c r="L39" s="85"/>
      <c r="M39" s="7"/>
    </row>
    <row r="40" spans="1:16" ht="25.05" customHeight="1" x14ac:dyDescent="0.4">
      <c r="A40" s="288" t="s">
        <v>13</v>
      </c>
      <c r="B40" s="288"/>
      <c r="C40" s="288"/>
      <c r="D40" s="288"/>
      <c r="E40" s="288"/>
      <c r="F40" s="288"/>
      <c r="G40" s="288"/>
      <c r="H40" s="288"/>
      <c r="I40" s="288"/>
      <c r="J40" s="84"/>
      <c r="K40" s="84"/>
      <c r="L40" s="43">
        <f>L37*100/L28</f>
        <v>3.4999454745336602</v>
      </c>
      <c r="M40" s="7"/>
    </row>
    <row r="41" spans="1:16" ht="25.05" customHeight="1" x14ac:dyDescent="0.4">
      <c r="A41" s="289" t="s">
        <v>14</v>
      </c>
      <c r="B41" s="289"/>
      <c r="C41" s="289"/>
      <c r="D41" s="289"/>
      <c r="E41" s="289"/>
      <c r="F41" s="289"/>
      <c r="G41" s="289"/>
      <c r="H41" s="289"/>
      <c r="I41" s="289"/>
      <c r="J41" s="86"/>
      <c r="K41" s="86"/>
      <c r="L41" s="86"/>
      <c r="M41" s="7"/>
    </row>
    <row r="42" spans="1:16" ht="25.05" customHeight="1" x14ac:dyDescent="0.4">
      <c r="A42" s="288" t="s">
        <v>15</v>
      </c>
      <c r="B42" s="288"/>
      <c r="C42" s="288"/>
      <c r="D42" s="288"/>
      <c r="E42" s="288"/>
      <c r="F42" s="288"/>
      <c r="G42" s="288"/>
      <c r="H42" s="288"/>
      <c r="I42" s="288"/>
      <c r="J42" s="84"/>
      <c r="K42" s="84"/>
      <c r="L42" s="84"/>
      <c r="M42" s="7"/>
    </row>
    <row r="43" spans="1:16" ht="25.05" customHeight="1" x14ac:dyDescent="0.4">
      <c r="A43" s="288" t="s">
        <v>16</v>
      </c>
      <c r="B43" s="288"/>
      <c r="C43" s="288"/>
      <c r="D43" s="288"/>
      <c r="E43" s="288"/>
      <c r="F43" s="288"/>
      <c r="G43" s="288"/>
      <c r="H43" s="288"/>
      <c r="I43" s="288"/>
      <c r="J43" s="84"/>
      <c r="K43" s="84"/>
      <c r="L43" s="84"/>
      <c r="M43" s="7"/>
    </row>
    <row r="44" spans="1:16" ht="25.05" customHeight="1" x14ac:dyDescent="0.4">
      <c r="A44" s="288" t="s">
        <v>17</v>
      </c>
      <c r="B44" s="288"/>
      <c r="C44" s="288"/>
      <c r="D44" s="288"/>
      <c r="E44" s="288"/>
      <c r="F44" s="288"/>
      <c r="G44" s="288"/>
      <c r="H44" s="288"/>
      <c r="I44" s="288"/>
      <c r="J44" s="84"/>
      <c r="K44" s="84"/>
      <c r="L44" s="84"/>
      <c r="M44" s="7"/>
    </row>
    <row r="45" spans="1:16" ht="25.05" customHeight="1" x14ac:dyDescent="0.4">
      <c r="A45" s="288" t="s">
        <v>18</v>
      </c>
      <c r="B45" s="288"/>
      <c r="C45" s="288"/>
      <c r="D45" s="288"/>
      <c r="E45" s="288"/>
      <c r="F45" s="288"/>
      <c r="G45" s="288"/>
      <c r="H45" s="288"/>
      <c r="I45" s="288"/>
      <c r="J45" s="84"/>
      <c r="K45" s="84"/>
      <c r="L45" s="84"/>
      <c r="M45" s="7"/>
    </row>
    <row r="46" spans="1:16" ht="25.05" customHeight="1" x14ac:dyDescent="0.4">
      <c r="A46" s="288" t="s">
        <v>17</v>
      </c>
      <c r="B46" s="288"/>
      <c r="C46" s="288"/>
      <c r="D46" s="288"/>
      <c r="E46" s="288"/>
      <c r="F46" s="288"/>
      <c r="G46" s="288"/>
      <c r="H46" s="288"/>
      <c r="I46" s="288"/>
      <c r="J46" s="84"/>
      <c r="K46" s="84"/>
      <c r="L46" s="84"/>
      <c r="M46" s="7"/>
    </row>
    <row r="47" spans="1:16" ht="25.05" customHeight="1" x14ac:dyDescent="0.4">
      <c r="A47" s="288" t="s">
        <v>19</v>
      </c>
      <c r="B47" s="288"/>
      <c r="C47" s="288"/>
      <c r="D47" s="288"/>
      <c r="E47" s="288"/>
      <c r="F47" s="288"/>
      <c r="G47" s="288"/>
      <c r="H47" s="288"/>
      <c r="I47" s="288"/>
      <c r="J47" s="84"/>
      <c r="K47" s="84"/>
      <c r="L47" s="84"/>
      <c r="M47" s="7"/>
    </row>
    <row r="48" spans="1:16" ht="25.05" customHeight="1" x14ac:dyDescent="0.4">
      <c r="A48" s="288" t="s">
        <v>11</v>
      </c>
      <c r="B48" s="288"/>
      <c r="C48" s="288"/>
      <c r="D48" s="288"/>
      <c r="E48" s="288"/>
      <c r="F48" s="288"/>
      <c r="G48" s="288"/>
      <c r="H48" s="288"/>
      <c r="I48" s="288"/>
      <c r="J48" s="84"/>
      <c r="K48" s="84"/>
      <c r="L48" s="84"/>
      <c r="M48" s="7"/>
    </row>
    <row r="49" spans="1:16" ht="25.05" customHeight="1" x14ac:dyDescent="0.4">
      <c r="A49" s="288" t="s">
        <v>20</v>
      </c>
      <c r="B49" s="288"/>
      <c r="C49" s="288"/>
      <c r="D49" s="288"/>
      <c r="E49" s="288"/>
      <c r="F49" s="288"/>
      <c r="G49" s="288"/>
      <c r="H49" s="288"/>
      <c r="I49" s="288"/>
      <c r="J49" s="84"/>
      <c r="K49" s="84"/>
      <c r="L49" s="84"/>
      <c r="M49" s="7"/>
    </row>
    <row r="50" spans="1:16" ht="25.05" customHeight="1" x14ac:dyDescent="0.4">
      <c r="A50" s="318" t="s">
        <v>33</v>
      </c>
      <c r="B50" s="318"/>
      <c r="C50" s="318"/>
      <c r="D50" s="318"/>
      <c r="E50" s="318"/>
      <c r="F50" s="318"/>
      <c r="G50" s="318"/>
      <c r="H50" s="318"/>
      <c r="I50" s="318"/>
      <c r="J50" s="87"/>
      <c r="K50" s="87"/>
      <c r="L50" s="87"/>
      <c r="M50" s="7"/>
    </row>
    <row r="51" spans="1:16" s="5" customFormat="1" ht="36" customHeight="1" x14ac:dyDescent="0.3">
      <c r="B51"/>
      <c r="H51"/>
      <c r="I51" s="6"/>
      <c r="J51" s="6"/>
      <c r="K51" s="6"/>
      <c r="L51" s="6"/>
      <c r="M51"/>
      <c r="N51"/>
      <c r="O51"/>
      <c r="P51"/>
    </row>
  </sheetData>
  <mergeCells count="33">
    <mergeCell ref="H17:L17"/>
    <mergeCell ref="M17:M18"/>
    <mergeCell ref="A30:F31"/>
    <mergeCell ref="G30:M31"/>
    <mergeCell ref="A50:I50"/>
    <mergeCell ref="A44:I44"/>
    <mergeCell ref="A46:I46"/>
    <mergeCell ref="A47:I47"/>
    <mergeCell ref="A48:I48"/>
    <mergeCell ref="A49:I49"/>
    <mergeCell ref="A45:I45"/>
    <mergeCell ref="A40:I40"/>
    <mergeCell ref="A41:I41"/>
    <mergeCell ref="A42:I42"/>
    <mergeCell ref="A43:I43"/>
    <mergeCell ref="A13:M13"/>
    <mergeCell ref="A14:M14"/>
    <mergeCell ref="A15:L15"/>
    <mergeCell ref="A16:F16"/>
    <mergeCell ref="G16:M16"/>
    <mergeCell ref="A39:I39"/>
    <mergeCell ref="A17:A18"/>
    <mergeCell ref="B17:B18"/>
    <mergeCell ref="C17:C18"/>
    <mergeCell ref="D17:D18"/>
    <mergeCell ref="E17:E18"/>
    <mergeCell ref="F17:F18"/>
    <mergeCell ref="A12:M12"/>
    <mergeCell ref="H1:M2"/>
    <mergeCell ref="H4:M4"/>
    <mergeCell ref="H6:M6"/>
    <mergeCell ref="H8:M8"/>
    <mergeCell ref="A11:M11"/>
  </mergeCells>
  <pageMargins left="0.25" right="0.25" top="0.75" bottom="0.75" header="0.3" footer="0.3"/>
  <pageSetup paperSize="9" scale="5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+М29АКТ№4.14</vt:lpstr>
      <vt:lpstr>+М29АКТ№4.13</vt:lpstr>
      <vt:lpstr>+М29АКТ№4.12</vt:lpstr>
      <vt:lpstr>+М29АКТ№4.11</vt:lpstr>
      <vt:lpstr>+М29АКТ№4.10</vt:lpstr>
      <vt:lpstr>+М29АКТ№4.9</vt:lpstr>
      <vt:lpstr>+М29АКТ№4.8</vt:lpstr>
      <vt:lpstr>+М29АКТ№4.7</vt:lpstr>
      <vt:lpstr>М29АКТ№4.6</vt:lpstr>
      <vt:lpstr>М29АКТ№4.5</vt:lpstr>
      <vt:lpstr>+М29АКТ№4.4</vt:lpstr>
      <vt:lpstr>+М29АКТ№4.3</vt:lpstr>
      <vt:lpstr>+М29АКТ№4.2</vt:lpstr>
      <vt:lpstr>+М29АКТ№4.1</vt:lpstr>
      <vt:lpstr>++М29АКТ№3.12</vt:lpstr>
      <vt:lpstr>++М29АКТ№3.11</vt:lpstr>
      <vt:lpstr>++М29АКТ№3.10</vt:lpstr>
      <vt:lpstr>++М29АКТ№3.9</vt:lpstr>
      <vt:lpstr>++М29АКТ№3.8</vt:lpstr>
      <vt:lpstr>++М29АКТ№3.7</vt:lpstr>
      <vt:lpstr>++М29АКТ№3.6</vt:lpstr>
      <vt:lpstr>++М29АКТ№3.5</vt:lpstr>
      <vt:lpstr>++М29АКТ№3.4</vt:lpstr>
      <vt:lpstr>++М29АКТ№3.3</vt:lpstr>
      <vt:lpstr>++М29АКТ№3.2</vt:lpstr>
      <vt:lpstr>++М29АКТ№3.1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2024-08-16T06:32:07Z</dcterms:modified>
</cp:coreProperties>
</file>
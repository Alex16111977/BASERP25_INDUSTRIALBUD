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3"/>
  </bookViews>
  <sheets>
    <sheet name="Акты заказчика" sheetId="1" r:id="rId1"/>
    <sheet name="Списание стройматериалов" sheetId="2" r:id="rId2"/>
    <sheet name="ВаловаяПрибыль" sheetId="3" r:id="rId3"/>
    <sheet name="Услуги_сторонних" sheetId="4" r:id="rId4"/>
  </sheets>
  <definedNames>
    <definedName name="_xlnm._FilterDatabase" localSheetId="0" hidden="1">'Акты заказчика'!$A$1:$K$16</definedName>
    <definedName name="_xlnm._FilterDatabase" localSheetId="1" hidden="1">'Списание стройматериалов'!$A$1:$H$12</definedName>
  </definedNames>
  <calcPr calcId="145621"/>
</workbook>
</file>

<file path=xl/calcChain.xml><?xml version="1.0" encoding="utf-8"?>
<calcChain xmlns="http://schemas.openxmlformats.org/spreadsheetml/2006/main">
  <c r="D20" i="2" l="1"/>
  <c r="D19" i="2"/>
  <c r="D21" i="2" s="1"/>
  <c r="D22" i="2" s="1"/>
  <c r="D15" i="2"/>
  <c r="D14" i="2"/>
  <c r="D16" i="2"/>
  <c r="D12" i="2"/>
  <c r="D8" i="2"/>
  <c r="G17" i="3"/>
  <c r="G18" i="3"/>
  <c r="G19" i="3"/>
  <c r="G20" i="3"/>
  <c r="G21" i="3"/>
  <c r="G22" i="3"/>
  <c r="D3" i="2"/>
  <c r="G13" i="3"/>
  <c r="G9" i="3"/>
  <c r="G7" i="3"/>
  <c r="G6" i="3"/>
  <c r="D5" i="2"/>
  <c r="D4" i="2"/>
  <c r="G16" i="3"/>
  <c r="D9" i="2"/>
  <c r="D7" i="2"/>
  <c r="D6" i="2"/>
  <c r="D2" i="2"/>
  <c r="E26" i="3"/>
  <c r="D26" i="3"/>
  <c r="D17" i="2" l="1"/>
  <c r="E11" i="2"/>
  <c r="E10" i="2"/>
  <c r="E9" i="2"/>
  <c r="E8" i="2"/>
  <c r="E7" i="2"/>
  <c r="E6" i="2"/>
  <c r="E5" i="2"/>
  <c r="E4" i="2"/>
  <c r="E3" i="2"/>
  <c r="E2" i="2"/>
  <c r="F18" i="1"/>
  <c r="F21" i="1" s="1"/>
  <c r="F22" i="1" s="1"/>
  <c r="F20" i="1"/>
  <c r="D4" i="3"/>
  <c r="E4" i="3"/>
  <c r="F16" i="1"/>
  <c r="F19" i="1"/>
  <c r="F5" i="1"/>
  <c r="E12" i="2" l="1"/>
  <c r="E20" i="2"/>
  <c r="E19" i="2"/>
  <c r="E21" i="2" s="1"/>
</calcChain>
</file>

<file path=xl/sharedStrings.xml><?xml version="1.0" encoding="utf-8"?>
<sst xmlns="http://schemas.openxmlformats.org/spreadsheetml/2006/main" count="298" uniqueCount="148">
  <si>
    <t>Есть файлы</t>
  </si>
  <si>
    <t>Оригинал</t>
  </si>
  <si>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</si>
  <si>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</si>
  <si>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</si>
  <si>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</si>
  <si>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</si>
  <si>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</si>
  <si>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</si>
  <si>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</si>
  <si>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</si>
  <si>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Да</t>
  </si>
  <si>
    <t>08.01.2024 12:00:04</t>
  </si>
  <si>
    <t>ІБ00-000002</t>
  </si>
  <si>
    <t>Вінницька птахофабрика ВКВК філія ТОВ</t>
  </si>
  <si>
    <t>грн</t>
  </si>
  <si>
    <t>Виробничий (Ладижин)</t>
  </si>
  <si>
    <t>ТОВ "ІНДАСТРІАЛБУД"</t>
  </si>
  <si>
    <t>Хлань Елена</t>
  </si>
  <si>
    <t>Акт №18</t>
  </si>
  <si>
    <t>09.01.2024 17:54:37</t>
  </si>
  <si>
    <t>ІБ00-000004</t>
  </si>
  <si>
    <t>Акт №19</t>
  </si>
  <si>
    <t>10.01.2024 16:57:58</t>
  </si>
  <si>
    <t>ІБ00-000003</t>
  </si>
  <si>
    <t>Акт №20</t>
  </si>
  <si>
    <t>Нет</t>
  </si>
  <si>
    <t>12.01.2024 08:37:05</t>
  </si>
  <si>
    <t>ІБ00-000001</t>
  </si>
  <si>
    <t xml:space="preserve">Старокостянтинівський олійноекстраційний завод ТОВ </t>
  </si>
  <si>
    <t>Виробничий (Старокостянтинів</t>
  </si>
  <si>
    <t xml:space="preserve"> Акт 8( не під) Договір Підряду №4.2–ВО-СтОЕЗ від 11.04.2023</t>
  </si>
  <si>
    <t>12.01.2024 18:03:49</t>
  </si>
  <si>
    <t>ІБ00-000011</t>
  </si>
  <si>
    <t>АВІА ВЕНЧУРС ТОВ</t>
  </si>
  <si>
    <t>Виробничий (Крушинка)</t>
  </si>
  <si>
    <t>12.01.2024 18:03:50</t>
  </si>
  <si>
    <t>ІБ00-000012</t>
  </si>
  <si>
    <t xml:space="preserve">акт №12 за січень 2024 </t>
  </si>
  <si>
    <t>12.01.2024 18:03:51</t>
  </si>
  <si>
    <t>ІБ00-000013</t>
  </si>
  <si>
    <t xml:space="preserve">акт №1 за січень 2024 </t>
  </si>
  <si>
    <t>12.01.2024 18:03:52</t>
  </si>
  <si>
    <t>ІБ00-000022</t>
  </si>
  <si>
    <t xml:space="preserve">акт №13 за січень 2024 </t>
  </si>
  <si>
    <t>16.01.2024 17:52:47</t>
  </si>
  <si>
    <t>ІБ00-000006</t>
  </si>
  <si>
    <t>Акт №21</t>
  </si>
  <si>
    <t>17.01.2024 18:00:01</t>
  </si>
  <si>
    <t>ІБ00-000007</t>
  </si>
  <si>
    <t>Акт №22</t>
  </si>
  <si>
    <t>19.01.2024 17:23:46</t>
  </si>
  <si>
    <t>ІБ00-000005</t>
  </si>
  <si>
    <t>Таншин Леонид</t>
  </si>
  <si>
    <t xml:space="preserve"> Акт 8 Договір Підряду №4.2–ВО-СтОЕЗ від 11.04.2023 Матеріал Субпідрядника</t>
  </si>
  <si>
    <t>25.01.2024 20:00:08</t>
  </si>
  <si>
    <t>ІБ00-000020</t>
  </si>
  <si>
    <t>Акт №23</t>
  </si>
  <si>
    <t>26.01.2024 17:45:27</t>
  </si>
  <si>
    <t>ІБ00-000023</t>
  </si>
  <si>
    <t>(без матеріалів)акт №5 за січень 2024 ДУ № 2 ДОГОВІР ПІДРЯДУ № 20230815-3 від 15.08.2023</t>
  </si>
  <si>
    <t>29.01.2024 16:52:34</t>
  </si>
  <si>
    <t>ІБ00-000021</t>
  </si>
  <si>
    <t>Акт №24</t>
  </si>
  <si>
    <t>Крушинка</t>
  </si>
  <si>
    <t>Ладижин-3</t>
  </si>
  <si>
    <t>Староконстантинов</t>
  </si>
  <si>
    <t>ВСЕГО</t>
  </si>
  <si>
    <t>Склад</t>
  </si>
  <si>
    <t>Дата вх.</t>
  </si>
  <si>
    <t>Номер вх.</t>
  </si>
  <si>
    <t>Договір</t>
  </si>
  <si>
    <t>Документ розрахунків</t>
  </si>
  <si>
    <t>Старокостянтинів</t>
  </si>
  <si>
    <t>ІНДЕПТ СТІЛ ТОВ</t>
  </si>
  <si>
    <t>09.01.2024</t>
  </si>
  <si>
    <t>2</t>
  </si>
  <si>
    <t>Договор 26/10-23-2 від 26.10.2023_Старкон</t>
  </si>
  <si>
    <t>Рахунок на оплату постачальника ІБ00-001111 от 13.11.2023 16:58:29</t>
  </si>
  <si>
    <t>Шостак Жанета</t>
  </si>
  <si>
    <t>Вид операції</t>
  </si>
  <si>
    <t>09.01.2024 17:54:44</t>
  </si>
  <si>
    <t>ІБ00-000113</t>
  </si>
  <si>
    <t>Покупка, комісія</t>
  </si>
  <si>
    <t>19.01.2024 00:00:00</t>
  </si>
  <si>
    <t>ІБ00-000140</t>
  </si>
  <si>
    <t>БІГ КИЇВ"ТОВ</t>
  </si>
  <si>
    <t>19.01.2024</t>
  </si>
  <si>
    <t>1</t>
  </si>
  <si>
    <t>Договір 19-12/23 від 19.12.23_Старкон</t>
  </si>
  <si>
    <t>Рахунок на оплату постачальника ІБ00-001499 от 20.12.2023 16:46:28</t>
  </si>
  <si>
    <t>26.01.2024 17:45:29</t>
  </si>
  <si>
    <t>ІБ00-000281</t>
  </si>
  <si>
    <t>ДНІПРО АКВАБУД ІНВЕСТ</t>
  </si>
  <si>
    <t>26.01.2024</t>
  </si>
  <si>
    <t>Акт 5</t>
  </si>
  <si>
    <t>Дог№12/09 від 12.09.23 ДУ1_661 044,29_Крушинка</t>
  </si>
  <si>
    <t>Рахунок на оплату постачальника ІБ00-000314 от 26.01.2024 17:45:34</t>
  </si>
  <si>
    <t>Дохід</t>
  </si>
  <si>
    <t>ПДВ</t>
  </si>
  <si>
    <t>Собівартість</t>
  </si>
  <si>
    <t>Субпідряд</t>
  </si>
  <si>
    <t>Акт</t>
  </si>
  <si>
    <t>ДОГОВІР ПІДРЯДУ № 20230815-3 від 15.08.2023</t>
  </si>
  <si>
    <t>Надання виробничих послуг ІБ00-000012 от 12.01.2024 18:03:50</t>
  </si>
  <si>
    <t>Надання виробничих послуг ІБ00-000022 от 12.01.2024 18:03:52</t>
  </si>
  <si>
    <t>ДУ № 1 від 27.11.2023 року ДОГОВІР F-20231127-1</t>
  </si>
  <si>
    <t>Надання виробничих послуг ІБ00-000011 от 12.01.2024 18:03:49</t>
  </si>
  <si>
    <t>ДУ № 2 ДОГОВІР ПІДРЯДУ № 20230815-3 від 15.08.2023</t>
  </si>
  <si>
    <t>Надання виробничих послуг ІБ00-000023 от 26.01.2024 17:45:27</t>
  </si>
  <si>
    <t>ДУ № 4 ДОГОВІР ПІДРЯДУ № 20230815-3 від 15.08.2023</t>
  </si>
  <si>
    <t>Надання виробничих послуг ІБ00-000013 от 12.01.2024 18:03:51</t>
  </si>
  <si>
    <t>Договір №2909/2023/ЛА від 29.09.2023 року</t>
  </si>
  <si>
    <t>Надання виробничих послуг ІБ00-000002 от 08.01.2024 12:00:04</t>
  </si>
  <si>
    <t>Надання виробничих послуг ІБ00-000003 от 10.01.2024 16:57:58</t>
  </si>
  <si>
    <t>Надання виробничих послуг ІБ00-000004 от 09.01.2024 17:54:37</t>
  </si>
  <si>
    <t>Надання виробничих послуг ІБ00-000006 от 16.01.2024 17:52:47</t>
  </si>
  <si>
    <t>Надання виробничих послуг ІБ00-000007 от 17.01.2024 18:00:01</t>
  </si>
  <si>
    <t>Надання виробничих послуг ІБ00-000020 от 25.01.2024 20:00:08</t>
  </si>
  <si>
    <t>Надання виробничих послуг ІБ00-000021 от 29.01.2024 16:52:34</t>
  </si>
  <si>
    <t>Договір Підряду №4.2–ВО-СтОЕЗ від 11.04.2023</t>
  </si>
  <si>
    <t>Надання виробничих послуг ІБ00-000005 от 19.01.2024 17:23:46</t>
  </si>
  <si>
    <t>Итого</t>
  </si>
  <si>
    <t>09.01.2024 17:54:48</t>
  </si>
  <si>
    <t>12.01.2024 18:03:53</t>
  </si>
  <si>
    <t>12.01.2024 18:03:57</t>
  </si>
  <si>
    <t>ІБ00-000024</t>
  </si>
  <si>
    <t>ІБ00-000022 від 12.01.2024</t>
  </si>
  <si>
    <t>12.01.2024 18:04:01</t>
  </si>
  <si>
    <t>ІБ00-000027</t>
  </si>
  <si>
    <t>ІБ00-000011 від 12.01.2024</t>
  </si>
  <si>
    <t>15.01.2024 20:00:00</t>
  </si>
  <si>
    <t>17.01.2024 20:00:00</t>
  </si>
  <si>
    <t>19.01.2024 18:04:04</t>
  </si>
  <si>
    <t>ІБ00-000028</t>
  </si>
  <si>
    <t>25.01.2024 00:00:00</t>
  </si>
  <si>
    <t>ІБ00-000016</t>
  </si>
  <si>
    <t>31.01.2024 00:00:00</t>
  </si>
  <si>
    <t>ІБ00-000014</t>
  </si>
  <si>
    <t>Придніпровський МЕЗ-2</t>
  </si>
  <si>
    <t xml:space="preserve">ВІДМІНА 30.11 Досписання Акт №12 від 29.03.23  договір підряду №12-10/21 від 12.10.2021 р. Дод. угода №6 сума 55 204,37  Влашт. отворів під інж. комунікації   не погоджено   </t>
  </si>
  <si>
    <t>ІБ00-000015</t>
  </si>
  <si>
    <t>Досписання Акт №15 від 13.07.23   договір підряду №12-10/21 від 12.10.2021 р. сума 7 236,00</t>
  </si>
  <si>
    <t>Сумма без НДС</t>
  </si>
  <si>
    <t>Сумма С НДС</t>
  </si>
  <si>
    <t>Учли в PL объекта при закрытии</t>
  </si>
  <si>
    <t>Требование накладная</t>
  </si>
  <si>
    <t>Списание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</si>
</sst>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8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0"/>
      <color indexed="9"/>
      <name val="Arial"/>
      <family val="2"/>
      <charset val="204"/>
    </font>
    <font>
      <b/>
      <sz val="8"/>
      <color indexed="56"/>
      <name val="Arial"/>
      <family val="2"/>
      <charset val="204"/>
    </font>
    <font>
      <b/>
      <sz val="8"/>
      <color indexed="63"/>
      <name val="Arial"/>
      <family val="2"/>
      <charset val="204"/>
    </font>
    <font>
      <sz val="11"/>
      <color rgb="FF7030A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7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1" fontId="4" fillId="2" borderId="1" xfId="1" applyNumberFormat="1" applyFont="1" applyFill="1" applyBorder="1" applyAlignment="1">
      <alignment horizontal="righ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1" fontId="5" fillId="3" borderId="1" xfId="1" applyNumberFormat="1" applyFont="1" applyFill="1" applyBorder="1" applyAlignment="1">
      <alignment horizontal="right" vertical="top"/>
    </xf>
    <xf numFmtId="0" fontId="5" fillId="3" borderId="1" xfId="1" applyNumberFormat="1" applyFont="1" applyFill="1" applyBorder="1" applyAlignment="1">
      <alignment horizontal="left" vertical="top"/>
    </xf>
    <xf numFmtId="4" fontId="5" fillId="3" borderId="1" xfId="1" applyNumberFormat="1" applyFont="1" applyFill="1" applyBorder="1" applyAlignment="1">
      <alignment horizontal="right" vertical="top"/>
    </xf>
    <xf numFmtId="0" fontId="6" fillId="3" borderId="0" xfId="0" applyFont="1" applyFill="1"/>
    <xf numFmtId="4" fontId="0" fillId="0" borderId="0" xfId="0" applyNumberFormat="1"/>
    <xf numFmtId="4" fontId="1" fillId="0" borderId="0" xfId="0" applyNumberFormat="1" applyFont="1"/>
    <xf numFmtId="4" fontId="7" fillId="0" borderId="0" xfId="0" applyNumberFormat="1" applyFont="1"/>
    <xf numFmtId="0" fontId="3" fillId="2" borderId="1" xfId="2" applyNumberFormat="1" applyFont="1" applyFill="1" applyBorder="1" applyAlignment="1">
      <alignment horizontal="left" vertical="top"/>
    </xf>
    <xf numFmtId="4" fontId="4" fillId="2" borderId="1" xfId="2" applyNumberFormat="1" applyFont="1" applyFill="1" applyBorder="1" applyAlignment="1">
      <alignment horizontal="right" vertical="top"/>
    </xf>
    <xf numFmtId="0" fontId="4" fillId="2" borderId="1" xfId="2" applyNumberFormat="1" applyFont="1" applyFill="1" applyBorder="1" applyAlignment="1">
      <alignment horizontal="left" vertical="top"/>
    </xf>
    <xf numFmtId="0" fontId="8" fillId="4" borderId="2" xfId="3" applyNumberFormat="1" applyFont="1" applyFill="1" applyBorder="1" applyAlignment="1">
      <alignment vertical="top" wrapText="1"/>
    </xf>
    <xf numFmtId="0" fontId="9" fillId="5" borderId="6" xfId="3" applyNumberFormat="1" applyFont="1" applyFill="1" applyBorder="1" applyAlignment="1">
      <alignment vertical="top" wrapText="1"/>
    </xf>
    <xf numFmtId="4" fontId="9" fillId="5" borderId="6" xfId="3" applyNumberFormat="1" applyFont="1" applyFill="1" applyBorder="1" applyAlignment="1">
      <alignment horizontal="right" vertical="top"/>
    </xf>
    <xf numFmtId="164" fontId="9" fillId="5" borderId="6" xfId="3" applyNumberFormat="1" applyFont="1" applyFill="1" applyBorder="1" applyAlignment="1">
      <alignment horizontal="right" vertical="top"/>
    </xf>
    <xf numFmtId="0" fontId="9" fillId="6" borderId="6" xfId="3" applyNumberFormat="1" applyFont="1" applyFill="1" applyBorder="1" applyAlignment="1">
      <alignment vertical="top" wrapText="1" indent="2"/>
    </xf>
    <xf numFmtId="4" fontId="9" fillId="6" borderId="6" xfId="3" applyNumberFormat="1" applyFont="1" applyFill="1" applyBorder="1" applyAlignment="1">
      <alignment horizontal="right" vertical="top"/>
    </xf>
    <xf numFmtId="0" fontId="2" fillId="0" borderId="6" xfId="3" applyNumberFormat="1" applyFont="1" applyBorder="1" applyAlignment="1">
      <alignment vertical="top" wrapText="1" indent="4"/>
    </xf>
    <xf numFmtId="4" fontId="2" fillId="0" borderId="6" xfId="3" applyNumberFormat="1" applyFont="1" applyBorder="1" applyAlignment="1">
      <alignment horizontal="right" vertical="top"/>
    </xf>
    <xf numFmtId="164" fontId="2" fillId="0" borderId="6" xfId="3" applyNumberFormat="1" applyFont="1" applyBorder="1" applyAlignment="1">
      <alignment horizontal="right" vertical="top"/>
    </xf>
    <xf numFmtId="3" fontId="2" fillId="0" borderId="6" xfId="3" applyNumberFormat="1" applyFont="1" applyBorder="1" applyAlignment="1">
      <alignment horizontal="right" vertical="top"/>
    </xf>
    <xf numFmtId="164" fontId="9" fillId="6" borderId="6" xfId="3" applyNumberFormat="1" applyFont="1" applyFill="1" applyBorder="1" applyAlignment="1">
      <alignment horizontal="right" vertical="top"/>
    </xf>
    <xf numFmtId="0" fontId="8" fillId="7" borderId="2" xfId="3" applyNumberFormat="1" applyFont="1" applyFill="1" applyBorder="1" applyAlignment="1">
      <alignment vertical="top"/>
    </xf>
    <xf numFmtId="4" fontId="8" fillId="7" borderId="2" xfId="3" applyNumberFormat="1" applyFont="1" applyFill="1" applyBorder="1" applyAlignment="1">
      <alignment horizontal="right" vertical="top"/>
    </xf>
    <xf numFmtId="0" fontId="3" fillId="2" borderId="1" xfId="4" applyNumberFormat="1" applyFont="1" applyFill="1" applyBorder="1" applyAlignment="1">
      <alignment horizontal="left" vertical="top"/>
    </xf>
    <xf numFmtId="0" fontId="4" fillId="2" borderId="1" xfId="4" applyNumberFormat="1" applyFont="1" applyFill="1" applyBorder="1" applyAlignment="1">
      <alignment horizontal="left" vertical="top"/>
    </xf>
    <xf numFmtId="4" fontId="3" fillId="2" borderId="1" xfId="4" applyNumberFormat="1" applyFont="1" applyFill="1" applyBorder="1" applyAlignment="1">
      <alignment horizontal="center" vertical="center"/>
    </xf>
    <xf numFmtId="4" fontId="4" fillId="2" borderId="1" xfId="4" applyNumberFormat="1" applyFont="1" applyFill="1" applyBorder="1" applyAlignment="1">
      <alignment horizontal="center" vertical="center"/>
    </xf>
    <xf numFmtId="0" fontId="10" fillId="3" borderId="1" xfId="4" applyNumberFormat="1" applyFont="1" applyFill="1" applyBorder="1" applyAlignment="1">
      <alignment horizontal="left" vertical="top"/>
    </xf>
    <xf numFmtId="0" fontId="9" fillId="8" borderId="6" xfId="3" applyNumberFormat="1" applyFont="1" applyFill="1" applyBorder="1" applyAlignment="1">
      <alignment horizontal="right" vertical="top"/>
    </xf>
    <xf numFmtId="4" fontId="9" fillId="8" borderId="6" xfId="3" applyNumberFormat="1" applyFont="1" applyFill="1" applyBorder="1" applyAlignment="1">
      <alignment horizontal="right" vertical="top"/>
    </xf>
    <xf numFmtId="0" fontId="2" fillId="8" borderId="6" xfId="3" applyNumberFormat="1" applyFont="1" applyFill="1" applyBorder="1" applyAlignment="1">
      <alignment horizontal="right" vertical="top"/>
    </xf>
    <xf numFmtId="4" fontId="2" fillId="8" borderId="6" xfId="3" applyNumberFormat="1" applyFont="1" applyFill="1" applyBorder="1" applyAlignment="1">
      <alignment horizontal="right" vertical="top"/>
    </xf>
    <xf numFmtId="164" fontId="2" fillId="8" borderId="6" xfId="3" applyNumberFormat="1" applyFont="1" applyFill="1" applyBorder="1" applyAlignment="1">
      <alignment horizontal="right" vertical="top"/>
    </xf>
    <xf numFmtId="165" fontId="2" fillId="8" borderId="6" xfId="3" applyNumberFormat="1" applyFont="1" applyFill="1" applyBorder="1" applyAlignment="1">
      <alignment horizontal="right" vertical="top"/>
    </xf>
    <xf numFmtId="1" fontId="2" fillId="8" borderId="6" xfId="3" applyNumberFormat="1" applyFont="1" applyFill="1" applyBorder="1" applyAlignment="1">
      <alignment horizontal="right" vertical="top"/>
    </xf>
    <xf numFmtId="4" fontId="2" fillId="0" borderId="7" xfId="3" applyNumberFormat="1" applyFont="1" applyBorder="1" applyAlignment="1">
      <alignment horizontal="right" vertical="top" wrapText="1"/>
    </xf>
    <xf numFmtId="4" fontId="0" fillId="0" borderId="0" xfId="0" applyNumberForma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8" fillId="4" borderId="3" xfId="3" applyNumberFormat="1" applyFont="1" applyFill="1" applyBorder="1" applyAlignment="1">
      <alignment vertical="top" wrapText="1"/>
    </xf>
    <xf numFmtId="0" fontId="8" fillId="4" borderId="4" xfId="3" applyNumberFormat="1" applyFont="1" applyFill="1" applyBorder="1" applyAlignment="1">
      <alignment vertical="top" wrapText="1"/>
    </xf>
    <xf numFmtId="0" fontId="8" fillId="4" borderId="5" xfId="3" applyNumberFormat="1" applyFont="1" applyFill="1" applyBorder="1" applyAlignment="1">
      <alignment vertical="top" wrapText="1"/>
    </xf>
  </cellXfs>
  <cellStyles count="5">
    <cellStyle name="Обычный" xfId="0" builtinId="0"/>
    <cellStyle name="Обычный_Акты заказчика" xfId="1"/>
    <cellStyle name="Обычный_ВаловаяПрибыль" xfId="3"/>
    <cellStyle name="Обычный_Списание стройматериалов" xfId="4"/>
    <cellStyle name="Обычный_Услуги_сторонних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2"/>
  <sheetViews>
    <sheetView topLeftCell="B1" workbookViewId="0">
      <selection activeCell="E30" sqref="E30"/>
    </sheetView>
  </sheetViews>
  <sheetFormatPr defaultRowHeight="14.4" x14ac:dyDescent="0.3"/>
  <cols>
    <col min="1" max="2" width="4.77734375" customWidth="1"/>
    <col min="3" max="3" width="14" bestFit="1" customWidth="1"/>
    <col min="4" max="4" width="8.77734375" bestFit="1" customWidth="1"/>
    <col min="5" max="5" width="38.109375" bestFit="1" customWidth="1"/>
    <col min="6" max="6" width="11.33203125" bestFit="1" customWidth="1"/>
    <col min="7" max="7" width="7.6640625" bestFit="1" customWidth="1"/>
    <col min="8" max="8" width="21.44140625" bestFit="1" customWidth="1"/>
    <col min="9" max="9" width="16.6640625" bestFit="1" customWidth="1"/>
    <col min="10" max="10" width="14.5546875" bestFit="1" customWidth="1"/>
    <col min="11" max="11" width="6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264364.68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idden="1" x14ac:dyDescent="0.3">
      <c r="A3" s="2">
        <v>1</v>
      </c>
      <c r="B3" s="3" t="s">
        <v>11</v>
      </c>
      <c r="C3" s="3" t="s">
        <v>20</v>
      </c>
      <c r="D3" s="3" t="s">
        <v>21</v>
      </c>
      <c r="E3" s="3" t="s">
        <v>14</v>
      </c>
      <c r="F3" s="4">
        <v>993329.12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22</v>
      </c>
    </row>
    <row r="4" spans="1:11" hidden="1" x14ac:dyDescent="0.3">
      <c r="A4" s="2">
        <v>1</v>
      </c>
      <c r="B4" s="3" t="s">
        <v>11</v>
      </c>
      <c r="C4" s="3" t="s">
        <v>23</v>
      </c>
      <c r="D4" s="3" t="s">
        <v>24</v>
      </c>
      <c r="E4" s="3" t="s">
        <v>14</v>
      </c>
      <c r="F4" s="4">
        <v>523790.94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25</v>
      </c>
    </row>
    <row r="5" spans="1:11" s="8" customFormat="1" x14ac:dyDescent="0.3">
      <c r="A5" s="5">
        <v>1</v>
      </c>
      <c r="B5" s="6" t="s">
        <v>26</v>
      </c>
      <c r="C5" s="6" t="s">
        <v>27</v>
      </c>
      <c r="D5" s="6" t="s">
        <v>28</v>
      </c>
      <c r="E5" s="6" t="s">
        <v>29</v>
      </c>
      <c r="F5" s="7">
        <f>345321.58*0</f>
        <v>0</v>
      </c>
      <c r="G5" s="6" t="s">
        <v>15</v>
      </c>
      <c r="H5" s="6" t="s">
        <v>30</v>
      </c>
      <c r="I5" s="6" t="s">
        <v>17</v>
      </c>
      <c r="J5" s="6" t="s">
        <v>18</v>
      </c>
      <c r="K5" s="6" t="s">
        <v>31</v>
      </c>
    </row>
    <row r="6" spans="1:11" hidden="1" x14ac:dyDescent="0.3">
      <c r="A6" s="2">
        <v>1</v>
      </c>
      <c r="B6" s="3" t="s">
        <v>11</v>
      </c>
      <c r="C6" s="3" t="s">
        <v>32</v>
      </c>
      <c r="D6" s="3" t="s">
        <v>33</v>
      </c>
      <c r="E6" s="3" t="s">
        <v>34</v>
      </c>
      <c r="F6" s="4">
        <v>323673.21999999997</v>
      </c>
      <c r="G6" s="3" t="s">
        <v>15</v>
      </c>
      <c r="H6" s="3" t="s">
        <v>35</v>
      </c>
      <c r="I6" s="3" t="s">
        <v>17</v>
      </c>
      <c r="J6" s="3" t="s">
        <v>18</v>
      </c>
      <c r="K6" s="3"/>
    </row>
    <row r="7" spans="1:11" hidden="1" x14ac:dyDescent="0.3">
      <c r="A7" s="2">
        <v>1</v>
      </c>
      <c r="B7" s="3" t="s">
        <v>11</v>
      </c>
      <c r="C7" s="3" t="s">
        <v>36</v>
      </c>
      <c r="D7" s="3" t="s">
        <v>37</v>
      </c>
      <c r="E7" s="3" t="s">
        <v>34</v>
      </c>
      <c r="F7" s="4">
        <v>1660579.03</v>
      </c>
      <c r="G7" s="3" t="s">
        <v>15</v>
      </c>
      <c r="H7" s="3" t="s">
        <v>35</v>
      </c>
      <c r="I7" s="3" t="s">
        <v>17</v>
      </c>
      <c r="J7" s="3" t="s">
        <v>18</v>
      </c>
      <c r="K7" s="3" t="s">
        <v>38</v>
      </c>
    </row>
    <row r="8" spans="1:11" hidden="1" x14ac:dyDescent="0.3">
      <c r="A8" s="2">
        <v>1</v>
      </c>
      <c r="B8" s="3" t="s">
        <v>11</v>
      </c>
      <c r="C8" s="3" t="s">
        <v>39</v>
      </c>
      <c r="D8" s="3" t="s">
        <v>40</v>
      </c>
      <c r="E8" s="3" t="s">
        <v>34</v>
      </c>
      <c r="F8" s="4">
        <v>117953.48</v>
      </c>
      <c r="G8" s="3" t="s">
        <v>15</v>
      </c>
      <c r="H8" s="3" t="s">
        <v>35</v>
      </c>
      <c r="I8" s="3" t="s">
        <v>17</v>
      </c>
      <c r="J8" s="3" t="s">
        <v>18</v>
      </c>
      <c r="K8" s="3" t="s">
        <v>41</v>
      </c>
    </row>
    <row r="9" spans="1:11" hidden="1" x14ac:dyDescent="0.3">
      <c r="A9" s="2">
        <v>1</v>
      </c>
      <c r="B9" s="3" t="s">
        <v>11</v>
      </c>
      <c r="C9" s="3" t="s">
        <v>42</v>
      </c>
      <c r="D9" s="3" t="s">
        <v>43</v>
      </c>
      <c r="E9" s="3" t="s">
        <v>34</v>
      </c>
      <c r="F9" s="4">
        <v>2493224.0499999998</v>
      </c>
      <c r="G9" s="3" t="s">
        <v>15</v>
      </c>
      <c r="H9" s="3" t="s">
        <v>35</v>
      </c>
      <c r="I9" s="3" t="s">
        <v>17</v>
      </c>
      <c r="J9" s="3" t="s">
        <v>18</v>
      </c>
      <c r="K9" s="3" t="s">
        <v>44</v>
      </c>
    </row>
    <row r="10" spans="1:11" hidden="1" x14ac:dyDescent="0.3">
      <c r="A10" s="2">
        <v>1</v>
      </c>
      <c r="B10" s="3" t="s">
        <v>11</v>
      </c>
      <c r="C10" s="3" t="s">
        <v>45</v>
      </c>
      <c r="D10" s="3" t="s">
        <v>46</v>
      </c>
      <c r="E10" s="3" t="s">
        <v>14</v>
      </c>
      <c r="F10" s="4">
        <v>522469.62</v>
      </c>
      <c r="G10" s="3" t="s">
        <v>15</v>
      </c>
      <c r="H10" s="3" t="s">
        <v>16</v>
      </c>
      <c r="I10" s="3" t="s">
        <v>17</v>
      </c>
      <c r="J10" s="3" t="s">
        <v>18</v>
      </c>
      <c r="K10" s="3" t="s">
        <v>47</v>
      </c>
    </row>
    <row r="11" spans="1:11" hidden="1" x14ac:dyDescent="0.3">
      <c r="A11" s="2">
        <v>1</v>
      </c>
      <c r="B11" s="3" t="s">
        <v>11</v>
      </c>
      <c r="C11" s="3" t="s">
        <v>48</v>
      </c>
      <c r="D11" s="3" t="s">
        <v>49</v>
      </c>
      <c r="E11" s="3" t="s">
        <v>14</v>
      </c>
      <c r="F11" s="4">
        <v>705329.3</v>
      </c>
      <c r="G11" s="3" t="s">
        <v>15</v>
      </c>
      <c r="H11" s="3" t="s">
        <v>16</v>
      </c>
      <c r="I11" s="3" t="s">
        <v>17</v>
      </c>
      <c r="J11" s="3" t="s">
        <v>18</v>
      </c>
      <c r="K11" s="3" t="s">
        <v>50</v>
      </c>
    </row>
    <row r="12" spans="1:11" x14ac:dyDescent="0.3">
      <c r="A12" s="2">
        <v>1</v>
      </c>
      <c r="B12" s="3" t="s">
        <v>11</v>
      </c>
      <c r="C12" s="3" t="s">
        <v>51</v>
      </c>
      <c r="D12" s="3" t="s">
        <v>52</v>
      </c>
      <c r="E12" s="3" t="s">
        <v>29</v>
      </c>
      <c r="F12" s="4">
        <v>345321.58</v>
      </c>
      <c r="G12" s="3" t="s">
        <v>15</v>
      </c>
      <c r="H12" s="3" t="s">
        <v>30</v>
      </c>
      <c r="I12" s="3" t="s">
        <v>17</v>
      </c>
      <c r="J12" s="3" t="s">
        <v>53</v>
      </c>
      <c r="K12" s="3" t="s">
        <v>54</v>
      </c>
    </row>
    <row r="13" spans="1:11" hidden="1" x14ac:dyDescent="0.3">
      <c r="A13" s="2">
        <v>1</v>
      </c>
      <c r="B13" s="3" t="s">
        <v>11</v>
      </c>
      <c r="C13" s="3" t="s">
        <v>55</v>
      </c>
      <c r="D13" s="3" t="s">
        <v>56</v>
      </c>
      <c r="E13" s="3" t="s">
        <v>14</v>
      </c>
      <c r="F13" s="4">
        <v>81232.759999999995</v>
      </c>
      <c r="G13" s="3" t="s">
        <v>15</v>
      </c>
      <c r="H13" s="3" t="s">
        <v>16</v>
      </c>
      <c r="I13" s="3" t="s">
        <v>17</v>
      </c>
      <c r="J13" s="3" t="s">
        <v>18</v>
      </c>
      <c r="K13" s="3" t="s">
        <v>57</v>
      </c>
    </row>
    <row r="14" spans="1:11" hidden="1" x14ac:dyDescent="0.3">
      <c r="A14" s="2">
        <v>1</v>
      </c>
      <c r="B14" s="3" t="s">
        <v>11</v>
      </c>
      <c r="C14" s="3" t="s">
        <v>58</v>
      </c>
      <c r="D14" s="3" t="s">
        <v>59</v>
      </c>
      <c r="E14" s="3" t="s">
        <v>34</v>
      </c>
      <c r="F14" s="4">
        <v>487575.25</v>
      </c>
      <c r="G14" s="3" t="s">
        <v>15</v>
      </c>
      <c r="H14" s="3" t="s">
        <v>35</v>
      </c>
      <c r="I14" s="3" t="s">
        <v>17</v>
      </c>
      <c r="J14" s="3" t="s">
        <v>18</v>
      </c>
      <c r="K14" s="3" t="s">
        <v>60</v>
      </c>
    </row>
    <row r="15" spans="1:11" hidden="1" x14ac:dyDescent="0.3">
      <c r="A15" s="2">
        <v>1</v>
      </c>
      <c r="B15" s="3" t="s">
        <v>11</v>
      </c>
      <c r="C15" s="3" t="s">
        <v>61</v>
      </c>
      <c r="D15" s="3" t="s">
        <v>62</v>
      </c>
      <c r="E15" s="3" t="s">
        <v>14</v>
      </c>
      <c r="F15" s="4">
        <v>95904.01</v>
      </c>
      <c r="G15" s="3" t="s">
        <v>15</v>
      </c>
      <c r="H15" s="3" t="s">
        <v>16</v>
      </c>
      <c r="I15" s="3" t="s">
        <v>17</v>
      </c>
      <c r="J15" s="3" t="s">
        <v>18</v>
      </c>
      <c r="K15" s="3" t="s">
        <v>63</v>
      </c>
    </row>
    <row r="16" spans="1:11" hidden="1" x14ac:dyDescent="0.3">
      <c r="F16" s="9">
        <f>SUM(F2:F15)</f>
        <v>8614747.0399999991</v>
      </c>
    </row>
    <row r="18" spans="5:6" x14ac:dyDescent="0.3">
      <c r="E18" t="s">
        <v>64</v>
      </c>
      <c r="F18" s="9">
        <f>F6+F7+F8+F9+F14</f>
        <v>5083005.0299999993</v>
      </c>
    </row>
    <row r="19" spans="5:6" x14ac:dyDescent="0.3">
      <c r="E19" t="s">
        <v>65</v>
      </c>
      <c r="F19" s="9">
        <f>F2+F3+F4+F10+F11+F13+F15</f>
        <v>3186420.4299999997</v>
      </c>
    </row>
    <row r="20" spans="5:6" x14ac:dyDescent="0.3">
      <c r="E20" t="s">
        <v>66</v>
      </c>
      <c r="F20" s="9">
        <f>F12</f>
        <v>345321.58</v>
      </c>
    </row>
    <row r="21" spans="5:6" x14ac:dyDescent="0.3">
      <c r="E21" s="10" t="s">
        <v>67</v>
      </c>
      <c r="F21" s="10">
        <f>SUM(F18:F20)</f>
        <v>8614747.0399999991</v>
      </c>
    </row>
    <row r="22" spans="5:6" x14ac:dyDescent="0.3">
      <c r="F22" s="11">
        <f>F21-F16</f>
        <v>0</v>
      </c>
    </row>
  </sheetData>
  <autoFilter ref="A1:K16">
    <filterColumn colId="4">
      <filters>
        <filter val="Старокостянтинівський олійноекстраційний завод ТОВ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9" sqref="D19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7.21875" bestFit="1" customWidth="1"/>
    <col min="4" max="4" width="17.21875" customWidth="1"/>
    <col min="5" max="5" width="16.6640625" bestFit="1" customWidth="1"/>
    <col min="6" max="6" width="25.44140625" bestFit="1" customWidth="1"/>
    <col min="7" max="7" width="14.5546875" bestFit="1" customWidth="1"/>
    <col min="8" max="8" width="24.21875" customWidth="1"/>
  </cols>
  <sheetData>
    <row r="1" spans="1:8" x14ac:dyDescent="0.3">
      <c r="A1" s="28" t="s">
        <v>2</v>
      </c>
      <c r="B1" s="28" t="s">
        <v>3</v>
      </c>
      <c r="C1" s="28" t="s">
        <v>68</v>
      </c>
      <c r="D1" s="30" t="s">
        <v>143</v>
      </c>
      <c r="E1" s="30" t="s">
        <v>144</v>
      </c>
      <c r="F1" s="28" t="s">
        <v>7</v>
      </c>
      <c r="G1" s="28" t="s">
        <v>9</v>
      </c>
      <c r="H1" s="28" t="s">
        <v>10</v>
      </c>
    </row>
    <row r="2" spans="1:8" x14ac:dyDescent="0.3">
      <c r="A2" s="29" t="s">
        <v>123</v>
      </c>
      <c r="B2" s="29" t="s">
        <v>37</v>
      </c>
      <c r="C2" s="29" t="s">
        <v>65</v>
      </c>
      <c r="D2" s="31">
        <f>ВаловаяПрибыль!D18</f>
        <v>686941.1</v>
      </c>
      <c r="E2" s="31">
        <f t="shared" ref="E2:E11" si="0">D2*1.2</f>
        <v>824329.32</v>
      </c>
      <c r="F2" s="29" t="s">
        <v>16</v>
      </c>
      <c r="G2" s="29" t="s">
        <v>18</v>
      </c>
      <c r="H2" s="29"/>
    </row>
    <row r="3" spans="1:8" x14ac:dyDescent="0.3">
      <c r="A3" s="29" t="s">
        <v>124</v>
      </c>
      <c r="B3" s="29" t="s">
        <v>59</v>
      </c>
      <c r="C3" s="29" t="s">
        <v>64</v>
      </c>
      <c r="D3" s="31">
        <f>ВаловаяПрибыль!D6</f>
        <v>773648.55</v>
      </c>
      <c r="E3" s="31">
        <f t="shared" si="0"/>
        <v>928378.26</v>
      </c>
      <c r="F3" s="29" t="s">
        <v>35</v>
      </c>
      <c r="G3" s="29" t="s">
        <v>18</v>
      </c>
      <c r="H3" s="29"/>
    </row>
    <row r="4" spans="1:8" x14ac:dyDescent="0.3">
      <c r="A4" s="29" t="s">
        <v>125</v>
      </c>
      <c r="B4" s="29" t="s">
        <v>126</v>
      </c>
      <c r="C4" s="29" t="s">
        <v>64</v>
      </c>
      <c r="D4" s="31">
        <f>ВаловаяПрибыль!D7</f>
        <v>1106187.53</v>
      </c>
      <c r="E4" s="31">
        <f t="shared" si="0"/>
        <v>1327425.0360000001</v>
      </c>
      <c r="F4" s="29" t="s">
        <v>35</v>
      </c>
      <c r="G4" s="29" t="s">
        <v>18</v>
      </c>
      <c r="H4" s="29" t="s">
        <v>127</v>
      </c>
    </row>
    <row r="5" spans="1:8" x14ac:dyDescent="0.3">
      <c r="A5" s="29" t="s">
        <v>128</v>
      </c>
      <c r="B5" s="29" t="s">
        <v>129</v>
      </c>
      <c r="C5" s="29" t="s">
        <v>64</v>
      </c>
      <c r="D5" s="31">
        <f>ВаловаяПрибыль!D9</f>
        <v>175841.07</v>
      </c>
      <c r="E5" s="31">
        <f t="shared" si="0"/>
        <v>211009.28400000001</v>
      </c>
      <c r="F5" s="29" t="s">
        <v>35</v>
      </c>
      <c r="G5" s="29" t="s">
        <v>18</v>
      </c>
      <c r="H5" s="29" t="s">
        <v>130</v>
      </c>
    </row>
    <row r="6" spans="1:8" x14ac:dyDescent="0.3">
      <c r="A6" s="29" t="s">
        <v>131</v>
      </c>
      <c r="B6" s="29" t="s">
        <v>40</v>
      </c>
      <c r="C6" s="29" t="s">
        <v>65</v>
      </c>
      <c r="D6" s="31">
        <f>ВаловаяПрибыль!D16+ВаловаяПрибыль!D17</f>
        <v>139062.57999999999</v>
      </c>
      <c r="E6" s="31">
        <f t="shared" si="0"/>
        <v>166875.09599999999</v>
      </c>
      <c r="F6" s="29" t="s">
        <v>16</v>
      </c>
      <c r="G6" s="29" t="s">
        <v>18</v>
      </c>
      <c r="H6" s="29"/>
    </row>
    <row r="7" spans="1:8" x14ac:dyDescent="0.3">
      <c r="A7" s="29" t="s">
        <v>132</v>
      </c>
      <c r="B7" s="29" t="s">
        <v>33</v>
      </c>
      <c r="C7" s="29" t="s">
        <v>65</v>
      </c>
      <c r="D7" s="31">
        <f>ВаловаяПрибыль!D20+ВаловаяПрибыль!D19</f>
        <v>561372.13</v>
      </c>
      <c r="E7" s="31">
        <f t="shared" si="0"/>
        <v>673646.55599999998</v>
      </c>
      <c r="F7" s="29" t="s">
        <v>16</v>
      </c>
      <c r="G7" s="29" t="s">
        <v>18</v>
      </c>
      <c r="H7" s="29"/>
    </row>
    <row r="8" spans="1:8" x14ac:dyDescent="0.3">
      <c r="A8" s="29" t="s">
        <v>133</v>
      </c>
      <c r="B8" s="29" t="s">
        <v>134</v>
      </c>
      <c r="C8" s="29" t="s">
        <v>64</v>
      </c>
      <c r="D8" s="31">
        <f>ВаловаяПрибыль!D13</f>
        <v>33221.39</v>
      </c>
      <c r="E8" s="31">
        <f t="shared" si="0"/>
        <v>39865.667999999998</v>
      </c>
      <c r="F8" s="29" t="s">
        <v>35</v>
      </c>
      <c r="G8" s="29" t="s">
        <v>18</v>
      </c>
      <c r="H8" s="29"/>
    </row>
    <row r="9" spans="1:8" x14ac:dyDescent="0.3">
      <c r="A9" s="29" t="s">
        <v>135</v>
      </c>
      <c r="B9" s="29" t="s">
        <v>136</v>
      </c>
      <c r="C9" s="29" t="s">
        <v>65</v>
      </c>
      <c r="D9" s="31">
        <f>ВаловаяПрибыль!D21+ВаловаяПрибыль!D22</f>
        <v>64119.34</v>
      </c>
      <c r="E9" s="31">
        <f t="shared" si="0"/>
        <v>76943.207999999999</v>
      </c>
      <c r="F9" s="29" t="s">
        <v>16</v>
      </c>
      <c r="G9" s="29" t="s">
        <v>18</v>
      </c>
      <c r="H9" s="29"/>
    </row>
    <row r="10" spans="1:8" x14ac:dyDescent="0.3">
      <c r="A10" s="29" t="s">
        <v>137</v>
      </c>
      <c r="B10" s="29" t="s">
        <v>138</v>
      </c>
      <c r="C10" s="29" t="s">
        <v>139</v>
      </c>
      <c r="D10" s="31">
        <v>422.4</v>
      </c>
      <c r="E10" s="31">
        <f t="shared" si="0"/>
        <v>506.87999999999994</v>
      </c>
      <c r="F10" s="32" t="s">
        <v>145</v>
      </c>
      <c r="G10" s="29" t="s">
        <v>79</v>
      </c>
      <c r="H10" s="29" t="s">
        <v>140</v>
      </c>
    </row>
    <row r="11" spans="1:8" x14ac:dyDescent="0.3">
      <c r="A11" s="29" t="s">
        <v>137</v>
      </c>
      <c r="B11" s="29" t="s">
        <v>141</v>
      </c>
      <c r="C11" s="29" t="s">
        <v>139</v>
      </c>
      <c r="D11" s="31">
        <v>510</v>
      </c>
      <c r="E11" s="31">
        <f t="shared" si="0"/>
        <v>612</v>
      </c>
      <c r="F11" s="32" t="s">
        <v>145</v>
      </c>
      <c r="G11" s="29" t="s">
        <v>79</v>
      </c>
      <c r="H11" s="29" t="s">
        <v>142</v>
      </c>
    </row>
    <row r="12" spans="1:8" x14ac:dyDescent="0.3">
      <c r="D12" s="41">
        <f>SUM(D2:D11)</f>
        <v>3541326.0899999994</v>
      </c>
      <c r="E12" s="41">
        <f>SUM(E2:E11)</f>
        <v>4249591.3080000002</v>
      </c>
    </row>
    <row r="14" spans="1:8" x14ac:dyDescent="0.3">
      <c r="D14" s="41">
        <f>-ВаловаяПрибыль!D26</f>
        <v>-3540393.69</v>
      </c>
    </row>
    <row r="15" spans="1:8" x14ac:dyDescent="0.3">
      <c r="D15" s="41">
        <f>D12+D14</f>
        <v>932.39999999944121</v>
      </c>
    </row>
    <row r="16" spans="1:8" x14ac:dyDescent="0.3">
      <c r="D16" s="41">
        <f>-D10-D11</f>
        <v>-932.4</v>
      </c>
    </row>
    <row r="17" spans="3:5" x14ac:dyDescent="0.3">
      <c r="D17" s="43">
        <f>SUM(D15:D16)</f>
        <v>-5.5877080740174279E-10</v>
      </c>
    </row>
    <row r="18" spans="3:5" x14ac:dyDescent="0.3">
      <c r="D18" s="41"/>
    </row>
    <row r="19" spans="3:5" x14ac:dyDescent="0.3">
      <c r="C19" t="s">
        <v>64</v>
      </c>
      <c r="D19" s="41">
        <f>D3+D4+D5+D8</f>
        <v>2088898.54</v>
      </c>
      <c r="E19" s="41">
        <f>E3+E4+E5+E8</f>
        <v>2506678.2480000001</v>
      </c>
    </row>
    <row r="20" spans="3:5" x14ac:dyDescent="0.3">
      <c r="C20" t="s">
        <v>65</v>
      </c>
      <c r="D20" s="41">
        <f>D2+D6+D7+D9</f>
        <v>1451495.1500000001</v>
      </c>
      <c r="E20" s="41">
        <f>E2+E6+E7+E9</f>
        <v>1741794.1800000002</v>
      </c>
    </row>
    <row r="21" spans="3:5" x14ac:dyDescent="0.3">
      <c r="D21" s="42">
        <f>SUM(D19:D20)</f>
        <v>3540393.6900000004</v>
      </c>
      <c r="E21" s="42">
        <f>SUM(E19:E20)</f>
        <v>4248472.4280000003</v>
      </c>
    </row>
    <row r="22" spans="3:5" x14ac:dyDescent="0.3">
      <c r="D22" s="43">
        <f>D21+D14</f>
        <v>0</v>
      </c>
    </row>
    <row r="23" spans="3:5" x14ac:dyDescent="0.3">
      <c r="D23" s="41"/>
    </row>
    <row r="24" spans="3:5" x14ac:dyDescent="0.3">
      <c r="D24" s="41"/>
    </row>
    <row r="25" spans="3:5" x14ac:dyDescent="0.3">
      <c r="D25" s="41"/>
    </row>
  </sheetData>
  <autoFilter ref="A1:H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E25" sqref="E25"/>
    </sheetView>
  </sheetViews>
  <sheetFormatPr defaultRowHeight="14.4" x14ac:dyDescent="0.3"/>
  <cols>
    <col min="1" max="1" width="57.21875" customWidth="1"/>
    <col min="2" max="5" width="14.33203125" customWidth="1"/>
    <col min="6" max="6" width="21.44140625" bestFit="1" customWidth="1"/>
    <col min="7" max="7" width="10.33203125" customWidth="1"/>
    <col min="9" max="9" width="9.88671875" bestFit="1" customWidth="1"/>
    <col min="10" max="10" width="11.33203125" bestFit="1" customWidth="1"/>
  </cols>
  <sheetData>
    <row r="1" spans="1:7" ht="14.4" customHeight="1" x14ac:dyDescent="0.3">
      <c r="A1" s="15" t="s">
        <v>4</v>
      </c>
      <c r="B1" s="44" t="s">
        <v>98</v>
      </c>
      <c r="C1" s="44" t="s">
        <v>99</v>
      </c>
      <c r="D1" s="44" t="s">
        <v>100</v>
      </c>
      <c r="E1" s="44" t="s">
        <v>101</v>
      </c>
    </row>
    <row r="2" spans="1:7" x14ac:dyDescent="0.3">
      <c r="A2" s="15" t="s">
        <v>71</v>
      </c>
      <c r="B2" s="45"/>
      <c r="C2" s="45"/>
      <c r="D2" s="45"/>
      <c r="E2" s="45"/>
    </row>
    <row r="3" spans="1:7" x14ac:dyDescent="0.3">
      <c r="A3" s="15" t="s">
        <v>102</v>
      </c>
      <c r="B3" s="46"/>
      <c r="C3" s="46"/>
      <c r="D3" s="46"/>
      <c r="E3" s="46"/>
    </row>
    <row r="4" spans="1:7" x14ac:dyDescent="0.3">
      <c r="A4" s="16" t="s">
        <v>34</v>
      </c>
      <c r="B4" s="17">
        <v>5083005.03</v>
      </c>
      <c r="C4" s="18">
        <v>847167.5</v>
      </c>
      <c r="D4" s="34">
        <f>2378944.73-E10</f>
        <v>2088898.54</v>
      </c>
      <c r="E4" s="34">
        <f>E10</f>
        <v>290046.19</v>
      </c>
    </row>
    <row r="5" spans="1:7" x14ac:dyDescent="0.3">
      <c r="A5" s="19" t="s">
        <v>103</v>
      </c>
      <c r="B5" s="20">
        <v>4153803.08</v>
      </c>
      <c r="C5" s="20">
        <v>692300.51</v>
      </c>
      <c r="D5" s="34">
        <v>1879836.08</v>
      </c>
      <c r="E5" s="33"/>
    </row>
    <row r="6" spans="1:7" x14ac:dyDescent="0.3">
      <c r="A6" s="21" t="s">
        <v>104</v>
      </c>
      <c r="B6" s="22">
        <v>1660579.03</v>
      </c>
      <c r="C6" s="22">
        <v>276763.17</v>
      </c>
      <c r="D6" s="36">
        <v>773648.55</v>
      </c>
      <c r="E6" s="35"/>
      <c r="F6" s="40">
        <v>773648.55000000016</v>
      </c>
      <c r="G6" s="9">
        <f>F6-D6</f>
        <v>0</v>
      </c>
    </row>
    <row r="7" spans="1:7" x14ac:dyDescent="0.3">
      <c r="A7" s="21" t="s">
        <v>105</v>
      </c>
      <c r="B7" s="22">
        <v>2493224.0499999998</v>
      </c>
      <c r="C7" s="22">
        <v>415537.34</v>
      </c>
      <c r="D7" s="36">
        <v>1106187.53</v>
      </c>
      <c r="E7" s="35"/>
      <c r="F7" s="40">
        <v>1106187.53</v>
      </c>
      <c r="G7" s="9">
        <f>F7-D7</f>
        <v>0</v>
      </c>
    </row>
    <row r="8" spans="1:7" x14ac:dyDescent="0.3">
      <c r="A8" s="19" t="s">
        <v>106</v>
      </c>
      <c r="B8" s="20">
        <v>323673.21999999997</v>
      </c>
      <c r="C8" s="20">
        <v>53945.54</v>
      </c>
      <c r="D8" s="34">
        <v>175841.07</v>
      </c>
      <c r="E8" s="33"/>
      <c r="G8" s="9"/>
    </row>
    <row r="9" spans="1:7" x14ac:dyDescent="0.3">
      <c r="A9" s="21" t="s">
        <v>107</v>
      </c>
      <c r="B9" s="22">
        <v>323673.21999999997</v>
      </c>
      <c r="C9" s="22">
        <v>53945.54</v>
      </c>
      <c r="D9" s="36">
        <v>175841.07</v>
      </c>
      <c r="E9" s="35"/>
      <c r="F9" s="40">
        <v>175841.06999999998</v>
      </c>
      <c r="G9" s="9">
        <f>F9-D9</f>
        <v>0</v>
      </c>
    </row>
    <row r="10" spans="1:7" x14ac:dyDescent="0.3">
      <c r="A10" s="19" t="s">
        <v>108</v>
      </c>
      <c r="B10" s="20">
        <v>487575.25</v>
      </c>
      <c r="C10" s="20">
        <v>81262.539999999994</v>
      </c>
      <c r="D10" s="34"/>
      <c r="E10" s="34">
        <v>290046.19</v>
      </c>
    </row>
    <row r="11" spans="1:7" x14ac:dyDescent="0.3">
      <c r="A11" s="21" t="s">
        <v>109</v>
      </c>
      <c r="B11" s="22">
        <v>487575.25</v>
      </c>
      <c r="C11" s="22">
        <v>81262.539999999994</v>
      </c>
      <c r="D11" s="36"/>
      <c r="E11" s="36">
        <v>290046.19</v>
      </c>
    </row>
    <row r="12" spans="1:7" x14ac:dyDescent="0.3">
      <c r="A12" s="19" t="s">
        <v>110</v>
      </c>
      <c r="B12" s="20">
        <v>117953.48</v>
      </c>
      <c r="C12" s="20">
        <v>19658.91</v>
      </c>
      <c r="D12" s="34">
        <v>33221.39</v>
      </c>
      <c r="E12" s="33"/>
    </row>
    <row r="13" spans="1:7" x14ac:dyDescent="0.3">
      <c r="A13" s="21" t="s">
        <v>111</v>
      </c>
      <c r="B13" s="22">
        <v>117953.48</v>
      </c>
      <c r="C13" s="22">
        <v>19658.91</v>
      </c>
      <c r="D13" s="36">
        <v>33221.39</v>
      </c>
      <c r="E13" s="35"/>
      <c r="F13" s="40">
        <v>33221.39</v>
      </c>
      <c r="G13" s="9">
        <f>F13-D13</f>
        <v>0</v>
      </c>
    </row>
    <row r="14" spans="1:7" x14ac:dyDescent="0.3">
      <c r="A14" s="16" t="s">
        <v>14</v>
      </c>
      <c r="B14" s="17">
        <v>3186420.43</v>
      </c>
      <c r="C14" s="17">
        <v>531070.06000000006</v>
      </c>
      <c r="D14" s="34">
        <v>1451495.15</v>
      </c>
      <c r="E14" s="33"/>
    </row>
    <row r="15" spans="1:7" x14ac:dyDescent="0.3">
      <c r="A15" s="19" t="s">
        <v>112</v>
      </c>
      <c r="B15" s="20">
        <v>3186420.43</v>
      </c>
      <c r="C15" s="20">
        <v>531070.06000000006</v>
      </c>
      <c r="D15" s="34">
        <v>1451495.15</v>
      </c>
      <c r="E15" s="33"/>
      <c r="F15" t="s">
        <v>146</v>
      </c>
      <c r="G15" t="s">
        <v>147</v>
      </c>
    </row>
    <row r="16" spans="1:7" x14ac:dyDescent="0.3">
      <c r="A16" s="21" t="s">
        <v>113</v>
      </c>
      <c r="B16" s="22">
        <v>264364.68</v>
      </c>
      <c r="C16" s="22">
        <v>44060.78</v>
      </c>
      <c r="D16" s="36">
        <v>138572.07999999999</v>
      </c>
      <c r="E16" s="35"/>
      <c r="F16" s="40">
        <v>135562.98000000001</v>
      </c>
      <c r="G16" s="9">
        <f>F16-D16</f>
        <v>-3009.0999999999767</v>
      </c>
    </row>
    <row r="17" spans="1:7" x14ac:dyDescent="0.3">
      <c r="A17" s="21" t="s">
        <v>114</v>
      </c>
      <c r="B17" s="22">
        <v>523790.94</v>
      </c>
      <c r="C17" s="22">
        <v>87298.49</v>
      </c>
      <c r="D17" s="38">
        <v>490.5</v>
      </c>
      <c r="E17" s="35"/>
      <c r="G17" s="9">
        <f t="shared" ref="G17:G22" si="0">F17-D17</f>
        <v>-490.5</v>
      </c>
    </row>
    <row r="18" spans="1:7" x14ac:dyDescent="0.3">
      <c r="A18" s="21" t="s">
        <v>115</v>
      </c>
      <c r="B18" s="22">
        <v>993329.12</v>
      </c>
      <c r="C18" s="22">
        <v>165554.85</v>
      </c>
      <c r="D18" s="37">
        <v>686941.1</v>
      </c>
      <c r="E18" s="35"/>
      <c r="F18" s="40">
        <v>686941.1</v>
      </c>
      <c r="G18" s="9">
        <f t="shared" si="0"/>
        <v>0</v>
      </c>
    </row>
    <row r="19" spans="1:7" x14ac:dyDescent="0.3">
      <c r="A19" s="21" t="s">
        <v>116</v>
      </c>
      <c r="B19" s="22">
        <v>522469.62</v>
      </c>
      <c r="C19" s="22">
        <v>87078.27</v>
      </c>
      <c r="D19" s="39">
        <v>7</v>
      </c>
      <c r="E19" s="35"/>
      <c r="G19" s="9">
        <f t="shared" si="0"/>
        <v>-7</v>
      </c>
    </row>
    <row r="20" spans="1:7" x14ac:dyDescent="0.3">
      <c r="A20" s="21" t="s">
        <v>117</v>
      </c>
      <c r="B20" s="23">
        <v>705329.3</v>
      </c>
      <c r="C20" s="22">
        <v>117554.88</v>
      </c>
      <c r="D20" s="36">
        <v>561365.13</v>
      </c>
      <c r="E20" s="35"/>
      <c r="F20" s="40">
        <v>559957.13</v>
      </c>
      <c r="G20" s="9">
        <f t="shared" si="0"/>
        <v>-1408</v>
      </c>
    </row>
    <row r="21" spans="1:7" x14ac:dyDescent="0.3">
      <c r="A21" s="21" t="s">
        <v>118</v>
      </c>
      <c r="B21" s="22">
        <v>81232.759999999995</v>
      </c>
      <c r="C21" s="22">
        <v>13538.79</v>
      </c>
      <c r="D21" s="36">
        <v>64071.34</v>
      </c>
      <c r="E21" s="35"/>
      <c r="F21" s="40">
        <v>62988</v>
      </c>
      <c r="G21" s="9">
        <f t="shared" si="0"/>
        <v>-1083.3399999999965</v>
      </c>
    </row>
    <row r="22" spans="1:7" x14ac:dyDescent="0.3">
      <c r="A22" s="21" t="s">
        <v>119</v>
      </c>
      <c r="B22" s="22">
        <v>95904.01</v>
      </c>
      <c r="C22" s="24">
        <v>15984</v>
      </c>
      <c r="D22" s="39">
        <v>48</v>
      </c>
      <c r="E22" s="35"/>
      <c r="G22" s="9">
        <f t="shared" si="0"/>
        <v>-48</v>
      </c>
    </row>
    <row r="23" spans="1:7" x14ac:dyDescent="0.3">
      <c r="A23" s="16" t="s">
        <v>29</v>
      </c>
      <c r="B23" s="17">
        <v>345321.58</v>
      </c>
      <c r="C23" s="18">
        <v>57553.599999999999</v>
      </c>
      <c r="D23" s="33"/>
      <c r="E23" s="34">
        <v>143885.16</v>
      </c>
    </row>
    <row r="24" spans="1:7" x14ac:dyDescent="0.3">
      <c r="A24" s="19" t="s">
        <v>120</v>
      </c>
      <c r="B24" s="20">
        <v>345321.58</v>
      </c>
      <c r="C24" s="25">
        <v>57553.599999999999</v>
      </c>
      <c r="D24" s="33"/>
      <c r="E24" s="34">
        <v>143885.16</v>
      </c>
    </row>
    <row r="25" spans="1:7" x14ac:dyDescent="0.3">
      <c r="A25" s="21" t="s">
        <v>121</v>
      </c>
      <c r="B25" s="22">
        <v>345321.58</v>
      </c>
      <c r="C25" s="23">
        <v>57553.599999999999</v>
      </c>
      <c r="D25" s="35"/>
      <c r="E25" s="36">
        <v>143885.16</v>
      </c>
    </row>
    <row r="26" spans="1:7" x14ac:dyDescent="0.3">
      <c r="A26" s="26" t="s">
        <v>122</v>
      </c>
      <c r="B26" s="27">
        <v>8614747.0399999991</v>
      </c>
      <c r="C26" s="27">
        <v>1435791.16</v>
      </c>
      <c r="D26" s="27">
        <f>D14+D4</f>
        <v>3540393.69</v>
      </c>
      <c r="E26" s="27">
        <f>E23+E4</f>
        <v>433931.35</v>
      </c>
    </row>
  </sheetData>
  <mergeCells count="4">
    <mergeCell ref="B1:B3"/>
    <mergeCell ref="C1:C3"/>
    <mergeCell ref="D1:D3"/>
    <mergeCell ref="E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F23" sqref="F23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9.44140625" customWidth="1"/>
    <col min="5" max="5" width="7.6640625" bestFit="1" customWidth="1"/>
    <col min="6" max="6" width="12.21875" bestFit="1" customWidth="1"/>
    <col min="7" max="7" width="12.88671875" bestFit="1" customWidth="1"/>
    <col min="8" max="8" width="8.109375" bestFit="1" customWidth="1"/>
    <col min="9" max="9" width="9.33203125" bestFit="1" customWidth="1"/>
    <col min="10" max="11" width="13.21875" customWidth="1"/>
    <col min="12" max="12" width="16.6640625" bestFit="1" customWidth="1"/>
    <col min="13" max="13" width="14.5546875" bestFit="1" customWidth="1"/>
  </cols>
  <sheetData>
    <row r="1" spans="1:13" x14ac:dyDescent="0.3">
      <c r="A1" s="12" t="s">
        <v>2</v>
      </c>
      <c r="B1" s="12" t="s">
        <v>3</v>
      </c>
      <c r="C1" s="12" t="s">
        <v>80</v>
      </c>
      <c r="D1" s="12" t="s">
        <v>5</v>
      </c>
      <c r="E1" s="12" t="s">
        <v>6</v>
      </c>
      <c r="F1" s="12" t="s">
        <v>68</v>
      </c>
      <c r="G1" s="12" t="s">
        <v>4</v>
      </c>
      <c r="H1" s="12" t="s">
        <v>69</v>
      </c>
      <c r="I1" s="12" t="s">
        <v>70</v>
      </c>
      <c r="J1" s="12" t="s">
        <v>71</v>
      </c>
      <c r="K1" s="12" t="s">
        <v>72</v>
      </c>
      <c r="L1" s="12" t="s">
        <v>8</v>
      </c>
      <c r="M1" s="12" t="s">
        <v>9</v>
      </c>
    </row>
    <row r="2" spans="1:13" x14ac:dyDescent="0.3">
      <c r="A2" s="14" t="s">
        <v>81</v>
      </c>
      <c r="B2" s="14" t="s">
        <v>82</v>
      </c>
      <c r="C2" s="14" t="s">
        <v>83</v>
      </c>
      <c r="D2" s="13">
        <v>10080</v>
      </c>
      <c r="E2" s="14" t="s">
        <v>15</v>
      </c>
      <c r="F2" s="14" t="s">
        <v>73</v>
      </c>
      <c r="G2" s="14" t="s">
        <v>74</v>
      </c>
      <c r="H2" s="14" t="s">
        <v>75</v>
      </c>
      <c r="I2" s="14" t="s">
        <v>76</v>
      </c>
      <c r="J2" s="14" t="s">
        <v>77</v>
      </c>
      <c r="K2" s="14" t="s">
        <v>78</v>
      </c>
      <c r="L2" s="14" t="s">
        <v>17</v>
      </c>
      <c r="M2" s="14" t="s">
        <v>79</v>
      </c>
    </row>
    <row r="4" spans="1:13" x14ac:dyDescent="0.3">
      <c r="A4" s="12" t="s">
        <v>2</v>
      </c>
      <c r="B4" s="12" t="s">
        <v>3</v>
      </c>
      <c r="C4" s="12" t="s">
        <v>80</v>
      </c>
      <c r="D4" s="12" t="s">
        <v>5</v>
      </c>
      <c r="E4" s="12" t="s">
        <v>6</v>
      </c>
      <c r="F4" s="12" t="s">
        <v>68</v>
      </c>
      <c r="G4" s="12" t="s">
        <v>4</v>
      </c>
      <c r="H4" s="12" t="s">
        <v>69</v>
      </c>
      <c r="I4" s="12" t="s">
        <v>70</v>
      </c>
      <c r="J4" s="12" t="s">
        <v>71</v>
      </c>
      <c r="K4" s="12" t="s">
        <v>72</v>
      </c>
      <c r="L4" s="12" t="s">
        <v>8</v>
      </c>
      <c r="M4" s="12" t="s">
        <v>9</v>
      </c>
    </row>
    <row r="5" spans="1:13" x14ac:dyDescent="0.3">
      <c r="A5" s="14" t="s">
        <v>84</v>
      </c>
      <c r="B5" s="14" t="s">
        <v>85</v>
      </c>
      <c r="C5" s="14" t="s">
        <v>83</v>
      </c>
      <c r="D5" s="13">
        <v>172662.19</v>
      </c>
      <c r="E5" s="14" t="s">
        <v>15</v>
      </c>
      <c r="F5" s="14" t="s">
        <v>73</v>
      </c>
      <c r="G5" s="14" t="s">
        <v>86</v>
      </c>
      <c r="H5" s="14" t="s">
        <v>87</v>
      </c>
      <c r="I5" s="14" t="s">
        <v>88</v>
      </c>
      <c r="J5" s="14" t="s">
        <v>89</v>
      </c>
      <c r="K5" s="14" t="s">
        <v>90</v>
      </c>
      <c r="L5" s="14" t="s">
        <v>17</v>
      </c>
      <c r="M5" s="14" t="s">
        <v>79</v>
      </c>
    </row>
    <row r="6" spans="1:13" x14ac:dyDescent="0.3">
      <c r="A6" s="14" t="s">
        <v>91</v>
      </c>
      <c r="B6" s="14" t="s">
        <v>92</v>
      </c>
      <c r="C6" s="14" t="s">
        <v>83</v>
      </c>
      <c r="D6" s="13">
        <v>348055.43</v>
      </c>
      <c r="E6" s="14" t="s">
        <v>15</v>
      </c>
      <c r="F6" s="14" t="s">
        <v>64</v>
      </c>
      <c r="G6" s="14" t="s">
        <v>93</v>
      </c>
      <c r="H6" s="14" t="s">
        <v>94</v>
      </c>
      <c r="I6" s="14" t="s">
        <v>95</v>
      </c>
      <c r="J6" s="14" t="s">
        <v>96</v>
      </c>
      <c r="K6" s="14" t="s">
        <v>97</v>
      </c>
      <c r="L6" s="14" t="s">
        <v>17</v>
      </c>
      <c r="M6" s="1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Акты заказчика</vt:lpstr>
      <vt:lpstr>Списание стройматериалов</vt:lpstr>
      <vt:lpstr>ВаловаяПрибыль</vt:lpstr>
      <vt:lpstr>Услуги_сторонних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2024-03-19T09:01:34Z</dcterms:modified>
</cp:coreProperties>
</file>
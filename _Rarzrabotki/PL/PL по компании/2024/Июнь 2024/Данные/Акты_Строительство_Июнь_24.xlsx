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 activeTab="2"/>
  </bookViews>
  <sheets>
    <sheet name="Акты заказчика" sheetId="1" r:id="rId1"/>
    <sheet name="Списание стройматериалов" sheetId="2" r:id="rId2"/>
    <sheet name="Услуги_сторонних" sheetId="4" r:id="rId3"/>
    <sheet name="ВаловаяПрибыль" sheetId="3" r:id="rId4"/>
  </sheets>
  <definedNames>
    <definedName name="_xlnm._FilterDatabase" localSheetId="0" hidden="1">'Акты заказчика'!$A$57:$J$113</definedName>
    <definedName name="_xlnm._FilterDatabase" localSheetId="1" hidden="1">'Списание стройматериалов'!$A$11:$H$60</definedName>
  </definedNames>
  <calcPr calcId="145621"/>
</workbook>
</file>

<file path=xl/calcChain.xml><?xml version="1.0" encoding="utf-8"?>
<calcChain xmlns="http://schemas.openxmlformats.org/spreadsheetml/2006/main">
  <c r="F115" i="1" l="1"/>
  <c r="E101" i="2" l="1"/>
  <c r="E100" i="2"/>
  <c r="E99" i="2"/>
  <c r="E98" i="2"/>
  <c r="I83" i="2" l="1"/>
  <c r="I74" i="2"/>
  <c r="G65" i="2" l="1"/>
  <c r="F65" i="2"/>
  <c r="L95" i="2" l="1"/>
  <c r="K95" i="2"/>
  <c r="L94" i="2"/>
  <c r="K94" i="2"/>
  <c r="L93" i="2"/>
  <c r="L91" i="2"/>
  <c r="L92" i="2" s="1"/>
  <c r="K91" i="2"/>
  <c r="K92" i="2" s="1"/>
  <c r="K90" i="2"/>
  <c r="L90" i="2"/>
  <c r="L96" i="2"/>
  <c r="K88" i="2"/>
  <c r="K87" i="2"/>
  <c r="K89" i="2" s="1"/>
  <c r="L87" i="2"/>
  <c r="L89" i="2" s="1"/>
  <c r="K96" i="2" l="1"/>
  <c r="D96" i="2" l="1"/>
  <c r="E95" i="2" l="1"/>
  <c r="J95" i="2" s="1"/>
  <c r="E94" i="2"/>
  <c r="J94" i="2" s="1"/>
  <c r="E93" i="2"/>
  <c r="J93" i="2" s="1"/>
  <c r="E91" i="2"/>
  <c r="J91" i="2" s="1"/>
  <c r="E90" i="2"/>
  <c r="J90" i="2" s="1"/>
  <c r="J92" i="2" s="1"/>
  <c r="E88" i="2"/>
  <c r="J88" i="2" s="1"/>
  <c r="E87" i="2"/>
  <c r="J87" i="2" s="1"/>
  <c r="E83" i="2"/>
  <c r="E82" i="2"/>
  <c r="E81" i="2"/>
  <c r="E80" i="2"/>
  <c r="E77" i="2"/>
  <c r="E76" i="2"/>
  <c r="E75" i="2"/>
  <c r="E74" i="2"/>
  <c r="E73" i="2"/>
  <c r="J89" i="2" l="1"/>
  <c r="J96" i="2"/>
  <c r="E96" i="2"/>
  <c r="E31" i="2"/>
  <c r="F67" i="2" s="1"/>
  <c r="D46" i="1" l="1"/>
  <c r="D67" i="2"/>
  <c r="D66" i="2"/>
  <c r="D65" i="2"/>
  <c r="D64" i="2"/>
  <c r="D63" i="2"/>
  <c r="D62" i="2"/>
  <c r="D60" i="2"/>
  <c r="E7" i="2"/>
  <c r="D68" i="2" l="1"/>
  <c r="F114" i="1"/>
  <c r="E32" i="2" l="1"/>
  <c r="E30" i="2"/>
  <c r="E29" i="2"/>
  <c r="E28" i="2"/>
  <c r="E6" i="2"/>
  <c r="E5" i="2"/>
  <c r="E4" i="2"/>
  <c r="E3" i="2"/>
  <c r="E25" i="2"/>
  <c r="E23" i="2"/>
  <c r="E18" i="2"/>
  <c r="E16" i="2"/>
  <c r="E12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62" i="2" s="1"/>
  <c r="E41" i="2"/>
  <c r="E40" i="2"/>
  <c r="E39" i="2"/>
  <c r="E38" i="2"/>
  <c r="E37" i="2"/>
  <c r="E36" i="2"/>
  <c r="E35" i="2"/>
  <c r="E34" i="2"/>
  <c r="E33" i="2"/>
  <c r="E27" i="2"/>
  <c r="E26" i="2"/>
  <c r="E24" i="2"/>
  <c r="E22" i="2"/>
  <c r="E21" i="2"/>
  <c r="E20" i="2"/>
  <c r="E19" i="2"/>
  <c r="E17" i="2"/>
  <c r="E15" i="2"/>
  <c r="E14" i="2"/>
  <c r="E13" i="2"/>
  <c r="F45" i="1"/>
  <c r="E66" i="2" l="1"/>
  <c r="E60" i="2"/>
  <c r="E67" i="2"/>
  <c r="G67" i="2" s="1"/>
  <c r="E63" i="2"/>
  <c r="E64" i="2"/>
  <c r="E65" i="2"/>
  <c r="E9" i="2"/>
  <c r="E68" i="2" l="1"/>
  <c r="E2" i="2"/>
  <c r="F111" i="1" l="1"/>
  <c r="F113" i="1"/>
  <c r="F112" i="1"/>
  <c r="D115" i="1"/>
  <c r="D114" i="1"/>
  <c r="D113" i="1"/>
  <c r="D109" i="1"/>
  <c r="D108" i="1"/>
  <c r="D107" i="1"/>
  <c r="D75" i="1"/>
  <c r="D66" i="1"/>
  <c r="D65" i="1"/>
  <c r="D61" i="1"/>
  <c r="D60" i="1"/>
  <c r="D59" i="1"/>
  <c r="D58" i="1"/>
  <c r="D44" i="1"/>
  <c r="D49" i="1"/>
  <c r="D48" i="1"/>
  <c r="D47" i="1"/>
  <c r="D45" i="1"/>
  <c r="D3" i="1"/>
  <c r="D2" i="1"/>
  <c r="D11" i="1"/>
  <c r="D14" i="1"/>
  <c r="D24" i="1"/>
  <c r="D116" i="1" l="1"/>
  <c r="F116" i="1"/>
  <c r="D110" i="1"/>
  <c r="D50" i="1"/>
  <c r="D43" i="1"/>
  <c r="E116" i="1" l="1"/>
</calcChain>
</file>

<file path=xl/sharedStrings.xml><?xml version="1.0" encoding="utf-8"?>
<sst xmlns="http://schemas.openxmlformats.org/spreadsheetml/2006/main" count="1282" uniqueCount="474">
  <si>
    <t>Дата</t>
  </si>
  <si>
    <t>Номер</t>
  </si>
  <si>
    <t>Контрагент</t>
  </si>
  <si>
    <t>Сума</t>
  </si>
  <si>
    <t>Валюта</t>
  </si>
  <si>
    <t>Підрозділ</t>
  </si>
  <si>
    <t>Організація</t>
  </si>
  <si>
    <t>Відповідальний</t>
  </si>
  <si>
    <t>Коментар</t>
  </si>
  <si>
    <t>03.06.2024 00:00:00</t>
  </si>
  <si>
    <t>ІБ00-000091</t>
  </si>
  <si>
    <t>НІЖИНСЬКИЙ ЖИРКОМБІНАТ ПрАТ</t>
  </si>
  <si>
    <t>грн</t>
  </si>
  <si>
    <t>Виробничий (Ніжин-3)</t>
  </si>
  <si>
    <t>ТОВ "ІНДАСТРІАЛБУД"</t>
  </si>
  <si>
    <t>Хлань Елена</t>
  </si>
  <si>
    <t>Акт № 2 без дати проведення</t>
  </si>
  <si>
    <t>ІБ00-000092</t>
  </si>
  <si>
    <t>Акт № 3 без дати проведення</t>
  </si>
  <si>
    <t>04.06.2024 08:57:58</t>
  </si>
  <si>
    <t>ІБ00-000173</t>
  </si>
  <si>
    <t>АВІА ВЕНЧУРС ТОВ</t>
  </si>
  <si>
    <t>Виробничий (Крушинка)</t>
  </si>
  <si>
    <t>акт №1 за червень 2024 ДУ № 3 ДОГОВІР ПІДРЯДУ № 20230815-3 від 15.08.2023</t>
  </si>
  <si>
    <t>04.06.2024 09:04:17</t>
  </si>
  <si>
    <t>ІБ00-000174</t>
  </si>
  <si>
    <t>акт №1 за червень 2024 ДУ № 7 ДОГОВІР ПІДРЯДУ № 20230815-3 від 15.08.2023</t>
  </si>
  <si>
    <t>05.06.2024 00:00:00</t>
  </si>
  <si>
    <t>ІБ00-000158</t>
  </si>
  <si>
    <t xml:space="preserve">Старокостянтинівський олійноекстраційний завод ТОВ </t>
  </si>
  <si>
    <t>Виробничий (Старокостянтинів)</t>
  </si>
  <si>
    <t xml:space="preserve"> Акт 7 ДОГОВІР ПІДРЯДУ № 13/12/2023-3.4.5-АР-СтОЕЗ від 13</t>
  </si>
  <si>
    <t>ІБ00-000159</t>
  </si>
  <si>
    <t xml:space="preserve"> Акт № 1 ДОГОВІР ПІДРЯДУ № 19/12/23-3.5.2-АР-СтОЕЗ</t>
  </si>
  <si>
    <t>05.06.2024 09:53:58</t>
  </si>
  <si>
    <t>ІБ00-000176</t>
  </si>
  <si>
    <t>акт №3 гідроізоляція за червень 2024</t>
  </si>
  <si>
    <t>05.06.2024 17:39:19</t>
  </si>
  <si>
    <t>ІБ00-000178</t>
  </si>
  <si>
    <t>УВБК ООН</t>
  </si>
  <si>
    <t>Виробничий (ООН Київ)</t>
  </si>
  <si>
    <t>Виконання ремонтно-відновлювальних робіт житлового будинку лот ID: L 169</t>
  </si>
  <si>
    <t>05.06.2024 17:39:20</t>
  </si>
  <si>
    <t>ІБ00-000179</t>
  </si>
  <si>
    <t>07.06.2024 00:00:00</t>
  </si>
  <si>
    <t>ІБ00-000171</t>
  </si>
  <si>
    <t xml:space="preserve"> Акт № 2  ДОГОВІР ПІДРЯДУ № 19/12/23-3.5.2-АР-СтОЕЗ</t>
  </si>
  <si>
    <t>10.06.2024 00:00:00</t>
  </si>
  <si>
    <t>ІБ00-000098</t>
  </si>
  <si>
    <t>Акт № 8 без дати проведення</t>
  </si>
  <si>
    <t>ІБ00-000115</t>
  </si>
  <si>
    <t>Акт № 10 без дати проведення</t>
  </si>
  <si>
    <t>ІБ00-000129</t>
  </si>
  <si>
    <t>Акт № 12 без дати проведення</t>
  </si>
  <si>
    <t>ІБ00-000130</t>
  </si>
  <si>
    <t>Акт № 13 без дати проведення</t>
  </si>
  <si>
    <t>ІБ00-000153</t>
  </si>
  <si>
    <t>Акт № 12.1 без дати проведення</t>
  </si>
  <si>
    <t>14.06.2024 00:00:00</t>
  </si>
  <si>
    <t>ІБ00-000117</t>
  </si>
  <si>
    <t>Акт № 14 без дати проведення</t>
  </si>
  <si>
    <t>ІБ00-000118</t>
  </si>
  <si>
    <t>Акт № 15 без дати проведення</t>
  </si>
  <si>
    <t>ІБ00-000119</t>
  </si>
  <si>
    <t>Акт № 16 без дати проведення</t>
  </si>
  <si>
    <t>ІБ00-000120</t>
  </si>
  <si>
    <t>Акт № 17 без дати проведення</t>
  </si>
  <si>
    <t>ІБ00-000145</t>
  </si>
  <si>
    <t xml:space="preserve"> Акт № 20 без дати проведення</t>
  </si>
  <si>
    <t>ІБ00-000197</t>
  </si>
  <si>
    <t>Акт № 1 ДУ № 11 ДОГОВІР ПІДРЯДУ № 20230815-3 від 15.08.2023</t>
  </si>
  <si>
    <t>17.06.2024 00:00:00</t>
  </si>
  <si>
    <t>ІБ00-000146</t>
  </si>
  <si>
    <t xml:space="preserve"> Акт № 21 без дати проведення</t>
  </si>
  <si>
    <t>ІБ00-000148</t>
  </si>
  <si>
    <t xml:space="preserve"> Акт № 23 без дати проведення</t>
  </si>
  <si>
    <t>ІБ00-000151</t>
  </si>
  <si>
    <t xml:space="preserve"> Акт № 25 без дати проведення</t>
  </si>
  <si>
    <t>ІБ00-000152</t>
  </si>
  <si>
    <t xml:space="preserve"> Акт № 26 без дати проведення</t>
  </si>
  <si>
    <t>ІБ00-000163</t>
  </si>
  <si>
    <t>Акт № 30 без дати проведення</t>
  </si>
  <si>
    <t>ІБ00-000164</t>
  </si>
  <si>
    <t>Акт № 28 без дати проведення</t>
  </si>
  <si>
    <t>ІБ00-000182</t>
  </si>
  <si>
    <t>Акт № 32 без дати проведення</t>
  </si>
  <si>
    <t>ІБ00-000183</t>
  </si>
  <si>
    <t>Акт № 33 без дати проведення</t>
  </si>
  <si>
    <t>ІБ00-000184</t>
  </si>
  <si>
    <t>Акт № 34 без дати проведення</t>
  </si>
  <si>
    <t>ІБ00-000185</t>
  </si>
  <si>
    <t>Акт № 36 без дати проведення</t>
  </si>
  <si>
    <t>17.06.2024 16:23:42</t>
  </si>
  <si>
    <t>ІБ00-000196</t>
  </si>
  <si>
    <t>Акт № 1 ДУ № 7 ДОГОВІР ПІДРЯДУ № 20230815-3 від 15.08.2023</t>
  </si>
  <si>
    <t>18.06.2024 00:00:00</t>
  </si>
  <si>
    <t>ІБ00-000187</t>
  </si>
  <si>
    <t>ЗАПОРІЗЬКИЙ ОЛІЯЖИРКОМБІНАТ ПРАТ</t>
  </si>
  <si>
    <t>Виробничий Щедро_Флексітанки</t>
  </si>
  <si>
    <t>акт №6</t>
  </si>
  <si>
    <t>20.06.2024 00:00:00</t>
  </si>
  <si>
    <t>ІБ00-000186</t>
  </si>
  <si>
    <t>акт №1 ДУ № 7 ДОГОВІР ПІДРЯДУ № 20230815-3 від 15.08.2023</t>
  </si>
  <si>
    <t>20.06.2024 16:30:56</t>
  </si>
  <si>
    <t>ІБ00-000204</t>
  </si>
  <si>
    <t>Аулова Маргарита</t>
  </si>
  <si>
    <t>21.06.2024 00:00:00</t>
  </si>
  <si>
    <t>ІБ00-000180</t>
  </si>
  <si>
    <t>ДОГОВІР ПІДРЯДУ № 4.2 – СтОЕЗ - БВ від 22.02.2024</t>
  </si>
  <si>
    <t>ІБ00-000192</t>
  </si>
  <si>
    <t>Акт № 2 ДУ № 13 від 20.09.2023, року ДОГОВІР 20230815-3 від 15.08.2023</t>
  </si>
  <si>
    <t>ІБ00-000193</t>
  </si>
  <si>
    <t>Акт № 1 ДУ № 13 від 20.09.2023, року ДОГОВІР 20230815-3 від 15.08.2023</t>
  </si>
  <si>
    <t>ІБ00-000194</t>
  </si>
  <si>
    <t>акт №4 гідроізоляція за червень 2024</t>
  </si>
  <si>
    <t>ІБ00-000195</t>
  </si>
  <si>
    <t>Акт № 3 ДУ № 13 від 20.09.2023, року ДОГОВІР 20230815-3 від 15.08.2023</t>
  </si>
  <si>
    <t>ІБ00-000199</t>
  </si>
  <si>
    <t>Акт 4(не підписаний) ДОГОВІР ПІДРЯДУ   № 3.3.3 – КМР - СтОЕЗ від 20.09.2023</t>
  </si>
  <si>
    <t>ІБ00-000201</t>
  </si>
  <si>
    <t xml:space="preserve"> Акт № 3 (не підписаний)  ДОГОВІР ПІДРЯДУ № 19/12/23-3.5.2-АР-СтОЕЗ</t>
  </si>
  <si>
    <t>25.06.2024 00:00:00</t>
  </si>
  <si>
    <t>ІБ00-000190</t>
  </si>
  <si>
    <t>ЗАПОРІЗЬКИЙ ОЛІЙНОЕКСТРАКЦІЙНИЙ ЗАВОД  ПРАТ</t>
  </si>
  <si>
    <t>Виробничий (Запоріж_Турбіна 3)</t>
  </si>
  <si>
    <t>акт 1/1</t>
  </si>
  <si>
    <t>ІБ00-000191</t>
  </si>
  <si>
    <t>акт 1/2</t>
  </si>
  <si>
    <t>25.06.2024 16:54:20</t>
  </si>
  <si>
    <t>ІБ00-000206</t>
  </si>
  <si>
    <t>Придніпровський олійноекстракційний завод ТОВ</t>
  </si>
  <si>
    <t>Виробничий (Придніпрвський ОЕЗ</t>
  </si>
  <si>
    <t>Акт №13( не підписаний) Договор №09-12/21</t>
  </si>
  <si>
    <t>28.06.2024 00:00:00</t>
  </si>
  <si>
    <t>ІБ00-000202</t>
  </si>
  <si>
    <t>Акт № 2 ДУ № 12 від 08.04.2024, року ДОГОВІР 20230815-3 від 15.08.2023</t>
  </si>
  <si>
    <t>ІБ00-000203</t>
  </si>
  <si>
    <t>акт №2 за травень 2024 ДУ № 8 ДОГОВІР ПІДРЯДУ № 20230815-3 від 07.03.2024</t>
  </si>
  <si>
    <t>28.06.2024 10:00:00</t>
  </si>
  <si>
    <t>ІБ00-000229</t>
  </si>
  <si>
    <t>акт 2/1</t>
  </si>
  <si>
    <t>28.06.2024 10:02:00</t>
  </si>
  <si>
    <t>ІБ00-000228</t>
  </si>
  <si>
    <t>акт 2/2</t>
  </si>
  <si>
    <t>28.06.2024 10:03:00</t>
  </si>
  <si>
    <t>ІБ00-000233</t>
  </si>
  <si>
    <t>акт 2/3</t>
  </si>
  <si>
    <t>28.06.2024 10:04:00</t>
  </si>
  <si>
    <t>ІБ00-000227</t>
  </si>
  <si>
    <t>акт 2/4</t>
  </si>
  <si>
    <t>28.06.2024 10:05:13</t>
  </si>
  <si>
    <t>ІБ00-000234</t>
  </si>
  <si>
    <t>акт 2/5</t>
  </si>
  <si>
    <t>28.06.2024 10:08:00</t>
  </si>
  <si>
    <t>ІБ00-000226</t>
  </si>
  <si>
    <t>акт 2/6</t>
  </si>
  <si>
    <t>28.06.2024 10:09:00</t>
  </si>
  <si>
    <t>ІБ00-000225</t>
  </si>
  <si>
    <t>акт 2/7</t>
  </si>
  <si>
    <t>28.06.2024 10:10:00</t>
  </si>
  <si>
    <t>ІБ00-000224</t>
  </si>
  <si>
    <t>акт 2/8</t>
  </si>
  <si>
    <t>28.06.2024 10:11:00</t>
  </si>
  <si>
    <t>ІБ00-000223</t>
  </si>
  <si>
    <t>акт 2/9</t>
  </si>
  <si>
    <t>28.06.2024 10:12:00</t>
  </si>
  <si>
    <t>ІБ00-000222</t>
  </si>
  <si>
    <t>акт 2/10</t>
  </si>
  <si>
    <t>28.06.2024 10:13:00</t>
  </si>
  <si>
    <t>ІБ00-000221</t>
  </si>
  <si>
    <t>акт 2/11</t>
  </si>
  <si>
    <t>28.06.2024 10:14:00</t>
  </si>
  <si>
    <t>ІБ00-000235</t>
  </si>
  <si>
    <t>акт 2/12</t>
  </si>
  <si>
    <t>28.06.2024 10:15:00</t>
  </si>
  <si>
    <t>ІБ00-000220</t>
  </si>
  <si>
    <t>акт 2/13</t>
  </si>
  <si>
    <t>28.06.2024 10:16:00</t>
  </si>
  <si>
    <t>ІБ00-000219</t>
  </si>
  <si>
    <t>акт 2/14</t>
  </si>
  <si>
    <t>28.06.2024 10:17:00</t>
  </si>
  <si>
    <t>ІБ00-000218</t>
  </si>
  <si>
    <t>акт 2/15</t>
  </si>
  <si>
    <t>28.06.2024 10:18:00</t>
  </si>
  <si>
    <t>ІБ00-000217</t>
  </si>
  <si>
    <t>акт 2/16</t>
  </si>
  <si>
    <t>Крушинка</t>
  </si>
  <si>
    <t>Щедро.Флекситанки</t>
  </si>
  <si>
    <t>Турбина-3</t>
  </si>
  <si>
    <t>Староконстантинов</t>
  </si>
  <si>
    <t>ООН</t>
  </si>
  <si>
    <t>ИТОГО</t>
  </si>
  <si>
    <t>Вид операції</t>
  </si>
  <si>
    <t>Склад</t>
  </si>
  <si>
    <t>13.06.2024 11:24:33</t>
  </si>
  <si>
    <t>ІБ00-000025</t>
  </si>
  <si>
    <t>Продаж, комісія</t>
  </si>
  <si>
    <t>24.05.2024 09:41:45</t>
  </si>
  <si>
    <t>ІБ00-000154</t>
  </si>
  <si>
    <t>ДЦ № 34 без дати проведення</t>
  </si>
  <si>
    <t>24.05.2024 09:41:46</t>
  </si>
  <si>
    <t>ІБ00-000157</t>
  </si>
  <si>
    <t>ДЦ № 27 без дати проведення</t>
  </si>
  <si>
    <t>24.05.2024 09:42:29</t>
  </si>
  <si>
    <t>ІБ00-000155</t>
  </si>
  <si>
    <t>ДЦ № 32 без дати проведення</t>
  </si>
  <si>
    <t>24.05.2024 09:45:33</t>
  </si>
  <si>
    <t>ІБ00-000156</t>
  </si>
  <si>
    <t>ДЦ № 28 без дати проведення</t>
  </si>
  <si>
    <t>24.05.2024 11:32:39</t>
  </si>
  <si>
    <t>ІБ00-000147</t>
  </si>
  <si>
    <t xml:space="preserve"> Акт № 22 без дати проведення</t>
  </si>
  <si>
    <t>24.05.2024 11:34:02</t>
  </si>
  <si>
    <t>ІБ00-000149</t>
  </si>
  <si>
    <t xml:space="preserve"> Акт № 24 без дати проведення</t>
  </si>
  <si>
    <t>24.05.2024 11:51:48</t>
  </si>
  <si>
    <t>ІБ00-000131</t>
  </si>
  <si>
    <t>Акт № 19 без дати проведення</t>
  </si>
  <si>
    <t>24.05.2024 11:52:19</t>
  </si>
  <si>
    <t>ІБ00-000132</t>
  </si>
  <si>
    <t>Акт № 27 без дати проведення</t>
  </si>
  <si>
    <t>24.05.2024 11:53:24</t>
  </si>
  <si>
    <t>ІБ00-000133</t>
  </si>
  <si>
    <t>ЦД 31 Акт №  без дати проведення</t>
  </si>
  <si>
    <t>24.05.2024 12:00:00</t>
  </si>
  <si>
    <t>ІБ00-000090</t>
  </si>
  <si>
    <t>Акт № 1 без дати проведення</t>
  </si>
  <si>
    <t>24.05.2024 12:00:03</t>
  </si>
  <si>
    <t>ІБ00-000093</t>
  </si>
  <si>
    <t>Акт № 4 без дати проведення</t>
  </si>
  <si>
    <t>24.05.2024 12:00:04</t>
  </si>
  <si>
    <t>ІБ00-000095</t>
  </si>
  <si>
    <t>Акт № 5 без дати проведення</t>
  </si>
  <si>
    <t>24.05.2024 12:00:05</t>
  </si>
  <si>
    <t>ІБ00-000096</t>
  </si>
  <si>
    <t>Акт № 6 без дати проведення</t>
  </si>
  <si>
    <t>24.05.2024 12:00:06</t>
  </si>
  <si>
    <t>ІБ00-000097</t>
  </si>
  <si>
    <t>Акт № 7 без дати проведення</t>
  </si>
  <si>
    <t>24.05.2024 12:00:08</t>
  </si>
  <si>
    <t>ІБ00-000099</t>
  </si>
  <si>
    <t>Акт № 9 без дати проведення</t>
  </si>
  <si>
    <t>24.05.2024 12:00:15</t>
  </si>
  <si>
    <t>ІБ00-000116</t>
  </si>
  <si>
    <t>Акт № 11 без дати проведення</t>
  </si>
  <si>
    <t>24.05.2024 12:00:20</t>
  </si>
  <si>
    <t>ІБ00-000121</t>
  </si>
  <si>
    <t>Акт № 18 без дати проведення</t>
  </si>
  <si>
    <t>28.05.2024 10:04:11</t>
  </si>
  <si>
    <t>ІБ00-000165</t>
  </si>
  <si>
    <t>31.05.2024 00:00:00</t>
  </si>
  <si>
    <t>ІБ00-000181</t>
  </si>
  <si>
    <t>Акт № 31 без дати проведення</t>
  </si>
  <si>
    <t>ІБ00-000207</t>
  </si>
  <si>
    <t xml:space="preserve">Акт № 41 </t>
  </si>
  <si>
    <t>01.07.2024 10:05:34</t>
  </si>
  <si>
    <t>ІБ00-000208</t>
  </si>
  <si>
    <t xml:space="preserve">Акт № 42 </t>
  </si>
  <si>
    <t>ІБ00-000209</t>
  </si>
  <si>
    <t xml:space="preserve">Акт № 40 </t>
  </si>
  <si>
    <t>01.07.2024 10:07:26</t>
  </si>
  <si>
    <t>ІБ00-000210</t>
  </si>
  <si>
    <t xml:space="preserve">Акт № 39 </t>
  </si>
  <si>
    <t>ІБ00-000211</t>
  </si>
  <si>
    <t xml:space="preserve">Акт № 38 </t>
  </si>
  <si>
    <t>01.07.2024 10:08:35</t>
  </si>
  <si>
    <t>ІБ00-000212</t>
  </si>
  <si>
    <t>Акт № 37</t>
  </si>
  <si>
    <t>01.07.2024 10:09:56</t>
  </si>
  <si>
    <t>ІБ00-000213</t>
  </si>
  <si>
    <t>Акт № 29</t>
  </si>
  <si>
    <t>03.07.2024 00:00:00</t>
  </si>
  <si>
    <t>ІБ00-000188</t>
  </si>
  <si>
    <t xml:space="preserve">Акт № 35 </t>
  </si>
  <si>
    <t>15.07.2024 09:47:43</t>
  </si>
  <si>
    <t>ІБ00-000238</t>
  </si>
  <si>
    <t>Акт № 43</t>
  </si>
  <si>
    <t>15.07.2024 09:48:12</t>
  </si>
  <si>
    <t>ІБ00-000239</t>
  </si>
  <si>
    <t>Акт № 47</t>
  </si>
  <si>
    <t>* в Марте 24</t>
  </si>
  <si>
    <t>* в Мае 24</t>
  </si>
  <si>
    <t>* в Апреле 24</t>
  </si>
  <si>
    <t>* в ИЮНЬ 24</t>
  </si>
  <si>
    <t>* в июЛь 24</t>
  </si>
  <si>
    <t>* на 18.07.24</t>
  </si>
  <si>
    <t>май</t>
  </si>
  <si>
    <t>июнь</t>
  </si>
  <si>
    <t>июль</t>
  </si>
  <si>
    <t>апрель</t>
  </si>
  <si>
    <t>март</t>
  </si>
  <si>
    <t>Как проведено в PL</t>
  </si>
  <si>
    <t>Склад відправник</t>
  </si>
  <si>
    <t>Склад одержувач</t>
  </si>
  <si>
    <t>18.06.2024 11:16:12</t>
  </si>
  <si>
    <t>ІБ00-000035</t>
  </si>
  <si>
    <t>Цех_Щедро Флексітанки</t>
  </si>
  <si>
    <t>Цех металоконструкцій</t>
  </si>
  <si>
    <t>Сумма без НДС</t>
  </si>
  <si>
    <t>Сумма С НДС</t>
  </si>
  <si>
    <t>ПЕРЕМЕЩЕНИЕ</t>
  </si>
  <si>
    <t>04.06.2024 10:28:58</t>
  </si>
  <si>
    <t>ІБ00-000177</t>
  </si>
  <si>
    <t>Акт № 28 ДУ № 1 від 20.09.2023, року ДОГОВІР 20230815-3 від 15.08.2023</t>
  </si>
  <si>
    <t>* Крушинка всего с продажей и актом на 3,5 млн</t>
  </si>
  <si>
    <t>ІБ00-000264</t>
  </si>
  <si>
    <t>31.05.2024</t>
  </si>
  <si>
    <t>05.06.2024 11:24:36</t>
  </si>
  <si>
    <t>ІБ00-000281</t>
  </si>
  <si>
    <t>Старокостянтинів</t>
  </si>
  <si>
    <t>05.06.2024 12:11:05</t>
  </si>
  <si>
    <t>ІБ00-000282</t>
  </si>
  <si>
    <t>05.06.2024 17:39:25</t>
  </si>
  <si>
    <t>ІБ00-000251</t>
  </si>
  <si>
    <t>ООН Київ</t>
  </si>
  <si>
    <t>05.06.2024 17:39:26</t>
  </si>
  <si>
    <t>ІБ00-000252</t>
  </si>
  <si>
    <t>07.06.2024 17:55:50</t>
  </si>
  <si>
    <t>ІБ00-000276</t>
  </si>
  <si>
    <t>13.06.2024 10:11:25</t>
  </si>
  <si>
    <t>ІБ00-000262</t>
  </si>
  <si>
    <t>Ладижин-3</t>
  </si>
  <si>
    <t>Виробничий (Ладижин)</t>
  </si>
  <si>
    <t>13.06.2024 13:59:32</t>
  </si>
  <si>
    <t>ІБ00-000254</t>
  </si>
  <si>
    <t>13.06.2024 14:19:52</t>
  </si>
  <si>
    <t>ІБ00-000255</t>
  </si>
  <si>
    <t>13.06.2024 14:50:42</t>
  </si>
  <si>
    <t>ІБ00-000256</t>
  </si>
  <si>
    <t>13.06.2024 15:15:35</t>
  </si>
  <si>
    <t>ІБ00-000257</t>
  </si>
  <si>
    <t>13.06.2024 15:51:39</t>
  </si>
  <si>
    <t>ІБ00-000258</t>
  </si>
  <si>
    <t>13.06.2024 16:02:40</t>
  </si>
  <si>
    <t>ІБ00-000259</t>
  </si>
  <si>
    <t>13.06.2024 16:17:35</t>
  </si>
  <si>
    <t>ІБ00-000260</t>
  </si>
  <si>
    <t>13.06.2024 18:56:19</t>
  </si>
  <si>
    <t>ІБ00-000263</t>
  </si>
  <si>
    <t>13.06.2024 18:56:28</t>
  </si>
  <si>
    <t>ІБ00-000267</t>
  </si>
  <si>
    <t>Щедро_Флекситанки</t>
  </si>
  <si>
    <t>13.06.2024 18:56:29</t>
  </si>
  <si>
    <t>ІБ00-000268</t>
  </si>
  <si>
    <t>Досписання</t>
  </si>
  <si>
    <t>13.06.2024 19:00:10</t>
  </si>
  <si>
    <t>ІБ00-000300</t>
  </si>
  <si>
    <t>14.06.2024 08:50:13</t>
  </si>
  <si>
    <t>ІБ00-000261</t>
  </si>
  <si>
    <t>18.06.2024 09:53:24</t>
  </si>
  <si>
    <t>ІБ00-000274</t>
  </si>
  <si>
    <t>18.06.2024 23:00:02</t>
  </si>
  <si>
    <t>ІБ00-000273</t>
  </si>
  <si>
    <t>ІБ00-000299</t>
  </si>
  <si>
    <t>20.06.2024 17:48:55</t>
  </si>
  <si>
    <t>ІБ00-000283</t>
  </si>
  <si>
    <t>20.06.2024 17:49:06</t>
  </si>
  <si>
    <t>ІБ00-000298</t>
  </si>
  <si>
    <t>ІБ00-000301</t>
  </si>
  <si>
    <t>ІБ00-000307</t>
  </si>
  <si>
    <t>ІБ00-000308</t>
  </si>
  <si>
    <t>21.06.2024 18:02:13</t>
  </si>
  <si>
    <t>ІБ00-000302</t>
  </si>
  <si>
    <t>21.06.2024 18:02:21</t>
  </si>
  <si>
    <t>ІБ00-000306</t>
  </si>
  <si>
    <t>27.06.2024 15:51:24</t>
  </si>
  <si>
    <t>ІБ00-000284</t>
  </si>
  <si>
    <t>ІБ00-000313</t>
  </si>
  <si>
    <t>Запоріжжя_Турбіна 3</t>
  </si>
  <si>
    <t>ІБ00-000317</t>
  </si>
  <si>
    <t>ІБ00-000319</t>
  </si>
  <si>
    <t>ІБ00-000320</t>
  </si>
  <si>
    <t>ІБ00-000321</t>
  </si>
  <si>
    <t>ІБ00-000323</t>
  </si>
  <si>
    <t>ІБ00-000324</t>
  </si>
  <si>
    <t>ІБ00-000325</t>
  </si>
  <si>
    <t>28.06.2024 20:00:21</t>
  </si>
  <si>
    <t>ІБ00-000311</t>
  </si>
  <si>
    <t>28.06.2024 20:00:28</t>
  </si>
  <si>
    <t>ІБ00-000315</t>
  </si>
  <si>
    <t>28.06.2024 20:00:31</t>
  </si>
  <si>
    <t>ІБ00-000316</t>
  </si>
  <si>
    <t>28.06.2024 20:00:35</t>
  </si>
  <si>
    <t>ІБ00-000318</t>
  </si>
  <si>
    <t>28.06.2024 20:00:41</t>
  </si>
  <si>
    <t>ІБ00-000326</t>
  </si>
  <si>
    <t>28.06.2024 20:00:42</t>
  </si>
  <si>
    <t>ІБ00-000327</t>
  </si>
  <si>
    <t>28.06.2024 20:00:43</t>
  </si>
  <si>
    <t>ІБ00-000328</t>
  </si>
  <si>
    <t>28.06.2024 20:00:44</t>
  </si>
  <si>
    <t>ІБ00-000329</t>
  </si>
  <si>
    <t>29.06.2024 18:12:38</t>
  </si>
  <si>
    <t>ІБ00-000303</t>
  </si>
  <si>
    <t>29.06.2024 22:00:01</t>
  </si>
  <si>
    <t>ІБ00-000304</t>
  </si>
  <si>
    <t>05.06.2024 17:39:15</t>
  </si>
  <si>
    <t>ІБ00-000031</t>
  </si>
  <si>
    <t>25.06.2024 12:53:07</t>
  </si>
  <si>
    <t>ІБ00-000038</t>
  </si>
  <si>
    <t>25.06.2024 18:11:39</t>
  </si>
  <si>
    <t>ІБ00-000039</t>
  </si>
  <si>
    <t>27.06.2024 16:03:23</t>
  </si>
  <si>
    <t>ІБ00-000040</t>
  </si>
  <si>
    <t>Шостак Жанета</t>
  </si>
  <si>
    <t>Рукава</t>
  </si>
  <si>
    <t>18.06.2024 13:46:22</t>
  </si>
  <si>
    <t>ІБ00-000036</t>
  </si>
  <si>
    <t>Глобіне</t>
  </si>
  <si>
    <t>ІБ00-000266</t>
  </si>
  <si>
    <t>до акту</t>
  </si>
  <si>
    <t>* ПЕРЕНЕСЕНО В май</t>
  </si>
  <si>
    <t>Списаны ТМЦ</t>
  </si>
  <si>
    <t>под акт</t>
  </si>
  <si>
    <t>доспиание</t>
  </si>
  <si>
    <t>ІБ00-000296</t>
  </si>
  <si>
    <t>Ніжин-3</t>
  </si>
  <si>
    <t>17.06.2024 17:43:13</t>
  </si>
  <si>
    <t>ІБ00-000292</t>
  </si>
  <si>
    <t>17.06.2024 17:43:14</t>
  </si>
  <si>
    <t>ІБ00-000293</t>
  </si>
  <si>
    <t>01.07.2024 00:00:00</t>
  </si>
  <si>
    <t>ІБ00-000295</t>
  </si>
  <si>
    <t>ІБ00-000297</t>
  </si>
  <si>
    <t>Склад списання Ніжин-3</t>
  </si>
  <si>
    <t>15.03.2024 00:00:00</t>
  </si>
  <si>
    <t>ІБ00-000111</t>
  </si>
  <si>
    <t>Цех_Ніжин-3</t>
  </si>
  <si>
    <t>Стецюк Татьяна</t>
  </si>
  <si>
    <t>ремонт бункера для бетону</t>
  </si>
  <si>
    <t>17.06.2024 17:42:29</t>
  </si>
  <si>
    <t>ІБ00-000270</t>
  </si>
  <si>
    <t>ОПОРА</t>
  </si>
  <si>
    <t>17.06.2024 17:42:37</t>
  </si>
  <si>
    <t>ІБ00-000271</t>
  </si>
  <si>
    <t>НОРІЯ 2</t>
  </si>
  <si>
    <t>17.06.2024 17:42:45</t>
  </si>
  <si>
    <t>ІБ00-000272</t>
  </si>
  <si>
    <t>ЕКСПОНДУВАННЯ</t>
  </si>
  <si>
    <t>Перемещения</t>
  </si>
  <si>
    <t>31.03.2024 20:00:00</t>
  </si>
  <si>
    <t>ІБ00-000016</t>
  </si>
  <si>
    <t>Переміщення до акту № 2(91 в 1С)</t>
  </si>
  <si>
    <t>ІБ00-000017</t>
  </si>
  <si>
    <t>Переміщення до акту № 3(92 в 1С)</t>
  </si>
  <si>
    <t>30.04.2024 00:00:00</t>
  </si>
  <si>
    <t>ІБ00-000020</t>
  </si>
  <si>
    <t>Переміщення до акту № 10 (ІБ00-000115 в 1С)</t>
  </si>
  <si>
    <t>30.04.2024 18:47:46</t>
  </si>
  <si>
    <t>ІБ00-000021</t>
  </si>
  <si>
    <t>Переміщення до акту № 16 (ІБ00-000119 в 1С)</t>
  </si>
  <si>
    <t>21.05.2024 08:28:41</t>
  </si>
  <si>
    <t>ІБ00-000024</t>
  </si>
  <si>
    <t>Переміщення до акту № 20 (ІБ00-000145 в 1С)</t>
  </si>
  <si>
    <t>21.05.2024 08:38:42</t>
  </si>
  <si>
    <t>Переміщення до акту № 21 (ІБ00-000146 в 1С)</t>
  </si>
  <si>
    <t>21.05.2024 08:53:28</t>
  </si>
  <si>
    <t>ІБ00-000026</t>
  </si>
  <si>
    <t>Переміщення до акту № 23 (ІБ00-000148 в 1С)</t>
  </si>
  <si>
    <t>* в марте</t>
  </si>
  <si>
    <t>* в апреле</t>
  </si>
  <si>
    <t>* в мае</t>
  </si>
  <si>
    <t>материалы</t>
  </si>
  <si>
    <t>МШП</t>
  </si>
  <si>
    <t>Прочее- 209сч</t>
  </si>
  <si>
    <t>дверь 1 шт</t>
  </si>
  <si>
    <t>Досписание по согласованию</t>
  </si>
  <si>
    <t>в май</t>
  </si>
  <si>
    <t>ИЮЛЬ</t>
  </si>
  <si>
    <t>СС Стила</t>
  </si>
  <si>
    <t>Вставка зі штуч.хутра в чол.чоботи р.43-44</t>
  </si>
  <si>
    <t>Вставка зі штуч.хутра в чол.чоботи р.45-46</t>
  </si>
  <si>
    <t>Ізоляційна стрічка 0,13*19 20 м чорна</t>
  </si>
  <si>
    <t>ИЮНЬ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</si>
</sst>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10"/>
      <color indexed="63"/>
      <name val="Arial"/>
      <family val="2"/>
      <charset val="204"/>
    </font>
    <font>
      <sz val="8"/>
      <color indexed="63"/>
      <name val="Arial"/>
      <family val="2"/>
    </font>
    <font>
      <sz val="8"/>
      <color rgb="FFFF0000"/>
      <name val="Arial"/>
      <family val="2"/>
    </font>
    <font>
      <sz val="11"/>
      <color rgb="FFFF0000"/>
      <name val="Calibri"/>
      <family val="2"/>
      <scheme val="minor"/>
    </font>
    <font>
      <sz val="10"/>
      <color indexed="63"/>
      <name val="Arial"/>
      <family val="2"/>
      <charset val="204"/>
    </font>
    <font>
      <sz val="11"/>
      <color rgb="FF7030A0"/>
      <name val="Calibri"/>
      <family val="2"/>
      <scheme val="minor"/>
    </font>
    <font>
      <b/>
      <sz val="8"/>
      <color indexed="63"/>
      <name val="Arial"/>
      <family val="2"/>
      <charset val="204"/>
    </font>
    <font>
      <b/>
      <sz val="12"/>
      <color indexed="63"/>
      <name val="Arial"/>
      <family val="2"/>
      <charset val="204"/>
    </font>
    <font>
      <b/>
      <sz val="8"/>
      <color indexed="63"/>
      <name val="Arial"/>
      <family val="2"/>
    </font>
    <font>
      <b/>
      <sz val="11"/>
      <color theme="1"/>
      <name val="Calibri"/>
      <family val="2"/>
      <scheme val="minor"/>
    </font>
    <font>
      <sz val="8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thin">
        <color indexed="55"/>
      </left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45">
    <xf numFmtId="0" fontId="0" fillId="0" borderId="0" xfId="0"/>
    <xf numFmtId="0" fontId="3" fillId="2" borderId="1" xfId="1" applyNumberFormat="1" applyFont="1" applyFill="1" applyBorder="1" applyAlignment="1">
      <alignment horizontal="left" vertical="top"/>
    </xf>
    <xf numFmtId="0" fontId="4" fillId="2" borderId="1" xfId="1" applyNumberFormat="1" applyFont="1" applyFill="1" applyBorder="1" applyAlignment="1">
      <alignment horizontal="left" vertical="top"/>
    </xf>
    <xf numFmtId="4" fontId="4" fillId="2" borderId="1" xfId="1" applyNumberFormat="1" applyFont="1" applyFill="1" applyBorder="1" applyAlignment="1">
      <alignment horizontal="right" vertical="top"/>
    </xf>
    <xf numFmtId="0" fontId="5" fillId="3" borderId="1" xfId="1" applyNumberFormat="1" applyFont="1" applyFill="1" applyBorder="1" applyAlignment="1">
      <alignment horizontal="left" vertical="top"/>
    </xf>
    <xf numFmtId="4" fontId="5" fillId="3" borderId="1" xfId="1" applyNumberFormat="1" applyFont="1" applyFill="1" applyBorder="1" applyAlignment="1">
      <alignment horizontal="right" vertical="top"/>
    </xf>
    <xf numFmtId="0" fontId="6" fillId="3" borderId="0" xfId="0" applyFont="1" applyFill="1"/>
    <xf numFmtId="4" fontId="3" fillId="2" borderId="1" xfId="1" applyNumberFormat="1" applyFont="1" applyFill="1" applyBorder="1" applyAlignment="1">
      <alignment horizontal="left" vertical="top"/>
    </xf>
    <xf numFmtId="4" fontId="0" fillId="0" borderId="0" xfId="0" applyNumberFormat="1"/>
    <xf numFmtId="4" fontId="1" fillId="0" borderId="0" xfId="0" applyNumberFormat="1" applyFont="1"/>
    <xf numFmtId="0" fontId="1" fillId="0" borderId="0" xfId="0" applyFont="1"/>
    <xf numFmtId="0" fontId="7" fillId="2" borderId="1" xfId="1" applyNumberFormat="1" applyFont="1" applyFill="1" applyBorder="1" applyAlignment="1">
      <alignment horizontal="left" vertical="top"/>
    </xf>
    <xf numFmtId="4" fontId="0" fillId="0" borderId="0" xfId="0" applyNumberFormat="1" applyAlignment="1">
      <alignment horizontal="left" vertical="center"/>
    </xf>
    <xf numFmtId="4" fontId="8" fillId="0" borderId="0" xfId="0" applyNumberFormat="1" applyFon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4" fontId="0" fillId="4" borderId="0" xfId="0" applyNumberFormat="1" applyFill="1"/>
    <xf numFmtId="4" fontId="4" fillId="4" borderId="1" xfId="1" applyNumberFormat="1" applyFont="1" applyFill="1" applyBorder="1" applyAlignment="1">
      <alignment horizontal="right" vertical="top"/>
    </xf>
    <xf numFmtId="4" fontId="0" fillId="4" borderId="0" xfId="0" applyNumberFormat="1" applyFill="1" applyAlignment="1">
      <alignment horizontal="center" vertical="center"/>
    </xf>
    <xf numFmtId="0" fontId="3" fillId="2" borderId="1" xfId="2" applyNumberFormat="1" applyFont="1" applyFill="1" applyBorder="1" applyAlignment="1">
      <alignment horizontal="left" vertical="top"/>
    </xf>
    <xf numFmtId="0" fontId="4" fillId="2" borderId="1" xfId="2" applyNumberFormat="1" applyFont="1" applyFill="1" applyBorder="1" applyAlignment="1">
      <alignment horizontal="left" vertical="top"/>
    </xf>
    <xf numFmtId="4" fontId="7" fillId="2" borderId="1" xfId="2" applyNumberFormat="1" applyFont="1" applyFill="1" applyBorder="1" applyAlignment="1">
      <alignment horizontal="center" vertical="center"/>
    </xf>
    <xf numFmtId="4" fontId="4" fillId="2" borderId="1" xfId="2" applyNumberFormat="1" applyFont="1" applyFill="1" applyBorder="1" applyAlignment="1">
      <alignment horizontal="center" vertical="top"/>
    </xf>
    <xf numFmtId="0" fontId="4" fillId="3" borderId="1" xfId="1" applyNumberFormat="1" applyFont="1" applyFill="1" applyBorder="1" applyAlignment="1">
      <alignment horizontal="left" vertical="top"/>
    </xf>
    <xf numFmtId="4" fontId="4" fillId="4" borderId="1" xfId="2" applyNumberFormat="1" applyFont="1" applyFill="1" applyBorder="1" applyAlignment="1">
      <alignment horizontal="center" vertical="top"/>
    </xf>
    <xf numFmtId="0" fontId="0" fillId="3" borderId="0" xfId="0" applyFill="1"/>
    <xf numFmtId="4" fontId="4" fillId="3" borderId="1" xfId="2" applyNumberFormat="1" applyFont="1" applyFill="1" applyBorder="1" applyAlignment="1">
      <alignment horizontal="center" vertical="top"/>
    </xf>
    <xf numFmtId="22" fontId="4" fillId="2" borderId="1" xfId="1" applyNumberFormat="1" applyFont="1" applyFill="1" applyBorder="1" applyAlignment="1">
      <alignment horizontal="left" vertical="top"/>
    </xf>
    <xf numFmtId="0" fontId="9" fillId="2" borderId="1" xfId="2" applyNumberFormat="1" applyFont="1" applyFill="1" applyBorder="1" applyAlignment="1">
      <alignment horizontal="left" vertical="top"/>
    </xf>
    <xf numFmtId="0" fontId="4" fillId="3" borderId="2" xfId="1" applyNumberFormat="1" applyFont="1" applyFill="1" applyBorder="1" applyAlignment="1">
      <alignment horizontal="left" vertical="top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0" fontId="10" fillId="2" borderId="0" xfId="2" applyNumberFormat="1" applyFont="1" applyFill="1" applyBorder="1" applyAlignment="1">
      <alignment horizontal="left" vertical="top"/>
    </xf>
    <xf numFmtId="0" fontId="4" fillId="2" borderId="2" xfId="2" applyNumberFormat="1" applyFont="1" applyFill="1" applyBorder="1" applyAlignment="1">
      <alignment horizontal="left" vertical="top"/>
    </xf>
    <xf numFmtId="0" fontId="11" fillId="2" borderId="2" xfId="2" applyNumberFormat="1" applyFont="1" applyFill="1" applyBorder="1" applyAlignment="1">
      <alignment horizontal="left" vertical="top"/>
    </xf>
    <xf numFmtId="4" fontId="12" fillId="0" borderId="0" xfId="0" applyNumberFormat="1" applyFont="1"/>
    <xf numFmtId="0" fontId="9" fillId="2" borderId="2" xfId="2" applyNumberFormat="1" applyFont="1" applyFill="1" applyBorder="1" applyAlignment="1">
      <alignment horizontal="left" vertical="top"/>
    </xf>
    <xf numFmtId="0" fontId="7" fillId="2" borderId="3" xfId="2" applyNumberFormat="1" applyFont="1" applyFill="1" applyBorder="1" applyAlignment="1">
      <alignment horizontal="left" vertical="top"/>
    </xf>
    <xf numFmtId="0" fontId="9" fillId="3" borderId="1" xfId="2" applyNumberFormat="1" applyFont="1" applyFill="1" applyBorder="1" applyAlignment="1">
      <alignment horizontal="left" vertical="top"/>
    </xf>
    <xf numFmtId="0" fontId="13" fillId="0" borderId="4" xfId="2" applyNumberFormat="1" applyFont="1" applyBorder="1" applyAlignment="1">
      <alignment vertical="top" wrapText="1" indent="2"/>
    </xf>
    <xf numFmtId="2" fontId="2" fillId="0" borderId="4" xfId="2" applyNumberFormat="1" applyFont="1" applyBorder="1" applyAlignment="1">
      <alignment horizontal="right" vertical="top" wrapText="1"/>
    </xf>
    <xf numFmtId="0" fontId="9" fillId="3" borderId="0" xfId="2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4" fontId="1" fillId="3" borderId="0" xfId="0" applyNumberFormat="1" applyFont="1" applyFill="1" applyAlignment="1">
      <alignment horizontal="center" vertical="center"/>
    </xf>
  </cellXfs>
  <cellStyles count="3">
    <cellStyle name="Обычный" xfId="0" builtinId="0"/>
    <cellStyle name="Обычный_Акты заказчика" xfId="1"/>
    <cellStyle name="Обычный_Списание стройматериалов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6"/>
  <sheetViews>
    <sheetView workbookViewId="0">
      <selection activeCell="D13" sqref="D13"/>
    </sheetView>
  </sheetViews>
  <sheetFormatPr defaultRowHeight="14.4" x14ac:dyDescent="0.3"/>
  <cols>
    <col min="1" max="1" width="14" bestFit="1" customWidth="1"/>
    <col min="2" max="2" width="8.77734375" customWidth="1"/>
    <col min="3" max="3" width="39.6640625" bestFit="1" customWidth="1"/>
    <col min="4" max="4" width="12.33203125" style="8" bestFit="1" customWidth="1"/>
    <col min="5" max="5" width="7.6640625" bestFit="1" customWidth="1"/>
    <col min="6" max="6" width="24.109375" bestFit="1" customWidth="1"/>
    <col min="7" max="7" width="16.6640625" bestFit="1" customWidth="1"/>
    <col min="8" max="8" width="14.5546875" bestFit="1" customWidth="1"/>
    <col min="9" max="9" width="57" bestFit="1" customWidth="1"/>
    <col min="11" max="11" width="12.33203125" bestFit="1" customWidth="1"/>
    <col min="12" max="12" width="10.21875" bestFit="1" customWidth="1"/>
    <col min="15" max="15" width="12.332031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7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6" customFormat="1" x14ac:dyDescent="0.3">
      <c r="A2" s="4" t="s">
        <v>19</v>
      </c>
      <c r="B2" s="4" t="s">
        <v>20</v>
      </c>
      <c r="C2" s="4" t="s">
        <v>21</v>
      </c>
      <c r="D2" s="5">
        <f>98309.75*0</f>
        <v>0</v>
      </c>
      <c r="E2" s="4" t="s">
        <v>12</v>
      </c>
      <c r="F2" s="4" t="s">
        <v>22</v>
      </c>
      <c r="G2" s="4" t="s">
        <v>14</v>
      </c>
      <c r="H2" s="4" t="s">
        <v>15</v>
      </c>
      <c r="I2" s="4" t="s">
        <v>23</v>
      </c>
    </row>
    <row r="3" spans="1:9" s="6" customFormat="1" x14ac:dyDescent="0.3">
      <c r="A3" s="4" t="s">
        <v>24</v>
      </c>
      <c r="B3" s="4" t="s">
        <v>25</v>
      </c>
      <c r="C3" s="4" t="s">
        <v>21</v>
      </c>
      <c r="D3" s="5">
        <f>610507.32*0</f>
        <v>0</v>
      </c>
      <c r="E3" s="4" t="s">
        <v>12</v>
      </c>
      <c r="F3" s="4" t="s">
        <v>22</v>
      </c>
      <c r="G3" s="4" t="s">
        <v>14</v>
      </c>
      <c r="H3" s="4" t="s">
        <v>15</v>
      </c>
      <c r="I3" s="4" t="s">
        <v>26</v>
      </c>
    </row>
    <row r="4" spans="1:9" x14ac:dyDescent="0.3">
      <c r="A4" s="2" t="s">
        <v>27</v>
      </c>
      <c r="B4" s="2" t="s">
        <v>28</v>
      </c>
      <c r="C4" s="2" t="s">
        <v>29</v>
      </c>
      <c r="D4" s="3">
        <v>93947.9</v>
      </c>
      <c r="E4" s="2" t="s">
        <v>12</v>
      </c>
      <c r="F4" s="2" t="s">
        <v>30</v>
      </c>
      <c r="G4" s="2" t="s">
        <v>14</v>
      </c>
      <c r="H4" s="2" t="s">
        <v>15</v>
      </c>
      <c r="I4" s="2" t="s">
        <v>31</v>
      </c>
    </row>
    <row r="5" spans="1:9" x14ac:dyDescent="0.3">
      <c r="A5" s="2" t="s">
        <v>27</v>
      </c>
      <c r="B5" s="2" t="s">
        <v>32</v>
      </c>
      <c r="C5" s="2" t="s">
        <v>29</v>
      </c>
      <c r="D5" s="3">
        <v>589543.36</v>
      </c>
      <c r="E5" s="2" t="s">
        <v>12</v>
      </c>
      <c r="F5" s="2" t="s">
        <v>30</v>
      </c>
      <c r="G5" s="2" t="s">
        <v>14</v>
      </c>
      <c r="H5" s="2" t="s">
        <v>15</v>
      </c>
      <c r="I5" s="2" t="s">
        <v>33</v>
      </c>
    </row>
    <row r="6" spans="1:9" x14ac:dyDescent="0.3">
      <c r="A6" s="2" t="s">
        <v>34</v>
      </c>
      <c r="B6" s="2" t="s">
        <v>35</v>
      </c>
      <c r="C6" s="2" t="s">
        <v>21</v>
      </c>
      <c r="D6" s="3">
        <v>764834.02</v>
      </c>
      <c r="E6" s="2" t="s">
        <v>12</v>
      </c>
      <c r="F6" s="2" t="s">
        <v>22</v>
      </c>
      <c r="G6" s="2" t="s">
        <v>14</v>
      </c>
      <c r="H6" s="2" t="s">
        <v>15</v>
      </c>
      <c r="I6" s="2" t="s">
        <v>36</v>
      </c>
    </row>
    <row r="7" spans="1:9" x14ac:dyDescent="0.3">
      <c r="A7" s="2" t="s">
        <v>37</v>
      </c>
      <c r="B7" s="2" t="s">
        <v>38</v>
      </c>
      <c r="C7" s="2" t="s">
        <v>39</v>
      </c>
      <c r="D7" s="3">
        <v>21495.82</v>
      </c>
      <c r="E7" s="2" t="s">
        <v>12</v>
      </c>
      <c r="F7" s="2" t="s">
        <v>40</v>
      </c>
      <c r="G7" s="2" t="s">
        <v>14</v>
      </c>
      <c r="H7" s="2" t="s">
        <v>15</v>
      </c>
      <c r="I7" s="2" t="s">
        <v>41</v>
      </c>
    </row>
    <row r="8" spans="1:9" x14ac:dyDescent="0.3">
      <c r="A8" s="2" t="s">
        <v>42</v>
      </c>
      <c r="B8" s="2" t="s">
        <v>43</v>
      </c>
      <c r="C8" s="2" t="s">
        <v>39</v>
      </c>
      <c r="D8" s="3">
        <v>21495.82</v>
      </c>
      <c r="E8" s="2" t="s">
        <v>12</v>
      </c>
      <c r="F8" s="2" t="s">
        <v>40</v>
      </c>
      <c r="G8" s="2" t="s">
        <v>14</v>
      </c>
      <c r="H8" s="2" t="s">
        <v>15</v>
      </c>
      <c r="I8" s="2" t="s">
        <v>41</v>
      </c>
    </row>
    <row r="9" spans="1:9" x14ac:dyDescent="0.3">
      <c r="A9" s="2" t="s">
        <v>44</v>
      </c>
      <c r="B9" s="2" t="s">
        <v>45</v>
      </c>
      <c r="C9" s="2" t="s">
        <v>29</v>
      </c>
      <c r="D9" s="3">
        <v>222487.52</v>
      </c>
      <c r="E9" s="2" t="s">
        <v>12</v>
      </c>
      <c r="F9" s="2" t="s">
        <v>30</v>
      </c>
      <c r="G9" s="2" t="s">
        <v>14</v>
      </c>
      <c r="H9" s="2" t="s">
        <v>15</v>
      </c>
      <c r="I9" s="2" t="s">
        <v>46</v>
      </c>
    </row>
    <row r="10" spans="1:9" x14ac:dyDescent="0.3">
      <c r="A10" s="2" t="s">
        <v>58</v>
      </c>
      <c r="B10" s="2" t="s">
        <v>69</v>
      </c>
      <c r="C10" s="2" t="s">
        <v>21</v>
      </c>
      <c r="D10" s="3">
        <v>63923.6</v>
      </c>
      <c r="E10" s="2" t="s">
        <v>12</v>
      </c>
      <c r="F10" s="2" t="s">
        <v>22</v>
      </c>
      <c r="G10" s="2" t="s">
        <v>14</v>
      </c>
      <c r="H10" s="2" t="s">
        <v>15</v>
      </c>
      <c r="I10" s="2" t="s">
        <v>70</v>
      </c>
    </row>
    <row r="11" spans="1:9" s="6" customFormat="1" x14ac:dyDescent="0.3">
      <c r="A11" s="4" t="s">
        <v>92</v>
      </c>
      <c r="B11" s="4" t="s">
        <v>93</v>
      </c>
      <c r="C11" s="4" t="s">
        <v>21</v>
      </c>
      <c r="D11" s="5">
        <f>576133.43*0</f>
        <v>0</v>
      </c>
      <c r="E11" s="4" t="s">
        <v>12</v>
      </c>
      <c r="F11" s="4" t="s">
        <v>22</v>
      </c>
      <c r="G11" s="4" t="s">
        <v>14</v>
      </c>
      <c r="H11" s="4" t="s">
        <v>15</v>
      </c>
      <c r="I11" s="4" t="s">
        <v>94</v>
      </c>
    </row>
    <row r="12" spans="1:9" x14ac:dyDescent="0.3">
      <c r="A12" s="2" t="s">
        <v>95</v>
      </c>
      <c r="B12" s="2" t="s">
        <v>96</v>
      </c>
      <c r="C12" s="2" t="s">
        <v>97</v>
      </c>
      <c r="D12" s="3">
        <v>83281.789999999994</v>
      </c>
      <c r="E12" s="2" t="s">
        <v>12</v>
      </c>
      <c r="F12" s="2" t="s">
        <v>98</v>
      </c>
      <c r="G12" s="2" t="s">
        <v>14</v>
      </c>
      <c r="H12" s="2" t="s">
        <v>15</v>
      </c>
      <c r="I12" s="2" t="s">
        <v>99</v>
      </c>
    </row>
    <row r="13" spans="1:9" x14ac:dyDescent="0.3">
      <c r="A13" s="2" t="s">
        <v>100</v>
      </c>
      <c r="B13" s="2" t="s">
        <v>101</v>
      </c>
      <c r="C13" s="2" t="s">
        <v>21</v>
      </c>
      <c r="D13" s="3">
        <v>605497.75</v>
      </c>
      <c r="E13" s="2" t="s">
        <v>12</v>
      </c>
      <c r="F13" s="2" t="s">
        <v>22</v>
      </c>
      <c r="G13" s="2" t="s">
        <v>14</v>
      </c>
      <c r="H13" s="2" t="s">
        <v>15</v>
      </c>
      <c r="I13" s="2" t="s">
        <v>102</v>
      </c>
    </row>
    <row r="14" spans="1:9" s="6" customFormat="1" x14ac:dyDescent="0.3">
      <c r="A14" s="4" t="s">
        <v>103</v>
      </c>
      <c r="B14" s="4" t="s">
        <v>104</v>
      </c>
      <c r="C14" s="4" t="s">
        <v>97</v>
      </c>
      <c r="D14" s="5">
        <f>100000*0</f>
        <v>0</v>
      </c>
      <c r="E14" s="4" t="s">
        <v>12</v>
      </c>
      <c r="F14" s="4"/>
      <c r="G14" s="4" t="s">
        <v>14</v>
      </c>
      <c r="H14" s="4" t="s">
        <v>105</v>
      </c>
      <c r="I14" s="4"/>
    </row>
    <row r="15" spans="1:9" x14ac:dyDescent="0.3">
      <c r="A15" s="2" t="s">
        <v>106</v>
      </c>
      <c r="B15" s="2" t="s">
        <v>107</v>
      </c>
      <c r="C15" s="2" t="s">
        <v>29</v>
      </c>
      <c r="D15" s="3">
        <v>283726.07</v>
      </c>
      <c r="E15" s="2" t="s">
        <v>12</v>
      </c>
      <c r="F15" s="2" t="s">
        <v>30</v>
      </c>
      <c r="G15" s="2" t="s">
        <v>14</v>
      </c>
      <c r="H15" s="2" t="s">
        <v>15</v>
      </c>
      <c r="I15" s="2" t="s">
        <v>108</v>
      </c>
    </row>
    <row r="16" spans="1:9" x14ac:dyDescent="0.3">
      <c r="A16" s="2" t="s">
        <v>106</v>
      </c>
      <c r="B16" s="2" t="s">
        <v>109</v>
      </c>
      <c r="C16" s="2" t="s">
        <v>21</v>
      </c>
      <c r="D16" s="3">
        <v>269317.93</v>
      </c>
      <c r="E16" s="2" t="s">
        <v>12</v>
      </c>
      <c r="F16" s="2" t="s">
        <v>22</v>
      </c>
      <c r="G16" s="2" t="s">
        <v>14</v>
      </c>
      <c r="H16" s="2" t="s">
        <v>15</v>
      </c>
      <c r="I16" s="2" t="s">
        <v>110</v>
      </c>
    </row>
    <row r="17" spans="1:9" x14ac:dyDescent="0.3">
      <c r="A17" s="2" t="s">
        <v>106</v>
      </c>
      <c r="B17" s="2" t="s">
        <v>111</v>
      </c>
      <c r="C17" s="2" t="s">
        <v>21</v>
      </c>
      <c r="D17" s="3">
        <v>347360.34</v>
      </c>
      <c r="E17" s="2" t="s">
        <v>12</v>
      </c>
      <c r="F17" s="2" t="s">
        <v>22</v>
      </c>
      <c r="G17" s="2" t="s">
        <v>14</v>
      </c>
      <c r="H17" s="2" t="s">
        <v>15</v>
      </c>
      <c r="I17" s="2" t="s">
        <v>112</v>
      </c>
    </row>
    <row r="18" spans="1:9" x14ac:dyDescent="0.3">
      <c r="A18" s="2" t="s">
        <v>106</v>
      </c>
      <c r="B18" s="2" t="s">
        <v>113</v>
      </c>
      <c r="C18" s="2" t="s">
        <v>21</v>
      </c>
      <c r="D18" s="3">
        <v>459693.22</v>
      </c>
      <c r="E18" s="2" t="s">
        <v>12</v>
      </c>
      <c r="F18" s="2" t="s">
        <v>22</v>
      </c>
      <c r="G18" s="2" t="s">
        <v>14</v>
      </c>
      <c r="H18" s="2" t="s">
        <v>15</v>
      </c>
      <c r="I18" s="2" t="s">
        <v>114</v>
      </c>
    </row>
    <row r="19" spans="1:9" x14ac:dyDescent="0.3">
      <c r="A19" s="2" t="s">
        <v>106</v>
      </c>
      <c r="B19" s="2" t="s">
        <v>115</v>
      </c>
      <c r="C19" s="2" t="s">
        <v>21</v>
      </c>
      <c r="D19" s="3">
        <v>169670.14</v>
      </c>
      <c r="E19" s="2" t="s">
        <v>12</v>
      </c>
      <c r="F19" s="2" t="s">
        <v>22</v>
      </c>
      <c r="G19" s="2" t="s">
        <v>14</v>
      </c>
      <c r="H19" s="2" t="s">
        <v>15</v>
      </c>
      <c r="I19" s="2" t="s">
        <v>116</v>
      </c>
    </row>
    <row r="20" spans="1:9" x14ac:dyDescent="0.3">
      <c r="A20" s="2" t="s">
        <v>106</v>
      </c>
      <c r="B20" s="2" t="s">
        <v>117</v>
      </c>
      <c r="C20" s="2" t="s">
        <v>29</v>
      </c>
      <c r="D20" s="3">
        <v>7282.46</v>
      </c>
      <c r="E20" s="2" t="s">
        <v>12</v>
      </c>
      <c r="F20" s="2" t="s">
        <v>30</v>
      </c>
      <c r="G20" s="2" t="s">
        <v>14</v>
      </c>
      <c r="H20" s="2" t="s">
        <v>15</v>
      </c>
      <c r="I20" s="2" t="s">
        <v>118</v>
      </c>
    </row>
    <row r="21" spans="1:9" x14ac:dyDescent="0.3">
      <c r="A21" s="2" t="s">
        <v>106</v>
      </c>
      <c r="B21" s="2" t="s">
        <v>119</v>
      </c>
      <c r="C21" s="2" t="s">
        <v>29</v>
      </c>
      <c r="D21" s="3">
        <v>4747.87</v>
      </c>
      <c r="E21" s="2" t="s">
        <v>12</v>
      </c>
      <c r="F21" s="2" t="s">
        <v>30</v>
      </c>
      <c r="G21" s="2" t="s">
        <v>14</v>
      </c>
      <c r="H21" s="2" t="s">
        <v>15</v>
      </c>
      <c r="I21" s="2" t="s">
        <v>120</v>
      </c>
    </row>
    <row r="22" spans="1:9" x14ac:dyDescent="0.3">
      <c r="A22" s="2" t="s">
        <v>121</v>
      </c>
      <c r="B22" s="2" t="s">
        <v>122</v>
      </c>
      <c r="C22" s="2" t="s">
        <v>123</v>
      </c>
      <c r="D22" s="3">
        <v>783940.68</v>
      </c>
      <c r="E22" s="2" t="s">
        <v>12</v>
      </c>
      <c r="F22" s="2" t="s">
        <v>124</v>
      </c>
      <c r="G22" s="2" t="s">
        <v>14</v>
      </c>
      <c r="H22" s="2" t="s">
        <v>15</v>
      </c>
      <c r="I22" s="2" t="s">
        <v>125</v>
      </c>
    </row>
    <row r="23" spans="1:9" x14ac:dyDescent="0.3">
      <c r="A23" s="2" t="s">
        <v>121</v>
      </c>
      <c r="B23" s="2" t="s">
        <v>126</v>
      </c>
      <c r="C23" s="2" t="s">
        <v>123</v>
      </c>
      <c r="D23" s="3">
        <v>61034</v>
      </c>
      <c r="E23" s="2" t="s">
        <v>12</v>
      </c>
      <c r="F23" s="2" t="s">
        <v>124</v>
      </c>
      <c r="G23" s="2" t="s">
        <v>14</v>
      </c>
      <c r="H23" s="2" t="s">
        <v>15</v>
      </c>
      <c r="I23" s="2" t="s">
        <v>127</v>
      </c>
    </row>
    <row r="24" spans="1:9" s="6" customFormat="1" x14ac:dyDescent="0.3">
      <c r="A24" s="4" t="s">
        <v>128</v>
      </c>
      <c r="B24" s="4" t="s">
        <v>129</v>
      </c>
      <c r="C24" s="4" t="s">
        <v>130</v>
      </c>
      <c r="D24" s="5">
        <f>1013681.24*0</f>
        <v>0</v>
      </c>
      <c r="E24" s="4" t="s">
        <v>12</v>
      </c>
      <c r="F24" s="4" t="s">
        <v>131</v>
      </c>
      <c r="G24" s="4" t="s">
        <v>14</v>
      </c>
      <c r="H24" s="4" t="s">
        <v>15</v>
      </c>
      <c r="I24" s="4" t="s">
        <v>132</v>
      </c>
    </row>
    <row r="25" spans="1:9" x14ac:dyDescent="0.3">
      <c r="A25" s="2" t="s">
        <v>133</v>
      </c>
      <c r="B25" s="2" t="s">
        <v>134</v>
      </c>
      <c r="C25" s="2" t="s">
        <v>21</v>
      </c>
      <c r="D25" s="3">
        <v>139618.48000000001</v>
      </c>
      <c r="E25" s="2" t="s">
        <v>12</v>
      </c>
      <c r="F25" s="2" t="s">
        <v>22</v>
      </c>
      <c r="G25" s="2" t="s">
        <v>14</v>
      </c>
      <c r="H25" s="2" t="s">
        <v>15</v>
      </c>
      <c r="I25" s="2" t="s">
        <v>135</v>
      </c>
    </row>
    <row r="26" spans="1:9" x14ac:dyDescent="0.3">
      <c r="A26" s="2" t="s">
        <v>133</v>
      </c>
      <c r="B26" s="2" t="s">
        <v>136</v>
      </c>
      <c r="C26" s="2" t="s">
        <v>21</v>
      </c>
      <c r="D26" s="3">
        <v>143598.18</v>
      </c>
      <c r="E26" s="2" t="s">
        <v>12</v>
      </c>
      <c r="F26" s="2" t="s">
        <v>22</v>
      </c>
      <c r="G26" s="2" t="s">
        <v>14</v>
      </c>
      <c r="H26" s="2" t="s">
        <v>15</v>
      </c>
      <c r="I26" s="2" t="s">
        <v>137</v>
      </c>
    </row>
    <row r="27" spans="1:9" x14ac:dyDescent="0.3">
      <c r="A27" s="2" t="s">
        <v>138</v>
      </c>
      <c r="B27" s="2" t="s">
        <v>139</v>
      </c>
      <c r="C27" s="2" t="s">
        <v>123</v>
      </c>
      <c r="D27" s="3">
        <v>270698.92</v>
      </c>
      <c r="E27" s="2" t="s">
        <v>12</v>
      </c>
      <c r="F27" s="2" t="s">
        <v>124</v>
      </c>
      <c r="G27" s="2" t="s">
        <v>14</v>
      </c>
      <c r="H27" s="2" t="s">
        <v>15</v>
      </c>
      <c r="I27" s="2" t="s">
        <v>140</v>
      </c>
    </row>
    <row r="28" spans="1:9" x14ac:dyDescent="0.3">
      <c r="A28" s="2" t="s">
        <v>141</v>
      </c>
      <c r="B28" s="2" t="s">
        <v>142</v>
      </c>
      <c r="C28" s="2" t="s">
        <v>123</v>
      </c>
      <c r="D28" s="3">
        <v>1410108.04</v>
      </c>
      <c r="E28" s="2" t="s">
        <v>12</v>
      </c>
      <c r="F28" s="2" t="s">
        <v>124</v>
      </c>
      <c r="G28" s="2" t="s">
        <v>14</v>
      </c>
      <c r="H28" s="2" t="s">
        <v>15</v>
      </c>
      <c r="I28" s="2" t="s">
        <v>143</v>
      </c>
    </row>
    <row r="29" spans="1:9" x14ac:dyDescent="0.3">
      <c r="A29" s="2" t="s">
        <v>144</v>
      </c>
      <c r="B29" s="2" t="s">
        <v>145</v>
      </c>
      <c r="C29" s="2" t="s">
        <v>123</v>
      </c>
      <c r="D29" s="3">
        <v>24870.04</v>
      </c>
      <c r="E29" s="2" t="s">
        <v>12</v>
      </c>
      <c r="F29" s="2" t="s">
        <v>124</v>
      </c>
      <c r="G29" s="2" t="s">
        <v>14</v>
      </c>
      <c r="H29" s="2" t="s">
        <v>15</v>
      </c>
      <c r="I29" s="2" t="s">
        <v>146</v>
      </c>
    </row>
    <row r="30" spans="1:9" x14ac:dyDescent="0.3">
      <c r="A30" s="2" t="s">
        <v>147</v>
      </c>
      <c r="B30" s="2" t="s">
        <v>148</v>
      </c>
      <c r="C30" s="2" t="s">
        <v>123</v>
      </c>
      <c r="D30" s="3">
        <v>3500757.38</v>
      </c>
      <c r="E30" s="2" t="s">
        <v>12</v>
      </c>
      <c r="F30" s="2" t="s">
        <v>124</v>
      </c>
      <c r="G30" s="2" t="s">
        <v>14</v>
      </c>
      <c r="H30" s="2" t="s">
        <v>15</v>
      </c>
      <c r="I30" s="2" t="s">
        <v>149</v>
      </c>
    </row>
    <row r="31" spans="1:9" x14ac:dyDescent="0.3">
      <c r="A31" s="2" t="s">
        <v>150</v>
      </c>
      <c r="B31" s="2" t="s">
        <v>151</v>
      </c>
      <c r="C31" s="2" t="s">
        <v>123</v>
      </c>
      <c r="D31" s="3">
        <v>124618.82</v>
      </c>
      <c r="E31" s="2" t="s">
        <v>12</v>
      </c>
      <c r="F31" s="2" t="s">
        <v>124</v>
      </c>
      <c r="G31" s="2" t="s">
        <v>14</v>
      </c>
      <c r="H31" s="2" t="s">
        <v>15</v>
      </c>
      <c r="I31" s="2" t="s">
        <v>152</v>
      </c>
    </row>
    <row r="32" spans="1:9" x14ac:dyDescent="0.3">
      <c r="A32" s="2" t="s">
        <v>153</v>
      </c>
      <c r="B32" s="2" t="s">
        <v>154</v>
      </c>
      <c r="C32" s="2" t="s">
        <v>123</v>
      </c>
      <c r="D32" s="3">
        <v>199344.06</v>
      </c>
      <c r="E32" s="2" t="s">
        <v>12</v>
      </c>
      <c r="F32" s="2" t="s">
        <v>124</v>
      </c>
      <c r="G32" s="2" t="s">
        <v>14</v>
      </c>
      <c r="H32" s="2" t="s">
        <v>15</v>
      </c>
      <c r="I32" s="2" t="s">
        <v>155</v>
      </c>
    </row>
    <row r="33" spans="1:9" x14ac:dyDescent="0.3">
      <c r="A33" s="2" t="s">
        <v>156</v>
      </c>
      <c r="B33" s="2" t="s">
        <v>157</v>
      </c>
      <c r="C33" s="2" t="s">
        <v>123</v>
      </c>
      <c r="D33" s="3">
        <v>178566.07</v>
      </c>
      <c r="E33" s="2" t="s">
        <v>12</v>
      </c>
      <c r="F33" s="2" t="s">
        <v>124</v>
      </c>
      <c r="G33" s="2" t="s">
        <v>14</v>
      </c>
      <c r="H33" s="2" t="s">
        <v>15</v>
      </c>
      <c r="I33" s="2" t="s">
        <v>158</v>
      </c>
    </row>
    <row r="34" spans="1:9" x14ac:dyDescent="0.3">
      <c r="A34" s="2" t="s">
        <v>159</v>
      </c>
      <c r="B34" s="2" t="s">
        <v>160</v>
      </c>
      <c r="C34" s="2" t="s">
        <v>123</v>
      </c>
      <c r="D34" s="3">
        <v>23226</v>
      </c>
      <c r="E34" s="2" t="s">
        <v>12</v>
      </c>
      <c r="F34" s="2" t="s">
        <v>124</v>
      </c>
      <c r="G34" s="2" t="s">
        <v>14</v>
      </c>
      <c r="H34" s="2" t="s">
        <v>15</v>
      </c>
      <c r="I34" s="2" t="s">
        <v>161</v>
      </c>
    </row>
    <row r="35" spans="1:9" x14ac:dyDescent="0.3">
      <c r="A35" s="2" t="s">
        <v>162</v>
      </c>
      <c r="B35" s="2" t="s">
        <v>163</v>
      </c>
      <c r="C35" s="2" t="s">
        <v>123</v>
      </c>
      <c r="D35" s="3">
        <v>536061.1</v>
      </c>
      <c r="E35" s="2" t="s">
        <v>12</v>
      </c>
      <c r="F35" s="2" t="s">
        <v>124</v>
      </c>
      <c r="G35" s="2" t="s">
        <v>14</v>
      </c>
      <c r="H35" s="2" t="s">
        <v>15</v>
      </c>
      <c r="I35" s="2" t="s">
        <v>164</v>
      </c>
    </row>
    <row r="36" spans="1:9" x14ac:dyDescent="0.3">
      <c r="A36" s="2" t="s">
        <v>165</v>
      </c>
      <c r="B36" s="2" t="s">
        <v>166</v>
      </c>
      <c r="C36" s="2" t="s">
        <v>123</v>
      </c>
      <c r="D36" s="3">
        <v>7540.97</v>
      </c>
      <c r="E36" s="2" t="s">
        <v>12</v>
      </c>
      <c r="F36" s="2" t="s">
        <v>124</v>
      </c>
      <c r="G36" s="2" t="s">
        <v>14</v>
      </c>
      <c r="H36" s="2" t="s">
        <v>15</v>
      </c>
      <c r="I36" s="2" t="s">
        <v>167</v>
      </c>
    </row>
    <row r="37" spans="1:9" x14ac:dyDescent="0.3">
      <c r="A37" s="2" t="s">
        <v>168</v>
      </c>
      <c r="B37" s="2" t="s">
        <v>169</v>
      </c>
      <c r="C37" s="2" t="s">
        <v>123</v>
      </c>
      <c r="D37" s="3">
        <v>256266.18</v>
      </c>
      <c r="E37" s="2" t="s">
        <v>12</v>
      </c>
      <c r="F37" s="2" t="s">
        <v>124</v>
      </c>
      <c r="G37" s="2" t="s">
        <v>14</v>
      </c>
      <c r="H37" s="2" t="s">
        <v>15</v>
      </c>
      <c r="I37" s="2" t="s">
        <v>170</v>
      </c>
    </row>
    <row r="38" spans="1:9" x14ac:dyDescent="0.3">
      <c r="A38" s="2" t="s">
        <v>171</v>
      </c>
      <c r="B38" s="2" t="s">
        <v>172</v>
      </c>
      <c r="C38" s="2" t="s">
        <v>123</v>
      </c>
      <c r="D38" s="3">
        <v>442946.84</v>
      </c>
      <c r="E38" s="2" t="s">
        <v>12</v>
      </c>
      <c r="F38" s="2" t="s">
        <v>124</v>
      </c>
      <c r="G38" s="2" t="s">
        <v>14</v>
      </c>
      <c r="H38" s="2" t="s">
        <v>15</v>
      </c>
      <c r="I38" s="2" t="s">
        <v>173</v>
      </c>
    </row>
    <row r="39" spans="1:9" x14ac:dyDescent="0.3">
      <c r="A39" s="2" t="s">
        <v>174</v>
      </c>
      <c r="B39" s="2" t="s">
        <v>175</v>
      </c>
      <c r="C39" s="2" t="s">
        <v>123</v>
      </c>
      <c r="D39" s="3">
        <v>38798.660000000003</v>
      </c>
      <c r="E39" s="2" t="s">
        <v>12</v>
      </c>
      <c r="F39" s="2" t="s">
        <v>124</v>
      </c>
      <c r="G39" s="2" t="s">
        <v>14</v>
      </c>
      <c r="H39" s="2" t="s">
        <v>15</v>
      </c>
      <c r="I39" s="2" t="s">
        <v>176</v>
      </c>
    </row>
    <row r="40" spans="1:9" x14ac:dyDescent="0.3">
      <c r="A40" s="2" t="s">
        <v>177</v>
      </c>
      <c r="B40" s="2" t="s">
        <v>178</v>
      </c>
      <c r="C40" s="2" t="s">
        <v>123</v>
      </c>
      <c r="D40" s="3">
        <v>905145.17</v>
      </c>
      <c r="E40" s="2" t="s">
        <v>12</v>
      </c>
      <c r="F40" s="2" t="s">
        <v>124</v>
      </c>
      <c r="G40" s="2" t="s">
        <v>14</v>
      </c>
      <c r="H40" s="2" t="s">
        <v>15</v>
      </c>
      <c r="I40" s="2" t="s">
        <v>179</v>
      </c>
    </row>
    <row r="41" spans="1:9" x14ac:dyDescent="0.3">
      <c r="A41" s="2" t="s">
        <v>180</v>
      </c>
      <c r="B41" s="2" t="s">
        <v>181</v>
      </c>
      <c r="C41" s="2" t="s">
        <v>123</v>
      </c>
      <c r="D41" s="3">
        <v>47262.91</v>
      </c>
      <c r="E41" s="2" t="s">
        <v>12</v>
      </c>
      <c r="F41" s="2" t="s">
        <v>124</v>
      </c>
      <c r="G41" s="2" t="s">
        <v>14</v>
      </c>
      <c r="H41" s="2" t="s">
        <v>15</v>
      </c>
      <c r="I41" s="2" t="s">
        <v>182</v>
      </c>
    </row>
    <row r="42" spans="1:9" x14ac:dyDescent="0.3">
      <c r="A42" s="2" t="s">
        <v>183</v>
      </c>
      <c r="B42" s="2" t="s">
        <v>184</v>
      </c>
      <c r="C42" s="2" t="s">
        <v>123</v>
      </c>
      <c r="D42" s="3">
        <v>32678.62</v>
      </c>
      <c r="E42" s="2" t="s">
        <v>12</v>
      </c>
      <c r="F42" s="2" t="s">
        <v>124</v>
      </c>
      <c r="G42" s="2" t="s">
        <v>14</v>
      </c>
      <c r="H42" s="2" t="s">
        <v>15</v>
      </c>
      <c r="I42" s="2" t="s">
        <v>185</v>
      </c>
    </row>
    <row r="43" spans="1:9" x14ac:dyDescent="0.3">
      <c r="D43" s="9">
        <f>SUM(D1:D42)</f>
        <v>13135386.73</v>
      </c>
    </row>
    <row r="44" spans="1:9" x14ac:dyDescent="0.3">
      <c r="D44" s="8">
        <f>D43-D50</f>
        <v>0</v>
      </c>
    </row>
    <row r="45" spans="1:9" x14ac:dyDescent="0.3">
      <c r="C45" t="s">
        <v>186</v>
      </c>
      <c r="D45" s="17">
        <f>D6+D10+D13+D16+D17+D18+D19+D25+D26</f>
        <v>2963513.6600000006</v>
      </c>
      <c r="F45" s="17">
        <f>D45+D55+D52</f>
        <v>19100901.240000002</v>
      </c>
      <c r="G45" t="s">
        <v>304</v>
      </c>
    </row>
    <row r="46" spans="1:9" x14ac:dyDescent="0.3">
      <c r="C46" t="s">
        <v>187</v>
      </c>
      <c r="D46" s="17">
        <f>D12</f>
        <v>83281.789999999994</v>
      </c>
    </row>
    <row r="47" spans="1:9" x14ac:dyDescent="0.3">
      <c r="C47" t="s">
        <v>188</v>
      </c>
      <c r="D47" s="17">
        <f>D22+D27+D23+D28+D29+D30+D31+D32+D33+D34+D35+D36+D37+D38+D39+D40+D41+D42</f>
        <v>8843864.459999999</v>
      </c>
    </row>
    <row r="48" spans="1:9" x14ac:dyDescent="0.3">
      <c r="C48" t="s">
        <v>189</v>
      </c>
      <c r="D48" s="17">
        <f>D4+D5+D9+D15+D20+D21</f>
        <v>1201735.1800000002</v>
      </c>
    </row>
    <row r="49" spans="1:12" x14ac:dyDescent="0.3">
      <c r="C49" t="s">
        <v>190</v>
      </c>
      <c r="D49" s="17">
        <f>D7+D8</f>
        <v>42991.64</v>
      </c>
    </row>
    <row r="50" spans="1:12" x14ac:dyDescent="0.3">
      <c r="C50" s="10" t="s">
        <v>191</v>
      </c>
      <c r="D50" s="9">
        <f>SUM(D45:D49)</f>
        <v>13135386.73</v>
      </c>
    </row>
    <row r="51" spans="1:12" x14ac:dyDescent="0.3">
      <c r="C51" s="10"/>
      <c r="D51" s="9"/>
    </row>
    <row r="52" spans="1:12" x14ac:dyDescent="0.3">
      <c r="A52" s="24" t="s">
        <v>301</v>
      </c>
      <c r="B52" s="24" t="s">
        <v>302</v>
      </c>
      <c r="C52" s="24" t="s">
        <v>21</v>
      </c>
      <c r="D52" s="18">
        <v>3571179.26</v>
      </c>
      <c r="E52" s="24" t="s">
        <v>12</v>
      </c>
      <c r="F52" s="24" t="s">
        <v>22</v>
      </c>
      <c r="G52" s="24" t="s">
        <v>14</v>
      </c>
      <c r="H52" s="24" t="s">
        <v>15</v>
      </c>
      <c r="I52" s="24" t="s">
        <v>303</v>
      </c>
    </row>
    <row r="54" spans="1:12" x14ac:dyDescent="0.3">
      <c r="A54" s="11" t="s">
        <v>0</v>
      </c>
      <c r="B54" s="11" t="s">
        <v>1</v>
      </c>
      <c r="C54" s="11" t="s">
        <v>2</v>
      </c>
      <c r="D54" s="11" t="s">
        <v>3</v>
      </c>
      <c r="E54" s="11" t="s">
        <v>4</v>
      </c>
      <c r="F54" s="11" t="s">
        <v>193</v>
      </c>
      <c r="G54" s="11" t="s">
        <v>6</v>
      </c>
      <c r="H54" s="11" t="s">
        <v>7</v>
      </c>
      <c r="I54" s="11" t="s">
        <v>192</v>
      </c>
    </row>
    <row r="55" spans="1:12" x14ac:dyDescent="0.3">
      <c r="A55" s="2" t="s">
        <v>194</v>
      </c>
      <c r="B55" s="2" t="s">
        <v>195</v>
      </c>
      <c r="C55" s="2" t="s">
        <v>21</v>
      </c>
      <c r="D55" s="18">
        <v>12566208.32</v>
      </c>
      <c r="E55" s="2" t="s">
        <v>12</v>
      </c>
      <c r="F55" s="2" t="s">
        <v>186</v>
      </c>
      <c r="G55" s="2" t="s">
        <v>14</v>
      </c>
      <c r="H55" s="2" t="s">
        <v>15</v>
      </c>
      <c r="I55" s="2" t="s">
        <v>196</v>
      </c>
      <c r="K55" s="8">
        <v>10160714.244000001</v>
      </c>
      <c r="L55" s="2" t="s">
        <v>412</v>
      </c>
    </row>
    <row r="57" spans="1:12" x14ac:dyDescent="0.3">
      <c r="A57" s="11" t="s">
        <v>0</v>
      </c>
      <c r="B57" s="11" t="s">
        <v>1</v>
      </c>
      <c r="C57" s="11" t="s">
        <v>2</v>
      </c>
      <c r="D57" s="11" t="s">
        <v>3</v>
      </c>
      <c r="E57" s="11" t="s">
        <v>4</v>
      </c>
      <c r="F57" s="11" t="s">
        <v>5</v>
      </c>
      <c r="G57" s="11" t="s">
        <v>6</v>
      </c>
      <c r="H57" s="11" t="s">
        <v>7</v>
      </c>
      <c r="I57" s="11" t="s">
        <v>8</v>
      </c>
    </row>
    <row r="58" spans="1:12" s="6" customFormat="1" x14ac:dyDescent="0.3">
      <c r="A58" s="4" t="s">
        <v>197</v>
      </c>
      <c r="B58" s="4" t="s">
        <v>198</v>
      </c>
      <c r="C58" s="4" t="s">
        <v>11</v>
      </c>
      <c r="D58" s="5">
        <f>40920.07*0</f>
        <v>0</v>
      </c>
      <c r="E58" s="4" t="s">
        <v>12</v>
      </c>
      <c r="F58" s="4" t="s">
        <v>13</v>
      </c>
      <c r="G58" s="4" t="s">
        <v>14</v>
      </c>
      <c r="H58" s="4" t="s">
        <v>15</v>
      </c>
      <c r="I58" s="4" t="s">
        <v>199</v>
      </c>
      <c r="J58" s="6" t="s">
        <v>281</v>
      </c>
    </row>
    <row r="59" spans="1:12" s="6" customFormat="1" x14ac:dyDescent="0.3">
      <c r="A59" s="4" t="s">
        <v>200</v>
      </c>
      <c r="B59" s="4" t="s">
        <v>201</v>
      </c>
      <c r="C59" s="4" t="s">
        <v>11</v>
      </c>
      <c r="D59" s="5">
        <f>330648.58*0</f>
        <v>0</v>
      </c>
      <c r="E59" s="4" t="s">
        <v>12</v>
      </c>
      <c r="F59" s="4" t="s">
        <v>13</v>
      </c>
      <c r="G59" s="4" t="s">
        <v>14</v>
      </c>
      <c r="H59" s="4" t="s">
        <v>15</v>
      </c>
      <c r="I59" s="4" t="s">
        <v>202</v>
      </c>
      <c r="J59" s="6" t="s">
        <v>281</v>
      </c>
    </row>
    <row r="60" spans="1:12" s="6" customFormat="1" x14ac:dyDescent="0.3">
      <c r="A60" s="4" t="s">
        <v>203</v>
      </c>
      <c r="B60" s="4" t="s">
        <v>204</v>
      </c>
      <c r="C60" s="4" t="s">
        <v>11</v>
      </c>
      <c r="D60" s="5">
        <f>337206.36*0</f>
        <v>0</v>
      </c>
      <c r="E60" s="4" t="s">
        <v>12</v>
      </c>
      <c r="F60" s="4" t="s">
        <v>13</v>
      </c>
      <c r="G60" s="4" t="s">
        <v>14</v>
      </c>
      <c r="H60" s="4" t="s">
        <v>15</v>
      </c>
      <c r="I60" s="4" t="s">
        <v>205</v>
      </c>
      <c r="J60" s="6" t="s">
        <v>281</v>
      </c>
    </row>
    <row r="61" spans="1:12" s="6" customFormat="1" x14ac:dyDescent="0.3">
      <c r="A61" s="4" t="s">
        <v>206</v>
      </c>
      <c r="B61" s="4" t="s">
        <v>207</v>
      </c>
      <c r="C61" s="4" t="s">
        <v>11</v>
      </c>
      <c r="D61" s="5">
        <f>1900000*0</f>
        <v>0</v>
      </c>
      <c r="E61" s="4" t="s">
        <v>12</v>
      </c>
      <c r="F61" s="4" t="s">
        <v>13</v>
      </c>
      <c r="G61" s="4" t="s">
        <v>14</v>
      </c>
      <c r="H61" s="4" t="s">
        <v>15</v>
      </c>
      <c r="I61" s="4" t="s">
        <v>208</v>
      </c>
      <c r="J61" s="6" t="s">
        <v>281</v>
      </c>
    </row>
    <row r="62" spans="1:12" x14ac:dyDescent="0.3">
      <c r="A62" s="2" t="s">
        <v>209</v>
      </c>
      <c r="B62" s="2" t="s">
        <v>210</v>
      </c>
      <c r="C62" s="2" t="s">
        <v>11</v>
      </c>
      <c r="D62" s="18">
        <v>111000</v>
      </c>
      <c r="E62" s="2" t="s">
        <v>12</v>
      </c>
      <c r="F62" s="2" t="s">
        <v>13</v>
      </c>
      <c r="G62" s="2" t="s">
        <v>14</v>
      </c>
      <c r="H62" s="2" t="s">
        <v>15</v>
      </c>
      <c r="I62" s="2" t="s">
        <v>211</v>
      </c>
      <c r="J62" t="s">
        <v>281</v>
      </c>
    </row>
    <row r="63" spans="1:12" x14ac:dyDescent="0.3">
      <c r="A63" s="2" t="s">
        <v>212</v>
      </c>
      <c r="B63" s="2" t="s">
        <v>213</v>
      </c>
      <c r="C63" s="2" t="s">
        <v>11</v>
      </c>
      <c r="D63" s="18">
        <v>40991.120000000003</v>
      </c>
      <c r="E63" s="2" t="s">
        <v>12</v>
      </c>
      <c r="F63" s="2" t="s">
        <v>13</v>
      </c>
      <c r="G63" s="2" t="s">
        <v>14</v>
      </c>
      <c r="H63" s="2" t="s">
        <v>15</v>
      </c>
      <c r="I63" s="2" t="s">
        <v>214</v>
      </c>
      <c r="J63" t="s">
        <v>281</v>
      </c>
    </row>
    <row r="64" spans="1:12" x14ac:dyDescent="0.3">
      <c r="A64" s="2" t="s">
        <v>215</v>
      </c>
      <c r="B64" s="2" t="s">
        <v>216</v>
      </c>
      <c r="C64" s="2" t="s">
        <v>11</v>
      </c>
      <c r="D64" s="18">
        <v>151220.25</v>
      </c>
      <c r="E64" s="2" t="s">
        <v>12</v>
      </c>
      <c r="F64" s="2" t="s">
        <v>13</v>
      </c>
      <c r="G64" s="2" t="s">
        <v>14</v>
      </c>
      <c r="H64" s="2" t="s">
        <v>15</v>
      </c>
      <c r="I64" s="2" t="s">
        <v>217</v>
      </c>
      <c r="J64" t="s">
        <v>282</v>
      </c>
    </row>
    <row r="65" spans="1:10" s="6" customFormat="1" x14ac:dyDescent="0.3">
      <c r="A65" s="4" t="s">
        <v>218</v>
      </c>
      <c r="B65" s="4" t="s">
        <v>219</v>
      </c>
      <c r="C65" s="4" t="s">
        <v>11</v>
      </c>
      <c r="D65" s="5">
        <f>48963.26*0</f>
        <v>0</v>
      </c>
      <c r="E65" s="4" t="s">
        <v>12</v>
      </c>
      <c r="F65" s="4" t="s">
        <v>13</v>
      </c>
      <c r="G65" s="4" t="s">
        <v>14</v>
      </c>
      <c r="H65" s="4" t="s">
        <v>15</v>
      </c>
      <c r="I65" s="4" t="s">
        <v>220</v>
      </c>
      <c r="J65" s="6" t="s">
        <v>282</v>
      </c>
    </row>
    <row r="66" spans="1:10" s="6" customFormat="1" x14ac:dyDescent="0.3">
      <c r="A66" s="4" t="s">
        <v>221</v>
      </c>
      <c r="B66" s="4" t="s">
        <v>222</v>
      </c>
      <c r="C66" s="4" t="s">
        <v>11</v>
      </c>
      <c r="D66" s="5">
        <f>25935.46*0</f>
        <v>0</v>
      </c>
      <c r="E66" s="4" t="s">
        <v>12</v>
      </c>
      <c r="F66" s="4" t="s">
        <v>13</v>
      </c>
      <c r="G66" s="4" t="s">
        <v>14</v>
      </c>
      <c r="H66" s="4" t="s">
        <v>15</v>
      </c>
      <c r="I66" s="4" t="s">
        <v>223</v>
      </c>
      <c r="J66" s="6" t="s">
        <v>282</v>
      </c>
    </row>
    <row r="67" spans="1:10" x14ac:dyDescent="0.3">
      <c r="A67" s="2" t="s">
        <v>224</v>
      </c>
      <c r="B67" s="2" t="s">
        <v>225</v>
      </c>
      <c r="C67" s="2" t="s">
        <v>11</v>
      </c>
      <c r="D67" s="18">
        <v>74844.2</v>
      </c>
      <c r="E67" s="2" t="s">
        <v>12</v>
      </c>
      <c r="F67" s="2" t="s">
        <v>13</v>
      </c>
      <c r="G67" s="2" t="s">
        <v>14</v>
      </c>
      <c r="H67" s="2" t="s">
        <v>15</v>
      </c>
      <c r="I67" s="2" t="s">
        <v>226</v>
      </c>
      <c r="J67" t="s">
        <v>280</v>
      </c>
    </row>
    <row r="68" spans="1:10" x14ac:dyDescent="0.3">
      <c r="A68" s="2" t="s">
        <v>227</v>
      </c>
      <c r="B68" s="2" t="s">
        <v>228</v>
      </c>
      <c r="C68" s="2" t="s">
        <v>11</v>
      </c>
      <c r="D68" s="18">
        <v>70000</v>
      </c>
      <c r="E68" s="2" t="s">
        <v>12</v>
      </c>
      <c r="F68" s="2" t="s">
        <v>13</v>
      </c>
      <c r="G68" s="2" t="s">
        <v>14</v>
      </c>
      <c r="H68" s="2" t="s">
        <v>15</v>
      </c>
      <c r="I68" s="2" t="s">
        <v>229</v>
      </c>
      <c r="J68" t="s">
        <v>280</v>
      </c>
    </row>
    <row r="69" spans="1:10" x14ac:dyDescent="0.3">
      <c r="A69" s="2" t="s">
        <v>230</v>
      </c>
      <c r="B69" s="2" t="s">
        <v>231</v>
      </c>
      <c r="C69" s="2" t="s">
        <v>11</v>
      </c>
      <c r="D69" s="18">
        <v>92115.83</v>
      </c>
      <c r="E69" s="2" t="s">
        <v>12</v>
      </c>
      <c r="F69" s="2" t="s">
        <v>13</v>
      </c>
      <c r="G69" s="2" t="s">
        <v>14</v>
      </c>
      <c r="H69" s="2" t="s">
        <v>15</v>
      </c>
      <c r="I69" s="2" t="s">
        <v>232</v>
      </c>
      <c r="J69" t="s">
        <v>280</v>
      </c>
    </row>
    <row r="70" spans="1:10" x14ac:dyDescent="0.3">
      <c r="A70" s="2" t="s">
        <v>233</v>
      </c>
      <c r="B70" s="2" t="s">
        <v>234</v>
      </c>
      <c r="C70" s="2" t="s">
        <v>11</v>
      </c>
      <c r="D70" s="18">
        <v>69692.789999999994</v>
      </c>
      <c r="E70" s="2" t="s">
        <v>12</v>
      </c>
      <c r="F70" s="2" t="s">
        <v>13</v>
      </c>
      <c r="G70" s="2" t="s">
        <v>14</v>
      </c>
      <c r="H70" s="2" t="s">
        <v>15</v>
      </c>
      <c r="I70" s="2" t="s">
        <v>235</v>
      </c>
      <c r="J70" t="s">
        <v>280</v>
      </c>
    </row>
    <row r="71" spans="1:10" x14ac:dyDescent="0.3">
      <c r="A71" s="2" t="s">
        <v>236</v>
      </c>
      <c r="B71" s="2" t="s">
        <v>237</v>
      </c>
      <c r="C71" s="2" t="s">
        <v>11</v>
      </c>
      <c r="D71" s="18">
        <v>220420.19</v>
      </c>
      <c r="E71" s="2" t="s">
        <v>12</v>
      </c>
      <c r="F71" s="2" t="s">
        <v>13</v>
      </c>
      <c r="G71" s="2" t="s">
        <v>14</v>
      </c>
      <c r="H71" s="2" t="s">
        <v>15</v>
      </c>
      <c r="I71" s="2" t="s">
        <v>238</v>
      </c>
      <c r="J71" t="s">
        <v>280</v>
      </c>
    </row>
    <row r="72" spans="1:10" x14ac:dyDescent="0.3">
      <c r="A72" s="2" t="s">
        <v>239</v>
      </c>
      <c r="B72" s="2" t="s">
        <v>240</v>
      </c>
      <c r="C72" s="2" t="s">
        <v>11</v>
      </c>
      <c r="D72" s="18">
        <v>8730</v>
      </c>
      <c r="E72" s="2" t="s">
        <v>12</v>
      </c>
      <c r="F72" s="2" t="s">
        <v>13</v>
      </c>
      <c r="G72" s="2" t="s">
        <v>14</v>
      </c>
      <c r="H72" s="2" t="s">
        <v>15</v>
      </c>
      <c r="I72" s="2" t="s">
        <v>241</v>
      </c>
      <c r="J72" t="s">
        <v>280</v>
      </c>
    </row>
    <row r="73" spans="1:10" x14ac:dyDescent="0.3">
      <c r="A73" s="2" t="s">
        <v>242</v>
      </c>
      <c r="B73" s="2" t="s">
        <v>243</v>
      </c>
      <c r="C73" s="2" t="s">
        <v>11</v>
      </c>
      <c r="D73" s="18">
        <v>231000</v>
      </c>
      <c r="E73" s="2" t="s">
        <v>12</v>
      </c>
      <c r="F73" s="2" t="s">
        <v>13</v>
      </c>
      <c r="G73" s="2" t="s">
        <v>14</v>
      </c>
      <c r="H73" s="2" t="s">
        <v>15</v>
      </c>
      <c r="I73" s="2" t="s">
        <v>244</v>
      </c>
      <c r="J73" t="s">
        <v>282</v>
      </c>
    </row>
    <row r="74" spans="1:10" x14ac:dyDescent="0.3">
      <c r="A74" s="2" t="s">
        <v>245</v>
      </c>
      <c r="B74" s="2" t="s">
        <v>246</v>
      </c>
      <c r="C74" s="2" t="s">
        <v>11</v>
      </c>
      <c r="D74" s="18">
        <v>2044</v>
      </c>
      <c r="E74" s="2" t="s">
        <v>12</v>
      </c>
      <c r="F74" s="2" t="s">
        <v>13</v>
      </c>
      <c r="G74" s="2" t="s">
        <v>14</v>
      </c>
      <c r="H74" s="2" t="s">
        <v>15</v>
      </c>
      <c r="I74" s="2" t="s">
        <v>247</v>
      </c>
      <c r="J74" t="s">
        <v>282</v>
      </c>
    </row>
    <row r="75" spans="1:10" s="6" customFormat="1" x14ac:dyDescent="0.3">
      <c r="A75" s="4" t="s">
        <v>248</v>
      </c>
      <c r="B75" s="4" t="s">
        <v>249</v>
      </c>
      <c r="C75" s="4" t="s">
        <v>11</v>
      </c>
      <c r="D75" s="5">
        <f>330648.58*0</f>
        <v>0</v>
      </c>
      <c r="E75" s="4" t="s">
        <v>12</v>
      </c>
      <c r="F75" s="4" t="s">
        <v>13</v>
      </c>
      <c r="G75" s="4" t="s">
        <v>14</v>
      </c>
      <c r="H75" s="4" t="s">
        <v>15</v>
      </c>
      <c r="I75" s="4" t="s">
        <v>220</v>
      </c>
      <c r="J75" s="6" t="s">
        <v>281</v>
      </c>
    </row>
    <row r="76" spans="1:10" x14ac:dyDescent="0.3">
      <c r="A76" s="2" t="s">
        <v>250</v>
      </c>
      <c r="B76" s="2" t="s">
        <v>251</v>
      </c>
      <c r="C76" s="2" t="s">
        <v>11</v>
      </c>
      <c r="D76" s="18">
        <v>337206.36</v>
      </c>
      <c r="E76" s="2" t="s">
        <v>12</v>
      </c>
      <c r="F76" s="2" t="s">
        <v>13</v>
      </c>
      <c r="G76" s="2" t="s">
        <v>14</v>
      </c>
      <c r="H76" s="2" t="s">
        <v>15</v>
      </c>
      <c r="I76" s="2" t="s">
        <v>252</v>
      </c>
      <c r="J76" t="s">
        <v>283</v>
      </c>
    </row>
    <row r="77" spans="1:10" x14ac:dyDescent="0.3">
      <c r="A77" s="2" t="s">
        <v>9</v>
      </c>
      <c r="B77" s="2" t="s">
        <v>10</v>
      </c>
      <c r="C77" s="2" t="s">
        <v>11</v>
      </c>
      <c r="D77" s="18">
        <v>585276.81999999995</v>
      </c>
      <c r="E77" s="2" t="s">
        <v>12</v>
      </c>
      <c r="F77" s="2" t="s">
        <v>13</v>
      </c>
      <c r="G77" s="2" t="s">
        <v>14</v>
      </c>
      <c r="H77" s="2" t="s">
        <v>15</v>
      </c>
      <c r="I77" s="2" t="s">
        <v>16</v>
      </c>
      <c r="J77" t="s">
        <v>280</v>
      </c>
    </row>
    <row r="78" spans="1:10" x14ac:dyDescent="0.3">
      <c r="A78" s="2" t="s">
        <v>9</v>
      </c>
      <c r="B78" s="2" t="s">
        <v>17</v>
      </c>
      <c r="C78" s="2" t="s">
        <v>11</v>
      </c>
      <c r="D78" s="18">
        <v>585218.81999999995</v>
      </c>
      <c r="E78" s="2" t="s">
        <v>12</v>
      </c>
      <c r="F78" s="2" t="s">
        <v>13</v>
      </c>
      <c r="G78" s="2" t="s">
        <v>14</v>
      </c>
      <c r="H78" s="2" t="s">
        <v>15</v>
      </c>
      <c r="I78" s="2" t="s">
        <v>18</v>
      </c>
      <c r="J78" t="s">
        <v>280</v>
      </c>
    </row>
    <row r="79" spans="1:10" x14ac:dyDescent="0.3">
      <c r="A79" s="2" t="s">
        <v>47</v>
      </c>
      <c r="B79" s="2" t="s">
        <v>48</v>
      </c>
      <c r="C79" s="2" t="s">
        <v>11</v>
      </c>
      <c r="D79" s="18">
        <v>19075.72</v>
      </c>
      <c r="E79" s="2" t="s">
        <v>12</v>
      </c>
      <c r="F79" s="2" t="s">
        <v>13</v>
      </c>
      <c r="G79" s="2" t="s">
        <v>14</v>
      </c>
      <c r="H79" s="2" t="s">
        <v>15</v>
      </c>
      <c r="I79" s="2" t="s">
        <v>49</v>
      </c>
      <c r="J79" t="s">
        <v>280</v>
      </c>
    </row>
    <row r="80" spans="1:10" x14ac:dyDescent="0.3">
      <c r="A80" s="2" t="s">
        <v>47</v>
      </c>
      <c r="B80" s="2" t="s">
        <v>50</v>
      </c>
      <c r="C80" s="2" t="s">
        <v>11</v>
      </c>
      <c r="D80" s="18">
        <v>1609186.51</v>
      </c>
      <c r="E80" s="2" t="s">
        <v>12</v>
      </c>
      <c r="F80" s="2" t="s">
        <v>13</v>
      </c>
      <c r="G80" s="2" t="s">
        <v>14</v>
      </c>
      <c r="H80" s="2" t="s">
        <v>15</v>
      </c>
      <c r="I80" s="2" t="s">
        <v>51</v>
      </c>
      <c r="J80" t="s">
        <v>282</v>
      </c>
    </row>
    <row r="81" spans="1:10" x14ac:dyDescent="0.3">
      <c r="A81" s="2" t="s">
        <v>47</v>
      </c>
      <c r="B81" s="2" t="s">
        <v>52</v>
      </c>
      <c r="C81" s="2" t="s">
        <v>11</v>
      </c>
      <c r="D81" s="18">
        <v>1027136</v>
      </c>
      <c r="E81" s="2" t="s">
        <v>12</v>
      </c>
      <c r="F81" s="2" t="s">
        <v>13</v>
      </c>
      <c r="G81" s="2" t="s">
        <v>14</v>
      </c>
      <c r="H81" s="2" t="s">
        <v>15</v>
      </c>
      <c r="I81" s="2" t="s">
        <v>53</v>
      </c>
      <c r="J81" t="s">
        <v>282</v>
      </c>
    </row>
    <row r="82" spans="1:10" x14ac:dyDescent="0.3">
      <c r="A82" s="2" t="s">
        <v>47</v>
      </c>
      <c r="B82" s="2" t="s">
        <v>54</v>
      </c>
      <c r="C82" s="2" t="s">
        <v>11</v>
      </c>
      <c r="D82" s="18">
        <v>309258.40000000002</v>
      </c>
      <c r="E82" s="2" t="s">
        <v>12</v>
      </c>
      <c r="F82" s="2" t="s">
        <v>13</v>
      </c>
      <c r="G82" s="2" t="s">
        <v>14</v>
      </c>
      <c r="H82" s="2" t="s">
        <v>15</v>
      </c>
      <c r="I82" s="2" t="s">
        <v>55</v>
      </c>
      <c r="J82" t="s">
        <v>282</v>
      </c>
    </row>
    <row r="83" spans="1:10" x14ac:dyDescent="0.3">
      <c r="A83" s="2" t="s">
        <v>47</v>
      </c>
      <c r="B83" s="2" t="s">
        <v>56</v>
      </c>
      <c r="C83" s="2" t="s">
        <v>11</v>
      </c>
      <c r="D83" s="18">
        <v>33000</v>
      </c>
      <c r="E83" s="2" t="s">
        <v>12</v>
      </c>
      <c r="F83" s="2" t="s">
        <v>13</v>
      </c>
      <c r="G83" s="2" t="s">
        <v>14</v>
      </c>
      <c r="H83" s="2" t="s">
        <v>15</v>
      </c>
      <c r="I83" s="2" t="s">
        <v>57</v>
      </c>
      <c r="J83" t="s">
        <v>281</v>
      </c>
    </row>
    <row r="84" spans="1:10" x14ac:dyDescent="0.3">
      <c r="A84" s="2" t="s">
        <v>58</v>
      </c>
      <c r="B84" s="2" t="s">
        <v>59</v>
      </c>
      <c r="C84" s="2" t="s">
        <v>11</v>
      </c>
      <c r="D84" s="18">
        <v>27868</v>
      </c>
      <c r="E84" s="2" t="s">
        <v>12</v>
      </c>
      <c r="F84" s="2" t="s">
        <v>13</v>
      </c>
      <c r="G84" s="2" t="s">
        <v>14</v>
      </c>
      <c r="H84" s="2" t="s">
        <v>15</v>
      </c>
      <c r="I84" s="2" t="s">
        <v>60</v>
      </c>
      <c r="J84" t="s">
        <v>282</v>
      </c>
    </row>
    <row r="85" spans="1:10" x14ac:dyDescent="0.3">
      <c r="A85" s="2" t="s">
        <v>58</v>
      </c>
      <c r="B85" s="2" t="s">
        <v>61</v>
      </c>
      <c r="C85" s="2" t="s">
        <v>11</v>
      </c>
      <c r="D85" s="18">
        <v>554353</v>
      </c>
      <c r="E85" s="2" t="s">
        <v>12</v>
      </c>
      <c r="F85" s="2" t="s">
        <v>13</v>
      </c>
      <c r="G85" s="2" t="s">
        <v>14</v>
      </c>
      <c r="H85" s="2" t="s">
        <v>15</v>
      </c>
      <c r="I85" s="2" t="s">
        <v>62</v>
      </c>
      <c r="J85" t="s">
        <v>282</v>
      </c>
    </row>
    <row r="86" spans="1:10" x14ac:dyDescent="0.3">
      <c r="A86" s="2" t="s">
        <v>58</v>
      </c>
      <c r="B86" s="2" t="s">
        <v>63</v>
      </c>
      <c r="C86" s="2" t="s">
        <v>11</v>
      </c>
      <c r="D86" s="18">
        <v>446461.48</v>
      </c>
      <c r="E86" s="2" t="s">
        <v>12</v>
      </c>
      <c r="F86" s="2" t="s">
        <v>13</v>
      </c>
      <c r="G86" s="2" t="s">
        <v>14</v>
      </c>
      <c r="H86" s="2" t="s">
        <v>15</v>
      </c>
      <c r="I86" s="2" t="s">
        <v>64</v>
      </c>
      <c r="J86" t="s">
        <v>282</v>
      </c>
    </row>
    <row r="87" spans="1:10" x14ac:dyDescent="0.3">
      <c r="A87" s="2" t="s">
        <v>58</v>
      </c>
      <c r="B87" s="2" t="s">
        <v>65</v>
      </c>
      <c r="C87" s="2" t="s">
        <v>11</v>
      </c>
      <c r="D87" s="18">
        <v>47254.52</v>
      </c>
      <c r="E87" s="2" t="s">
        <v>12</v>
      </c>
      <c r="F87" s="2" t="s">
        <v>13</v>
      </c>
      <c r="G87" s="2" t="s">
        <v>14</v>
      </c>
      <c r="H87" s="2" t="s">
        <v>15</v>
      </c>
      <c r="I87" s="2" t="s">
        <v>66</v>
      </c>
      <c r="J87" t="s">
        <v>282</v>
      </c>
    </row>
    <row r="88" spans="1:10" x14ac:dyDescent="0.3">
      <c r="A88" s="2" t="s">
        <v>58</v>
      </c>
      <c r="B88" s="2" t="s">
        <v>67</v>
      </c>
      <c r="C88" s="2" t="s">
        <v>11</v>
      </c>
      <c r="D88" s="18">
        <v>46960.61</v>
      </c>
      <c r="E88" s="2" t="s">
        <v>12</v>
      </c>
      <c r="F88" s="2" t="s">
        <v>13</v>
      </c>
      <c r="G88" s="2" t="s">
        <v>14</v>
      </c>
      <c r="H88" s="2" t="s">
        <v>15</v>
      </c>
      <c r="I88" s="2" t="s">
        <v>68</v>
      </c>
      <c r="J88" t="s">
        <v>281</v>
      </c>
    </row>
    <row r="89" spans="1:10" x14ac:dyDescent="0.3">
      <c r="A89" s="2" t="s">
        <v>71</v>
      </c>
      <c r="B89" s="2" t="s">
        <v>72</v>
      </c>
      <c r="C89" s="2" t="s">
        <v>11</v>
      </c>
      <c r="D89" s="18">
        <v>148179.73000000001</v>
      </c>
      <c r="E89" s="2" t="s">
        <v>12</v>
      </c>
      <c r="F89" s="2" t="s">
        <v>13</v>
      </c>
      <c r="G89" s="2" t="s">
        <v>14</v>
      </c>
      <c r="H89" s="2" t="s">
        <v>15</v>
      </c>
      <c r="I89" s="2" t="s">
        <v>73</v>
      </c>
      <c r="J89" t="s">
        <v>283</v>
      </c>
    </row>
    <row r="90" spans="1:10" x14ac:dyDescent="0.3">
      <c r="A90" s="2" t="s">
        <v>71</v>
      </c>
      <c r="B90" s="2" t="s">
        <v>74</v>
      </c>
      <c r="C90" s="2" t="s">
        <v>11</v>
      </c>
      <c r="D90" s="18">
        <v>593059.22</v>
      </c>
      <c r="E90" s="2" t="s">
        <v>12</v>
      </c>
      <c r="F90" s="2" t="s">
        <v>13</v>
      </c>
      <c r="G90" s="2" t="s">
        <v>14</v>
      </c>
      <c r="H90" s="2" t="s">
        <v>15</v>
      </c>
      <c r="I90" s="2" t="s">
        <v>75</v>
      </c>
      <c r="J90" t="s">
        <v>281</v>
      </c>
    </row>
    <row r="91" spans="1:10" x14ac:dyDescent="0.3">
      <c r="A91" s="2" t="s">
        <v>71</v>
      </c>
      <c r="B91" s="2" t="s">
        <v>76</v>
      </c>
      <c r="C91" s="2" t="s">
        <v>11</v>
      </c>
      <c r="D91" s="18">
        <v>290457</v>
      </c>
      <c r="E91" s="2" t="s">
        <v>12</v>
      </c>
      <c r="F91" s="2" t="s">
        <v>13</v>
      </c>
      <c r="G91" s="2" t="s">
        <v>14</v>
      </c>
      <c r="H91" s="2" t="s">
        <v>15</v>
      </c>
      <c r="I91" s="2" t="s">
        <v>77</v>
      </c>
      <c r="J91" t="s">
        <v>281</v>
      </c>
    </row>
    <row r="92" spans="1:10" x14ac:dyDescent="0.3">
      <c r="A92" s="2" t="s">
        <v>71</v>
      </c>
      <c r="B92" s="2" t="s">
        <v>78</v>
      </c>
      <c r="C92" s="2" t="s">
        <v>11</v>
      </c>
      <c r="D92" s="18">
        <v>954520.6</v>
      </c>
      <c r="E92" s="2" t="s">
        <v>12</v>
      </c>
      <c r="F92" s="2" t="s">
        <v>13</v>
      </c>
      <c r="G92" s="2" t="s">
        <v>14</v>
      </c>
      <c r="H92" s="2" t="s">
        <v>15</v>
      </c>
      <c r="I92" s="2" t="s">
        <v>79</v>
      </c>
      <c r="J92" t="s">
        <v>281</v>
      </c>
    </row>
    <row r="93" spans="1:10" x14ac:dyDescent="0.3">
      <c r="A93" s="2" t="s">
        <v>71</v>
      </c>
      <c r="B93" s="2" t="s">
        <v>80</v>
      </c>
      <c r="C93" s="2" t="s">
        <v>11</v>
      </c>
      <c r="D93" s="18">
        <v>27224</v>
      </c>
      <c r="E93" s="2" t="s">
        <v>12</v>
      </c>
      <c r="F93" s="2" t="s">
        <v>13</v>
      </c>
      <c r="G93" s="2" t="s">
        <v>14</v>
      </c>
      <c r="H93" s="2" t="s">
        <v>15</v>
      </c>
      <c r="I93" s="2" t="s">
        <v>81</v>
      </c>
      <c r="J93" t="s">
        <v>281</v>
      </c>
    </row>
    <row r="94" spans="1:10" x14ac:dyDescent="0.3">
      <c r="A94" s="2" t="s">
        <v>71</v>
      </c>
      <c r="B94" s="2" t="s">
        <v>82</v>
      </c>
      <c r="C94" s="2" t="s">
        <v>11</v>
      </c>
      <c r="D94" s="18">
        <v>5437399.7400000002</v>
      </c>
      <c r="E94" s="2" t="s">
        <v>12</v>
      </c>
      <c r="F94" s="2" t="s">
        <v>13</v>
      </c>
      <c r="G94" s="2" t="s">
        <v>14</v>
      </c>
      <c r="H94" s="2" t="s">
        <v>15</v>
      </c>
      <c r="I94" s="2" t="s">
        <v>83</v>
      </c>
      <c r="J94" t="s">
        <v>281</v>
      </c>
    </row>
    <row r="95" spans="1:10" x14ac:dyDescent="0.3">
      <c r="A95" s="2" t="s">
        <v>71</v>
      </c>
      <c r="B95" s="2" t="s">
        <v>84</v>
      </c>
      <c r="C95" s="2" t="s">
        <v>11</v>
      </c>
      <c r="D95" s="18">
        <v>145228.5</v>
      </c>
      <c r="E95" s="2" t="s">
        <v>12</v>
      </c>
      <c r="F95" s="2" t="s">
        <v>13</v>
      </c>
      <c r="G95" s="2" t="s">
        <v>14</v>
      </c>
      <c r="H95" s="2" t="s">
        <v>15</v>
      </c>
      <c r="I95" s="2" t="s">
        <v>85</v>
      </c>
      <c r="J95" t="s">
        <v>283</v>
      </c>
    </row>
    <row r="96" spans="1:10" x14ac:dyDescent="0.3">
      <c r="A96" s="2" t="s">
        <v>71</v>
      </c>
      <c r="B96" s="2" t="s">
        <v>86</v>
      </c>
      <c r="C96" s="2" t="s">
        <v>11</v>
      </c>
      <c r="D96" s="18">
        <v>28858</v>
      </c>
      <c r="E96" s="2" t="s">
        <v>12</v>
      </c>
      <c r="F96" s="2" t="s">
        <v>13</v>
      </c>
      <c r="G96" s="2" t="s">
        <v>14</v>
      </c>
      <c r="H96" s="2" t="s">
        <v>15</v>
      </c>
      <c r="I96" s="2" t="s">
        <v>87</v>
      </c>
      <c r="J96" t="s">
        <v>283</v>
      </c>
    </row>
    <row r="97" spans="1:10" x14ac:dyDescent="0.3">
      <c r="A97" s="2" t="s">
        <v>71</v>
      </c>
      <c r="B97" s="2" t="s">
        <v>88</v>
      </c>
      <c r="C97" s="2" t="s">
        <v>11</v>
      </c>
      <c r="D97" s="18">
        <v>325313.90000000002</v>
      </c>
      <c r="E97" s="2" t="s">
        <v>12</v>
      </c>
      <c r="F97" s="2" t="s">
        <v>13</v>
      </c>
      <c r="G97" s="2" t="s">
        <v>14</v>
      </c>
      <c r="H97" s="2" t="s">
        <v>15</v>
      </c>
      <c r="I97" s="2" t="s">
        <v>89</v>
      </c>
      <c r="J97" t="s">
        <v>283</v>
      </c>
    </row>
    <row r="98" spans="1:10" x14ac:dyDescent="0.3">
      <c r="A98" s="2" t="s">
        <v>71</v>
      </c>
      <c r="B98" s="2" t="s">
        <v>90</v>
      </c>
      <c r="C98" s="2" t="s">
        <v>11</v>
      </c>
      <c r="D98" s="18">
        <v>887716.17</v>
      </c>
      <c r="E98" s="2" t="s">
        <v>12</v>
      </c>
      <c r="F98" s="2" t="s">
        <v>13</v>
      </c>
      <c r="G98" s="2" t="s">
        <v>14</v>
      </c>
      <c r="H98" s="2" t="s">
        <v>15</v>
      </c>
      <c r="I98" s="2" t="s">
        <v>91</v>
      </c>
      <c r="J98" t="s">
        <v>283</v>
      </c>
    </row>
    <row r="99" spans="1:10" x14ac:dyDescent="0.3">
      <c r="A99" s="28">
        <v>45448</v>
      </c>
      <c r="B99" s="2" t="s">
        <v>253</v>
      </c>
      <c r="C99" s="2" t="s">
        <v>11</v>
      </c>
      <c r="D99" s="18">
        <v>121976.77</v>
      </c>
      <c r="E99" s="2" t="s">
        <v>12</v>
      </c>
      <c r="F99" s="2" t="s">
        <v>13</v>
      </c>
      <c r="G99" s="2" t="s">
        <v>14</v>
      </c>
      <c r="H99" s="2" t="s">
        <v>15</v>
      </c>
      <c r="I99" s="24" t="s">
        <v>254</v>
      </c>
      <c r="J99" t="s">
        <v>283</v>
      </c>
    </row>
    <row r="100" spans="1:10" x14ac:dyDescent="0.3">
      <c r="A100" s="2" t="s">
        <v>255</v>
      </c>
      <c r="B100" s="2" t="s">
        <v>256</v>
      </c>
      <c r="C100" s="2" t="s">
        <v>11</v>
      </c>
      <c r="D100" s="18">
        <v>908895.93</v>
      </c>
      <c r="E100" s="2" t="s">
        <v>12</v>
      </c>
      <c r="F100" s="2" t="s">
        <v>13</v>
      </c>
      <c r="G100" s="2" t="s">
        <v>14</v>
      </c>
      <c r="H100" s="2" t="s">
        <v>15</v>
      </c>
      <c r="I100" s="2" t="s">
        <v>257</v>
      </c>
      <c r="J100" t="s">
        <v>284</v>
      </c>
    </row>
    <row r="101" spans="1:10" x14ac:dyDescent="0.3">
      <c r="A101" s="28">
        <v>45448</v>
      </c>
      <c r="B101" s="2" t="s">
        <v>258</v>
      </c>
      <c r="C101" s="2" t="s">
        <v>11</v>
      </c>
      <c r="D101" s="18">
        <v>69314.5</v>
      </c>
      <c r="E101" s="2" t="s">
        <v>12</v>
      </c>
      <c r="F101" s="2" t="s">
        <v>13</v>
      </c>
      <c r="G101" s="2" t="s">
        <v>14</v>
      </c>
      <c r="H101" s="2" t="s">
        <v>15</v>
      </c>
      <c r="I101" s="24" t="s">
        <v>259</v>
      </c>
      <c r="J101" t="s">
        <v>283</v>
      </c>
    </row>
    <row r="102" spans="1:10" x14ac:dyDescent="0.3">
      <c r="A102" s="2" t="s">
        <v>260</v>
      </c>
      <c r="B102" s="2" t="s">
        <v>261</v>
      </c>
      <c r="C102" s="2" t="s">
        <v>11</v>
      </c>
      <c r="D102" s="18">
        <v>255300</v>
      </c>
      <c r="E102" s="2" t="s">
        <v>12</v>
      </c>
      <c r="F102" s="2" t="s">
        <v>13</v>
      </c>
      <c r="G102" s="2" t="s">
        <v>14</v>
      </c>
      <c r="H102" s="2" t="s">
        <v>15</v>
      </c>
      <c r="I102" s="2" t="s">
        <v>262</v>
      </c>
      <c r="J102" t="s">
        <v>284</v>
      </c>
    </row>
    <row r="103" spans="1:10" x14ac:dyDescent="0.3">
      <c r="A103" s="28">
        <v>45448</v>
      </c>
      <c r="B103" s="2" t="s">
        <v>263</v>
      </c>
      <c r="C103" s="2" t="s">
        <v>11</v>
      </c>
      <c r="D103" s="18">
        <v>106875</v>
      </c>
      <c r="E103" s="2" t="s">
        <v>12</v>
      </c>
      <c r="F103" s="2" t="s">
        <v>13</v>
      </c>
      <c r="G103" s="2" t="s">
        <v>14</v>
      </c>
      <c r="H103" s="2" t="s">
        <v>15</v>
      </c>
      <c r="I103" s="24" t="s">
        <v>264</v>
      </c>
      <c r="J103" t="s">
        <v>283</v>
      </c>
    </row>
    <row r="104" spans="1:10" x14ac:dyDescent="0.3">
      <c r="A104" s="2" t="s">
        <v>265</v>
      </c>
      <c r="B104" s="2" t="s">
        <v>266</v>
      </c>
      <c r="C104" s="2" t="s">
        <v>11</v>
      </c>
      <c r="D104" s="18">
        <v>426150.52</v>
      </c>
      <c r="E104" s="2" t="s">
        <v>12</v>
      </c>
      <c r="F104" s="2" t="s">
        <v>13</v>
      </c>
      <c r="G104" s="2" t="s">
        <v>14</v>
      </c>
      <c r="H104" s="2" t="s">
        <v>15</v>
      </c>
      <c r="I104" s="2" t="s">
        <v>267</v>
      </c>
      <c r="J104" t="s">
        <v>284</v>
      </c>
    </row>
    <row r="105" spans="1:10" x14ac:dyDescent="0.3">
      <c r="A105" s="2" t="s">
        <v>268</v>
      </c>
      <c r="B105" s="2" t="s">
        <v>269</v>
      </c>
      <c r="C105" s="2" t="s">
        <v>11</v>
      </c>
      <c r="D105" s="18">
        <v>359694.36</v>
      </c>
      <c r="E105" s="2" t="s">
        <v>12</v>
      </c>
      <c r="F105" s="2" t="s">
        <v>13</v>
      </c>
      <c r="G105" s="2" t="s">
        <v>14</v>
      </c>
      <c r="H105" s="2" t="s">
        <v>15</v>
      </c>
      <c r="I105" s="2" t="s">
        <v>270</v>
      </c>
      <c r="J105" t="s">
        <v>284</v>
      </c>
    </row>
    <row r="106" spans="1:10" x14ac:dyDescent="0.3">
      <c r="A106" s="2" t="s">
        <v>271</v>
      </c>
      <c r="B106" s="2" t="s">
        <v>272</v>
      </c>
      <c r="C106" s="2" t="s">
        <v>11</v>
      </c>
      <c r="D106" s="18">
        <v>320050</v>
      </c>
      <c r="E106" s="2" t="s">
        <v>12</v>
      </c>
      <c r="F106" s="2" t="s">
        <v>13</v>
      </c>
      <c r="G106" s="2" t="s">
        <v>14</v>
      </c>
      <c r="H106" s="2" t="s">
        <v>15</v>
      </c>
      <c r="I106" s="2" t="s">
        <v>273</v>
      </c>
      <c r="J106" t="s">
        <v>284</v>
      </c>
    </row>
    <row r="107" spans="1:10" s="6" customFormat="1" x14ac:dyDescent="0.3">
      <c r="A107" s="4" t="s">
        <v>274</v>
      </c>
      <c r="B107" s="4" t="s">
        <v>275</v>
      </c>
      <c r="C107" s="4" t="s">
        <v>11</v>
      </c>
      <c r="D107" s="5">
        <f>70875*0</f>
        <v>0</v>
      </c>
      <c r="E107" s="4" t="s">
        <v>12</v>
      </c>
      <c r="F107" s="4" t="s">
        <v>13</v>
      </c>
      <c r="G107" s="4" t="s">
        <v>14</v>
      </c>
      <c r="H107" s="4" t="s">
        <v>105</v>
      </c>
      <c r="I107" s="4" t="s">
        <v>276</v>
      </c>
      <c r="J107" s="6" t="s">
        <v>284</v>
      </c>
    </row>
    <row r="108" spans="1:10" s="6" customFormat="1" x14ac:dyDescent="0.3">
      <c r="A108" s="4" t="s">
        <v>277</v>
      </c>
      <c r="B108" s="4" t="s">
        <v>278</v>
      </c>
      <c r="C108" s="4" t="s">
        <v>11</v>
      </c>
      <c r="D108" s="5">
        <f>120418.53*0</f>
        <v>0</v>
      </c>
      <c r="E108" s="4" t="s">
        <v>12</v>
      </c>
      <c r="F108" s="4" t="s">
        <v>13</v>
      </c>
      <c r="G108" s="4" t="s">
        <v>14</v>
      </c>
      <c r="H108" s="4" t="s">
        <v>105</v>
      </c>
      <c r="I108" s="4" t="s">
        <v>279</v>
      </c>
      <c r="J108" s="6" t="s">
        <v>284</v>
      </c>
    </row>
    <row r="109" spans="1:10" x14ac:dyDescent="0.3">
      <c r="D109" s="8">
        <f>SUM(D58:D108)</f>
        <v>18106528.559999999</v>
      </c>
      <c r="E109" s="12" t="s">
        <v>285</v>
      </c>
    </row>
    <row r="110" spans="1:10" x14ac:dyDescent="0.3">
      <c r="D110" s="13">
        <f>D109-D113-D114-D115</f>
        <v>0</v>
      </c>
      <c r="F110" s="15" t="s">
        <v>291</v>
      </c>
    </row>
    <row r="111" spans="1:10" x14ac:dyDescent="0.3">
      <c r="D111" s="14"/>
      <c r="E111" s="15" t="s">
        <v>290</v>
      </c>
      <c r="F111" s="14">
        <f>D67+D68+D69+D70+D71+D72+D77+D78+D79</f>
        <v>1725374.3699999999</v>
      </c>
    </row>
    <row r="112" spans="1:10" x14ac:dyDescent="0.3">
      <c r="D112" s="14"/>
      <c r="E112" s="15" t="s">
        <v>289</v>
      </c>
      <c r="F112" s="14">
        <f>D64+D73+D74+D80+D81+D82+D84+D85+D86+D87</f>
        <v>4405782.1599999992</v>
      </c>
    </row>
    <row r="113" spans="4:6" x14ac:dyDescent="0.3">
      <c r="D113" s="14">
        <f>SUM(D58:D76)</f>
        <v>1409264.7400000002</v>
      </c>
      <c r="E113" s="15" t="s">
        <v>286</v>
      </c>
      <c r="F113" s="14">
        <f>D62+D63+D83+D88+D90+D91+D92+D93+D94</f>
        <v>7534612.29</v>
      </c>
    </row>
    <row r="114" spans="4:6" x14ac:dyDescent="0.3">
      <c r="D114" s="14">
        <f>SUM(D77:D98)</f>
        <v>14129006.74</v>
      </c>
      <c r="E114" s="15" t="s">
        <v>287</v>
      </c>
      <c r="F114" s="19">
        <f>D76+D89+D95+D96+D97+D98+D99+D101+D103</f>
        <v>2170668.9300000002</v>
      </c>
    </row>
    <row r="115" spans="4:6" x14ac:dyDescent="0.3">
      <c r="D115" s="14">
        <f>SUM(D99:D108)</f>
        <v>2568257.08</v>
      </c>
      <c r="E115" s="15" t="s">
        <v>288</v>
      </c>
      <c r="F115" s="14">
        <f>SUM(D99:D108)-D99-D101-D103</f>
        <v>2270090.81</v>
      </c>
    </row>
    <row r="116" spans="4:6" x14ac:dyDescent="0.3">
      <c r="D116" s="16">
        <f>SUM(D111:D115)</f>
        <v>18106528.560000002</v>
      </c>
      <c r="E116" s="13">
        <f>D116-F116</f>
        <v>0</v>
      </c>
      <c r="F116" s="16">
        <f>SUM(F111:F115)</f>
        <v>18106528.559999999</v>
      </c>
    </row>
  </sheetData>
  <autoFilter ref="A57:J113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M106"/>
  <sheetViews>
    <sheetView topLeftCell="A83" workbookViewId="0">
      <selection activeCell="B104" sqref="B104"/>
    </sheetView>
  </sheetViews>
  <sheetFormatPr defaultRowHeight="14.4" x14ac:dyDescent="0.3"/>
  <cols>
    <col min="1" max="1" width="14" bestFit="1" customWidth="1"/>
    <col min="2" max="2" width="11.33203125" bestFit="1" customWidth="1"/>
    <col min="3" max="3" width="19.44140625" bestFit="1" customWidth="1"/>
    <col min="4" max="4" width="16.6640625" bestFit="1" customWidth="1"/>
    <col min="5" max="5" width="17.44140625" bestFit="1" customWidth="1"/>
    <col min="6" max="6" width="16.33203125" bestFit="1" customWidth="1"/>
    <col min="7" max="7" width="14.5546875" bestFit="1" customWidth="1"/>
    <col min="8" max="8" width="52.21875" bestFit="1" customWidth="1"/>
    <col min="9" max="9" width="9.88671875" bestFit="1" customWidth="1"/>
    <col min="10" max="10" width="10.5546875" bestFit="1" customWidth="1"/>
    <col min="16" max="16" width="9.88671875" bestFit="1" customWidth="1"/>
  </cols>
  <sheetData>
    <row r="1" spans="1:9" x14ac:dyDescent="0.3">
      <c r="A1" s="20" t="s">
        <v>0</v>
      </c>
      <c r="B1" s="20" t="s">
        <v>1</v>
      </c>
      <c r="C1" s="20" t="s">
        <v>292</v>
      </c>
      <c r="D1" s="22" t="s">
        <v>298</v>
      </c>
      <c r="E1" s="22" t="s">
        <v>299</v>
      </c>
      <c r="F1" s="20" t="s">
        <v>293</v>
      </c>
      <c r="G1" s="20" t="s">
        <v>7</v>
      </c>
      <c r="H1" s="20" t="s">
        <v>8</v>
      </c>
    </row>
    <row r="2" spans="1:9" x14ac:dyDescent="0.3">
      <c r="A2" s="21" t="s">
        <v>294</v>
      </c>
      <c r="B2" s="21" t="s">
        <v>295</v>
      </c>
      <c r="C2" s="21" t="s">
        <v>296</v>
      </c>
      <c r="D2" s="23">
        <v>35743.9</v>
      </c>
      <c r="E2" s="25">
        <f>D2*1.2</f>
        <v>42892.68</v>
      </c>
      <c r="F2" s="21" t="s">
        <v>297</v>
      </c>
      <c r="G2" s="21" t="s">
        <v>105</v>
      </c>
      <c r="H2" s="21" t="s">
        <v>300</v>
      </c>
    </row>
    <row r="3" spans="1:9" x14ac:dyDescent="0.3">
      <c r="A3" s="21" t="s">
        <v>396</v>
      </c>
      <c r="B3" s="21" t="s">
        <v>397</v>
      </c>
      <c r="C3" s="21" t="s">
        <v>341</v>
      </c>
      <c r="D3" s="25">
        <v>1580.45</v>
      </c>
      <c r="E3" s="23">
        <f t="shared" ref="E3:E7" si="0">D3*1.2</f>
        <v>1896.54</v>
      </c>
      <c r="F3" s="21" t="s">
        <v>368</v>
      </c>
      <c r="G3" s="21" t="s">
        <v>105</v>
      </c>
      <c r="H3" s="21"/>
    </row>
    <row r="4" spans="1:9" x14ac:dyDescent="0.3">
      <c r="A4" s="21" t="s">
        <v>398</v>
      </c>
      <c r="B4" s="21" t="s">
        <v>399</v>
      </c>
      <c r="C4" s="21" t="s">
        <v>341</v>
      </c>
      <c r="D4" s="25">
        <v>745.29</v>
      </c>
      <c r="E4" s="23">
        <f t="shared" si="0"/>
        <v>894.34799999999996</v>
      </c>
      <c r="F4" s="21" t="s">
        <v>368</v>
      </c>
      <c r="G4" s="21" t="s">
        <v>15</v>
      </c>
      <c r="H4" s="21"/>
    </row>
    <row r="5" spans="1:9" x14ac:dyDescent="0.3">
      <c r="A5" s="21" t="s">
        <v>400</v>
      </c>
      <c r="B5" s="21" t="s">
        <v>401</v>
      </c>
      <c r="C5" s="21" t="s">
        <v>341</v>
      </c>
      <c r="D5" s="23">
        <v>30107</v>
      </c>
      <c r="E5" s="25">
        <f t="shared" si="0"/>
        <v>36128.400000000001</v>
      </c>
      <c r="F5" s="21" t="s">
        <v>296</v>
      </c>
      <c r="G5" s="21" t="s">
        <v>404</v>
      </c>
      <c r="H5" s="21" t="s">
        <v>405</v>
      </c>
    </row>
    <row r="6" spans="1:9" x14ac:dyDescent="0.3">
      <c r="A6" s="21" t="s">
        <v>402</v>
      </c>
      <c r="B6" s="21" t="s">
        <v>403</v>
      </c>
      <c r="C6" s="21" t="s">
        <v>341</v>
      </c>
      <c r="D6" s="25">
        <v>7070.2800000000016</v>
      </c>
      <c r="E6" s="23">
        <f t="shared" si="0"/>
        <v>8484.3360000000011</v>
      </c>
      <c r="F6" s="21" t="s">
        <v>368</v>
      </c>
      <c r="G6" s="21" t="s">
        <v>15</v>
      </c>
      <c r="H6" s="21"/>
    </row>
    <row r="7" spans="1:9" x14ac:dyDescent="0.3">
      <c r="A7" s="21" t="s">
        <v>406</v>
      </c>
      <c r="B7" s="21" t="s">
        <v>407</v>
      </c>
      <c r="C7" s="21" t="s">
        <v>321</v>
      </c>
      <c r="D7" s="25">
        <v>2248.69</v>
      </c>
      <c r="E7" s="23">
        <f t="shared" si="0"/>
        <v>2698.4279999999999</v>
      </c>
      <c r="F7" s="21" t="s">
        <v>408</v>
      </c>
      <c r="G7" s="21" t="s">
        <v>404</v>
      </c>
      <c r="H7" s="21"/>
    </row>
    <row r="9" spans="1:9" x14ac:dyDescent="0.3">
      <c r="A9" s="26" t="s">
        <v>306</v>
      </c>
      <c r="B9" s="26" t="s">
        <v>305</v>
      </c>
      <c r="C9" s="24" t="s">
        <v>22</v>
      </c>
      <c r="D9" s="27">
        <v>1068291.53</v>
      </c>
      <c r="E9" s="27">
        <f>D9*1.2</f>
        <v>1281949.8359999999</v>
      </c>
      <c r="F9" s="24" t="s">
        <v>14</v>
      </c>
      <c r="G9" s="24" t="s">
        <v>15</v>
      </c>
      <c r="H9" s="24" t="s">
        <v>303</v>
      </c>
      <c r="I9" s="30" t="s">
        <v>411</v>
      </c>
    </row>
    <row r="11" spans="1:9" x14ac:dyDescent="0.3">
      <c r="A11" s="20" t="s">
        <v>0</v>
      </c>
      <c r="B11" s="20" t="s">
        <v>1</v>
      </c>
      <c r="C11" s="20" t="s">
        <v>193</v>
      </c>
      <c r="D11" s="22" t="s">
        <v>298</v>
      </c>
      <c r="E11" s="22" t="s">
        <v>299</v>
      </c>
      <c r="F11" s="20" t="s">
        <v>5</v>
      </c>
      <c r="G11" s="20" t="s">
        <v>7</v>
      </c>
      <c r="H11" s="20" t="s">
        <v>8</v>
      </c>
    </row>
    <row r="12" spans="1:9" hidden="1" x14ac:dyDescent="0.3">
      <c r="A12" s="21" t="s">
        <v>307</v>
      </c>
      <c r="B12" s="21" t="s">
        <v>308</v>
      </c>
      <c r="C12" s="21" t="s">
        <v>309</v>
      </c>
      <c r="D12" s="23">
        <v>37686.390000000007</v>
      </c>
      <c r="E12" s="23">
        <f t="shared" ref="E12:E58" si="1">D12*1.2</f>
        <v>45223.668000000005</v>
      </c>
      <c r="F12" s="21" t="s">
        <v>30</v>
      </c>
      <c r="G12" s="21" t="s">
        <v>15</v>
      </c>
      <c r="H12" s="21"/>
    </row>
    <row r="13" spans="1:9" hidden="1" x14ac:dyDescent="0.3">
      <c r="A13" s="21" t="s">
        <v>310</v>
      </c>
      <c r="B13" s="21" t="s">
        <v>311</v>
      </c>
      <c r="C13" s="21" t="s">
        <v>309</v>
      </c>
      <c r="D13" s="23">
        <v>286073.27999999997</v>
      </c>
      <c r="E13" s="23">
        <f t="shared" si="1"/>
        <v>343287.93599999993</v>
      </c>
      <c r="F13" s="21" t="s">
        <v>30</v>
      </c>
      <c r="G13" s="21" t="s">
        <v>15</v>
      </c>
      <c r="H13" s="21"/>
    </row>
    <row r="14" spans="1:9" x14ac:dyDescent="0.3">
      <c r="A14" s="21" t="s">
        <v>312</v>
      </c>
      <c r="B14" s="21" t="s">
        <v>313</v>
      </c>
      <c r="C14" s="21" t="s">
        <v>314</v>
      </c>
      <c r="D14" s="23">
        <v>15511.61</v>
      </c>
      <c r="E14" s="23">
        <f t="shared" si="1"/>
        <v>18613.932000000001</v>
      </c>
      <c r="F14" s="21" t="s">
        <v>40</v>
      </c>
      <c r="G14" s="21" t="s">
        <v>15</v>
      </c>
      <c r="H14" s="21" t="s">
        <v>465</v>
      </c>
    </row>
    <row r="15" spans="1:9" x14ac:dyDescent="0.3">
      <c r="A15" s="21" t="s">
        <v>315</v>
      </c>
      <c r="B15" s="21" t="s">
        <v>316</v>
      </c>
      <c r="C15" s="21" t="s">
        <v>314</v>
      </c>
      <c r="D15" s="23">
        <v>10333.34</v>
      </c>
      <c r="E15" s="23">
        <f t="shared" si="1"/>
        <v>12400.008</v>
      </c>
      <c r="F15" s="21" t="s">
        <v>40</v>
      </c>
      <c r="G15" s="21" t="s">
        <v>15</v>
      </c>
      <c r="H15" s="21" t="s">
        <v>465</v>
      </c>
    </row>
    <row r="16" spans="1:9" hidden="1" x14ac:dyDescent="0.3">
      <c r="A16" s="21" t="s">
        <v>317</v>
      </c>
      <c r="B16" s="21" t="s">
        <v>318</v>
      </c>
      <c r="C16" s="21" t="s">
        <v>309</v>
      </c>
      <c r="D16" s="23">
        <v>75881.36</v>
      </c>
      <c r="E16" s="23">
        <f t="shared" si="1"/>
        <v>91057.631999999998</v>
      </c>
      <c r="F16" s="21" t="s">
        <v>30</v>
      </c>
      <c r="G16" s="21" t="s">
        <v>15</v>
      </c>
      <c r="H16" s="21"/>
    </row>
    <row r="17" spans="1:8" hidden="1" x14ac:dyDescent="0.3">
      <c r="A17" s="21" t="s">
        <v>319</v>
      </c>
      <c r="B17" s="21" t="s">
        <v>320</v>
      </c>
      <c r="C17" s="21" t="s">
        <v>321</v>
      </c>
      <c r="D17" s="23">
        <v>73970.06</v>
      </c>
      <c r="E17" s="23">
        <f t="shared" si="1"/>
        <v>88764.072</v>
      </c>
      <c r="F17" s="21" t="s">
        <v>322</v>
      </c>
      <c r="G17" s="21" t="s">
        <v>15</v>
      </c>
      <c r="H17" s="21"/>
    </row>
    <row r="18" spans="1:8" hidden="1" x14ac:dyDescent="0.3">
      <c r="A18" s="21" t="s">
        <v>323</v>
      </c>
      <c r="B18" s="21" t="s">
        <v>324</v>
      </c>
      <c r="C18" s="21" t="s">
        <v>321</v>
      </c>
      <c r="D18" s="23">
        <v>13520.74</v>
      </c>
      <c r="E18" s="23">
        <f t="shared" si="1"/>
        <v>16224.887999999999</v>
      </c>
      <c r="F18" s="21" t="s">
        <v>322</v>
      </c>
      <c r="G18" s="21" t="s">
        <v>15</v>
      </c>
      <c r="H18" s="21"/>
    </row>
    <row r="19" spans="1:8" hidden="1" x14ac:dyDescent="0.3">
      <c r="A19" s="21" t="s">
        <v>325</v>
      </c>
      <c r="B19" s="21" t="s">
        <v>326</v>
      </c>
      <c r="C19" s="21" t="s">
        <v>321</v>
      </c>
      <c r="D19" s="23">
        <v>3788.84</v>
      </c>
      <c r="E19" s="23">
        <f t="shared" si="1"/>
        <v>4546.6080000000002</v>
      </c>
      <c r="F19" s="21" t="s">
        <v>322</v>
      </c>
      <c r="G19" s="21" t="s">
        <v>15</v>
      </c>
      <c r="H19" s="21"/>
    </row>
    <row r="20" spans="1:8" hidden="1" x14ac:dyDescent="0.3">
      <c r="A20" s="21" t="s">
        <v>327</v>
      </c>
      <c r="B20" s="21" t="s">
        <v>328</v>
      </c>
      <c r="C20" s="21" t="s">
        <v>321</v>
      </c>
      <c r="D20" s="23">
        <v>2358.44</v>
      </c>
      <c r="E20" s="23">
        <f t="shared" si="1"/>
        <v>2830.1280000000002</v>
      </c>
      <c r="F20" s="21" t="s">
        <v>322</v>
      </c>
      <c r="G20" s="21" t="s">
        <v>15</v>
      </c>
      <c r="H20" s="21"/>
    </row>
    <row r="21" spans="1:8" hidden="1" x14ac:dyDescent="0.3">
      <c r="A21" s="21" t="s">
        <v>329</v>
      </c>
      <c r="B21" s="21" t="s">
        <v>330</v>
      </c>
      <c r="C21" s="21" t="s">
        <v>321</v>
      </c>
      <c r="D21" s="23">
        <v>11207.75</v>
      </c>
      <c r="E21" s="23">
        <f t="shared" si="1"/>
        <v>13449.3</v>
      </c>
      <c r="F21" s="21" t="s">
        <v>322</v>
      </c>
      <c r="G21" s="21" t="s">
        <v>15</v>
      </c>
      <c r="H21" s="21"/>
    </row>
    <row r="22" spans="1:8" hidden="1" x14ac:dyDescent="0.3">
      <c r="A22" s="21" t="s">
        <v>331</v>
      </c>
      <c r="B22" s="21" t="s">
        <v>332</v>
      </c>
      <c r="C22" s="21" t="s">
        <v>321</v>
      </c>
      <c r="D22" s="23">
        <v>4577</v>
      </c>
      <c r="E22" s="23">
        <f t="shared" si="1"/>
        <v>5492.4</v>
      </c>
      <c r="F22" s="21" t="s">
        <v>322</v>
      </c>
      <c r="G22" s="21" t="s">
        <v>15</v>
      </c>
      <c r="H22" s="21"/>
    </row>
    <row r="23" spans="1:8" hidden="1" x14ac:dyDescent="0.3">
      <c r="A23" s="21" t="s">
        <v>333</v>
      </c>
      <c r="B23" s="21" t="s">
        <v>334</v>
      </c>
      <c r="C23" s="21" t="s">
        <v>321</v>
      </c>
      <c r="D23" s="23">
        <v>3544</v>
      </c>
      <c r="E23" s="23">
        <f t="shared" si="1"/>
        <v>4252.8</v>
      </c>
      <c r="F23" s="21" t="s">
        <v>322</v>
      </c>
      <c r="G23" s="21" t="s">
        <v>15</v>
      </c>
      <c r="H23" s="21"/>
    </row>
    <row r="24" spans="1:8" hidden="1" x14ac:dyDescent="0.3">
      <c r="A24" s="21" t="s">
        <v>335</v>
      </c>
      <c r="B24" s="21" t="s">
        <v>336</v>
      </c>
      <c r="C24" s="21" t="s">
        <v>321</v>
      </c>
      <c r="D24" s="23">
        <v>3505.2</v>
      </c>
      <c r="E24" s="23">
        <f t="shared" si="1"/>
        <v>4206.24</v>
      </c>
      <c r="F24" s="21" t="s">
        <v>322</v>
      </c>
      <c r="G24" s="21" t="s">
        <v>15</v>
      </c>
      <c r="H24" s="21"/>
    </row>
    <row r="25" spans="1:8" hidden="1" x14ac:dyDescent="0.3">
      <c r="A25" s="21" t="s">
        <v>337</v>
      </c>
      <c r="B25" s="21" t="s">
        <v>338</v>
      </c>
      <c r="C25" s="21" t="s">
        <v>321</v>
      </c>
      <c r="D25" s="23">
        <v>461.48</v>
      </c>
      <c r="E25" s="23">
        <f t="shared" si="1"/>
        <v>553.77599999999995</v>
      </c>
      <c r="F25" s="21" t="s">
        <v>322</v>
      </c>
      <c r="G25" s="21" t="s">
        <v>15</v>
      </c>
      <c r="H25" s="21"/>
    </row>
    <row r="26" spans="1:8" hidden="1" x14ac:dyDescent="0.3">
      <c r="A26" s="21" t="s">
        <v>339</v>
      </c>
      <c r="B26" s="21" t="s">
        <v>340</v>
      </c>
      <c r="C26" s="21" t="s">
        <v>341</v>
      </c>
      <c r="D26" s="23">
        <v>1447.89</v>
      </c>
      <c r="E26" s="23">
        <f t="shared" si="1"/>
        <v>1737.4680000000001</v>
      </c>
      <c r="F26" s="21" t="s">
        <v>98</v>
      </c>
      <c r="G26" s="21" t="s">
        <v>15</v>
      </c>
      <c r="H26" s="21"/>
    </row>
    <row r="27" spans="1:8" hidden="1" x14ac:dyDescent="0.3">
      <c r="A27" s="21" t="s">
        <v>342</v>
      </c>
      <c r="B27" s="21" t="s">
        <v>343</v>
      </c>
      <c r="C27" s="21" t="s">
        <v>341</v>
      </c>
      <c r="D27" s="23">
        <v>12526.98</v>
      </c>
      <c r="E27" s="23">
        <f t="shared" si="1"/>
        <v>15032.375999999998</v>
      </c>
      <c r="F27" s="21" t="s">
        <v>98</v>
      </c>
      <c r="G27" s="21" t="s">
        <v>15</v>
      </c>
      <c r="H27" s="21" t="s">
        <v>344</v>
      </c>
    </row>
    <row r="28" spans="1:8" hidden="1" x14ac:dyDescent="0.3">
      <c r="A28" s="21" t="s">
        <v>345</v>
      </c>
      <c r="B28" s="21" t="s">
        <v>346</v>
      </c>
      <c r="C28" s="21" t="s">
        <v>186</v>
      </c>
      <c r="D28" s="23">
        <v>396454.17</v>
      </c>
      <c r="E28" s="23">
        <f t="shared" si="1"/>
        <v>475745.00399999996</v>
      </c>
      <c r="F28" s="21" t="s">
        <v>22</v>
      </c>
      <c r="G28" s="21" t="s">
        <v>15</v>
      </c>
      <c r="H28" s="21"/>
    </row>
    <row r="29" spans="1:8" x14ac:dyDescent="0.3">
      <c r="A29" s="21" t="s">
        <v>347</v>
      </c>
      <c r="B29" s="21" t="s">
        <v>348</v>
      </c>
      <c r="C29" s="21" t="s">
        <v>314</v>
      </c>
      <c r="D29" s="23">
        <v>172253.04</v>
      </c>
      <c r="E29" s="23">
        <f t="shared" si="1"/>
        <v>206703.64800000002</v>
      </c>
      <c r="F29" s="21" t="s">
        <v>40</v>
      </c>
      <c r="G29" s="21" t="s">
        <v>15</v>
      </c>
      <c r="H29" s="21" t="s">
        <v>466</v>
      </c>
    </row>
    <row r="30" spans="1:8" hidden="1" x14ac:dyDescent="0.3">
      <c r="A30" s="21" t="s">
        <v>349</v>
      </c>
      <c r="B30" s="21" t="s">
        <v>350</v>
      </c>
      <c r="C30" s="21" t="s">
        <v>341</v>
      </c>
      <c r="D30" s="23">
        <v>3202.21</v>
      </c>
      <c r="E30" s="23">
        <f t="shared" si="1"/>
        <v>3842.652</v>
      </c>
      <c r="F30" s="21" t="s">
        <v>98</v>
      </c>
      <c r="G30" s="21" t="s">
        <v>15</v>
      </c>
      <c r="H30" s="21"/>
    </row>
    <row r="31" spans="1:8" hidden="1" x14ac:dyDescent="0.3">
      <c r="A31" s="21" t="s">
        <v>349</v>
      </c>
      <c r="B31" s="21" t="s">
        <v>409</v>
      </c>
      <c r="C31" s="21" t="s">
        <v>341</v>
      </c>
      <c r="D31" s="23">
        <v>66050.45</v>
      </c>
      <c r="E31" s="23">
        <f t="shared" si="1"/>
        <v>79260.539999999994</v>
      </c>
      <c r="F31" s="21" t="s">
        <v>98</v>
      </c>
      <c r="G31" s="21" t="s">
        <v>15</v>
      </c>
      <c r="H31" s="29" t="s">
        <v>410</v>
      </c>
    </row>
    <row r="32" spans="1:8" hidden="1" x14ac:dyDescent="0.3">
      <c r="A32" s="21" t="s">
        <v>351</v>
      </c>
      <c r="B32" s="21" t="s">
        <v>352</v>
      </c>
      <c r="C32" s="21" t="s">
        <v>341</v>
      </c>
      <c r="D32" s="23">
        <v>29978.69</v>
      </c>
      <c r="E32" s="23">
        <f t="shared" si="1"/>
        <v>35974.428</v>
      </c>
      <c r="F32" s="21" t="s">
        <v>98</v>
      </c>
      <c r="G32" s="21" t="s">
        <v>15</v>
      </c>
      <c r="H32" s="21"/>
    </row>
    <row r="33" spans="1:8" hidden="1" x14ac:dyDescent="0.3">
      <c r="A33" s="21" t="s">
        <v>100</v>
      </c>
      <c r="B33" s="21" t="s">
        <v>353</v>
      </c>
      <c r="C33" s="21" t="s">
        <v>186</v>
      </c>
      <c r="D33" s="23">
        <v>98236.67</v>
      </c>
      <c r="E33" s="23">
        <f t="shared" si="1"/>
        <v>117884.00399999999</v>
      </c>
      <c r="F33" s="21" t="s">
        <v>22</v>
      </c>
      <c r="G33" s="21" t="s">
        <v>15</v>
      </c>
      <c r="H33" s="21"/>
    </row>
    <row r="34" spans="1:8" hidden="1" x14ac:dyDescent="0.3">
      <c r="A34" s="21" t="s">
        <v>354</v>
      </c>
      <c r="B34" s="21" t="s">
        <v>355</v>
      </c>
      <c r="C34" s="21" t="s">
        <v>341</v>
      </c>
      <c r="D34" s="23">
        <v>23127.990000000005</v>
      </c>
      <c r="E34" s="23">
        <f t="shared" si="1"/>
        <v>27753.588000000007</v>
      </c>
      <c r="F34" s="21" t="s">
        <v>98</v>
      </c>
      <c r="G34" s="21" t="s">
        <v>15</v>
      </c>
      <c r="H34" s="21"/>
    </row>
    <row r="35" spans="1:8" hidden="1" x14ac:dyDescent="0.3">
      <c r="A35" s="21" t="s">
        <v>356</v>
      </c>
      <c r="B35" s="21" t="s">
        <v>357</v>
      </c>
      <c r="C35" s="21" t="s">
        <v>186</v>
      </c>
      <c r="D35" s="23">
        <v>302410.67</v>
      </c>
      <c r="E35" s="23">
        <f t="shared" si="1"/>
        <v>362892.80399999995</v>
      </c>
      <c r="F35" s="21" t="s">
        <v>22</v>
      </c>
      <c r="G35" s="21" t="s">
        <v>15</v>
      </c>
      <c r="H35" s="21"/>
    </row>
    <row r="36" spans="1:8" hidden="1" x14ac:dyDescent="0.3">
      <c r="A36" s="21" t="s">
        <v>106</v>
      </c>
      <c r="B36" s="21" t="s">
        <v>358</v>
      </c>
      <c r="C36" s="21" t="s">
        <v>186</v>
      </c>
      <c r="D36" s="23">
        <v>30975</v>
      </c>
      <c r="E36" s="23">
        <f t="shared" si="1"/>
        <v>37170</v>
      </c>
      <c r="F36" s="21" t="s">
        <v>22</v>
      </c>
      <c r="G36" s="21" t="s">
        <v>15</v>
      </c>
      <c r="H36" s="21"/>
    </row>
    <row r="37" spans="1:8" hidden="1" x14ac:dyDescent="0.3">
      <c r="A37" s="21" t="s">
        <v>106</v>
      </c>
      <c r="B37" s="21" t="s">
        <v>359</v>
      </c>
      <c r="C37" s="21" t="s">
        <v>309</v>
      </c>
      <c r="D37" s="23">
        <v>1351.64</v>
      </c>
      <c r="E37" s="23">
        <f t="shared" si="1"/>
        <v>1621.9680000000001</v>
      </c>
      <c r="F37" s="21" t="s">
        <v>30</v>
      </c>
      <c r="G37" s="21" t="s">
        <v>15</v>
      </c>
      <c r="H37" s="21"/>
    </row>
    <row r="38" spans="1:8" hidden="1" x14ac:dyDescent="0.3">
      <c r="A38" s="21" t="s">
        <v>106</v>
      </c>
      <c r="B38" s="21" t="s">
        <v>360</v>
      </c>
      <c r="C38" s="21" t="s">
        <v>309</v>
      </c>
      <c r="D38" s="23">
        <v>3000.9700000000003</v>
      </c>
      <c r="E38" s="23">
        <f t="shared" si="1"/>
        <v>3601.1640000000002</v>
      </c>
      <c r="F38" s="21" t="s">
        <v>30</v>
      </c>
      <c r="G38" s="21" t="s">
        <v>15</v>
      </c>
      <c r="H38" s="21"/>
    </row>
    <row r="39" spans="1:8" hidden="1" x14ac:dyDescent="0.3">
      <c r="A39" s="21" t="s">
        <v>361</v>
      </c>
      <c r="B39" s="21" t="s">
        <v>362</v>
      </c>
      <c r="C39" s="21" t="s">
        <v>186</v>
      </c>
      <c r="D39" s="23">
        <v>247596.79</v>
      </c>
      <c r="E39" s="23">
        <f t="shared" si="1"/>
        <v>297116.14799999999</v>
      </c>
      <c r="F39" s="21" t="s">
        <v>22</v>
      </c>
      <c r="G39" s="21" t="s">
        <v>15</v>
      </c>
      <c r="H39" s="21"/>
    </row>
    <row r="40" spans="1:8" hidden="1" x14ac:dyDescent="0.3">
      <c r="A40" s="21" t="s">
        <v>363</v>
      </c>
      <c r="B40" s="21" t="s">
        <v>364</v>
      </c>
      <c r="C40" s="21" t="s">
        <v>309</v>
      </c>
      <c r="D40" s="23">
        <v>80993.8</v>
      </c>
      <c r="E40" s="23">
        <f t="shared" si="1"/>
        <v>97192.56</v>
      </c>
      <c r="F40" s="21" t="s">
        <v>30</v>
      </c>
      <c r="G40" s="21" t="s">
        <v>15</v>
      </c>
      <c r="H40" s="21"/>
    </row>
    <row r="41" spans="1:8" hidden="1" x14ac:dyDescent="0.3">
      <c r="A41" s="21" t="s">
        <v>365</v>
      </c>
      <c r="B41" s="21" t="s">
        <v>366</v>
      </c>
      <c r="C41" s="21" t="s">
        <v>341</v>
      </c>
      <c r="D41" s="23">
        <v>24043.350000000002</v>
      </c>
      <c r="E41" s="23">
        <f t="shared" si="1"/>
        <v>28852.02</v>
      </c>
      <c r="F41" s="21" t="s">
        <v>98</v>
      </c>
      <c r="G41" s="21" t="s">
        <v>15</v>
      </c>
      <c r="H41" s="21"/>
    </row>
    <row r="42" spans="1:8" hidden="1" x14ac:dyDescent="0.3">
      <c r="A42" s="21" t="s">
        <v>133</v>
      </c>
      <c r="B42" s="21" t="s">
        <v>367</v>
      </c>
      <c r="C42" s="21" t="s">
        <v>368</v>
      </c>
      <c r="D42" s="23">
        <v>6489.18</v>
      </c>
      <c r="E42" s="23">
        <f t="shared" si="1"/>
        <v>7787.0159999999996</v>
      </c>
      <c r="F42" s="21" t="s">
        <v>124</v>
      </c>
      <c r="G42" s="21" t="s">
        <v>15</v>
      </c>
      <c r="H42" s="21"/>
    </row>
    <row r="43" spans="1:8" hidden="1" x14ac:dyDescent="0.3">
      <c r="A43" s="21" t="s">
        <v>133</v>
      </c>
      <c r="B43" s="21" t="s">
        <v>369</v>
      </c>
      <c r="C43" s="21" t="s">
        <v>368</v>
      </c>
      <c r="D43" s="23">
        <v>58990</v>
      </c>
      <c r="E43" s="23">
        <f t="shared" si="1"/>
        <v>70788</v>
      </c>
      <c r="F43" s="21" t="s">
        <v>124</v>
      </c>
      <c r="G43" s="21" t="s">
        <v>15</v>
      </c>
      <c r="H43" s="21"/>
    </row>
    <row r="44" spans="1:8" hidden="1" x14ac:dyDescent="0.3">
      <c r="A44" s="21" t="s">
        <v>133</v>
      </c>
      <c r="B44" s="21" t="s">
        <v>370</v>
      </c>
      <c r="C44" s="21" t="s">
        <v>368</v>
      </c>
      <c r="D44" s="23">
        <v>85450</v>
      </c>
      <c r="E44" s="23">
        <f t="shared" si="1"/>
        <v>102540</v>
      </c>
      <c r="F44" s="21" t="s">
        <v>124</v>
      </c>
      <c r="G44" s="21" t="s">
        <v>15</v>
      </c>
      <c r="H44" s="21"/>
    </row>
    <row r="45" spans="1:8" hidden="1" x14ac:dyDescent="0.3">
      <c r="A45" s="21" t="s">
        <v>133</v>
      </c>
      <c r="B45" s="21" t="s">
        <v>371</v>
      </c>
      <c r="C45" s="21" t="s">
        <v>368</v>
      </c>
      <c r="D45" s="23">
        <v>7365.79</v>
      </c>
      <c r="E45" s="23">
        <f t="shared" si="1"/>
        <v>8838.9480000000003</v>
      </c>
      <c r="F45" s="21" t="s">
        <v>124</v>
      </c>
      <c r="G45" s="21" t="s">
        <v>15</v>
      </c>
      <c r="H45" s="21"/>
    </row>
    <row r="46" spans="1:8" hidden="1" x14ac:dyDescent="0.3">
      <c r="A46" s="21" t="s">
        <v>133</v>
      </c>
      <c r="B46" s="21" t="s">
        <v>372</v>
      </c>
      <c r="C46" s="21" t="s">
        <v>368</v>
      </c>
      <c r="D46" s="23">
        <v>270077.52000000008</v>
      </c>
      <c r="E46" s="23">
        <f t="shared" si="1"/>
        <v>324093.02400000009</v>
      </c>
      <c r="F46" s="21" t="s">
        <v>124</v>
      </c>
      <c r="G46" s="21" t="s">
        <v>15</v>
      </c>
      <c r="H46" s="21"/>
    </row>
    <row r="47" spans="1:8" hidden="1" x14ac:dyDescent="0.3">
      <c r="A47" s="21" t="s">
        <v>133</v>
      </c>
      <c r="B47" s="21" t="s">
        <v>373</v>
      </c>
      <c r="C47" s="21" t="s">
        <v>368</v>
      </c>
      <c r="D47" s="23">
        <v>4485.4800000000005</v>
      </c>
      <c r="E47" s="23">
        <f t="shared" si="1"/>
        <v>5382.576</v>
      </c>
      <c r="F47" s="21" t="s">
        <v>124</v>
      </c>
      <c r="G47" s="21" t="s">
        <v>15</v>
      </c>
      <c r="H47" s="21"/>
    </row>
    <row r="48" spans="1:8" hidden="1" x14ac:dyDescent="0.3">
      <c r="A48" s="21" t="s">
        <v>133</v>
      </c>
      <c r="B48" s="21" t="s">
        <v>374</v>
      </c>
      <c r="C48" s="21" t="s">
        <v>368</v>
      </c>
      <c r="D48" s="23">
        <v>188626.38000000003</v>
      </c>
      <c r="E48" s="23">
        <f t="shared" si="1"/>
        <v>226351.65600000005</v>
      </c>
      <c r="F48" s="21" t="s">
        <v>124</v>
      </c>
      <c r="G48" s="21" t="s">
        <v>15</v>
      </c>
      <c r="H48" s="21"/>
    </row>
    <row r="49" spans="1:8" hidden="1" x14ac:dyDescent="0.3">
      <c r="A49" s="21" t="s">
        <v>133</v>
      </c>
      <c r="B49" s="21" t="s">
        <v>375</v>
      </c>
      <c r="C49" s="21" t="s">
        <v>368</v>
      </c>
      <c r="D49" s="23">
        <v>356910.55000000005</v>
      </c>
      <c r="E49" s="23">
        <f t="shared" si="1"/>
        <v>428292.66000000003</v>
      </c>
      <c r="F49" s="21" t="s">
        <v>124</v>
      </c>
      <c r="G49" s="21" t="s">
        <v>15</v>
      </c>
      <c r="H49" s="21"/>
    </row>
    <row r="50" spans="1:8" hidden="1" x14ac:dyDescent="0.3">
      <c r="A50" s="21" t="s">
        <v>376</v>
      </c>
      <c r="B50" s="21" t="s">
        <v>377</v>
      </c>
      <c r="C50" s="21" t="s">
        <v>368</v>
      </c>
      <c r="D50" s="23">
        <v>3080.17</v>
      </c>
      <c r="E50" s="23">
        <f t="shared" si="1"/>
        <v>3696.2039999999997</v>
      </c>
      <c r="F50" s="21" t="s">
        <v>124</v>
      </c>
      <c r="G50" s="21" t="s">
        <v>15</v>
      </c>
      <c r="H50" s="21"/>
    </row>
    <row r="51" spans="1:8" hidden="1" x14ac:dyDescent="0.3">
      <c r="A51" s="21" t="s">
        <v>378</v>
      </c>
      <c r="B51" s="21" t="s">
        <v>379</v>
      </c>
      <c r="C51" s="21" t="s">
        <v>368</v>
      </c>
      <c r="D51" s="23">
        <v>5524.29</v>
      </c>
      <c r="E51" s="23">
        <f t="shared" si="1"/>
        <v>6629.1480000000001</v>
      </c>
      <c r="F51" s="21" t="s">
        <v>124</v>
      </c>
      <c r="G51" s="21" t="s">
        <v>15</v>
      </c>
      <c r="H51" s="21"/>
    </row>
    <row r="52" spans="1:8" hidden="1" x14ac:dyDescent="0.3">
      <c r="A52" s="21" t="s">
        <v>380</v>
      </c>
      <c r="B52" s="21" t="s">
        <v>381</v>
      </c>
      <c r="C52" s="21" t="s">
        <v>368</v>
      </c>
      <c r="D52" s="23">
        <v>131400</v>
      </c>
      <c r="E52" s="23">
        <f t="shared" si="1"/>
        <v>157680</v>
      </c>
      <c r="F52" s="21" t="s">
        <v>124</v>
      </c>
      <c r="G52" s="21" t="s">
        <v>15</v>
      </c>
      <c r="H52" s="21"/>
    </row>
    <row r="53" spans="1:8" hidden="1" x14ac:dyDescent="0.3">
      <c r="A53" s="21" t="s">
        <v>382</v>
      </c>
      <c r="B53" s="21" t="s">
        <v>383</v>
      </c>
      <c r="C53" s="21" t="s">
        <v>368</v>
      </c>
      <c r="D53" s="23">
        <v>87160.42</v>
      </c>
      <c r="E53" s="23">
        <f t="shared" si="1"/>
        <v>104592.504</v>
      </c>
      <c r="F53" s="21" t="s">
        <v>124</v>
      </c>
      <c r="G53" s="21" t="s">
        <v>15</v>
      </c>
      <c r="H53" s="21"/>
    </row>
    <row r="54" spans="1:8" hidden="1" x14ac:dyDescent="0.3">
      <c r="A54" s="21" t="s">
        <v>384</v>
      </c>
      <c r="B54" s="21" t="s">
        <v>385</v>
      </c>
      <c r="C54" s="21" t="s">
        <v>368</v>
      </c>
      <c r="D54" s="23">
        <v>27601.549999999996</v>
      </c>
      <c r="E54" s="23">
        <f t="shared" si="1"/>
        <v>33121.859999999993</v>
      </c>
      <c r="F54" s="21" t="s">
        <v>124</v>
      </c>
      <c r="G54" s="21" t="s">
        <v>15</v>
      </c>
      <c r="H54" s="21"/>
    </row>
    <row r="55" spans="1:8" hidden="1" x14ac:dyDescent="0.3">
      <c r="A55" s="21" t="s">
        <v>386</v>
      </c>
      <c r="B55" s="21" t="s">
        <v>387</v>
      </c>
      <c r="C55" s="21" t="s">
        <v>368</v>
      </c>
      <c r="D55" s="23">
        <v>733030.39</v>
      </c>
      <c r="E55" s="23">
        <f t="shared" si="1"/>
        <v>879636.46799999999</v>
      </c>
      <c r="F55" s="21" t="s">
        <v>124</v>
      </c>
      <c r="G55" s="21" t="s">
        <v>15</v>
      </c>
      <c r="H55" s="21"/>
    </row>
    <row r="56" spans="1:8" hidden="1" x14ac:dyDescent="0.3">
      <c r="A56" s="21" t="s">
        <v>388</v>
      </c>
      <c r="B56" s="21" t="s">
        <v>389</v>
      </c>
      <c r="C56" s="21" t="s">
        <v>368</v>
      </c>
      <c r="D56" s="23">
        <v>35125.64</v>
      </c>
      <c r="E56" s="23">
        <f t="shared" si="1"/>
        <v>42150.767999999996</v>
      </c>
      <c r="F56" s="21" t="s">
        <v>124</v>
      </c>
      <c r="G56" s="21" t="s">
        <v>15</v>
      </c>
      <c r="H56" s="21"/>
    </row>
    <row r="57" spans="1:8" hidden="1" x14ac:dyDescent="0.3">
      <c r="A57" s="21" t="s">
        <v>390</v>
      </c>
      <c r="B57" s="21" t="s">
        <v>391</v>
      </c>
      <c r="C57" s="21" t="s">
        <v>368</v>
      </c>
      <c r="D57" s="23">
        <v>13754.32</v>
      </c>
      <c r="E57" s="23">
        <f t="shared" si="1"/>
        <v>16505.183999999997</v>
      </c>
      <c r="F57" s="21" t="s">
        <v>124</v>
      </c>
      <c r="G57" s="21" t="s">
        <v>15</v>
      </c>
      <c r="H57" s="21"/>
    </row>
    <row r="58" spans="1:8" hidden="1" x14ac:dyDescent="0.3">
      <c r="A58" s="21" t="s">
        <v>392</v>
      </c>
      <c r="B58" s="21" t="s">
        <v>393</v>
      </c>
      <c r="C58" s="21" t="s">
        <v>368</v>
      </c>
      <c r="D58" s="23">
        <v>302285.67000000004</v>
      </c>
      <c r="E58" s="23">
        <f t="shared" si="1"/>
        <v>362742.80400000006</v>
      </c>
      <c r="F58" s="21" t="s">
        <v>124</v>
      </c>
      <c r="G58" s="21" t="s">
        <v>15</v>
      </c>
      <c r="H58" s="21"/>
    </row>
    <row r="59" spans="1:8" hidden="1" x14ac:dyDescent="0.3">
      <c r="A59" s="21" t="s">
        <v>394</v>
      </c>
      <c r="B59" s="21" t="s">
        <v>395</v>
      </c>
      <c r="C59" s="21" t="s">
        <v>368</v>
      </c>
      <c r="D59" s="23">
        <v>21073.780000000002</v>
      </c>
      <c r="E59" s="23">
        <f t="shared" ref="E59" si="2">D59*1.2</f>
        <v>25288.536000000004</v>
      </c>
      <c r="F59" s="21" t="s">
        <v>124</v>
      </c>
      <c r="G59" s="21" t="s">
        <v>15</v>
      </c>
      <c r="H59" s="21"/>
    </row>
    <row r="60" spans="1:8" hidden="1" x14ac:dyDescent="0.3">
      <c r="D60" s="16">
        <f>SUM(D12:D59)</f>
        <v>4374500.93</v>
      </c>
      <c r="E60" s="16">
        <f>SUM(E12:E59)</f>
        <v>5249401.1160000013</v>
      </c>
    </row>
    <row r="62" spans="1:8" x14ac:dyDescent="0.3">
      <c r="C62" t="s">
        <v>368</v>
      </c>
      <c r="D62" s="14">
        <f>SUMIF(C$12:C$59,C62,D$12:D$59)</f>
        <v>2338431.13</v>
      </c>
      <c r="E62" s="19">
        <f>SUMIF(C$12:C$59,C62,E$12:E$59)</f>
        <v>2806117.3560000001</v>
      </c>
    </row>
    <row r="63" spans="1:8" x14ac:dyDescent="0.3">
      <c r="C63" t="s">
        <v>186</v>
      </c>
      <c r="D63" s="14">
        <f t="shared" ref="D63:D67" si="3">SUMIF(C$12:C$59,C63,D$12:D$59)</f>
        <v>1075673.3</v>
      </c>
      <c r="E63" s="19">
        <f t="shared" ref="E63:E67" si="4">SUMIF(C$12:C$59,C63,E$12:E$59)</f>
        <v>1290807.96</v>
      </c>
    </row>
    <row r="64" spans="1:8" x14ac:dyDescent="0.3">
      <c r="C64" t="s">
        <v>321</v>
      </c>
      <c r="D64" s="14">
        <f t="shared" si="3"/>
        <v>116933.51</v>
      </c>
      <c r="E64" s="19">
        <f t="shared" si="4"/>
        <v>140320.212</v>
      </c>
    </row>
    <row r="65" spans="1:9" x14ac:dyDescent="0.3">
      <c r="C65" t="s">
        <v>314</v>
      </c>
      <c r="D65" s="14">
        <f t="shared" si="3"/>
        <v>198097.99000000002</v>
      </c>
      <c r="E65" s="19">
        <f t="shared" si="4"/>
        <v>237717.58800000002</v>
      </c>
      <c r="F65" s="14">
        <f>E14+E15</f>
        <v>31013.940000000002</v>
      </c>
      <c r="G65" s="14">
        <f>E29</f>
        <v>206703.64800000002</v>
      </c>
    </row>
    <row r="66" spans="1:9" x14ac:dyDescent="0.3">
      <c r="C66" t="s">
        <v>309</v>
      </c>
      <c r="D66" s="14">
        <f t="shared" si="3"/>
        <v>484987.43999999994</v>
      </c>
      <c r="E66" s="19">
        <f t="shared" si="4"/>
        <v>581984.92799999984</v>
      </c>
      <c r="F66" s="31" t="s">
        <v>413</v>
      </c>
      <c r="G66" s="31" t="s">
        <v>414</v>
      </c>
    </row>
    <row r="67" spans="1:9" x14ac:dyDescent="0.3">
      <c r="C67" t="s">
        <v>341</v>
      </c>
      <c r="D67" s="14">
        <f t="shared" si="3"/>
        <v>160377.56000000003</v>
      </c>
      <c r="E67" s="19">
        <f t="shared" si="4"/>
        <v>192453.07199999999</v>
      </c>
      <c r="F67" s="32">
        <f>E31</f>
        <v>79260.539999999994</v>
      </c>
      <c r="G67" s="32">
        <f>E67-F67</f>
        <v>113192.53199999999</v>
      </c>
    </row>
    <row r="68" spans="1:9" x14ac:dyDescent="0.3">
      <c r="D68" s="16">
        <f>SUM(D62:D67)</f>
        <v>4374500.9299999988</v>
      </c>
      <c r="E68" s="16">
        <f>SUM(E62:E67)</f>
        <v>5249401.1159999995</v>
      </c>
    </row>
    <row r="69" spans="1:9" x14ac:dyDescent="0.3">
      <c r="D69" s="14"/>
      <c r="E69" s="14"/>
    </row>
    <row r="72" spans="1:9" x14ac:dyDescent="0.3">
      <c r="A72" s="20" t="s">
        <v>0</v>
      </c>
      <c r="B72" s="20" t="s">
        <v>1</v>
      </c>
      <c r="C72" s="20" t="s">
        <v>193</v>
      </c>
      <c r="D72" s="22" t="s">
        <v>298</v>
      </c>
      <c r="E72" s="22" t="s">
        <v>299</v>
      </c>
      <c r="F72" s="20" t="s">
        <v>5</v>
      </c>
      <c r="G72" s="20" t="s">
        <v>7</v>
      </c>
      <c r="H72" s="20" t="s">
        <v>8</v>
      </c>
    </row>
    <row r="73" spans="1:9" x14ac:dyDescent="0.3">
      <c r="A73" s="21" t="s">
        <v>27</v>
      </c>
      <c r="B73" s="21" t="s">
        <v>415</v>
      </c>
      <c r="C73" s="21" t="s">
        <v>416</v>
      </c>
      <c r="D73" s="23">
        <v>188.23000000000002</v>
      </c>
      <c r="E73" s="23">
        <f t="shared" ref="E73" si="5">D73*1.2</f>
        <v>225.876</v>
      </c>
      <c r="F73" s="21" t="s">
        <v>13</v>
      </c>
      <c r="G73" s="21" t="s">
        <v>15</v>
      </c>
      <c r="H73" s="21"/>
    </row>
    <row r="74" spans="1:9" ht="14.4" customHeight="1" x14ac:dyDescent="0.3">
      <c r="A74" s="21" t="s">
        <v>417</v>
      </c>
      <c r="B74" s="21" t="s">
        <v>418</v>
      </c>
      <c r="C74" s="21" t="s">
        <v>416</v>
      </c>
      <c r="D74" s="23">
        <v>100630.93000000001</v>
      </c>
      <c r="E74" s="23">
        <f t="shared" ref="E74:E77" si="6">D74*1.2</f>
        <v>120757.11600000001</v>
      </c>
      <c r="F74" s="21" t="s">
        <v>13</v>
      </c>
      <c r="G74" s="21" t="s">
        <v>15</v>
      </c>
      <c r="H74" s="21"/>
      <c r="I74" s="17">
        <f>SUBTOTAL(9,E73:E74)</f>
        <v>120982.99200000001</v>
      </c>
    </row>
    <row r="75" spans="1:9" x14ac:dyDescent="0.3">
      <c r="A75" s="21" t="s">
        <v>419</v>
      </c>
      <c r="B75" s="21" t="s">
        <v>420</v>
      </c>
      <c r="C75" s="21" t="s">
        <v>416</v>
      </c>
      <c r="D75" s="23">
        <v>2159741.77</v>
      </c>
      <c r="E75" s="27">
        <f t="shared" si="6"/>
        <v>2591690.1239999998</v>
      </c>
      <c r="F75" s="21" t="s">
        <v>13</v>
      </c>
      <c r="G75" s="21" t="s">
        <v>15</v>
      </c>
      <c r="H75" s="21" t="s">
        <v>467</v>
      </c>
    </row>
    <row r="76" spans="1:9" x14ac:dyDescent="0.3">
      <c r="A76" s="21" t="s">
        <v>421</v>
      </c>
      <c r="B76" s="21" t="s">
        <v>422</v>
      </c>
      <c r="C76" s="21" t="s">
        <v>416</v>
      </c>
      <c r="D76" s="23">
        <v>6308.66</v>
      </c>
      <c r="E76" s="23">
        <f t="shared" si="6"/>
        <v>7570.3919999999998</v>
      </c>
      <c r="F76" s="21" t="s">
        <v>13</v>
      </c>
      <c r="G76" s="21" t="s">
        <v>15</v>
      </c>
      <c r="H76" s="39" t="s">
        <v>468</v>
      </c>
    </row>
    <row r="77" spans="1:9" x14ac:dyDescent="0.3">
      <c r="A77" s="21" t="s">
        <v>421</v>
      </c>
      <c r="B77" s="21" t="s">
        <v>423</v>
      </c>
      <c r="C77" s="21" t="s">
        <v>416</v>
      </c>
      <c r="D77" s="23">
        <v>248571.67</v>
      </c>
      <c r="E77" s="23">
        <f t="shared" si="6"/>
        <v>298286.00400000002</v>
      </c>
      <c r="F77" s="21" t="s">
        <v>13</v>
      </c>
      <c r="G77" s="21" t="s">
        <v>15</v>
      </c>
      <c r="H77" s="39" t="s">
        <v>468</v>
      </c>
    </row>
    <row r="79" spans="1:9" x14ac:dyDescent="0.3">
      <c r="A79" s="20" t="s">
        <v>0</v>
      </c>
      <c r="B79" s="20" t="s">
        <v>1</v>
      </c>
      <c r="C79" s="20" t="s">
        <v>193</v>
      </c>
      <c r="D79" s="22" t="s">
        <v>298</v>
      </c>
      <c r="E79" s="22" t="s">
        <v>299</v>
      </c>
      <c r="F79" s="20" t="s">
        <v>5</v>
      </c>
      <c r="G79" s="20" t="s">
        <v>7</v>
      </c>
      <c r="H79" s="20" t="s">
        <v>8</v>
      </c>
    </row>
    <row r="80" spans="1:9" x14ac:dyDescent="0.3">
      <c r="A80" s="21" t="s">
        <v>425</v>
      </c>
      <c r="B80" s="21" t="s">
        <v>426</v>
      </c>
      <c r="C80" s="21" t="s">
        <v>427</v>
      </c>
      <c r="D80" s="23">
        <v>315.87</v>
      </c>
      <c r="E80" s="23">
        <f t="shared" ref="E80:E83" si="7">D80*1.2</f>
        <v>379.04399999999998</v>
      </c>
      <c r="F80" s="21" t="s">
        <v>469</v>
      </c>
      <c r="G80" s="21" t="s">
        <v>428</v>
      </c>
      <c r="H80" s="21" t="s">
        <v>429</v>
      </c>
    </row>
    <row r="81" spans="1:13" x14ac:dyDescent="0.3">
      <c r="A81" s="21" t="s">
        <v>430</v>
      </c>
      <c r="B81" s="21" t="s">
        <v>431</v>
      </c>
      <c r="C81" s="21" t="s">
        <v>427</v>
      </c>
      <c r="D81" s="23">
        <v>1290.53</v>
      </c>
      <c r="E81" s="25">
        <f t="shared" si="7"/>
        <v>1548.636</v>
      </c>
      <c r="F81" s="21"/>
      <c r="G81" s="21" t="s">
        <v>428</v>
      </c>
      <c r="H81" s="21" t="s">
        <v>432</v>
      </c>
    </row>
    <row r="82" spans="1:13" x14ac:dyDescent="0.3">
      <c r="A82" s="21" t="s">
        <v>433</v>
      </c>
      <c r="B82" s="21" t="s">
        <v>434</v>
      </c>
      <c r="C82" s="21" t="s">
        <v>427</v>
      </c>
      <c r="D82" s="23">
        <v>10565.34</v>
      </c>
      <c r="E82" s="25">
        <f t="shared" si="7"/>
        <v>12678.407999999999</v>
      </c>
      <c r="F82" s="21"/>
      <c r="G82" s="21" t="s">
        <v>428</v>
      </c>
      <c r="H82" s="21" t="s">
        <v>435</v>
      </c>
    </row>
    <row r="83" spans="1:13" x14ac:dyDescent="0.3">
      <c r="A83" s="21" t="s">
        <v>436</v>
      </c>
      <c r="B83" s="21" t="s">
        <v>437</v>
      </c>
      <c r="C83" s="21" t="s">
        <v>427</v>
      </c>
      <c r="D83" s="23">
        <v>154236.99000000002</v>
      </c>
      <c r="E83" s="25">
        <f t="shared" si="7"/>
        <v>185084.38800000001</v>
      </c>
      <c r="F83" s="21"/>
      <c r="G83" s="21" t="s">
        <v>428</v>
      </c>
      <c r="H83" s="21" t="s">
        <v>438</v>
      </c>
      <c r="I83" s="17">
        <f>SUBTOTAL(9,E81:E83)</f>
        <v>199311.432</v>
      </c>
    </row>
    <row r="85" spans="1:13" ht="15.6" x14ac:dyDescent="0.3">
      <c r="A85" s="33" t="s">
        <v>439</v>
      </c>
    </row>
    <row r="86" spans="1:13" x14ac:dyDescent="0.3">
      <c r="A86" s="20" t="s">
        <v>0</v>
      </c>
      <c r="B86" s="20" t="s">
        <v>1</v>
      </c>
      <c r="C86" s="20" t="s">
        <v>292</v>
      </c>
      <c r="D86" s="22" t="s">
        <v>298</v>
      </c>
      <c r="E86" s="22" t="s">
        <v>299</v>
      </c>
      <c r="F86" s="20" t="s">
        <v>293</v>
      </c>
      <c r="G86" s="20" t="s">
        <v>7</v>
      </c>
      <c r="H86" s="20" t="s">
        <v>8</v>
      </c>
      <c r="J86" s="38" t="s">
        <v>462</v>
      </c>
      <c r="K86" s="38" t="s">
        <v>463</v>
      </c>
      <c r="L86" t="s">
        <v>464</v>
      </c>
    </row>
    <row r="87" spans="1:13" x14ac:dyDescent="0.3">
      <c r="A87" s="21" t="s">
        <v>440</v>
      </c>
      <c r="B87" s="21" t="s">
        <v>441</v>
      </c>
      <c r="C87" s="21" t="s">
        <v>416</v>
      </c>
      <c r="D87" s="23">
        <v>198179.48</v>
      </c>
      <c r="E87" s="23">
        <f t="shared" ref="E87" si="8">D87*1.2</f>
        <v>237815.37599999999</v>
      </c>
      <c r="F87" s="21" t="s">
        <v>424</v>
      </c>
      <c r="G87" s="21" t="s">
        <v>15</v>
      </c>
      <c r="H87" s="21" t="s">
        <v>442</v>
      </c>
      <c r="I87" s="34" t="s">
        <v>459</v>
      </c>
      <c r="J87" s="8">
        <f>E87-K87-L87</f>
        <v>233019.76799999998</v>
      </c>
      <c r="K87" s="8">
        <f>(700+423.09+2814.6)*1.2</f>
        <v>4725.2279999999992</v>
      </c>
      <c r="L87" s="8">
        <f>58.65*1.2</f>
        <v>70.38</v>
      </c>
    </row>
    <row r="88" spans="1:13" x14ac:dyDescent="0.3">
      <c r="A88" s="21" t="s">
        <v>440</v>
      </c>
      <c r="B88" s="21" t="s">
        <v>443</v>
      </c>
      <c r="C88" s="21" t="s">
        <v>416</v>
      </c>
      <c r="D88" s="23">
        <v>192304.40999999997</v>
      </c>
      <c r="E88" s="23">
        <f t="shared" ref="E88:E95" si="9">D88*1.2</f>
        <v>230765.29199999996</v>
      </c>
      <c r="F88" s="21" t="s">
        <v>424</v>
      </c>
      <c r="G88" s="21" t="s">
        <v>15</v>
      </c>
      <c r="H88" s="21" t="s">
        <v>444</v>
      </c>
      <c r="I88" s="34" t="s">
        <v>459</v>
      </c>
      <c r="J88" s="8">
        <f>E88-K88-L88</f>
        <v>226340.05199999997</v>
      </c>
      <c r="K88" s="8">
        <f>(600+216.75+642.5+955.05+955.05+318.35)*1.2</f>
        <v>4425.24</v>
      </c>
      <c r="L88" s="8"/>
    </row>
    <row r="89" spans="1:13" x14ac:dyDescent="0.3">
      <c r="A89" s="21"/>
      <c r="B89" s="21"/>
      <c r="C89" s="21"/>
      <c r="D89" s="23"/>
      <c r="E89" s="23"/>
      <c r="F89" s="21"/>
      <c r="G89" s="21"/>
      <c r="H89" s="21"/>
      <c r="I89" s="35" t="s">
        <v>459</v>
      </c>
      <c r="J89" s="36">
        <f>SUM(J87:J88)</f>
        <v>459359.81999999995</v>
      </c>
      <c r="K89" s="36">
        <f t="shared" ref="K89:L89" si="10">SUM(K87:K88)</f>
        <v>9150.4679999999989</v>
      </c>
      <c r="L89" s="36">
        <f t="shared" si="10"/>
        <v>70.38</v>
      </c>
    </row>
    <row r="90" spans="1:13" x14ac:dyDescent="0.3">
      <c r="A90" s="21" t="s">
        <v>445</v>
      </c>
      <c r="B90" s="21" t="s">
        <v>446</v>
      </c>
      <c r="C90" s="21" t="s">
        <v>416</v>
      </c>
      <c r="D90" s="23">
        <v>509666.2</v>
      </c>
      <c r="E90" s="23">
        <f t="shared" si="9"/>
        <v>611599.43999999994</v>
      </c>
      <c r="F90" s="21" t="s">
        <v>424</v>
      </c>
      <c r="G90" s="21" t="s">
        <v>15</v>
      </c>
      <c r="H90" s="21" t="s">
        <v>447</v>
      </c>
      <c r="I90" s="34" t="s">
        <v>460</v>
      </c>
      <c r="J90" s="8">
        <f t="shared" ref="J90:J91" si="11">E90-K90-L90</f>
        <v>599239.54799999995</v>
      </c>
      <c r="K90" s="8">
        <f>9979.91*1.2</f>
        <v>11975.892</v>
      </c>
      <c r="L90" s="8">
        <f>320*1.2</f>
        <v>384</v>
      </c>
    </row>
    <row r="91" spans="1:13" x14ac:dyDescent="0.3">
      <c r="A91" s="21" t="s">
        <v>448</v>
      </c>
      <c r="B91" s="21" t="s">
        <v>449</v>
      </c>
      <c r="C91" s="21" t="s">
        <v>416</v>
      </c>
      <c r="D91" s="23">
        <v>58885.82</v>
      </c>
      <c r="E91" s="23">
        <f t="shared" si="9"/>
        <v>70662.983999999997</v>
      </c>
      <c r="F91" s="21" t="s">
        <v>424</v>
      </c>
      <c r="G91" s="21" t="s">
        <v>15</v>
      </c>
      <c r="H91" s="21" t="s">
        <v>450</v>
      </c>
      <c r="I91" s="34" t="s">
        <v>460</v>
      </c>
      <c r="J91" s="8">
        <f t="shared" si="11"/>
        <v>69193.16399999999</v>
      </c>
      <c r="K91" s="8">
        <f>1184.05*1.2</f>
        <v>1420.86</v>
      </c>
      <c r="L91" s="8">
        <f>40.8*1.2</f>
        <v>48.959999999999994</v>
      </c>
    </row>
    <row r="92" spans="1:13" x14ac:dyDescent="0.3">
      <c r="A92" s="21"/>
      <c r="B92" s="21"/>
      <c r="C92" s="21"/>
      <c r="D92" s="23"/>
      <c r="E92" s="23"/>
      <c r="F92" s="21"/>
      <c r="G92" s="21"/>
      <c r="H92" s="21"/>
      <c r="I92" s="35" t="s">
        <v>460</v>
      </c>
      <c r="J92" s="36">
        <f>SUM(J90:J91)</f>
        <v>668432.71199999994</v>
      </c>
      <c r="K92" s="36">
        <f t="shared" ref="K92" si="12">SUM(K90:K91)</f>
        <v>13396.752</v>
      </c>
      <c r="L92" s="36">
        <f t="shared" ref="L92" si="13">SUM(L90:L91)</f>
        <v>432.96</v>
      </c>
    </row>
    <row r="93" spans="1:13" x14ac:dyDescent="0.3">
      <c r="A93" s="21" t="s">
        <v>451</v>
      </c>
      <c r="B93" s="21" t="s">
        <v>452</v>
      </c>
      <c r="C93" s="21" t="s">
        <v>416</v>
      </c>
      <c r="D93" s="23">
        <v>7120.1799999999994</v>
      </c>
      <c r="E93" s="23">
        <f t="shared" si="9"/>
        <v>8544.2159999999985</v>
      </c>
      <c r="F93" s="21" t="s">
        <v>424</v>
      </c>
      <c r="G93" s="21" t="s">
        <v>15</v>
      </c>
      <c r="H93" s="21" t="s">
        <v>453</v>
      </c>
      <c r="I93" s="34" t="s">
        <v>461</v>
      </c>
      <c r="J93" s="8">
        <f t="shared" ref="J93:J95" si="14">E93-K93-L93</f>
        <v>8332.7159999999985</v>
      </c>
      <c r="K93" s="8"/>
      <c r="L93" s="8">
        <f>176.25*1.2</f>
        <v>211.5</v>
      </c>
    </row>
    <row r="94" spans="1:13" x14ac:dyDescent="0.3">
      <c r="A94" s="21" t="s">
        <v>454</v>
      </c>
      <c r="B94" s="21" t="s">
        <v>195</v>
      </c>
      <c r="C94" s="21" t="s">
        <v>416</v>
      </c>
      <c r="D94" s="23">
        <v>89093.809999999983</v>
      </c>
      <c r="E94" s="23">
        <f t="shared" si="9"/>
        <v>106912.57199999997</v>
      </c>
      <c r="F94" s="21" t="s">
        <v>424</v>
      </c>
      <c r="G94" s="21" t="s">
        <v>15</v>
      </c>
      <c r="H94" s="21" t="s">
        <v>455</v>
      </c>
      <c r="I94" s="34" t="s">
        <v>461</v>
      </c>
      <c r="J94" s="8">
        <f t="shared" si="14"/>
        <v>104574.44399999996</v>
      </c>
      <c r="K94" s="8">
        <f>407.4*1.2</f>
        <v>488.87999999999994</v>
      </c>
      <c r="L94" s="8">
        <f>1541.04*1.2</f>
        <v>1849.2479999999998</v>
      </c>
      <c r="M94" s="8"/>
    </row>
    <row r="95" spans="1:13" x14ac:dyDescent="0.3">
      <c r="A95" s="21" t="s">
        <v>456</v>
      </c>
      <c r="B95" s="21" t="s">
        <v>457</v>
      </c>
      <c r="C95" s="21" t="s">
        <v>416</v>
      </c>
      <c r="D95" s="23">
        <v>120043.05</v>
      </c>
      <c r="E95" s="23">
        <f t="shared" si="9"/>
        <v>144051.66</v>
      </c>
      <c r="F95" s="21" t="s">
        <v>424</v>
      </c>
      <c r="G95" s="21" t="s">
        <v>15</v>
      </c>
      <c r="H95" s="21" t="s">
        <v>458</v>
      </c>
      <c r="I95" s="34" t="s">
        <v>461</v>
      </c>
      <c r="J95" s="8">
        <f t="shared" si="14"/>
        <v>140685.48000000001</v>
      </c>
      <c r="K95" s="8">
        <f>2001.75*1.2</f>
        <v>2402.1</v>
      </c>
      <c r="L95" s="8">
        <f>803.4*1.2</f>
        <v>964.07999999999993</v>
      </c>
    </row>
    <row r="96" spans="1:13" ht="20.399999999999999" customHeight="1" x14ac:dyDescent="0.3">
      <c r="D96" s="16">
        <f>SUM(D87:D95)</f>
        <v>1175292.9500000002</v>
      </c>
      <c r="E96" s="16">
        <f>SUM(E87:E95)</f>
        <v>1410351.5399999998</v>
      </c>
      <c r="I96" s="37" t="s">
        <v>461</v>
      </c>
      <c r="J96" s="36">
        <f>SUM(J93:J95)</f>
        <v>253592.63999999996</v>
      </c>
      <c r="K96" s="36">
        <f t="shared" ref="K96:L96" si="15">SUM(K93:K95)</f>
        <v>2890.98</v>
      </c>
      <c r="L96" s="36">
        <f t="shared" si="15"/>
        <v>3024.8279999999995</v>
      </c>
    </row>
    <row r="97" spans="2:7" ht="20.399999999999999" customHeight="1" x14ac:dyDescent="0.3"/>
    <row r="98" spans="2:7" ht="20.399999999999999" customHeight="1" x14ac:dyDescent="0.3">
      <c r="B98" s="42" t="s">
        <v>473</v>
      </c>
      <c r="C98" s="40" t="s">
        <v>470</v>
      </c>
      <c r="D98" s="41">
        <v>555</v>
      </c>
      <c r="E98" s="23">
        <f>D98*1.2</f>
        <v>666</v>
      </c>
      <c r="G98" s="8"/>
    </row>
    <row r="99" spans="2:7" ht="20.399999999999999" customHeight="1" x14ac:dyDescent="0.3">
      <c r="B99" s="44" t="s">
        <v>463</v>
      </c>
      <c r="C99" s="40" t="s">
        <v>471</v>
      </c>
      <c r="D99" s="41">
        <v>92.5</v>
      </c>
      <c r="E99" s="23">
        <f t="shared" ref="E99:E100" si="16">D99*1.2</f>
        <v>111</v>
      </c>
      <c r="F99" s="8"/>
    </row>
    <row r="100" spans="2:7" ht="20.399999999999999" customHeight="1" x14ac:dyDescent="0.3">
      <c r="C100" s="40" t="s">
        <v>472</v>
      </c>
      <c r="D100" s="41">
        <v>166.5</v>
      </c>
      <c r="E100" s="23">
        <f t="shared" si="16"/>
        <v>199.79999999999998</v>
      </c>
    </row>
    <row r="101" spans="2:7" x14ac:dyDescent="0.3">
      <c r="E101" s="43">
        <f>SUBTOTAL(9,E98:E100)</f>
        <v>976.8</v>
      </c>
    </row>
    <row r="103" spans="2:7" ht="20.399999999999999" customHeight="1" x14ac:dyDescent="0.3"/>
    <row r="106" spans="2:7" ht="20.399999999999999" customHeight="1" x14ac:dyDescent="0.3"/>
  </sheetData>
  <autoFilter ref="A11:H60">
    <filterColumn colId="2">
      <filters>
        <filter val="ООН Київ"/>
      </filters>
    </filterColumn>
  </autoFilter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28" sqref="C28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Акты заказчика</vt:lpstr>
      <vt:lpstr>Списание стройматериалов</vt:lpstr>
      <vt:lpstr>Услуги_сторонних</vt:lpstr>
      <vt:lpstr>ВаловаяПрибыль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2024-08-15T14:12:20Z</dcterms:modified>
</cp:coreProperties>
</file>